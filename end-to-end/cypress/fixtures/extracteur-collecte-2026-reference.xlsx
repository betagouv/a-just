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80" yWindow="780" windowWidth="30240" windowHeight="1718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ATTJ" state="hidden" r:id="rId13"/>
    <sheet sheetId="28" name="ETPT_TJ_DDG" state="visible" r:id="rId14"/>
    <sheet sheetId="29" name="ETPT_TPRX_DDG" state="visible" r:id="rId15"/>
    <sheet sheetId="30" name="ETPT_CPH_DDG" state="visible" r:id="rId16"/>
    <sheet sheetId="39" name="ETPT_ATTJ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comments35.xml><?xml version="1.0" encoding="utf-8"?>
<comments xmlns="http://schemas.openxmlformats.org/spreadsheetml/2006/main">
  <authors>
    <author>Author</author>
  </authors>
  <commentList>
    <comment ref="V14" authorId="0">
      <text/>
    </comment>
    <comment ref="R15" authorId="0">
      <text/>
    </comment>
  </commentList>
</comments>
</file>

<file path=xl/sharedStrings.xml><?xml version="1.0" encoding="utf-8"?>
<sst xmlns="http://schemas.openxmlformats.org/spreadsheetml/2006/main" count="9808" uniqueCount="2625">
  <si>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</si>
  <si>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</si>
  <si>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</si>
  <si>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</si>
  <si>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</si>
  <si>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</si>
  <si>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</si>
  <si>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</si>
  <si>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</si>
  <si>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</si>
  <si>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</si>
  <si>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</si>
  <si>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</si>
  <si>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</si>
  <si>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</si>
  <si>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</si>
  <si>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</si>
  <si>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</si>
  <si>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</si>
  <si>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</si>
  <si>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</si>
  <si>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</si>
  <si>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</si>
  <si>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</si>
  <si>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</si>
  <si>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</si>
  <si>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</si>
  <si>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</si>
  <si>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</si>
  <si>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</si>
  <si>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</si>
  <si>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</si>
  <si>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</si>
  <si>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</si>
  <si>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</si>
  <si>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</si>
  <si>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</si>
  <si>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</si>
  <si>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</si>
  <si>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</si>
  <si>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</si>
  <si>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</si>
  <si>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</si>
  <si>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</si>
  <si>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</si>
  <si>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</si>
  <si>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</si>
  <si>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</si>
  <si>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</si>
  <si>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</si>
  <si>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</si>
  <si>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</si>
  <si>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</si>
  <si>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</si>
  <si>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</si>
  <si>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</si>
  <si>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</si>
  <si>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</si>
  <si>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</si>
  <si>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</si>
  <si>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</si>
  <si>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</si>
  <si>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</si>
  <si>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</si>
  <si>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</si>
  <si>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</si>
  <si>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</si>
  <si>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</si>
  <si>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</si>
  <si>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</si>
  <si>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</si>
  <si>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</si>
  <si>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</si>
  <si>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</si>
  <si>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</si>
  <si>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</si>
  <si>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</si>
  <si>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</si>
  <si>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</si>
  <si>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</si>
  <si>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</si>
  <si>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</si>
  <si>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</si>
  <si>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</si>
  <si>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</si>
  <si>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</si>
  <si>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</si>
  <si>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</si>
  <si>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</si>
  <si>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</si>
  <si>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</si>
  <si>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</si>
  <si>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</si>
  <si>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</si>
  <si>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</si>
  <si>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</si>
  <si>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</si>
  <si>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</si>
  <si>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</si>
  <si>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</si>
  <si>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</si>
  <si>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</si>
  <si>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</si>
  <si>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</si>
  <si>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</si>
  <si>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</si>
  <si>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</si>
  <si>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</si>
  <si>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</si>
  <si>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</si>
  <si>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</si>
  <si>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</si>
  <si>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</si>
  <si>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</si>
  <si>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</si>
  <si>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</si>
  <si>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</si>
  <si>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</si>
  <si>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</si>
  <si>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</si>
  <si>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</si>
  <si>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</si>
  <si>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</si>
  <si>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</si>
  <si>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</si>
  <si>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</si>
  <si>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</si>
  <si>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</si>
  <si>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</si>
  <si>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</si>
  <si>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</si>
  <si>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</si>
  <si>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</si>
  <si>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</si>
  <si>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</si>
  <si>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</si>
  <si>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</si>
  <si>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</si>
  <si>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</si>
  <si>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</si>
  <si>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12.6. AUTORISATION SPÉCIALE D'ABSENCE</t>
  </si>
  <si>
    <t>12.2. COMPTE ÉPARGNE TEMPS</t>
  </si>
  <si>
    <t>12.8. AUTRE ABSENTÉISME</t>
  </si>
  <si>
    <t>12.3. CONGÉ LONGUE MALADIE</t>
  </si>
  <si>
    <t>12.33. CONGÉ PARENTAL &lt; 6 MOIS</t>
  </si>
  <si>
    <t>12.4. TEMPS PARTIEL THÉRAPEUTIQUE</t>
  </si>
  <si>
    <t>12.41. CONGÉ DE FORMATION</t>
  </si>
  <si>
    <t>12.61. STAGE PROBATOIRE DANS UNE AUTRE JURIDICTION</t>
  </si>
  <si>
    <t>12.5. MISE À DISPOSITION</t>
  </si>
  <si>
    <t>12.7. AUTRES INDISPONIBILITÉS (ACTION 99)</t>
  </si>
  <si>
    <t>2138</t>
  </si>
  <si>
    <t>TJ TEST</t>
  </si>
  <si>
    <t>b91278f925</t>
  </si>
  <si>
    <t>c51311297e</t>
  </si>
  <si>
    <t>91bf04212f</t>
  </si>
  <si>
    <t>x</t>
  </si>
  <si>
    <t>2002-07-03</t>
  </si>
  <si>
    <t>19570</t>
  </si>
  <si>
    <t>02c70db6a9</t>
  </si>
  <si>
    <t>5fcad2a502</t>
  </si>
  <si>
    <t>caff50d8a4</t>
  </si>
  <si>
    <t>Magistrat</t>
  </si>
  <si>
    <t>VP</t>
  </si>
  <si>
    <t>2022-01-03</t>
  </si>
  <si>
    <t>38400</t>
  </si>
  <si>
    <t>08056ecce2</t>
  </si>
  <si>
    <t>f916bc29a5</t>
  </si>
  <si>
    <t>a7e1dae5a5</t>
  </si>
  <si>
    <t>J. PLACÉ</t>
  </si>
  <si>
    <t>2025-09-01</t>
  </si>
  <si>
    <t>2025-12-31</t>
  </si>
  <si>
    <t>8171</t>
  </si>
  <si>
    <t>085e1e9d3d</t>
  </si>
  <si>
    <t>e353e10428</t>
  </si>
  <si>
    <t>ce56caf5c1</t>
  </si>
  <si>
    <t>VPAP</t>
  </si>
  <si>
    <t>2021-09-01</t>
  </si>
  <si>
    <t>35310</t>
  </si>
  <si>
    <t>16838bf898</t>
  </si>
  <si>
    <t>8701a34b38</t>
  </si>
  <si>
    <t>5067515d3f</t>
  </si>
  <si>
    <t>VPLD</t>
  </si>
  <si>
    <t>2019-09-02</t>
  </si>
  <si>
    <t>17000</t>
  </si>
  <si>
    <t>2ba5d1a2b3</t>
  </si>
  <si>
    <t>7b8be38b5b</t>
  </si>
  <si>
    <t>f6c372fd25</t>
  </si>
  <si>
    <t>JI</t>
  </si>
  <si>
    <t>11341</t>
  </si>
  <si>
    <t>2d598b0c0c</t>
  </si>
  <si>
    <t>d1914eb043</t>
  </si>
  <si>
    <t>05202ea470</t>
  </si>
  <si>
    <t>JAP</t>
  </si>
  <si>
    <t>19552</t>
  </si>
  <si>
    <t>37ce92e2e7</t>
  </si>
  <si>
    <t>df6df7d850</t>
  </si>
  <si>
    <t>6ba324cf2d</t>
  </si>
  <si>
    <t>1VPA</t>
  </si>
  <si>
    <t>2020-09-01</t>
  </si>
  <si>
    <t>42353</t>
  </si>
  <si>
    <t>3eb02661a6</t>
  </si>
  <si>
    <t>b925cc5027</t>
  </si>
  <si>
    <t>6ff7235915</t>
  </si>
  <si>
    <t>19728</t>
  </si>
  <si>
    <t>53b8cd14be</t>
  </si>
  <si>
    <t>f8ef4ee7f9</t>
  </si>
  <si>
    <t>9fda9bc2dd</t>
  </si>
  <si>
    <t>J</t>
  </si>
  <si>
    <t>2023-09-01</t>
  </si>
  <si>
    <t>42865</t>
  </si>
  <si>
    <t>545186f572</t>
  </si>
  <si>
    <t>4f4ad4493f</t>
  </si>
  <si>
    <t>321e6118ad</t>
  </si>
  <si>
    <t>2024-09-02</t>
  </si>
  <si>
    <t>24600</t>
  </si>
  <si>
    <t>5f37b55220</t>
  </si>
  <si>
    <t>d20d016baf</t>
  </si>
  <si>
    <t>aa15549185</t>
  </si>
  <si>
    <t>VPE</t>
  </si>
  <si>
    <t>22218</t>
  </si>
  <si>
    <t>65b1c8035f</t>
  </si>
  <si>
    <t>2453821778</t>
  </si>
  <si>
    <t>08501f25b7</t>
  </si>
  <si>
    <t>2023-04-03</t>
  </si>
  <si>
    <t>14603</t>
  </si>
  <si>
    <t>6784fff1a8</t>
  </si>
  <si>
    <t>3e03320715</t>
  </si>
  <si>
    <t>01a29557a0</t>
  </si>
  <si>
    <t>2013-09-02</t>
  </si>
  <si>
    <t>8826</t>
  </si>
  <si>
    <t>6a2514f91c</t>
  </si>
  <si>
    <t>a5b1a8ddf1</t>
  </si>
  <si>
    <t>5f855efb1d</t>
  </si>
  <si>
    <t>2018-09-03</t>
  </si>
  <si>
    <t>29956</t>
  </si>
  <si>
    <t>6a5d55bdf5</t>
  </si>
  <si>
    <t>a44de63a23</t>
  </si>
  <si>
    <t>8f4c1d7f22</t>
  </si>
  <si>
    <t>39330</t>
  </si>
  <si>
    <t>6e37b197af</t>
  </si>
  <si>
    <t>993c5e350a</t>
  </si>
  <si>
    <t>c6ca7ef15a</t>
  </si>
  <si>
    <t>VPCP</t>
  </si>
  <si>
    <t>29931</t>
  </si>
  <si>
    <t>718253a255</t>
  </si>
  <si>
    <t>27d362e752</t>
  </si>
  <si>
    <t>66832a145a</t>
  </si>
  <si>
    <t>6375</t>
  </si>
  <si>
    <t>7659b7b58d</t>
  </si>
  <si>
    <t>026f64aa73</t>
  </si>
  <si>
    <t>02e903b05d</t>
  </si>
  <si>
    <t>JCP</t>
  </si>
  <si>
    <t>846</t>
  </si>
  <si>
    <t>7c7a55aec2</t>
  </si>
  <si>
    <t>dbfb696e12</t>
  </si>
  <si>
    <t>fc77664c4a</t>
  </si>
  <si>
    <t>JE</t>
  </si>
  <si>
    <t>2021-01-01</t>
  </si>
  <si>
    <t>19665</t>
  </si>
  <si>
    <t>8a951ed9aa</t>
  </si>
  <si>
    <t>5cd9e52efb</t>
  </si>
  <si>
    <t>49169ce048</t>
  </si>
  <si>
    <t>VPI</t>
  </si>
  <si>
    <t>2023-01-02</t>
  </si>
  <si>
    <t>39318</t>
  </si>
  <si>
    <t>8dc87fc673</t>
  </si>
  <si>
    <t>d0dadb3f01</t>
  </si>
  <si>
    <t>d30573ab2e</t>
  </si>
  <si>
    <t>1383</t>
  </si>
  <si>
    <t>923005a618</t>
  </si>
  <si>
    <t>952cd11ac8</t>
  </si>
  <si>
    <t>0af1996bc9</t>
  </si>
  <si>
    <t>14547</t>
  </si>
  <si>
    <t>97d5a32221</t>
  </si>
  <si>
    <t>09534b0a20</t>
  </si>
  <si>
    <t>fb9ab1e44f</t>
  </si>
  <si>
    <t>28863</t>
  </si>
  <si>
    <t>9a54960109</t>
  </si>
  <si>
    <t>4ed9e041c4</t>
  </si>
  <si>
    <t>4e96e1b010</t>
  </si>
  <si>
    <t>30141</t>
  </si>
  <si>
    <t>a095ede12f</t>
  </si>
  <si>
    <t>7bcf85e837</t>
  </si>
  <si>
    <t>6e82cd72a5</t>
  </si>
  <si>
    <t>39265</t>
  </si>
  <si>
    <t>a994df71d0</t>
  </si>
  <si>
    <t>a431e979c0</t>
  </si>
  <si>
    <t>3cf295a533</t>
  </si>
  <si>
    <t>19587</t>
  </si>
  <si>
    <t>b1d5c281f1</t>
  </si>
  <si>
    <t>1aad6b04ae</t>
  </si>
  <si>
    <t>765516b676</t>
  </si>
  <si>
    <t>2022-11-02</t>
  </si>
  <si>
    <t>11180</t>
  </si>
  <si>
    <t>b289dd44bb</t>
  </si>
  <si>
    <t>5058dde9e3</t>
  </si>
  <si>
    <t>7f088acaf9</t>
  </si>
  <si>
    <t>2019-09-16</t>
  </si>
  <si>
    <t>38577</t>
  </si>
  <si>
    <t>b3d2af8cbf</t>
  </si>
  <si>
    <t>940f1cb485</t>
  </si>
  <si>
    <t>94ee2a3899</t>
  </si>
  <si>
    <t>VP PLACÉ</t>
  </si>
  <si>
    <t>11769</t>
  </si>
  <si>
    <t>ba93aa4947</t>
  </si>
  <si>
    <t>58b38cdb51</t>
  </si>
  <si>
    <t>292d4d6a0a</t>
  </si>
  <si>
    <t>2023-09-04</t>
  </si>
  <si>
    <t>38576</t>
  </si>
  <si>
    <t>c019fe4c97</t>
  </si>
  <si>
    <t>ccb937f7dc</t>
  </si>
  <si>
    <t>ef0c6f946a</t>
  </si>
  <si>
    <t>28067</t>
  </si>
  <si>
    <t>c59fb2a232</t>
  </si>
  <si>
    <t>4ec5a2f0e1</t>
  </si>
  <si>
    <t>0a81244b0d</t>
  </si>
  <si>
    <t>2022-09-28</t>
  </si>
  <si>
    <t>32669</t>
  </si>
  <si>
    <t>c77a79c6ba</t>
  </si>
  <si>
    <t>f61ed68463</t>
  </si>
  <si>
    <t>e6859ed51d</t>
  </si>
  <si>
    <t>31646</t>
  </si>
  <si>
    <t>c85ab38695</t>
  </si>
  <si>
    <t>e121e7dd96</t>
  </si>
  <si>
    <t>b3ca545227</t>
  </si>
  <si>
    <t>2012-01-02</t>
  </si>
  <si>
    <t>14185</t>
  </si>
  <si>
    <t>cb2c0d2b10</t>
  </si>
  <si>
    <t>dcbd85e06c</t>
  </si>
  <si>
    <t>8e672f4368</t>
  </si>
  <si>
    <t>1VP</t>
  </si>
  <si>
    <t>1550</t>
  </si>
  <si>
    <t>d430e6ab82</t>
  </si>
  <si>
    <t>cacb09b360</t>
  </si>
  <si>
    <t>106475e6a4</t>
  </si>
  <si>
    <t>24888</t>
  </si>
  <si>
    <t>d759d0117e</t>
  </si>
  <si>
    <t>fb113a4604</t>
  </si>
  <si>
    <t>0cee7e889b</t>
  </si>
  <si>
    <t>2017-09-04</t>
  </si>
  <si>
    <t>1352</t>
  </si>
  <si>
    <t>d75a73cc85</t>
  </si>
  <si>
    <t>4ab0803d13</t>
  </si>
  <si>
    <t>ff63c87f0e</t>
  </si>
  <si>
    <t>27435</t>
  </si>
  <si>
    <t>e3262b798b</t>
  </si>
  <si>
    <t>fc2e709350</t>
  </si>
  <si>
    <t>e31bc7f35a</t>
  </si>
  <si>
    <t>15446</t>
  </si>
  <si>
    <t>ed0e7ed80a</t>
  </si>
  <si>
    <t>1ae7d14d24</t>
  </si>
  <si>
    <t>752e545015</t>
  </si>
  <si>
    <t>2009-09-01</t>
  </si>
  <si>
    <t>30189</t>
  </si>
  <si>
    <t>045223b27e</t>
  </si>
  <si>
    <t>edf433c27e</t>
  </si>
  <si>
    <t>3ae937f403</t>
  </si>
  <si>
    <t>Greffe</t>
  </si>
  <si>
    <t>B</t>
  </si>
  <si>
    <t>16511</t>
  </si>
  <si>
    <t>04935aad22</t>
  </si>
  <si>
    <t>ebaa1dbc24</t>
  </si>
  <si>
    <t>2f39dc5ce0</t>
  </si>
  <si>
    <t>2023-06-06</t>
  </si>
  <si>
    <t>3699</t>
  </si>
  <si>
    <t>04f1e2f7d2</t>
  </si>
  <si>
    <t>3e7b1adbd8</t>
  </si>
  <si>
    <t>f25265de10</t>
  </si>
  <si>
    <t>CONT A JP</t>
  </si>
  <si>
    <t>23410</t>
  </si>
  <si>
    <t>05d2b0e300</t>
  </si>
  <si>
    <t>45e759235b</t>
  </si>
  <si>
    <t>e307915e9c</t>
  </si>
  <si>
    <t>17147</t>
  </si>
  <si>
    <t>083397a1d8</t>
  </si>
  <si>
    <t>03da8317d7</t>
  </si>
  <si>
    <t>888cd1e431</t>
  </si>
  <si>
    <t>2022-09-01</t>
  </si>
  <si>
    <t>40880</t>
  </si>
  <si>
    <t>0bf4b4576f</t>
  </si>
  <si>
    <t>d40420586d</t>
  </si>
  <si>
    <t>096c50fa50</t>
  </si>
  <si>
    <t>2017-08-31</t>
  </si>
  <si>
    <t>2025-02-16</t>
  </si>
  <si>
    <t>14021</t>
  </si>
  <si>
    <t>0c6a7fb8db</t>
  </si>
  <si>
    <t>073a34534e</t>
  </si>
  <si>
    <t>ffbe85ca96</t>
  </si>
  <si>
    <t>CB</t>
  </si>
  <si>
    <t>2009-03-02</t>
  </si>
  <si>
    <t>27870</t>
  </si>
  <si>
    <t>0d03dfd322</t>
  </si>
  <si>
    <t>5ec04119f2</t>
  </si>
  <si>
    <t>b6b76332a4</t>
  </si>
  <si>
    <t>17965</t>
  </si>
  <si>
    <t>10db76c23f</t>
  </si>
  <si>
    <t>f7948f664b</t>
  </si>
  <si>
    <t>4239829d00</t>
  </si>
  <si>
    <t>A</t>
  </si>
  <si>
    <t>25281</t>
  </si>
  <si>
    <t>11851c562f</t>
  </si>
  <si>
    <t>7fe595dc36</t>
  </si>
  <si>
    <t>57ffe31efa</t>
  </si>
  <si>
    <t>2024-03-05</t>
  </si>
  <si>
    <t>30981</t>
  </si>
  <si>
    <t>127c712a36</t>
  </si>
  <si>
    <t>0437fe7331</t>
  </si>
  <si>
    <t>859e1ad647</t>
  </si>
  <si>
    <t>12347</t>
  </si>
  <si>
    <t>13413720b9</t>
  </si>
  <si>
    <t>c668d0f1a8</t>
  </si>
  <si>
    <t>85337b4182</t>
  </si>
  <si>
    <t>2016-03-01</t>
  </si>
  <si>
    <t>14878</t>
  </si>
  <si>
    <t>1714e1fad1</t>
  </si>
  <si>
    <t>5d79590381</t>
  </si>
  <si>
    <t>6ae15df9b4</t>
  </si>
  <si>
    <t>2019-01-01</t>
  </si>
  <si>
    <t>20197</t>
  </si>
  <si>
    <t>17fdf4d8f1</t>
  </si>
  <si>
    <t>1fb97cdce3</t>
  </si>
  <si>
    <t>a1b2a943d8</t>
  </si>
  <si>
    <t>2020-10-01</t>
  </si>
  <si>
    <t>15551</t>
  </si>
  <si>
    <t>18702fa8ab</t>
  </si>
  <si>
    <t>10ddf7e5c8</t>
  </si>
  <si>
    <t>db5ecde0fb</t>
  </si>
  <si>
    <t>2017-06-01</t>
  </si>
  <si>
    <t>20871</t>
  </si>
  <si>
    <t>1d4c49c67d</t>
  </si>
  <si>
    <t>fbd2342144</t>
  </si>
  <si>
    <t>4b5677c0e7</t>
  </si>
  <si>
    <t>2019-03-01</t>
  </si>
  <si>
    <t>9689</t>
  </si>
  <si>
    <t>20073b41ab</t>
  </si>
  <si>
    <t>404c88bcbc</t>
  </si>
  <si>
    <t>866772cd69</t>
  </si>
  <si>
    <t>2022-12-30</t>
  </si>
  <si>
    <t>35410</t>
  </si>
  <si>
    <t>223f420f90</t>
  </si>
  <si>
    <t>436c44f1bb</t>
  </si>
  <si>
    <t>ce4ba3c668</t>
  </si>
  <si>
    <t>2011-11-03</t>
  </si>
  <si>
    <t>12702</t>
  </si>
  <si>
    <t>240d09387a</t>
  </si>
  <si>
    <t>5e597e659c</t>
  </si>
  <si>
    <t>53f54df230</t>
  </si>
  <si>
    <t>2019-09-01</t>
  </si>
  <si>
    <t>19120</t>
  </si>
  <si>
    <t>25568b4efe</t>
  </si>
  <si>
    <t>ee75901cbe</t>
  </si>
  <si>
    <t>anonyme</t>
  </si>
  <si>
    <t>2023-03-01</t>
  </si>
  <si>
    <t>28846</t>
  </si>
  <si>
    <t>2862902288</t>
  </si>
  <si>
    <t>4a648cb629</t>
  </si>
  <si>
    <t>70e5317504</t>
  </si>
  <si>
    <t>2025-09-04</t>
  </si>
  <si>
    <t>18868</t>
  </si>
  <si>
    <t>2997766593</t>
  </si>
  <si>
    <t>c52bb62c2f</t>
  </si>
  <si>
    <t>eb18df937f</t>
  </si>
  <si>
    <t>1994-06-20</t>
  </si>
  <si>
    <t>9023</t>
  </si>
  <si>
    <t>29be315d34</t>
  </si>
  <si>
    <t>3c2f30263c</t>
  </si>
  <si>
    <t>25458c5add</t>
  </si>
  <si>
    <t>2007-03-05</t>
  </si>
  <si>
    <t>5032</t>
  </si>
  <si>
    <t>2e7e0d5303</t>
  </si>
  <si>
    <t>5d0cfe029a</t>
  </si>
  <si>
    <t>102c646df3</t>
  </si>
  <si>
    <t>2011-09-01</t>
  </si>
  <si>
    <t>11310</t>
  </si>
  <si>
    <t>303bb1bbf5</t>
  </si>
  <si>
    <t>fbf07499c3</t>
  </si>
  <si>
    <t>98c70bcb61</t>
  </si>
  <si>
    <t>2016-01-01</t>
  </si>
  <si>
    <t>31856</t>
  </si>
  <si>
    <t>3233fe9cf0</t>
  </si>
  <si>
    <t>e559dcb1a5</t>
  </si>
  <si>
    <t>529c87736e</t>
  </si>
  <si>
    <t>2024-09-01</t>
  </si>
  <si>
    <t>15792</t>
  </si>
  <si>
    <t>35928846bf</t>
  </si>
  <si>
    <t>0a63d35355</t>
  </si>
  <si>
    <t>ec4c23fa76</t>
  </si>
  <si>
    <t>CONT B JP</t>
  </si>
  <si>
    <t>2020-12-01</t>
  </si>
  <si>
    <t>41285</t>
  </si>
  <si>
    <t>3b4ad982ca</t>
  </si>
  <si>
    <t>7b6100d670</t>
  </si>
  <si>
    <t>29bd9698eb</t>
  </si>
  <si>
    <t>2018-03-01</t>
  </si>
  <si>
    <t>20377</t>
  </si>
  <si>
    <t>3b64262030</t>
  </si>
  <si>
    <t>19ba35b74b</t>
  </si>
  <si>
    <t>fd01ccf997</t>
  </si>
  <si>
    <t>2020-05-19</t>
  </si>
  <si>
    <t>37742</t>
  </si>
  <si>
    <t>3dddc6b186</t>
  </si>
  <si>
    <t>b7ac96a0e3</t>
  </si>
  <si>
    <t>856bf93e48</t>
  </si>
  <si>
    <t>VAC</t>
  </si>
  <si>
    <t>2024-07-12</t>
  </si>
  <si>
    <t>2025-07-01</t>
  </si>
  <si>
    <t>20126</t>
  </si>
  <si>
    <t>40df7170bd</t>
  </si>
  <si>
    <t>3026299450</t>
  </si>
  <si>
    <t>e706790aba</t>
  </si>
  <si>
    <t>2014-03-01</t>
  </si>
  <si>
    <t>38509</t>
  </si>
  <si>
    <t>4114ff8ff9</t>
  </si>
  <si>
    <t>ef9e068459</t>
  </si>
  <si>
    <t>a4259b614f</t>
  </si>
  <si>
    <t>4282</t>
  </si>
  <si>
    <t>41fa4aa2bd</t>
  </si>
  <si>
    <t>db2055c2ad</t>
  </si>
  <si>
    <t>5e60c3e2d6</t>
  </si>
  <si>
    <t>2012-10-15</t>
  </si>
  <si>
    <t>29887</t>
  </si>
  <si>
    <t>445e21bbd3</t>
  </si>
  <si>
    <t>70c8bbdd52</t>
  </si>
  <si>
    <t>43963d5111</t>
  </si>
  <si>
    <t>2021-03-02</t>
  </si>
  <si>
    <t>8967</t>
  </si>
  <si>
    <t>449b64beab</t>
  </si>
  <si>
    <t>cb27109769</t>
  </si>
  <si>
    <t>9045a880f1</t>
  </si>
  <si>
    <t>21550</t>
  </si>
  <si>
    <t>44eed80dcf</t>
  </si>
  <si>
    <t>a408bc78c1</t>
  </si>
  <si>
    <t>d99120ec47</t>
  </si>
  <si>
    <t>2016-09-01</t>
  </si>
  <si>
    <t>18351</t>
  </si>
  <si>
    <t>45bea7eeb5</t>
  </si>
  <si>
    <t>576fe13168</t>
  </si>
  <si>
    <t>c6fe1ed8af</t>
  </si>
  <si>
    <t>1996-09-02</t>
  </si>
  <si>
    <t>5366</t>
  </si>
  <si>
    <t>46c7606036</t>
  </si>
  <si>
    <t>ad105406a9</t>
  </si>
  <si>
    <t>9d5c9d4d3d</t>
  </si>
  <si>
    <t>16883</t>
  </si>
  <si>
    <t>48f2698269</t>
  </si>
  <si>
    <t>937d66bffb</t>
  </si>
  <si>
    <t>220edba2cf</t>
  </si>
  <si>
    <t>2025-01-17</t>
  </si>
  <si>
    <t>30976</t>
  </si>
  <si>
    <t>4b87c18710</t>
  </si>
  <si>
    <t>d3c5ad1d9c</t>
  </si>
  <si>
    <t>1d1107848d</t>
  </si>
  <si>
    <t>2000-09-04</t>
  </si>
  <si>
    <t>32444</t>
  </si>
  <si>
    <t>4bba2d0133</t>
  </si>
  <si>
    <t>37c7688a45</t>
  </si>
  <si>
    <t>031cb26a46</t>
  </si>
  <si>
    <t>CONT CB</t>
  </si>
  <si>
    <t>2023-12-01</t>
  </si>
  <si>
    <t>11280</t>
  </si>
  <si>
    <t>4e839b841a</t>
  </si>
  <si>
    <t>6aab0238c8</t>
  </si>
  <si>
    <t>3cbbd427f7</t>
  </si>
  <si>
    <t>A GREFFIER</t>
  </si>
  <si>
    <t>6858</t>
  </si>
  <si>
    <t>513bf891dd</t>
  </si>
  <si>
    <t>283526c3f5</t>
  </si>
  <si>
    <t>d441ca7414</t>
  </si>
  <si>
    <t>2014-09-01</t>
  </si>
  <si>
    <t>15360</t>
  </si>
  <si>
    <t>51b8fdd6a8</t>
  </si>
  <si>
    <t>5f2f3e27eb</t>
  </si>
  <si>
    <t>1f21bfbeb1</t>
  </si>
  <si>
    <t>2022-03-01</t>
  </si>
  <si>
    <t>27372</t>
  </si>
  <si>
    <t>569f4c0133</t>
  </si>
  <si>
    <t>dd77128f5a</t>
  </si>
  <si>
    <t>32c6828cb7</t>
  </si>
  <si>
    <t>2022-06-07</t>
  </si>
  <si>
    <t>6994</t>
  </si>
  <si>
    <t>57efc72e52</t>
  </si>
  <si>
    <t>81a6179891</t>
  </si>
  <si>
    <t>1762e05ac2</t>
  </si>
  <si>
    <t>2021-07-01</t>
  </si>
  <si>
    <t>13624</t>
  </si>
  <si>
    <t>58c67a0711</t>
  </si>
  <si>
    <t>10e0c28021</t>
  </si>
  <si>
    <t>b49181816c</t>
  </si>
  <si>
    <t>12108</t>
  </si>
  <si>
    <t>60d0f509c6</t>
  </si>
  <si>
    <t>ac93fbbafe</t>
  </si>
  <si>
    <t>2bb7e4e6e4</t>
  </si>
  <si>
    <t>2021-10-01</t>
  </si>
  <si>
    <t>28776</t>
  </si>
  <si>
    <t>618f79d56f</t>
  </si>
  <si>
    <t>3c71bff295</t>
  </si>
  <si>
    <t>2024-10-01</t>
  </si>
  <si>
    <t>31837</t>
  </si>
  <si>
    <t>61a35a035a</t>
  </si>
  <si>
    <t>211d3eb3ee</t>
  </si>
  <si>
    <t>770dc61147</t>
  </si>
  <si>
    <t>A PLACÉ</t>
  </si>
  <si>
    <t>2025-02-28</t>
  </si>
  <si>
    <t>33385</t>
  </si>
  <si>
    <t>61f95b868c</t>
  </si>
  <si>
    <t>963a2a240d</t>
  </si>
  <si>
    <t>5f553d6c33</t>
  </si>
  <si>
    <t>12968</t>
  </si>
  <si>
    <t>62aec91c9b</t>
  </si>
  <si>
    <t>d69898ab28</t>
  </si>
  <si>
    <t>ee77afd79e</t>
  </si>
  <si>
    <t>26107</t>
  </si>
  <si>
    <t>62e53ca5e3</t>
  </si>
  <si>
    <t>4020f59b42</t>
  </si>
  <si>
    <t>71597fb6a0</t>
  </si>
  <si>
    <t>5973</t>
  </si>
  <si>
    <t>6857b4bd95</t>
  </si>
  <si>
    <t>66f9839799</t>
  </si>
  <si>
    <t>c062278835</t>
  </si>
  <si>
    <t>2018-08-01</t>
  </si>
  <si>
    <t>31566</t>
  </si>
  <si>
    <t>691d231b4e</t>
  </si>
  <si>
    <t>632d211fa7</t>
  </si>
  <si>
    <t>71f15fbd94</t>
  </si>
  <si>
    <t>2023-12-29</t>
  </si>
  <si>
    <t>25193</t>
  </si>
  <si>
    <t>6988ee0dfc</t>
  </si>
  <si>
    <t>239b110956</t>
  </si>
  <si>
    <t>7863ddd0f1</t>
  </si>
  <si>
    <t>2025-06-27</t>
  </si>
  <si>
    <t>38073</t>
  </si>
  <si>
    <t>6a52eff7c6</t>
  </si>
  <si>
    <t>66653db633</t>
  </si>
  <si>
    <t>cf652e96fa</t>
  </si>
  <si>
    <t>2025-10-01</t>
  </si>
  <si>
    <t>16972</t>
  </si>
  <si>
    <t>6dbe54f808</t>
  </si>
  <si>
    <t>6365e5ba41</t>
  </si>
  <si>
    <t>055e869e7a</t>
  </si>
  <si>
    <t>2026-02-28</t>
  </si>
  <si>
    <t>11524</t>
  </si>
  <si>
    <t>6e654ef66e</t>
  </si>
  <si>
    <t>a0021c41a5</t>
  </si>
  <si>
    <t>c0ce3c10cf</t>
  </si>
  <si>
    <t>1983-09-01</t>
  </si>
  <si>
    <t>29896</t>
  </si>
  <si>
    <t>6e7e9f6c30</t>
  </si>
  <si>
    <t>8656e24f43</t>
  </si>
  <si>
    <t>28d8e0ab11</t>
  </si>
  <si>
    <t>2008-09-01</t>
  </si>
  <si>
    <t>6926</t>
  </si>
  <si>
    <t>70ec8299fc</t>
  </si>
  <si>
    <t>f4c8d7a570</t>
  </si>
  <si>
    <t>04318d6648</t>
  </si>
  <si>
    <t>20591</t>
  </si>
  <si>
    <t>72cb633bfc</t>
  </si>
  <si>
    <t>50b47c1897</t>
  </si>
  <si>
    <t>8deeb5a2e7</t>
  </si>
  <si>
    <t>2021-03-01</t>
  </si>
  <si>
    <t>41250</t>
  </si>
  <si>
    <t>7304b2710b</t>
  </si>
  <si>
    <t>dcc4970953</t>
  </si>
  <si>
    <t>beec4ac371</t>
  </si>
  <si>
    <t>2018-01-01</t>
  </si>
  <si>
    <t>23629</t>
  </si>
  <si>
    <t>73770f912f</t>
  </si>
  <si>
    <t>a35ec4afaf</t>
  </si>
  <si>
    <t>494523ec29</t>
  </si>
  <si>
    <t>42838</t>
  </si>
  <si>
    <t>7434389d48</t>
  </si>
  <si>
    <t>bd440c8fcd</t>
  </si>
  <si>
    <t>80561d08a0</t>
  </si>
  <si>
    <t>2025-11-03</t>
  </si>
  <si>
    <t>7853</t>
  </si>
  <si>
    <t>751da56022</t>
  </si>
  <si>
    <t>0333e72a57</t>
  </si>
  <si>
    <t>7471199ee9</t>
  </si>
  <si>
    <t>17843</t>
  </si>
  <si>
    <t>766b33247e</t>
  </si>
  <si>
    <t>8ca3440ee6</t>
  </si>
  <si>
    <t>612e6cd48f</t>
  </si>
  <si>
    <t>2015-09-14</t>
  </si>
  <si>
    <t>5839</t>
  </si>
  <si>
    <t>76a45ef753</t>
  </si>
  <si>
    <t>53982c2eb2</t>
  </si>
  <si>
    <t>768cb51a79</t>
  </si>
  <si>
    <t>1991-09-02</t>
  </si>
  <si>
    <t>14208</t>
  </si>
  <si>
    <t>7774696147</t>
  </si>
  <si>
    <t>86a1d43ee5</t>
  </si>
  <si>
    <t>6e8467b6d2</t>
  </si>
  <si>
    <t>SA</t>
  </si>
  <si>
    <t>18602</t>
  </si>
  <si>
    <t>78ea042bc6</t>
  </si>
  <si>
    <t>0c545c98ed</t>
  </si>
  <si>
    <t>715415501b</t>
  </si>
  <si>
    <t>2017-09-01</t>
  </si>
  <si>
    <t>16977</t>
  </si>
  <si>
    <t>7bd4f78117</t>
  </si>
  <si>
    <t>f17de6b83c</t>
  </si>
  <si>
    <t>a2c1854350</t>
  </si>
  <si>
    <t>13497</t>
  </si>
  <si>
    <t>7cf86aed83</t>
  </si>
  <si>
    <t>ebd381823b</t>
  </si>
  <si>
    <t>601c8f221a</t>
  </si>
  <si>
    <t>16634</t>
  </si>
  <si>
    <t>8676b9161e</t>
  </si>
  <si>
    <t>1f87c677a4</t>
  </si>
  <si>
    <t>49194ce64b</t>
  </si>
  <si>
    <t>18432</t>
  </si>
  <si>
    <t>88363437c8</t>
  </si>
  <si>
    <t>af1d0b51ea</t>
  </si>
  <si>
    <t>a153665c9d</t>
  </si>
  <si>
    <t>2023-03-06</t>
  </si>
  <si>
    <t>32492</t>
  </si>
  <si>
    <t>8851404109</t>
  </si>
  <si>
    <t>c538c3b336</t>
  </si>
  <si>
    <t>b6de082a85</t>
  </si>
  <si>
    <t>28391</t>
  </si>
  <si>
    <t>8afdb80dd9</t>
  </si>
  <si>
    <t>97858ac806</t>
  </si>
  <si>
    <t>fb05822ab0</t>
  </si>
  <si>
    <t>12122</t>
  </si>
  <si>
    <t>8f143d78ca</t>
  </si>
  <si>
    <t>a8bb0514da</t>
  </si>
  <si>
    <t>5e0230c7b0</t>
  </si>
  <si>
    <t>5830</t>
  </si>
  <si>
    <t>928eea2848</t>
  </si>
  <si>
    <t>881b2c6a91</t>
  </si>
  <si>
    <t>88efbd4eb6</t>
  </si>
  <si>
    <t>1988-10-03</t>
  </si>
  <si>
    <t>29762</t>
  </si>
  <si>
    <t>94ea887917</t>
  </si>
  <si>
    <t>0f68e7e022</t>
  </si>
  <si>
    <t>36d6dee020</t>
  </si>
  <si>
    <t>24553</t>
  </si>
  <si>
    <t>958691d2dc</t>
  </si>
  <si>
    <t>6fd70b0f9d</t>
  </si>
  <si>
    <t>2f9e86b1e0</t>
  </si>
  <si>
    <t>31044</t>
  </si>
  <si>
    <t>979ac9c6fb</t>
  </si>
  <si>
    <t>bcc9fa4d01</t>
  </si>
  <si>
    <t>09b851db41</t>
  </si>
  <si>
    <t>2024-03-01</t>
  </si>
  <si>
    <t>24172</t>
  </si>
  <si>
    <t>97d4392eaf</t>
  </si>
  <si>
    <t>ae71f27da7</t>
  </si>
  <si>
    <t>fcab73ca8d</t>
  </si>
  <si>
    <t>34569</t>
  </si>
  <si>
    <t>9eaf5faa12</t>
  </si>
  <si>
    <t>e28cbd7704</t>
  </si>
  <si>
    <t>a45b7a55d4</t>
  </si>
  <si>
    <t>2025-10-31</t>
  </si>
  <si>
    <t>39408</t>
  </si>
  <si>
    <t>a06889f3e3</t>
  </si>
  <si>
    <t>b699720b42</t>
  </si>
  <si>
    <t>a57c4f60a2</t>
  </si>
  <si>
    <t>B PLACÉ</t>
  </si>
  <si>
    <t>2023-12-04</t>
  </si>
  <si>
    <t>2025-03-02</t>
  </si>
  <si>
    <t>28474</t>
  </si>
  <si>
    <t>a1c38dcb47</t>
  </si>
  <si>
    <t>d06bfbc5db</t>
  </si>
  <si>
    <t>580f859fac</t>
  </si>
  <si>
    <t>CT</t>
  </si>
  <si>
    <t>2017-11-01</t>
  </si>
  <si>
    <t>19823</t>
  </si>
  <si>
    <t>a33e62699c</t>
  </si>
  <si>
    <t>1c815c5d29</t>
  </si>
  <si>
    <t>4e0f969c44</t>
  </si>
  <si>
    <t>2021-06-20</t>
  </si>
  <si>
    <t>10460</t>
  </si>
  <si>
    <t>a34a30a4f7</t>
  </si>
  <si>
    <t>7bcede00a5</t>
  </si>
  <si>
    <t>9a8725bfe1</t>
  </si>
  <si>
    <t>2022-01-01</t>
  </si>
  <si>
    <t>34859</t>
  </si>
  <si>
    <t>a356a90611</t>
  </si>
  <si>
    <t>e01e6bc718</t>
  </si>
  <si>
    <t>f5702df111</t>
  </si>
  <si>
    <t>2024-06-12</t>
  </si>
  <si>
    <t>14344</t>
  </si>
  <si>
    <t>a5c6e4b415</t>
  </si>
  <si>
    <t>941fae7dbc</t>
  </si>
  <si>
    <t>72548ea0bb</t>
  </si>
  <si>
    <t>2022-04-01</t>
  </si>
  <si>
    <t>20307</t>
  </si>
  <si>
    <t>a6e1d46369</t>
  </si>
  <si>
    <t>dad2e6d655</t>
  </si>
  <si>
    <t>ad38368495</t>
  </si>
  <si>
    <t>26962</t>
  </si>
  <si>
    <t>a8979fafe1</t>
  </si>
  <si>
    <t>575d68fe07</t>
  </si>
  <si>
    <t>264920fe14</t>
  </si>
  <si>
    <t>3333</t>
  </si>
  <si>
    <t>aa03ffdb1b</t>
  </si>
  <si>
    <t>1d09767268</t>
  </si>
  <si>
    <t>6a4e4b3e0d</t>
  </si>
  <si>
    <t>2016-10-17</t>
  </si>
  <si>
    <t>37764</t>
  </si>
  <si>
    <t>b0d271b26b</t>
  </si>
  <si>
    <t>e30f0d7ada</t>
  </si>
  <si>
    <t>d71a54bd7b</t>
  </si>
  <si>
    <t>2023-11-01</t>
  </si>
  <si>
    <t>7048</t>
  </si>
  <si>
    <t>b22eda50e8</t>
  </si>
  <si>
    <t>245e8bf352</t>
  </si>
  <si>
    <t>915621665d</t>
  </si>
  <si>
    <t>2000-04-12</t>
  </si>
  <si>
    <t>7094</t>
  </si>
  <si>
    <t>c18e91cfa3</t>
  </si>
  <si>
    <t>4c34a56545</t>
  </si>
  <si>
    <t>eeca1ad058</t>
  </si>
  <si>
    <t>2004-07-07</t>
  </si>
  <si>
    <t>8422</t>
  </si>
  <si>
    <t>c4d61af364</t>
  </si>
  <si>
    <t>beaa2d5d2c</t>
  </si>
  <si>
    <t>4ad6c8b94a</t>
  </si>
  <si>
    <t>2018-09-01</t>
  </si>
  <si>
    <t>12930</t>
  </si>
  <si>
    <t>c63d485234</t>
  </si>
  <si>
    <t>d7e6af35cf</t>
  </si>
  <si>
    <t>1731b9d3b3</t>
  </si>
  <si>
    <t>2021-11-29</t>
  </si>
  <si>
    <t>9433</t>
  </si>
  <si>
    <t>c6efdbc3cd</t>
  </si>
  <si>
    <t>f162bd8b4c</t>
  </si>
  <si>
    <t>9ab0546c8f</t>
  </si>
  <si>
    <t>37860</t>
  </si>
  <si>
    <t>c8c62dca66</t>
  </si>
  <si>
    <t>2bd2f42b7c</t>
  </si>
  <si>
    <t>17440</t>
  </si>
  <si>
    <t>c9fe7eb36d</t>
  </si>
  <si>
    <t>a885fedf2a</t>
  </si>
  <si>
    <t>c3057c63e6</t>
  </si>
  <si>
    <t>41153</t>
  </si>
  <si>
    <t>d1fdd7ed63</t>
  </si>
  <si>
    <t>c3a317bd4d</t>
  </si>
  <si>
    <t>2024-01-04</t>
  </si>
  <si>
    <t>16159</t>
  </si>
  <si>
    <t>d2c18bcafe</t>
  </si>
  <si>
    <t>d1bd88d337</t>
  </si>
  <si>
    <t>f1e0a55c48</t>
  </si>
  <si>
    <t>2020-03-01</t>
  </si>
  <si>
    <t>37435</t>
  </si>
  <si>
    <t>d2da3ffbe2</t>
  </si>
  <si>
    <t>ffc0913895</t>
  </si>
  <si>
    <t>82eb127263</t>
  </si>
  <si>
    <t>2025-03-01</t>
  </si>
  <si>
    <t>10320</t>
  </si>
  <si>
    <t>d4927ea9ed</t>
  </si>
  <si>
    <t>eea85c9110</t>
  </si>
  <si>
    <t>2d21110f51</t>
  </si>
  <si>
    <t>9416</t>
  </si>
  <si>
    <t>d58ee8228e</t>
  </si>
  <si>
    <t>ac3a42b66c</t>
  </si>
  <si>
    <t>d30fd77e5a</t>
  </si>
  <si>
    <t>22298</t>
  </si>
  <si>
    <t>d5fb583998</t>
  </si>
  <si>
    <t>28eb63f220</t>
  </si>
  <si>
    <t>79b434438d</t>
  </si>
  <si>
    <t>28383</t>
  </si>
  <si>
    <t>d7cb04bb1d</t>
  </si>
  <si>
    <t>33145c40bd</t>
  </si>
  <si>
    <t>6f228ba9df</t>
  </si>
  <si>
    <t>1988-09-01</t>
  </si>
  <si>
    <t>13697</t>
  </si>
  <si>
    <t>dd48e39df3</t>
  </si>
  <si>
    <t>d258129f5e</t>
  </si>
  <si>
    <t>900e158ae3</t>
  </si>
  <si>
    <t>2019-06-11</t>
  </si>
  <si>
    <t>8436</t>
  </si>
  <si>
    <t>decad86d30</t>
  </si>
  <si>
    <t>1d7e5f8fbf</t>
  </si>
  <si>
    <t>3e4fbbb140</t>
  </si>
  <si>
    <t>2017-03-01</t>
  </si>
  <si>
    <t>20277</t>
  </si>
  <si>
    <t>e1ade5ae4a</t>
  </si>
  <si>
    <t>ffaf13d573</t>
  </si>
  <si>
    <t>61836da9f1</t>
  </si>
  <si>
    <t>2021-12-01</t>
  </si>
  <si>
    <t>18473</t>
  </si>
  <si>
    <t>e2689b7e9c</t>
  </si>
  <si>
    <t>e84afba3ff</t>
  </si>
  <si>
    <t>ff37cf61e8</t>
  </si>
  <si>
    <t>10477</t>
  </si>
  <si>
    <t>e6ebbef997</t>
  </si>
  <si>
    <t>543e30a273</t>
  </si>
  <si>
    <t>5f77a3cd45</t>
  </si>
  <si>
    <t>41344</t>
  </si>
  <si>
    <t>e82441ec42</t>
  </si>
  <si>
    <t>50fdd9a982</t>
  </si>
  <si>
    <t>50000d4da7</t>
  </si>
  <si>
    <t>1993-04-08</t>
  </si>
  <si>
    <t>3682</t>
  </si>
  <si>
    <t>e874318cf8</t>
  </si>
  <si>
    <t>7c50bf294a</t>
  </si>
  <si>
    <t>43f3f28fd5</t>
  </si>
  <si>
    <t>2013-03-01</t>
  </si>
  <si>
    <t>40322</t>
  </si>
  <si>
    <t>e9db58aec6</t>
  </si>
  <si>
    <t>80354c18bd</t>
  </si>
  <si>
    <t>912dcdc5eb</t>
  </si>
  <si>
    <t>42836</t>
  </si>
  <si>
    <t>ea0f49b601</t>
  </si>
  <si>
    <t>961aa4e0d6</t>
  </si>
  <si>
    <t>1cdea531f4</t>
  </si>
  <si>
    <t>36992</t>
  </si>
  <si>
    <t>ee6ed95a94</t>
  </si>
  <si>
    <t>898fae23cd</t>
  </si>
  <si>
    <t>5fa2b9f6aa</t>
  </si>
  <si>
    <t>2025-04-01</t>
  </si>
  <si>
    <t>2025-08-31</t>
  </si>
  <si>
    <t>8152</t>
  </si>
  <si>
    <t>f029ff6d26</t>
  </si>
  <si>
    <t>18433172e5</t>
  </si>
  <si>
    <t>30ac15c78b</t>
  </si>
  <si>
    <t>18199</t>
  </si>
  <si>
    <t>f21e140dff</t>
  </si>
  <si>
    <t>bbbec5a560</t>
  </si>
  <si>
    <t>2cd21154c0</t>
  </si>
  <si>
    <t>7931</t>
  </si>
  <si>
    <t>f2ddf48aae</t>
  </si>
  <si>
    <t>3055f67dce</t>
  </si>
  <si>
    <t>4aa065bbbb</t>
  </si>
  <si>
    <t>9874</t>
  </si>
  <si>
    <t>f42d5be397</t>
  </si>
  <si>
    <t>328a5e18e5</t>
  </si>
  <si>
    <t>72c4c5c7d8</t>
  </si>
  <si>
    <t>13503</t>
  </si>
  <si>
    <t>f6ca758a74</t>
  </si>
  <si>
    <t>196249336e</t>
  </si>
  <si>
    <t>a1421aa004</t>
  </si>
  <si>
    <t>3302</t>
  </si>
  <si>
    <t>f9873e3f5d</t>
  </si>
  <si>
    <t>c8224cbcd8</t>
  </si>
  <si>
    <t>52251ef6fe</t>
  </si>
  <si>
    <t>2003-06-01</t>
  </si>
  <si>
    <t>42829</t>
  </si>
  <si>
    <t>00daac63f0</t>
  </si>
  <si>
    <t>a7438c8f1d</t>
  </si>
  <si>
    <t>e6e2cc1399</t>
  </si>
  <si>
    <t>Autour du magistrat</t>
  </si>
  <si>
    <t>Att. J</t>
  </si>
  <si>
    <t>2025-06-02</t>
  </si>
  <si>
    <t>6961</t>
  </si>
  <si>
    <t>066d8771ab</t>
  </si>
  <si>
    <t>4f5d87f348</t>
  </si>
  <si>
    <t>aecc2fdce3</t>
  </si>
  <si>
    <t>22985</t>
  </si>
  <si>
    <t>09b9393747</t>
  </si>
  <si>
    <t>522700809b</t>
  </si>
  <si>
    <t>9b3aee73a4</t>
  </si>
  <si>
    <t>2023-06-01</t>
  </si>
  <si>
    <t>31381</t>
  </si>
  <si>
    <t>175758ca67</t>
  </si>
  <si>
    <t>af5fed5314</t>
  </si>
  <si>
    <t>ADJ</t>
  </si>
  <si>
    <t>42830</t>
  </si>
  <si>
    <t>19e92c19d5</t>
  </si>
  <si>
    <t>cd0106ad19</t>
  </si>
  <si>
    <t>271af868cc</t>
  </si>
  <si>
    <t>2025-04-18</t>
  </si>
  <si>
    <t>2025-11-26</t>
  </si>
  <si>
    <t>30564</t>
  </si>
  <si>
    <t>2825eda8b9</t>
  </si>
  <si>
    <t>6165192168</t>
  </si>
  <si>
    <t>7555df177e</t>
  </si>
  <si>
    <t>27096</t>
  </si>
  <si>
    <t>347d0ea765</t>
  </si>
  <si>
    <t>082c9a8948</t>
  </si>
  <si>
    <t>b83584c54c</t>
  </si>
  <si>
    <t>JA</t>
  </si>
  <si>
    <t>22864</t>
  </si>
  <si>
    <t>3d87654ada</t>
  </si>
  <si>
    <t>20ac575b67</t>
  </si>
  <si>
    <t>b020eea843</t>
  </si>
  <si>
    <t>35457</t>
  </si>
  <si>
    <t>433a149303</t>
  </si>
  <si>
    <t>952f54820e</t>
  </si>
  <si>
    <t>f30a5b03cc</t>
  </si>
  <si>
    <t>25627</t>
  </si>
  <si>
    <t>4968474212</t>
  </si>
  <si>
    <t>9263c8494a</t>
  </si>
  <si>
    <t>db2b7b57ad</t>
  </si>
  <si>
    <t>28084</t>
  </si>
  <si>
    <t>4b940568f2</t>
  </si>
  <si>
    <t>5283ea1bb3</t>
  </si>
  <si>
    <t>b11264ac48</t>
  </si>
  <si>
    <t>30185</t>
  </si>
  <si>
    <t>5cabef0f02</t>
  </si>
  <si>
    <t>ce2e306d60</t>
  </si>
  <si>
    <t>1306941e1b</t>
  </si>
  <si>
    <t>2022-12-05</t>
  </si>
  <si>
    <t>7953</t>
  </si>
  <si>
    <t>611d51ba9a</t>
  </si>
  <si>
    <t>77f881a2be</t>
  </si>
  <si>
    <t>2025-02-05</t>
  </si>
  <si>
    <t>28372</t>
  </si>
  <si>
    <t>6578010806</t>
  </si>
  <si>
    <t>f70c1eba91</t>
  </si>
  <si>
    <t>f4da5663e0</t>
  </si>
  <si>
    <t>2023-12-15</t>
  </si>
  <si>
    <t>30687</t>
  </si>
  <si>
    <t>6d56d6b070</t>
  </si>
  <si>
    <t>d450019766</t>
  </si>
  <si>
    <t>b83f7ad2c6</t>
  </si>
  <si>
    <t>2024-01-01</t>
  </si>
  <si>
    <t>37712</t>
  </si>
  <si>
    <t>70ad5afdf7</t>
  </si>
  <si>
    <t>9e2b1a5281</t>
  </si>
  <si>
    <t>140134ac3c</t>
  </si>
  <si>
    <t>2025-06-01</t>
  </si>
  <si>
    <t>41668</t>
  </si>
  <si>
    <t>70eff9b148</t>
  </si>
  <si>
    <t>982aadbb99</t>
  </si>
  <si>
    <t>2025-01-01</t>
  </si>
  <si>
    <t>11137</t>
  </si>
  <si>
    <t>7612a91e59</t>
  </si>
  <si>
    <t>69989219b3</t>
  </si>
  <si>
    <t>17fc259026</t>
  </si>
  <si>
    <t>2020-06-01</t>
  </si>
  <si>
    <t>35161</t>
  </si>
  <si>
    <t>87f10fd2f8</t>
  </si>
  <si>
    <t>98f896f3d0</t>
  </si>
  <si>
    <t>2025-03-31</t>
  </si>
  <si>
    <t>15461</t>
  </si>
  <si>
    <t>9682ac9359</t>
  </si>
  <si>
    <t>886c5d8a79</t>
  </si>
  <si>
    <t>ca8364e591</t>
  </si>
  <si>
    <t>2022-10-01</t>
  </si>
  <si>
    <t>30963</t>
  </si>
  <si>
    <t>9b7ece024a</t>
  </si>
  <si>
    <t>3ab77940cf</t>
  </si>
  <si>
    <t>f9c55dbd58</t>
  </si>
  <si>
    <t>CONT C JP</t>
  </si>
  <si>
    <t>2023-01-01</t>
  </si>
  <si>
    <t>39168</t>
  </si>
  <si>
    <t>c6b38c701e</t>
  </si>
  <si>
    <t>ce87fca89c</t>
  </si>
  <si>
    <t>b6548a3c9a</t>
  </si>
  <si>
    <t>31524</t>
  </si>
  <si>
    <t>d28287a386</t>
  </si>
  <si>
    <t>cf53e05d37</t>
  </si>
  <si>
    <t>7c9119c825</t>
  </si>
  <si>
    <t>2024-11-04</t>
  </si>
  <si>
    <t>42108</t>
  </si>
  <si>
    <t>f72da8476e</t>
  </si>
  <si>
    <t>bd6732f805</t>
  </si>
  <si>
    <t>2025-12-01</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</si>
  <si>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</si>
  <si>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</si>
  <si>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</si>
  <si>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</si>
  <si>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</si>
  <si>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</si>
  <si>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</si>
  <si>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</si>
  <si>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</si>
  <si>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</si>
  <si>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</si>
  <si>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ASA + Autre absentéisme + CET &lt; 30 jours)</t>
  </si>
  <si>
    <t/>
  </si>
  <si>
    <t>ETPT global sur la période (incluant absentéisme et action 99)</t>
  </si>
  <si>
    <t>6332351916</t>
  </si>
  <si>
    <t>1EBCB7AF77</t>
  </si>
  <si>
    <t>M-TIT</t>
  </si>
  <si>
    <t>93911267A8</t>
  </si>
  <si>
    <t>J. PLACÉ ADDITIONNEL</t>
  </si>
  <si>
    <t>M-PLAC-ADD</t>
  </si>
  <si>
    <t>4F98D0F339</t>
  </si>
  <si>
    <t>E65BC139B2</t>
  </si>
  <si>
    <t>F8833B1832</t>
  </si>
  <si>
    <t>D1DFDB64D4</t>
  </si>
  <si>
    <t>C1DA1211F4</t>
  </si>
  <si>
    <t>869FD3B877</t>
  </si>
  <si>
    <t>C5ED098570</t>
  </si>
  <si>
    <t>29F4C48404</t>
  </si>
  <si>
    <t>F37DCE3C06</t>
  </si>
  <si>
    <t>4D20E09C0B</t>
  </si>
  <si>
    <t>EEA7BFC84E</t>
  </si>
  <si>
    <t>CEA54F2EDB</t>
  </si>
  <si>
    <t>1A294129FE</t>
  </si>
  <si>
    <t>106475E6A4</t>
  </si>
  <si>
    <t>2149141B0C</t>
  </si>
  <si>
    <t>A5D2BFA458</t>
  </si>
  <si>
    <t>48ADE5BA0F</t>
  </si>
  <si>
    <t>990EF38826</t>
  </si>
  <si>
    <t>095AC8AAB7</t>
  </si>
  <si>
    <t>36A2E53825</t>
  </si>
  <si>
    <t>C2D7004F1C</t>
  </si>
  <si>
    <t>5D6BA9FF19</t>
  </si>
  <si>
    <t>C24B42E7DF</t>
  </si>
  <si>
    <t>680A2DAED4</t>
  </si>
  <si>
    <t>DC2ED0C55C</t>
  </si>
  <si>
    <t>0955EE7893</t>
  </si>
  <si>
    <t>B4BA2ABECB</t>
  </si>
  <si>
    <t>VP PLACÉ ADDITIONNEL</t>
  </si>
  <si>
    <t>01107796A4</t>
  </si>
  <si>
    <t>5D26228CB3</t>
  </si>
  <si>
    <t>DEF68BCC16</t>
  </si>
  <si>
    <t>9E1C5F51C4</t>
  </si>
  <si>
    <t>264D0E10E6</t>
  </si>
  <si>
    <t>42DED0C2B9</t>
  </si>
  <si>
    <t>F7F4E3BF57</t>
  </si>
  <si>
    <t>5399CE9AC7</t>
  </si>
  <si>
    <t>F87A9A3A13</t>
  </si>
  <si>
    <t>043FEE5D4A</t>
  </si>
  <si>
    <t>17D823EFC4</t>
  </si>
  <si>
    <t>188512DDDF</t>
  </si>
  <si>
    <t>F-TIT</t>
  </si>
  <si>
    <t>A00CD6D4D5</t>
  </si>
  <si>
    <t>00A49DBCA1</t>
  </si>
  <si>
    <t>CONT A JP Siège</t>
  </si>
  <si>
    <t>C</t>
  </si>
  <si>
    <t>9023458A7F</t>
  </si>
  <si>
    <t>AF90040097</t>
  </si>
  <si>
    <t>336A883398</t>
  </si>
  <si>
    <t>35D99AE1E6</t>
  </si>
  <si>
    <t>2096A706A7</t>
  </si>
  <si>
    <t>08C5691969</t>
  </si>
  <si>
    <t>1A9F4D5B4B</t>
  </si>
  <si>
    <t>15A7948935</t>
  </si>
  <si>
    <t>CA293E6F26</t>
  </si>
  <si>
    <t>15FE93E7D7</t>
  </si>
  <si>
    <t>369ED4025B</t>
  </si>
  <si>
    <t>B755A7AB68</t>
  </si>
  <si>
    <t>7A41E35B02</t>
  </si>
  <si>
    <t>4A062CD364</t>
  </si>
  <si>
    <t>2151F378DD</t>
  </si>
  <si>
    <t>18C5BD1459</t>
  </si>
  <si>
    <t>E762FB758C</t>
  </si>
  <si>
    <t>3AB4DDB16D</t>
  </si>
  <si>
    <t>F3B1CFC360</t>
  </si>
  <si>
    <t>01C037C7A4</t>
  </si>
  <si>
    <t>72B9DC23BC</t>
  </si>
  <si>
    <t>0E124971DA</t>
  </si>
  <si>
    <t>B284A43C30</t>
  </si>
  <si>
    <t>2650500C59</t>
  </si>
  <si>
    <t>18E3A2DE56</t>
  </si>
  <si>
    <t>7019F84C94</t>
  </si>
  <si>
    <t>4A42A132F8</t>
  </si>
  <si>
    <t>7EDAED3B75</t>
  </si>
  <si>
    <t>109E64A53A</t>
  </si>
  <si>
    <t>6768E038CC</t>
  </si>
  <si>
    <t>8FE7CEE533</t>
  </si>
  <si>
    <t>A48CD97A18</t>
  </si>
  <si>
    <t>B73BA4750E</t>
  </si>
  <si>
    <t>D5C1A82B2B</t>
  </si>
  <si>
    <t>D9AD23C83A</t>
  </si>
  <si>
    <t>8B0AFC1E0F</t>
  </si>
  <si>
    <t>F17CD8AED2</t>
  </si>
  <si>
    <t>327492953F</t>
  </si>
  <si>
    <t>01F94AED90</t>
  </si>
  <si>
    <t>3B665660B4</t>
  </si>
  <si>
    <t>AF9F758B44</t>
  </si>
  <si>
    <t>5F8A014757</t>
  </si>
  <si>
    <t>D93736C902</t>
  </si>
  <si>
    <t>2F41E6FB97</t>
  </si>
  <si>
    <t>562DE831A2</t>
  </si>
  <si>
    <t>A PLACÉ ADDITIONNEL</t>
  </si>
  <si>
    <t>F-PLAC-ADD</t>
  </si>
  <si>
    <t>836F78F9E3</t>
  </si>
  <si>
    <t>F16C2B4CE0</t>
  </si>
  <si>
    <t>5E3203B5DB</t>
  </si>
  <si>
    <t>AB19CAA8A6</t>
  </si>
  <si>
    <t>60AF250E7D</t>
  </si>
  <si>
    <t>BA023FAD03</t>
  </si>
  <si>
    <t>C971A0BAD5</t>
  </si>
  <si>
    <t>2FEFB9E464</t>
  </si>
  <si>
    <t>57B623EA85</t>
  </si>
  <si>
    <t>86CF3EB362</t>
  </si>
  <si>
    <t>49893A3D6D</t>
  </si>
  <si>
    <t>01BA956670</t>
  </si>
  <si>
    <t>8786D0FC21</t>
  </si>
  <si>
    <t>7BB0B98C4E</t>
  </si>
  <si>
    <t>20B941A4B0</t>
  </si>
  <si>
    <t>3871F3CA99</t>
  </si>
  <si>
    <t>DACDC8B442</t>
  </si>
  <si>
    <t>308B3DA28D</t>
  </si>
  <si>
    <t>79662D8F3D</t>
  </si>
  <si>
    <t>A4179B8363</t>
  </si>
  <si>
    <t>0056BE1F5B</t>
  </si>
  <si>
    <t>F5607056C4</t>
  </si>
  <si>
    <t>B9300EC7E9</t>
  </si>
  <si>
    <t>52858CCB81</t>
  </si>
  <si>
    <t>F0217C627A</t>
  </si>
  <si>
    <t>85AAE55351</t>
  </si>
  <si>
    <t>B0F8DCD60B</t>
  </si>
  <si>
    <t>91B76E2034</t>
  </si>
  <si>
    <t>0191D57450</t>
  </si>
  <si>
    <t>C1D0D8AAF6</t>
  </si>
  <si>
    <t>183962245E</t>
  </si>
  <si>
    <t>B PLACÉ ADDITIONNEL</t>
  </si>
  <si>
    <t>7F4243FFCA</t>
  </si>
  <si>
    <t>A5657F44F3</t>
  </si>
  <si>
    <t>6503BE19B8</t>
  </si>
  <si>
    <t>5157048566</t>
  </si>
  <si>
    <t>743B14DCC8</t>
  </si>
  <si>
    <t>21C1A8F919</t>
  </si>
  <si>
    <t>48FDDD424A</t>
  </si>
  <si>
    <t>F083C31B38</t>
  </si>
  <si>
    <t>D37AF99792</t>
  </si>
  <si>
    <t>0156063B9D</t>
  </si>
  <si>
    <t>E6804520E9</t>
  </si>
  <si>
    <t>B295DDCE7F</t>
  </si>
  <si>
    <t>EF17B0365F</t>
  </si>
  <si>
    <t>5FE87A76D1</t>
  </si>
  <si>
    <t>66E40F3522</t>
  </si>
  <si>
    <t>6D059F0CD7</t>
  </si>
  <si>
    <t>FD2AE6352D</t>
  </si>
  <si>
    <t>BF9A07A7A1</t>
  </si>
  <si>
    <t>F65F153F6E</t>
  </si>
  <si>
    <t>2138EAC627</t>
  </si>
  <si>
    <t>70735972C9</t>
  </si>
  <si>
    <t>E49A3274C6</t>
  </si>
  <si>
    <t>6A6DBC053A</t>
  </si>
  <si>
    <t>6AB07A101A</t>
  </si>
  <si>
    <t>0E56DA7998</t>
  </si>
  <si>
    <t>3EED925B36</t>
  </si>
  <si>
    <t>214F0F0577</t>
  </si>
  <si>
    <t>7B37856592</t>
  </si>
  <si>
    <t>BB94B8671E</t>
  </si>
  <si>
    <t>546136178F</t>
  </si>
  <si>
    <t>75DEE533CB</t>
  </si>
  <si>
    <t>48FE57E876</t>
  </si>
  <si>
    <t>0D3EFB9EAB</t>
  </si>
  <si>
    <t>BB63DB9B72</t>
  </si>
  <si>
    <t>Att. J Siège autres</t>
  </si>
  <si>
    <t>05520D1E4F</t>
  </si>
  <si>
    <t>53DE25CD1B</t>
  </si>
  <si>
    <t>224890FB43</t>
  </si>
  <si>
    <t>4BA5FE370A</t>
  </si>
  <si>
    <t>7F349FC532</t>
  </si>
  <si>
    <t>JA Siège autres</t>
  </si>
  <si>
    <t>0B938C0F3E</t>
  </si>
  <si>
    <t>088BFE452C</t>
  </si>
  <si>
    <t>75A732CE20</t>
  </si>
  <si>
    <t>10FB969AC0</t>
  </si>
  <si>
    <t>3C4F696BB5</t>
  </si>
  <si>
    <t>AF28CCCF7C</t>
  </si>
  <si>
    <t>95F7E20B2E</t>
  </si>
  <si>
    <t>8F48480E4E</t>
  </si>
  <si>
    <t>0283FCEF5E</t>
  </si>
  <si>
    <t>5496659677</t>
  </si>
  <si>
    <t>E031035892</t>
  </si>
  <si>
    <t>7445828A11</t>
  </si>
  <si>
    <t>24E781650A</t>
  </si>
  <si>
    <t xml:space="preserve">                     Synthèse ETPT</t>
  </si>
  <si>
    <t>Agrégats DDG</t>
  </si>
  <si>
    <t>Selectionner une juridiction</t>
  </si>
  <si>
    <t>Code</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</si>
  <si>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</si>
  <si>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</si>
  <si>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</si>
  <si>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</si>
  <si>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</si>
  <si>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</si>
  <si>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</si>
  <si>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</si>
  <si>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</si>
  <si>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</si>
  <si>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</si>
  <si>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</si>
  <si>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</si>
  <si>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</si>
  <si>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</si>
  <si>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</si>
  <si>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</si>
  <si>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</si>
  <si>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</si>
  <si>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</si>
  <si>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</si>
  <si>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</si>
  <si>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</si>
  <si>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P</t>
  </si>
  <si>
    <t>Magistrat SIEGE NS</t>
  </si>
  <si>
    <t>Magistrat1VP</t>
  </si>
  <si>
    <t>PREMIER VICE-PRÉSIDENT</t>
  </si>
  <si>
    <t>Magistrat1VPA</t>
  </si>
  <si>
    <t>PREMIER VICE-PRÉSIDENT ADJOINT</t>
  </si>
  <si>
    <t>Magistrat1VPCP</t>
  </si>
  <si>
    <t>PREMIER VICE-PRÉSIDENT CHARGÉ DES FONCTIONS DE JUGE DES CONTENTIEUX DE LA PROTECTION</t>
  </si>
  <si>
    <t>1VPCP</t>
  </si>
  <si>
    <t>Magistrat SIEGE S</t>
  </si>
  <si>
    <t>Magistrat1VPE</t>
  </si>
  <si>
    <t>PREMIER VICE-PRÉSIDENT CHARGÉ DES FONCTIONS DE JUGE DES ENFANTS</t>
  </si>
  <si>
    <t>1VPE</t>
  </si>
  <si>
    <t>Magistrat1VPI</t>
  </si>
  <si>
    <t>PREMIER VICE-PRÉSIDENT CHARGÉ DES FONCTIONS DE JUGE D'INSTRUCTION</t>
  </si>
  <si>
    <t>1VPI</t>
  </si>
  <si>
    <t>MagistratVPSG</t>
  </si>
  <si>
    <t>VICE-PRÉSIDENT CHARGÉ D'UN SECRÉTARIAT GÉNÉRAL</t>
  </si>
  <si>
    <t>VPSG</t>
  </si>
  <si>
    <t>Magistrat1VPAP</t>
  </si>
  <si>
    <t>PREMIER VICE-PRÉSIDENT CHARGÉ DES FONCTIONS DE JUGE DE L'APPLICATION DES PEINES</t>
  </si>
  <si>
    <t>1VPAP</t>
  </si>
  <si>
    <t>Magistrat1VPLD</t>
  </si>
  <si>
    <t>PREMIER VICE-PRÉSIDENT CHARGÉ DES FONCTIONS DE JUGE DES LIBERTÉS ET DE LA DÉTENTION</t>
  </si>
  <si>
    <t>1VPLD</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</si>
  <si>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</si>
  <si>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</si>
  <si>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</si>
  <si>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</si>
  <si>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</si>
  <si>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</si>
  <si>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</si>
  <si>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</si>
  <si>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</si>
  <si>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</si>
  <si>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</si>
  <si>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</si>
  <si>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</si>
  <si>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</si>
  <si>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</si>
  <si>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</si>
  <si>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</si>
  <si>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</si>
  <si>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</si>
  <si>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</si>
  <si>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</si>
  <si>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</si>
  <si>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</si>
  <si>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</si>
  <si>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</si>
  <si>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</si>
  <si>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</si>
  <si>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</si>
  <si>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</si>
  <si>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</si>
  <si>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</si>
  <si>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</si>
  <si>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</si>
  <si>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</si>
  <si>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</si>
  <si>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</si>
  <si>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</si>
  <si>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</si>
  <si>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</si>
  <si>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</si>
  <si>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</si>
  <si>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</si>
  <si>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</si>
  <si>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MHFJ</t>
  </si>
  <si>
    <t>M-CONT</t>
  </si>
  <si>
    <t>MagistratMHFNJ</t>
  </si>
  <si>
    <t>MAGISTRAT HONORAIRE NON JURIDICTIONNEL</t>
  </si>
  <si>
    <t>MHFNJ</t>
  </si>
  <si>
    <t>MagistratMTT</t>
  </si>
  <si>
    <t>MAGISTRAT A TITRE TEMPORAIRE</t>
  </si>
  <si>
    <t>MTT</t>
  </si>
  <si>
    <t>MagistratMRES</t>
  </si>
  <si>
    <t>MAGISTRAT RESERVISTE</t>
  </si>
  <si>
    <t>MRES</t>
  </si>
  <si>
    <t>GreffeDG</t>
  </si>
  <si>
    <t>DG</t>
  </si>
  <si>
    <t>Fonctionnaire A-B-CBUR</t>
  </si>
  <si>
    <t>GreffeDSGJ</t>
  </si>
  <si>
    <t>DSGJ</t>
  </si>
  <si>
    <t>GreffeCHCAB</t>
  </si>
  <si>
    <t>CHEF DE CABINET</t>
  </si>
  <si>
    <t>CHCAB</t>
  </si>
  <si>
    <t>GreffeA</t>
  </si>
  <si>
    <t>GreffeA GREFFIER</t>
  </si>
  <si>
    <t>GreffeB</t>
  </si>
  <si>
    <t>B GREFFIER</t>
  </si>
  <si>
    <t>GreffeA PLACÉ ADDITIONNEL</t>
  </si>
  <si>
    <t>Fonctionnaire A-B-CBUR placé ADD</t>
  </si>
  <si>
    <t>GreffeA PLACÉ SUBSTITUTION</t>
  </si>
  <si>
    <t>A PLACÉ SUBSTITUTION</t>
  </si>
  <si>
    <t>Fonctionnaire A-B-CBUR placé SUB</t>
  </si>
  <si>
    <t>F-PLAC-SUB</t>
  </si>
  <si>
    <t>GreffeSA</t>
  </si>
  <si>
    <t>GreffeB GREF  PLACÉ ADDITIONNEL</t>
  </si>
  <si>
    <t>B GREFFIER PLACÉ ADDITIONNEL</t>
  </si>
  <si>
    <t>B GREF  PLACÉ ADDITIONNEL</t>
  </si>
  <si>
    <t>GreffeB GREF  PLACÉ SUBSTITUTION</t>
  </si>
  <si>
    <t>B GREFFIER PLACÉ SUBSTITUTION</t>
  </si>
  <si>
    <t>B GREF  PLACÉ SUBSTITUTION</t>
  </si>
  <si>
    <t>GreffeCB</t>
  </si>
  <si>
    <t>GreffeB PLACÉ ADDITIONNEL</t>
  </si>
  <si>
    <t>GreffeB PLACÉ SUBSTITUTION</t>
  </si>
  <si>
    <t>B PLACÉ SUBSTITUTION</t>
  </si>
  <si>
    <t>GreffeCT</t>
  </si>
  <si>
    <t>Fonctionnaire CTECH</t>
  </si>
  <si>
    <t>GreffeCB PLACÉ ADDITIONNEL</t>
  </si>
  <si>
    <t>CB PLACÉ ADDITIONNEL</t>
  </si>
  <si>
    <t>GreffeCB PLACÉ SUBSTITUTION</t>
  </si>
  <si>
    <t>CB PLACÉ SUBSTITUTION</t>
  </si>
  <si>
    <t>GreffeDSGJ PLACÉ</t>
  </si>
  <si>
    <t>DSGJ PLACÉ</t>
  </si>
  <si>
    <t>GreffeDSGJ PLACÉ ADDITIONNEL</t>
  </si>
  <si>
    <t>DSGJ PLACÉ ADDITIONNEL</t>
  </si>
  <si>
    <t>GreffeDSGJ PLACÉ SUBSTITUTION</t>
  </si>
  <si>
    <t>DSGJ PLACÉ SUBSTITUTION</t>
  </si>
  <si>
    <t>GreffeA PLACÉ</t>
  </si>
  <si>
    <t>GreffeCT PLACÉ ADDITIONNEL</t>
  </si>
  <si>
    <t>CT PLACÉ ADDITIONNEL</t>
  </si>
  <si>
    <t>Fonctionnaire CTECH placé ADD</t>
  </si>
  <si>
    <t>GreffeCT PLACÉ SUBSTITUTION</t>
  </si>
  <si>
    <t>CT PLACÉ SUBSTITUTION</t>
  </si>
  <si>
    <t>Fonctionnaire CTECH placé SUB</t>
  </si>
  <si>
    <t>GreffeB GREF  PLACÉ</t>
  </si>
  <si>
    <t>B GREFFIER PLACÉ</t>
  </si>
  <si>
    <t>B GREF  PLACÉ</t>
  </si>
  <si>
    <t>GreffeB PLACÉ</t>
  </si>
  <si>
    <t>GreffeCONT A Autres</t>
  </si>
  <si>
    <t>CONTRACTUEL A</t>
  </si>
  <si>
    <t>CONT A Autres</t>
  </si>
  <si>
    <t>GreffeCONT A VIF Parquet</t>
  </si>
  <si>
    <t>CONT A VIF Parquet</t>
  </si>
  <si>
    <t>GreffeCONT A VIF Siège</t>
  </si>
  <si>
    <t>CONT A VIF Siège</t>
  </si>
  <si>
    <t>GreffeCB PLACÉ</t>
  </si>
  <si>
    <t>CB PLACÉ</t>
  </si>
  <si>
    <t>GreffeCT PLACÉ</t>
  </si>
  <si>
    <t>CT PLACÉ</t>
  </si>
  <si>
    <t>GreffeGRES</t>
  </si>
  <si>
    <t>GREFFIER RESERVISTE</t>
  </si>
  <si>
    <t>GRES</t>
  </si>
  <si>
    <t>GreffeCONT A</t>
  </si>
  <si>
    <t>CONT A</t>
  </si>
  <si>
    <t>GreffeCONT B</t>
  </si>
  <si>
    <t>CONTRACTUEL B</t>
  </si>
  <si>
    <t>CONT B</t>
  </si>
  <si>
    <t>GreffeCONT A JP Parquet</t>
  </si>
  <si>
    <t>CONTRACTUEL A JUSTICE DE PROXIMITE</t>
  </si>
  <si>
    <t>CONT A JP Parquet</t>
  </si>
  <si>
    <t>GreffeCONT A JP Siège</t>
  </si>
  <si>
    <t>GreffeCONT C</t>
  </si>
  <si>
    <t>CONTRACTUEL C</t>
  </si>
  <si>
    <t>CONT C</t>
  </si>
  <si>
    <t>GreffeCONT CB</t>
  </si>
  <si>
    <t>CONTRACTUEL CB</t>
  </si>
  <si>
    <t>GreffeCONT CT</t>
  </si>
  <si>
    <t>CONTRACTUEL CT</t>
  </si>
  <si>
    <t>CONT CT</t>
  </si>
  <si>
    <t>GreffeVAC</t>
  </si>
  <si>
    <t>VACATAIRE</t>
  </si>
  <si>
    <t>GreffeCONT A JP</t>
  </si>
  <si>
    <t>GreffeCONT B JP</t>
  </si>
  <si>
    <t>CONTRACTUEL B JUSTICE DE PROXIMITE</t>
  </si>
  <si>
    <t>GreffeCONT C JP</t>
  </si>
  <si>
    <t>CONTRACTUEL C JUSTICE DE PROXIMITE</t>
  </si>
  <si>
    <t>Autour du magistratCHCAB</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</si>
  <si>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</si>
  <si>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</si>
  <si>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</si>
  <si>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</si>
  <si>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</si>
  <si>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</si>
  <si>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</si>
  <si>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</si>
  <si>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</si>
  <si>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</si>
  <si>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</si>
  <si>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</si>
  <si>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 PÉNAL</t>
  </si>
  <si>
    <t>ATTACHÉ DE JUSTICE JLD PÉNAL</t>
  </si>
  <si>
    <t>Att. J JLD PÉNAL</t>
  </si>
  <si>
    <t>JA/AttJ JLD PÉNAL</t>
  </si>
  <si>
    <t>Autour du magistratAtt. J Parquet</t>
  </si>
  <si>
    <t>ATTACHÉ DE JUSTICE Parquet</t>
  </si>
  <si>
    <t>Att. J Parquet</t>
  </si>
  <si>
    <t>JA/AttJ Parquet</t>
  </si>
  <si>
    <t>Autour du magistratAtt. J Siege Assises</t>
  </si>
  <si>
    <t>ATTACHÉ DE JUSTICE SIEGE ASSISES</t>
  </si>
  <si>
    <t>Att. J Siege Assises</t>
  </si>
  <si>
    <t>JA/AttJ Siege Assises</t>
  </si>
  <si>
    <t>Autour du magistratAtt. J Siege CCD</t>
  </si>
  <si>
    <t>ATTACHÉ DE JUSTICE SIEGE CCD</t>
  </si>
  <si>
    <t>Att. J Siege CCD</t>
  </si>
  <si>
    <t>JA/AttJ Siege CCD</t>
  </si>
  <si>
    <t>Autour du magistratAtt. J Siège autres</t>
  </si>
  <si>
    <t>ATTACHÉ DE JUSTICE JA Siège autres</t>
  </si>
  <si>
    <t>JA/AttJ Siège autres</t>
  </si>
  <si>
    <t>Autour du magistratAtt. J Social</t>
  </si>
  <si>
    <t>ATTACHÉ DE JUSTICE pôle Social</t>
  </si>
  <si>
    <t>Att. J Social</t>
  </si>
  <si>
    <t>JA/AttJ Social</t>
  </si>
  <si>
    <t>Autour du magistratCMISSION</t>
  </si>
  <si>
    <t>CHARGE DE MISSION</t>
  </si>
  <si>
    <t>CMISSION</t>
  </si>
  <si>
    <t>Autour du magistratAS</t>
  </si>
  <si>
    <t>ASSISTANT SPECIALISE</t>
  </si>
  <si>
    <t>AS</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</si>
  <si>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</si>
  <si>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</si>
  <si>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</si>
  <si>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</si>
  <si>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</si>
  <si>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</si>
  <si>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</si>
  <si>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</si>
  <si>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</si>
  <si>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</si>
  <si>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</si>
  <si>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</si>
  <si>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JA/AttJ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</si>
  <si>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</si>
  <si>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</si>
  <si>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</si>
  <si>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</si>
  <si>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</si>
  <si>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</si>
  <si>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</si>
  <si>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</si>
  <si>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magistratAtt. J</t>
  </si>
  <si>
    <t>ATTACHÉ DE JUSTICE</t>
  </si>
  <si>
    <t>Autour du magistratCONT A JP Parquet</t>
  </si>
  <si>
    <t>Autour du magistratCONT A JP Siège</t>
  </si>
  <si>
    <t>Autour du magistratJA</t>
  </si>
  <si>
    <t>JURISTE ASSISTANT</t>
  </si>
  <si>
    <t>Autour du magistratADJ</t>
  </si>
  <si>
    <t>ASSISTANT DE JUSTICE</t>
  </si>
  <si>
    <t>Autour du magistratCONT A JP</t>
  </si>
  <si>
    <t>Autour du magistratCONT B JP</t>
  </si>
  <si>
    <t>Autour du magistratCONT C JP</t>
  </si>
  <si>
    <t>Autour du magistratPPI</t>
  </si>
  <si>
    <t>ELEVE AVOCAT</t>
  </si>
  <si>
    <t>PPI</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</si>
  <si>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</si>
  <si>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</si>
  <si>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</si>
  <si>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</si>
  <si>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</si>
  <si>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</si>
  <si>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</si>
  <si>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</si>
  <si>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</si>
  <si>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</si>
  <si>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</si>
  <si>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</si>
  <si>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</si>
  <si>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</si>
  <si>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</si>
  <si>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</si>
  <si>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dbfb696e12 7c7a55aec2 fc77664c4a</t>
  </si>
  <si>
    <t>6. TOTAL JUGES DES ENFANTS =&gt; 0.91 · 7. TOTAL SIÈGE PÉNAL =&gt; 0.02 · 11. TOTAL AUTRES ACTIVITÉS =&gt; 0.07</t>
  </si>
  <si>
    <t>4ab0803d13 d75a73cc85 ff63c87f0e</t>
  </si>
  <si>
    <t>4. TOTAL CIVIL NON SPÉCIALISÉ =&gt; 0.8 · 11. TOTAL AUTRES ACTIVITÉS =&gt; 0.2</t>
  </si>
  <si>
    <t>952cd11ac8 923005a618 0af1996bc9</t>
  </si>
  <si>
    <t>4. TOTAL CIVIL NON SPÉCIALISÉ =&gt; 0.835 · 7. TOTAL SIÈGE PÉNAL =&gt; 0.03 · 10. TOTAL JLD PÉNAL =&gt; 0.05 · 11. TOTAL AUTRES ACTIVITÉS =&gt; 0.085</t>
  </si>
  <si>
    <t>4. TOTAL CIVIL NON SPÉCIALISÉ =&gt; 0.835 · 10. TOTAL JLD PÉNAL =&gt; 0.05 · 7. TOTAL SIÈGE PÉNAL =&gt; 0.03 · 11. TOTAL AUTRES ACTIVITÉS =&gt; 0.085</t>
  </si>
  <si>
    <t>cacb09b360 d430e6ab82 106475e6a4</t>
  </si>
  <si>
    <t>7. TOTAL SIÈGE PÉNAL =&gt; 0.025 · 8. TOTAL JUGES D'INSTRUCTION =&gt; 0.93 · 11. TOTAL AUTRES ACTIVITÉS =&gt; 0.045</t>
  </si>
  <si>
    <t>8. TOTAL JUGES D'INSTRUCTION =&gt; 0.93 · 7. TOTAL SIÈGE PÉNAL =&gt; 0.025 · 11. TOTAL AUTRES ACTIVITÉS =&gt; 0.045</t>
  </si>
  <si>
    <t>c51311297e b91278f925 91bf04212f</t>
  </si>
  <si>
    <t>7. TOTAL SIÈGE PÉNAL =&gt; 0 · 11. TOTAL AUTRES ACTIVITÉS =&gt; 0</t>
  </si>
  <si>
    <t>c8224cbcd8 f9873e3f5d 52251ef6fe</t>
  </si>
  <si>
    <t>1d09767268 aa03ffdb1b 6a4e4b3e0d</t>
  </si>
  <si>
    <t>7c50bf294a e874318cf8 43f3f28fd5</t>
  </si>
  <si>
    <t>1. TOTAL CONTENTIEUX SOCIAL =&gt; 0.478 · 1.1. DÉPARTAGE PRUD'HOMAL =&gt; 0.4 · 1.4. AUTRES CONTENTIEUX SOCIAUX =&gt; 0.078 · 11. TOTAL AUTRES ACTIVITÉS =&gt; 0.322 · 11.1. SOUTIEN (HORS FORMATIONS SUIVIES) =&gt; 0.08 · 11.51. ACCUEIL DU JUSTICIABLE (DONT SAUJ) =&gt; 0.242</t>
  </si>
  <si>
    <t>1. TOTAL CONTENTIEUX SOCIAL =&gt; 0.302 · 1.1. DÉPARTAGE PRUD'HOMAL =&gt; 0.302 · 11. TOTAL AUTRES ACTIVITÉS =&gt; 0.302 · 11.1. SOUTIEN (HORS FORMATIONS SUIVIES) =&gt; 0.06 · 11.51. ACCUEIL DU JUSTICIABLE (DONT SAUJ) =&gt; 0.242</t>
  </si>
  <si>
    <t>1. TOTAL CONTENTIEUX SOCIAL =&gt; 0.177 · 1.1. DÉPARTAGE PRUD'HOMAL =&gt; 0.098 · 1.4. AUTRES CONTENTIEUX SOCIAUX =&gt; 0.078 · 11. TOTAL AUTRES ACTIVITÉS =&gt; 0.02 · 11.1. SOUTIEN (HORS FORMATIONS SUIVIES) =&gt; 0.02</t>
  </si>
  <si>
    <t>3e7b1adbd8 04f1e2f7d2 f25265de10</t>
  </si>
  <si>
    <t>7. TOTAL SIÈGE PÉNAL =&gt; 1 · 7.52. COUR CRIMINELLE =&gt; 1</t>
  </si>
  <si>
    <t>db2055c2ad 41fa4aa2bd 5e60c3e2d6</t>
  </si>
  <si>
    <t>11. TOTAL AUTRES ACTIVITÉS =&gt; 1 · 11.4. ACCÈS AU DROIT ET À LA JUSTICE =&gt; 1</t>
  </si>
  <si>
    <t>5d0cfe029a 2e7e0d5303 102c646df3</t>
  </si>
  <si>
    <t>11. TOTAL AUTRES ACTIVITÉS =&gt; 1 · 11.1. SOUTIEN (HORS FORMATIONS SUIVIES) =&gt; 0.871 · 11.2. FORMATIONS SUIVIES =&gt; 0.022 · 11.3. FORMATIONS DISPENSÉES =&gt; 0.057 · 11.7. FONCTIONNAIRES AFFECTÉS AU CPH =&gt; 0.05</t>
  </si>
  <si>
    <t>11. TOTAL AUTRES ACTIVITÉS =&gt; 1 · 11.2. FORMATIONS SUIVIES =&gt; 0.022 · 11.3. FORMATIONS DISPENSÉES =&gt; 0.057 · 11.1. SOUTIEN (HORS FORMATIONS SUIVIES) =&gt; 0.871 · 11.7. FONCTIONNAIRES AFFECTÉS AU CPH =&gt; 0.05</t>
  </si>
  <si>
    <t>ad105406a9 46c7606036 9d5c9d4d3d</t>
  </si>
  <si>
    <t>11. TOTAL AUTRES ACTIVITÉS =&gt; 1 · 11.2. FORMATIONS SUIVIES =&gt; 0 · 11.10. AUTRES FONCTIONNAIRES AFFECTÉS AU PARQUET =&gt; 1</t>
  </si>
  <si>
    <t>11.10. AUTRES FONCTIONNAIRES AFFECTÉS AU PARQUET =&gt; 1 · 11. TOTAL AUTRES ACTIVITÉS =&gt; 1 · 11.2. FORMATIONS SUIVIES =&gt; 0</t>
  </si>
  <si>
    <t>881b2c6a91 928eea2848 88efbd4eb6</t>
  </si>
  <si>
    <t>11. TOTAL AUTRES ACTIVITÉS =&gt; 1 · 11.1. SOUTIEN (HORS FORMATIONS SUIVIES) =&gt; 1 · 12.31. CONGÉ MALADIE ORDINAIRE =&gt; 1</t>
  </si>
  <si>
    <t>11. TOTAL AUTRES ACTIVITÉS =&gt; 1 · 11.1. SOUTIEN (HORS FORMATIONS SUIVIES) =&gt; 1 · Congé maladie ordinaire =&gt; 1</t>
  </si>
  <si>
    <t>53982c2eb2 76a45ef753 768cb51a79</t>
  </si>
  <si>
    <t>6. TOTAL JUGES DES ENFANTS =&gt; 1 · 6.2. ACTIVITÉ PÉNALE =&gt; 1</t>
  </si>
  <si>
    <t>66f9839799 6857b4bd95 c062278835</t>
  </si>
  <si>
    <t>026f64aa73 7659b7b58d 02e903b05d</t>
  </si>
  <si>
    <t>283526c3f5 513bf891dd d441ca7414</t>
  </si>
  <si>
    <t>11. TOTAL AUTRES ACTIVITÉS =&gt; 1 · 11.1. SOUTIEN (HORS FORMATIONS SUIVIES) =&gt; 1</t>
  </si>
  <si>
    <t>f4c8d7a570 70ec8299fc 04318d6648</t>
  </si>
  <si>
    <t>4f5d87f348 066d8771ab aecc2fdce3</t>
  </si>
  <si>
    <t>81a6179891 57efc72e52 1762e05ac2</t>
  </si>
  <si>
    <t>245e8bf352 b22eda50e8 915621665d</t>
  </si>
  <si>
    <t>12. TOTAL INDISPONIBILITÉ =&gt; 0.5 · 12.7. AUTRES INDISPONIBILITÉS (ACTION 99) =&gt; 0.5</t>
  </si>
  <si>
    <t>Autres indisponibilités (action 99) =&gt; 0.5 · TOTAL INDISPONIBILITÉS =&gt; 0.5</t>
  </si>
  <si>
    <t>4c34a56545 c18e91cfa3 eeca1ad058</t>
  </si>
  <si>
    <t>11. TOTAL AUTRES ACTIVITÉS =&gt; 1 · 11.51. ACCUEIL DU JUSTICIABLE (DONT SAUJ) =&gt; 1</t>
  </si>
  <si>
    <t>0333e72a57 751da56022 7471199ee9</t>
  </si>
  <si>
    <t>4. TOTAL CIVIL NON SPÉCIALISÉ =&gt; 1</t>
  </si>
  <si>
    <t>3055f67dce f2ddf48aae 4aa065bbbb</t>
  </si>
  <si>
    <t>6. TOTAL JUGES DES ENFANTS =&gt; 1 · 6.1. ACTIVITÉ CIVILE =&gt; 1 · 12.8. AUTRE ABSENTÉISME =&gt; 0.088</t>
  </si>
  <si>
    <t>6. TOTAL JUGES DES ENFANTS =&gt; 0.088 · 6.1. ACTIVITÉ CIVILE =&gt; 0.088 · Autre absentéisme =&gt; 0.088</t>
  </si>
  <si>
    <t>2025-11-30</t>
  </si>
  <si>
    <t>6. TOTAL JUGES DES ENFANTS =&gt; 0.912 · 6.1. ACTIVITÉ CIVILE =&gt; 0.912</t>
  </si>
  <si>
    <t>77f881a2be 611d51ba9a 8f4c1d7f22</t>
  </si>
  <si>
    <t>4. TOTAL CIVIL NON SPÉCIALISÉ =&gt; 0.1</t>
  </si>
  <si>
    <t>18433172e5 f029ff6d26 30ac15c78b</t>
  </si>
  <si>
    <t>7. TOTAL SIÈGE PÉNAL =&gt; 0.3 · 7.4. COMPOSITIONS PÉNALES =&gt; 0.3 · 11. TOTAL AUTRES ACTIVITÉS =&gt; 0.7 · 11.10. AUTRES FONCTIONNAIRES AFFECTÉS AU PARQUET =&gt; 0.7</t>
  </si>
  <si>
    <t>7. TOTAL SIÈGE PÉNAL =&gt; 0.026 · 7.4. COMPOSITIONS PÉNALES =&gt; 0.026 · 11. TOTAL AUTRES ACTIVITÉS =&gt; 0.062 · 11.10. AUTRES FONCTIONNAIRES AFFECTÉS AU PARQUET =&gt; 0.062</t>
  </si>
  <si>
    <t>11.10. AUTRES FONCTIONNAIRES AFFECTÉS AU PARQUET =&gt; 0.638 · 7. TOTAL SIÈGE PÉNAL =&gt; 0.274 · 7.4. COMPOSITIONS PÉNALES =&gt; 0.274 · 11. TOTAL AUTRES ACTIVITÉS =&gt; 0.638</t>
  </si>
  <si>
    <t>e353e10428 085e1e9d3d ce56caf5c1</t>
  </si>
  <si>
    <t>7. TOTAL SIÈGE PÉNAL =&gt; 0.14 · 7.1. COLLÉGIALES HORS JIRS =&gt; 0.1 · 7.14. CI =&gt; 0.03 · 7.5. COUR D'ASSISES HORS JIRS =&gt; 0.01 · 9. TOTAL JAP =&gt; 0.77 · 11. TOTAL AUTRES ACTIVITÉS =&gt; 0.09 · 11.1. SOUTIEN (HORS FORMATIONS SUIVIES) =&gt; 0.066 · 11.2. FORMATIONS SUIVIES =&gt; 0.024</t>
  </si>
  <si>
    <t>9. TOTAL JAP =&gt; 0.77 · 7. TOTAL SIÈGE PÉNAL =&gt; 0.14 · 7.1. COLLÉGIALES HORS JIRS =&gt; 0.1 · 7.14. CI =&gt; 0.03 · 7.5. COUR D'ASSISES HORS JIRS =&gt; 0.01 · 11. TOTAL AUTRES ACTIVITÉS =&gt; 0.09 · 11.1. SOUTIEN (HORS FORMATIONS SUIVIES) =&gt; 0.066 · 11.2. FORMATIONS SUIVIES =&gt; 0.024</t>
  </si>
  <si>
    <t>beaa2d5d2c c4d61af364 4ad6c8b94a</t>
  </si>
  <si>
    <t>11. TOTAL AUTRES ACTIVITÉS =&gt; 1 · 11.10. AUTRES FONCTIONNAIRES AFFECTÉS AU PARQUET =&gt; 1</t>
  </si>
  <si>
    <t>1d7e5f8fbf decad86d30 3e4fbbb140</t>
  </si>
  <si>
    <t>11. TOTAL AUTRES ACTIVITÉS =&gt; 1 · 11.1. SOUTIEN (HORS FORMATIONS SUIVIES) =&gt; 0.1 · 11.7. FONCTIONNAIRES AFFECTÉS AU CPH =&gt; 0.9</t>
  </si>
  <si>
    <t>11.1. SOUTIEN (HORS FORMATIONS SUIVIES) =&gt; 0.1 · 11. TOTAL AUTRES ACTIVITÉS =&gt; 1 · 11.7. FONCTIONNAIRES AFFECTÉS AU CPH =&gt; 0.9</t>
  </si>
  <si>
    <t>a5b1a8ddf1 6a2514f91c 5f855efb1d</t>
  </si>
  <si>
    <t>4. TOTAL CIVIL NON SPÉCIALISÉ =&gt; 0.92 · 4.3. CONTRATS =&gt; 0.25 · 4.4. RESPONSABILITÉ ET QUASI-CONTRATS =&gt; 0.465 · 4.14. JURIDICTION DU PRÉSIDENT =&gt; 0.005 · 4.15. CIVI =&gt; 0.2 · 7. TOTAL SIÈGE PÉNAL =&gt; 0.05 · 7.1. COLLÉGIALES HORS JIRS =&gt; 0.03 · 7.5. COUR D'ASSISES HORS JIRS =&gt; 0.02 · 11. TOTAL AUTRES ACTIVITÉS =&gt; 0.03 · 11.1. SOUTIEN (HORS FORMATIONS SUIVIES) =&gt; 0.01 · 11.2. FORMATIONS SUIVIES =&gt; 0.02 · 12.32. CONGÉ MATERNITÉ/PATERNITÉ/ADOPTION =&gt; 0.207</t>
  </si>
  <si>
    <t>2025-03-18</t>
  </si>
  <si>
    <t>4. TOTAL CIVIL NON SPÉCIALISÉ =&gt; 0.73 · 4.3. CONTRATS =&gt; 0.198 · 4.4. RESPONSABILITÉ ET QUASI-CONTRATS =&gt; 0.369 · 4.14. JURIDICTION DU PRÉSIDENT =&gt; 0.004 · 4.15. CIVI =&gt; 0.159 · 7. TOTAL SIÈGE PÉNAL =&gt; 0.04 · 7.1. COLLÉGIALES HORS JIRS =&gt; 0.024 · 7.5. COUR D'ASSISES HORS JIRS =&gt; 0.016 · 11. TOTAL AUTRES ACTIVITÉS =&gt; 0.024 · 11.1. SOUTIEN (HORS FORMATIONS SUIVIES) =&gt; 0.008 · 11.2. FORMATIONS SUIVIES =&gt; 0.016</t>
  </si>
  <si>
    <t>2025-03-17</t>
  </si>
  <si>
    <t>4. TOTAL CIVIL NON SPÉCIALISÉ =&gt; 0.19 · 4.3. CONTRATS =&gt; 0.052 · 4.4. RESPONSABILITÉ ET QUASI-CONTRATS =&gt; 0.096 · 4.14. JURIDICTION DU PRÉSIDENT =&gt; 0.001 · 4.15. CIVI =&gt; 0.041 · 7. TOTAL SIÈGE PÉNAL =&gt; 0.01 · 7.1. COLLÉGIALES HORS JIRS =&gt; 0.006 · 7.5. COUR D'ASSISES HORS JIRS =&gt; 0.004 · 11. TOTAL AUTRES ACTIVITÉS =&gt; 0.006 · 11.1. SOUTIEN (HORS FORMATIONS SUIVIES) =&gt; 0.002 · 11.2. FORMATIONS SUIVIES =&gt; 0.004 · Congé maternité/paternité/adoption =&gt; 0.207</t>
  </si>
  <si>
    <t>cb27109769 449b64beab 9045a880f1</t>
  </si>
  <si>
    <t>3c2f30263c 29be315d34 25458c5add</t>
  </si>
  <si>
    <t>ac3a42b66c d58ee8228e d30fd77e5a</t>
  </si>
  <si>
    <t>f162bd8b4c c6efdbc3cd 9ab0546c8f</t>
  </si>
  <si>
    <t>404c88bcbc 20073b41ab 866772cd69</t>
  </si>
  <si>
    <t>328a5e18e5 f42d5be397 72c4c5c7d8</t>
  </si>
  <si>
    <t>eea85c9110 d4927ea9ed 2d21110f51</t>
  </si>
  <si>
    <t>7bcede00a5 a34a30a4f7 9a8725bfe1</t>
  </si>
  <si>
    <t>543e30a273 e6ebbef997 5f77a3cd45</t>
  </si>
  <si>
    <t>69989219b3 7612a91e59 17fc259026</t>
  </si>
  <si>
    <t>4. TOTAL CIVIL NON SPÉCIALISÉ =&gt; 0.99 · 4.11. PROPRIÉTÉ LITTÉRAIRE ET ARTISTIQUE =&gt; 0.99 · 11. TOTAL AUTRES ACTIVITÉS =&gt; 0.01 · 11.1. SOUTIEN (HORS FORMATIONS SUIVIES) =&gt; 0.01</t>
  </si>
  <si>
    <t>5058dde9e3 b289dd44bb 7f088acaf9</t>
  </si>
  <si>
    <t>6aab0238c8 4e839b841a 3cbbd427f7</t>
  </si>
  <si>
    <t>fbf07499c3 303bb1bbf5 98c70bcb61</t>
  </si>
  <si>
    <t>3. TOTAL CONTENTIEUX DE LA PROTECTION =&gt; 0.485 · 3.43. INJONCTIONS DE PAYER =&gt; 0.485</t>
  </si>
  <si>
    <t>2025-01-11</t>
  </si>
  <si>
    <t>2025-01-10</t>
  </si>
  <si>
    <t>d1914eb043 2d598b0c0c 05202ea470</t>
  </si>
  <si>
    <t>7. TOTAL SIÈGE PÉNAL =&gt; 0.065 · 7.1. COLLÉGIALES HORS JIRS =&gt; 0.006 · 7.14. CI =&gt; 0.03 · 7.5. COUR D'ASSISES HORS JIRS =&gt; 0.01 · 7.52. COUR CRIMINELLE =&gt; 0.019 · 9. TOTAL JAP =&gt; 0.887 · 11. TOTAL AUTRES ACTIVITÉS =&gt; 0.048 · 11.2. FORMATIONS SUIVIES =&gt; 0.024 · 11.6. AUTRES ACTIVITÉS NON JURIDICTIONNELLES =&gt; 0.024</t>
  </si>
  <si>
    <t>7.1. COLLÉGIALES HORS JIRS =&gt; 0.006 · 7.14. CI =&gt; 0.03 · 7.5. COUR D'ASSISES HORS JIRS =&gt; 0.01 · 11.2. FORMATIONS SUIVIES =&gt; 0.024 · 11. TOTAL AUTRES ACTIVITÉS =&gt; 0.048 · 7. TOTAL SIÈGE PÉNAL =&gt; 0.065 · 7.52. COUR CRIMINELLE =&gt; 0.019 · 9. TOTAL JAP =&gt; 0.887 · 11.6. AUTRES ACTIVITÉS NON JURIDICTIONNELLES =&gt; 0.024</t>
  </si>
  <si>
    <t>a0021c41a5 6e654ef66e c0ce3c10cf</t>
  </si>
  <si>
    <t>11. TOTAL AUTRES ACTIVITÉS =&gt; 1 · 11.7. FONCTIONNAIRES AFFECTÉS AU CPH =&gt; 1</t>
  </si>
  <si>
    <t>58b38cdb51 ba93aa4947 292d4d6a0a</t>
  </si>
  <si>
    <t>7. TOTAL SIÈGE PÉNAL =&gt; 0.05 · 9. TOTAL JAP =&gt; 0.8 · 11. TOTAL AUTRES ACTIVITÉS =&gt; 0.15 · 11.1. SOUTIEN (HORS FORMATIONS SUIVIES) =&gt; 0.125 · 11.2. FORMATIONS SUIVIES =&gt; 0.025</t>
  </si>
  <si>
    <t>11.2. FORMATIONS SUIVIES =&gt; 0.025 · 11. TOTAL AUTRES ACTIVITÉS =&gt; 0.15 · 11.1. SOUTIEN (HORS FORMATIONS SUIVIES) =&gt; 0.125 · 7. TOTAL SIÈGE PÉNAL =&gt; 0.05 · 9. TOTAL JAP =&gt; 0.8</t>
  </si>
  <si>
    <t>ac93fbbafe 60d0f509c6 2bb7e4e6e4</t>
  </si>
  <si>
    <t>a8bb0514da 8f143d78ca 5e0230c7b0</t>
  </si>
  <si>
    <t>7. TOTAL SIÈGE PÉNAL =&gt; 0.8</t>
  </si>
  <si>
    <t>c668d0f1a8 13413720b9 85337b4182</t>
  </si>
  <si>
    <t>5e597e659c 240d09387a 53f54df230</t>
  </si>
  <si>
    <t>11. TOTAL AUTRES ACTIVITÉS =&gt; 0.989 · 11.4. ACCÈS AU DROIT ET À LA JUSTICE =&gt; 0.989 · 12. TOTAL INDISPONIBILITÉ =&gt; 0.011 · 12.6. AUTORISATION SPÉCIALE D'ABSENCE =&gt; 0.05 · 12.8. AUTRE ABSENTÉISME =&gt; 0.008 · 12.7. AUTRES INDISPONIBILITÉS (ACTION 99) =&gt; 0.011</t>
  </si>
  <si>
    <t>2025-09-06</t>
  </si>
  <si>
    <t>11. TOTAL AUTRES ACTIVITÉS =&gt; 0.318 · 11.4. ACCÈS AU DROIT ET À LA JUSTICE =&gt; 0.318</t>
  </si>
  <si>
    <t>2025-09-05</t>
  </si>
  <si>
    <t>11. TOTAL AUTRES ACTIVITÉS =&gt; 0.004 · 11.4. ACCÈS AU DROIT ET À LA JUSTICE =&gt; 0.004 · Autorisation spéciale d'absence =&gt; 0.004</t>
  </si>
  <si>
    <t>11. TOTAL AUTRES ACTIVITÉS =&gt; 0.433 · 11.4. ACCÈS AU DROIT ET À LA JUSTICE =&gt; 0.433</t>
  </si>
  <si>
    <t>11. TOTAL AUTRES ACTIVITÉS =&gt; 0.004 · 11.4. ACCÈS AU DROIT ET À LA JUSTICE =&gt; 0.004 · Autre absentéisme =&gt; 0.004</t>
  </si>
  <si>
    <t>2025-03-08</t>
  </si>
  <si>
    <t>2025-03-30</t>
  </si>
  <si>
    <t>11. TOTAL AUTRES ACTIVITÉS =&gt; 0.057 · 11.4. ACCÈS AU DROIT ET À LA JUSTICE =&gt; 0.057</t>
  </si>
  <si>
    <t>2025-03-07</t>
  </si>
  <si>
    <t>11. TOTAL AUTRES ACTIVITÉS =&gt; 0 · 11.4. ACCÈS AU DROIT ET À LA JUSTICE =&gt; 0 · Autres indisponibilités (action 99) =&gt; 0.004 · TOTAL INDISPONIBILITÉS =&gt; 0.004</t>
  </si>
  <si>
    <t>2025-03-04</t>
  </si>
  <si>
    <t>2025-03-06</t>
  </si>
  <si>
    <t>11. TOTAL AUTRES ACTIVITÉS =&gt; 0.011 · 11.4. ACCÈS AU DROIT ET À LA JUSTICE =&gt; 0.011</t>
  </si>
  <si>
    <t>2025-03-03</t>
  </si>
  <si>
    <t>2025-01-29</t>
  </si>
  <si>
    <t>11. TOTAL AUTRES ACTIVITÉS =&gt; 0.088 · 11.4. ACCÈS AU DROIT ET À LA JUSTICE =&gt; 0.088</t>
  </si>
  <si>
    <t>2025-01-28</t>
  </si>
  <si>
    <t>2025-01-21</t>
  </si>
  <si>
    <t>2025-01-27</t>
  </si>
  <si>
    <t>11. TOTAL AUTRES ACTIVITÉS =&gt; 0.019 · 11.4. ACCÈS AU DROIT ET À LA JUSTICE =&gt; 0.019</t>
  </si>
  <si>
    <t>2025-01-20</t>
  </si>
  <si>
    <t>2025-01-13</t>
  </si>
  <si>
    <t>11. TOTAL AUTRES ACTIVITÉS =&gt; 0.019 · 11.4. ACCÈS AU DROIT ET À LA JUSTICE =&gt; 0.019 · Autorisation spéciale d'absence =&gt; 0.019</t>
  </si>
  <si>
    <t>2025-01-06</t>
  </si>
  <si>
    <t>2025-01-02</t>
  </si>
  <si>
    <t>2025-01-03</t>
  </si>
  <si>
    <t>11. TOTAL AUTRES ACTIVITÉS =&gt; 0.008 · 11.4. ACCÈS AU DROIT ET À LA JUSTICE =&gt; 0.008 · Autorisation spéciale d'absence =&gt; 0.008</t>
  </si>
  <si>
    <t>11. TOTAL AUTRES ACTIVITÉS =&gt; 0.004 · 11.4. ACCÈS AU DROIT ET À LA JUSTICE =&gt; 0.004</t>
  </si>
  <si>
    <t>d7e6af35cf c63d485234 1731b9d3b3</t>
  </si>
  <si>
    <t>d69898ab28 62aec91c9b ee77afd79e</t>
  </si>
  <si>
    <t>3. TOTAL CONTENTIEUX DE LA PROTECTION =&gt; 0.331 · 3.44. SAISIE DES RÉMUNÉRATIONS =&gt; 0.331 · 4. TOTAL CIVIL NON SPÉCIALISÉ =&gt; 0.331 · 11. TOTAL AUTRES ACTIVITÉS =&gt; 0.337 · 11.10. AUTRES FONCTIONNAIRES AFFECTÉS AU PARQUET =&gt; 0.337 · 12.31. CONGÉ MALADIE ORDINAIRE =&gt; 0.023</t>
  </si>
  <si>
    <t>11. TOTAL AUTRES ACTIVITÉS =&gt; 0.337 · 11.10. AUTRES FONCTIONNAIRES AFFECTÉS AU PARQUET =&gt; 0.337</t>
  </si>
  <si>
    <t>2025-04-04</t>
  </si>
  <si>
    <t>3. TOTAL CONTENTIEUX DE LA PROTECTION =&gt; 0.203 · 3.44. SAISIE DES RÉMUNÉRATIONS =&gt; 0.203 · 4. TOTAL CIVIL NON SPÉCIALISÉ =&gt; 0.203</t>
  </si>
  <si>
    <t>2025-03-27</t>
  </si>
  <si>
    <t>2025-04-03</t>
  </si>
  <si>
    <t>3. TOTAL CONTENTIEUX DE LA PROTECTION =&gt; 0.011 · 3.44. SAISIE DES RÉMUNÉRATIONS =&gt; 0.011 · 4. TOTAL CIVIL NON SPÉCIALISÉ =&gt; 0.011 · Congé maladie ordinaire =&gt; 0.023</t>
  </si>
  <si>
    <t>2025-03-26</t>
  </si>
  <si>
    <t>3. TOTAL CONTENTIEUX DE LA PROTECTION =&gt; 0.117 · 3.44. SAISIE DES RÉMUNÉRATIONS =&gt; 0.117 · 4. TOTAL CIVIL NON SPÉCIALISÉ =&gt; 0.117</t>
  </si>
  <si>
    <t>ebd381823b 7cf86aed83 601c8f221a</t>
  </si>
  <si>
    <t>196249336e f6ca758a74 a1421aa004</t>
  </si>
  <si>
    <t>10e0c28021 58c67a0711 b49181816c</t>
  </si>
  <si>
    <t>d258129f5e dd48e39df3 900e158ae3</t>
  </si>
  <si>
    <t>073a34534e 0c6a7fb8db ffbe85ca96</t>
  </si>
  <si>
    <t>dcbd85e06c cb2c0d2b10 8e672f4368</t>
  </si>
  <si>
    <t>3. TOTAL CONTENTIEUX DE LA PROTECTION =&gt; 0.02 · 3.44. SAISIE DES RÉMUNÉRATIONS =&gt; 0.02 · 4. TOTAL CIVIL NON SPÉCIALISÉ =&gt; 0.62 · 5. TOTAL JLD CIVIL =&gt; 0.02 · 5.3. AUTRES JLD CIVIL =&gt; 0.02 · 7. TOTAL SIÈGE PÉNAL =&gt; 0.09 · 7.14. CI =&gt; 0.07 · 7.5. COUR D'ASSISES HORS JIRS =&gt; 0.02 · 10. TOTAL JLD PÉNAL =&gt; 0.05 · 10.1. HORS JIRS =&gt; 0.05 · 11. TOTAL AUTRES ACTIVITÉS =&gt; 0.2 · 11.1. SOUTIEN (HORS FORMATIONS SUIVIES) =&gt; 0.18 · 11.2. FORMATIONS SUIVIES =&gt; 0.02</t>
  </si>
  <si>
    <t>86a1d43ee5 7774696147 6e8467b6d2</t>
  </si>
  <si>
    <t>941fae7dbc a5c6e4b415 72548ea0bb</t>
  </si>
  <si>
    <t>09534b0a20 97d5a32221 fb9ab1e44f</t>
  </si>
  <si>
    <t>3e03320715 6784fff1a8 01a29557a0</t>
  </si>
  <si>
    <t>5d79590381 1714e1fad1 6ae15df9b4</t>
  </si>
  <si>
    <t>1. TOTAL CONTENTIEUX SOCIAL =&gt; 1 · 1.2. CONTENTIEUX DE LA PROTECTION SOCIALE =&gt; 1</t>
  </si>
  <si>
    <t>5f2f3e27eb 51b8fdd6a8 1f21bfbeb1</t>
  </si>
  <si>
    <t>1ae7d14d24 ed0e7ed80a 752e545015</t>
  </si>
  <si>
    <t>4. TOTAL CIVIL NON SPÉCIALISÉ =&gt; 0.45 · 4.9. PROCÉDURES COLLECTIVES CIVILES =&gt; 0.1 · 4.12. SUIVI DES EXPERTISES =&gt; 0.03 · 4.14. JURIDICTION DU PRÉSIDENT =&gt; 0.05 · 4.16. RÉFÉRÉS CIVILS =&gt; 0.1 · 4.17. AUTRES CIVIL NS =&gt; 0.17 · 7. TOTAL SIÈGE PÉNAL =&gt; 0.03 · 7.1. COLLÉGIALES HORS JIRS =&gt; 0.03 · 10. TOTAL JLD PÉNAL =&gt; 0.02 · 10.1. HORS JIRS =&gt; 0.02 · 11. TOTAL AUTRES ACTIVITÉS =&gt; 0.5 · 11.1. SOUTIEN (HORS FORMATIONS SUIVIES) =&gt; 0.35 · 11.3. FORMATIONS DISPENSÉES =&gt; 0.05 · 11.4. ACCÈS AU DROIT ET À LA JUSTICE =&gt; 0.1</t>
  </si>
  <si>
    <t>11. TOTAL AUTRES ACTIVITÉS =&gt; 0.5 · 11.1. SOUTIEN (HORS FORMATIONS SUIVIES) =&gt; 0.35 · 11.3. FORMATIONS DISPENSÉES =&gt; 0.05 · 11.4. ACCÈS AU DROIT ET À LA JUSTICE =&gt; 0.1 · 7. TOTAL SIÈGE PÉNAL =&gt; 0.03 · 4.9. PROCÉDURES COLLECTIVES CIVILES =&gt; 0.1 · 4.12. SUIVI DES EXPERTISES =&gt; 0.03 · 4.14. JURIDICTION DU PRÉSIDENT =&gt; 0.05 · 4.16. RÉFÉRÉS CIVILS =&gt; 0.1 · 4.17. AUTRES CIVIL NS =&gt; 0.17 · 7.1. COLLÉGIALES HORS JIRS =&gt; 0.03 · 10. TOTAL JLD PÉNAL =&gt; 0.02 · 10.1. HORS JIRS =&gt; 0.02 · 4. TOTAL CIVIL NON SPÉCIALISÉ =&gt; 0.45</t>
  </si>
  <si>
    <t>886c5d8a79 9682ac9359 ca8364e591</t>
  </si>
  <si>
    <t>2. TOTAL CONTENTIEUX JAF =&gt; 0.25 · 2.1. MARIAGES ET RÉGIMES MATRIMONIAUX =&gt; 0.25 · 4. TOTAL CIVIL NON SPÉCIALISÉ =&gt; 0.75 · 4.7. EXÉCUTION =&gt; 0.5 · 4.16. RÉFÉRÉS CIVILS =&gt; 0.25</t>
  </si>
  <si>
    <t>10ddf7e5c8 18702fa8ab db5ecde0fb</t>
  </si>
  <si>
    <t>9. TOTAL JAP =&gt; 1</t>
  </si>
  <si>
    <t>9. TOTAL JAP =&gt; 0.088</t>
  </si>
  <si>
    <t>9. TOTAL JAP =&gt; 0.912</t>
  </si>
  <si>
    <t>0a63d35355 35928846bf ec4c23fa76</t>
  </si>
  <si>
    <t>11. TOTAL AUTRES ACTIVITÉS =&gt; 1 · 11.9. FONCTIONNAIRES AFFECTÉS À L'EXÉCUTION DES PEINES =&gt; 0.1 · 11.10. AUTRES FONCTIONNAIRES AFFECTÉS AU PARQUET =&gt; 0.9 · 12.31. CONGÉ MALADIE ORDINAIRE =&gt; 0.172</t>
  </si>
  <si>
    <t>2025-06-14</t>
  </si>
  <si>
    <t>11. TOTAL AUTRES ACTIVITÉS =&gt; 0.548 · 11.9. FONCTIONNAIRES AFFECTÉS À L'EXÉCUTION DES PEINES =&gt; 0.055 · 11.10. AUTRES FONCTIONNAIRES AFFECTÉS AU PARQUET =&gt; 0.493</t>
  </si>
  <si>
    <t>2025-05-17</t>
  </si>
  <si>
    <t>2025-06-13</t>
  </si>
  <si>
    <t>11. TOTAL AUTRES ACTIVITÉS =&gt; 0.077 · 11.9. FONCTIONNAIRES AFFECTÉS À L'EXÉCUTION DES PEINES =&gt; 0.008 · 11.10. AUTRES FONCTIONNAIRES AFFECTÉS AU PARQUET =&gt; 0.069 · Congé maladie ordinaire =&gt; 0.077</t>
  </si>
  <si>
    <t>2025-05-01</t>
  </si>
  <si>
    <t>2025-05-16</t>
  </si>
  <si>
    <t>11. TOTAL AUTRES ACTIVITÉS =&gt; 0.046 · 11.9. FONCTIONNAIRES AFFECTÉS À L'EXÉCUTION DES PEINES =&gt; 0.005 · 11.10. AUTRES FONCTIONNAIRES AFFECTÉS AU PARQUET =&gt; 0.041 · Congé maladie ordinaire =&gt; 0.046</t>
  </si>
  <si>
    <t>2025-04-17</t>
  </si>
  <si>
    <t>2025-04-30</t>
  </si>
  <si>
    <t>11. TOTAL AUTRES ACTIVITÉS =&gt; 0.038 · 11.9. FONCTIONNAIRES AFFECTÉS À L'EXÉCUTION DES PEINES =&gt; 0.004 · 11.10. AUTRES FONCTIONNAIRES AFFECTÉS AU PARQUET =&gt; 0.034 · Congé maladie ordinaire =&gt; 0.038</t>
  </si>
  <si>
    <t>2025-01-04</t>
  </si>
  <si>
    <t>2025-04-16</t>
  </si>
  <si>
    <t>11. TOTAL AUTRES ACTIVITÉS =&gt; 0.28 · 11.9. FONCTIONNAIRES AFFECTÉS À L'EXÉCUTION DES PEINES =&gt; 0.028 · 11.10. AUTRES FONCTIONNAIRES AFFECTÉS AU PARQUET =&gt; 0.252</t>
  </si>
  <si>
    <t>11. TOTAL AUTRES ACTIVITÉS =&gt; 0.011 · 11.9. FONCTIONNAIRES AFFECTÉS À L'EXÉCUTION DES PEINES =&gt; 0.001 · 11.10. AUTRES FONCTIONNAIRES AFFECTÉS AU PARQUET =&gt; 0.01 · Congé maladie ordinaire =&gt; 0.011</t>
  </si>
  <si>
    <t>d1bd88d337 d2c18bcafe f1e0a55c48</t>
  </si>
  <si>
    <t>11. TOTAL AUTRES ACTIVITÉS =&gt; 0.839 · 11.1. SOUTIEN (HORS FORMATIONS SUIVIES) =&gt; 0.839 · 12. TOTAL INDISPONIBILITÉ =&gt; 0.14 · 12.31. CONGÉ MALADIE ORDINAIRE =&gt; 0.699 · 12.4. TEMPS PARTIEL THÉRAPEUTIQUE =&gt; 0.14</t>
  </si>
  <si>
    <t>2025-09-22</t>
  </si>
  <si>
    <t>11. TOTAL AUTRES ACTIVITÉS =&gt; 0.14 · 11.1. SOUTIEN (HORS FORMATIONS SUIVIES) =&gt; 0.14 · Temps partiel thérapeutique =&gt; 0.14 · TOTAL INDISPONIBILITÉS =&gt; 0.14</t>
  </si>
  <si>
    <t>2025-07-07</t>
  </si>
  <si>
    <t>2025-09-19</t>
  </si>
  <si>
    <t>11. TOTAL AUTRES ACTIVITÉS =&gt; 0.211 · 11.1. SOUTIEN (HORS FORMATIONS SUIVIES) =&gt; 0.211 · Congé maladie ordinaire =&gt; 0.211</t>
  </si>
  <si>
    <t>2025-05-30</t>
  </si>
  <si>
    <t>2025-07-06</t>
  </si>
  <si>
    <t>11. TOTAL AUTRES ACTIVITÉS =&gt; 0.1 · 11.1. SOUTIEN (HORS FORMATIONS SUIVIES) =&gt; 0.1 · Congé maladie ordinaire =&gt; 0.1</t>
  </si>
  <si>
    <t>2025-04-26</t>
  </si>
  <si>
    <t>2025-05-29</t>
  </si>
  <si>
    <t>11. TOTAL AUTRES ACTIVITÉS =&gt; 0.092 · 11.1. SOUTIEN (HORS FORMATIONS SUIVIES) =&gt; 0.092 · Congé maladie ordinaire =&gt; 0.092</t>
  </si>
  <si>
    <t>2025-02-25</t>
  </si>
  <si>
    <t>2025-04-25</t>
  </si>
  <si>
    <t>11. TOTAL AUTRES ACTIVITÉS =&gt; 0.169 · 11.1. SOUTIEN (HORS FORMATIONS SUIVIES) =&gt; 0.169 · Congé maladie ordinaire =&gt; 0.169</t>
  </si>
  <si>
    <t>2025-01-16</t>
  </si>
  <si>
    <t>2025-02-24</t>
  </si>
  <si>
    <t>11. TOTAL AUTRES ACTIVITÉS =&gt; 0.107 · 11.1. SOUTIEN (HORS FORMATIONS SUIVIES) =&gt; 0.107 · Congé maladie ordinaire =&gt; 0.107</t>
  </si>
  <si>
    <t>2025-01-15</t>
  </si>
  <si>
    <t>11. TOTAL AUTRES ACTIVITÉS =&gt; 0.021 · 11.1. SOUTIEN (HORS FORMATIONS SUIVIES) =&gt; 0.021 · Congé maladie ordinaire =&gt; 0.021</t>
  </si>
  <si>
    <t>ebaa1dbc24 04935aad22 2f39dc5ce0</t>
  </si>
  <si>
    <t>4. TOTAL CIVIL NON SPÉCIALISÉ =&gt; 0.53 · 4.14. JURIDICTION DU PRÉSIDENT =&gt; 0.1 · 4.16. RÉFÉRÉS CIVILS =&gt; 0.43 · 5. TOTAL JLD CIVIL =&gt; 0.02 · 5.2. HO - CONTENTION =&gt; 0.02 · 11. TOTAL AUTRES ACTIVITÉS =&gt; 0.45 · 11.1. SOUTIEN (HORS FORMATIONS SUIVIES) =&gt; 0.45</t>
  </si>
  <si>
    <t>4.14. JURIDICTION DU PRÉSIDENT =&gt; 0.1 · 5.2. HO - CONTENTION =&gt; 0.02 · 11. TOTAL AUTRES ACTIVITÉS =&gt; 0.45 · 11.1. SOUTIEN (HORS FORMATIONS SUIVIES) =&gt; 0.45 · 4. TOTAL CIVIL NON SPÉCIALISÉ =&gt; 0.53 · 4.16. RÉFÉRÉS CIVILS =&gt; 0.43 · 5. TOTAL JLD CIVIL =&gt; 0.02</t>
  </si>
  <si>
    <t>1f87c677a4 8676b9161e 49194ce64b</t>
  </si>
  <si>
    <t>937d66bffb 48f2698269 220edba2cf</t>
  </si>
  <si>
    <t>6365e5ba41 6dbe54f808 055e869e7a</t>
  </si>
  <si>
    <t>11. TOTAL AUTRES ACTIVITÉS =&gt; 1 · 11.9. FONCTIONNAIRES AFFECTÉS À L'EXÉCUTION DES PEINES =&gt; 1</t>
  </si>
  <si>
    <t>f17de6b83c 7bd4f78117 a2c1854350</t>
  </si>
  <si>
    <t>7b8be38b5b 2ba5d1a2b3 f6c372fd25</t>
  </si>
  <si>
    <t>03da8317d7 083397a1d8 888cd1e431</t>
  </si>
  <si>
    <t>a885fedf2a c9fe7eb36d c3057c63e6</t>
  </si>
  <si>
    <t>8ca3440ee6 766b33247e 612e6cd48f</t>
  </si>
  <si>
    <t>11. TOTAL AUTRES ACTIVITÉS =&gt; 0.899 · 11.10. AUTRES FONCTIONNAIRES AFFECTÉS AU PARQUET =&gt; 0.899 · 12.32. CONGÉ MATERNITÉ/PATERNITÉ/ADOPTION =&gt; 0.456</t>
  </si>
  <si>
    <t>11. TOTAL AUTRES ACTIVITÉS =&gt; 0.405 · 11.10. AUTRES FONCTIONNAIRES AFFECTÉS AU PARQUET =&gt; 0.405</t>
  </si>
  <si>
    <t>2025-06-17</t>
  </si>
  <si>
    <t>2025-06-30</t>
  </si>
  <si>
    <t>11. TOTAL AUTRES ACTIVITÉS =&gt; 0.038 · 11.10. AUTRES FONCTIONNAIRES AFFECTÉS AU PARQUET =&gt; 0.038</t>
  </si>
  <si>
    <t>2025-06-16</t>
  </si>
  <si>
    <t>11. TOTAL AUTRES ACTIVITÉS =&gt; 0.456 · 11.10. AUTRES FONCTIONNAIRES AFFECTÉS AU PARQUET =&gt; 0.456 · Congé maternité/paternité/adoption =&gt; 0.456</t>
  </si>
  <si>
    <t>f7948f664b 10db76c23f 4239829d00</t>
  </si>
  <si>
    <t>bbbec5a560 f21e140dff 2cd21154c0</t>
  </si>
  <si>
    <t>576fe13168 45bea7eeb5 c6fe1ed8af</t>
  </si>
  <si>
    <t>af1d0b51ea 88363437c8 a153665c9d</t>
  </si>
  <si>
    <t>e84afba3ff e2689b7e9c ff37cf61e8</t>
  </si>
  <si>
    <t>0c545c98ed 78ea042bc6 715415501b</t>
  </si>
  <si>
    <t>c52bb62c2f 2997766593 eb18df937f</t>
  </si>
  <si>
    <t>ee75901cbe 25568b4efe anonyme</t>
  </si>
  <si>
    <t>df6df7d850 37ce92e2e7 6ba324cf2d</t>
  </si>
  <si>
    <t>4. TOTAL CIVIL NON SPÉCIALISÉ =&gt; 0.607 · 7. TOTAL SIÈGE PÉNAL =&gt; 0.047 · 7.5. COUR D'ASSISES HORS JIRS =&gt; 0.013 · 7.8. AUTRES SIÈGE PÉNAL =&gt; 0.033 · 11. TOTAL AUTRES ACTIVITÉS =&gt; 0.013 · 11.2. FORMATIONS SUIVIES =&gt; 0.013</t>
  </si>
  <si>
    <t>5fcad2a502 02c70db6a9 caff50d8a4</t>
  </si>
  <si>
    <t>2. TOTAL CONTENTIEUX JAF =&gt; 0.91 · 7. TOTAL SIÈGE PÉNAL =&gt; 0.07 · 7.5. COUR D'ASSISES HORS JIRS =&gt; 0.02 · 7.8. AUTRES SIÈGE PÉNAL =&gt; 0.05 · 11. TOTAL AUTRES ACTIVITÉS =&gt; 0.02 · 11.2. FORMATIONS SUIVIES =&gt; 0.02</t>
  </si>
  <si>
    <t>1aad6b04ae b1d5c281f1 765516b676</t>
  </si>
  <si>
    <t>7. TOTAL SIÈGE PÉNAL =&gt; 0.98 · 7.5. COUR D'ASSISES HORS JIRS =&gt; 0.02 · 7.12. COLLÉGIALES JIRS CRIM-ORG =&gt; 0.91 · 7.8. AUTRES SIÈGE PÉNAL =&gt; 0.05 · 11. TOTAL AUTRES ACTIVITÉS =&gt; 0.02 · 11.2. FORMATIONS SUIVIES =&gt; 0.02</t>
  </si>
  <si>
    <t>5cd9e52efb 8a951ed9aa 49169ce048</t>
  </si>
  <si>
    <t>7. TOTAL SIÈGE PÉNAL =&gt; 0.07 · 7.5. COUR D'ASSISES HORS JIRS =&gt; 0.02 · 7.8. AUTRES SIÈGE PÉNAL =&gt; 0.05 · 8. TOTAL JUGES D'INSTRUCTION =&gt; 0.91 · 8.1. SERVICE GÉNÉRAL =&gt; 0.91 · 11. TOTAL AUTRES ACTIVITÉS =&gt; 0.02 · 11.2. FORMATIONS SUIVIES =&gt; 0.02</t>
  </si>
  <si>
    <t>f8ef4ee7f9 53b8cd14be 9fda9bc2dd</t>
  </si>
  <si>
    <t>4. TOTAL CIVIL NON SPÉCIALISÉ =&gt; 0.91 · 7. TOTAL SIÈGE PÉNAL =&gt; 0.07 · 7.5. COUR D'ASSISES HORS JIRS =&gt; 0.02 · 7.8. AUTRES SIÈGE PÉNAL =&gt; 0.05 · 11. TOTAL AUTRES ACTIVITÉS =&gt; 0.02 · 11.2. FORMATIONS SUIVIES =&gt; 0.02</t>
  </si>
  <si>
    <t>1c815c5d29 a33e62699c 4e0f969c44</t>
  </si>
  <si>
    <t>3026299450 40df7170bd e706790aba</t>
  </si>
  <si>
    <t>1fb97cdce3 17fdf4d8f1 a1b2a943d8</t>
  </si>
  <si>
    <t>ffaf13d573 e1ade5ae4a 61836da9f1</t>
  </si>
  <si>
    <t>dad2e6d655 a6e1d46369 ad38368495</t>
  </si>
  <si>
    <t>19ba35b74b 3b64262030 fd01ccf997</t>
  </si>
  <si>
    <t>50b47c1897 72cb633bfc 8deeb5a2e7</t>
  </si>
  <si>
    <t>fbd2342144 1d4c49c67d 4b5677c0e7</t>
  </si>
  <si>
    <t>11. TOTAL AUTRES ACTIVITÉS =&gt; 0.8 · 11.1. SOUTIEN (HORS FORMATIONS SUIVIES) =&gt; 0.8</t>
  </si>
  <si>
    <t>a408bc78c1 44eed80dcf d99120ec47</t>
  </si>
  <si>
    <t>3. TOTAL CONTENTIEUX DE LA PROTECTION =&gt; 0.4 · 3.2. PROTECTION DES MAJEURS =&gt; 0.2 · 3.3. SURENDETTEMENT DES PARTICULIERS =&gt; 0.2 · 4. TOTAL CIVIL NON SPÉCIALISÉ =&gt; 0.15 · 4.1. DROIT DES PERSONNES =&gt; 0.1 · 4.17. AUTRES CIVIL NS =&gt; 0.05 · 11. TOTAL AUTRES ACTIVITÉS =&gt; 0.45 · 11.1. SOUTIEN (HORS FORMATIONS SUIVIES) =&gt; 0.45</t>
  </si>
  <si>
    <t>2453821778 65b1c8035f 08501f25b7</t>
  </si>
  <si>
    <t>7. TOTAL SIÈGE PÉNAL =&gt; 0.05 · 9. TOTAL JAP =&gt; 0.91 · 11. TOTAL AUTRES ACTIVITÉS =&gt; 0.04 · 11.2. FORMATIONS SUIVIES =&gt; 0.02 · 11.3. FORMATIONS DISPENSÉES =&gt; 0.02 · 12.32. CONGÉ MATERNITÉ/PATERNITÉ/ADOPTION =&gt; 0.031</t>
  </si>
  <si>
    <t>7. TOTAL SIÈGE PÉNAL =&gt; 0.048 · 11.3. FORMATIONS DISPENSÉES =&gt; 0.019 · 9. TOTAL JAP =&gt; 0.882 · 11. TOTAL AUTRES ACTIVITÉS =&gt; 0.039 · 11.2. FORMATIONS SUIVIES =&gt; 0.019</t>
  </si>
  <si>
    <t>7. TOTAL SIÈGE PÉNAL =&gt; 0.002 · 9. TOTAL JAP =&gt; 0.028 · 11. TOTAL AUTRES ACTIVITÉS =&gt; 0.001 · 11.2. FORMATIONS SUIVIES =&gt; 0.001 · 11.3. FORMATIONS DISPENSÉES =&gt; 0.001 · Congé maternité/paternité/adoption =&gt; 0.031</t>
  </si>
  <si>
    <t>28eb63f220 d5fb583998 79b434438d</t>
  </si>
  <si>
    <t>3. TOTAL CONTENTIEUX DE LA PROTECTION =&gt; 0.8 · 3.44. SAISIE DES RÉMUNÉRATIONS =&gt; 0.8</t>
  </si>
  <si>
    <t>2025-12-28</t>
  </si>
  <si>
    <t>3. TOTAL CONTENTIEUX DE LA PROTECTION =&gt; 0.009 · 3.44. SAISIE DES RÉMUNÉRATIONS =&gt; 0.009</t>
  </si>
  <si>
    <t>2025-12-27</t>
  </si>
  <si>
    <t>3. TOTAL CONTENTIEUX DE LA PROTECTION =&gt; 0.791 · 3.44. SAISIE DES RÉMUNÉRATIONS =&gt; 0.791</t>
  </si>
  <si>
    <t>20ac575b67 3d87654ada b020eea843</t>
  </si>
  <si>
    <t>1. TOTAL CONTENTIEUX SOCIAL =&gt; 0.3 · 4. TOTAL CIVIL NON SPÉCIALISÉ =&gt; 0.7 · 4.3. CONTRATS =&gt; 0.3 · 4.16. RÉFÉRÉS CIVILS =&gt; 0.4 · 12.31. CONGÉ MALADIE ORDINAIRE =&gt; 0.057</t>
  </si>
  <si>
    <t>2025-10-11</t>
  </si>
  <si>
    <t>1. TOTAL CONTENTIEUX SOCIAL =&gt; 0.067 · 4. TOTAL CIVIL NON SPÉCIALISÉ =&gt; 0.156 · 4.3. CONTRATS =&gt; 0.067 · 4.16. RÉFÉRÉS CIVILS =&gt; 0.089</t>
  </si>
  <si>
    <t>2025-10-10</t>
  </si>
  <si>
    <t>1. TOTAL CONTENTIEUX SOCIAL =&gt; 0.017 · 4. TOTAL CIVIL NON SPÉCIALISÉ =&gt; 0.04 · 4.3. CONTRATS =&gt; 0.017 · 4.16. RÉFÉRÉS CIVILS =&gt; 0.023 · Congé maladie ordinaire =&gt; 0.057</t>
  </si>
  <si>
    <t>2025-09-21</t>
  </si>
  <si>
    <t>1. TOTAL CONTENTIEUX SOCIAL =&gt; 0.216 · 4. TOTAL CIVIL NON SPÉCIALISÉ =&gt; 0.504 · 4.3. CONTRATS =&gt; 0.216 · 4.16. RÉFÉRÉS CIVILS =&gt; 0.288</t>
  </si>
  <si>
    <t>522700809b 09b9393747 9b3aee73a4</t>
  </si>
  <si>
    <t>4. TOTAL CIVIL NON SPÉCIALISÉ =&gt; 1 · 4.141. INTÉRÊTS CIVILS =&gt; 0.65 · 4.15. CIVI =&gt; 0.25 · 4.17. AUTRES CIVIL NS =&gt; 0.1</t>
  </si>
  <si>
    <t>45e759235b 05d2b0e300 e307915e9c</t>
  </si>
  <si>
    <t>6. TOTAL JUGES DES ENFANTS =&gt; 1 · 6.1. ACTIVITÉ CIVILE =&gt; 0.6 · 6.2. ACTIVITÉ PÉNALE =&gt; 0.4</t>
  </si>
  <si>
    <t>a35ec4afaf 73770f912f 494523ec29</t>
  </si>
  <si>
    <t>ae71f27da7 97d4392eaf fcab73ca8d</t>
  </si>
  <si>
    <t>3. TOTAL CONTENTIEUX DE LA PROTECTION =&gt; 0.597 · 3.3. SURENDETTEMENT DES PARTICULIERS =&gt; 0.166 · 3.44. SAISIE DES RÉMUNÉRATIONS =&gt; 0.099 · 3.6. AUTRES CONTENTIEUX DE LA PROTECTION =&gt; 0.331 · 9. TOTAL JAP =&gt; 0.303 · 11. TOTAL AUTRES ACTIVITÉS =&gt; 0.1 · 11.1. SOUTIEN (HORS FORMATIONS SUIVIES) =&gt; 0.1</t>
  </si>
  <si>
    <t>9. TOTAL JAP =&gt; 0.303 · 11. TOTAL AUTRES ACTIVITÉS =&gt; 0.034 · 11.1. SOUTIEN (HORS FORMATIONS SUIVIES) =&gt; 0.034</t>
  </si>
  <si>
    <t>3. TOTAL CONTENTIEUX DE LA PROTECTION =&gt; 0.597 · 3.3. SURENDETTEMENT DES PARTICULIERS =&gt; 0.166 · 3.44. SAISIE DES RÉMUNÉRATIONS =&gt; 0.099 · 3.6. AUTRES CONTENTIEUX DE LA PROTECTION =&gt; 0.331 · 11. TOTAL AUTRES ACTIVITÉS =&gt; 0.066 · 11.1. SOUTIEN (HORS FORMATIONS SUIVIES) =&gt; 0.066</t>
  </si>
  <si>
    <t>6fd70b0f9d 958691d2dc 2f9e86b1e0</t>
  </si>
  <si>
    <t>11. TOTAL AUTRES ACTIVITÉS =&gt; 0.083 · 11.2. FORMATIONS SUIVIES =&gt; 0.003 · 11.51. ACCUEIL DU JUSTICIABLE (DONT SAUJ) =&gt; 0.08</t>
  </si>
  <si>
    <t>undefined =&gt; 0.717 · undefined =&gt; 0.717 · 11. TOTAL AUTRES ACTIVITÉS =&gt; 0.083 · 11.2. FORMATIONS SUIVIES =&gt; 0.003 · 11.51. ACCUEIL DU JUSTICIABLE (DONT SAUJ) =&gt; 0.08</t>
  </si>
  <si>
    <t>d20d016baf 5f37b55220 aa15549185</t>
  </si>
  <si>
    <t>6. TOTAL JUGES DES ENFANTS =&gt; 0.596 · 6.1. ACTIVITÉ CIVILE =&gt; 0.476 · 6.2. ACTIVITÉ PÉNALE =&gt; 0.12 · 7. TOTAL SIÈGE PÉNAL =&gt; 0.013 · 7.5. COUR D'ASSISES HORS JIRS =&gt; 0.013 · 10. TOTAL JLD PÉNAL =&gt; 0.024 · 11. TOTAL AUTRES ACTIVITÉS =&gt; 0.033 · 11.1. SOUTIEN (HORS FORMATIONS SUIVIES) =&gt; 0.033</t>
  </si>
  <si>
    <t>11. TOTAL AUTRES ACTIVITÉS =&gt; 0.033 · 11.1. SOUTIEN (HORS FORMATIONS SUIVIES) =&gt; 0.033 · 6. TOTAL JUGES DES ENFANTS =&gt; 0.596 · 6.1. ACTIVITÉ CIVILE =&gt; 0.476 · 6.2. ACTIVITÉ PÉNALE =&gt; 0.12 · 7. TOTAL SIÈGE PÉNAL =&gt; 0.013 · 7.5. COUR D'ASSISES HORS JIRS =&gt; 0.013 · 10. TOTAL JLD PÉNAL =&gt; 0.024</t>
  </si>
  <si>
    <t>fb113a4604 d759d0117e 0cee7e889b</t>
  </si>
  <si>
    <t>5. TOTAL JLD CIVIL =&gt; 0.317 · 5.1. RÉTENTION DES ÉTRANGERS =&gt; 0.228 · 5.2. HO - CONTENTION =&gt; 0.089 · 7. TOTAL SIÈGE PÉNAL =&gt; 0.072 · 7.13. JUGE UNIQUE =&gt; 0.053 · 7.5. COUR D'ASSISES HORS JIRS =&gt; 0.019 · 10. TOTAL JLD PÉNAL =&gt; 0.382 · 11. TOTAL AUTRES ACTIVITÉS =&gt; 0.229 · 11.1. SOUTIEN (HORS FORMATIONS SUIVIES) =&gt; 0.2 · 11.2. FORMATIONS SUIVIES =&gt; 0.029</t>
  </si>
  <si>
    <t>11.2. FORMATIONS SUIVIES =&gt; 0.029 · 7.5. COUR D'ASSISES HORS JIRS =&gt; 0.019 · 5. TOTAL JLD CIVIL =&gt; 0.317 · 5.1. RÉTENTION DES ÉTRANGERS =&gt; 0.228 · 5.2. HO - CONTENTION =&gt; 0.089 · 7. TOTAL SIÈGE PÉNAL =&gt; 0.072 · 7.13. JUGE UNIQUE =&gt; 0.053 · 10. TOTAL JLD PÉNAL =&gt; 0.382 · 11. TOTAL AUTRES ACTIVITÉS =&gt; 0.229 · 11.1. SOUTIEN (HORS FORMATIONS SUIVIES) =&gt; 0.2</t>
  </si>
  <si>
    <t>239b110956 6988ee0dfc 7863ddd0f1</t>
  </si>
  <si>
    <t>3. TOTAL CONTENTIEUX DE LA PROTECTION =&gt; 0.49 · 3.2. PROTECTION DES MAJEURS =&gt; 0.328 · 3.43. INJONCTIONS DE PAYER =&gt; 0.163</t>
  </si>
  <si>
    <t>3. TOTAL CONTENTIEUX DE LA PROTECTION =&gt; 0.326 · 3.2. PROTECTION DES MAJEURS =&gt; 0.163 · 3.43. INJONCTIONS DE PAYER =&gt; 0.163</t>
  </si>
  <si>
    <t>3. TOTAL CONTENTIEUX DE LA PROTECTION =&gt; 0.165 · 3.2. PROTECTION DES MAJEURS =&gt; 0.165</t>
  </si>
  <si>
    <t>7fe595dc36 11851c562f 57ffe31efa</t>
  </si>
  <si>
    <t>6. TOTAL JUGES DES ENFANTS =&gt; 1 · 6.1. ACTIVITÉ CIVILE =&gt; 0.65 · 6.2. ACTIVITÉ PÉNALE =&gt; 0.35</t>
  </si>
  <si>
    <t>9263c8494a 4968474212 db2b7b57ad</t>
  </si>
  <si>
    <t>4020f59b42 62e53ca5e3 71597fb6a0</t>
  </si>
  <si>
    <t>5. TOTAL JLD CIVIL =&gt; 0.242 · 7. TOTAL SIÈGE PÉNAL =&gt; 0.016 · 8. TOTAL JUGES D'INSTRUCTION =&gt; 0.5 · 10. TOTAL JLD PÉNAL =&gt; 0.242</t>
  </si>
  <si>
    <t>5. TOTAL JLD CIVIL =&gt; 0.209 · 8. TOTAL JUGES D'INSTRUCTION =&gt; 0.418 · 10. TOTAL JLD PÉNAL =&gt; 0.209</t>
  </si>
  <si>
    <t>10. TOTAL JLD PÉNAL =&gt; 0.033 · 8. TOTAL JUGES D'INSTRUCTION =&gt; 0.082 · 5. TOTAL JLD CIVIL =&gt; 0.033 · 7. TOTAL SIÈGE PÉNAL =&gt; 0.016</t>
  </si>
  <si>
    <t>575d68fe07 a8979fafe1 264920fe14</t>
  </si>
  <si>
    <t>11. TOTAL AUTRES ACTIVITÉS =&gt; 1 · 11.1. SOUTIEN (HORS FORMATIONS SUIVIES) =&gt; 1 · 12.8. AUTRE ABSENTÉISME =&gt; 0.069</t>
  </si>
  <si>
    <t>2025-12-08</t>
  </si>
  <si>
    <t>11. TOTAL AUTRES ACTIVITÉS =&gt; 0.069 · 11.1. SOUTIEN (HORS FORMATIONS SUIVIES) =&gt; 0.069 · Autre absentéisme =&gt; 0.069</t>
  </si>
  <si>
    <t>2025-12-07</t>
  </si>
  <si>
    <t>11. TOTAL AUTRES ACTIVITÉS =&gt; 0.931 · 11.1. SOUTIEN (HORS FORMATIONS SUIVIES) =&gt; 0.931</t>
  </si>
  <si>
    <t>082c9a8948 347d0ea765 b83584c54c</t>
  </si>
  <si>
    <t>8. TOTAL JUGES D'INSTRUCTION =&gt; 0.98 · 8.3. JIRS CRIM-ORG =&gt; 0.98 · 11. TOTAL AUTRES ACTIVITÉS =&gt; 0.02 · 11.1. SOUTIEN (HORS FORMATIONS SUIVIES) =&gt; 0.02</t>
  </si>
  <si>
    <t>11. TOTAL AUTRES ACTIVITÉS =&gt; 0.02 · 11.1. SOUTIEN (HORS FORMATIONS SUIVIES) =&gt; 0.02 · 8. TOTAL JUGES D'INSTRUCTION =&gt; 0.98 · 8.3. JIRS CRIM-ORG =&gt; 0.98</t>
  </si>
  <si>
    <t>dd77128f5a 569f4c0133 32c6828cb7</t>
  </si>
  <si>
    <t>fc2e709350 e3262b798b e31bc7f35a</t>
  </si>
  <si>
    <t>5. TOTAL JLD CIVIL =&gt; 0.275 · 10. TOTAL JLD PÉNAL =&gt; 0.64 · 11. TOTAL AUTRES ACTIVITÉS =&gt; 0.085 · 11.1. SOUTIEN (HORS FORMATIONS SUIVIES) =&gt; 0.085</t>
  </si>
  <si>
    <t>5ec04119f2 0d03dfd322 b6b76332a4</t>
  </si>
  <si>
    <t>11. TOTAL AUTRES ACTIVITÉS =&gt; 0.667 · 11.10. AUTRES FONCTIONNAIRES AFFECTÉS AU PARQUET =&gt; 0.667 · 12.31. CONGÉ MALADIE ORDINAIRE =&gt; 0.057 · 12.6. AUTORISATION SPÉCIALE D'ABSENCE =&gt; 0.019</t>
  </si>
  <si>
    <t>2025-04-05</t>
  </si>
  <si>
    <t>11. TOTAL AUTRES ACTIVITÉS =&gt; 0.406 · 11.10. AUTRES FONCTIONNAIRES AFFECTÉS AU PARQUET =&gt; 0.406</t>
  </si>
  <si>
    <t>11. TOTAL AUTRES ACTIVITÉS =&gt; 0.019 · 11.10. AUTRES FONCTIONNAIRES AFFECTÉS AU PARQUET =&gt; 0.019 · Autorisation spéciale d'absence =&gt; 0.019</t>
  </si>
  <si>
    <t>2025-02-01</t>
  </si>
  <si>
    <t>11. TOTAL AUTRES ACTIVITÉS =&gt; 0.153 · 11.10. AUTRES FONCTIONNAIRES AFFECTÉS AU PARQUET =&gt; 0.153</t>
  </si>
  <si>
    <t>2025-01-31</t>
  </si>
  <si>
    <t>11. TOTAL AUTRES ACTIVITÉS =&gt; 0.057 · 11.10. AUTRES FONCTIONNAIRES AFFECTÉS AU PARQUET =&gt; 0.057 · Congé maladie ordinaire =&gt; 0.057</t>
  </si>
  <si>
    <t>2025-01-12</t>
  </si>
  <si>
    <t>11. TOTAL AUTRES ACTIVITÉS =&gt; 0.031 · 11.10. AUTRES FONCTIONNAIRES AFFECTÉS AU PARQUET =&gt; 0.031</t>
  </si>
  <si>
    <t>4ec5a2f0e1 c59fb2a232 0a81244b0d</t>
  </si>
  <si>
    <t>5283ea1bb3 4b940568f2 b11264ac48</t>
  </si>
  <si>
    <t>1. TOTAL CONTENTIEUX SOCIAL =&gt; 0.5 · 1.2. CONTENTIEUX DE LA PROTECTION SOCIALE =&gt; 0.5 · 3. TOTAL CONTENTIEUX DE LA PROTECTION =&gt; 0.5</t>
  </si>
  <si>
    <t>f70c1eba91 6578010806 f4da5663e0</t>
  </si>
  <si>
    <t>11. TOTAL AUTRES ACTIVITÉS =&gt; 1 · 11.1. SOUTIEN (HORS FORMATIONS SUIVIES) =&gt; 0.346 · 11.2. FORMATIONS SUIVIES =&gt; 0.024 · 11.10. AUTRES FONCTIONNAIRES AFFECTÉS AU PARQUET =&gt; 0.63</t>
  </si>
  <si>
    <t>11.2. FORMATIONS SUIVIES =&gt; 0.024 · 11. TOTAL AUTRES ACTIVITÉS =&gt; 1 · 11.1. SOUTIEN (HORS FORMATIONS SUIVIES) =&gt; 0.346 · 11.10. AUTRES FONCTIONNAIRES AFFECTÉS AU PARQUET =&gt; 0.63</t>
  </si>
  <si>
    <t>33145c40bd d7cb04bb1d 6f228ba9df</t>
  </si>
  <si>
    <t>97858ac806 8afdb80dd9 fb05822ab0</t>
  </si>
  <si>
    <t>3. TOTAL CONTENTIEUX DE LA PROTECTION =&gt; 0.667 · 3.2. PROTECTION DES MAJEURS =&gt; 0.667</t>
  </si>
  <si>
    <t>3. TOTAL CONTENTIEUX DE LA PROTECTION =&gt; 0.27 · 3.2. PROTECTION DES MAJEURS =&gt; 0.27</t>
  </si>
  <si>
    <t>3. TOTAL CONTENTIEUX DE LA PROTECTION =&gt; 0.398 · 3.2. PROTECTION DES MAJEURS =&gt; 0.398</t>
  </si>
  <si>
    <t>d06bfbc5db a1c38dcb47 580f859fac</t>
  </si>
  <si>
    <t>11. TOTAL AUTRES ACTIVITÉS =&gt; 1 · 11.1. SOUTIEN (HORS FORMATIONS SUIVIES) =&gt; 0.985 · 11.2. FORMATIONS SUIVIES =&gt; 0.015 · 12.31. CONGÉ MALADIE ORDINAIRE =&gt; 0.011</t>
  </si>
  <si>
    <t>2025-12-09</t>
  </si>
  <si>
    <t>11. TOTAL AUTRES ACTIVITÉS =&gt; 0.065 · 11.1. SOUTIEN (HORS FORMATIONS SUIVIES) =&gt; 0.065</t>
  </si>
  <si>
    <t>11. TOTAL AUTRES ACTIVITÉS =&gt; 0.004 · 11.2. FORMATIONS SUIVIES =&gt; 0.004</t>
  </si>
  <si>
    <t>2025-06-05</t>
  </si>
  <si>
    <t>11. TOTAL AUTRES ACTIVITÉS =&gt; 0.506 · 11.1. SOUTIEN (HORS FORMATIONS SUIVIES) =&gt; 0.506</t>
  </si>
  <si>
    <t>2025-06-04</t>
  </si>
  <si>
    <t>11. TOTAL AUTRES ACTIVITÉS =&gt; 0.011 · 11.2. FORMATIONS SUIVIES =&gt; 0.011</t>
  </si>
  <si>
    <t>2025-01-30</t>
  </si>
  <si>
    <t>11. TOTAL AUTRES ACTIVITÉS =&gt; 0.333 · 11.1. SOUTIEN (HORS FORMATIONS SUIVIES) =&gt; 0.333</t>
  </si>
  <si>
    <t>11. TOTAL AUTRES ACTIVITÉS =&gt; 0.011 · 11.1. SOUTIEN (HORS FORMATIONS SUIVIES) =&gt; 0.011 · Congé maladie ordinaire =&gt; 0.011</t>
  </si>
  <si>
    <t>2025-01-26</t>
  </si>
  <si>
    <t>11. TOTAL AUTRES ACTIVITÉS =&gt; 0.069 · 11.1. SOUTIEN (HORS FORMATIONS SUIVIES) =&gt; 0.069</t>
  </si>
  <si>
    <t>3c71bff295 618f79d56f 096c50fa50</t>
  </si>
  <si>
    <t>7. TOTAL SIÈGE PÉNAL =&gt; 1</t>
  </si>
  <si>
    <t>4a648cb629 2862902288 70e5317504</t>
  </si>
  <si>
    <t>12. TOTAL INDISPONIBILITÉ =&gt; 0.125 · 12.31. CONGÉ MALADIE ORDINAIRE =&gt; 0.155 · 12.4. TEMPS PARTIEL THÉRAPEUTIQUE =&gt; 0.125</t>
  </si>
  <si>
    <t>2025-12-04</t>
  </si>
  <si>
    <t>Congé maladie ordinaire =&gt; 0.077</t>
  </si>
  <si>
    <t>2025-10-08</t>
  </si>
  <si>
    <t>2025-12-03</t>
  </si>
  <si>
    <t>Congé maladie ordinaire =&gt; 0.079 · Temps partiel thérapeutique =&gt; 0.079 · TOTAL INDISPONIBILITÉS =&gt; 0.079</t>
  </si>
  <si>
    <t>2025-10-07</t>
  </si>
  <si>
    <t>Temps partiel thérapeutique =&gt; 0.046 · TOTAL INDISPONIBILITÉS =&gt; 0.046</t>
  </si>
  <si>
    <t>4ed9e041c4 9a54960109 4e96e1b010</t>
  </si>
  <si>
    <t>7. TOTAL SIÈGE PÉNAL =&gt; 0.088 · 7.52. COUR CRIMINELLE =&gt; 0.008 · 7.7. OP CONTRAVENTIONNELLES =&gt; 0.005 · 7.8. AUTRES SIÈGE PÉNAL =&gt; 0.075 · 8. TOTAL JUGES D'INSTRUCTION =&gt; 0.04 · 8.1. SERVICE GÉNÉRAL =&gt; 0.04 · 9. TOTAL JAP =&gt; 0.472 · 10. TOTAL JLD PÉNAL =&gt; 0.04 · 11. TOTAL AUTRES ACTIVITÉS =&gt; 0.157 · 11.1. SOUTIEN (HORS FORMATIONS SUIVIES) =&gt; 0.157 · 12.31. CONGÉ MALADIE ORDINAIRE =&gt; 0.058 · 12.32. CONGÉ MATERNITÉ/PATERNITÉ/ADOPTION =&gt; 0.417</t>
  </si>
  <si>
    <t>7. TOTAL SIÈGE PÉNAL =&gt; 0.03 · 7.52. COUR CRIMINELLE =&gt; 0.003 · 7.7. OP CONTRAVENTIONNELLES =&gt; 0.002 · 7.8. AUTRES SIÈGE PÉNAL =&gt; 0.025 · 8. TOTAL JUGES D'INSTRUCTION =&gt; 0.013 · 8.1. SERVICE GÉNÉRAL =&gt; 0.013 · 9. TOTAL JAP =&gt; 0.159 · 10. TOTAL JLD PÉNAL =&gt; 0.013 · 11. TOTAL AUTRES ACTIVITÉS =&gt; 0.053 · 11.1. SOUTIEN (HORS FORMATIONS SUIVIES) =&gt; 0.053</t>
  </si>
  <si>
    <t>2025-02-21</t>
  </si>
  <si>
    <t>7. TOTAL SIÈGE PÉNAL =&gt; 0.046 · 7.52. COUR CRIMINELLE =&gt; 0.004 · 7.7. OP CONTRAVENTIONNELLES =&gt; 0.003 · 7.8. AUTRES SIÈGE PÉNAL =&gt; 0.039 · 8. TOTAL JUGES D'INSTRUCTION =&gt; 0.021 · 8.1. SERVICE GÉNÉRAL =&gt; 0.021 · 9. TOTAL JAP =&gt; 0.246 · 10. TOTAL JLD PÉNAL =&gt; 0.021 · 11. TOTAL AUTRES ACTIVITÉS =&gt; 0.082 · 11.1. SOUTIEN (HORS FORMATIONS SUIVIES) =&gt; 0.082 · Congé maternité/paternité/adoption =&gt; 0.417</t>
  </si>
  <si>
    <t>2025-02-20</t>
  </si>
  <si>
    <t>7. TOTAL SIÈGE PÉNAL =&gt; 0.006 · 7.52. COUR CRIMINELLE =&gt; 0.001 · 7.7. OP CONTRAVENTIONNELLES =&gt; 0 · 7.8. AUTRES SIÈGE PÉNAL =&gt; 0.005 · 8. TOTAL JUGES D'INSTRUCTION =&gt; 0.003 · 8.1. SERVICE GÉNÉRAL =&gt; 0.003 · 9. TOTAL JAP =&gt; 0.034 · 10. TOTAL JLD PÉNAL =&gt; 0.003 · 11. TOTAL AUTRES ACTIVITÉS =&gt; 0.011 · 11.1. SOUTIEN (HORS FORMATIONS SUIVIES) =&gt; 0.011 · Congé maladie ordinaire =&gt; 0.058</t>
  </si>
  <si>
    <t>7. TOTAL SIÈGE PÉNAL =&gt; 0.006 · 7.52. COUR CRIMINELLE =&gt; 0.001 · 7.7. OP CONTRAVENTIONNELLES =&gt; 0 · 7.8. AUTRES SIÈGE PÉNAL =&gt; 0.005 · 8. TOTAL JUGES D'INSTRUCTION =&gt; 0.003 · 8.1. SERVICE GÉNÉRAL =&gt; 0.003 · 9. TOTAL JAP =&gt; 0.033 · 10. TOTAL JLD PÉNAL =&gt; 0.003 · 11. TOTAL AUTRES ACTIVITÉS =&gt; 0.011 · 11.1. SOUTIEN (HORS FORMATIONS SUIVIES) =&gt; 0.011</t>
  </si>
  <si>
    <t>0f68e7e022 94ea887917 36d6dee020</t>
  </si>
  <si>
    <t>70c8bbdd52 445e21bbd3 43963d5111</t>
  </si>
  <si>
    <t>8656e24f43 6e7e9f6c30 28d8e0ab11</t>
  </si>
  <si>
    <t>27d362e752 718253a255 66832a145a</t>
  </si>
  <si>
    <t>a44de63a23 6a5d55bdf5 8f4c1d7f22</t>
  </si>
  <si>
    <t>5. TOTAL JLD CIVIL =&gt; 0.05 · 6. TOTAL JUGES DES ENFANTS =&gt; 0.8 · 6.1. ACTIVITÉ CIVILE =&gt; 0.5 · 6.2. ACTIVITÉ PÉNALE =&gt; 0.3 · 7. TOTAL SIÈGE PÉNAL =&gt; 0.03 · 7.1. COLLÉGIALES HORS JIRS =&gt; 0.03 · 10. TOTAL JLD PÉNAL =&gt; 0.05 · 11. TOTAL AUTRES ACTIVITÉS =&gt; 0.07 · 11.2. FORMATIONS SUIVIES =&gt; 0.07</t>
  </si>
  <si>
    <t>6.1. ACTIVITÉ CIVILE =&gt; 0.5 · 6. TOTAL JUGES DES ENFANTS =&gt; 0.8 · 6.2. ACTIVITÉ PÉNALE =&gt; 0.3 · 5. TOTAL JLD CIVIL =&gt; 0.05 · 10. TOTAL JLD PÉNAL =&gt; 0.05 · 7. TOTAL SIÈGE PÉNAL =&gt; 0.03 · 7.1. COLLÉGIALES HORS JIRS =&gt; 0.03 · 11. TOTAL AUTRES ACTIVITÉS =&gt; 0.07 · 11.2. FORMATIONS SUIVIES =&gt; 0.07</t>
  </si>
  <si>
    <t>7bcf85e837 a095ede12f 6e82cd72a5</t>
  </si>
  <si>
    <t>ce2e306d60 5cabef0f02 1306941e1b</t>
  </si>
  <si>
    <t>edf433c27e 045223b27e 3ae937f403</t>
  </si>
  <si>
    <t>8. TOTAL JUGES D'INSTRUCTION =&gt; 1 · 8.1. SERVICE GÉNÉRAL =&gt; 1</t>
  </si>
  <si>
    <t>6165192168 2825eda8b9 7555df177e</t>
  </si>
  <si>
    <t>11. TOTAL AUTRES ACTIVITÉS =&gt; 0.663 · 11.1. SOUTIEN (HORS FORMATIONS SUIVIES) =&gt; 0.663</t>
  </si>
  <si>
    <t>d450019766 6d56d6b070 b83f7ad2c6</t>
  </si>
  <si>
    <t>3. TOTAL CONTENTIEUX DE LA PROTECTION =&gt; 0.273 · 3.41. BAUX =&gt; 0.06 · 3.43. INJONCTIONS DE PAYER =&gt; 0.199 · 3.6. AUTRES CONTENTIEUX DE LA PROTECTION =&gt; 0.015 · 4. TOTAL CIVIL NON SPÉCIALISÉ =&gt; 0.37 · 4.14. JURIDICTION DU PRÉSIDENT =&gt; 0.202 · 4.16. RÉFÉRÉS CIVILS =&gt; 0.148 · 4.17. AUTRES CIVIL NS =&gt; 0.019 · 11. TOTAL AUTRES ACTIVITÉS =&gt; 0.357 · 11.1. SOUTIEN (HORS FORMATIONS SUIVIES) =&gt; 0.357 · 12.32. CONGÉ MATERNITÉ/PATERNITÉ/ADOPTION =&gt; 0.001</t>
  </si>
  <si>
    <t>4. TOTAL CIVIL NON SPÉCIALISÉ =&gt; 0.127 · 4.14. JURIDICTION DU PRÉSIDENT =&gt; 0.055 · 4.16. RÉFÉRÉS CIVILS =&gt; 0.053 · 4.17. AUTRES CIVIL NS =&gt; 0.019 · 11. TOTAL AUTRES ACTIVITÉS =&gt; 0.126 · 11.1. SOUTIEN (HORS FORMATIONS SUIVIES) =&gt; 0.126</t>
  </si>
  <si>
    <t>2025-08-13</t>
  </si>
  <si>
    <t>2025-09-30</t>
  </si>
  <si>
    <t>3.43. INJONCTIONS DE PAYER =&gt; 0.036 · 3. TOTAL CONTENTIEUX DE LA PROTECTION =&gt; 0.049 · 3.6. AUTRES CONTENTIEUX DE LA PROTECTION =&gt; 0.003 · 4.14. JURIDICTION DU PRÉSIDENT =&gt; 0.026 · 4. TOTAL CIVIL NON SPÉCIALISÉ =&gt; 0.044 · 11. TOTAL AUTRES ACTIVITÉS =&gt; 0.041 · 11.1. SOUTIEN (HORS FORMATIONS SUIVIES) =&gt; 0.041 · 4.16. RÉFÉRÉS CIVILS =&gt; 0.017 · 3.41. BAUX =&gt; 0.011</t>
  </si>
  <si>
    <t>2025-07-15</t>
  </si>
  <si>
    <t>2025-08-12</t>
  </si>
  <si>
    <t>3.43. INJONCTIONS DE PAYER =&gt; 0.021 · 3. TOTAL CONTENTIEUX DE LA PROTECTION =&gt; 0.029 · 3.6. AUTRES CONTENTIEUX DE LA PROTECTION =&gt; 0.002 · 4.14. JURIDICTION DU PRÉSIDENT =&gt; 0.016 · 4. TOTAL CIVIL NON SPÉCIALISÉ =&gt; 0.026 · 11. TOTAL AUTRES ACTIVITÉS =&gt; 0.025 · 11.1. SOUTIEN (HORS FORMATIONS SUIVIES) =&gt; 0.025 · 4.16. RÉFÉRÉS CIVILS =&gt; 0.01 · 3.41. BAUX =&gt; 0.006 · Congé maternité/paternité/adoption =&gt; 0.001</t>
  </si>
  <si>
    <t>2025-07-14</t>
  </si>
  <si>
    <t>3.43. INJONCTIONS DE PAYER =&gt; 0.142 · 3. TOTAL CONTENTIEUX DE LA PROTECTION =&gt; 0.195 · 3.6. AUTRES CONTENTIEUX DE LA PROTECTION =&gt; 0.011 · 4.14. JURIDICTION DU PRÉSIDENT =&gt; 0.105 · 4. TOTAL CIVIL NON SPÉCIALISÉ =&gt; 0.173 · 11. TOTAL AUTRES ACTIVITÉS =&gt; 0.165 · 11.1. SOUTIEN (HORS FORMATIONS SUIVIES) =&gt; 0.165 · 4.16. RÉFÉRÉS CIVILS =&gt; 0.068 · 3.41. BAUX =&gt; 0.043</t>
  </si>
  <si>
    <t>3ab77940cf 9b7ece024a f9c55dbd58</t>
  </si>
  <si>
    <t>d3c5ad1d9c 4b87c18710 1d1107848d</t>
  </si>
  <si>
    <t>0437fe7331 127c712a36 859e1ad647</t>
  </si>
  <si>
    <t>bcc9fa4d01 979ac9c6fb 09b851db41</t>
  </si>
  <si>
    <t>af5fed5314 175758ca67 cf652e96fa</t>
  </si>
  <si>
    <t>2. TOTAL CONTENTIEUX JAF =&gt; 0.4 · 2.2. DIVORCE - CONTENTIEUX =&gt; 0.2 · 2.5. AUTORITÉ PARENTALE =&gt; 0.2</t>
  </si>
  <si>
    <t>cf53e05d37 d28287a386 7c9119c825</t>
  </si>
  <si>
    <t>2. TOTAL CONTENTIEUX JAF =&gt; 1 · 12.31. CONGÉ MALADIE ORDINAIRE =&gt; 0.073 · 12.32. CONGÉ MATERNITÉ/PATERNITÉ/ADOPTION =&gt; 0.307 · 12.8. AUTRE ABSENTÉISME =&gt; 0.107</t>
  </si>
  <si>
    <t>2025-11-24</t>
  </si>
  <si>
    <t>2. TOTAL CONTENTIEUX JAF =&gt; 0.107 · Autre absentéisme =&gt; 0.107</t>
  </si>
  <si>
    <t>2025-11-23</t>
  </si>
  <si>
    <t>2. TOTAL CONTENTIEUX JAF =&gt; 0.23</t>
  </si>
  <si>
    <t>2025-08-05</t>
  </si>
  <si>
    <t>2. TOTAL CONTENTIEUX JAF =&gt; 0.073 · Congé maladie ordinaire =&gt; 0.073</t>
  </si>
  <si>
    <t>2025-04-15</t>
  </si>
  <si>
    <t>2025-08-04</t>
  </si>
  <si>
    <t>2. TOTAL CONTENTIEUX JAF =&gt; 0.307 · Congé maternité/paternité/adoption =&gt; 0.307</t>
  </si>
  <si>
    <t>2025-04-14</t>
  </si>
  <si>
    <t>2. TOTAL CONTENTIEUX JAF =&gt; 0.284</t>
  </si>
  <si>
    <t>632d211fa7 691d231b4e 71f15fbd94</t>
  </si>
  <si>
    <t>2. TOTAL CONTENTIEUX JAF =&gt; 1 · 12.31. CONGÉ MALADIE ORDINAIRE =&gt; 0.011</t>
  </si>
  <si>
    <t>2025-03-24</t>
  </si>
  <si>
    <t>2. TOTAL CONTENTIEUX JAF =&gt; 0.778</t>
  </si>
  <si>
    <t>2025-03-19</t>
  </si>
  <si>
    <t>2025-03-23</t>
  </si>
  <si>
    <t>2. TOTAL CONTENTIEUX JAF =&gt; 0.011 · Congé maladie ordinaire =&gt; 0.011</t>
  </si>
  <si>
    <t>2. TOTAL CONTENTIEUX JAF =&gt; 0.211</t>
  </si>
  <si>
    <t>e121e7dd96 c85ab38695 b3ca545227</t>
  </si>
  <si>
    <t>2. TOTAL CONTENTIEUX JAF =&gt; 0.86 · 7. TOTAL SIÈGE PÉNAL =&gt; 0.04 · 7.14. CI =&gt; 0.03 · 7.5. COUR D'ASSISES HORS JIRS =&gt; 0.01 · 11. TOTAL AUTRES ACTIVITÉS =&gt; 0.1 · 11.1. SOUTIEN (HORS FORMATIONS SUIVIES) =&gt; 0.1</t>
  </si>
  <si>
    <t>211d3eb3ee 61a35a035a 770dc61147</t>
  </si>
  <si>
    <t>11. TOTAL AUTRES ACTIVITÉS =&gt; 0.165 · 11.1. SOUTIEN (HORS FORMATIONS SUIVIES) =&gt; 0.165</t>
  </si>
  <si>
    <t>e559dcb1a5 3233fe9cf0 529c87736e</t>
  </si>
  <si>
    <t>11. TOTAL AUTRES ACTIVITÉS =&gt; 0.001 · 11.2. FORMATIONS SUIVIES =&gt; 0 · 11.51. ACCUEIL DU JUSTICIABLE (DONT SAUJ) =&gt; 0</t>
  </si>
  <si>
    <t>undefined =&gt; 1 · undefined =&gt; 1 · 11. TOTAL AUTRES ACTIVITÉS =&gt; 0.001 · 11.2. FORMATIONS SUIVIES =&gt; 0 · 11.51. ACCUEIL DU JUSTICIABLE (DONT SAUJ) =&gt; 0</t>
  </si>
  <si>
    <t>37c7688a45 4bba2d0133 031cb26a46</t>
  </si>
  <si>
    <t>7. TOTAL SIÈGE PÉNAL =&gt; 1 · 7.7. OP CONTRAVENTIONNELLES =&gt; 1</t>
  </si>
  <si>
    <t>c538c3b336 8851404109 b6de082a85</t>
  </si>
  <si>
    <t>9. TOTAL JAP =&gt; 0.9</t>
  </si>
  <si>
    <t>f61ed68463 c77a79c6ba e6859ed51d</t>
  </si>
  <si>
    <t>2. TOTAL CONTENTIEUX JAF =&gt; 0.833 · 7. TOTAL SIÈGE PÉNAL =&gt; 0.085 · 7.14. CI =&gt; 0.022 · 7.5. COUR D'ASSISES HORS JIRS =&gt; 0.04 · 7.52. COUR CRIMINELLE =&gt; 0.023 · 11. TOTAL AUTRES ACTIVITÉS =&gt; 0.082 · 11.1. SOUTIEN (HORS FORMATIONS SUIVIES) =&gt; 0.058 · 11.2. FORMATIONS SUIVIES =&gt; 0.024 · 12.32. CONGÉ MATERNITÉ/PATERNITÉ/ADOPTION =&gt; 0.299</t>
  </si>
  <si>
    <t>2025-09-15</t>
  </si>
  <si>
    <t>2. TOTAL CONTENTIEUX JAF =&gt; 0.249 · 7. TOTAL SIÈGE PÉNAL =&gt; 0.025 · 7.14. CI =&gt; 0.007 · 7.5. COUR D'ASSISES HORS JIRS =&gt; 0.012 · 7.52. COUR CRIMINELLE =&gt; 0.007 · 11. TOTAL AUTRES ACTIVITÉS =&gt; 0.025 · 11.1. SOUTIEN (HORS FORMATIONS SUIVIES) =&gt; 0.017 · 11.2. FORMATIONS SUIVIES =&gt; 0.007 · Congé maternité/paternité/adoption =&gt; 0.299</t>
  </si>
  <si>
    <t>2025-09-14</t>
  </si>
  <si>
    <t>2. TOTAL CONTENTIEUX JAF =&gt; 0.584 · 7. TOTAL SIÈGE PÉNAL =&gt; 0.06 · 7.14. CI =&gt; 0.015 · 7.5. COUR D'ASSISES HORS JIRS =&gt; 0.028 · 7.52. COUR CRIMINELLE =&gt; 0.016 · 11. TOTAL AUTRES ACTIVITÉS =&gt; 0.057 · 11.1. SOUTIEN (HORS FORMATIONS SUIVIES) =&gt; 0.041 · 11.2. FORMATIONS SUIVIES =&gt; 0.017</t>
  </si>
  <si>
    <t>963a2a240d 61f95b868c 5f553d6c33</t>
  </si>
  <si>
    <t>7. TOTAL SIÈGE PÉNAL =&gt; 1 · 7.1. COLLÉGIALES HORS JIRS =&gt; 0.2 · 7.14. CI =&gt; 0.8 · 12.31. CONGÉ MALADIE ORDINAIRE =&gt; 0.019 · 12.8. AUTRE ABSENTÉISME =&gt; 0.011</t>
  </si>
  <si>
    <t>2025-02-22</t>
  </si>
  <si>
    <t>7. TOTAL SIÈGE PÉNAL =&gt; 0.854 · 7.1. COLLÉGIALES HORS JIRS =&gt; 0.171 · 7.14. CI =&gt; 0.684</t>
  </si>
  <si>
    <t>2025-02-19</t>
  </si>
  <si>
    <t>7. TOTAL SIÈGE PÉNAL =&gt; 0.011 · 7.1. COLLÉGIALES HORS JIRS =&gt; 0.002 · 7.14. CI =&gt; 0.009 · Autre absentéisme =&gt; 0.011</t>
  </si>
  <si>
    <t>2025-02-18</t>
  </si>
  <si>
    <t>7. TOTAL SIÈGE PÉNAL =&gt; 0.046 · 7.1. COLLÉGIALES HORS JIRS =&gt; 0.009 · 7.14. CI =&gt; 0.037</t>
  </si>
  <si>
    <t>7. TOTAL SIÈGE PÉNAL =&gt; 0.019 · 7.1. COLLÉGIALES HORS JIRS =&gt; 0.004 · 7.14. CI =&gt; 0.015 · Congé maladie ordinaire =&gt; 0.019</t>
  </si>
  <si>
    <t>7. TOTAL SIÈGE PÉNAL =&gt; 0.069 · 7.1. COLLÉGIALES HORS JIRS =&gt; 0.014 · 7.14. CI =&gt; 0.055</t>
  </si>
  <si>
    <t>e28cbd7704 9eaf5faa12 a45b7a55d4</t>
  </si>
  <si>
    <t>3. TOTAL CONTENTIEUX DE LA PROTECTION =&gt; 0.169</t>
  </si>
  <si>
    <t>e01e6bc718 a356a90611 f5702df111</t>
  </si>
  <si>
    <t>98f896f3d0 87f10fd2f8 a7e1dae5a5</t>
  </si>
  <si>
    <t>8701a34b38 16838bf898 5067515d3f</t>
  </si>
  <si>
    <t>5. TOTAL JLD CIVIL =&gt; 0.224 · 10. TOTAL JLD PÉNAL =&gt; 0.4 · 11. TOTAL AUTRES ACTIVITÉS =&gt; 0.176 · 11.1. SOUTIEN (HORS FORMATIONS SUIVIES) =&gt; 0.064 · 11.2. FORMATIONS SUIVIES =&gt; 0.016 · 11.3. FORMATIONS DISPENSÉES =&gt; 0.096</t>
  </si>
  <si>
    <t>436c44f1bb 223f420f90 ce4ba3c668</t>
  </si>
  <si>
    <t>952f54820e 433a149303 f30a5b03cc</t>
  </si>
  <si>
    <t>4. TOTAL CIVIL NON SPÉCIALISÉ =&gt; 0.793 · 4.16. RÉFÉRÉS CIVILS =&gt; 0.793 · 11. TOTAL AUTRES ACTIVITÉS =&gt; 0.042 · 11.1. SOUTIEN (HORS FORMATIONS SUIVIES) =&gt; 0.042</t>
  </si>
  <si>
    <t>898fae23cd ee6ed95a94 5fa2b9f6aa</t>
  </si>
  <si>
    <t>3. TOTAL CONTENTIEUX DE LA PROTECTION =&gt; 0.418 · 3.44. SAISIE DES RÉMUNÉRATIONS =&gt; 0.418</t>
  </si>
  <si>
    <t>ffc0913895 d2da3ffbe2 82eb127263</t>
  </si>
  <si>
    <t>9e2b1a5281 70ad5afdf7 140134ac3c</t>
  </si>
  <si>
    <t>8. TOTAL JUGES D'INSTRUCTION =&gt; 0.164 · 8.1. SERVICE GÉNÉRAL =&gt; 0.164 · 10. TOTAL JLD PÉNAL =&gt; 0.363 · 11. TOTAL AUTRES ACTIVITÉS =&gt; 0.059 · 11.1. SOUTIEN (HORS FORMATIONS SUIVIES) =&gt; 0.059</t>
  </si>
  <si>
    <t>b7ac96a0e3 3dddc6b186 856bf93e48</t>
  </si>
  <si>
    <t>2. TOTAL CONTENTIEUX JAF =&gt; 0.498</t>
  </si>
  <si>
    <t>e30f0d7ada b0d271b26b d71a54bd7b</t>
  </si>
  <si>
    <t>2bd2f42b7c c8c62dca66 a57c4f60a2</t>
  </si>
  <si>
    <t>66653db633 6a52eff7c6 cf652e96fa</t>
  </si>
  <si>
    <t>f916bc29a5 08056ecce2 a7e1dae5a5</t>
  </si>
  <si>
    <t>10. TOTAL JLD PÉNAL =&gt; 0.337</t>
  </si>
  <si>
    <t>ef9e068459 4114ff8ff9 a4259b614f</t>
  </si>
  <si>
    <t>5. TOTAL JLD CIVIL =&gt; 0.202 · 10. TOTAL JLD PÉNAL =&gt; 0.135</t>
  </si>
  <si>
    <t>ccb937f7dc c019fe4c97 ef0c6f946a</t>
  </si>
  <si>
    <t>3. TOTAL CONTENTIEUX DE LA PROTECTION =&gt; 0.223 · 3.2. PROTECTION DES MAJEURS =&gt; 0.111 · 3.41. BAUX =&gt; 0.054 · 3.42. CRÉDIT À LA CONSOMMATION =&gt; 0.04 · 3.43. INJONCTIONS DE PAYER =&gt; 0.017 · 4. TOTAL CIVIL NON SPÉCIALISÉ =&gt; 0.024 · 4.0. CONTENTIEUX GÉNÉRAL &lt;10.000€ =&gt; 0.024 · 5. TOTAL JLD CIVIL =&gt; 0.034 · 5.2. HO - CONTENTION =&gt; 0.034 · 7. TOTAL SIÈGE PÉNAL =&gt; 0.03 · 7.1. COLLÉGIALES HORS JIRS =&gt; 0.01 · 7.5. COUR D'ASSISES HORS JIRS =&gt; 0.007 · 7.52. COUR CRIMINELLE =&gt; 0.013 · 11. TOTAL AUTRES ACTIVITÉS =&gt; 0.027 · 11.1. SOUTIEN (HORS FORMATIONS SUIVIES) =&gt; 0.01 · 11.2. FORMATIONS SUIVIES =&gt; 0.017</t>
  </si>
  <si>
    <t>940f1cb485 b3d2af8cbf 94ee2a3899</t>
  </si>
  <si>
    <t>10. TOTAL JLD PÉNAL =&gt; 0.294 · 10.1. HORS JIRS =&gt; 0.294 · 11. TOTAL AUTRES ACTIVITÉS =&gt; 0.015 · 11.1. SOUTIEN (HORS FORMATIONS SUIVIES) =&gt; 0.015 · 12. TOTAL INDISPONIBILITÉ =&gt; 0.028 · 12.4. TEMPS PARTIEL THÉRAPEUTIQUE =&gt; 0.028</t>
  </si>
  <si>
    <t>2025-11-12</t>
  </si>
  <si>
    <t>10. TOTAL JLD PÉNAL =&gt; 0.105 · 10.1. HORS JIRS =&gt; 0.105 · 11. TOTAL AUTRES ACTIVITÉS =&gt; 0.006 · 11.1. SOUTIEN (HORS FORMATIONS SUIVIES) =&gt; 0.006 · Temps partiel thérapeutique =&gt; 0.028 · TOTAL INDISPONIBILITÉS =&gt; 0.028</t>
  </si>
  <si>
    <t>2025-11-11</t>
  </si>
  <si>
    <t>10. TOTAL JLD PÉNAL =&gt; 0.189 · 10.1. HORS JIRS =&gt; 0.189 · 11. TOTAL AUTRES ACTIVITÉS =&gt; 0.01 · 11.1. SOUTIEN (HORS FORMATIONS SUIVIES) =&gt; 0.01</t>
  </si>
  <si>
    <t>ce87fca89c c6b38c701e b6548a3c9a</t>
  </si>
  <si>
    <t>10. TOTAL JLD PÉNAL =&gt; 0.835</t>
  </si>
  <si>
    <t>a431e979c0 a994df71d0 3cf295a533</t>
  </si>
  <si>
    <t>4. TOTAL CIVIL NON SPÉCIALISÉ =&gt; 0.067 · 4.0. CONTENTIEUX GÉNÉRAL &lt;10.000€ =&gt; 0.034 · 4.4. RESPONSABILITÉ ET QUASI-CONTRATS =&gt; 0.034 · 6. TOTAL JUGES DES ENFANTS =&gt; 0.202 · 6.1. ACTIVITÉ CIVILE =&gt; 0.101 · 6.2. ACTIVITÉ PÉNALE =&gt; 0.101 · 7. TOTAL SIÈGE PÉNAL =&gt; 0.034 · 7.1. COLLÉGIALES HORS JIRS =&gt; 0.017 · 7.14. CI =&gt; 0.017 · 11. TOTAL AUTRES ACTIVITÉS =&gt; 0.034 · 11.1. SOUTIEN (HORS FORMATIONS SUIVIES) =&gt; 0.034</t>
  </si>
  <si>
    <t>d0dadb3f01 8dc87fc673 d30573ab2e</t>
  </si>
  <si>
    <t>993c5e350a 6e37b197af c6ca7ef15a</t>
  </si>
  <si>
    <t>b699720b42 a06889f3e3 a57c4f60a2</t>
  </si>
  <si>
    <t>3. TOTAL CONTENTIEUX DE LA PROTECTION =&gt; 0.107 · 3.3. SURENDETTEMENT DES PARTICULIERS =&gt; 0.107 · 4. TOTAL CIVIL NON SPÉCIALISÉ =&gt; 0.058 · 4.0. CONTENTIEUX GÉNÉRAL &lt;10.000€ =&gt; 0.058</t>
  </si>
  <si>
    <t>80354c18bd e9db58aec6 912dcdc5eb</t>
  </si>
  <si>
    <t>d40420586d 0bf4b4576f 096c50fa50</t>
  </si>
  <si>
    <t>8. TOTAL JUGES D'INSTRUCTION =&gt; 1 · 8.3. JIRS CRIM-ORG =&gt; 1</t>
  </si>
  <si>
    <t>8. TOTAL JUGES D'INSTRUCTION =&gt; 0.874 · 8.3. JIRS CRIM-ORG =&gt; 0.874</t>
  </si>
  <si>
    <t>2025-01-23</t>
  </si>
  <si>
    <t>2025-02-14</t>
  </si>
  <si>
    <t>8. TOTAL JUGES D'INSTRUCTION =&gt; 0.065 · 8.3. JIRS CRIM-ORG =&gt; 0.065 · Compte épargne temps =&gt; 0.065</t>
  </si>
  <si>
    <t>2025-01-22</t>
  </si>
  <si>
    <t>8. TOTAL JUGES D'INSTRUCTION =&gt; 0.061 · 8.3. JIRS CRIM-ORG =&gt; 0.061</t>
  </si>
  <si>
    <t>c3a317bd4d d1fdd7ed63 c6ca7ef15a</t>
  </si>
  <si>
    <t>dcc4970953 7304b2710b beec4ac371</t>
  </si>
  <si>
    <t>7b6100d670 3b4ad982ca 29bd9698eb</t>
  </si>
  <si>
    <t>50fdd9a982 e82441ec42 50000d4da7</t>
  </si>
  <si>
    <t>6. TOTAL JUGES DES ENFANTS =&gt; 1 · 6.1. ACTIVITÉ CIVILE =&gt; 0.5 · 6.2. ACTIVITÉ PÉNALE =&gt; 0.5</t>
  </si>
  <si>
    <t>982aadbb99 70eff9b148 494523ec29</t>
  </si>
  <si>
    <t>3. TOTAL CONTENTIEUX DE LA PROTECTION =&gt; 0.5 · 4. TOTAL CIVIL NON SPÉCIALISÉ =&gt; 0.5 · 4.7. EXÉCUTION =&gt; 0.5</t>
  </si>
  <si>
    <t>bd6732f805 f72da8476e ff63c87f0e</t>
  </si>
  <si>
    <t>7. TOTAL SIÈGE PÉNAL =&gt; 0.088</t>
  </si>
  <si>
    <t>b925cc5027 3eb02661a6 6ff7235915</t>
  </si>
  <si>
    <t>a7438c8f1d 00daac63f0 e6e2cc1399</t>
  </si>
  <si>
    <t>7. TOTAL SIÈGE PÉNAL =&gt; 0.349 · 7.14. CI =&gt; 0.123 · 7.5. COUR D'ASSISES HORS JIRS =&gt; 0.041 · 7.52. COUR CRIMINELLE =&gt; 0.164 · 7.51. COUR D'ASSISES JIRS =&gt; 0.021 · 11. TOTAL AUTRES ACTIVITÉS =&gt; 0.062 · 11.1. SOUTIEN (HORS FORMATIONS SUIVIES) =&gt; 0.062</t>
  </si>
  <si>
    <t>cd0106ad19 19e92c19d5 271af868cc</t>
  </si>
  <si>
    <t>7. TOTAL SIÈGE PÉNAL =&gt; 0.343 · 7.1. COLLÉGIALES HORS JIRS =&gt; 0.192 · 7.5. COUR D'ASSISES HORS JIRS =&gt; 0.069 · 7.52. COUR CRIMINELLE =&gt; 0.014 · 7.51. COUR D'ASSISES JIRS =&gt; 0.069 · 12. TOTAL INDISPONIBILITÉ =&gt; 0.253 · 12.33. CONGÉ PARENTAL &lt; 6 MOIS =&gt; 0.253</t>
  </si>
  <si>
    <t>2025-11-01</t>
  </si>
  <si>
    <t>7. TOTAL SIÈGE PÉNAL =&gt; 0.055 · 7.1. COLLÉGIALES HORS JIRS =&gt; 0.031 · 7.5. COUR D'ASSISES HORS JIRS =&gt; 0.011 · 7.52. COUR CRIMINELLE =&gt; 0.002 · 7.51. COUR D'ASSISES JIRS =&gt; 0.011</t>
  </si>
  <si>
    <t>2025-08-01</t>
  </si>
  <si>
    <t>7. TOTAL SIÈGE PÉNAL =&gt; 0 · 7.1. COLLÉGIALES HORS JIRS =&gt; 0 · 7.5. COUR D'ASSISES HORS JIRS =&gt; 0 · 7.52. COUR CRIMINELLE =&gt; 0 · 7.51. COUR D'ASSISES JIRS =&gt; 0 · Congé parental &lt; 6 mois =&gt; 0.253 · TOTAL INDISPONIBILITÉS =&gt; 0.253</t>
  </si>
  <si>
    <t>2025-07-31</t>
  </si>
  <si>
    <t>7. TOTAL SIÈGE PÉNAL =&gt; 0.287 · 7.1. COLLÉGIALES HORS JIRS =&gt; 0.161 · 7.5. COUR D'ASSISES HORS JIRS =&gt; 0.057 · 7.52. COUR CRIMINELLE =&gt; 0.011 · 7.51. COUR D'ASSISES JIRS =&gt; 0.057</t>
  </si>
  <si>
    <t>961aa4e0d6 ea0f49b601 1cdea531f4</t>
  </si>
  <si>
    <t>10. TOTAL JLD PÉNAL =&gt; 0.176 · 12. TOTAL INDISPONIBILITÉ =&gt; 0.001 · 12.7. AUTRES INDISPONIBILITÉS (ACTION 99) =&gt; 0.001</t>
  </si>
  <si>
    <t>10. TOTAL JLD PÉNAL =&gt; 0.061 · Autres indisponibilités (action 99) =&gt; 0.001 · TOTAL INDISPONIBILITÉS =&gt; 0.001</t>
  </si>
  <si>
    <t>10. TOTAL JLD PÉNAL =&gt; 0.115</t>
  </si>
  <si>
    <t>bd440c8fcd 7434389d48 80561d08a0</t>
  </si>
  <si>
    <t>5. TOTAL JLD CIVIL =&gt; 0.082 · 5.2. HO - CONTENTION =&gt; 0.033 · 5.3. AUTRES JLD CIVIL =&gt; 0.049 · 10. TOTAL JLD PÉNAL =&gt; 0.066 · 10.1. HORS JIRS =&gt; 0.066 · 11. TOTAL AUTRES ACTIVITÉS =&gt; 0.016 · 11.4. ACCÈS AU DROIT ET À LA JUSTICE =&gt; 0.016</t>
  </si>
  <si>
    <t>4f4ad4493f 545186f572 321e6118ad</t>
  </si>
  <si>
    <t>12.31. CONGÉ MALADIE ORDINAIRE =&gt; 0.057</t>
  </si>
  <si>
    <t>2025-12-20</t>
  </si>
  <si>
    <t>2025-12-19</t>
  </si>
  <si>
    <t>Congé maladie ordinaire =&gt; 0.057</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</si>
  <si>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</si>
  <si>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</si>
  <si>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</si>
  <si>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</si>
  <si>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</si>
  <si>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</si>
  <si>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</si>
  <si>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</si>
  <si>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</si>
  <si>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</si>
  <si>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</si>
  <si>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</si>
  <si>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</si>
  <si>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</si>
  <si>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</si>
  <si>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</si>
  <si>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</si>
  <si>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</si>
  <si>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</si>
  <si>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</si>
  <si>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</si>
  <si>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</si>
  <si>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</si>
  <si>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</si>
  <si>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</si>
  <si>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</si>
  <si>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</si>
  <si>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</si>
  <si>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</si>
  <si>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</si>
  <si>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</si>
  <si>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</si>
  <si>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</si>
  <si>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</si>
  <si>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</si>
  <si>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</si>
  <si>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</si>
  <si>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</si>
  <si>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</si>
  <si>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</si>
  <si>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</si>
  <si>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</si>
  <si>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</si>
  <si>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</si>
  <si>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</si>
  <si>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</si>
  <si>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</si>
  <si>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</si>
  <si>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</si>
  <si>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</si>
  <si>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</si>
  <si>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</si>
  <si>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</si>
  <si>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</si>
  <si>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</si>
  <si>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</si>
  <si>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</si>
  <si>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</si>
  <si>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</si>
  <si>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</si>
  <si>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</si>
  <si>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</si>
  <si>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</si>
  <si>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</si>
  <si>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</si>
  <si>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</si>
  <si>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</si>
  <si>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</si>
  <si>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 (pénal uniquement)</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</si>
  <si>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</si>
  <si>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</si>
  <si>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</si>
  <si>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</si>
  <si>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</si>
  <si>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</si>
  <si>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</si>
  <si>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</si>
  <si>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</si>
  <si>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</si>
  <si>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</si>
  <si>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 (pénal uniquement)</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</si>
  <si>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</si>
  <si>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</si>
  <si>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</si>
  <si>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</si>
  <si>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</si>
  <si>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</si>
  <si>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</si>
  <si>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</si>
  <si>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</si>
  <si>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</si>
  <si>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</si>
  <si>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</si>
  <si>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JNS - HO - CRA - Contention (ex JLD civil)</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</si>
  <si>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</si>
  <si>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</si>
  <si>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</si>
  <si>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</si>
  <si>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</si>
  <si>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</si>
  <si>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</si>
  <si>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</si>
  <si>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</si>
  <si>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</si>
  <si>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</si>
  <si>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</si>
  <si>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</si>
  <si>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</si>
  <si>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</si>
  <si>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</si>
  <si>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</si>
  <si>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</si>
  <si>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</si>
  <si>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</si>
  <si>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</si>
  <si>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</si>
  <si>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</si>
  <si>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</si>
  <si>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</si>
  <si>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</si>
  <si>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</si>
  <si>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</si>
  <si>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</si>
  <si>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</si>
  <si>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</si>
  <si>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</si>
  <si>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</si>
  <si>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</si>
  <si>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</si>
  <si>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</si>
  <si>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</si>
  <si>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</si>
  <si>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</si>
  <si>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</si>
  <si>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</si>
  <si>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</si>
  <si>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</si>
  <si>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</si>
  <si>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</si>
  <si>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</si>
  <si>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</si>
  <si>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</si>
  <si>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</si>
  <si>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</si>
  <si>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</si>
  <si>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</si>
  <si>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</si>
  <si>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</si>
  <si>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</si>
  <si>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</si>
  <si>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</si>
  <si>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</si>
  <si>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</si>
  <si>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</si>
  <si>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</si>
  <si>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</si>
  <si>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</si>
  <si>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</si>
  <si>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</si>
  <si>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</si>
  <si>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</si>
  <si>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</si>
  <si>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</si>
  <si>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</si>
  <si>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</si>
  <si>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</si>
  <si>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</si>
  <si>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</si>
  <si>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</si>
  <si>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</si>
  <si>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</si>
  <si>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</si>
  <si>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</si>
  <si>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</si>
  <si>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</si>
  <si>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</si>
  <si>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</si>
  <si>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</si>
  <si>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</si>
  <si>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</si>
  <si>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</si>
  <si>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</si>
  <si>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</si>
  <si>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</si>
  <si>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</si>
  <si>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</si>
  <si>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</si>
  <si>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</si>
  <si>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</si>
  <si>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</si>
  <si>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</si>
  <si>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JUR_ASS_JAP</t>
  </si>
  <si>
    <t>JUR_ASS_JE</t>
  </si>
  <si>
    <t>JUR_ASS_JINST</t>
  </si>
  <si>
    <t>JUR_ASS_JLD</t>
  </si>
  <si>
    <t>Sous action</t>
  </si>
  <si>
    <t>Contractuels A J Prox et A VIF</t>
  </si>
  <si>
    <t>Contractuels A J Prox et A VIF au Parquet</t>
  </si>
  <si>
    <t>Attachés de justice siège</t>
  </si>
  <si>
    <t>Attachés de justice siège affectés aux assises</t>
  </si>
  <si>
    <t>Attachés de justice siège affectés au CCD</t>
  </si>
  <si>
    <t>Attachés de justice au parquet</t>
  </si>
  <si>
    <t>Attachés de justice parquet affectés aux assises</t>
  </si>
  <si>
    <t>Attachés de justice parquet affectés aux CDD</t>
  </si>
  <si>
    <t>Attachés de justice affectés aux JAP</t>
  </si>
  <si>
    <t>Attachés de justice affectés aux JE</t>
  </si>
  <si>
    <t>Attachés de justice affectés aux Juge d'instruction</t>
  </si>
  <si>
    <t>Attachés de justice affectés aux JLD (pénal uniquement)</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</si>
  <si>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</si>
  <si>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</si>
  <si>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</si>
  <si>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</si>
  <si>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</si>
  <si>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</si>
  <si>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</si>
  <si>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</si>
  <si>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</si>
  <si>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</si>
  <si>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</si>
  <si>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</si>
  <si>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</si>
  <si>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</si>
  <si>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</si>
  <si>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</si>
  <si>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</si>
  <si>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ATTACHÉS DE JUSTICE</t>
  </si>
  <si>
    <t>TJ</t>
  </si>
  <si>
    <t>TPROX</t>
  </si>
  <si>
    <t>CPH</t>
  </si>
  <si>
    <t>CPH détachés</t>
  </si>
  <si>
    <t>#! END_ROW</t>
  </si>
  <si>
    <t>#! FINISH</t>
  </si>
  <si>
    <t>JNS_HO_CRA_CONTENTION_(EX JLD CIVIL)</t>
  </si>
  <si>
    <t>JLD</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</si>
  <si>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</si>
  <si>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</si>
  <si>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</si>
  <si>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</si>
  <si>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</si>
  <si>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</si>
  <si>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</si>
  <si>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</si>
  <si>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</si>
  <si>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t xml:space="preserve">5. TOTAL JLD CIVIL
(Pour Fonction recodée = Magistrats SIEGE S et NS)
TJ et TPR ou CPH (donc pas de critère sur le TJ)</t>
  </si>
  <si>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</si>
  <si>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</si>
  <si>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</si>
  <si>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</si>
  <si>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</si>
  <si>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</si>
  <si>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</si>
  <si>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</si>
  <si>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</si>
  <si>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</si>
  <si>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</si>
  <si>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</si>
  <si>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</si>
  <si>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</si>
  <si>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</si>
  <si>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</si>
  <si>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</si>
  <si>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</si>
  <si>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</si>
  <si>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</si>
  <si>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</si>
  <si>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</si>
  <si>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</si>
  <si>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</si>
  <si>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</si>
  <si>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</si>
  <si>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</si>
  <si>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</si>
  <si>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</si>
  <si>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</si>
  <si>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</si>
  <si>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</si>
  <si>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</si>
  <si>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</si>
  <si>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</si>
  <si>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</si>
  <si>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</si>
  <si>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</si>
  <si>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</si>
  <si>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</si>
  <si>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</si>
  <si>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</si>
  <si>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</si>
  <si>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</si>
  <si>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</si>
  <si>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</si>
  <si>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</si>
  <si>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</si>
  <si>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</si>
  <si>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</si>
  <si>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</si>
  <si>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</si>
  <si>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</si>
  <si>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</si>
  <si>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</si>
  <si>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</si>
  <si>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</si>
  <si>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</si>
  <si>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</si>
  <si>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</si>
  <si>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</si>
  <si>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</si>
  <si>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</si>
  <si>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</si>
  <si>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</si>
  <si>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</si>
  <si>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</si>
  <si>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</si>
  <si>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</si>
  <si>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</si>
  <si>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</si>
  <si>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</si>
  <si>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</si>
  <si>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</si>
  <si>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</si>
  <si>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</si>
  <si>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</si>
  <si>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</si>
  <si>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</si>
  <si>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</si>
  <si>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</si>
  <si>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</si>
  <si>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</si>
  <si>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</si>
  <si>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</si>
  <si>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</si>
  <si>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</si>
  <si>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</si>
  <si>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</si>
  <si>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</si>
  <si>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</si>
  <si>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</si>
  <si>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</si>
  <si>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</si>
  <si>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</si>
  <si>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</si>
  <si>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</si>
  <si>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</si>
  <si>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</si>
  <si>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</si>
  <si>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</si>
  <si>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</si>
  <si>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</si>
  <si>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</si>
  <si>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</si>
  <si>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</si>
  <si>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</si>
  <si>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</si>
  <si>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</si>
  <si>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</si>
  <si>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</si>
  <si>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</si>
  <si>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</si>
  <si>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</si>
  <si>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</si>
  <si>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</si>
  <si>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</si>
  <si>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</si>
  <si>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</si>
  <si>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</si>
  <si>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</si>
  <si>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</si>
  <si>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</si>
  <si>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</si>
  <si>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</si>
  <si>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</si>
  <si>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</si>
  <si>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</si>
  <si>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</si>
  <si>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</si>
  <si>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</si>
  <si>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</si>
  <si>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</si>
  <si>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</si>
  <si>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</si>
  <si>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t>Fonctionnaires affectés aux fonctions JI, JE, JAP, JLD</t>
  </si>
  <si>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</si>
  <si>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</si>
  <si>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</si>
  <si>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</si>
  <si>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</si>
  <si>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</si>
  <si>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</si>
  <si>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</si>
  <si>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t>
    </r>
    <r>
      <rPr>
        <u/>
        <family val="2"/>
        <sz val="10"/>
        <rFont val="Arial"/>
      </rPr>
      <t>5. TOTAL JLD CIVIL</t>
    </r>
    <r>
      <rPr>
        <family val="2"/>
        <sz val="10"/>
        <rFont val="Arial"/>
      </rPr>
      <t xml:space="preserve">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</si>
  <si>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</si>
  <si>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</si>
  <si>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</si>
  <si>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</si>
  <si>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</si>
  <si>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</si>
  <si>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</si>
  <si>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</si>
  <si>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</si>
  <si>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</si>
  <si>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</si>
  <si>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</si>
  <si>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</si>
  <si>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</si>
  <si>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</si>
  <si>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</si>
  <si>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</si>
  <si>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</si>
  <si>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</si>
  <si>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</si>
  <si>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</si>
  <si>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</si>
  <si>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</si>
  <si>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</si>
  <si>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</si>
  <si>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</si>
  <si>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</si>
  <si>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</si>
  <si>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</si>
  <si>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</si>
  <si>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</si>
  <si>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</si>
  <si>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</si>
  <si>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</si>
  <si>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</si>
  <si>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</si>
  <si>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</si>
  <si>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</si>
  <si>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</si>
  <si>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</si>
  <si>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</si>
  <si>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</si>
  <si>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</si>
  <si>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</si>
  <si>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</si>
  <si>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</si>
  <si>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</si>
  <si>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</si>
  <si>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</si>
  <si>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</si>
  <si>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</si>
  <si>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</si>
  <si>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</si>
  <si>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</si>
  <si>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</si>
  <si>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</si>
  <si>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</si>
  <si>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</si>
  <si>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</si>
  <si>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</si>
  <si>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</si>
  <si>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</si>
  <si>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</si>
  <si>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</si>
  <si>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</si>
  <si>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</si>
  <si>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</si>
  <si>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</si>
  <si>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</si>
  <si>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</si>
  <si>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</si>
  <si>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</si>
  <si>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</si>
  <si>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</si>
  <si>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</si>
  <si>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</si>
  <si>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</si>
  <si>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</si>
  <si>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</si>
  <si>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</si>
  <si>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</si>
  <si>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</si>
  <si>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</si>
  <si>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</si>
  <si>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</si>
  <si>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</si>
  <si>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</si>
  <si>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</si>
  <si>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</si>
  <si>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ATT J</t>
  </si>
  <si>
    <t>CONT_A_JP_VIF_PARQUET</t>
  </si>
  <si>
    <t>ETPT de contractuels a j prox et a vif</t>
  </si>
  <si>
    <t>ETPT juristes assistants siège autres</t>
  </si>
  <si>
    <t>Attachés de justice siège affectés aux CCD</t>
  </si>
  <si>
    <t>ETPT attachés de justice au parquet</t>
  </si>
  <si>
    <t>Attachés de justice parquet affectés aux CCD</t>
  </si>
  <si>
    <t>ETPT de contractuels a j prox et a vif au parquet</t>
  </si>
  <si>
    <t>ETPT attachés de justice affectés aux jap</t>
  </si>
  <si>
    <t>ETPT attachés de justice affectés aux je</t>
  </si>
  <si>
    <t>ETPT attachés de justice affectés aux juge d'instruction</t>
  </si>
  <si>
    <t>ETPT attachés de justice affectés aux jld pénal</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</si>
  <si>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</si>
  <si>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1. TOTAL CONTENTIEUX SOCIAL + 2. TOTAL CONTENTIEUX JAF + 3. TOTAL CONTENTIEUX DE LA PROTECTION + 4. TOTAL CIVIL NON SPÉCIALISÉ + + 5. TOTAL JLD CIVIL + 11.7. FONCTIONNAIRES AFFECTÉS AU CPH
</t>
    </r>
    <r>
      <rPr>
        <b/>
        <color rgb="FF0070C0"/>
        <family val="2"/>
        <sz val="10"/>
        <rFont val="Arial"/>
      </rPr>
      <t>Fonction recodée = Att.J/JA PARQUET + Att.J/JA SIEGE AUTRES + Att.J/JA JAP + Att.J/JA JE + Att.J/JA JI + Att.J/AJ JLD PENAL + Att.J SIEGE ASSISES + Att.J SIEGE CCD</t>
    </r>
    <r>
      <rPr>
        <color theme="1"/>
        <family val="2"/>
        <sz val="10"/>
        <rFont val="Arial"/>
      </rPr>
      <t xml:space="preserve">
</t>
    </r>
    <r>
      <rPr>
        <b/>
        <color indexed="2"/>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</si>
  <si>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</si>
  <si>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</si>
  <si>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</si>
  <si>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</si>
  <si>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t xml:space="preserve">7. TOTAL SIÈGE PÉNAL
Fonction recodée = Att.J/JA PARQUET + Att.J/JA SIEGE AUTRES + Att.J/JA JAP + Att.J/JA JE + Att.J/JA JI + Att.J/AJ JLD PENAL + Att.J SIEGE ASSISES + Att.J SIEGE CCD
Critère sur le TJ ou le TPROX ou le CPH</t>
  </si>
  <si>
    <t xml:space="preserve">7.5. COUR D'ASSISES HORS JIRS +
7.51. COUR D'ASSISES JIRS
Fonction recodée = Att.J/JA PARQUET + Att.J/JA SIEGE AUTRES + Att.J/JA JAP + Att.J/JA JE + Att.J/JA JI + Att.J/AJ JLD PENAL + Att.J SIEGE ASSISES + Att.J SIEGE CCD
Critère sur le TJ ou le TPROX ou le CPH</t>
  </si>
  <si>
    <t xml:space="preserve">7.52 COUR CRIM
Fonction recodée = Att.J/JA PARQUET + Att.J/JA SIEGE AUTRES + Att.J/JA JAP + Att.J/JA JE + Att.J/JA JI + Att.J/AJ JLD PENAL + Att.J SIEGE ASSISES + Att.J SIEGE CCD
Critère sur le TJ ou le TPROX ou le CPH</t>
  </si>
  <si>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</si>
  <si>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</si>
  <si>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</si>
  <si>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</si>
  <si>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</si>
  <si>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</si>
  <si>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</si>
  <si>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</si>
  <si>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</si>
  <si>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</si>
  <si>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</si>
  <si>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</si>
  <si>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</si>
  <si>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</si>
  <si>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</si>
  <si>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</si>
  <si>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</si>
  <si>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</si>
  <si>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</si>
  <si>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</si>
  <si>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</si>
  <si>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</si>
  <si>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</si>
  <si>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</si>
  <si>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</si>
  <si>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</si>
  <si>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</si>
  <si>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</si>
  <si>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 xml:space="preserve">Fonction recodée = Att.J/JA SIEGE ASSISES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</si>
  <si>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</si>
  <si>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</si>
  <si>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</si>
  <si>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</si>
  <si>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</si>
  <si>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</si>
  <si>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</si>
  <si>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</si>
  <si>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</si>
  <si>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</si>
  <si>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 xml:space="preserve">Fonction recodée = Att.J/JA SIEGE CCD
</t>
    </r>
    <r>
      <rPr>
        <b/>
        <color indexed="2"/>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</si>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</sst>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0"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color theme="1"/>
      <family val="2"/>
      <sz val="7"/>
      <name val="Arial"/>
    </font>
    <font>
      <b/>
      <color rgb="FFFF0000"/>
      <family val="2"/>
      <scheme val="minor"/>
      <sz val="12"/>
      <name val="Calibri"/>
    </font>
    <font>
      <color theme="1"/>
      <family val="2"/>
      <sz val="10"/>
      <name val="Arial"/>
    </font>
    <font>
      <color theme="1"/>
      <family val="2"/>
      <scheme val="minor"/>
      <sz val="7"/>
      <name val="Calibri"/>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8">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168" fontId="28" fillId="24" borderId="22" xfId="0" applyNumberFormat="1" applyFont="1" applyFill="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9" fillId="0" borderId="0" xfId="0" applyNumberFormat="1" applyFont="1" applyProtection="1">
      <protection hidden="1"/>
    </xf>
    <xf numFmtId="0" fontId="29" fillId="0" borderId="0" xfId="0" applyFont="1" applyProtection="1">
      <protection hidden="1"/>
    </xf>
    <xf numFmtId="168" fontId="18" fillId="0" borderId="0" xfId="0" applyNumberFormat="1" applyFont="1" applyProtection="1">
      <protection hidden="1"/>
    </xf>
    <xf numFmtId="0" fontId="30" fillId="0" borderId="0" xfId="0" applyFont="1" applyAlignment="1">
      <alignment vertical="center" wrapText="1"/>
    </xf>
    <xf numFmtId="168" fontId="25" fillId="26" borderId="22" xfId="0" applyNumberFormat="1" applyFont="1" applyFill="1" applyBorder="1" applyAlignment="1">
      <alignment horizontal="right" wrapText="1"/>
    </xf>
    <xf numFmtId="0" fontId="31" fillId="0" borderId="0" xfId="0" applyFont="1" applyAlignment="1" applyProtection="1">
      <alignment horizontal="right"/>
      <protection hidden="1"/>
    </xf>
    <xf numFmtId="0" fontId="28" fillId="0" borderId="0" xfId="0" applyFont="1" applyAlignment="1">
      <alignment horizontal="right"/>
    </xf>
    <xf numFmtId="168" fontId="31"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28" fillId="0" borderId="0" xfId="0" applyFont="1" applyAlignment="1" applyProtection="1">
      <alignment horizontal="right"/>
      <protection hidden="1"/>
    </xf>
    <xf numFmtId="0" fontId="28" fillId="0" borderId="0" xfId="0" applyFont="1" applyAlignment="1">
      <alignment horizontal="right" wrapText="1"/>
    </xf>
    <xf numFmtId="168" fontId="28"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1"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28" fillId="26" borderId="22" xfId="0" applyNumberFormat="1" applyFont="1" applyFill="1" applyBorder="1" applyAlignment="1">
      <alignment horizontal="right" wrapText="1"/>
    </xf>
    <xf numFmtId="168" fontId="28"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28"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28"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28" fillId="0" borderId="0" xfId="0" applyFont="1" applyAlignment="1">
      <alignment horizontal="right" vertical="center"/>
    </xf>
    <xf numFmtId="168" fontId="28"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28"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28"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1" fillId="0" borderId="28" xfId="0" applyFont="1" applyBorder="1"/>
    <xf numFmtId="49" fontId="23" fillId="27" borderId="29" xfId="0" applyNumberFormat="1" applyFont="1" applyFill="1" applyBorder="1" applyAlignment="1">
      <alignment horizontal="left" vertical="center" wrapText="1"/>
    </xf>
    <xf numFmtId="0" fontId="30" fillId="0" borderId="0" xfId="0" applyFont="1" applyProtection="1">
      <protection hidden="1"/>
    </xf>
    <xf numFmtId="0" fontId="44" fillId="0" borderId="0" xfId="0" applyFont="1" applyProtection="1">
      <protection locked="0"/>
    </xf>
    <xf numFmtId="0" fontId="30"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38" fillId="0" borderId="22" xfId="0" applyFont="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30"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30"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0" fontId="0" fillId="6" borderId="0" xfId="0" applyFill="1"/>
    <xf numFmtId="0" fontId="20" fillId="6" borderId="0" xfId="0" applyFont="1" applyFill="1" applyAlignment="1">
      <alignment horizontal="center" vertical="center"/>
    </xf>
    <xf numFmtId="0" fontId="21" fillId="6" borderId="0" xfId="0" applyFont="1" applyFill="1" applyAlignment="1">
      <alignment horizontal="center" vertical="center" wrapText="1"/>
    </xf>
    <xf numFmtId="0" fontId="35" fillId="6" borderId="0" xfId="0" applyFont="1" applyFill="1" applyAlignment="1">
      <alignment horizontal="center" vertical="center" wrapText="1"/>
    </xf>
    <xf numFmtId="0" fontId="22" fillId="6" borderId="22" xfId="0" applyFont="1" applyFill="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30" fillId="0" borderId="22" xfId="0" applyNumberFormat="1" applyFont="1" applyBorder="1" applyAlignment="1">
      <alignment horizontal="center" vertical="center" wrapText="1"/>
    </xf>
    <xf numFmtId="168" fontId="30" fillId="0" borderId="28" xfId="0" applyNumberFormat="1" applyFont="1" applyBorder="1" applyAlignment="1">
      <alignment horizontal="center" vertical="center" wrapText="1"/>
    </xf>
    <xf numFmtId="168" fontId="30" fillId="0" borderId="0" xfId="0" applyNumberFormat="1" applyFont="1" applyAlignment="1">
      <alignment horizontal="center" vertical="center" wrapText="1"/>
    </xf>
    <xf numFmtId="168" fontId="2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T194"/>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5" width="10" customWidth="1"/>
    <col min="6" max="6" width="19" customWidth="1"/>
    <col min="7" max="7" width="10" customWidth="1"/>
    <col min="8" max="11" customWidth="1"/>
    <col min="12" max="122" width="27" customWidth="1"/>
  </cols>
  <sheetData>
    <row r="1" ht="80" customHeight="1" spans="1:124"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T1" s="45"/>
    </row>
    <row r="2" ht="66" customHeight="1" spans="1:124"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R2" s="46" t="s">
        <v>149</v>
      </c>
      <c r="DT2" s="1"/>
    </row>
    <row r="3" spans="1:124" x14ac:dyDescent="0.25">
      <c r="A3" s="47" t="s">
        <v>150</v>
      </c>
      <c r="B3" s="47" t="s">
        <v>151</v>
      </c>
      <c r="C3" s="47" t="s">
        <v>152</v>
      </c>
      <c r="D3" s="47" t="s">
        <v>153</v>
      </c>
      <c r="E3" s="47" t="s">
        <v>154</v>
      </c>
      <c r="F3" s="47"/>
      <c r="G3" s="47"/>
      <c r="H3" s="47" t="str">
        <f>=IFERROR(VLOOKUP(A3,'ETPT Format DDG'!A:J,10,FALSE),"")</f>
        <v>0</v>
      </c>
      <c r="I3" s="47" t="str">
        <f>='ETPT Format DDG'!M3</f>
        <v/>
      </c>
      <c r="J3" s="47" t="str">
        <f>='ETPT Format DDG'!D3</f>
        <v/>
      </c>
      <c r="K3" s="47" t="s">
        <v>155</v>
      </c>
      <c r="L3" s="47" t="s">
        <v>156</v>
      </c>
      <c r="M3" s="47"/>
      <c r="N3" s="47">
        <v>0</v>
      </c>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row>
    <row r="4" spans="1:124" x14ac:dyDescent="0.25">
      <c r="A4" s="47" t="s">
        <v>157</v>
      </c>
      <c r="B4" s="47" t="s">
        <v>151</v>
      </c>
      <c r="C4" s="47" t="s">
        <v>158</v>
      </c>
      <c r="D4" s="47" t="s">
        <v>159</v>
      </c>
      <c r="E4" s="47" t="s">
        <v>160</v>
      </c>
      <c r="F4" s="47" t="s">
        <v>161</v>
      </c>
      <c r="G4" s="47" t="s">
        <v>162</v>
      </c>
      <c r="H4" s="47" t="str">
        <f>=IFERROR(VLOOKUP(A4,'ETPT Format DDG'!A:J,10,FALSE),"")</f>
        <v>0</v>
      </c>
      <c r="I4" s="47" t="str">
        <f>='ETPT Format DDG'!M4</f>
        <v/>
      </c>
      <c r="J4" s="47" t="str">
        <f>='ETPT Format DDG'!D4</f>
        <v/>
      </c>
      <c r="K4" s="47" t="s">
        <v>155</v>
      </c>
      <c r="L4" s="47" t="s">
        <v>163</v>
      </c>
      <c r="M4" s="47"/>
      <c r="N4" s="47">
        <v>1</v>
      </c>
      <c r="O4" s="47">
        <v>1</v>
      </c>
      <c r="P4" s="47">
        <v>0</v>
      </c>
      <c r="Q4" s="47">
        <v>0</v>
      </c>
      <c r="R4" s="47">
        <v>0</v>
      </c>
      <c r="S4" s="47">
        <v>0</v>
      </c>
      <c r="T4" s="47">
        <v>0</v>
      </c>
      <c r="U4" s="47">
        <v>0.91</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0.07</v>
      </c>
      <c r="BP4" s="47">
        <v>0</v>
      </c>
      <c r="BQ4" s="47">
        <v>0</v>
      </c>
      <c r="BR4" s="47">
        <v>0</v>
      </c>
      <c r="BS4" s="47">
        <v>0</v>
      </c>
      <c r="BT4" s="47">
        <v>0</v>
      </c>
      <c r="BU4" s="47">
        <v>0</v>
      </c>
      <c r="BV4" s="47">
        <v>0</v>
      </c>
      <c r="BW4" s="47">
        <v>0.02</v>
      </c>
      <c r="BX4" s="47">
        <v>0</v>
      </c>
      <c r="BY4" s="47">
        <v>0</v>
      </c>
      <c r="BZ4" s="47">
        <v>0</v>
      </c>
      <c r="CA4" s="47">
        <v>0</v>
      </c>
      <c r="CB4" s="47">
        <v>0</v>
      </c>
      <c r="CC4" s="47">
        <v>0</v>
      </c>
      <c r="CD4" s="47">
        <v>0</v>
      </c>
      <c r="CE4" s="47">
        <v>0.05</v>
      </c>
      <c r="CF4" s="47">
        <v>0</v>
      </c>
      <c r="CG4" s="47">
        <v>0</v>
      </c>
      <c r="CH4" s="47">
        <v>0</v>
      </c>
      <c r="CI4" s="47">
        <v>0</v>
      </c>
      <c r="CJ4" s="47">
        <v>0</v>
      </c>
      <c r="CK4" s="47">
        <v>0</v>
      </c>
      <c r="CL4" s="47">
        <v>0</v>
      </c>
      <c r="CM4" s="47">
        <v>0</v>
      </c>
      <c r="CN4" s="47">
        <v>0</v>
      </c>
      <c r="CO4" s="47">
        <v>0</v>
      </c>
      <c r="CP4" s="47">
        <v>0</v>
      </c>
      <c r="CQ4" s="47">
        <v>0</v>
      </c>
      <c r="CR4" s="47">
        <v>0</v>
      </c>
      <c r="CS4" s="47">
        <v>0</v>
      </c>
      <c r="CT4" s="47">
        <v>0.02</v>
      </c>
      <c r="CU4" s="47">
        <v>0</v>
      </c>
      <c r="CV4" s="47">
        <v>0.02</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row>
    <row r="5" spans="1:124" x14ac:dyDescent="0.25">
      <c r="A5" s="47" t="s">
        <v>164</v>
      </c>
      <c r="B5" s="47" t="s">
        <v>151</v>
      </c>
      <c r="C5" s="47" t="s">
        <v>165</v>
      </c>
      <c r="D5" s="47" t="s">
        <v>166</v>
      </c>
      <c r="E5" s="47" t="s">
        <v>167</v>
      </c>
      <c r="F5" s="47" t="s">
        <v>161</v>
      </c>
      <c r="G5" s="47" t="s">
        <v>168</v>
      </c>
      <c r="H5" s="47" t="str">
        <f>=IFERROR(VLOOKUP(A5,'ETPT Format DDG'!A:J,10,FALSE),"")</f>
        <v>0</v>
      </c>
      <c r="I5" s="47" t="str">
        <f>='ETPT Format DDG'!M5</f>
        <v/>
      </c>
      <c r="J5" s="47" t="str">
        <f>='ETPT Format DDG'!D5</f>
        <v/>
      </c>
      <c r="K5" s="47" t="s">
        <v>155</v>
      </c>
      <c r="L5" s="47" t="s">
        <v>169</v>
      </c>
      <c r="M5" s="47" t="s">
        <v>170</v>
      </c>
      <c r="N5" s="47">
        <v>0.3372</v>
      </c>
      <c r="O5" s="47">
        <v>0.3372</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0.3372</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row>
    <row r="6" spans="1:124" x14ac:dyDescent="0.25">
      <c r="A6" s="47" t="s">
        <v>171</v>
      </c>
      <c r="B6" s="47" t="s">
        <v>151</v>
      </c>
      <c r="C6" s="47" t="s">
        <v>172</v>
      </c>
      <c r="D6" s="47" t="s">
        <v>173</v>
      </c>
      <c r="E6" s="47" t="s">
        <v>174</v>
      </c>
      <c r="F6" s="47" t="s">
        <v>161</v>
      </c>
      <c r="G6" s="47" t="s">
        <v>175</v>
      </c>
      <c r="H6" s="47" t="str">
        <f>=IFERROR(VLOOKUP(A6,'ETPT Format DDG'!A:J,10,FALSE),"")</f>
        <v>0</v>
      </c>
      <c r="I6" s="47" t="str">
        <f>='ETPT Format DDG'!M6</f>
        <v/>
      </c>
      <c r="J6" s="47" t="str">
        <f>='ETPT Format DDG'!D6</f>
        <v/>
      </c>
      <c r="K6" s="47" t="s">
        <v>155</v>
      </c>
      <c r="L6" s="47" t="s">
        <v>176</v>
      </c>
      <c r="M6" s="47"/>
      <c r="N6" s="47">
        <v>1</v>
      </c>
      <c r="O6" s="47">
        <v>1</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0.14</v>
      </c>
      <c r="BP6" s="47">
        <v>0.1</v>
      </c>
      <c r="BQ6" s="47">
        <v>0.03</v>
      </c>
      <c r="BR6" s="47">
        <v>0</v>
      </c>
      <c r="BS6" s="47">
        <v>0</v>
      </c>
      <c r="BT6" s="47">
        <v>0</v>
      </c>
      <c r="BU6" s="47">
        <v>0</v>
      </c>
      <c r="BV6" s="47">
        <v>0</v>
      </c>
      <c r="BW6" s="47">
        <v>0.01</v>
      </c>
      <c r="BX6" s="47">
        <v>0</v>
      </c>
      <c r="BY6" s="47">
        <v>0</v>
      </c>
      <c r="BZ6" s="47">
        <v>0</v>
      </c>
      <c r="CA6" s="47">
        <v>0</v>
      </c>
      <c r="CB6" s="47">
        <v>0</v>
      </c>
      <c r="CC6" s="47">
        <v>0</v>
      </c>
      <c r="CD6" s="47">
        <v>0</v>
      </c>
      <c r="CE6" s="47">
        <v>0</v>
      </c>
      <c r="CF6" s="47">
        <v>0</v>
      </c>
      <c r="CG6" s="47">
        <v>0</v>
      </c>
      <c r="CH6" s="47">
        <v>0</v>
      </c>
      <c r="CI6" s="47">
        <v>0</v>
      </c>
      <c r="CJ6" s="47">
        <v>0</v>
      </c>
      <c r="CK6" s="47">
        <v>0</v>
      </c>
      <c r="CL6" s="47">
        <v>0.77</v>
      </c>
      <c r="CM6" s="47">
        <v>0</v>
      </c>
      <c r="CN6" s="47">
        <v>0</v>
      </c>
      <c r="CO6" s="47">
        <v>0</v>
      </c>
      <c r="CP6" s="47">
        <v>0</v>
      </c>
      <c r="CQ6" s="47">
        <v>0</v>
      </c>
      <c r="CR6" s="47">
        <v>0</v>
      </c>
      <c r="CS6" s="47">
        <v>0</v>
      </c>
      <c r="CT6" s="47">
        <v>0.09</v>
      </c>
      <c r="CU6" s="47">
        <v>0.066</v>
      </c>
      <c r="CV6" s="47">
        <v>0.024</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row>
    <row r="7" spans="1:124" x14ac:dyDescent="0.25">
      <c r="A7" s="47" t="s">
        <v>177</v>
      </c>
      <c r="B7" s="47" t="s">
        <v>151</v>
      </c>
      <c r="C7" s="47" t="s">
        <v>178</v>
      </c>
      <c r="D7" s="47" t="s">
        <v>179</v>
      </c>
      <c r="E7" s="47" t="s">
        <v>180</v>
      </c>
      <c r="F7" s="47" t="s">
        <v>161</v>
      </c>
      <c r="G7" s="47" t="s">
        <v>181</v>
      </c>
      <c r="H7" s="47" t="str">
        <f>=IFERROR(VLOOKUP(A7,'ETPT Format DDG'!A:J,10,FALSE),"")</f>
        <v>0</v>
      </c>
      <c r="I7" s="47" t="str">
        <f>='ETPT Format DDG'!M7</f>
        <v/>
      </c>
      <c r="J7" s="47" t="str">
        <f>='ETPT Format DDG'!D7</f>
        <v/>
      </c>
      <c r="K7" s="47" t="s">
        <v>155</v>
      </c>
      <c r="L7" s="47" t="s">
        <v>182</v>
      </c>
      <c r="M7" s="47"/>
      <c r="N7" s="47">
        <v>0.8</v>
      </c>
      <c r="O7" s="47">
        <v>0.8</v>
      </c>
      <c r="P7" s="47">
        <v>0</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0.224</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0.4</v>
      </c>
      <c r="CR7" s="47">
        <v>0</v>
      </c>
      <c r="CS7" s="47">
        <v>0</v>
      </c>
      <c r="CT7" s="47">
        <v>0.176</v>
      </c>
      <c r="CU7" s="47">
        <v>0.064</v>
      </c>
      <c r="CV7" s="47">
        <v>0.016</v>
      </c>
      <c r="CW7" s="47">
        <v>0.096</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row>
    <row r="8" spans="1:124" x14ac:dyDescent="0.25">
      <c r="A8" s="47" t="s">
        <v>183</v>
      </c>
      <c r="B8" s="47" t="s">
        <v>151</v>
      </c>
      <c r="C8" s="47" t="s">
        <v>184</v>
      </c>
      <c r="D8" s="47" t="s">
        <v>185</v>
      </c>
      <c r="E8" s="47" t="s">
        <v>186</v>
      </c>
      <c r="F8" s="47" t="s">
        <v>161</v>
      </c>
      <c r="G8" s="47" t="s">
        <v>187</v>
      </c>
      <c r="H8" s="47" t="str">
        <f>=IFERROR(VLOOKUP(A8,'ETPT Format DDG'!A:J,10,FALSE),"")</f>
        <v>0</v>
      </c>
      <c r="I8" s="47" t="str">
        <f>='ETPT Format DDG'!M8</f>
        <v/>
      </c>
      <c r="J8" s="47" t="str">
        <f>='ETPT Format DDG'!D8</f>
        <v/>
      </c>
      <c r="K8" s="47" t="s">
        <v>155</v>
      </c>
      <c r="L8" s="47" t="s">
        <v>182</v>
      </c>
      <c r="M8" s="47"/>
      <c r="N8" s="47">
        <v>1</v>
      </c>
      <c r="O8" s="47">
        <v>0</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row>
    <row r="9" spans="1:124" x14ac:dyDescent="0.25">
      <c r="A9" s="47" t="s">
        <v>188</v>
      </c>
      <c r="B9" s="47" t="s">
        <v>151</v>
      </c>
      <c r="C9" s="47" t="s">
        <v>189</v>
      </c>
      <c r="D9" s="47" t="s">
        <v>190</v>
      </c>
      <c r="E9" s="47" t="s">
        <v>191</v>
      </c>
      <c r="F9" s="47" t="s">
        <v>161</v>
      </c>
      <c r="G9" s="47" t="s">
        <v>192</v>
      </c>
      <c r="H9" s="47" t="str">
        <f>=IFERROR(VLOOKUP(A9,'ETPT Format DDG'!A:J,10,FALSE),"")</f>
        <v>0</v>
      </c>
      <c r="I9" s="47" t="str">
        <f>='ETPT Format DDG'!M9</f>
        <v/>
      </c>
      <c r="J9" s="47" t="str">
        <f>='ETPT Format DDG'!D9</f>
        <v/>
      </c>
      <c r="K9" s="47" t="s">
        <v>155</v>
      </c>
      <c r="L9" s="47" t="s">
        <v>182</v>
      </c>
      <c r="M9" s="47"/>
      <c r="N9" s="47">
        <v>1</v>
      </c>
      <c r="O9" s="47">
        <v>1</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0.065</v>
      </c>
      <c r="BP9" s="47">
        <v>0.006</v>
      </c>
      <c r="BQ9" s="47">
        <v>0.03</v>
      </c>
      <c r="BR9" s="47">
        <v>0</v>
      </c>
      <c r="BS9" s="47">
        <v>0</v>
      </c>
      <c r="BT9" s="47">
        <v>0</v>
      </c>
      <c r="BU9" s="47">
        <v>0</v>
      </c>
      <c r="BV9" s="47">
        <v>0</v>
      </c>
      <c r="BW9" s="47">
        <v>0.01</v>
      </c>
      <c r="BX9" s="47">
        <v>0.019</v>
      </c>
      <c r="BY9" s="47">
        <v>0</v>
      </c>
      <c r="BZ9" s="47">
        <v>0</v>
      </c>
      <c r="CA9" s="47">
        <v>0</v>
      </c>
      <c r="CB9" s="47">
        <v>0</v>
      </c>
      <c r="CC9" s="47">
        <v>0</v>
      </c>
      <c r="CD9" s="47">
        <v>0</v>
      </c>
      <c r="CE9" s="47">
        <v>0</v>
      </c>
      <c r="CF9" s="47">
        <v>0</v>
      </c>
      <c r="CG9" s="47">
        <v>0</v>
      </c>
      <c r="CH9" s="47">
        <v>0</v>
      </c>
      <c r="CI9" s="47">
        <v>0</v>
      </c>
      <c r="CJ9" s="47">
        <v>0</v>
      </c>
      <c r="CK9" s="47">
        <v>0</v>
      </c>
      <c r="CL9" s="47">
        <v>0.887</v>
      </c>
      <c r="CM9" s="47">
        <v>0</v>
      </c>
      <c r="CN9" s="47">
        <v>0</v>
      </c>
      <c r="CO9" s="47">
        <v>0</v>
      </c>
      <c r="CP9" s="47">
        <v>0</v>
      </c>
      <c r="CQ9" s="47">
        <v>0</v>
      </c>
      <c r="CR9" s="47">
        <v>0</v>
      </c>
      <c r="CS9" s="47">
        <v>0</v>
      </c>
      <c r="CT9" s="47">
        <v>0.048</v>
      </c>
      <c r="CU9" s="47">
        <v>0</v>
      </c>
      <c r="CV9" s="47">
        <v>0.024</v>
      </c>
      <c r="CW9" s="47">
        <v>0</v>
      </c>
      <c r="CX9" s="47">
        <v>0</v>
      </c>
      <c r="CY9" s="47">
        <v>0</v>
      </c>
      <c r="CZ9" s="47">
        <v>0</v>
      </c>
      <c r="DA9" s="47">
        <v>0.024</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row>
    <row r="10" spans="1:124" x14ac:dyDescent="0.25">
      <c r="A10" s="47" t="s">
        <v>193</v>
      </c>
      <c r="B10" s="47" t="s">
        <v>151</v>
      </c>
      <c r="C10" s="47" t="s">
        <v>194</v>
      </c>
      <c r="D10" s="47" t="s">
        <v>195</v>
      </c>
      <c r="E10" s="47" t="s">
        <v>196</v>
      </c>
      <c r="F10" s="47" t="s">
        <v>161</v>
      </c>
      <c r="G10" s="47" t="s">
        <v>197</v>
      </c>
      <c r="H10" s="47" t="str">
        <f>=IFERROR(VLOOKUP(A10,'ETPT Format DDG'!A:J,10,FALSE),"")</f>
        <v>0</v>
      </c>
      <c r="I10" s="47" t="str">
        <f>='ETPT Format DDG'!M10</f>
        <v/>
      </c>
      <c r="J10" s="47" t="str">
        <f>='ETPT Format DDG'!D10</f>
        <v/>
      </c>
      <c r="K10" s="47" t="s">
        <v>155</v>
      </c>
      <c r="L10" s="47" t="s">
        <v>198</v>
      </c>
      <c r="M10" s="47" t="s">
        <v>169</v>
      </c>
      <c r="N10" s="47">
        <v>0.6667</v>
      </c>
      <c r="O10" s="47">
        <v>0.6667</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0.6067</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0.0467</v>
      </c>
      <c r="BP10" s="47">
        <v>0</v>
      </c>
      <c r="BQ10" s="47">
        <v>0</v>
      </c>
      <c r="BR10" s="47">
        <v>0</v>
      </c>
      <c r="BS10" s="47">
        <v>0</v>
      </c>
      <c r="BT10" s="47">
        <v>0</v>
      </c>
      <c r="BU10" s="47">
        <v>0</v>
      </c>
      <c r="BV10" s="47">
        <v>0</v>
      </c>
      <c r="BW10" s="47">
        <v>0.0133</v>
      </c>
      <c r="BX10" s="47">
        <v>0</v>
      </c>
      <c r="BY10" s="47">
        <v>0</v>
      </c>
      <c r="BZ10" s="47">
        <v>0</v>
      </c>
      <c r="CA10" s="47">
        <v>0</v>
      </c>
      <c r="CB10" s="47">
        <v>0</v>
      </c>
      <c r="CC10" s="47">
        <v>0</v>
      </c>
      <c r="CD10" s="47">
        <v>0</v>
      </c>
      <c r="CE10" s="47">
        <v>0.0333</v>
      </c>
      <c r="CF10" s="47">
        <v>0</v>
      </c>
      <c r="CG10" s="47">
        <v>0</v>
      </c>
      <c r="CH10" s="47">
        <v>0</v>
      </c>
      <c r="CI10" s="47">
        <v>0</v>
      </c>
      <c r="CJ10" s="47">
        <v>0</v>
      </c>
      <c r="CK10" s="47">
        <v>0</v>
      </c>
      <c r="CL10" s="47">
        <v>0</v>
      </c>
      <c r="CM10" s="47">
        <v>0</v>
      </c>
      <c r="CN10" s="47">
        <v>0</v>
      </c>
      <c r="CO10" s="47">
        <v>0</v>
      </c>
      <c r="CP10" s="47">
        <v>0</v>
      </c>
      <c r="CQ10" s="47">
        <v>0</v>
      </c>
      <c r="CR10" s="47">
        <v>0</v>
      </c>
      <c r="CS10" s="47">
        <v>0</v>
      </c>
      <c r="CT10" s="47">
        <v>0.0133</v>
      </c>
      <c r="CU10" s="47">
        <v>0</v>
      </c>
      <c r="CV10" s="47">
        <v>0.0133</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row>
    <row r="11" spans="1:124" x14ac:dyDescent="0.25">
      <c r="A11" s="47" t="s">
        <v>199</v>
      </c>
      <c r="B11" s="47" t="s">
        <v>151</v>
      </c>
      <c r="C11" s="47" t="s">
        <v>200</v>
      </c>
      <c r="D11" s="47" t="s">
        <v>201</v>
      </c>
      <c r="E11" s="47" t="s">
        <v>202</v>
      </c>
      <c r="F11" s="47" t="s">
        <v>161</v>
      </c>
      <c r="G11" s="47" t="s">
        <v>187</v>
      </c>
      <c r="H11" s="47" t="str">
        <f>=IFERROR(VLOOKUP(A11,'ETPT Format DDG'!A:J,10,FALSE),"")</f>
        <v>0</v>
      </c>
      <c r="I11" s="47" t="str">
        <f>='ETPT Format DDG'!M11</f>
        <v/>
      </c>
      <c r="J11" s="47" t="str">
        <f>='ETPT Format DDG'!D11</f>
        <v/>
      </c>
      <c r="K11" s="47" t="s">
        <v>155</v>
      </c>
      <c r="L11" s="47" t="s">
        <v>169</v>
      </c>
      <c r="M11" s="47"/>
      <c r="N11" s="47">
        <v>0.0881</v>
      </c>
      <c r="O11" s="47">
        <v>0</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row>
    <row r="12" spans="1:124" x14ac:dyDescent="0.25">
      <c r="A12" s="47" t="s">
        <v>203</v>
      </c>
      <c r="B12" s="47" t="s">
        <v>151</v>
      </c>
      <c r="C12" s="47" t="s">
        <v>204</v>
      </c>
      <c r="D12" s="47" t="s">
        <v>205</v>
      </c>
      <c r="E12" s="47" t="s">
        <v>206</v>
      </c>
      <c r="F12" s="47" t="s">
        <v>161</v>
      </c>
      <c r="G12" s="47" t="s">
        <v>207</v>
      </c>
      <c r="H12" s="47" t="str">
        <f>=IFERROR(VLOOKUP(A12,'ETPT Format DDG'!A:J,10,FALSE),"")</f>
        <v>0</v>
      </c>
      <c r="I12" s="47" t="str">
        <f>='ETPT Format DDG'!M12</f>
        <v/>
      </c>
      <c r="J12" s="47" t="str">
        <f>='ETPT Format DDG'!D12</f>
        <v/>
      </c>
      <c r="K12" s="47" t="s">
        <v>155</v>
      </c>
      <c r="L12" s="47" t="s">
        <v>208</v>
      </c>
      <c r="M12" s="47"/>
      <c r="N12" s="47">
        <v>1</v>
      </c>
      <c r="O12" s="47">
        <v>1</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0.91</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0.07</v>
      </c>
      <c r="BP12" s="47">
        <v>0</v>
      </c>
      <c r="BQ12" s="47">
        <v>0</v>
      </c>
      <c r="BR12" s="47">
        <v>0</v>
      </c>
      <c r="BS12" s="47">
        <v>0</v>
      </c>
      <c r="BT12" s="47">
        <v>0</v>
      </c>
      <c r="BU12" s="47">
        <v>0</v>
      </c>
      <c r="BV12" s="47">
        <v>0</v>
      </c>
      <c r="BW12" s="47">
        <v>0.02</v>
      </c>
      <c r="BX12" s="47">
        <v>0</v>
      </c>
      <c r="BY12" s="47">
        <v>0</v>
      </c>
      <c r="BZ12" s="47">
        <v>0</v>
      </c>
      <c r="CA12" s="47">
        <v>0</v>
      </c>
      <c r="CB12" s="47">
        <v>0</v>
      </c>
      <c r="CC12" s="47">
        <v>0</v>
      </c>
      <c r="CD12" s="47">
        <v>0</v>
      </c>
      <c r="CE12" s="47">
        <v>0.05</v>
      </c>
      <c r="CF12" s="47">
        <v>0</v>
      </c>
      <c r="CG12" s="47">
        <v>0</v>
      </c>
      <c r="CH12" s="47">
        <v>0</v>
      </c>
      <c r="CI12" s="47">
        <v>0</v>
      </c>
      <c r="CJ12" s="47">
        <v>0</v>
      </c>
      <c r="CK12" s="47">
        <v>0</v>
      </c>
      <c r="CL12" s="47">
        <v>0</v>
      </c>
      <c r="CM12" s="47">
        <v>0</v>
      </c>
      <c r="CN12" s="47">
        <v>0</v>
      </c>
      <c r="CO12" s="47">
        <v>0</v>
      </c>
      <c r="CP12" s="47">
        <v>0</v>
      </c>
      <c r="CQ12" s="47">
        <v>0</v>
      </c>
      <c r="CR12" s="47">
        <v>0</v>
      </c>
      <c r="CS12" s="47">
        <v>0</v>
      </c>
      <c r="CT12" s="47">
        <v>0.02</v>
      </c>
      <c r="CU12" s="47">
        <v>0</v>
      </c>
      <c r="CV12" s="47">
        <v>0.02</v>
      </c>
      <c r="CW12" s="47">
        <v>0</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row>
    <row r="13" spans="1:124" x14ac:dyDescent="0.25">
      <c r="A13" s="47" t="s">
        <v>209</v>
      </c>
      <c r="B13" s="47" t="s">
        <v>151</v>
      </c>
      <c r="C13" s="47" t="s">
        <v>210</v>
      </c>
      <c r="D13" s="47" t="s">
        <v>211</v>
      </c>
      <c r="E13" s="47" t="s">
        <v>212</v>
      </c>
      <c r="F13" s="47" t="s">
        <v>161</v>
      </c>
      <c r="G13" s="47" t="s">
        <v>207</v>
      </c>
      <c r="H13" s="47" t="str">
        <f>=IFERROR(VLOOKUP(A13,'ETPT Format DDG'!A:J,10,FALSE),"")</f>
        <v>0</v>
      </c>
      <c r="I13" s="47" t="str">
        <f>='ETPT Format DDG'!M13</f>
        <v/>
      </c>
      <c r="J13" s="47" t="str">
        <f>='ETPT Format DDG'!D13</f>
        <v/>
      </c>
      <c r="K13" s="47" t="s">
        <v>155</v>
      </c>
      <c r="L13" s="47" t="s">
        <v>213</v>
      </c>
      <c r="M13" s="47"/>
      <c r="N13" s="47">
        <v>0.9425</v>
      </c>
      <c r="O13" s="47">
        <v>0</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0.0575</v>
      </c>
      <c r="DG13" s="47">
        <v>0.0575</v>
      </c>
      <c r="DH13" s="47">
        <v>0</v>
      </c>
      <c r="DI13" s="47">
        <v>0</v>
      </c>
      <c r="DJ13" s="47">
        <v>0</v>
      </c>
      <c r="DK13" s="47">
        <v>0</v>
      </c>
      <c r="DL13" s="47">
        <v>0</v>
      </c>
      <c r="DM13" s="47">
        <v>0</v>
      </c>
      <c r="DN13" s="47">
        <v>0</v>
      </c>
      <c r="DO13" s="47">
        <v>0</v>
      </c>
      <c r="DP13" s="47">
        <v>0</v>
      </c>
      <c r="DQ13" s="47">
        <v>0</v>
      </c>
      <c r="DR13" s="47">
        <v>0</v>
      </c>
    </row>
    <row r="14" spans="1:124" x14ac:dyDescent="0.25">
      <c r="A14" s="47" t="s">
        <v>214</v>
      </c>
      <c r="B14" s="47" t="s">
        <v>151</v>
      </c>
      <c r="C14" s="47" t="s">
        <v>215</v>
      </c>
      <c r="D14" s="47" t="s">
        <v>216</v>
      </c>
      <c r="E14" s="47" t="s">
        <v>217</v>
      </c>
      <c r="F14" s="47" t="s">
        <v>161</v>
      </c>
      <c r="G14" s="47" t="s">
        <v>218</v>
      </c>
      <c r="H14" s="47" t="str">
        <f>=IFERROR(VLOOKUP(A14,'ETPT Format DDG'!A:J,10,FALSE),"")</f>
        <v>0</v>
      </c>
      <c r="I14" s="47" t="str">
        <f>='ETPT Format DDG'!M14</f>
        <v/>
      </c>
      <c r="J14" s="47" t="str">
        <f>='ETPT Format DDG'!D14</f>
        <v/>
      </c>
      <c r="K14" s="47" t="s">
        <v>155</v>
      </c>
      <c r="L14" s="47" t="s">
        <v>176</v>
      </c>
      <c r="M14" s="47" t="s">
        <v>169</v>
      </c>
      <c r="N14" s="47">
        <v>0.6667</v>
      </c>
      <c r="O14" s="47">
        <v>0.6667</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0.596</v>
      </c>
      <c r="BM14" s="47">
        <v>0.476</v>
      </c>
      <c r="BN14" s="47">
        <v>0.12</v>
      </c>
      <c r="BO14" s="47">
        <v>0.0133</v>
      </c>
      <c r="BP14" s="47">
        <v>0</v>
      </c>
      <c r="BQ14" s="47">
        <v>0</v>
      </c>
      <c r="BR14" s="47">
        <v>0</v>
      </c>
      <c r="BS14" s="47">
        <v>0</v>
      </c>
      <c r="BT14" s="47">
        <v>0</v>
      </c>
      <c r="BU14" s="47">
        <v>0</v>
      </c>
      <c r="BV14" s="47">
        <v>0</v>
      </c>
      <c r="BW14" s="47">
        <v>0.0133</v>
      </c>
      <c r="BX14" s="47">
        <v>0</v>
      </c>
      <c r="BY14" s="47">
        <v>0</v>
      </c>
      <c r="BZ14" s="47">
        <v>0</v>
      </c>
      <c r="CA14" s="47">
        <v>0</v>
      </c>
      <c r="CB14" s="47">
        <v>0</v>
      </c>
      <c r="CC14" s="47">
        <v>0</v>
      </c>
      <c r="CD14" s="47">
        <v>0</v>
      </c>
      <c r="CE14" s="47">
        <v>0</v>
      </c>
      <c r="CF14" s="47">
        <v>0</v>
      </c>
      <c r="CG14" s="47">
        <v>0</v>
      </c>
      <c r="CH14" s="47">
        <v>0</v>
      </c>
      <c r="CI14" s="47">
        <v>0</v>
      </c>
      <c r="CJ14" s="47">
        <v>0</v>
      </c>
      <c r="CK14" s="47">
        <v>0</v>
      </c>
      <c r="CL14" s="47">
        <v>0</v>
      </c>
      <c r="CM14" s="47">
        <v>0</v>
      </c>
      <c r="CN14" s="47">
        <v>0</v>
      </c>
      <c r="CO14" s="47">
        <v>0</v>
      </c>
      <c r="CP14" s="47">
        <v>0</v>
      </c>
      <c r="CQ14" s="47">
        <v>0.024</v>
      </c>
      <c r="CR14" s="47">
        <v>0</v>
      </c>
      <c r="CS14" s="47">
        <v>0</v>
      </c>
      <c r="CT14" s="47">
        <v>0.0333</v>
      </c>
      <c r="CU14" s="47">
        <v>0.0333</v>
      </c>
      <c r="CV14" s="47">
        <v>0</v>
      </c>
      <c r="CW14" s="47">
        <v>0</v>
      </c>
      <c r="CX14" s="47">
        <v>0</v>
      </c>
      <c r="CY14" s="47">
        <v>0</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row>
    <row r="15" spans="1:124" x14ac:dyDescent="0.25">
      <c r="A15" s="47" t="s">
        <v>219</v>
      </c>
      <c r="B15" s="47" t="s">
        <v>151</v>
      </c>
      <c r="C15" s="47" t="s">
        <v>220</v>
      </c>
      <c r="D15" s="47" t="s">
        <v>221</v>
      </c>
      <c r="E15" s="47" t="s">
        <v>222</v>
      </c>
      <c r="F15" s="47" t="s">
        <v>161</v>
      </c>
      <c r="G15" s="47" t="s">
        <v>192</v>
      </c>
      <c r="H15" s="47" t="str">
        <f>=IFERROR(VLOOKUP(A15,'ETPT Format DDG'!A:J,10,FALSE),"")</f>
        <v>0</v>
      </c>
      <c r="I15" s="47" t="str">
        <f>='ETPT Format DDG'!M15</f>
        <v/>
      </c>
      <c r="J15" s="47" t="str">
        <f>='ETPT Format DDG'!D15</f>
        <v/>
      </c>
      <c r="K15" s="47" t="s">
        <v>155</v>
      </c>
      <c r="L15" s="47" t="s">
        <v>223</v>
      </c>
      <c r="M15" s="47"/>
      <c r="N15" s="47">
        <v>0.9693</v>
      </c>
      <c r="O15" s="47">
        <v>0.9693</v>
      </c>
      <c r="P15" s="47">
        <v>0</v>
      </c>
      <c r="Q15" s="47">
        <v>0</v>
      </c>
      <c r="R15" s="47">
        <v>0</v>
      </c>
      <c r="S15" s="47">
        <v>0</v>
      </c>
      <c r="T15" s="47">
        <v>0</v>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0.0485</v>
      </c>
      <c r="BP15" s="47">
        <v>0</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0.8821</v>
      </c>
      <c r="CM15" s="47">
        <v>0</v>
      </c>
      <c r="CN15" s="47">
        <v>0</v>
      </c>
      <c r="CO15" s="47">
        <v>0</v>
      </c>
      <c r="CP15" s="47">
        <v>0</v>
      </c>
      <c r="CQ15" s="47">
        <v>0</v>
      </c>
      <c r="CR15" s="47">
        <v>0</v>
      </c>
      <c r="CS15" s="47">
        <v>0</v>
      </c>
      <c r="CT15" s="47">
        <v>0.0388</v>
      </c>
      <c r="CU15" s="47">
        <v>0</v>
      </c>
      <c r="CV15" s="47">
        <v>0.0194</v>
      </c>
      <c r="CW15" s="47">
        <v>0.0194</v>
      </c>
      <c r="CX15" s="47">
        <v>0</v>
      </c>
      <c r="CY15" s="47">
        <v>0</v>
      </c>
      <c r="CZ15" s="47">
        <v>0</v>
      </c>
      <c r="DA15" s="47">
        <v>0</v>
      </c>
      <c r="DB15" s="47">
        <v>0</v>
      </c>
      <c r="DC15" s="47">
        <v>0</v>
      </c>
      <c r="DD15" s="47">
        <v>0</v>
      </c>
      <c r="DE15" s="47">
        <v>0</v>
      </c>
      <c r="DF15" s="47">
        <v>0.0307</v>
      </c>
      <c r="DG15" s="47">
        <v>0</v>
      </c>
      <c r="DH15" s="47">
        <v>0.0307</v>
      </c>
      <c r="DI15" s="47">
        <v>0</v>
      </c>
      <c r="DJ15" s="47">
        <v>0</v>
      </c>
      <c r="DK15" s="47">
        <v>0</v>
      </c>
      <c r="DL15" s="47">
        <v>0</v>
      </c>
      <c r="DM15" s="47">
        <v>0</v>
      </c>
      <c r="DN15" s="47">
        <v>0</v>
      </c>
      <c r="DO15" s="47">
        <v>0</v>
      </c>
      <c r="DP15" s="47">
        <v>0</v>
      </c>
      <c r="DQ15" s="47">
        <v>0</v>
      </c>
      <c r="DR15" s="47">
        <v>0</v>
      </c>
    </row>
    <row r="16" spans="1:124" x14ac:dyDescent="0.25">
      <c r="A16" s="47" t="s">
        <v>224</v>
      </c>
      <c r="B16" s="47" t="s">
        <v>151</v>
      </c>
      <c r="C16" s="47" t="s">
        <v>225</v>
      </c>
      <c r="D16" s="47" t="s">
        <v>226</v>
      </c>
      <c r="E16" s="47" t="s">
        <v>227</v>
      </c>
      <c r="F16" s="47" t="s">
        <v>161</v>
      </c>
      <c r="G16" s="47" t="s">
        <v>162</v>
      </c>
      <c r="H16" s="47" t="str">
        <f>=IFERROR(VLOOKUP(A16,'ETPT Format DDG'!A:J,10,FALSE),"")</f>
        <v>0</v>
      </c>
      <c r="I16" s="47" t="str">
        <f>='ETPT Format DDG'!M16</f>
        <v/>
      </c>
      <c r="J16" s="47" t="str">
        <f>='ETPT Format DDG'!D16</f>
        <v/>
      </c>
      <c r="K16" s="47" t="s">
        <v>155</v>
      </c>
      <c r="L16" s="47" t="s">
        <v>228</v>
      </c>
      <c r="M16" s="47"/>
      <c r="N16" s="47">
        <v>0.9</v>
      </c>
      <c r="O16" s="47">
        <v>0</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row>
    <row r="17" spans="1:124" x14ac:dyDescent="0.25">
      <c r="A17" s="47" t="s">
        <v>229</v>
      </c>
      <c r="B17" s="47" t="s">
        <v>151</v>
      </c>
      <c r="C17" s="47" t="s">
        <v>230</v>
      </c>
      <c r="D17" s="47" t="s">
        <v>231</v>
      </c>
      <c r="E17" s="47" t="s">
        <v>232</v>
      </c>
      <c r="F17" s="47" t="s">
        <v>161</v>
      </c>
      <c r="G17" s="47" t="s">
        <v>207</v>
      </c>
      <c r="H17" s="47" t="str">
        <f>=IFERROR(VLOOKUP(A17,'ETPT Format DDG'!A:J,10,FALSE),"")</f>
        <v>0</v>
      </c>
      <c r="I17" s="47" t="str">
        <f>='ETPT Format DDG'!M17</f>
        <v/>
      </c>
      <c r="J17" s="47" t="str">
        <f>='ETPT Format DDG'!D17</f>
        <v/>
      </c>
      <c r="K17" s="47" t="s">
        <v>155</v>
      </c>
      <c r="L17" s="47" t="s">
        <v>233</v>
      </c>
      <c r="M17" s="47"/>
      <c r="N17" s="47">
        <v>0.7931</v>
      </c>
      <c r="O17" s="47">
        <v>0.7931</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0.7297</v>
      </c>
      <c r="AO17" s="47">
        <v>0</v>
      </c>
      <c r="AP17" s="47">
        <v>0</v>
      </c>
      <c r="AQ17" s="47">
        <v>0</v>
      </c>
      <c r="AR17" s="47">
        <v>0.1983</v>
      </c>
      <c r="AS17" s="47">
        <v>0.3688</v>
      </c>
      <c r="AT17" s="47">
        <v>0</v>
      </c>
      <c r="AU17" s="47">
        <v>0</v>
      </c>
      <c r="AV17" s="47">
        <v>0</v>
      </c>
      <c r="AW17" s="47">
        <v>0</v>
      </c>
      <c r="AX17" s="47">
        <v>0</v>
      </c>
      <c r="AY17" s="47">
        <v>0</v>
      </c>
      <c r="AZ17" s="47">
        <v>0</v>
      </c>
      <c r="BA17" s="47">
        <v>0</v>
      </c>
      <c r="BB17" s="47">
        <v>0</v>
      </c>
      <c r="BC17" s="47">
        <v>0.004</v>
      </c>
      <c r="BD17" s="47">
        <v>0</v>
      </c>
      <c r="BE17" s="47">
        <v>0.1586</v>
      </c>
      <c r="BF17" s="47">
        <v>0</v>
      </c>
      <c r="BG17" s="47">
        <v>0</v>
      </c>
      <c r="BH17" s="47">
        <v>0</v>
      </c>
      <c r="BI17" s="47">
        <v>0</v>
      </c>
      <c r="BJ17" s="47">
        <v>0</v>
      </c>
      <c r="BK17" s="47">
        <v>0</v>
      </c>
      <c r="BL17" s="47">
        <v>0</v>
      </c>
      <c r="BM17" s="47">
        <v>0</v>
      </c>
      <c r="BN17" s="47">
        <v>0</v>
      </c>
      <c r="BO17" s="47">
        <v>0.0397</v>
      </c>
      <c r="BP17" s="47">
        <v>0.0238</v>
      </c>
      <c r="BQ17" s="47">
        <v>0</v>
      </c>
      <c r="BR17" s="47">
        <v>0</v>
      </c>
      <c r="BS17" s="47">
        <v>0</v>
      </c>
      <c r="BT17" s="47">
        <v>0</v>
      </c>
      <c r="BU17" s="47">
        <v>0</v>
      </c>
      <c r="BV17" s="47">
        <v>0</v>
      </c>
      <c r="BW17" s="47">
        <v>0.0159</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0.0238</v>
      </c>
      <c r="CU17" s="47">
        <v>0.0079</v>
      </c>
      <c r="CV17" s="47">
        <v>0.0159</v>
      </c>
      <c r="CW17" s="47">
        <v>0</v>
      </c>
      <c r="CX17" s="47">
        <v>0</v>
      </c>
      <c r="CY17" s="47">
        <v>0</v>
      </c>
      <c r="CZ17" s="47">
        <v>0</v>
      </c>
      <c r="DA17" s="47">
        <v>0</v>
      </c>
      <c r="DB17" s="47">
        <v>0</v>
      </c>
      <c r="DC17" s="47">
        <v>0</v>
      </c>
      <c r="DD17" s="47">
        <v>0</v>
      </c>
      <c r="DE17" s="47">
        <v>0</v>
      </c>
      <c r="DF17" s="47">
        <v>0.2069</v>
      </c>
      <c r="DG17" s="47">
        <v>0</v>
      </c>
      <c r="DH17" s="47">
        <v>0.2069</v>
      </c>
      <c r="DI17" s="47">
        <v>0</v>
      </c>
      <c r="DJ17" s="47">
        <v>0</v>
      </c>
      <c r="DK17" s="47">
        <v>0</v>
      </c>
      <c r="DL17" s="47">
        <v>0</v>
      </c>
      <c r="DM17" s="47">
        <v>0</v>
      </c>
      <c r="DN17" s="47">
        <v>0</v>
      </c>
      <c r="DO17" s="47">
        <v>0</v>
      </c>
      <c r="DP17" s="47">
        <v>0</v>
      </c>
      <c r="DQ17" s="47">
        <v>0</v>
      </c>
      <c r="DR17" s="47">
        <v>0</v>
      </c>
    </row>
    <row r="18" spans="1:124" x14ac:dyDescent="0.25">
      <c r="A18" s="47" t="s">
        <v>234</v>
      </c>
      <c r="B18" s="47" t="s">
        <v>151</v>
      </c>
      <c r="C18" s="47" t="s">
        <v>235</v>
      </c>
      <c r="D18" s="47" t="s">
        <v>236</v>
      </c>
      <c r="E18" s="47" t="s">
        <v>237</v>
      </c>
      <c r="F18" s="47" t="s">
        <v>161</v>
      </c>
      <c r="G18" s="47" t="s">
        <v>218</v>
      </c>
      <c r="H18" s="47" t="str">
        <f>=IFERROR(VLOOKUP(A18,'ETPT Format DDG'!A:J,10,FALSE),"")</f>
        <v>0</v>
      </c>
      <c r="I18" s="47" t="str">
        <f>='ETPT Format DDG'!M18</f>
        <v/>
      </c>
      <c r="J18" s="47" t="str">
        <f>='ETPT Format DDG'!D18</f>
        <v/>
      </c>
      <c r="K18" s="47" t="s">
        <v>155</v>
      </c>
      <c r="L18" s="47" t="s">
        <v>213</v>
      </c>
      <c r="M18" s="47"/>
      <c r="N18" s="47">
        <v>1</v>
      </c>
      <c r="O18" s="47">
        <v>1</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0.05</v>
      </c>
      <c r="BI18" s="47">
        <v>0</v>
      </c>
      <c r="BJ18" s="47">
        <v>0</v>
      </c>
      <c r="BK18" s="47">
        <v>0</v>
      </c>
      <c r="BL18" s="47">
        <v>0.8</v>
      </c>
      <c r="BM18" s="47">
        <v>0.5</v>
      </c>
      <c r="BN18" s="47">
        <v>0.3</v>
      </c>
      <c r="BO18" s="47">
        <v>0.03</v>
      </c>
      <c r="BP18" s="47">
        <v>0.03</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0.05</v>
      </c>
      <c r="CR18" s="47">
        <v>0</v>
      </c>
      <c r="CS18" s="47">
        <v>0</v>
      </c>
      <c r="CT18" s="47">
        <v>0.07</v>
      </c>
      <c r="CU18" s="47">
        <v>0</v>
      </c>
      <c r="CV18" s="47">
        <v>0.07</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row>
    <row r="19" spans="1:124" x14ac:dyDescent="0.25">
      <c r="A19" s="47" t="s">
        <v>238</v>
      </c>
      <c r="B19" s="47" t="s">
        <v>151</v>
      </c>
      <c r="C19" s="47" t="s">
        <v>239</v>
      </c>
      <c r="D19" s="47" t="s">
        <v>240</v>
      </c>
      <c r="E19" s="47" t="s">
        <v>241</v>
      </c>
      <c r="F19" s="47" t="s">
        <v>161</v>
      </c>
      <c r="G19" s="47" t="s">
        <v>242</v>
      </c>
      <c r="H19" s="47" t="str">
        <f>=IFERROR(VLOOKUP(A19,'ETPT Format DDG'!A:J,10,FALSE),"")</f>
        <v>0</v>
      </c>
      <c r="I19" s="47" t="str">
        <f>='ETPT Format DDG'!M19</f>
        <v/>
      </c>
      <c r="J19" s="47" t="str">
        <f>='ETPT Format DDG'!D19</f>
        <v/>
      </c>
      <c r="K19" s="47" t="s">
        <v>155</v>
      </c>
      <c r="L19" s="47" t="s">
        <v>169</v>
      </c>
      <c r="M19" s="47"/>
      <c r="N19" s="47">
        <v>0.3372</v>
      </c>
      <c r="O19" s="47">
        <v>0</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row>
    <row r="20" spans="1:124" x14ac:dyDescent="0.25">
      <c r="A20" s="47" t="s">
        <v>243</v>
      </c>
      <c r="B20" s="47" t="s">
        <v>151</v>
      </c>
      <c r="C20" s="47" t="s">
        <v>244</v>
      </c>
      <c r="D20" s="47" t="s">
        <v>245</v>
      </c>
      <c r="E20" s="47" t="s">
        <v>246</v>
      </c>
      <c r="F20" s="47" t="s">
        <v>161</v>
      </c>
      <c r="G20" s="47" t="s">
        <v>207</v>
      </c>
      <c r="H20" s="47" t="str">
        <f>=IFERROR(VLOOKUP(A20,'ETPT Format DDG'!A:J,10,FALSE),"")</f>
        <v>0</v>
      </c>
      <c r="I20" s="47" t="str">
        <f>='ETPT Format DDG'!M20</f>
        <v/>
      </c>
      <c r="J20" s="47" t="str">
        <f>='ETPT Format DDG'!D20</f>
        <v/>
      </c>
      <c r="K20" s="47" t="s">
        <v>155</v>
      </c>
      <c r="L20" s="47" t="s">
        <v>213</v>
      </c>
      <c r="M20" s="47"/>
      <c r="N20" s="47">
        <v>1</v>
      </c>
      <c r="O20" s="47">
        <v>0</v>
      </c>
      <c r="P20" s="47">
        <v>0</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row>
    <row r="21" spans="1:124" x14ac:dyDescent="0.25">
      <c r="A21" s="47" t="s">
        <v>247</v>
      </c>
      <c r="B21" s="47" t="s">
        <v>151</v>
      </c>
      <c r="C21" s="47" t="s">
        <v>248</v>
      </c>
      <c r="D21" s="47" t="s">
        <v>249</v>
      </c>
      <c r="E21" s="47" t="s">
        <v>250</v>
      </c>
      <c r="F21" s="47" t="s">
        <v>161</v>
      </c>
      <c r="G21" s="47" t="s">
        <v>251</v>
      </c>
      <c r="H21" s="47" t="str">
        <f>=IFERROR(VLOOKUP(A21,'ETPT Format DDG'!A:J,10,FALSE),"")</f>
        <v>0</v>
      </c>
      <c r="I21" s="47" t="str">
        <f>='ETPT Format DDG'!M21</f>
        <v/>
      </c>
      <c r="J21" s="47" t="str">
        <f>='ETPT Format DDG'!D21</f>
        <v/>
      </c>
      <c r="K21" s="47" t="s">
        <v>155</v>
      </c>
      <c r="L21" s="47" t="s">
        <v>163</v>
      </c>
      <c r="M21" s="47"/>
      <c r="N21" s="47">
        <v>1</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row>
    <row r="22" spans="1:124" x14ac:dyDescent="0.25">
      <c r="A22" s="47" t="s">
        <v>252</v>
      </c>
      <c r="B22" s="47" t="s">
        <v>151</v>
      </c>
      <c r="C22" s="47" t="s">
        <v>253</v>
      </c>
      <c r="D22" s="47" t="s">
        <v>254</v>
      </c>
      <c r="E22" s="47" t="s">
        <v>255</v>
      </c>
      <c r="F22" s="47" t="s">
        <v>161</v>
      </c>
      <c r="G22" s="47" t="s">
        <v>256</v>
      </c>
      <c r="H22" s="47" t="str">
        <f>=IFERROR(VLOOKUP(A22,'ETPT Format DDG'!A:J,10,FALSE),"")</f>
        <v>0</v>
      </c>
      <c r="I22" s="47" t="str">
        <f>='ETPT Format DDG'!M22</f>
        <v/>
      </c>
      <c r="J22" s="47" t="str">
        <f>='ETPT Format DDG'!D22</f>
        <v/>
      </c>
      <c r="K22" s="47" t="s">
        <v>155</v>
      </c>
      <c r="L22" s="47" t="s">
        <v>257</v>
      </c>
      <c r="M22" s="47"/>
      <c r="N22" s="47">
        <v>1</v>
      </c>
      <c r="O22" s="47">
        <v>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0.91</v>
      </c>
      <c r="BM22" s="47">
        <v>0</v>
      </c>
      <c r="BN22" s="47">
        <v>0</v>
      </c>
      <c r="BO22" s="47">
        <v>0.02</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0.07</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row>
    <row r="23" spans="1:124" x14ac:dyDescent="0.25">
      <c r="A23" s="47" t="s">
        <v>258</v>
      </c>
      <c r="B23" s="47" t="s">
        <v>151</v>
      </c>
      <c r="C23" s="47" t="s">
        <v>259</v>
      </c>
      <c r="D23" s="47" t="s">
        <v>260</v>
      </c>
      <c r="E23" s="47" t="s">
        <v>261</v>
      </c>
      <c r="F23" s="47" t="s">
        <v>161</v>
      </c>
      <c r="G23" s="47" t="s">
        <v>262</v>
      </c>
      <c r="H23" s="47" t="str">
        <f>=IFERROR(VLOOKUP(A23,'ETPT Format DDG'!A:J,10,FALSE),"")</f>
        <v>0</v>
      </c>
      <c r="I23" s="47" t="str">
        <f>='ETPT Format DDG'!M23</f>
        <v/>
      </c>
      <c r="J23" s="47" t="str">
        <f>='ETPT Format DDG'!D23</f>
        <v/>
      </c>
      <c r="K23" s="47" t="s">
        <v>155</v>
      </c>
      <c r="L23" s="47" t="s">
        <v>263</v>
      </c>
      <c r="M23" s="47"/>
      <c r="N23" s="47">
        <v>1</v>
      </c>
      <c r="O23" s="47">
        <v>1</v>
      </c>
      <c r="P23" s="47">
        <v>0</v>
      </c>
      <c r="Q23" s="47">
        <v>0</v>
      </c>
      <c r="R23" s="47">
        <v>0</v>
      </c>
      <c r="S23" s="47">
        <v>0</v>
      </c>
      <c r="T23" s="47">
        <v>0</v>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0.07</v>
      </c>
      <c r="BP23" s="47">
        <v>0</v>
      </c>
      <c r="BQ23" s="47">
        <v>0</v>
      </c>
      <c r="BR23" s="47">
        <v>0</v>
      </c>
      <c r="BS23" s="47">
        <v>0</v>
      </c>
      <c r="BT23" s="47">
        <v>0</v>
      </c>
      <c r="BU23" s="47">
        <v>0</v>
      </c>
      <c r="BV23" s="47">
        <v>0</v>
      </c>
      <c r="BW23" s="47">
        <v>0.02</v>
      </c>
      <c r="BX23" s="47">
        <v>0</v>
      </c>
      <c r="BY23" s="47">
        <v>0</v>
      </c>
      <c r="BZ23" s="47">
        <v>0</v>
      </c>
      <c r="CA23" s="47">
        <v>0</v>
      </c>
      <c r="CB23" s="47">
        <v>0</v>
      </c>
      <c r="CC23" s="47">
        <v>0</v>
      </c>
      <c r="CD23" s="47">
        <v>0</v>
      </c>
      <c r="CE23" s="47">
        <v>0.05</v>
      </c>
      <c r="CF23" s="47">
        <v>0.91</v>
      </c>
      <c r="CG23" s="47">
        <v>0.91</v>
      </c>
      <c r="CH23" s="47">
        <v>0</v>
      </c>
      <c r="CI23" s="47">
        <v>0</v>
      </c>
      <c r="CJ23" s="47">
        <v>0</v>
      </c>
      <c r="CK23" s="47">
        <v>0</v>
      </c>
      <c r="CL23" s="47">
        <v>0</v>
      </c>
      <c r="CM23" s="47">
        <v>0</v>
      </c>
      <c r="CN23" s="47">
        <v>0</v>
      </c>
      <c r="CO23" s="47">
        <v>0</v>
      </c>
      <c r="CP23" s="47">
        <v>0</v>
      </c>
      <c r="CQ23" s="47">
        <v>0</v>
      </c>
      <c r="CR23" s="47">
        <v>0</v>
      </c>
      <c r="CS23" s="47">
        <v>0</v>
      </c>
      <c r="CT23" s="47">
        <v>0.02</v>
      </c>
      <c r="CU23" s="47">
        <v>0</v>
      </c>
      <c r="CV23" s="47">
        <v>0.02</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row>
    <row r="24" spans="1:124" x14ac:dyDescent="0.25">
      <c r="A24" s="47" t="s">
        <v>264</v>
      </c>
      <c r="B24" s="47" t="s">
        <v>151</v>
      </c>
      <c r="C24" s="47" t="s">
        <v>265</v>
      </c>
      <c r="D24" s="47" t="s">
        <v>266</v>
      </c>
      <c r="E24" s="47" t="s">
        <v>267</v>
      </c>
      <c r="F24" s="47" t="s">
        <v>161</v>
      </c>
      <c r="G24" s="47" t="s">
        <v>256</v>
      </c>
      <c r="H24" s="47" t="str">
        <f>=IFERROR(VLOOKUP(A24,'ETPT Format DDG'!A:J,10,FALSE),"")</f>
        <v>0</v>
      </c>
      <c r="I24" s="47" t="str">
        <f>='ETPT Format DDG'!M24</f>
        <v/>
      </c>
      <c r="J24" s="47" t="str">
        <f>='ETPT Format DDG'!D24</f>
        <v/>
      </c>
      <c r="K24" s="47" t="s">
        <v>155</v>
      </c>
      <c r="L24" s="47" t="s">
        <v>213</v>
      </c>
      <c r="M24" s="47"/>
      <c r="N24" s="47">
        <v>1</v>
      </c>
      <c r="O24" s="47">
        <v>0</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row>
    <row r="25" spans="1:124" x14ac:dyDescent="0.25">
      <c r="A25" s="47" t="s">
        <v>268</v>
      </c>
      <c r="B25" s="47" t="s">
        <v>151</v>
      </c>
      <c r="C25" s="47" t="s">
        <v>269</v>
      </c>
      <c r="D25" s="47" t="s">
        <v>270</v>
      </c>
      <c r="E25" s="47" t="s">
        <v>271</v>
      </c>
      <c r="F25" s="47" t="s">
        <v>161</v>
      </c>
      <c r="G25" s="47" t="s">
        <v>162</v>
      </c>
      <c r="H25" s="47" t="str">
        <f>=IFERROR(VLOOKUP(A25,'ETPT Format DDG'!A:J,10,FALSE),"")</f>
        <v>0</v>
      </c>
      <c r="I25" s="47" t="str">
        <f>='ETPT Format DDG'!M25</f>
        <v/>
      </c>
      <c r="J25" s="47" t="str">
        <f>='ETPT Format DDG'!D25</f>
        <v/>
      </c>
      <c r="K25" s="47" t="s">
        <v>155</v>
      </c>
      <c r="L25" s="47" t="s">
        <v>257</v>
      </c>
      <c r="M25" s="47"/>
      <c r="N25" s="47">
        <v>1</v>
      </c>
      <c r="O25" s="47">
        <v>1</v>
      </c>
      <c r="P25" s="47">
        <v>0</v>
      </c>
      <c r="Q25" s="47">
        <v>0</v>
      </c>
      <c r="R25" s="47">
        <v>0</v>
      </c>
      <c r="S25" s="47">
        <v>0</v>
      </c>
      <c r="T25" s="47">
        <v>0</v>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0.835</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0.03</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0.05</v>
      </c>
      <c r="CR25" s="47">
        <v>0</v>
      </c>
      <c r="CS25" s="47">
        <v>0</v>
      </c>
      <c r="CT25" s="47">
        <v>0.085</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row>
    <row r="26" spans="1:124" x14ac:dyDescent="0.25">
      <c r="A26" s="47" t="s">
        <v>272</v>
      </c>
      <c r="B26" s="47" t="s">
        <v>151</v>
      </c>
      <c r="C26" s="47" t="s">
        <v>273</v>
      </c>
      <c r="D26" s="47" t="s">
        <v>274</v>
      </c>
      <c r="E26" s="47" t="s">
        <v>275</v>
      </c>
      <c r="F26" s="47" t="s">
        <v>161</v>
      </c>
      <c r="G26" s="47" t="s">
        <v>256</v>
      </c>
      <c r="H26" s="47" t="str">
        <f>=IFERROR(VLOOKUP(A26,'ETPT Format DDG'!A:J,10,FALSE),"")</f>
        <v>0</v>
      </c>
      <c r="I26" s="47" t="str">
        <f>='ETPT Format DDG'!M26</f>
        <v/>
      </c>
      <c r="J26" s="47" t="str">
        <f>='ETPT Format DDG'!D26</f>
        <v/>
      </c>
      <c r="K26" s="47" t="s">
        <v>155</v>
      </c>
      <c r="L26" s="47" t="s">
        <v>182</v>
      </c>
      <c r="M26" s="47"/>
      <c r="N26" s="47">
        <v>1</v>
      </c>
      <c r="O26" s="47">
        <v>0</v>
      </c>
      <c r="P26" s="47">
        <v>0</v>
      </c>
      <c r="Q26" s="47">
        <v>0</v>
      </c>
      <c r="R26" s="47">
        <v>0</v>
      </c>
      <c r="S26" s="47">
        <v>0</v>
      </c>
      <c r="T26" s="47">
        <v>0</v>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row>
    <row r="27" spans="1:124" x14ac:dyDescent="0.25">
      <c r="A27" s="47" t="s">
        <v>276</v>
      </c>
      <c r="B27" s="47" t="s">
        <v>151</v>
      </c>
      <c r="C27" s="47" t="s">
        <v>277</v>
      </c>
      <c r="D27" s="47" t="s">
        <v>278</v>
      </c>
      <c r="E27" s="47" t="s">
        <v>279</v>
      </c>
      <c r="F27" s="47" t="s">
        <v>161</v>
      </c>
      <c r="G27" s="47" t="s">
        <v>175</v>
      </c>
      <c r="H27" s="47" t="str">
        <f>=IFERROR(VLOOKUP(A27,'ETPT Format DDG'!A:J,10,FALSE),"")</f>
        <v>0</v>
      </c>
      <c r="I27" s="47" t="str">
        <f>='ETPT Format DDG'!M27</f>
        <v/>
      </c>
      <c r="J27" s="47" t="str">
        <f>='ETPT Format DDG'!D27</f>
        <v/>
      </c>
      <c r="K27" s="47" t="s">
        <v>155</v>
      </c>
      <c r="L27" s="47" t="s">
        <v>213</v>
      </c>
      <c r="M27" s="47"/>
      <c r="N27" s="47">
        <v>0.3249</v>
      </c>
      <c r="O27" s="47">
        <v>0.3235</v>
      </c>
      <c r="P27" s="47">
        <v>0</v>
      </c>
      <c r="Q27" s="47">
        <v>0</v>
      </c>
      <c r="R27" s="47">
        <v>0</v>
      </c>
      <c r="S27" s="47">
        <v>0</v>
      </c>
      <c r="T27" s="47">
        <v>0</v>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0.0356</v>
      </c>
      <c r="BP27" s="47">
        <v>0</v>
      </c>
      <c r="BQ27" s="47">
        <v>0</v>
      </c>
      <c r="BR27" s="47">
        <v>0</v>
      </c>
      <c r="BS27" s="47">
        <v>0</v>
      </c>
      <c r="BT27" s="47">
        <v>0</v>
      </c>
      <c r="BU27" s="47">
        <v>0</v>
      </c>
      <c r="BV27" s="47">
        <v>0</v>
      </c>
      <c r="BW27" s="47">
        <v>0</v>
      </c>
      <c r="BX27" s="47">
        <v>0.0031</v>
      </c>
      <c r="BY27" s="47">
        <v>0</v>
      </c>
      <c r="BZ27" s="47">
        <v>0.0019</v>
      </c>
      <c r="CA27" s="47">
        <v>0</v>
      </c>
      <c r="CB27" s="47">
        <v>0</v>
      </c>
      <c r="CC27" s="47">
        <v>0</v>
      </c>
      <c r="CD27" s="47">
        <v>0</v>
      </c>
      <c r="CE27" s="47">
        <v>0.0305</v>
      </c>
      <c r="CF27" s="47">
        <v>0.0162</v>
      </c>
      <c r="CG27" s="47">
        <v>0.0162</v>
      </c>
      <c r="CH27" s="47">
        <v>0</v>
      </c>
      <c r="CI27" s="47">
        <v>0</v>
      </c>
      <c r="CJ27" s="47">
        <v>0</v>
      </c>
      <c r="CK27" s="47">
        <v>0</v>
      </c>
      <c r="CL27" s="47">
        <v>0.1917</v>
      </c>
      <c r="CM27" s="47">
        <v>0</v>
      </c>
      <c r="CN27" s="47">
        <v>0</v>
      </c>
      <c r="CO27" s="47">
        <v>0</v>
      </c>
      <c r="CP27" s="47">
        <v>0</v>
      </c>
      <c r="CQ27" s="47">
        <v>0.0162</v>
      </c>
      <c r="CR27" s="47">
        <v>0</v>
      </c>
      <c r="CS27" s="47">
        <v>0</v>
      </c>
      <c r="CT27" s="47">
        <v>0.0637</v>
      </c>
      <c r="CU27" s="47">
        <v>0.0637</v>
      </c>
      <c r="CV27" s="47">
        <v>0</v>
      </c>
      <c r="CW27" s="47">
        <v>0</v>
      </c>
      <c r="CX27" s="47">
        <v>0</v>
      </c>
      <c r="CY27" s="47">
        <v>0</v>
      </c>
      <c r="CZ27" s="47">
        <v>0</v>
      </c>
      <c r="DA27" s="47">
        <v>0</v>
      </c>
      <c r="DB27" s="47">
        <v>0</v>
      </c>
      <c r="DC27" s="47">
        <v>0</v>
      </c>
      <c r="DD27" s="47">
        <v>0</v>
      </c>
      <c r="DE27" s="47">
        <v>0</v>
      </c>
      <c r="DF27" s="47">
        <v>0.4751</v>
      </c>
      <c r="DG27" s="47">
        <v>0.0582</v>
      </c>
      <c r="DH27" s="47">
        <v>0.4169</v>
      </c>
      <c r="DI27" s="47">
        <v>0</v>
      </c>
      <c r="DJ27" s="47">
        <v>0</v>
      </c>
      <c r="DK27" s="47">
        <v>0</v>
      </c>
      <c r="DL27" s="47">
        <v>0</v>
      </c>
      <c r="DM27" s="47">
        <v>0</v>
      </c>
      <c r="DN27" s="47">
        <v>0</v>
      </c>
      <c r="DO27" s="47">
        <v>0</v>
      </c>
      <c r="DP27" s="47">
        <v>0</v>
      </c>
      <c r="DQ27" s="47">
        <v>0</v>
      </c>
      <c r="DR27" s="47">
        <v>0</v>
      </c>
    </row>
    <row r="28" spans="1:124" x14ac:dyDescent="0.25">
      <c r="A28" s="47" t="s">
        <v>280</v>
      </c>
      <c r="B28" s="47" t="s">
        <v>151</v>
      </c>
      <c r="C28" s="47" t="s">
        <v>281</v>
      </c>
      <c r="D28" s="47" t="s">
        <v>282</v>
      </c>
      <c r="E28" s="47" t="s">
        <v>283</v>
      </c>
      <c r="F28" s="47" t="s">
        <v>161</v>
      </c>
      <c r="G28" s="47" t="s">
        <v>218</v>
      </c>
      <c r="H28" s="47" t="str">
        <f>=IFERROR(VLOOKUP(A28,'ETPT Format DDG'!A:J,10,FALSE),"")</f>
        <v>0</v>
      </c>
      <c r="I28" s="47" t="str">
        <f>='ETPT Format DDG'!M28</f>
        <v/>
      </c>
      <c r="J28" s="47" t="str">
        <f>='ETPT Format DDG'!D28</f>
        <v/>
      </c>
      <c r="K28" s="47" t="s">
        <v>155</v>
      </c>
      <c r="L28" s="47" t="s">
        <v>208</v>
      </c>
      <c r="M28" s="47"/>
      <c r="N28" s="47">
        <v>1</v>
      </c>
      <c r="O28" s="47">
        <v>0</v>
      </c>
      <c r="P28" s="47">
        <v>0</v>
      </c>
      <c r="Q28" s="47">
        <v>0</v>
      </c>
      <c r="R28" s="47">
        <v>0</v>
      </c>
      <c r="S28" s="47">
        <v>0</v>
      </c>
      <c r="T28" s="47">
        <v>0</v>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row>
    <row r="29" spans="1:124" x14ac:dyDescent="0.25">
      <c r="A29" s="47" t="s">
        <v>284</v>
      </c>
      <c r="B29" s="47" t="s">
        <v>151</v>
      </c>
      <c r="C29" s="47" t="s">
        <v>285</v>
      </c>
      <c r="D29" s="47" t="s">
        <v>286</v>
      </c>
      <c r="E29" s="47" t="s">
        <v>287</v>
      </c>
      <c r="F29" s="47" t="s">
        <v>161</v>
      </c>
      <c r="G29" s="47" t="s">
        <v>168</v>
      </c>
      <c r="H29" s="47" t="str">
        <f>=IFERROR(VLOOKUP(A29,'ETPT Format DDG'!A:J,10,FALSE),"")</f>
        <v>0</v>
      </c>
      <c r="I29" s="47" t="str">
        <f>='ETPT Format DDG'!M29</f>
        <v/>
      </c>
      <c r="J29" s="47" t="str">
        <f>='ETPT Format DDG'!D29</f>
        <v/>
      </c>
      <c r="K29" s="47" t="s">
        <v>155</v>
      </c>
      <c r="L29" s="47" t="s">
        <v>169</v>
      </c>
      <c r="M29" s="47"/>
      <c r="N29" s="47">
        <v>0.3372</v>
      </c>
      <c r="O29" s="47">
        <v>0.3372</v>
      </c>
      <c r="P29" s="47">
        <v>0</v>
      </c>
      <c r="Q29" s="47">
        <v>0</v>
      </c>
      <c r="R29" s="47">
        <v>0</v>
      </c>
      <c r="S29" s="47">
        <v>0</v>
      </c>
      <c r="T29" s="47">
        <v>0</v>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v>
      </c>
      <c r="AK29" s="47">
        <v>0</v>
      </c>
      <c r="AL29" s="47">
        <v>0</v>
      </c>
      <c r="AM29" s="47">
        <v>0</v>
      </c>
      <c r="AN29" s="47">
        <v>0.0674</v>
      </c>
      <c r="AO29" s="47">
        <v>0.0337</v>
      </c>
      <c r="AP29" s="47">
        <v>0</v>
      </c>
      <c r="AQ29" s="47">
        <v>0</v>
      </c>
      <c r="AR29" s="47">
        <v>0</v>
      </c>
      <c r="AS29" s="47">
        <v>0.0337</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0.2023</v>
      </c>
      <c r="BM29" s="47">
        <v>0.1011</v>
      </c>
      <c r="BN29" s="47">
        <v>0.1011</v>
      </c>
      <c r="BO29" s="47">
        <v>0.0337</v>
      </c>
      <c r="BP29" s="47">
        <v>0.0169</v>
      </c>
      <c r="BQ29" s="47">
        <v>0.0169</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0.0337</v>
      </c>
      <c r="CU29" s="47">
        <v>0.0337</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c r="DR29" s="47">
        <v>0</v>
      </c>
    </row>
    <row r="30" spans="1:124" x14ac:dyDescent="0.25">
      <c r="A30" s="47" t="s">
        <v>288</v>
      </c>
      <c r="B30" s="47" t="s">
        <v>151</v>
      </c>
      <c r="C30" s="47" t="s">
        <v>289</v>
      </c>
      <c r="D30" s="47" t="s">
        <v>290</v>
      </c>
      <c r="E30" s="47" t="s">
        <v>291</v>
      </c>
      <c r="F30" s="47" t="s">
        <v>161</v>
      </c>
      <c r="G30" s="47" t="s">
        <v>197</v>
      </c>
      <c r="H30" s="47" t="str">
        <f>=IFERROR(VLOOKUP(A30,'ETPT Format DDG'!A:J,10,FALSE),"")</f>
        <v>0</v>
      </c>
      <c r="I30" s="47" t="str">
        <f>='ETPT Format DDG'!M30</f>
        <v/>
      </c>
      <c r="J30" s="47" t="str">
        <f>='ETPT Format DDG'!D30</f>
        <v/>
      </c>
      <c r="K30" s="47" t="s">
        <v>155</v>
      </c>
      <c r="L30" s="47" t="s">
        <v>292</v>
      </c>
      <c r="M30" s="47"/>
      <c r="N30" s="47">
        <v>1</v>
      </c>
      <c r="O30" s="47">
        <v>1</v>
      </c>
      <c r="P30" s="47">
        <v>0</v>
      </c>
      <c r="Q30" s="47">
        <v>0</v>
      </c>
      <c r="R30" s="47">
        <v>0</v>
      </c>
      <c r="S30" s="47">
        <v>0</v>
      </c>
      <c r="T30" s="47">
        <v>0</v>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0.98</v>
      </c>
      <c r="BP30" s="47">
        <v>0</v>
      </c>
      <c r="BQ30" s="47">
        <v>0</v>
      </c>
      <c r="BR30" s="47">
        <v>0</v>
      </c>
      <c r="BS30" s="47">
        <v>0</v>
      </c>
      <c r="BT30" s="47">
        <v>0</v>
      </c>
      <c r="BU30" s="47">
        <v>0</v>
      </c>
      <c r="BV30" s="47">
        <v>0</v>
      </c>
      <c r="BW30" s="47">
        <v>0.02</v>
      </c>
      <c r="BX30" s="47">
        <v>0</v>
      </c>
      <c r="BY30" s="47">
        <v>0</v>
      </c>
      <c r="BZ30" s="47">
        <v>0</v>
      </c>
      <c r="CA30" s="47">
        <v>0</v>
      </c>
      <c r="CB30" s="47">
        <v>0.91</v>
      </c>
      <c r="CC30" s="47">
        <v>0</v>
      </c>
      <c r="CD30" s="47">
        <v>0</v>
      </c>
      <c r="CE30" s="47">
        <v>0.05</v>
      </c>
      <c r="CF30" s="47">
        <v>0</v>
      </c>
      <c r="CG30" s="47">
        <v>0</v>
      </c>
      <c r="CH30" s="47">
        <v>0</v>
      </c>
      <c r="CI30" s="47">
        <v>0</v>
      </c>
      <c r="CJ30" s="47">
        <v>0</v>
      </c>
      <c r="CK30" s="47">
        <v>0</v>
      </c>
      <c r="CL30" s="47">
        <v>0</v>
      </c>
      <c r="CM30" s="47">
        <v>0</v>
      </c>
      <c r="CN30" s="47">
        <v>0</v>
      </c>
      <c r="CO30" s="47">
        <v>0</v>
      </c>
      <c r="CP30" s="47">
        <v>0</v>
      </c>
      <c r="CQ30" s="47">
        <v>0</v>
      </c>
      <c r="CR30" s="47">
        <v>0</v>
      </c>
      <c r="CS30" s="47">
        <v>0</v>
      </c>
      <c r="CT30" s="47">
        <v>0.02</v>
      </c>
      <c r="CU30" s="47">
        <v>0</v>
      </c>
      <c r="CV30" s="47">
        <v>0.02</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row>
    <row r="31" spans="1:124" x14ac:dyDescent="0.25">
      <c r="A31" s="47" t="s">
        <v>293</v>
      </c>
      <c r="B31" s="47" t="s">
        <v>151</v>
      </c>
      <c r="C31" s="47" t="s">
        <v>294</v>
      </c>
      <c r="D31" s="47" t="s">
        <v>295</v>
      </c>
      <c r="E31" s="47" t="s">
        <v>296</v>
      </c>
      <c r="F31" s="47" t="s">
        <v>161</v>
      </c>
      <c r="G31" s="47" t="s">
        <v>207</v>
      </c>
      <c r="H31" s="47" t="str">
        <f>=IFERROR(VLOOKUP(A31,'ETPT Format DDG'!A:J,10,FALSE),"")</f>
        <v>0</v>
      </c>
      <c r="I31" s="47" t="str">
        <f>='ETPT Format DDG'!M31</f>
        <v/>
      </c>
      <c r="J31" s="47" t="str">
        <f>='ETPT Format DDG'!D31</f>
        <v/>
      </c>
      <c r="K31" s="47" t="s">
        <v>155</v>
      </c>
      <c r="L31" s="47" t="s">
        <v>297</v>
      </c>
      <c r="M31" s="47"/>
      <c r="N31" s="47">
        <v>1</v>
      </c>
      <c r="O31" s="47">
        <v>0</v>
      </c>
      <c r="P31" s="47">
        <v>0</v>
      </c>
      <c r="Q31" s="47">
        <v>0</v>
      </c>
      <c r="R31" s="47">
        <v>0</v>
      </c>
      <c r="S31" s="47">
        <v>0</v>
      </c>
      <c r="T31" s="47">
        <v>0</v>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v>
      </c>
      <c r="DL31" s="47">
        <v>0</v>
      </c>
      <c r="DM31" s="47">
        <v>0</v>
      </c>
      <c r="DN31" s="47">
        <v>0</v>
      </c>
      <c r="DO31" s="47">
        <v>0</v>
      </c>
      <c r="DP31" s="47">
        <v>0</v>
      </c>
      <c r="DQ31" s="47">
        <v>0</v>
      </c>
      <c r="DR31" s="47">
        <v>0</v>
      </c>
    </row>
    <row r="32" spans="1:124" x14ac:dyDescent="0.25">
      <c r="A32" s="47" t="s">
        <v>298</v>
      </c>
      <c r="B32" s="47" t="s">
        <v>151</v>
      </c>
      <c r="C32" s="47" t="s">
        <v>299</v>
      </c>
      <c r="D32" s="47" t="s">
        <v>300</v>
      </c>
      <c r="E32" s="47" t="s">
        <v>301</v>
      </c>
      <c r="F32" s="47" t="s">
        <v>161</v>
      </c>
      <c r="G32" s="47" t="s">
        <v>302</v>
      </c>
      <c r="H32" s="47" t="str">
        <f>=IFERROR(VLOOKUP(A32,'ETPT Format DDG'!A:J,10,FALSE),"")</f>
        <v>0</v>
      </c>
      <c r="I32" s="47" t="str">
        <f>='ETPT Format DDG'!M32</f>
        <v/>
      </c>
      <c r="J32" s="47" t="str">
        <f>='ETPT Format DDG'!D32</f>
        <v/>
      </c>
      <c r="K32" s="47" t="s">
        <v>155</v>
      </c>
      <c r="L32" s="47" t="s">
        <v>169</v>
      </c>
      <c r="M32" s="47"/>
      <c r="N32" s="47">
        <v>0.3096</v>
      </c>
      <c r="O32" s="47">
        <v>0.3096</v>
      </c>
      <c r="P32" s="47">
        <v>0</v>
      </c>
      <c r="Q32" s="47">
        <v>0</v>
      </c>
      <c r="R32" s="47">
        <v>0</v>
      </c>
      <c r="S32" s="47">
        <v>0</v>
      </c>
      <c r="T32" s="47">
        <v>0</v>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0.2941</v>
      </c>
      <c r="CR32" s="47">
        <v>0.2941</v>
      </c>
      <c r="CS32" s="47">
        <v>0</v>
      </c>
      <c r="CT32" s="47">
        <v>0.0155</v>
      </c>
      <c r="CU32" s="47">
        <v>0.0155</v>
      </c>
      <c r="CV32" s="47">
        <v>0</v>
      </c>
      <c r="CW32" s="47">
        <v>0</v>
      </c>
      <c r="CX32" s="47">
        <v>0</v>
      </c>
      <c r="CY32" s="47">
        <v>0</v>
      </c>
      <c r="CZ32" s="47">
        <v>0</v>
      </c>
      <c r="DA32" s="47">
        <v>0</v>
      </c>
      <c r="DB32" s="47">
        <v>0</v>
      </c>
      <c r="DC32" s="47">
        <v>0</v>
      </c>
      <c r="DD32" s="47">
        <v>0</v>
      </c>
      <c r="DE32" s="47">
        <v>0</v>
      </c>
      <c r="DF32" s="47">
        <v>0.0276</v>
      </c>
      <c r="DG32" s="47">
        <v>0</v>
      </c>
      <c r="DH32" s="47">
        <v>0</v>
      </c>
      <c r="DI32" s="47">
        <v>0</v>
      </c>
      <c r="DJ32" s="47">
        <v>0</v>
      </c>
      <c r="DK32" s="47">
        <v>0</v>
      </c>
      <c r="DL32" s="47">
        <v>0</v>
      </c>
      <c r="DM32" s="47">
        <v>0</v>
      </c>
      <c r="DN32" s="47">
        <v>0.0276</v>
      </c>
      <c r="DO32" s="47">
        <v>0</v>
      </c>
      <c r="DP32" s="47">
        <v>0</v>
      </c>
      <c r="DQ32" s="47">
        <v>0</v>
      </c>
      <c r="DR32" s="47">
        <v>0</v>
      </c>
    </row>
    <row r="33" spans="1:124" x14ac:dyDescent="0.25">
      <c r="A33" s="47" t="s">
        <v>303</v>
      </c>
      <c r="B33" s="47" t="s">
        <v>151</v>
      </c>
      <c r="C33" s="47" t="s">
        <v>304</v>
      </c>
      <c r="D33" s="47" t="s">
        <v>305</v>
      </c>
      <c r="E33" s="47" t="s">
        <v>306</v>
      </c>
      <c r="F33" s="47" t="s">
        <v>161</v>
      </c>
      <c r="G33" s="47" t="s">
        <v>192</v>
      </c>
      <c r="H33" s="47" t="str">
        <f>=IFERROR(VLOOKUP(A33,'ETPT Format DDG'!A:J,10,FALSE),"")</f>
        <v>0</v>
      </c>
      <c r="I33" s="47" t="str">
        <f>='ETPT Format DDG'!M33</f>
        <v/>
      </c>
      <c r="J33" s="47" t="str">
        <f>='ETPT Format DDG'!D33</f>
        <v/>
      </c>
      <c r="K33" s="47" t="s">
        <v>155</v>
      </c>
      <c r="L33" s="47" t="s">
        <v>307</v>
      </c>
      <c r="M33" s="47"/>
      <c r="N33" s="47">
        <v>1</v>
      </c>
      <c r="O33" s="47">
        <v>1</v>
      </c>
      <c r="P33" s="47">
        <v>0</v>
      </c>
      <c r="Q33" s="47">
        <v>0</v>
      </c>
      <c r="R33" s="47">
        <v>0</v>
      </c>
      <c r="S33" s="47">
        <v>0</v>
      </c>
      <c r="T33" s="47">
        <v>0</v>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0.05</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0.8</v>
      </c>
      <c r="CM33" s="47">
        <v>0</v>
      </c>
      <c r="CN33" s="47">
        <v>0</v>
      </c>
      <c r="CO33" s="47">
        <v>0</v>
      </c>
      <c r="CP33" s="47">
        <v>0</v>
      </c>
      <c r="CQ33" s="47">
        <v>0</v>
      </c>
      <c r="CR33" s="47">
        <v>0</v>
      </c>
      <c r="CS33" s="47">
        <v>0</v>
      </c>
      <c r="CT33" s="47">
        <v>0.15</v>
      </c>
      <c r="CU33" s="47">
        <v>0.125</v>
      </c>
      <c r="CV33" s="47">
        <v>0.025</v>
      </c>
      <c r="CW33" s="47">
        <v>0</v>
      </c>
      <c r="CX33" s="47">
        <v>0</v>
      </c>
      <c r="CY33" s="47">
        <v>0</v>
      </c>
      <c r="CZ33" s="47">
        <v>0</v>
      </c>
      <c r="DA33" s="47">
        <v>0</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row>
    <row r="34" spans="1:124" x14ac:dyDescent="0.25">
      <c r="A34" s="47" t="s">
        <v>308</v>
      </c>
      <c r="B34" s="47" t="s">
        <v>151</v>
      </c>
      <c r="C34" s="47" t="s">
        <v>309</v>
      </c>
      <c r="D34" s="47" t="s">
        <v>310</v>
      </c>
      <c r="E34" s="47" t="s">
        <v>311</v>
      </c>
      <c r="F34" s="47" t="s">
        <v>161</v>
      </c>
      <c r="G34" s="47" t="s">
        <v>168</v>
      </c>
      <c r="H34" s="47" t="str">
        <f>=IFERROR(VLOOKUP(A34,'ETPT Format DDG'!A:J,10,FALSE),"")</f>
        <v>0</v>
      </c>
      <c r="I34" s="47" t="str">
        <f>='ETPT Format DDG'!M34</f>
        <v/>
      </c>
      <c r="J34" s="47" t="str">
        <f>='ETPT Format DDG'!D34</f>
        <v/>
      </c>
      <c r="K34" s="47" t="s">
        <v>155</v>
      </c>
      <c r="L34" s="47" t="s">
        <v>169</v>
      </c>
      <c r="M34" s="47"/>
      <c r="N34" s="47">
        <v>0.3372</v>
      </c>
      <c r="O34" s="47">
        <v>0.3372</v>
      </c>
      <c r="P34" s="47">
        <v>0</v>
      </c>
      <c r="Q34" s="47">
        <v>0</v>
      </c>
      <c r="R34" s="47">
        <v>0</v>
      </c>
      <c r="S34" s="47">
        <v>0</v>
      </c>
      <c r="T34" s="47">
        <v>0</v>
      </c>
      <c r="U34" s="47">
        <v>0</v>
      </c>
      <c r="V34" s="47">
        <v>0</v>
      </c>
      <c r="W34" s="47">
        <v>0</v>
      </c>
      <c r="X34" s="47">
        <v>0</v>
      </c>
      <c r="Y34" s="47">
        <v>0</v>
      </c>
      <c r="Z34" s="47">
        <v>0</v>
      </c>
      <c r="AA34" s="47">
        <v>0</v>
      </c>
      <c r="AB34" s="47">
        <v>0</v>
      </c>
      <c r="AC34" s="47">
        <v>0</v>
      </c>
      <c r="AD34" s="47">
        <v>0</v>
      </c>
      <c r="AE34" s="47">
        <v>0.2225</v>
      </c>
      <c r="AF34" s="47">
        <v>0.1113</v>
      </c>
      <c r="AG34" s="47">
        <v>0</v>
      </c>
      <c r="AH34" s="47">
        <v>0.0539</v>
      </c>
      <c r="AI34" s="47">
        <v>0.0405</v>
      </c>
      <c r="AJ34" s="47">
        <v>0.0169</v>
      </c>
      <c r="AK34" s="47">
        <v>0</v>
      </c>
      <c r="AL34" s="47">
        <v>0</v>
      </c>
      <c r="AM34" s="47">
        <v>0</v>
      </c>
      <c r="AN34" s="47">
        <v>0.0236</v>
      </c>
      <c r="AO34" s="47">
        <v>0.0236</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0.0337</v>
      </c>
      <c r="BI34" s="47">
        <v>0</v>
      </c>
      <c r="BJ34" s="47">
        <v>0.0337</v>
      </c>
      <c r="BK34" s="47">
        <v>0</v>
      </c>
      <c r="BL34" s="47">
        <v>0</v>
      </c>
      <c r="BM34" s="47">
        <v>0</v>
      </c>
      <c r="BN34" s="47">
        <v>0</v>
      </c>
      <c r="BO34" s="47">
        <v>0.0303</v>
      </c>
      <c r="BP34" s="47">
        <v>0.0101</v>
      </c>
      <c r="BQ34" s="47">
        <v>0</v>
      </c>
      <c r="BR34" s="47">
        <v>0</v>
      </c>
      <c r="BS34" s="47">
        <v>0</v>
      </c>
      <c r="BT34" s="47">
        <v>0</v>
      </c>
      <c r="BU34" s="47">
        <v>0</v>
      </c>
      <c r="BV34" s="47">
        <v>0</v>
      </c>
      <c r="BW34" s="47">
        <v>0.0067</v>
      </c>
      <c r="BX34" s="47">
        <v>0.0135</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0.027</v>
      </c>
      <c r="CU34" s="47">
        <v>0.0101</v>
      </c>
      <c r="CV34" s="47">
        <v>0.0169</v>
      </c>
      <c r="CW34" s="47">
        <v>0</v>
      </c>
      <c r="CX34" s="47">
        <v>0</v>
      </c>
      <c r="CY34" s="47">
        <v>0</v>
      </c>
      <c r="CZ34" s="47">
        <v>0</v>
      </c>
      <c r="DA34" s="47">
        <v>0</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row>
    <row r="35" spans="1:124" x14ac:dyDescent="0.25">
      <c r="A35" s="47" t="s">
        <v>312</v>
      </c>
      <c r="B35" s="47" t="s">
        <v>151</v>
      </c>
      <c r="C35" s="47" t="s">
        <v>313</v>
      </c>
      <c r="D35" s="47" t="s">
        <v>314</v>
      </c>
      <c r="E35" s="47" t="s">
        <v>315</v>
      </c>
      <c r="F35" s="47" t="s">
        <v>161</v>
      </c>
      <c r="G35" s="47" t="s">
        <v>207</v>
      </c>
      <c r="H35" s="47" t="str">
        <f>=IFERROR(VLOOKUP(A35,'ETPT Format DDG'!A:J,10,FALSE),"")</f>
        <v>0</v>
      </c>
      <c r="I35" s="47" t="str">
        <f>='ETPT Format DDG'!M35</f>
        <v/>
      </c>
      <c r="J35" s="47" t="str">
        <f>='ETPT Format DDG'!D35</f>
        <v/>
      </c>
      <c r="K35" s="47" t="s">
        <v>155</v>
      </c>
      <c r="L35" s="47" t="s">
        <v>316</v>
      </c>
      <c r="M35" s="47"/>
      <c r="N35" s="47">
        <v>1</v>
      </c>
      <c r="O35" s="47">
        <v>0</v>
      </c>
      <c r="P35" s="47">
        <v>0</v>
      </c>
      <c r="Q35" s="47">
        <v>0</v>
      </c>
      <c r="R35" s="47">
        <v>0</v>
      </c>
      <c r="S35" s="47">
        <v>0</v>
      </c>
      <c r="T35" s="47">
        <v>0</v>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row>
    <row r="36" spans="1:124" x14ac:dyDescent="0.25">
      <c r="A36" s="47" t="s">
        <v>317</v>
      </c>
      <c r="B36" s="47" t="s">
        <v>151</v>
      </c>
      <c r="C36" s="47" t="s">
        <v>318</v>
      </c>
      <c r="D36" s="47" t="s">
        <v>319</v>
      </c>
      <c r="E36" s="47" t="s">
        <v>320</v>
      </c>
      <c r="F36" s="47" t="s">
        <v>161</v>
      </c>
      <c r="G36" s="47" t="s">
        <v>207</v>
      </c>
      <c r="H36" s="47" t="str">
        <f>=IFERROR(VLOOKUP(A36,'ETPT Format DDG'!A:J,10,FALSE),"")</f>
        <v>0</v>
      </c>
      <c r="I36" s="47" t="str">
        <f>='ETPT Format DDG'!M36</f>
        <v/>
      </c>
      <c r="J36" s="47" t="str">
        <f>='ETPT Format DDG'!D36</f>
        <v/>
      </c>
      <c r="K36" s="47" t="s">
        <v>155</v>
      </c>
      <c r="L36" s="47" t="s">
        <v>208</v>
      </c>
      <c r="M36" s="47"/>
      <c r="N36" s="47">
        <v>0.7011</v>
      </c>
      <c r="O36" s="47">
        <v>0.7011</v>
      </c>
      <c r="P36" s="47">
        <v>0</v>
      </c>
      <c r="Q36" s="47">
        <v>0</v>
      </c>
      <c r="R36" s="47">
        <v>0</v>
      </c>
      <c r="S36" s="47">
        <v>0</v>
      </c>
      <c r="T36" s="47">
        <v>0</v>
      </c>
      <c r="U36" s="47">
        <v>0.5841</v>
      </c>
      <c r="V36" s="47">
        <v>0</v>
      </c>
      <c r="W36" s="47">
        <v>0</v>
      </c>
      <c r="X36" s="47">
        <v>0</v>
      </c>
      <c r="Y36" s="47">
        <v>0</v>
      </c>
      <c r="Z36" s="47">
        <v>0</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0.0596</v>
      </c>
      <c r="BP36" s="47">
        <v>0</v>
      </c>
      <c r="BQ36" s="47">
        <v>0.0154</v>
      </c>
      <c r="BR36" s="47">
        <v>0</v>
      </c>
      <c r="BS36" s="47">
        <v>0</v>
      </c>
      <c r="BT36" s="47">
        <v>0</v>
      </c>
      <c r="BU36" s="47">
        <v>0</v>
      </c>
      <c r="BV36" s="47">
        <v>0</v>
      </c>
      <c r="BW36" s="47">
        <v>0.028</v>
      </c>
      <c r="BX36" s="47">
        <v>0.0161</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0.0575</v>
      </c>
      <c r="CU36" s="47">
        <v>0.0407</v>
      </c>
      <c r="CV36" s="47">
        <v>0.0168</v>
      </c>
      <c r="CW36" s="47">
        <v>0</v>
      </c>
      <c r="CX36" s="47">
        <v>0</v>
      </c>
      <c r="CY36" s="47">
        <v>0</v>
      </c>
      <c r="CZ36" s="47">
        <v>0</v>
      </c>
      <c r="DA36" s="47">
        <v>0</v>
      </c>
      <c r="DB36" s="47">
        <v>0</v>
      </c>
      <c r="DC36" s="47">
        <v>0</v>
      </c>
      <c r="DD36" s="47">
        <v>0</v>
      </c>
      <c r="DE36" s="47">
        <v>0</v>
      </c>
      <c r="DF36" s="47">
        <v>0.2989</v>
      </c>
      <c r="DG36" s="47">
        <v>0</v>
      </c>
      <c r="DH36" s="47">
        <v>0.2989</v>
      </c>
      <c r="DI36" s="47">
        <v>0</v>
      </c>
      <c r="DJ36" s="47">
        <v>0</v>
      </c>
      <c r="DK36" s="47">
        <v>0</v>
      </c>
      <c r="DL36" s="47">
        <v>0</v>
      </c>
      <c r="DM36" s="47">
        <v>0</v>
      </c>
      <c r="DN36" s="47">
        <v>0</v>
      </c>
      <c r="DO36" s="47">
        <v>0</v>
      </c>
      <c r="DP36" s="47">
        <v>0</v>
      </c>
      <c r="DQ36" s="47">
        <v>0</v>
      </c>
      <c r="DR36" s="47">
        <v>0</v>
      </c>
    </row>
    <row r="37" spans="1:124" x14ac:dyDescent="0.25">
      <c r="A37" s="47" t="s">
        <v>321</v>
      </c>
      <c r="B37" s="47" t="s">
        <v>151</v>
      </c>
      <c r="C37" s="47" t="s">
        <v>322</v>
      </c>
      <c r="D37" s="47" t="s">
        <v>323</v>
      </c>
      <c r="E37" s="47" t="s">
        <v>324</v>
      </c>
      <c r="F37" s="47" t="s">
        <v>161</v>
      </c>
      <c r="G37" s="47" t="s">
        <v>162</v>
      </c>
      <c r="H37" s="47" t="str">
        <f>=IFERROR(VLOOKUP(A37,'ETPT Format DDG'!A:J,10,FALSE),"")</f>
        <v>0</v>
      </c>
      <c r="I37" s="47" t="str">
        <f>='ETPT Format DDG'!M37</f>
        <v/>
      </c>
      <c r="J37" s="47" t="str">
        <f>='ETPT Format DDG'!D37</f>
        <v/>
      </c>
      <c r="K37" s="47" t="s">
        <v>155</v>
      </c>
      <c r="L37" s="47" t="s">
        <v>325</v>
      </c>
      <c r="M37" s="47"/>
      <c r="N37" s="47">
        <v>1</v>
      </c>
      <c r="O37" s="47">
        <v>1</v>
      </c>
      <c r="P37" s="47">
        <v>0</v>
      </c>
      <c r="Q37" s="47">
        <v>0</v>
      </c>
      <c r="R37" s="47">
        <v>0</v>
      </c>
      <c r="S37" s="47">
        <v>0</v>
      </c>
      <c r="T37" s="47">
        <v>0</v>
      </c>
      <c r="U37" s="47">
        <v>0.86</v>
      </c>
      <c r="V37" s="47">
        <v>0</v>
      </c>
      <c r="W37" s="47">
        <v>0</v>
      </c>
      <c r="X37" s="47">
        <v>0</v>
      </c>
      <c r="Y37" s="47">
        <v>0</v>
      </c>
      <c r="Z37" s="47">
        <v>0</v>
      </c>
      <c r="AA37" s="47">
        <v>0</v>
      </c>
      <c r="AB37" s="47">
        <v>0</v>
      </c>
      <c r="AC37" s="47">
        <v>0</v>
      </c>
      <c r="AD37" s="47">
        <v>0</v>
      </c>
      <c r="AE37" s="47">
        <v>0</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0.04</v>
      </c>
      <c r="BP37" s="47">
        <v>0</v>
      </c>
      <c r="BQ37" s="47">
        <v>0.03</v>
      </c>
      <c r="BR37" s="47">
        <v>0</v>
      </c>
      <c r="BS37" s="47">
        <v>0</v>
      </c>
      <c r="BT37" s="47">
        <v>0</v>
      </c>
      <c r="BU37" s="47">
        <v>0</v>
      </c>
      <c r="BV37" s="47">
        <v>0</v>
      </c>
      <c r="BW37" s="47">
        <v>0.01</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0.1</v>
      </c>
      <c r="CU37" s="47">
        <v>0.1</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row>
    <row r="38" spans="1:124" x14ac:dyDescent="0.25">
      <c r="A38" s="47" t="s">
        <v>326</v>
      </c>
      <c r="B38" s="47" t="s">
        <v>151</v>
      </c>
      <c r="C38" s="47" t="s">
        <v>327</v>
      </c>
      <c r="D38" s="47" t="s">
        <v>328</v>
      </c>
      <c r="E38" s="47" t="s">
        <v>329</v>
      </c>
      <c r="F38" s="47" t="s">
        <v>161</v>
      </c>
      <c r="G38" s="47" t="s">
        <v>330</v>
      </c>
      <c r="H38" s="47" t="str">
        <f>=IFERROR(VLOOKUP(A38,'ETPT Format DDG'!A:J,10,FALSE),"")</f>
        <v>0</v>
      </c>
      <c r="I38" s="47" t="str">
        <f>='ETPT Format DDG'!M38</f>
        <v/>
      </c>
      <c r="J38" s="47" t="str">
        <f>='ETPT Format DDG'!D38</f>
        <v/>
      </c>
      <c r="K38" s="47" t="s">
        <v>155</v>
      </c>
      <c r="L38" s="47" t="s">
        <v>176</v>
      </c>
      <c r="M38" s="47"/>
      <c r="N38" s="47">
        <v>1</v>
      </c>
      <c r="O38" s="47">
        <v>1</v>
      </c>
      <c r="P38" s="47">
        <v>0</v>
      </c>
      <c r="Q38" s="47">
        <v>0</v>
      </c>
      <c r="R38" s="47">
        <v>0</v>
      </c>
      <c r="S38" s="47">
        <v>0</v>
      </c>
      <c r="T38" s="47">
        <v>0</v>
      </c>
      <c r="U38" s="47">
        <v>0</v>
      </c>
      <c r="V38" s="47">
        <v>0</v>
      </c>
      <c r="W38" s="47">
        <v>0</v>
      </c>
      <c r="X38" s="47">
        <v>0</v>
      </c>
      <c r="Y38" s="47">
        <v>0</v>
      </c>
      <c r="Z38" s="47">
        <v>0</v>
      </c>
      <c r="AA38" s="47">
        <v>0</v>
      </c>
      <c r="AB38" s="47">
        <v>0</v>
      </c>
      <c r="AC38" s="47">
        <v>0</v>
      </c>
      <c r="AD38" s="47">
        <v>0</v>
      </c>
      <c r="AE38" s="47">
        <v>0.02</v>
      </c>
      <c r="AF38" s="47">
        <v>0</v>
      </c>
      <c r="AG38" s="47">
        <v>0</v>
      </c>
      <c r="AH38" s="47">
        <v>0</v>
      </c>
      <c r="AI38" s="47">
        <v>0</v>
      </c>
      <c r="AJ38" s="47">
        <v>0</v>
      </c>
      <c r="AK38" s="47">
        <v>0.02</v>
      </c>
      <c r="AL38" s="47">
        <v>0</v>
      </c>
      <c r="AM38" s="47">
        <v>0</v>
      </c>
      <c r="AN38" s="47">
        <v>0.62</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0.02</v>
      </c>
      <c r="BI38" s="47">
        <v>0</v>
      </c>
      <c r="BJ38" s="47">
        <v>0</v>
      </c>
      <c r="BK38" s="47">
        <v>0.02</v>
      </c>
      <c r="BL38" s="47">
        <v>0</v>
      </c>
      <c r="BM38" s="47">
        <v>0</v>
      </c>
      <c r="BN38" s="47">
        <v>0</v>
      </c>
      <c r="BO38" s="47">
        <v>0.09</v>
      </c>
      <c r="BP38" s="47">
        <v>0</v>
      </c>
      <c r="BQ38" s="47">
        <v>0.07</v>
      </c>
      <c r="BR38" s="47">
        <v>0</v>
      </c>
      <c r="BS38" s="47">
        <v>0</v>
      </c>
      <c r="BT38" s="47">
        <v>0</v>
      </c>
      <c r="BU38" s="47">
        <v>0</v>
      </c>
      <c r="BV38" s="47">
        <v>0</v>
      </c>
      <c r="BW38" s="47">
        <v>0.02</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0.05</v>
      </c>
      <c r="CR38" s="47">
        <v>0.05</v>
      </c>
      <c r="CS38" s="47">
        <v>0</v>
      </c>
      <c r="CT38" s="47">
        <v>0.2</v>
      </c>
      <c r="CU38" s="47">
        <v>0.18</v>
      </c>
      <c r="CV38" s="47">
        <v>0.02</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row>
    <row r="39" spans="1:124" x14ac:dyDescent="0.25">
      <c r="A39" s="47" t="s">
        <v>331</v>
      </c>
      <c r="B39" s="47" t="s">
        <v>151</v>
      </c>
      <c r="C39" s="47" t="s">
        <v>332</v>
      </c>
      <c r="D39" s="47" t="s">
        <v>333</v>
      </c>
      <c r="E39" s="47" t="s">
        <v>334</v>
      </c>
      <c r="F39" s="47" t="s">
        <v>161</v>
      </c>
      <c r="G39" s="47" t="s">
        <v>262</v>
      </c>
      <c r="H39" s="47" t="str">
        <f>=IFERROR(VLOOKUP(A39,'ETPT Format DDG'!A:J,10,FALSE),"")</f>
        <v>0</v>
      </c>
      <c r="I39" s="47" t="str">
        <f>='ETPT Format DDG'!M39</f>
        <v/>
      </c>
      <c r="J39" s="47" t="str">
        <f>='ETPT Format DDG'!D39</f>
        <v/>
      </c>
      <c r="K39" s="47" t="s">
        <v>155</v>
      </c>
      <c r="L39" s="47" t="s">
        <v>257</v>
      </c>
      <c r="M39" s="47"/>
      <c r="N39" s="47">
        <v>1</v>
      </c>
      <c r="O39" s="47">
        <v>1</v>
      </c>
      <c r="P39" s="47">
        <v>0</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0.025</v>
      </c>
      <c r="BP39" s="47">
        <v>0</v>
      </c>
      <c r="BQ39" s="47">
        <v>0</v>
      </c>
      <c r="BR39" s="47">
        <v>0</v>
      </c>
      <c r="BS39" s="47">
        <v>0</v>
      </c>
      <c r="BT39" s="47">
        <v>0</v>
      </c>
      <c r="BU39" s="47">
        <v>0</v>
      </c>
      <c r="BV39" s="47">
        <v>0</v>
      </c>
      <c r="BW39" s="47">
        <v>0</v>
      </c>
      <c r="BX39" s="47">
        <v>0</v>
      </c>
      <c r="BY39" s="47">
        <v>0</v>
      </c>
      <c r="BZ39" s="47">
        <v>0</v>
      </c>
      <c r="CA39" s="47">
        <v>0</v>
      </c>
      <c r="CB39" s="47">
        <v>0</v>
      </c>
      <c r="CC39" s="47">
        <v>0</v>
      </c>
      <c r="CD39" s="47">
        <v>0</v>
      </c>
      <c r="CE39" s="47">
        <v>0</v>
      </c>
      <c r="CF39" s="47">
        <v>0.93</v>
      </c>
      <c r="CG39" s="47">
        <v>0</v>
      </c>
      <c r="CH39" s="47">
        <v>0</v>
      </c>
      <c r="CI39" s="47">
        <v>0</v>
      </c>
      <c r="CJ39" s="47">
        <v>0</v>
      </c>
      <c r="CK39" s="47">
        <v>0</v>
      </c>
      <c r="CL39" s="47">
        <v>0</v>
      </c>
      <c r="CM39" s="47">
        <v>0</v>
      </c>
      <c r="CN39" s="47">
        <v>0</v>
      </c>
      <c r="CO39" s="47">
        <v>0</v>
      </c>
      <c r="CP39" s="47">
        <v>0</v>
      </c>
      <c r="CQ39" s="47">
        <v>0</v>
      </c>
      <c r="CR39" s="47">
        <v>0</v>
      </c>
      <c r="CS39" s="47">
        <v>0</v>
      </c>
      <c r="CT39" s="47">
        <v>0.045</v>
      </c>
      <c r="CU39" s="47">
        <v>0</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row>
    <row r="40" spans="1:124" x14ac:dyDescent="0.25">
      <c r="A40" s="47" t="s">
        <v>335</v>
      </c>
      <c r="B40" s="47" t="s">
        <v>151</v>
      </c>
      <c r="C40" s="47" t="s">
        <v>336</v>
      </c>
      <c r="D40" s="47" t="s">
        <v>337</v>
      </c>
      <c r="E40" s="47" t="s">
        <v>338</v>
      </c>
      <c r="F40" s="47" t="s">
        <v>161</v>
      </c>
      <c r="G40" s="47" t="s">
        <v>181</v>
      </c>
      <c r="H40" s="47" t="str">
        <f>=IFERROR(VLOOKUP(A40,'ETPT Format DDG'!A:J,10,FALSE),"")</f>
        <v>0</v>
      </c>
      <c r="I40" s="47" t="str">
        <f>='ETPT Format DDG'!M40</f>
        <v/>
      </c>
      <c r="J40" s="47" t="str">
        <f>='ETPT Format DDG'!D40</f>
        <v/>
      </c>
      <c r="K40" s="47" t="s">
        <v>155</v>
      </c>
      <c r="L40" s="47" t="s">
        <v>339</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0.317</v>
      </c>
      <c r="BI40" s="47">
        <v>0.228</v>
      </c>
      <c r="BJ40" s="47">
        <v>0.089</v>
      </c>
      <c r="BK40" s="47">
        <v>0</v>
      </c>
      <c r="BL40" s="47">
        <v>0</v>
      </c>
      <c r="BM40" s="47">
        <v>0</v>
      </c>
      <c r="BN40" s="47">
        <v>0</v>
      </c>
      <c r="BO40" s="47">
        <v>0.072</v>
      </c>
      <c r="BP40" s="47">
        <v>0</v>
      </c>
      <c r="BQ40" s="47">
        <v>0</v>
      </c>
      <c r="BR40" s="47">
        <v>0.053</v>
      </c>
      <c r="BS40" s="47">
        <v>0</v>
      </c>
      <c r="BT40" s="47">
        <v>0</v>
      </c>
      <c r="BU40" s="47">
        <v>0</v>
      </c>
      <c r="BV40" s="47">
        <v>0</v>
      </c>
      <c r="BW40" s="47">
        <v>0.019</v>
      </c>
      <c r="BX40" s="47">
        <v>0</v>
      </c>
      <c r="BY40" s="47">
        <v>0</v>
      </c>
      <c r="BZ40" s="47">
        <v>0</v>
      </c>
      <c r="CA40" s="47">
        <v>0</v>
      </c>
      <c r="CB40" s="47">
        <v>0</v>
      </c>
      <c r="CC40" s="47">
        <v>0</v>
      </c>
      <c r="CD40" s="47">
        <v>0</v>
      </c>
      <c r="CE40" s="47">
        <v>0</v>
      </c>
      <c r="CF40" s="47">
        <v>0</v>
      </c>
      <c r="CG40" s="47">
        <v>0</v>
      </c>
      <c r="CH40" s="47">
        <v>0</v>
      </c>
      <c r="CI40" s="47">
        <v>0</v>
      </c>
      <c r="CJ40" s="47">
        <v>0</v>
      </c>
      <c r="CK40" s="47">
        <v>0</v>
      </c>
      <c r="CL40" s="47">
        <v>0</v>
      </c>
      <c r="CM40" s="47">
        <v>0</v>
      </c>
      <c r="CN40" s="47">
        <v>0</v>
      </c>
      <c r="CO40" s="47">
        <v>0</v>
      </c>
      <c r="CP40" s="47">
        <v>0</v>
      </c>
      <c r="CQ40" s="47">
        <v>0.382</v>
      </c>
      <c r="CR40" s="47">
        <v>0</v>
      </c>
      <c r="CS40" s="47">
        <v>0</v>
      </c>
      <c r="CT40" s="47">
        <v>0.229</v>
      </c>
      <c r="CU40" s="47">
        <v>0.2</v>
      </c>
      <c r="CV40" s="47">
        <v>0.029</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row>
    <row r="41" spans="1:124" x14ac:dyDescent="0.25">
      <c r="A41" s="47" t="s">
        <v>340</v>
      </c>
      <c r="B41" s="47" t="s">
        <v>151</v>
      </c>
      <c r="C41" s="47" t="s">
        <v>341</v>
      </c>
      <c r="D41" s="47" t="s">
        <v>342</v>
      </c>
      <c r="E41" s="47" t="s">
        <v>343</v>
      </c>
      <c r="F41" s="47" t="s">
        <v>161</v>
      </c>
      <c r="G41" s="47" t="s">
        <v>330</v>
      </c>
      <c r="H41" s="47" t="str">
        <f>=IFERROR(VLOOKUP(A41,'ETPT Format DDG'!A:J,10,FALSE),"")</f>
        <v>0</v>
      </c>
      <c r="I41" s="47" t="str">
        <f>='ETPT Format DDG'!M41</f>
        <v/>
      </c>
      <c r="J41" s="47" t="str">
        <f>='ETPT Format DDG'!D41</f>
        <v/>
      </c>
      <c r="K41" s="47" t="s">
        <v>155</v>
      </c>
      <c r="L41" s="47" t="s">
        <v>257</v>
      </c>
      <c r="M41" s="47"/>
      <c r="N41" s="47">
        <v>1</v>
      </c>
      <c r="O41" s="47">
        <v>1</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0.8</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0.2</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row>
    <row r="42" spans="1:124" x14ac:dyDescent="0.25">
      <c r="A42" s="47" t="s">
        <v>344</v>
      </c>
      <c r="B42" s="47" t="s">
        <v>151</v>
      </c>
      <c r="C42" s="47" t="s">
        <v>345</v>
      </c>
      <c r="D42" s="47" t="s">
        <v>346</v>
      </c>
      <c r="E42" s="47" t="s">
        <v>347</v>
      </c>
      <c r="F42" s="47" t="s">
        <v>161</v>
      </c>
      <c r="G42" s="47" t="s">
        <v>181</v>
      </c>
      <c r="H42" s="47" t="str">
        <f>=IFERROR(VLOOKUP(A42,'ETPT Format DDG'!A:J,10,FALSE),"")</f>
        <v>0</v>
      </c>
      <c r="I42" s="47" t="str">
        <f>='ETPT Format DDG'!M42</f>
        <v/>
      </c>
      <c r="J42" s="47" t="str">
        <f>='ETPT Format DDG'!D42</f>
        <v/>
      </c>
      <c r="K42" s="47" t="s">
        <v>155</v>
      </c>
      <c r="L42" s="47" t="s">
        <v>208</v>
      </c>
      <c r="M42" s="47"/>
      <c r="N42" s="47">
        <v>1</v>
      </c>
      <c r="O42" s="47">
        <v>1</v>
      </c>
      <c r="P42" s="47">
        <v>0</v>
      </c>
      <c r="Q42" s="47">
        <v>0</v>
      </c>
      <c r="R42" s="47">
        <v>0</v>
      </c>
      <c r="S42" s="47">
        <v>0</v>
      </c>
      <c r="T42" s="47">
        <v>0</v>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0.275</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0.64</v>
      </c>
      <c r="CR42" s="47">
        <v>0</v>
      </c>
      <c r="CS42" s="47">
        <v>0</v>
      </c>
      <c r="CT42" s="47">
        <v>0.085</v>
      </c>
      <c r="CU42" s="47">
        <v>0.085</v>
      </c>
      <c r="CV42" s="47">
        <v>0</v>
      </c>
      <c r="CW42" s="47">
        <v>0</v>
      </c>
      <c r="CX42" s="47">
        <v>0</v>
      </c>
      <c r="CY42" s="47">
        <v>0</v>
      </c>
      <c r="CZ42" s="47">
        <v>0</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row>
    <row r="43" spans="1:124" x14ac:dyDescent="0.25">
      <c r="A43" s="47" t="s">
        <v>348</v>
      </c>
      <c r="B43" s="47" t="s">
        <v>151</v>
      </c>
      <c r="C43" s="47" t="s">
        <v>349</v>
      </c>
      <c r="D43" s="47" t="s">
        <v>350</v>
      </c>
      <c r="E43" s="47" t="s">
        <v>351</v>
      </c>
      <c r="F43" s="47" t="s">
        <v>161</v>
      </c>
      <c r="G43" s="47" t="s">
        <v>330</v>
      </c>
      <c r="H43" s="47" t="str">
        <f>=IFERROR(VLOOKUP(A43,'ETPT Format DDG'!A:J,10,FALSE),"")</f>
        <v>0</v>
      </c>
      <c r="I43" s="47" t="str">
        <f>='ETPT Format DDG'!M43</f>
        <v/>
      </c>
      <c r="J43" s="47" t="str">
        <f>='ETPT Format DDG'!D43</f>
        <v/>
      </c>
      <c r="K43" s="47" t="s">
        <v>155</v>
      </c>
      <c r="L43" s="47" t="s">
        <v>352</v>
      </c>
      <c r="M43" s="47" t="s">
        <v>170</v>
      </c>
      <c r="N43" s="47">
        <v>1</v>
      </c>
      <c r="O43" s="47">
        <v>1</v>
      </c>
      <c r="P43" s="47">
        <v>0</v>
      </c>
      <c r="Q43" s="47">
        <v>0</v>
      </c>
      <c r="R43" s="47">
        <v>0</v>
      </c>
      <c r="S43" s="47">
        <v>0</v>
      </c>
      <c r="T43" s="47">
        <v>0</v>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0.45</v>
      </c>
      <c r="AO43" s="47">
        <v>0</v>
      </c>
      <c r="AP43" s="47">
        <v>0</v>
      </c>
      <c r="AQ43" s="47">
        <v>0</v>
      </c>
      <c r="AR43" s="47">
        <v>0</v>
      </c>
      <c r="AS43" s="47">
        <v>0</v>
      </c>
      <c r="AT43" s="47">
        <v>0</v>
      </c>
      <c r="AU43" s="47">
        <v>0</v>
      </c>
      <c r="AV43" s="47">
        <v>0</v>
      </c>
      <c r="AW43" s="47">
        <v>0</v>
      </c>
      <c r="AX43" s="47">
        <v>0.1</v>
      </c>
      <c r="AY43" s="47">
        <v>0</v>
      </c>
      <c r="AZ43" s="47">
        <v>0</v>
      </c>
      <c r="BA43" s="47">
        <v>0.03</v>
      </c>
      <c r="BB43" s="47">
        <v>0</v>
      </c>
      <c r="BC43" s="47">
        <v>0.05</v>
      </c>
      <c r="BD43" s="47">
        <v>0</v>
      </c>
      <c r="BE43" s="47">
        <v>0</v>
      </c>
      <c r="BF43" s="47">
        <v>0.1</v>
      </c>
      <c r="BG43" s="47">
        <v>0.17</v>
      </c>
      <c r="BH43" s="47">
        <v>0</v>
      </c>
      <c r="BI43" s="47">
        <v>0</v>
      </c>
      <c r="BJ43" s="47">
        <v>0</v>
      </c>
      <c r="BK43" s="47">
        <v>0</v>
      </c>
      <c r="BL43" s="47">
        <v>0</v>
      </c>
      <c r="BM43" s="47">
        <v>0</v>
      </c>
      <c r="BN43" s="47">
        <v>0</v>
      </c>
      <c r="BO43" s="47">
        <v>0.03</v>
      </c>
      <c r="BP43" s="47">
        <v>0.03</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0.02</v>
      </c>
      <c r="CR43" s="47">
        <v>0.02</v>
      </c>
      <c r="CS43" s="47">
        <v>0</v>
      </c>
      <c r="CT43" s="47">
        <v>0.5</v>
      </c>
      <c r="CU43" s="47">
        <v>0.35</v>
      </c>
      <c r="CV43" s="47">
        <v>0</v>
      </c>
      <c r="CW43" s="47">
        <v>0.05</v>
      </c>
      <c r="CX43" s="47">
        <v>0.1</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row>
    <row r="44" spans="1:124" x14ac:dyDescent="0.25">
      <c r="A44" s="47" t="s">
        <v>353</v>
      </c>
      <c r="B44" s="47" t="s">
        <v>151</v>
      </c>
      <c r="C44" s="47" t="s">
        <v>354</v>
      </c>
      <c r="D44" s="47" t="s">
        <v>355</v>
      </c>
      <c r="E44" s="47" t="s">
        <v>356</v>
      </c>
      <c r="F44" s="47" t="s">
        <v>357</v>
      </c>
      <c r="G44" s="47" t="s">
        <v>358</v>
      </c>
      <c r="H44" s="47" t="str">
        <f>=IFERROR(VLOOKUP(A44,'ETPT Format DDG'!A:J,10,FALSE),"")</f>
        <v>0</v>
      </c>
      <c r="I44" s="47" t="str">
        <f>='ETPT Format DDG'!M44</f>
        <v/>
      </c>
      <c r="J44" s="47" t="str">
        <f>='ETPT Format DDG'!D44</f>
        <v/>
      </c>
      <c r="K44" s="47" t="s">
        <v>155</v>
      </c>
      <c r="L44" s="47" t="s">
        <v>208</v>
      </c>
      <c r="M44" s="47"/>
      <c r="N44" s="47">
        <v>1</v>
      </c>
      <c r="O44" s="47">
        <v>1</v>
      </c>
      <c r="P44" s="47">
        <v>0</v>
      </c>
      <c r="Q44" s="47">
        <v>0</v>
      </c>
      <c r="R44" s="47">
        <v>0</v>
      </c>
      <c r="S44" s="47">
        <v>0</v>
      </c>
      <c r="T44" s="47">
        <v>0</v>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v>
      </c>
      <c r="BP44" s="47">
        <v>0</v>
      </c>
      <c r="BQ44" s="47">
        <v>0</v>
      </c>
      <c r="BR44" s="47">
        <v>0</v>
      </c>
      <c r="BS44" s="47">
        <v>0</v>
      </c>
      <c r="BT44" s="47">
        <v>0</v>
      </c>
      <c r="BU44" s="47">
        <v>0</v>
      </c>
      <c r="BV44" s="47">
        <v>0</v>
      </c>
      <c r="BW44" s="47">
        <v>0</v>
      </c>
      <c r="BX44" s="47">
        <v>0</v>
      </c>
      <c r="BY44" s="47">
        <v>0</v>
      </c>
      <c r="BZ44" s="47">
        <v>0</v>
      </c>
      <c r="CA44" s="47">
        <v>0</v>
      </c>
      <c r="CB44" s="47">
        <v>0</v>
      </c>
      <c r="CC44" s="47">
        <v>0</v>
      </c>
      <c r="CD44" s="47">
        <v>0</v>
      </c>
      <c r="CE44" s="47">
        <v>0</v>
      </c>
      <c r="CF44" s="47">
        <v>1</v>
      </c>
      <c r="CG44" s="47">
        <v>1</v>
      </c>
      <c r="CH44" s="47">
        <v>0</v>
      </c>
      <c r="CI44" s="47">
        <v>0</v>
      </c>
      <c r="CJ44" s="47">
        <v>0</v>
      </c>
      <c r="CK44" s="47">
        <v>0</v>
      </c>
      <c r="CL44" s="47">
        <v>0</v>
      </c>
      <c r="CM44" s="47">
        <v>0</v>
      </c>
      <c r="CN44" s="47">
        <v>0</v>
      </c>
      <c r="CO44" s="47">
        <v>0</v>
      </c>
      <c r="CP44" s="47">
        <v>0</v>
      </c>
      <c r="CQ44" s="47">
        <v>0</v>
      </c>
      <c r="CR44" s="47">
        <v>0</v>
      </c>
      <c r="CS44" s="47">
        <v>0</v>
      </c>
      <c r="CT44" s="47">
        <v>0</v>
      </c>
      <c r="CU44" s="47">
        <v>0</v>
      </c>
      <c r="CV44" s="47">
        <v>0</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row>
    <row r="45" spans="1:124" x14ac:dyDescent="0.25">
      <c r="A45" s="47" t="s">
        <v>359</v>
      </c>
      <c r="B45" s="47" t="s">
        <v>151</v>
      </c>
      <c r="C45" s="47" t="s">
        <v>360</v>
      </c>
      <c r="D45" s="47" t="s">
        <v>361</v>
      </c>
      <c r="E45" s="47" t="s">
        <v>362</v>
      </c>
      <c r="F45" s="47" t="s">
        <v>357</v>
      </c>
      <c r="G45" s="47" t="s">
        <v>358</v>
      </c>
      <c r="H45" s="47" t="str">
        <f>=IFERROR(VLOOKUP(A45,'ETPT Format DDG'!A:J,10,FALSE),"")</f>
        <v>0</v>
      </c>
      <c r="I45" s="47" t="str">
        <f>='ETPT Format DDG'!M45</f>
        <v/>
      </c>
      <c r="J45" s="47" t="str">
        <f>='ETPT Format DDG'!D45</f>
        <v/>
      </c>
      <c r="K45" s="47" t="s">
        <v>155</v>
      </c>
      <c r="L45" s="47" t="s">
        <v>363</v>
      </c>
      <c r="M45" s="47"/>
      <c r="N45" s="47">
        <v>1</v>
      </c>
      <c r="O45" s="47">
        <v>1</v>
      </c>
      <c r="P45" s="47">
        <v>0</v>
      </c>
      <c r="Q45" s="47">
        <v>0</v>
      </c>
      <c r="R45" s="47">
        <v>0</v>
      </c>
      <c r="S45" s="47">
        <v>0</v>
      </c>
      <c r="T45" s="47">
        <v>0</v>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0.53</v>
      </c>
      <c r="AO45" s="47">
        <v>0</v>
      </c>
      <c r="AP45" s="47">
        <v>0</v>
      </c>
      <c r="AQ45" s="47">
        <v>0</v>
      </c>
      <c r="AR45" s="47">
        <v>0</v>
      </c>
      <c r="AS45" s="47">
        <v>0</v>
      </c>
      <c r="AT45" s="47">
        <v>0</v>
      </c>
      <c r="AU45" s="47">
        <v>0</v>
      </c>
      <c r="AV45" s="47">
        <v>0</v>
      </c>
      <c r="AW45" s="47">
        <v>0</v>
      </c>
      <c r="AX45" s="47">
        <v>0</v>
      </c>
      <c r="AY45" s="47">
        <v>0</v>
      </c>
      <c r="AZ45" s="47">
        <v>0</v>
      </c>
      <c r="BA45" s="47">
        <v>0</v>
      </c>
      <c r="BB45" s="47">
        <v>0</v>
      </c>
      <c r="BC45" s="47">
        <v>0.1</v>
      </c>
      <c r="BD45" s="47">
        <v>0</v>
      </c>
      <c r="BE45" s="47">
        <v>0</v>
      </c>
      <c r="BF45" s="47">
        <v>0.43</v>
      </c>
      <c r="BG45" s="47">
        <v>0</v>
      </c>
      <c r="BH45" s="47">
        <v>0.02</v>
      </c>
      <c r="BI45" s="47">
        <v>0</v>
      </c>
      <c r="BJ45" s="47">
        <v>0.02</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0.45</v>
      </c>
      <c r="CU45" s="47">
        <v>0.45</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row>
    <row r="46" spans="1:124" x14ac:dyDescent="0.25">
      <c r="A46" s="47" t="s">
        <v>364</v>
      </c>
      <c r="B46" s="47" t="s">
        <v>151</v>
      </c>
      <c r="C46" s="47" t="s">
        <v>365</v>
      </c>
      <c r="D46" s="47" t="s">
        <v>366</v>
      </c>
      <c r="E46" s="47" t="s">
        <v>367</v>
      </c>
      <c r="F46" s="47" t="s">
        <v>357</v>
      </c>
      <c r="G46" s="47" t="s">
        <v>368</v>
      </c>
      <c r="H46" s="47" t="str">
        <f>=IFERROR(VLOOKUP(A46,'ETPT Format DDG'!A:J,10,FALSE),"")</f>
        <v>0</v>
      </c>
      <c r="I46" s="47" t="str">
        <f>='ETPT Format DDG'!M46</f>
        <v/>
      </c>
      <c r="J46" s="47" t="str">
        <f>='ETPT Format DDG'!D46</f>
        <v/>
      </c>
      <c r="K46" s="47" t="s">
        <v>155</v>
      </c>
      <c r="L46" s="47" t="s">
        <v>176</v>
      </c>
      <c r="M46" s="47"/>
      <c r="N46" s="47">
        <v>1</v>
      </c>
      <c r="O46" s="47">
        <v>1</v>
      </c>
      <c r="P46" s="47">
        <v>0</v>
      </c>
      <c r="Q46" s="47">
        <v>0</v>
      </c>
      <c r="R46" s="47">
        <v>0</v>
      </c>
      <c r="S46" s="47">
        <v>0</v>
      </c>
      <c r="T46" s="47">
        <v>0</v>
      </c>
      <c r="U46" s="47">
        <v>0</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1</v>
      </c>
      <c r="BP46" s="47">
        <v>0</v>
      </c>
      <c r="BQ46" s="47">
        <v>0</v>
      </c>
      <c r="BR46" s="47">
        <v>0</v>
      </c>
      <c r="BS46" s="47">
        <v>0</v>
      </c>
      <c r="BT46" s="47">
        <v>0</v>
      </c>
      <c r="BU46" s="47">
        <v>0</v>
      </c>
      <c r="BV46" s="47">
        <v>0</v>
      </c>
      <c r="BW46" s="47">
        <v>0</v>
      </c>
      <c r="BX46" s="47">
        <v>1</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row>
    <row r="47" spans="1:124" x14ac:dyDescent="0.25">
      <c r="A47" s="47" t="s">
        <v>369</v>
      </c>
      <c r="B47" s="47" t="s">
        <v>151</v>
      </c>
      <c r="C47" s="47" t="s">
        <v>370</v>
      </c>
      <c r="D47" s="47" t="s">
        <v>371</v>
      </c>
      <c r="E47" s="47" t="s">
        <v>372</v>
      </c>
      <c r="F47" s="47" t="s">
        <v>357</v>
      </c>
      <c r="G47" s="47" t="s">
        <v>358</v>
      </c>
      <c r="H47" s="47" t="str">
        <f>=IFERROR(VLOOKUP(A47,'ETPT Format DDG'!A:J,10,FALSE),"")</f>
        <v>0</v>
      </c>
      <c r="I47" s="47" t="str">
        <f>='ETPT Format DDG'!M47</f>
        <v/>
      </c>
      <c r="J47" s="47" t="str">
        <f>='ETPT Format DDG'!D47</f>
        <v/>
      </c>
      <c r="K47" s="47" t="s">
        <v>155</v>
      </c>
      <c r="L47" s="47" t="s">
        <v>208</v>
      </c>
      <c r="M47" s="47"/>
      <c r="N47" s="47">
        <v>1</v>
      </c>
      <c r="O47" s="47">
        <v>1</v>
      </c>
      <c r="P47" s="47">
        <v>0</v>
      </c>
      <c r="Q47" s="47">
        <v>0</v>
      </c>
      <c r="R47" s="47">
        <v>0</v>
      </c>
      <c r="S47" s="47">
        <v>0</v>
      </c>
      <c r="T47" s="47">
        <v>0</v>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1</v>
      </c>
      <c r="BM47" s="47">
        <v>0.6</v>
      </c>
      <c r="BN47" s="47">
        <v>0.4</v>
      </c>
      <c r="BO47" s="47">
        <v>0</v>
      </c>
      <c r="BP47" s="47">
        <v>0</v>
      </c>
      <c r="BQ47" s="47">
        <v>0</v>
      </c>
      <c r="BR47" s="47">
        <v>0</v>
      </c>
      <c r="BS47" s="47">
        <v>0</v>
      </c>
      <c r="BT47" s="47">
        <v>0</v>
      </c>
      <c r="BU47" s="47">
        <v>0</v>
      </c>
      <c r="BV47" s="47">
        <v>0</v>
      </c>
      <c r="BW47" s="47">
        <v>0</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row>
    <row r="48" spans="1:124" x14ac:dyDescent="0.25">
      <c r="A48" s="47" t="s">
        <v>373</v>
      </c>
      <c r="B48" s="47" t="s">
        <v>151</v>
      </c>
      <c r="C48" s="47" t="s">
        <v>374</v>
      </c>
      <c r="D48" s="47" t="s">
        <v>375</v>
      </c>
      <c r="E48" s="47" t="s">
        <v>376</v>
      </c>
      <c r="F48" s="47" t="s">
        <v>357</v>
      </c>
      <c r="G48" s="47" t="s">
        <v>358</v>
      </c>
      <c r="H48" s="47" t="str">
        <f>=IFERROR(VLOOKUP(A48,'ETPT Format DDG'!A:J,10,FALSE),"")</f>
        <v>0</v>
      </c>
      <c r="I48" s="47" t="str">
        <f>='ETPT Format DDG'!M48</f>
        <v/>
      </c>
      <c r="J48" s="47" t="str">
        <f>='ETPT Format DDG'!D48</f>
        <v/>
      </c>
      <c r="K48" s="47" t="s">
        <v>155</v>
      </c>
      <c r="L48" s="47" t="s">
        <v>377</v>
      </c>
      <c r="M48" s="47"/>
      <c r="N48" s="47">
        <v>1</v>
      </c>
      <c r="O48" s="47">
        <v>0</v>
      </c>
      <c r="P48" s="47">
        <v>0</v>
      </c>
      <c r="Q48" s="47">
        <v>0</v>
      </c>
      <c r="R48" s="47">
        <v>0</v>
      </c>
      <c r="S48" s="47">
        <v>0</v>
      </c>
      <c r="T48" s="47">
        <v>0</v>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v>
      </c>
      <c r="BN48" s="47">
        <v>0</v>
      </c>
      <c r="BO48" s="47">
        <v>0</v>
      </c>
      <c r="BP48" s="47">
        <v>0</v>
      </c>
      <c r="BQ48" s="47">
        <v>0</v>
      </c>
      <c r="BR48" s="47">
        <v>0</v>
      </c>
      <c r="BS48" s="47">
        <v>0</v>
      </c>
      <c r="BT48" s="47">
        <v>0</v>
      </c>
      <c r="BU48" s="47">
        <v>0</v>
      </c>
      <c r="BV48" s="47">
        <v>0</v>
      </c>
      <c r="BW48" s="47">
        <v>0</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row>
    <row r="49" spans="1:124" x14ac:dyDescent="0.25">
      <c r="A49" s="47" t="s">
        <v>378</v>
      </c>
      <c r="B49" s="47" t="s">
        <v>151</v>
      </c>
      <c r="C49" s="47" t="s">
        <v>379</v>
      </c>
      <c r="D49" s="47" t="s">
        <v>380</v>
      </c>
      <c r="E49" s="47" t="s">
        <v>381</v>
      </c>
      <c r="F49" s="47" t="s">
        <v>357</v>
      </c>
      <c r="G49" s="47" t="s">
        <v>358</v>
      </c>
      <c r="H49" s="47" t="str">
        <f>=IFERROR(VLOOKUP(A49,'ETPT Format DDG'!A:J,10,FALSE),"")</f>
        <v>0</v>
      </c>
      <c r="I49" s="47" t="str">
        <f>='ETPT Format DDG'!M49</f>
        <v/>
      </c>
      <c r="J49" s="47" t="str">
        <f>='ETPT Format DDG'!D49</f>
        <v/>
      </c>
      <c r="K49" s="47" t="s">
        <v>155</v>
      </c>
      <c r="L49" s="47" t="s">
        <v>382</v>
      </c>
      <c r="M49" s="47" t="s">
        <v>383</v>
      </c>
      <c r="N49" s="47">
        <v>0.9349</v>
      </c>
      <c r="O49" s="47">
        <v>0.9349</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0.9349</v>
      </c>
      <c r="CG49" s="47">
        <v>0</v>
      </c>
      <c r="CH49" s="47">
        <v>0</v>
      </c>
      <c r="CI49" s="47">
        <v>0</v>
      </c>
      <c r="CJ49" s="47">
        <v>0.9349</v>
      </c>
      <c r="CK49" s="47">
        <v>0</v>
      </c>
      <c r="CL49" s="47">
        <v>0</v>
      </c>
      <c r="CM49" s="47">
        <v>0</v>
      </c>
      <c r="CN49" s="47">
        <v>0</v>
      </c>
      <c r="CO49" s="47">
        <v>0</v>
      </c>
      <c r="CP49" s="47">
        <v>0</v>
      </c>
      <c r="CQ49" s="47">
        <v>0</v>
      </c>
      <c r="CR49" s="47">
        <v>0</v>
      </c>
      <c r="CS49" s="47">
        <v>0</v>
      </c>
      <c r="CT49" s="47">
        <v>0</v>
      </c>
      <c r="CU49" s="47">
        <v>0</v>
      </c>
      <c r="CV49" s="47">
        <v>0</v>
      </c>
      <c r="CW49" s="47">
        <v>0</v>
      </c>
      <c r="CX49" s="47">
        <v>0</v>
      </c>
      <c r="CY49" s="47">
        <v>0</v>
      </c>
      <c r="CZ49" s="47">
        <v>0</v>
      </c>
      <c r="DA49" s="47">
        <v>0</v>
      </c>
      <c r="DB49" s="47">
        <v>0</v>
      </c>
      <c r="DC49" s="47">
        <v>0</v>
      </c>
      <c r="DD49" s="47">
        <v>0</v>
      </c>
      <c r="DE49" s="47">
        <v>0</v>
      </c>
      <c r="DF49" s="47">
        <v>0.0651</v>
      </c>
      <c r="DG49" s="47">
        <v>0</v>
      </c>
      <c r="DH49" s="47">
        <v>0</v>
      </c>
      <c r="DI49" s="47">
        <v>0</v>
      </c>
      <c r="DJ49" s="47">
        <v>0.0651</v>
      </c>
      <c r="DK49" s="47">
        <v>0</v>
      </c>
      <c r="DL49" s="47">
        <v>0</v>
      </c>
      <c r="DM49" s="47">
        <v>0</v>
      </c>
      <c r="DN49" s="47">
        <v>0</v>
      </c>
      <c r="DO49" s="47">
        <v>0</v>
      </c>
      <c r="DP49" s="47">
        <v>0</v>
      </c>
      <c r="DQ49" s="47">
        <v>0</v>
      </c>
      <c r="DR49" s="47">
        <v>0</v>
      </c>
    </row>
    <row r="50" spans="1:124" x14ac:dyDescent="0.25">
      <c r="A50" s="47" t="s">
        <v>384</v>
      </c>
      <c r="B50" s="47" t="s">
        <v>151</v>
      </c>
      <c r="C50" s="47" t="s">
        <v>385</v>
      </c>
      <c r="D50" s="47" t="s">
        <v>386</v>
      </c>
      <c r="E50" s="47" t="s">
        <v>387</v>
      </c>
      <c r="F50" s="47" t="s">
        <v>357</v>
      </c>
      <c r="G50" s="47" t="s">
        <v>388</v>
      </c>
      <c r="H50" s="47" t="str">
        <f>=IFERROR(VLOOKUP(A50,'ETPT Format DDG'!A:J,10,FALSE),"")</f>
        <v>0</v>
      </c>
      <c r="I50" s="47" t="str">
        <f>='ETPT Format DDG'!M50</f>
        <v/>
      </c>
      <c r="J50" s="47" t="str">
        <f>='ETPT Format DDG'!D50</f>
        <v/>
      </c>
      <c r="K50" s="47" t="s">
        <v>155</v>
      </c>
      <c r="L50" s="47" t="s">
        <v>389</v>
      </c>
      <c r="M50" s="47"/>
      <c r="N50" s="47">
        <v>1</v>
      </c>
      <c r="O50" s="47">
        <v>0</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row>
    <row r="51" spans="1:124" x14ac:dyDescent="0.25">
      <c r="A51" s="47" t="s">
        <v>390</v>
      </c>
      <c r="B51" s="47" t="s">
        <v>151</v>
      </c>
      <c r="C51" s="47" t="s">
        <v>391</v>
      </c>
      <c r="D51" s="47" t="s">
        <v>392</v>
      </c>
      <c r="E51" s="47" t="s">
        <v>393</v>
      </c>
      <c r="F51" s="47" t="s">
        <v>357</v>
      </c>
      <c r="G51" s="47" t="s">
        <v>388</v>
      </c>
      <c r="H51" s="47" t="str">
        <f>=IFERROR(VLOOKUP(A51,'ETPT Format DDG'!A:J,10,FALSE),"")</f>
        <v>0</v>
      </c>
      <c r="I51" s="47" t="str">
        <f>='ETPT Format DDG'!M51</f>
        <v/>
      </c>
      <c r="J51" s="47" t="str">
        <f>='ETPT Format DDG'!D51</f>
        <v/>
      </c>
      <c r="K51" s="47" t="s">
        <v>155</v>
      </c>
      <c r="L51" s="47" t="s">
        <v>208</v>
      </c>
      <c r="M51" s="47" t="s">
        <v>169</v>
      </c>
      <c r="N51" s="47">
        <v>0.59</v>
      </c>
      <c r="O51" s="47">
        <v>0.59</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0.59</v>
      </c>
      <c r="CU51" s="47">
        <v>0</v>
      </c>
      <c r="CV51" s="47">
        <v>0</v>
      </c>
      <c r="CW51" s="47">
        <v>0</v>
      </c>
      <c r="CX51" s="47">
        <v>0</v>
      </c>
      <c r="CY51" s="47">
        <v>0</v>
      </c>
      <c r="CZ51" s="47">
        <v>0</v>
      </c>
      <c r="DA51" s="47">
        <v>0</v>
      </c>
      <c r="DB51" s="47">
        <v>0</v>
      </c>
      <c r="DC51" s="47">
        <v>0</v>
      </c>
      <c r="DD51" s="47">
        <v>0</v>
      </c>
      <c r="DE51" s="47">
        <v>0.59</v>
      </c>
      <c r="DF51" s="47">
        <v>0.0766</v>
      </c>
      <c r="DG51" s="47">
        <v>0.0575</v>
      </c>
      <c r="DH51" s="47">
        <v>0</v>
      </c>
      <c r="DI51" s="47">
        <v>0.0192</v>
      </c>
      <c r="DJ51" s="47">
        <v>0</v>
      </c>
      <c r="DK51" s="47">
        <v>0</v>
      </c>
      <c r="DL51" s="47">
        <v>0</v>
      </c>
      <c r="DM51" s="47">
        <v>0</v>
      </c>
      <c r="DN51" s="47">
        <v>0</v>
      </c>
      <c r="DO51" s="47">
        <v>0</v>
      </c>
      <c r="DP51" s="47">
        <v>0</v>
      </c>
      <c r="DQ51" s="47">
        <v>0</v>
      </c>
      <c r="DR51" s="47">
        <v>0</v>
      </c>
    </row>
    <row r="52" spans="1:124" x14ac:dyDescent="0.25">
      <c r="A52" s="47" t="s">
        <v>394</v>
      </c>
      <c r="B52" s="47" t="s">
        <v>151</v>
      </c>
      <c r="C52" s="47" t="s">
        <v>395</v>
      </c>
      <c r="D52" s="47" t="s">
        <v>396</v>
      </c>
      <c r="E52" s="47" t="s">
        <v>397</v>
      </c>
      <c r="F52" s="47" t="s">
        <v>357</v>
      </c>
      <c r="G52" s="47" t="s">
        <v>398</v>
      </c>
      <c r="H52" s="47" t="str">
        <f>=IFERROR(VLOOKUP(A52,'ETPT Format DDG'!A:J,10,FALSE),"")</f>
        <v>0</v>
      </c>
      <c r="I52" s="47" t="str">
        <f>='ETPT Format DDG'!M52</f>
        <v/>
      </c>
      <c r="J52" s="47" t="str">
        <f>='ETPT Format DDG'!D52</f>
        <v/>
      </c>
      <c r="K52" s="47" t="s">
        <v>155</v>
      </c>
      <c r="L52" s="47" t="s">
        <v>176</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1</v>
      </c>
      <c r="CU52" s="47">
        <v>1</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row>
    <row r="53" spans="1:124" x14ac:dyDescent="0.25">
      <c r="A53" s="47" t="s">
        <v>399</v>
      </c>
      <c r="B53" s="47" t="s">
        <v>151</v>
      </c>
      <c r="C53" s="47" t="s">
        <v>400</v>
      </c>
      <c r="D53" s="47" t="s">
        <v>401</v>
      </c>
      <c r="E53" s="47" t="s">
        <v>402</v>
      </c>
      <c r="F53" s="47" t="s">
        <v>357</v>
      </c>
      <c r="G53" s="47" t="s">
        <v>358</v>
      </c>
      <c r="H53" s="47" t="str">
        <f>=IFERROR(VLOOKUP(A53,'ETPT Format DDG'!A:J,10,FALSE),"")</f>
        <v>0</v>
      </c>
      <c r="I53" s="47" t="str">
        <f>='ETPT Format DDG'!M53</f>
        <v/>
      </c>
      <c r="J53" s="47" t="str">
        <f>='ETPT Format DDG'!D53</f>
        <v/>
      </c>
      <c r="K53" s="47" t="s">
        <v>155</v>
      </c>
      <c r="L53" s="47" t="s">
        <v>403</v>
      </c>
      <c r="M53" s="47"/>
      <c r="N53" s="47">
        <v>1</v>
      </c>
      <c r="O53" s="47">
        <v>1</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1</v>
      </c>
      <c r="BM53" s="47">
        <v>0.65</v>
      </c>
      <c r="BN53" s="47">
        <v>0.35</v>
      </c>
      <c r="BO53" s="47">
        <v>0</v>
      </c>
      <c r="BP53" s="47">
        <v>0</v>
      </c>
      <c r="BQ53" s="47">
        <v>0</v>
      </c>
      <c r="BR53" s="47">
        <v>0</v>
      </c>
      <c r="BS53" s="47">
        <v>0</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row>
    <row r="54" spans="1:124" x14ac:dyDescent="0.25">
      <c r="A54" s="47" t="s">
        <v>404</v>
      </c>
      <c r="B54" s="47" t="s">
        <v>151</v>
      </c>
      <c r="C54" s="47" t="s">
        <v>405</v>
      </c>
      <c r="D54" s="47" t="s">
        <v>406</v>
      </c>
      <c r="E54" s="47" t="s">
        <v>407</v>
      </c>
      <c r="F54" s="47" t="s">
        <v>357</v>
      </c>
      <c r="G54" s="47" t="s">
        <v>358</v>
      </c>
      <c r="H54" s="47" t="str">
        <f>=IFERROR(VLOOKUP(A54,'ETPT Format DDG'!A:J,10,FALSE),"")</f>
        <v>0</v>
      </c>
      <c r="I54" s="47" t="str">
        <f>='ETPT Format DDG'!M54</f>
        <v/>
      </c>
      <c r="J54" s="47" t="str">
        <f>='ETPT Format DDG'!D54</f>
        <v/>
      </c>
      <c r="K54" s="47" t="s">
        <v>155</v>
      </c>
      <c r="L54" s="47" t="s">
        <v>377</v>
      </c>
      <c r="M54" s="47"/>
      <c r="N54" s="47">
        <v>1</v>
      </c>
      <c r="O54" s="47">
        <v>0</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row>
    <row r="55" spans="1:124" x14ac:dyDescent="0.25">
      <c r="A55" s="47" t="s">
        <v>408</v>
      </c>
      <c r="B55" s="47" t="s">
        <v>151</v>
      </c>
      <c r="C55" s="47" t="s">
        <v>409</v>
      </c>
      <c r="D55" s="47" t="s">
        <v>410</v>
      </c>
      <c r="E55" s="47" t="s">
        <v>411</v>
      </c>
      <c r="F55" s="47" t="s">
        <v>357</v>
      </c>
      <c r="G55" s="47" t="s">
        <v>358</v>
      </c>
      <c r="H55" s="47" t="str">
        <f>=IFERROR(VLOOKUP(A55,'ETPT Format DDG'!A:J,10,FALSE),"")</f>
        <v>0</v>
      </c>
      <c r="I55" s="47" t="str">
        <f>='ETPT Format DDG'!M55</f>
        <v/>
      </c>
      <c r="J55" s="47" t="str">
        <f>='ETPT Format DDG'!D55</f>
        <v/>
      </c>
      <c r="K55" s="47" t="s">
        <v>155</v>
      </c>
      <c r="L55" s="47" t="s">
        <v>412</v>
      </c>
      <c r="M55" s="47"/>
      <c r="N55" s="47">
        <v>1</v>
      </c>
      <c r="O55" s="47">
        <v>0</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row>
    <row r="56" spans="1:124" x14ac:dyDescent="0.25">
      <c r="A56" s="47" t="s">
        <v>413</v>
      </c>
      <c r="B56" s="47" t="s">
        <v>151</v>
      </c>
      <c r="C56" s="47" t="s">
        <v>414</v>
      </c>
      <c r="D56" s="47" t="s">
        <v>415</v>
      </c>
      <c r="E56" s="47" t="s">
        <v>416</v>
      </c>
      <c r="F56" s="47" t="s">
        <v>357</v>
      </c>
      <c r="G56" s="47" t="s">
        <v>388</v>
      </c>
      <c r="H56" s="47" t="str">
        <f>=IFERROR(VLOOKUP(A56,'ETPT Format DDG'!A:J,10,FALSE),"")</f>
        <v>0</v>
      </c>
      <c r="I56" s="47" t="str">
        <f>='ETPT Format DDG'!M56</f>
        <v/>
      </c>
      <c r="J56" s="47" t="str">
        <f>='ETPT Format DDG'!D56</f>
        <v/>
      </c>
      <c r="K56" s="47" t="s">
        <v>155</v>
      </c>
      <c r="L56" s="47" t="s">
        <v>417</v>
      </c>
      <c r="M56" s="47"/>
      <c r="N56" s="47">
        <v>1</v>
      </c>
      <c r="O56" s="47">
        <v>1</v>
      </c>
      <c r="P56" s="47">
        <v>1</v>
      </c>
      <c r="Q56" s="47">
        <v>0</v>
      </c>
      <c r="R56" s="47">
        <v>1</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row>
    <row r="57" spans="1:124" x14ac:dyDescent="0.25">
      <c r="A57" s="47" t="s">
        <v>418</v>
      </c>
      <c r="B57" s="47" t="s">
        <v>151</v>
      </c>
      <c r="C57" s="47" t="s">
        <v>419</v>
      </c>
      <c r="D57" s="47" t="s">
        <v>420</v>
      </c>
      <c r="E57" s="47" t="s">
        <v>421</v>
      </c>
      <c r="F57" s="47" t="s">
        <v>357</v>
      </c>
      <c r="G57" s="47" t="s">
        <v>358</v>
      </c>
      <c r="H57" s="47" t="str">
        <f>=IFERROR(VLOOKUP(A57,'ETPT Format DDG'!A:J,10,FALSE),"")</f>
        <v>0</v>
      </c>
      <c r="I57" s="47" t="str">
        <f>='ETPT Format DDG'!M57</f>
        <v/>
      </c>
      <c r="J57" s="47" t="str">
        <f>='ETPT Format DDG'!D57</f>
        <v/>
      </c>
      <c r="K57" s="47" t="s">
        <v>155</v>
      </c>
      <c r="L57" s="47" t="s">
        <v>422</v>
      </c>
      <c r="M57" s="47"/>
      <c r="N57" s="47">
        <v>1</v>
      </c>
      <c r="O57" s="47">
        <v>0</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row>
    <row r="58" spans="1:124" x14ac:dyDescent="0.25">
      <c r="A58" s="47" t="s">
        <v>423</v>
      </c>
      <c r="B58" s="47" t="s">
        <v>151</v>
      </c>
      <c r="C58" s="47" t="s">
        <v>424</v>
      </c>
      <c r="D58" s="47" t="s">
        <v>425</v>
      </c>
      <c r="E58" s="47" t="s">
        <v>426</v>
      </c>
      <c r="F58" s="47" t="s">
        <v>357</v>
      </c>
      <c r="G58" s="47" t="s">
        <v>358</v>
      </c>
      <c r="H58" s="47" t="str">
        <f>=IFERROR(VLOOKUP(A58,'ETPT Format DDG'!A:J,10,FALSE),"")</f>
        <v>0</v>
      </c>
      <c r="I58" s="47" t="str">
        <f>='ETPT Format DDG'!M58</f>
        <v/>
      </c>
      <c r="J58" s="47" t="str">
        <f>='ETPT Format DDG'!D58</f>
        <v/>
      </c>
      <c r="K58" s="47" t="s">
        <v>155</v>
      </c>
      <c r="L58" s="47" t="s">
        <v>427</v>
      </c>
      <c r="M58" s="47"/>
      <c r="N58" s="47">
        <v>1</v>
      </c>
      <c r="O58" s="47">
        <v>1</v>
      </c>
      <c r="P58" s="47">
        <v>0</v>
      </c>
      <c r="Q58" s="47">
        <v>0</v>
      </c>
      <c r="R58" s="47">
        <v>0</v>
      </c>
      <c r="S58" s="47">
        <v>0</v>
      </c>
      <c r="T58" s="47">
        <v>0</v>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1</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row>
    <row r="59" spans="1:124" x14ac:dyDescent="0.25">
      <c r="A59" s="47" t="s">
        <v>428</v>
      </c>
      <c r="B59" s="47" t="s">
        <v>151</v>
      </c>
      <c r="C59" s="47" t="s">
        <v>429</v>
      </c>
      <c r="D59" s="47" t="s">
        <v>430</v>
      </c>
      <c r="E59" s="47" t="s">
        <v>431</v>
      </c>
      <c r="F59" s="47" t="s">
        <v>357</v>
      </c>
      <c r="G59" s="47" t="s">
        <v>388</v>
      </c>
      <c r="H59" s="47" t="str">
        <f>=IFERROR(VLOOKUP(A59,'ETPT Format DDG'!A:J,10,FALSE),"")</f>
        <v>0</v>
      </c>
      <c r="I59" s="47" t="str">
        <f>='ETPT Format DDG'!M59</f>
        <v/>
      </c>
      <c r="J59" s="47" t="str">
        <f>='ETPT Format DDG'!D59</f>
        <v/>
      </c>
      <c r="K59" s="47" t="s">
        <v>155</v>
      </c>
      <c r="L59" s="47" t="s">
        <v>432</v>
      </c>
      <c r="M59" s="47"/>
      <c r="N59" s="47">
        <v>0.8</v>
      </c>
      <c r="O59" s="47">
        <v>0.8</v>
      </c>
      <c r="P59" s="47">
        <v>0</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v>
      </c>
      <c r="CL59" s="47">
        <v>0</v>
      </c>
      <c r="CM59" s="47">
        <v>0</v>
      </c>
      <c r="CN59" s="47">
        <v>0</v>
      </c>
      <c r="CO59" s="47">
        <v>0</v>
      </c>
      <c r="CP59" s="47">
        <v>0</v>
      </c>
      <c r="CQ59" s="47">
        <v>0</v>
      </c>
      <c r="CR59" s="47">
        <v>0</v>
      </c>
      <c r="CS59" s="47">
        <v>0</v>
      </c>
      <c r="CT59" s="47">
        <v>0.8</v>
      </c>
      <c r="CU59" s="47">
        <v>0.8</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row>
    <row r="60" spans="1:124" x14ac:dyDescent="0.25">
      <c r="A60" s="47" t="s">
        <v>433</v>
      </c>
      <c r="B60" s="47" t="s">
        <v>151</v>
      </c>
      <c r="C60" s="47" t="s">
        <v>434</v>
      </c>
      <c r="D60" s="47" t="s">
        <v>435</v>
      </c>
      <c r="E60" s="47" t="s">
        <v>436</v>
      </c>
      <c r="F60" s="47" t="s">
        <v>357</v>
      </c>
      <c r="G60" s="47" t="s">
        <v>388</v>
      </c>
      <c r="H60" s="47" t="str">
        <f>=IFERROR(VLOOKUP(A60,'ETPT Format DDG'!A:J,10,FALSE),"")</f>
        <v>0</v>
      </c>
      <c r="I60" s="47" t="str">
        <f>='ETPT Format DDG'!M60</f>
        <v/>
      </c>
      <c r="J60" s="47" t="str">
        <f>='ETPT Format DDG'!D60</f>
        <v/>
      </c>
      <c r="K60" s="47" t="s">
        <v>155</v>
      </c>
      <c r="L60" s="47" t="s">
        <v>437</v>
      </c>
      <c r="M60" s="47"/>
      <c r="N60" s="47">
        <v>1</v>
      </c>
      <c r="O60" s="47">
        <v>0</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row>
    <row r="61" spans="1:124" x14ac:dyDescent="0.25">
      <c r="A61" s="47" t="s">
        <v>438</v>
      </c>
      <c r="B61" s="47" t="s">
        <v>151</v>
      </c>
      <c r="C61" s="47" t="s">
        <v>439</v>
      </c>
      <c r="D61" s="47" t="s">
        <v>440</v>
      </c>
      <c r="E61" s="47" t="s">
        <v>441</v>
      </c>
      <c r="F61" s="47" t="s">
        <v>357</v>
      </c>
      <c r="G61" s="47" t="s">
        <v>358</v>
      </c>
      <c r="H61" s="47" t="str">
        <f>=IFERROR(VLOOKUP(A61,'ETPT Format DDG'!A:J,10,FALSE),"")</f>
        <v>0</v>
      </c>
      <c r="I61" s="47" t="str">
        <f>='ETPT Format DDG'!M61</f>
        <v/>
      </c>
      <c r="J61" s="47" t="str">
        <f>='ETPT Format DDG'!D61</f>
        <v/>
      </c>
      <c r="K61" s="47" t="s">
        <v>155</v>
      </c>
      <c r="L61" s="47" t="s">
        <v>442</v>
      </c>
      <c r="M61" s="47"/>
      <c r="N61" s="47">
        <v>1</v>
      </c>
      <c r="O61" s="47">
        <v>1</v>
      </c>
      <c r="P61" s="47">
        <v>0</v>
      </c>
      <c r="Q61" s="47">
        <v>0</v>
      </c>
      <c r="R61" s="47">
        <v>0</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1</v>
      </c>
      <c r="CU61" s="47">
        <v>0</v>
      </c>
      <c r="CV61" s="47">
        <v>0</v>
      </c>
      <c r="CW61" s="47">
        <v>0</v>
      </c>
      <c r="CX61" s="47">
        <v>0</v>
      </c>
      <c r="CY61" s="47">
        <v>0</v>
      </c>
      <c r="CZ61" s="47">
        <v>0</v>
      </c>
      <c r="DA61" s="47">
        <v>0</v>
      </c>
      <c r="DB61" s="47">
        <v>0</v>
      </c>
      <c r="DC61" s="47">
        <v>0</v>
      </c>
      <c r="DD61" s="47">
        <v>0</v>
      </c>
      <c r="DE61" s="47">
        <v>1</v>
      </c>
      <c r="DF61" s="47">
        <v>0</v>
      </c>
      <c r="DG61" s="47">
        <v>0</v>
      </c>
      <c r="DH61" s="47">
        <v>0</v>
      </c>
      <c r="DI61" s="47">
        <v>0</v>
      </c>
      <c r="DJ61" s="47">
        <v>0</v>
      </c>
      <c r="DK61" s="47">
        <v>0</v>
      </c>
      <c r="DL61" s="47">
        <v>0</v>
      </c>
      <c r="DM61" s="47">
        <v>0</v>
      </c>
      <c r="DN61" s="47">
        <v>0</v>
      </c>
      <c r="DO61" s="47">
        <v>0</v>
      </c>
      <c r="DP61" s="47">
        <v>0</v>
      </c>
      <c r="DQ61" s="47">
        <v>0</v>
      </c>
      <c r="DR61" s="47">
        <v>0</v>
      </c>
    </row>
    <row r="62" spans="1:124" x14ac:dyDescent="0.25">
      <c r="A62" s="47" t="s">
        <v>443</v>
      </c>
      <c r="B62" s="47" t="s">
        <v>151</v>
      </c>
      <c r="C62" s="47" t="s">
        <v>444</v>
      </c>
      <c r="D62" s="47" t="s">
        <v>445</v>
      </c>
      <c r="E62" s="47" t="s">
        <v>446</v>
      </c>
      <c r="F62" s="47" t="s">
        <v>357</v>
      </c>
      <c r="G62" s="47" t="s">
        <v>388</v>
      </c>
      <c r="H62" s="47" t="str">
        <f>=IFERROR(VLOOKUP(A62,'ETPT Format DDG'!A:J,10,FALSE),"")</f>
        <v>0</v>
      </c>
      <c r="I62" s="47" t="str">
        <f>='ETPT Format DDG'!M62</f>
        <v/>
      </c>
      <c r="J62" s="47" t="str">
        <f>='ETPT Format DDG'!D62</f>
        <v/>
      </c>
      <c r="K62" s="47" t="s">
        <v>155</v>
      </c>
      <c r="L62" s="47" t="s">
        <v>447</v>
      </c>
      <c r="M62" s="47"/>
      <c r="N62" s="47">
        <v>0.931</v>
      </c>
      <c r="O62" s="47">
        <v>0.931</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0.931</v>
      </c>
      <c r="CU62" s="47">
        <v>0</v>
      </c>
      <c r="CV62" s="47">
        <v>0</v>
      </c>
      <c r="CW62" s="47">
        <v>0</v>
      </c>
      <c r="CX62" s="47">
        <v>0.931</v>
      </c>
      <c r="CY62" s="47">
        <v>0</v>
      </c>
      <c r="CZ62" s="47">
        <v>0</v>
      </c>
      <c r="DA62" s="47">
        <v>0</v>
      </c>
      <c r="DB62" s="47">
        <v>0</v>
      </c>
      <c r="DC62" s="47">
        <v>0</v>
      </c>
      <c r="DD62" s="47">
        <v>0</v>
      </c>
      <c r="DE62" s="47">
        <v>0</v>
      </c>
      <c r="DF62" s="47">
        <v>0.069</v>
      </c>
      <c r="DG62" s="47">
        <v>0</v>
      </c>
      <c r="DH62" s="47">
        <v>0</v>
      </c>
      <c r="DI62" s="47">
        <v>0.0498</v>
      </c>
      <c r="DJ62" s="47">
        <v>0</v>
      </c>
      <c r="DK62" s="47">
        <v>0.0077</v>
      </c>
      <c r="DL62" s="47">
        <v>0</v>
      </c>
      <c r="DM62" s="47">
        <v>0</v>
      </c>
      <c r="DN62" s="47">
        <v>0</v>
      </c>
      <c r="DO62" s="47">
        <v>0</v>
      </c>
      <c r="DP62" s="47">
        <v>0</v>
      </c>
      <c r="DQ62" s="47">
        <v>0</v>
      </c>
      <c r="DR62" s="47">
        <v>0.0115</v>
      </c>
    </row>
    <row r="63" spans="1:124" x14ac:dyDescent="0.25">
      <c r="A63" s="47" t="s">
        <v>448</v>
      </c>
      <c r="B63" s="47" t="s">
        <v>151</v>
      </c>
      <c r="C63" s="47" t="s">
        <v>449</v>
      </c>
      <c r="D63" s="47" t="s">
        <v>450</v>
      </c>
      <c r="E63" s="47" t="s">
        <v>451</v>
      </c>
      <c r="F63" s="47" t="s">
        <v>357</v>
      </c>
      <c r="G63" s="47" t="s">
        <v>358</v>
      </c>
      <c r="H63" s="47" t="str">
        <f>=IFERROR(VLOOKUP(A63,'ETPT Format DDG'!A:J,10,FALSE),"")</f>
        <v>0</v>
      </c>
      <c r="I63" s="47" t="str">
        <f>='ETPT Format DDG'!M63</f>
        <v/>
      </c>
      <c r="J63" s="47" t="str">
        <f>='ETPT Format DDG'!D63</f>
        <v/>
      </c>
      <c r="K63" s="47" t="s">
        <v>155</v>
      </c>
      <c r="L63" s="47" t="s">
        <v>452</v>
      </c>
      <c r="M63" s="47"/>
      <c r="N63" s="47">
        <v>1</v>
      </c>
      <c r="O63" s="47">
        <v>0</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row>
    <row r="64" spans="1:124" x14ac:dyDescent="0.25">
      <c r="A64" s="47" t="s">
        <v>453</v>
      </c>
      <c r="B64" s="47" t="s">
        <v>151</v>
      </c>
      <c r="C64" s="47" t="s">
        <v>454</v>
      </c>
      <c r="D64" s="47" t="s">
        <v>455</v>
      </c>
      <c r="E64" s="47" t="s">
        <v>456</v>
      </c>
      <c r="F64" s="47" t="s">
        <v>357</v>
      </c>
      <c r="G64" s="47" t="s">
        <v>388</v>
      </c>
      <c r="H64" s="47" t="str">
        <f>=IFERROR(VLOOKUP(A64,'ETPT Format DDG'!A:J,10,FALSE),"")</f>
        <v>0</v>
      </c>
      <c r="I64" s="47" t="str">
        <f>='ETPT Format DDG'!M64</f>
        <v/>
      </c>
      <c r="J64" s="47" t="str">
        <f>='ETPT Format DDG'!D64</f>
        <v/>
      </c>
      <c r="K64" s="47" t="s">
        <v>155</v>
      </c>
      <c r="L64" s="47" t="s">
        <v>457</v>
      </c>
      <c r="M64" s="47"/>
      <c r="N64" s="47">
        <v>0.046</v>
      </c>
      <c r="O64" s="47">
        <v>0</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0.2797</v>
      </c>
      <c r="DG64" s="47">
        <v>0.1552</v>
      </c>
      <c r="DH64" s="47">
        <v>0</v>
      </c>
      <c r="DI64" s="47">
        <v>0</v>
      </c>
      <c r="DJ64" s="47">
        <v>0</v>
      </c>
      <c r="DK64" s="47">
        <v>0</v>
      </c>
      <c r="DL64" s="47">
        <v>0</v>
      </c>
      <c r="DM64" s="47">
        <v>0</v>
      </c>
      <c r="DN64" s="47">
        <v>0.1245</v>
      </c>
      <c r="DO64" s="47">
        <v>0</v>
      </c>
      <c r="DP64" s="47">
        <v>0</v>
      </c>
      <c r="DQ64" s="47">
        <v>0</v>
      </c>
      <c r="DR64" s="47">
        <v>0</v>
      </c>
    </row>
    <row r="65" spans="1:124" x14ac:dyDescent="0.25">
      <c r="A65" s="47" t="s">
        <v>458</v>
      </c>
      <c r="B65" s="47" t="s">
        <v>151</v>
      </c>
      <c r="C65" s="47" t="s">
        <v>459</v>
      </c>
      <c r="D65" s="47" t="s">
        <v>460</v>
      </c>
      <c r="E65" s="47" t="s">
        <v>461</v>
      </c>
      <c r="F65" s="47" t="s">
        <v>357</v>
      </c>
      <c r="G65" s="47" t="s">
        <v>388</v>
      </c>
      <c r="H65" s="47" t="str">
        <f>=IFERROR(VLOOKUP(A65,'ETPT Format DDG'!A:J,10,FALSE),"")</f>
        <v>0</v>
      </c>
      <c r="I65" s="47" t="str">
        <f>='ETPT Format DDG'!M65</f>
        <v/>
      </c>
      <c r="J65" s="47" t="str">
        <f>='ETPT Format DDG'!D65</f>
        <v/>
      </c>
      <c r="K65" s="47" t="s">
        <v>155</v>
      </c>
      <c r="L65" s="47" t="s">
        <v>462</v>
      </c>
      <c r="M65" s="47"/>
      <c r="N65" s="47">
        <v>1</v>
      </c>
      <c r="O65" s="47">
        <v>0</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row>
    <row r="66" spans="1:124" x14ac:dyDescent="0.25">
      <c r="A66" s="47" t="s">
        <v>463</v>
      </c>
      <c r="B66" s="47" t="s">
        <v>151</v>
      </c>
      <c r="C66" s="47" t="s">
        <v>464</v>
      </c>
      <c r="D66" s="47" t="s">
        <v>465</v>
      </c>
      <c r="E66" s="47" t="s">
        <v>466</v>
      </c>
      <c r="F66" s="47" t="s">
        <v>357</v>
      </c>
      <c r="G66" s="47" t="s">
        <v>358</v>
      </c>
      <c r="H66" s="47" t="str">
        <f>=IFERROR(VLOOKUP(A66,'ETPT Format DDG'!A:J,10,FALSE),"")</f>
        <v>0</v>
      </c>
      <c r="I66" s="47" t="str">
        <f>='ETPT Format DDG'!M66</f>
        <v/>
      </c>
      <c r="J66" s="47" t="str">
        <f>='ETPT Format DDG'!D66</f>
        <v/>
      </c>
      <c r="K66" s="47" t="s">
        <v>155</v>
      </c>
      <c r="L66" s="47" t="s">
        <v>467</v>
      </c>
      <c r="M66" s="47"/>
      <c r="N66" s="47">
        <v>1</v>
      </c>
      <c r="O66" s="47">
        <v>0</v>
      </c>
      <c r="P66" s="47">
        <v>0</v>
      </c>
      <c r="Q66" s="47">
        <v>0</v>
      </c>
      <c r="R66" s="47">
        <v>0</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row>
    <row r="67" spans="1:124" x14ac:dyDescent="0.25">
      <c r="A67" s="47" t="s">
        <v>468</v>
      </c>
      <c r="B67" s="47" t="s">
        <v>151</v>
      </c>
      <c r="C67" s="47" t="s">
        <v>469</v>
      </c>
      <c r="D67" s="47" t="s">
        <v>470</v>
      </c>
      <c r="E67" s="47" t="s">
        <v>471</v>
      </c>
      <c r="F67" s="47" t="s">
        <v>357</v>
      </c>
      <c r="G67" s="47" t="s">
        <v>398</v>
      </c>
      <c r="H67" s="47" t="str">
        <f>=IFERROR(VLOOKUP(A67,'ETPT Format DDG'!A:J,10,FALSE),"")</f>
        <v>0</v>
      </c>
      <c r="I67" s="47" t="str">
        <f>='ETPT Format DDG'!M67</f>
        <v/>
      </c>
      <c r="J67" s="47" t="str">
        <f>='ETPT Format DDG'!D67</f>
        <v/>
      </c>
      <c r="K67" s="47" t="s">
        <v>155</v>
      </c>
      <c r="L67" s="47" t="s">
        <v>472</v>
      </c>
      <c r="M67" s="47"/>
      <c r="N67" s="47">
        <v>1</v>
      </c>
      <c r="O67" s="47">
        <v>1</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1</v>
      </c>
      <c r="CU67" s="47">
        <v>0.871</v>
      </c>
      <c r="CV67" s="47">
        <v>0.022</v>
      </c>
      <c r="CW67" s="47">
        <v>0.057</v>
      </c>
      <c r="CX67" s="47">
        <v>0</v>
      </c>
      <c r="CY67" s="47">
        <v>0</v>
      </c>
      <c r="CZ67" s="47">
        <v>0</v>
      </c>
      <c r="DA67" s="47">
        <v>0</v>
      </c>
      <c r="DB67" s="47">
        <v>0.05</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row>
    <row r="68" spans="1:124" x14ac:dyDescent="0.25">
      <c r="A68" s="47" t="s">
        <v>473</v>
      </c>
      <c r="B68" s="47" t="s">
        <v>151</v>
      </c>
      <c r="C68" s="47" t="s">
        <v>474</v>
      </c>
      <c r="D68" s="47" t="s">
        <v>475</v>
      </c>
      <c r="E68" s="47" t="s">
        <v>476</v>
      </c>
      <c r="F68" s="47" t="s">
        <v>357</v>
      </c>
      <c r="G68" s="47" t="s">
        <v>388</v>
      </c>
      <c r="H68" s="47" t="str">
        <f>=IFERROR(VLOOKUP(A68,'ETPT Format DDG'!A:J,10,FALSE),"")</f>
        <v>0</v>
      </c>
      <c r="I68" s="47" t="str">
        <f>='ETPT Format DDG'!M68</f>
        <v/>
      </c>
      <c r="J68" s="47" t="str">
        <f>='ETPT Format DDG'!D68</f>
        <v/>
      </c>
      <c r="K68" s="47" t="s">
        <v>155</v>
      </c>
      <c r="L68" s="47" t="s">
        <v>477</v>
      </c>
      <c r="M68" s="47"/>
      <c r="N68" s="47">
        <v>0.5153</v>
      </c>
      <c r="O68" s="47">
        <v>0.4847</v>
      </c>
      <c r="P68" s="47">
        <v>0</v>
      </c>
      <c r="Q68" s="47">
        <v>0</v>
      </c>
      <c r="R68" s="47">
        <v>0</v>
      </c>
      <c r="S68" s="47">
        <v>0</v>
      </c>
      <c r="T68" s="47">
        <v>0</v>
      </c>
      <c r="U68" s="47">
        <v>0</v>
      </c>
      <c r="V68" s="47">
        <v>0</v>
      </c>
      <c r="W68" s="47">
        <v>0</v>
      </c>
      <c r="X68" s="47">
        <v>0</v>
      </c>
      <c r="Y68" s="47">
        <v>0</v>
      </c>
      <c r="Z68" s="47">
        <v>0</v>
      </c>
      <c r="AA68" s="47">
        <v>0</v>
      </c>
      <c r="AB68" s="47">
        <v>0</v>
      </c>
      <c r="AC68" s="47">
        <v>0</v>
      </c>
      <c r="AD68" s="47">
        <v>0</v>
      </c>
      <c r="AE68" s="47">
        <v>0.4847</v>
      </c>
      <c r="AF68" s="47">
        <v>0</v>
      </c>
      <c r="AG68" s="47">
        <v>0</v>
      </c>
      <c r="AH68" s="47">
        <v>0</v>
      </c>
      <c r="AI68" s="47">
        <v>0</v>
      </c>
      <c r="AJ68" s="47">
        <v>0.4847</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row>
    <row r="69" spans="1:124" x14ac:dyDescent="0.25">
      <c r="A69" s="47" t="s">
        <v>478</v>
      </c>
      <c r="B69" s="47" t="s">
        <v>151</v>
      </c>
      <c r="C69" s="47" t="s">
        <v>479</v>
      </c>
      <c r="D69" s="47" t="s">
        <v>480</v>
      </c>
      <c r="E69" s="47" t="s">
        <v>481</v>
      </c>
      <c r="F69" s="47" t="s">
        <v>357</v>
      </c>
      <c r="G69" s="47" t="s">
        <v>358</v>
      </c>
      <c r="H69" s="47" t="str">
        <f>=IFERROR(VLOOKUP(A69,'ETPT Format DDG'!A:J,10,FALSE),"")</f>
        <v>0</v>
      </c>
      <c r="I69" s="47" t="str">
        <f>='ETPT Format DDG'!M69</f>
        <v/>
      </c>
      <c r="J69" s="47" t="str">
        <f>='ETPT Format DDG'!D69</f>
        <v/>
      </c>
      <c r="K69" s="47" t="s">
        <v>155</v>
      </c>
      <c r="L69" s="47" t="s">
        <v>482</v>
      </c>
      <c r="M69" s="47"/>
      <c r="N69" s="47">
        <v>1</v>
      </c>
      <c r="O69" s="47">
        <v>0.0005</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0.0005</v>
      </c>
      <c r="CU69" s="47">
        <v>0</v>
      </c>
      <c r="CV69" s="47">
        <v>0.0003</v>
      </c>
      <c r="CW69" s="47">
        <v>0</v>
      </c>
      <c r="CX69" s="47">
        <v>0</v>
      </c>
      <c r="CY69" s="47">
        <v>0</v>
      </c>
      <c r="CZ69" s="47">
        <v>0.0002</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row>
    <row r="70" spans="1:124" x14ac:dyDescent="0.25">
      <c r="A70" s="47" t="s">
        <v>483</v>
      </c>
      <c r="B70" s="47" t="s">
        <v>151</v>
      </c>
      <c r="C70" s="47" t="s">
        <v>484</v>
      </c>
      <c r="D70" s="47" t="s">
        <v>485</v>
      </c>
      <c r="E70" s="47" t="s">
        <v>486</v>
      </c>
      <c r="F70" s="47" t="s">
        <v>357</v>
      </c>
      <c r="G70" s="47" t="s">
        <v>487</v>
      </c>
      <c r="H70" s="47" t="str">
        <f>=IFERROR(VLOOKUP(A70,'ETPT Format DDG'!A:J,10,FALSE),"")</f>
        <v>0</v>
      </c>
      <c r="I70" s="47" t="str">
        <f>='ETPT Format DDG'!M70</f>
        <v/>
      </c>
      <c r="J70" s="47" t="str">
        <f>='ETPT Format DDG'!D70</f>
        <v/>
      </c>
      <c r="K70" s="47" t="s">
        <v>155</v>
      </c>
      <c r="L70" s="47" t="s">
        <v>488</v>
      </c>
      <c r="M70" s="47"/>
      <c r="N70" s="47">
        <v>0.8276</v>
      </c>
      <c r="O70" s="47">
        <v>0.8276</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0.8276</v>
      </c>
      <c r="CU70" s="47">
        <v>0</v>
      </c>
      <c r="CV70" s="47">
        <v>0</v>
      </c>
      <c r="CW70" s="47">
        <v>0</v>
      </c>
      <c r="CX70" s="47">
        <v>0</v>
      </c>
      <c r="CY70" s="47">
        <v>0</v>
      </c>
      <c r="CZ70" s="47">
        <v>0</v>
      </c>
      <c r="DA70" s="47">
        <v>0</v>
      </c>
      <c r="DB70" s="47">
        <v>0</v>
      </c>
      <c r="DC70" s="47">
        <v>0</v>
      </c>
      <c r="DD70" s="47">
        <v>0.0828</v>
      </c>
      <c r="DE70" s="47">
        <v>0.7448</v>
      </c>
      <c r="DF70" s="47">
        <v>0.1724</v>
      </c>
      <c r="DG70" s="47">
        <v>0.1724</v>
      </c>
      <c r="DH70" s="47">
        <v>0</v>
      </c>
      <c r="DI70" s="47">
        <v>0</v>
      </c>
      <c r="DJ70" s="47">
        <v>0</v>
      </c>
      <c r="DK70" s="47">
        <v>0</v>
      </c>
      <c r="DL70" s="47">
        <v>0</v>
      </c>
      <c r="DM70" s="47">
        <v>0</v>
      </c>
      <c r="DN70" s="47">
        <v>0</v>
      </c>
      <c r="DO70" s="47">
        <v>0</v>
      </c>
      <c r="DP70" s="47">
        <v>0</v>
      </c>
      <c r="DQ70" s="47">
        <v>0</v>
      </c>
      <c r="DR70" s="47">
        <v>0</v>
      </c>
    </row>
    <row r="71" spans="1:124" x14ac:dyDescent="0.25">
      <c r="A71" s="47" t="s">
        <v>489</v>
      </c>
      <c r="B71" s="47" t="s">
        <v>151</v>
      </c>
      <c r="C71" s="47" t="s">
        <v>490</v>
      </c>
      <c r="D71" s="47" t="s">
        <v>491</v>
      </c>
      <c r="E71" s="47" t="s">
        <v>492</v>
      </c>
      <c r="F71" s="47" t="s">
        <v>357</v>
      </c>
      <c r="G71" s="47" t="s">
        <v>388</v>
      </c>
      <c r="H71" s="47" t="str">
        <f>=IFERROR(VLOOKUP(A71,'ETPT Format DDG'!A:J,10,FALSE),"")</f>
        <v>0</v>
      </c>
      <c r="I71" s="47" t="str">
        <f>='ETPT Format DDG'!M71</f>
        <v/>
      </c>
      <c r="J71" s="47" t="str">
        <f>='ETPT Format DDG'!D71</f>
        <v/>
      </c>
      <c r="K71" s="47" t="s">
        <v>155</v>
      </c>
      <c r="L71" s="47" t="s">
        <v>493</v>
      </c>
      <c r="M71" s="47"/>
      <c r="N71" s="47">
        <v>1</v>
      </c>
      <c r="O71" s="47">
        <v>0</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row>
    <row r="72" spans="1:124" x14ac:dyDescent="0.25">
      <c r="A72" s="47" t="s">
        <v>494</v>
      </c>
      <c r="B72" s="47" t="s">
        <v>151</v>
      </c>
      <c r="C72" s="47" t="s">
        <v>495</v>
      </c>
      <c r="D72" s="47" t="s">
        <v>496</v>
      </c>
      <c r="E72" s="47" t="s">
        <v>497</v>
      </c>
      <c r="F72" s="47" t="s">
        <v>357</v>
      </c>
      <c r="G72" s="47" t="s">
        <v>358</v>
      </c>
      <c r="H72" s="47" t="str">
        <f>=IFERROR(VLOOKUP(A72,'ETPT Format DDG'!A:J,10,FALSE),"")</f>
        <v>0</v>
      </c>
      <c r="I72" s="47" t="str">
        <f>='ETPT Format DDG'!M72</f>
        <v/>
      </c>
      <c r="J72" s="47" t="str">
        <f>='ETPT Format DDG'!D72</f>
        <v/>
      </c>
      <c r="K72" s="47" t="s">
        <v>155</v>
      </c>
      <c r="L72" s="47" t="s">
        <v>498</v>
      </c>
      <c r="M72" s="47"/>
      <c r="N72" s="47">
        <v>1</v>
      </c>
      <c r="O72" s="47">
        <v>0</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v>
      </c>
      <c r="CZ72" s="47">
        <v>0</v>
      </c>
      <c r="DA72" s="47">
        <v>0</v>
      </c>
      <c r="DB72" s="47">
        <v>0</v>
      </c>
      <c r="DC72" s="47">
        <v>0</v>
      </c>
      <c r="DD72" s="47">
        <v>0</v>
      </c>
      <c r="DE72" s="47">
        <v>0</v>
      </c>
      <c r="DF72" s="47">
        <v>0</v>
      </c>
      <c r="DG72" s="47">
        <v>0</v>
      </c>
      <c r="DH72" s="47">
        <v>0</v>
      </c>
      <c r="DI72" s="47">
        <v>0</v>
      </c>
      <c r="DJ72" s="47">
        <v>0</v>
      </c>
      <c r="DK72" s="47">
        <v>0</v>
      </c>
      <c r="DL72" s="47">
        <v>0</v>
      </c>
      <c r="DM72" s="47">
        <v>0</v>
      </c>
      <c r="DN72" s="47">
        <v>0</v>
      </c>
      <c r="DO72" s="47">
        <v>0</v>
      </c>
      <c r="DP72" s="47">
        <v>0</v>
      </c>
      <c r="DQ72" s="47">
        <v>0</v>
      </c>
      <c r="DR72" s="47">
        <v>0</v>
      </c>
    </row>
    <row r="73" spans="1:124" x14ac:dyDescent="0.25">
      <c r="A73" s="47" t="s">
        <v>499</v>
      </c>
      <c r="B73" s="47" t="s">
        <v>151</v>
      </c>
      <c r="C73" s="47" t="s">
        <v>500</v>
      </c>
      <c r="D73" s="47" t="s">
        <v>501</v>
      </c>
      <c r="E73" s="47" t="s">
        <v>502</v>
      </c>
      <c r="F73" s="47" t="s">
        <v>357</v>
      </c>
      <c r="G73" s="47" t="s">
        <v>503</v>
      </c>
      <c r="H73" s="47" t="str">
        <f>=IFERROR(VLOOKUP(A73,'ETPT Format DDG'!A:J,10,FALSE),"")</f>
        <v>0</v>
      </c>
      <c r="I73" s="47" t="str">
        <f>='ETPT Format DDG'!M73</f>
        <v/>
      </c>
      <c r="J73" s="47" t="str">
        <f>='ETPT Format DDG'!D73</f>
        <v/>
      </c>
      <c r="K73" s="47" t="s">
        <v>155</v>
      </c>
      <c r="L73" s="47" t="s">
        <v>504</v>
      </c>
      <c r="M73" s="47" t="s">
        <v>505</v>
      </c>
      <c r="N73" s="47">
        <v>0.4981</v>
      </c>
      <c r="O73" s="47">
        <v>0.4981</v>
      </c>
      <c r="P73" s="47">
        <v>0</v>
      </c>
      <c r="Q73" s="47">
        <v>0</v>
      </c>
      <c r="R73" s="47">
        <v>0</v>
      </c>
      <c r="S73" s="47">
        <v>0</v>
      </c>
      <c r="T73" s="47">
        <v>0</v>
      </c>
      <c r="U73" s="47">
        <v>0.4981</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row>
    <row r="74" spans="1:124" x14ac:dyDescent="0.25">
      <c r="A74" s="47" t="s">
        <v>506</v>
      </c>
      <c r="B74" s="47" t="s">
        <v>151</v>
      </c>
      <c r="C74" s="47" t="s">
        <v>507</v>
      </c>
      <c r="D74" s="47" t="s">
        <v>508</v>
      </c>
      <c r="E74" s="47" t="s">
        <v>509</v>
      </c>
      <c r="F74" s="47" t="s">
        <v>357</v>
      </c>
      <c r="G74" s="47" t="s">
        <v>358</v>
      </c>
      <c r="H74" s="47" t="str">
        <f>=IFERROR(VLOOKUP(A74,'ETPT Format DDG'!A:J,10,FALSE),"")</f>
        <v>0</v>
      </c>
      <c r="I74" s="47" t="str">
        <f>='ETPT Format DDG'!M74</f>
        <v/>
      </c>
      <c r="J74" s="47" t="str">
        <f>='ETPT Format DDG'!D74</f>
        <v/>
      </c>
      <c r="K74" s="47" t="s">
        <v>155</v>
      </c>
      <c r="L74" s="47" t="s">
        <v>510</v>
      </c>
      <c r="M74" s="47"/>
      <c r="N74" s="47">
        <v>1</v>
      </c>
      <c r="O74" s="47">
        <v>0</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c r="DR74" s="47">
        <v>0</v>
      </c>
    </row>
    <row r="75" spans="1:124" x14ac:dyDescent="0.25">
      <c r="A75" s="47" t="s">
        <v>511</v>
      </c>
      <c r="B75" s="47" t="s">
        <v>151</v>
      </c>
      <c r="C75" s="47" t="s">
        <v>512</v>
      </c>
      <c r="D75" s="47" t="s">
        <v>513</v>
      </c>
      <c r="E75" s="47" t="s">
        <v>514</v>
      </c>
      <c r="F75" s="47" t="s">
        <v>357</v>
      </c>
      <c r="G75" s="47" t="s">
        <v>358</v>
      </c>
      <c r="H75" s="47" t="str">
        <f>=IFERROR(VLOOKUP(A75,'ETPT Format DDG'!A:J,10,FALSE),"")</f>
        <v>0</v>
      </c>
      <c r="I75" s="47" t="str">
        <f>='ETPT Format DDG'!M75</f>
        <v/>
      </c>
      <c r="J75" s="47" t="str">
        <f>='ETPT Format DDG'!D75</f>
        <v/>
      </c>
      <c r="K75" s="47" t="s">
        <v>155</v>
      </c>
      <c r="L75" s="47" t="s">
        <v>169</v>
      </c>
      <c r="M75" s="47"/>
      <c r="N75" s="47">
        <v>0.3372</v>
      </c>
      <c r="O75" s="47">
        <v>0.3372</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0.2023</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0.1349</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row>
    <row r="76" spans="1:124" x14ac:dyDescent="0.25">
      <c r="A76" s="47" t="s">
        <v>515</v>
      </c>
      <c r="B76" s="47" t="s">
        <v>151</v>
      </c>
      <c r="C76" s="47" t="s">
        <v>516</v>
      </c>
      <c r="D76" s="47" t="s">
        <v>517</v>
      </c>
      <c r="E76" s="47" t="s">
        <v>518</v>
      </c>
      <c r="F76" s="47" t="s">
        <v>357</v>
      </c>
      <c r="G76" s="47" t="s">
        <v>388</v>
      </c>
      <c r="H76" s="47" t="str">
        <f>=IFERROR(VLOOKUP(A76,'ETPT Format DDG'!A:J,10,FALSE),"")</f>
        <v>0</v>
      </c>
      <c r="I76" s="47" t="str">
        <f>='ETPT Format DDG'!M76</f>
        <v/>
      </c>
      <c r="J76" s="47" t="str">
        <f>='ETPT Format DDG'!D76</f>
        <v/>
      </c>
      <c r="K76" s="47" t="s">
        <v>155</v>
      </c>
      <c r="L76" s="47" t="s">
        <v>519</v>
      </c>
      <c r="M76" s="47"/>
      <c r="N76" s="47">
        <v>1</v>
      </c>
      <c r="O76" s="47">
        <v>1</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1</v>
      </c>
      <c r="CU76" s="47">
        <v>0</v>
      </c>
      <c r="CV76" s="47">
        <v>0</v>
      </c>
      <c r="CW76" s="47">
        <v>0</v>
      </c>
      <c r="CX76" s="47">
        <v>1</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row>
    <row r="77" spans="1:124" x14ac:dyDescent="0.25">
      <c r="A77" s="47" t="s">
        <v>520</v>
      </c>
      <c r="B77" s="47" t="s">
        <v>151</v>
      </c>
      <c r="C77" s="47" t="s">
        <v>521</v>
      </c>
      <c r="D77" s="47" t="s">
        <v>522</v>
      </c>
      <c r="E77" s="47" t="s">
        <v>523</v>
      </c>
      <c r="F77" s="47" t="s">
        <v>357</v>
      </c>
      <c r="G77" s="47" t="s">
        <v>388</v>
      </c>
      <c r="H77" s="47" t="str">
        <f>=IFERROR(VLOOKUP(A77,'ETPT Format DDG'!A:J,10,FALSE),"")</f>
        <v>0</v>
      </c>
      <c r="I77" s="47" t="str">
        <f>='ETPT Format DDG'!M77</f>
        <v/>
      </c>
      <c r="J77" s="47" t="str">
        <f>='ETPT Format DDG'!D77</f>
        <v/>
      </c>
      <c r="K77" s="47" t="s">
        <v>155</v>
      </c>
      <c r="L77" s="47" t="s">
        <v>524</v>
      </c>
      <c r="M77" s="47"/>
      <c r="N77" s="47">
        <v>1</v>
      </c>
      <c r="O77" s="47">
        <v>0</v>
      </c>
      <c r="P77" s="47">
        <v>0</v>
      </c>
      <c r="Q77" s="47">
        <v>0</v>
      </c>
      <c r="R77" s="47">
        <v>0</v>
      </c>
      <c r="S77" s="47">
        <v>0</v>
      </c>
      <c r="T77" s="47">
        <v>0</v>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row>
    <row r="78" spans="1:124" x14ac:dyDescent="0.25">
      <c r="A78" s="47" t="s">
        <v>525</v>
      </c>
      <c r="B78" s="47" t="s">
        <v>151</v>
      </c>
      <c r="C78" s="47" t="s">
        <v>526</v>
      </c>
      <c r="D78" s="47" t="s">
        <v>527</v>
      </c>
      <c r="E78" s="47" t="s">
        <v>528</v>
      </c>
      <c r="F78" s="47" t="s">
        <v>357</v>
      </c>
      <c r="G78" s="47" t="s">
        <v>358</v>
      </c>
      <c r="H78" s="47" t="str">
        <f>=IFERROR(VLOOKUP(A78,'ETPT Format DDG'!A:J,10,FALSE),"")</f>
        <v>0</v>
      </c>
      <c r="I78" s="47" t="str">
        <f>='ETPT Format DDG'!M78</f>
        <v/>
      </c>
      <c r="J78" s="47" t="str">
        <f>='ETPT Format DDG'!D78</f>
        <v/>
      </c>
      <c r="K78" s="47" t="s">
        <v>155</v>
      </c>
      <c r="L78" s="47" t="s">
        <v>447</v>
      </c>
      <c r="M78" s="47"/>
      <c r="N78" s="47">
        <v>1</v>
      </c>
      <c r="O78" s="47">
        <v>0</v>
      </c>
      <c r="P78" s="47">
        <v>0</v>
      </c>
      <c r="Q78" s="47">
        <v>0</v>
      </c>
      <c r="R78" s="47">
        <v>0</v>
      </c>
      <c r="S78" s="47">
        <v>0</v>
      </c>
      <c r="T78" s="47">
        <v>0</v>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row>
    <row r="79" spans="1:124" x14ac:dyDescent="0.25">
      <c r="A79" s="47" t="s">
        <v>529</v>
      </c>
      <c r="B79" s="47" t="s">
        <v>151</v>
      </c>
      <c r="C79" s="47" t="s">
        <v>530</v>
      </c>
      <c r="D79" s="47" t="s">
        <v>531</v>
      </c>
      <c r="E79" s="47" t="s">
        <v>532</v>
      </c>
      <c r="F79" s="47" t="s">
        <v>357</v>
      </c>
      <c r="G79" s="47" t="s">
        <v>358</v>
      </c>
      <c r="H79" s="47" t="str">
        <f>=IFERROR(VLOOKUP(A79,'ETPT Format DDG'!A:J,10,FALSE),"")</f>
        <v>0</v>
      </c>
      <c r="I79" s="47" t="str">
        <f>='ETPT Format DDG'!M79</f>
        <v/>
      </c>
      <c r="J79" s="47" t="str">
        <f>='ETPT Format DDG'!D79</f>
        <v/>
      </c>
      <c r="K79" s="47" t="s">
        <v>155</v>
      </c>
      <c r="L79" s="47" t="s">
        <v>533</v>
      </c>
      <c r="M79" s="47"/>
      <c r="N79" s="47">
        <v>1</v>
      </c>
      <c r="O79" s="47">
        <v>1</v>
      </c>
      <c r="P79" s="47">
        <v>0</v>
      </c>
      <c r="Q79" s="47">
        <v>0</v>
      </c>
      <c r="R79" s="47">
        <v>0</v>
      </c>
      <c r="S79" s="47">
        <v>0</v>
      </c>
      <c r="T79" s="47">
        <v>0</v>
      </c>
      <c r="U79" s="47">
        <v>0</v>
      </c>
      <c r="V79" s="47">
        <v>0</v>
      </c>
      <c r="W79" s="47">
        <v>0</v>
      </c>
      <c r="X79" s="47">
        <v>0</v>
      </c>
      <c r="Y79" s="47">
        <v>0</v>
      </c>
      <c r="Z79" s="47">
        <v>0</v>
      </c>
      <c r="AA79" s="47">
        <v>0</v>
      </c>
      <c r="AB79" s="47">
        <v>0</v>
      </c>
      <c r="AC79" s="47">
        <v>0</v>
      </c>
      <c r="AD79" s="47">
        <v>0</v>
      </c>
      <c r="AE79" s="47">
        <v>0.4</v>
      </c>
      <c r="AF79" s="47">
        <v>0.2</v>
      </c>
      <c r="AG79" s="47">
        <v>0.2</v>
      </c>
      <c r="AH79" s="47">
        <v>0</v>
      </c>
      <c r="AI79" s="47">
        <v>0</v>
      </c>
      <c r="AJ79" s="47">
        <v>0</v>
      </c>
      <c r="AK79" s="47">
        <v>0</v>
      </c>
      <c r="AL79" s="47">
        <v>0</v>
      </c>
      <c r="AM79" s="47">
        <v>0</v>
      </c>
      <c r="AN79" s="47">
        <v>0.15</v>
      </c>
      <c r="AO79" s="47">
        <v>0</v>
      </c>
      <c r="AP79" s="47">
        <v>0.1</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0.05</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0.45</v>
      </c>
      <c r="CU79" s="47">
        <v>0.45</v>
      </c>
      <c r="CV79" s="47">
        <v>0</v>
      </c>
      <c r="CW79" s="47">
        <v>0</v>
      </c>
      <c r="CX79" s="47">
        <v>0</v>
      </c>
      <c r="CY79" s="47">
        <v>0</v>
      </c>
      <c r="CZ79" s="47">
        <v>0</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row>
    <row r="80" spans="1:124" x14ac:dyDescent="0.25">
      <c r="A80" s="47" t="s">
        <v>534</v>
      </c>
      <c r="B80" s="47" t="s">
        <v>151</v>
      </c>
      <c r="C80" s="47" t="s">
        <v>535</v>
      </c>
      <c r="D80" s="47" t="s">
        <v>536</v>
      </c>
      <c r="E80" s="47" t="s">
        <v>537</v>
      </c>
      <c r="F80" s="47" t="s">
        <v>357</v>
      </c>
      <c r="G80" s="47" t="s">
        <v>388</v>
      </c>
      <c r="H80" s="47" t="str">
        <f>=IFERROR(VLOOKUP(A80,'ETPT Format DDG'!A:J,10,FALSE),"")</f>
        <v>0</v>
      </c>
      <c r="I80" s="47" t="str">
        <f>='ETPT Format DDG'!M80</f>
        <v/>
      </c>
      <c r="J80" s="47" t="str">
        <f>='ETPT Format DDG'!D80</f>
        <v/>
      </c>
      <c r="K80" s="47" t="s">
        <v>155</v>
      </c>
      <c r="L80" s="47" t="s">
        <v>538</v>
      </c>
      <c r="M80" s="47"/>
      <c r="N80" s="47">
        <v>1</v>
      </c>
      <c r="O80" s="47">
        <v>0</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0</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c r="DR80" s="47">
        <v>0</v>
      </c>
    </row>
    <row r="81" spans="1:124" x14ac:dyDescent="0.25">
      <c r="A81" s="47" t="s">
        <v>539</v>
      </c>
      <c r="B81" s="47" t="s">
        <v>151</v>
      </c>
      <c r="C81" s="47" t="s">
        <v>540</v>
      </c>
      <c r="D81" s="47" t="s">
        <v>541</v>
      </c>
      <c r="E81" s="47" t="s">
        <v>542</v>
      </c>
      <c r="F81" s="47" t="s">
        <v>357</v>
      </c>
      <c r="G81" s="47" t="s">
        <v>388</v>
      </c>
      <c r="H81" s="47" t="str">
        <f>=IFERROR(VLOOKUP(A81,'ETPT Format DDG'!A:J,10,FALSE),"")</f>
        <v>0</v>
      </c>
      <c r="I81" s="47" t="str">
        <f>='ETPT Format DDG'!M81</f>
        <v/>
      </c>
      <c r="J81" s="47" t="str">
        <f>='ETPT Format DDG'!D81</f>
        <v/>
      </c>
      <c r="K81" s="47" t="s">
        <v>155</v>
      </c>
      <c r="L81" s="47" t="s">
        <v>377</v>
      </c>
      <c r="M81" s="47"/>
      <c r="N81" s="47">
        <v>1</v>
      </c>
      <c r="O81" s="47">
        <v>1</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1</v>
      </c>
      <c r="CU81" s="47">
        <v>0</v>
      </c>
      <c r="CV81" s="47">
        <v>0.0004</v>
      </c>
      <c r="CW81" s="47">
        <v>0</v>
      </c>
      <c r="CX81" s="47">
        <v>0</v>
      </c>
      <c r="CY81" s="47">
        <v>0</v>
      </c>
      <c r="CZ81" s="47">
        <v>0</v>
      </c>
      <c r="DA81" s="47">
        <v>0</v>
      </c>
      <c r="DB81" s="47">
        <v>0</v>
      </c>
      <c r="DC81" s="47">
        <v>0</v>
      </c>
      <c r="DD81" s="47">
        <v>0</v>
      </c>
      <c r="DE81" s="47">
        <v>0.9996</v>
      </c>
      <c r="DF81" s="47">
        <v>0</v>
      </c>
      <c r="DG81" s="47">
        <v>0</v>
      </c>
      <c r="DH81" s="47">
        <v>0</v>
      </c>
      <c r="DI81" s="47">
        <v>0</v>
      </c>
      <c r="DJ81" s="47">
        <v>0</v>
      </c>
      <c r="DK81" s="47">
        <v>0</v>
      </c>
      <c r="DL81" s="47">
        <v>0</v>
      </c>
      <c r="DM81" s="47">
        <v>0</v>
      </c>
      <c r="DN81" s="47">
        <v>0</v>
      </c>
      <c r="DO81" s="47">
        <v>0</v>
      </c>
      <c r="DP81" s="47">
        <v>0</v>
      </c>
      <c r="DQ81" s="47">
        <v>0</v>
      </c>
      <c r="DR81" s="47">
        <v>0</v>
      </c>
    </row>
    <row r="82" spans="1:124" x14ac:dyDescent="0.25">
      <c r="A82" s="47" t="s">
        <v>543</v>
      </c>
      <c r="B82" s="47" t="s">
        <v>151</v>
      </c>
      <c r="C82" s="47" t="s">
        <v>544</v>
      </c>
      <c r="D82" s="47" t="s">
        <v>545</v>
      </c>
      <c r="E82" s="47" t="s">
        <v>546</v>
      </c>
      <c r="F82" s="47" t="s">
        <v>357</v>
      </c>
      <c r="G82" s="47" t="s">
        <v>398</v>
      </c>
      <c r="H82" s="47" t="str">
        <f>=IFERROR(VLOOKUP(A82,'ETPT Format DDG'!A:J,10,FALSE),"")</f>
        <v>0</v>
      </c>
      <c r="I82" s="47" t="str">
        <f>='ETPT Format DDG'!M82</f>
        <v/>
      </c>
      <c r="J82" s="47" t="str">
        <f>='ETPT Format DDG'!D82</f>
        <v/>
      </c>
      <c r="K82" s="47" t="s">
        <v>155</v>
      </c>
      <c r="L82" s="47" t="s">
        <v>452</v>
      </c>
      <c r="M82" s="47" t="s">
        <v>547</v>
      </c>
      <c r="N82" s="47">
        <v>0.0498</v>
      </c>
      <c r="O82" s="47">
        <v>0</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row>
    <row r="83" spans="1:124" x14ac:dyDescent="0.25">
      <c r="A83" s="47" t="s">
        <v>548</v>
      </c>
      <c r="B83" s="47" t="s">
        <v>151</v>
      </c>
      <c r="C83" s="47" t="s">
        <v>549</v>
      </c>
      <c r="D83" s="47" t="s">
        <v>550</v>
      </c>
      <c r="E83" s="47" t="s">
        <v>551</v>
      </c>
      <c r="F83" s="47" t="s">
        <v>357</v>
      </c>
      <c r="G83" s="47" t="s">
        <v>388</v>
      </c>
      <c r="H83" s="47" t="str">
        <f>=IFERROR(VLOOKUP(A83,'ETPT Format DDG'!A:J,10,FALSE),"")</f>
        <v>0</v>
      </c>
      <c r="I83" s="47" t="str">
        <f>='ETPT Format DDG'!M83</f>
        <v/>
      </c>
      <c r="J83" s="47" t="str">
        <f>='ETPT Format DDG'!D83</f>
        <v/>
      </c>
      <c r="K83" s="47" t="s">
        <v>155</v>
      </c>
      <c r="L83" s="47" t="s">
        <v>552</v>
      </c>
      <c r="M83" s="47"/>
      <c r="N83" s="47">
        <v>1</v>
      </c>
      <c r="O83" s="47">
        <v>0</v>
      </c>
      <c r="P83" s="47">
        <v>0</v>
      </c>
      <c r="Q83" s="47">
        <v>0</v>
      </c>
      <c r="R83" s="47">
        <v>0</v>
      </c>
      <c r="S83" s="47">
        <v>0</v>
      </c>
      <c r="T83" s="47">
        <v>0</v>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row>
    <row r="84" spans="1:124" x14ac:dyDescent="0.25">
      <c r="A84" s="47" t="s">
        <v>553</v>
      </c>
      <c r="B84" s="47" t="s">
        <v>151</v>
      </c>
      <c r="C84" s="47" t="s">
        <v>554</v>
      </c>
      <c r="D84" s="47" t="s">
        <v>555</v>
      </c>
      <c r="E84" s="47" t="s">
        <v>556</v>
      </c>
      <c r="F84" s="47" t="s">
        <v>357</v>
      </c>
      <c r="G84" s="47" t="s">
        <v>557</v>
      </c>
      <c r="H84" s="47" t="str">
        <f>=IFERROR(VLOOKUP(A84,'ETPT Format DDG'!A:J,10,FALSE),"")</f>
        <v>0</v>
      </c>
      <c r="I84" s="47" t="str">
        <f>='ETPT Format DDG'!M84</f>
        <v/>
      </c>
      <c r="J84" s="47" t="str">
        <f>='ETPT Format DDG'!D84</f>
        <v/>
      </c>
      <c r="K84" s="47" t="s">
        <v>155</v>
      </c>
      <c r="L84" s="47" t="s">
        <v>558</v>
      </c>
      <c r="M84" s="47"/>
      <c r="N84" s="47">
        <v>1</v>
      </c>
      <c r="O84" s="47">
        <v>1</v>
      </c>
      <c r="P84" s="47">
        <v>0</v>
      </c>
      <c r="Q84" s="47">
        <v>0</v>
      </c>
      <c r="R84" s="47">
        <v>0</v>
      </c>
      <c r="S84" s="47">
        <v>0</v>
      </c>
      <c r="T84" s="47">
        <v>0</v>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1</v>
      </c>
      <c r="BP84" s="47">
        <v>0</v>
      </c>
      <c r="BQ84" s="47">
        <v>0</v>
      </c>
      <c r="BR84" s="47">
        <v>0</v>
      </c>
      <c r="BS84" s="47">
        <v>0</v>
      </c>
      <c r="BT84" s="47">
        <v>0</v>
      </c>
      <c r="BU84" s="47">
        <v>0</v>
      </c>
      <c r="BV84" s="47">
        <v>0</v>
      </c>
      <c r="BW84" s="47">
        <v>0</v>
      </c>
      <c r="BX84" s="47">
        <v>0</v>
      </c>
      <c r="BY84" s="47">
        <v>0</v>
      </c>
      <c r="BZ84" s="47">
        <v>1</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row>
    <row r="85" spans="1:124" x14ac:dyDescent="0.25">
      <c r="A85" s="47" t="s">
        <v>559</v>
      </c>
      <c r="B85" s="47" t="s">
        <v>151</v>
      </c>
      <c r="C85" s="47" t="s">
        <v>560</v>
      </c>
      <c r="D85" s="47" t="s">
        <v>561</v>
      </c>
      <c r="E85" s="47" t="s">
        <v>562</v>
      </c>
      <c r="F85" s="47" t="s">
        <v>357</v>
      </c>
      <c r="G85" s="47" t="s">
        <v>563</v>
      </c>
      <c r="H85" s="47" t="str">
        <f>=IFERROR(VLOOKUP(A85,'ETPT Format DDG'!A:J,10,FALSE),"")</f>
        <v>0</v>
      </c>
      <c r="I85" s="47" t="str">
        <f>='ETPT Format DDG'!M85</f>
        <v/>
      </c>
      <c r="J85" s="47" t="str">
        <f>='ETPT Format DDG'!D85</f>
        <v/>
      </c>
      <c r="K85" s="47" t="s">
        <v>155</v>
      </c>
      <c r="L85" s="47" t="s">
        <v>493</v>
      </c>
      <c r="M85" s="47"/>
      <c r="N85" s="47">
        <v>1</v>
      </c>
      <c r="O85" s="47">
        <v>1</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1</v>
      </c>
      <c r="CU85" s="47">
        <v>0</v>
      </c>
      <c r="CV85" s="47">
        <v>0</v>
      </c>
      <c r="CW85" s="47">
        <v>0</v>
      </c>
      <c r="CX85" s="47">
        <v>0</v>
      </c>
      <c r="CY85" s="47">
        <v>0</v>
      </c>
      <c r="CZ85" s="47">
        <v>0</v>
      </c>
      <c r="DA85" s="47">
        <v>0</v>
      </c>
      <c r="DB85" s="47">
        <v>0</v>
      </c>
      <c r="DC85" s="47">
        <v>0</v>
      </c>
      <c r="DD85" s="47">
        <v>0</v>
      </c>
      <c r="DE85" s="47">
        <v>1</v>
      </c>
      <c r="DF85" s="47">
        <v>0</v>
      </c>
      <c r="DG85" s="47">
        <v>0</v>
      </c>
      <c r="DH85" s="47">
        <v>0</v>
      </c>
      <c r="DI85" s="47">
        <v>0</v>
      </c>
      <c r="DJ85" s="47">
        <v>0</v>
      </c>
      <c r="DK85" s="47">
        <v>0</v>
      </c>
      <c r="DL85" s="47">
        <v>0</v>
      </c>
      <c r="DM85" s="47">
        <v>0</v>
      </c>
      <c r="DN85" s="47">
        <v>0</v>
      </c>
      <c r="DO85" s="47">
        <v>0</v>
      </c>
      <c r="DP85" s="47">
        <v>0</v>
      </c>
      <c r="DQ85" s="47">
        <v>0</v>
      </c>
      <c r="DR85" s="47">
        <v>0</v>
      </c>
    </row>
    <row r="86" spans="1:124" x14ac:dyDescent="0.25">
      <c r="A86" s="47" t="s">
        <v>564</v>
      </c>
      <c r="B86" s="47" t="s">
        <v>151</v>
      </c>
      <c r="C86" s="47" t="s">
        <v>565</v>
      </c>
      <c r="D86" s="47" t="s">
        <v>566</v>
      </c>
      <c r="E86" s="47" t="s">
        <v>567</v>
      </c>
      <c r="F86" s="47" t="s">
        <v>357</v>
      </c>
      <c r="G86" s="47" t="s">
        <v>388</v>
      </c>
      <c r="H86" s="47" t="str">
        <f>=IFERROR(VLOOKUP(A86,'ETPT Format DDG'!A:J,10,FALSE),"")</f>
        <v>0</v>
      </c>
      <c r="I86" s="47" t="str">
        <f>='ETPT Format DDG'!M86</f>
        <v/>
      </c>
      <c r="J86" s="47" t="str">
        <f>='ETPT Format DDG'!D86</f>
        <v/>
      </c>
      <c r="K86" s="47" t="s">
        <v>155</v>
      </c>
      <c r="L86" s="47" t="s">
        <v>568</v>
      </c>
      <c r="M86" s="47"/>
      <c r="N86" s="47">
        <v>1</v>
      </c>
      <c r="O86" s="47">
        <v>1</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1</v>
      </c>
      <c r="CU86" s="47">
        <v>1</v>
      </c>
      <c r="CV86" s="47">
        <v>0</v>
      </c>
      <c r="CW86" s="47">
        <v>0</v>
      </c>
      <c r="CX86" s="47">
        <v>0</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row>
    <row r="87" spans="1:124" x14ac:dyDescent="0.25">
      <c r="A87" s="47" t="s">
        <v>569</v>
      </c>
      <c r="B87" s="47" t="s">
        <v>151</v>
      </c>
      <c r="C87" s="47" t="s">
        <v>570</v>
      </c>
      <c r="D87" s="47" t="s">
        <v>571</v>
      </c>
      <c r="E87" s="47" t="s">
        <v>572</v>
      </c>
      <c r="F87" s="47" t="s">
        <v>357</v>
      </c>
      <c r="G87" s="47" t="s">
        <v>388</v>
      </c>
      <c r="H87" s="47" t="str">
        <f>=IFERROR(VLOOKUP(A87,'ETPT Format DDG'!A:J,10,FALSE),"")</f>
        <v>0</v>
      </c>
      <c r="I87" s="47" t="str">
        <f>='ETPT Format DDG'!M87</f>
        <v/>
      </c>
      <c r="J87" s="47" t="str">
        <f>='ETPT Format DDG'!D87</f>
        <v/>
      </c>
      <c r="K87" s="47" t="s">
        <v>155</v>
      </c>
      <c r="L87" s="47" t="s">
        <v>573</v>
      </c>
      <c r="M87" s="47"/>
      <c r="N87" s="47">
        <v>1</v>
      </c>
      <c r="O87" s="47">
        <v>0</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row>
    <row r="88" spans="1:124" x14ac:dyDescent="0.25">
      <c r="A88" s="47" t="s">
        <v>574</v>
      </c>
      <c r="B88" s="47" t="s">
        <v>151</v>
      </c>
      <c r="C88" s="47" t="s">
        <v>575</v>
      </c>
      <c r="D88" s="47" t="s">
        <v>576</v>
      </c>
      <c r="E88" s="47" t="s">
        <v>577</v>
      </c>
      <c r="F88" s="47" t="s">
        <v>357</v>
      </c>
      <c r="G88" s="47" t="s">
        <v>358</v>
      </c>
      <c r="H88" s="47" t="str">
        <f>=IFERROR(VLOOKUP(A88,'ETPT Format DDG'!A:J,10,FALSE),"")</f>
        <v>0</v>
      </c>
      <c r="I88" s="47" t="str">
        <f>='ETPT Format DDG'!M88</f>
        <v/>
      </c>
      <c r="J88" s="47" t="str">
        <f>='ETPT Format DDG'!D88</f>
        <v/>
      </c>
      <c r="K88" s="47" t="s">
        <v>155</v>
      </c>
      <c r="L88" s="47" t="s">
        <v>578</v>
      </c>
      <c r="M88" s="47"/>
      <c r="N88" s="47">
        <v>1</v>
      </c>
      <c r="O88" s="47">
        <v>0</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row>
    <row r="89" spans="1:124" x14ac:dyDescent="0.25">
      <c r="A89" s="47" t="s">
        <v>579</v>
      </c>
      <c r="B89" s="47" t="s">
        <v>151</v>
      </c>
      <c r="C89" s="47" t="s">
        <v>580</v>
      </c>
      <c r="D89" s="47" t="s">
        <v>581</v>
      </c>
      <c r="E89" s="47" t="s">
        <v>582</v>
      </c>
      <c r="F89" s="47" t="s">
        <v>357</v>
      </c>
      <c r="G89" s="47" t="s">
        <v>358</v>
      </c>
      <c r="H89" s="47" t="str">
        <f>=IFERROR(VLOOKUP(A89,'ETPT Format DDG'!A:J,10,FALSE),"")</f>
        <v>0</v>
      </c>
      <c r="I89" s="47" t="str">
        <f>='ETPT Format DDG'!M89</f>
        <v/>
      </c>
      <c r="J89" s="47" t="str">
        <f>='ETPT Format DDG'!D89</f>
        <v/>
      </c>
      <c r="K89" s="47" t="s">
        <v>155</v>
      </c>
      <c r="L89" s="47" t="s">
        <v>583</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1</v>
      </c>
      <c r="CU89" s="47">
        <v>0</v>
      </c>
      <c r="CV89" s="47">
        <v>0</v>
      </c>
      <c r="CW89" s="47">
        <v>0</v>
      </c>
      <c r="CX89" s="47">
        <v>1</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row>
    <row r="90" spans="1:124" x14ac:dyDescent="0.25">
      <c r="A90" s="47" t="s">
        <v>584</v>
      </c>
      <c r="B90" s="47" t="s">
        <v>151</v>
      </c>
      <c r="C90" s="47" t="s">
        <v>585</v>
      </c>
      <c r="D90" s="47" t="s">
        <v>586</v>
      </c>
      <c r="E90" s="47" t="s">
        <v>587</v>
      </c>
      <c r="F90" s="47" t="s">
        <v>357</v>
      </c>
      <c r="G90" s="47" t="s">
        <v>388</v>
      </c>
      <c r="H90" s="47" t="str">
        <f>=IFERROR(VLOOKUP(A90,'ETPT Format DDG'!A:J,10,FALSE),"")</f>
        <v>0</v>
      </c>
      <c r="I90" s="47" t="str">
        <f>='ETPT Format DDG'!M90</f>
        <v/>
      </c>
      <c r="J90" s="47" t="str">
        <f>='ETPT Format DDG'!D90</f>
        <v/>
      </c>
      <c r="K90" s="47" t="s">
        <v>155</v>
      </c>
      <c r="L90" s="47" t="s">
        <v>257</v>
      </c>
      <c r="M90" s="47"/>
      <c r="N90" s="47">
        <v>1</v>
      </c>
      <c r="O90" s="47">
        <v>0</v>
      </c>
      <c r="P90" s="47">
        <v>0</v>
      </c>
      <c r="Q90" s="47">
        <v>0</v>
      </c>
      <c r="R90" s="47">
        <v>0</v>
      </c>
      <c r="S90" s="47">
        <v>0</v>
      </c>
      <c r="T90" s="47">
        <v>0</v>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row>
    <row r="91" spans="1:124" x14ac:dyDescent="0.25">
      <c r="A91" s="47" t="s">
        <v>588</v>
      </c>
      <c r="B91" s="47" t="s">
        <v>151</v>
      </c>
      <c r="C91" s="47" t="s">
        <v>589</v>
      </c>
      <c r="D91" s="47" t="s">
        <v>590</v>
      </c>
      <c r="E91" s="47" t="s">
        <v>591</v>
      </c>
      <c r="F91" s="47" t="s">
        <v>357</v>
      </c>
      <c r="G91" s="47" t="s">
        <v>388</v>
      </c>
      <c r="H91" s="47" t="str">
        <f>=IFERROR(VLOOKUP(A91,'ETPT Format DDG'!A:J,10,FALSE),"")</f>
        <v>0</v>
      </c>
      <c r="I91" s="47" t="str">
        <f>='ETPT Format DDG'!M91</f>
        <v/>
      </c>
      <c r="J91" s="47" t="str">
        <f>='ETPT Format DDG'!D91</f>
        <v/>
      </c>
      <c r="K91" s="47" t="s">
        <v>155</v>
      </c>
      <c r="L91" s="47" t="s">
        <v>592</v>
      </c>
      <c r="M91" s="47"/>
      <c r="N91" s="47">
        <v>1</v>
      </c>
      <c r="O91" s="47">
        <v>1</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1</v>
      </c>
      <c r="CU91" s="47">
        <v>0</v>
      </c>
      <c r="CV91" s="47">
        <v>0</v>
      </c>
      <c r="CW91" s="47">
        <v>0</v>
      </c>
      <c r="CX91" s="47">
        <v>1</v>
      </c>
      <c r="CY91" s="47">
        <v>0</v>
      </c>
      <c r="CZ91" s="47">
        <v>0</v>
      </c>
      <c r="DA91" s="47">
        <v>0</v>
      </c>
      <c r="DB91" s="47">
        <v>0</v>
      </c>
      <c r="DC91" s="47">
        <v>0</v>
      </c>
      <c r="DD91" s="47">
        <v>0</v>
      </c>
      <c r="DE91" s="47">
        <v>0</v>
      </c>
      <c r="DF91" s="47">
        <v>0</v>
      </c>
      <c r="DG91" s="47">
        <v>0</v>
      </c>
      <c r="DH91" s="47">
        <v>0</v>
      </c>
      <c r="DI91" s="47">
        <v>0</v>
      </c>
      <c r="DJ91" s="47">
        <v>0</v>
      </c>
      <c r="DK91" s="47">
        <v>0</v>
      </c>
      <c r="DL91" s="47">
        <v>0</v>
      </c>
      <c r="DM91" s="47">
        <v>0</v>
      </c>
      <c r="DN91" s="47">
        <v>0</v>
      </c>
      <c r="DO91" s="47">
        <v>0</v>
      </c>
      <c r="DP91" s="47">
        <v>0</v>
      </c>
      <c r="DQ91" s="47">
        <v>0</v>
      </c>
      <c r="DR91" s="47">
        <v>0</v>
      </c>
    </row>
    <row r="92" spans="1:124" x14ac:dyDescent="0.25">
      <c r="A92" s="47" t="s">
        <v>593</v>
      </c>
      <c r="B92" s="47" t="s">
        <v>151</v>
      </c>
      <c r="C92" s="47" t="s">
        <v>594</v>
      </c>
      <c r="D92" s="47" t="s">
        <v>595</v>
      </c>
      <c r="E92" s="47" t="s">
        <v>381</v>
      </c>
      <c r="F92" s="47" t="s">
        <v>357</v>
      </c>
      <c r="G92" s="47" t="s">
        <v>388</v>
      </c>
      <c r="H92" s="47" t="str">
        <f>=IFERROR(VLOOKUP(A92,'ETPT Format DDG'!A:J,10,FALSE),"")</f>
        <v>0</v>
      </c>
      <c r="I92" s="47" t="str">
        <f>='ETPT Format DDG'!M92</f>
        <v/>
      </c>
      <c r="J92" s="47" t="str">
        <f>='ETPT Format DDG'!D92</f>
        <v/>
      </c>
      <c r="K92" s="47" t="s">
        <v>155</v>
      </c>
      <c r="L92" s="47" t="s">
        <v>596</v>
      </c>
      <c r="M92" s="47"/>
      <c r="N92" s="47">
        <v>1</v>
      </c>
      <c r="O92" s="47">
        <v>1</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1</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row>
    <row r="93" spans="1:124" x14ac:dyDescent="0.25">
      <c r="A93" s="47" t="s">
        <v>597</v>
      </c>
      <c r="B93" s="47" t="s">
        <v>151</v>
      </c>
      <c r="C93" s="47" t="s">
        <v>598</v>
      </c>
      <c r="D93" s="47" t="s">
        <v>599</v>
      </c>
      <c r="E93" s="47" t="s">
        <v>600</v>
      </c>
      <c r="F93" s="47" t="s">
        <v>357</v>
      </c>
      <c r="G93" s="47" t="s">
        <v>601</v>
      </c>
      <c r="H93" s="47" t="str">
        <f>=IFERROR(VLOOKUP(A93,'ETPT Format DDG'!A:J,10,FALSE),"")</f>
        <v>0</v>
      </c>
      <c r="I93" s="47" t="str">
        <f>='ETPT Format DDG'!M93</f>
        <v/>
      </c>
      <c r="J93" s="47" t="str">
        <f>='ETPT Format DDG'!D93</f>
        <v/>
      </c>
      <c r="K93" s="47" t="s">
        <v>155</v>
      </c>
      <c r="L93" s="47" t="s">
        <v>482</v>
      </c>
      <c r="M93" s="47" t="s">
        <v>602</v>
      </c>
      <c r="N93" s="47">
        <v>0.1648</v>
      </c>
      <c r="O93" s="47">
        <v>0.1648</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0.1648</v>
      </c>
      <c r="CU93" s="47">
        <v>0.1648</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row>
    <row r="94" spans="1:124" x14ac:dyDescent="0.25">
      <c r="A94" s="47" t="s">
        <v>603</v>
      </c>
      <c r="B94" s="47" t="s">
        <v>151</v>
      </c>
      <c r="C94" s="47" t="s">
        <v>604</v>
      </c>
      <c r="D94" s="47" t="s">
        <v>605</v>
      </c>
      <c r="E94" s="47" t="s">
        <v>606</v>
      </c>
      <c r="F94" s="47" t="s">
        <v>357</v>
      </c>
      <c r="G94" s="47" t="s">
        <v>358</v>
      </c>
      <c r="H94" s="47" t="str">
        <f>=IFERROR(VLOOKUP(A94,'ETPT Format DDG'!A:J,10,FALSE),"")</f>
        <v>0</v>
      </c>
      <c r="I94" s="47" t="str">
        <f>='ETPT Format DDG'!M94</f>
        <v/>
      </c>
      <c r="J94" s="47" t="str">
        <f>='ETPT Format DDG'!D94</f>
        <v/>
      </c>
      <c r="K94" s="47" t="s">
        <v>155</v>
      </c>
      <c r="L94" s="47" t="s">
        <v>363</v>
      </c>
      <c r="M94" s="47"/>
      <c r="N94" s="47">
        <v>0.9693</v>
      </c>
      <c r="O94" s="47">
        <v>0.9693</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0.9693</v>
      </c>
      <c r="BP94" s="47">
        <v>0.1939</v>
      </c>
      <c r="BQ94" s="47">
        <v>0.7755</v>
      </c>
      <c r="BR94" s="47">
        <v>0</v>
      </c>
      <c r="BS94" s="47">
        <v>0</v>
      </c>
      <c r="BT94" s="47">
        <v>0</v>
      </c>
      <c r="BU94" s="47">
        <v>0</v>
      </c>
      <c r="BV94" s="47">
        <v>0</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0.0307</v>
      </c>
      <c r="DG94" s="47">
        <v>0.0192</v>
      </c>
      <c r="DH94" s="47">
        <v>0</v>
      </c>
      <c r="DI94" s="47">
        <v>0</v>
      </c>
      <c r="DJ94" s="47">
        <v>0</v>
      </c>
      <c r="DK94" s="47">
        <v>0.0115</v>
      </c>
      <c r="DL94" s="47">
        <v>0</v>
      </c>
      <c r="DM94" s="47">
        <v>0</v>
      </c>
      <c r="DN94" s="47">
        <v>0</v>
      </c>
      <c r="DO94" s="47">
        <v>0</v>
      </c>
      <c r="DP94" s="47">
        <v>0</v>
      </c>
      <c r="DQ94" s="47">
        <v>0</v>
      </c>
      <c r="DR94" s="47">
        <v>0</v>
      </c>
    </row>
    <row r="95" spans="1:124" x14ac:dyDescent="0.25">
      <c r="A95" s="47" t="s">
        <v>607</v>
      </c>
      <c r="B95" s="47" t="s">
        <v>151</v>
      </c>
      <c r="C95" s="47" t="s">
        <v>608</v>
      </c>
      <c r="D95" s="47" t="s">
        <v>609</v>
      </c>
      <c r="E95" s="47" t="s">
        <v>610</v>
      </c>
      <c r="F95" s="47" t="s">
        <v>357</v>
      </c>
      <c r="G95" s="47" t="s">
        <v>563</v>
      </c>
      <c r="H95" s="47" t="str">
        <f>=IFERROR(VLOOKUP(A95,'ETPT Format DDG'!A:J,10,FALSE),"")</f>
        <v>0</v>
      </c>
      <c r="I95" s="47" t="str">
        <f>='ETPT Format DDG'!M95</f>
        <v/>
      </c>
      <c r="J95" s="47" t="str">
        <f>='ETPT Format DDG'!D95</f>
        <v/>
      </c>
      <c r="K95" s="47" t="s">
        <v>155</v>
      </c>
      <c r="L95" s="47" t="s">
        <v>573</v>
      </c>
      <c r="M95" s="47"/>
      <c r="N95" s="47">
        <v>0.977</v>
      </c>
      <c r="O95" s="47">
        <v>0.977</v>
      </c>
      <c r="P95" s="47">
        <v>0</v>
      </c>
      <c r="Q95" s="47">
        <v>0</v>
      </c>
      <c r="R95" s="47">
        <v>0</v>
      </c>
      <c r="S95" s="47">
        <v>0</v>
      </c>
      <c r="T95" s="47">
        <v>0</v>
      </c>
      <c r="U95" s="47">
        <v>0</v>
      </c>
      <c r="V95" s="47">
        <v>0</v>
      </c>
      <c r="W95" s="47">
        <v>0</v>
      </c>
      <c r="X95" s="47">
        <v>0</v>
      </c>
      <c r="Y95" s="47">
        <v>0</v>
      </c>
      <c r="Z95" s="47">
        <v>0</v>
      </c>
      <c r="AA95" s="47">
        <v>0</v>
      </c>
      <c r="AB95" s="47">
        <v>0</v>
      </c>
      <c r="AC95" s="47">
        <v>0</v>
      </c>
      <c r="AD95" s="47">
        <v>0</v>
      </c>
      <c r="AE95" s="47">
        <v>0.3199</v>
      </c>
      <c r="AF95" s="47">
        <v>0</v>
      </c>
      <c r="AG95" s="47">
        <v>0</v>
      </c>
      <c r="AH95" s="47">
        <v>0</v>
      </c>
      <c r="AI95" s="47">
        <v>0</v>
      </c>
      <c r="AJ95" s="47">
        <v>0</v>
      </c>
      <c r="AK95" s="47">
        <v>0.3199</v>
      </c>
      <c r="AL95" s="47">
        <v>0</v>
      </c>
      <c r="AM95" s="47">
        <v>0</v>
      </c>
      <c r="AN95" s="47">
        <v>0.3199</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0.3372</v>
      </c>
      <c r="CU95" s="47">
        <v>0</v>
      </c>
      <c r="CV95" s="47">
        <v>0</v>
      </c>
      <c r="CW95" s="47">
        <v>0</v>
      </c>
      <c r="CX95" s="47">
        <v>0</v>
      </c>
      <c r="CY95" s="47">
        <v>0</v>
      </c>
      <c r="CZ95" s="47">
        <v>0</v>
      </c>
      <c r="DA95" s="47">
        <v>0</v>
      </c>
      <c r="DB95" s="47">
        <v>0</v>
      </c>
      <c r="DC95" s="47">
        <v>0</v>
      </c>
      <c r="DD95" s="47">
        <v>0</v>
      </c>
      <c r="DE95" s="47">
        <v>0.3372</v>
      </c>
      <c r="DF95" s="47">
        <v>0.023</v>
      </c>
      <c r="DG95" s="47">
        <v>0.023</v>
      </c>
      <c r="DH95" s="47">
        <v>0</v>
      </c>
      <c r="DI95" s="47">
        <v>0</v>
      </c>
      <c r="DJ95" s="47">
        <v>0</v>
      </c>
      <c r="DK95" s="47">
        <v>0</v>
      </c>
      <c r="DL95" s="47">
        <v>0</v>
      </c>
      <c r="DM95" s="47">
        <v>0</v>
      </c>
      <c r="DN95" s="47">
        <v>0</v>
      </c>
      <c r="DO95" s="47">
        <v>0</v>
      </c>
      <c r="DP95" s="47">
        <v>0</v>
      </c>
      <c r="DQ95" s="47">
        <v>0</v>
      </c>
      <c r="DR95" s="47">
        <v>0</v>
      </c>
    </row>
    <row r="96" spans="1:124" x14ac:dyDescent="0.25">
      <c r="A96" s="47" t="s">
        <v>611</v>
      </c>
      <c r="B96" s="47" t="s">
        <v>151</v>
      </c>
      <c r="C96" s="47" t="s">
        <v>612</v>
      </c>
      <c r="D96" s="47" t="s">
        <v>613</v>
      </c>
      <c r="E96" s="47" t="s">
        <v>614</v>
      </c>
      <c r="F96" s="47" t="s">
        <v>357</v>
      </c>
      <c r="G96" s="47" t="s">
        <v>358</v>
      </c>
      <c r="H96" s="47" t="str">
        <f>=IFERROR(VLOOKUP(A96,'ETPT Format DDG'!A:J,10,FALSE),"")</f>
        <v>0</v>
      </c>
      <c r="I96" s="47" t="str">
        <f>='ETPT Format DDG'!M96</f>
        <v/>
      </c>
      <c r="J96" s="47" t="str">
        <f>='ETPT Format DDG'!D96</f>
        <v/>
      </c>
      <c r="K96" s="47" t="s">
        <v>155</v>
      </c>
      <c r="L96" s="47" t="s">
        <v>573</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0.2418</v>
      </c>
      <c r="BI96" s="47">
        <v>0</v>
      </c>
      <c r="BJ96" s="47">
        <v>0</v>
      </c>
      <c r="BK96" s="47">
        <v>0</v>
      </c>
      <c r="BL96" s="47">
        <v>0</v>
      </c>
      <c r="BM96" s="47">
        <v>0</v>
      </c>
      <c r="BN96" s="47">
        <v>0</v>
      </c>
      <c r="BO96" s="47">
        <v>0.0165</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0.5</v>
      </c>
      <c r="CG96" s="47">
        <v>0</v>
      </c>
      <c r="CH96" s="47">
        <v>0</v>
      </c>
      <c r="CI96" s="47">
        <v>0</v>
      </c>
      <c r="CJ96" s="47">
        <v>0</v>
      </c>
      <c r="CK96" s="47">
        <v>0</v>
      </c>
      <c r="CL96" s="47">
        <v>0</v>
      </c>
      <c r="CM96" s="47">
        <v>0</v>
      </c>
      <c r="CN96" s="47">
        <v>0</v>
      </c>
      <c r="CO96" s="47">
        <v>0</v>
      </c>
      <c r="CP96" s="47">
        <v>0</v>
      </c>
      <c r="CQ96" s="47">
        <v>0.2418</v>
      </c>
      <c r="CR96" s="47">
        <v>0</v>
      </c>
      <c r="CS96" s="47">
        <v>0</v>
      </c>
      <c r="CT96" s="47">
        <v>0</v>
      </c>
      <c r="CU96" s="47">
        <v>0</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row>
    <row r="97" spans="1:124" x14ac:dyDescent="0.25">
      <c r="A97" s="47" t="s">
        <v>615</v>
      </c>
      <c r="B97" s="47" t="s">
        <v>151</v>
      </c>
      <c r="C97" s="47" t="s">
        <v>616</v>
      </c>
      <c r="D97" s="47" t="s">
        <v>617</v>
      </c>
      <c r="E97" s="47" t="s">
        <v>618</v>
      </c>
      <c r="F97" s="47" t="s">
        <v>357</v>
      </c>
      <c r="G97" s="47" t="s">
        <v>398</v>
      </c>
      <c r="H97" s="47" t="str">
        <f>=IFERROR(VLOOKUP(A97,'ETPT Format DDG'!A:J,10,FALSE),"")</f>
        <v>0</v>
      </c>
      <c r="I97" s="47" t="str">
        <f>='ETPT Format DDG'!M97</f>
        <v/>
      </c>
      <c r="J97" s="47" t="str">
        <f>='ETPT Format DDG'!D97</f>
        <v/>
      </c>
      <c r="K97" s="47" t="s">
        <v>155</v>
      </c>
      <c r="L97" s="47" t="s">
        <v>619</v>
      </c>
      <c r="M97" s="47"/>
      <c r="N97" s="47">
        <v>1</v>
      </c>
      <c r="O97" s="47">
        <v>0</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row>
    <row r="98" spans="1:124" x14ac:dyDescent="0.25">
      <c r="A98" s="47" t="s">
        <v>620</v>
      </c>
      <c r="B98" s="47" t="s">
        <v>151</v>
      </c>
      <c r="C98" s="47" t="s">
        <v>621</v>
      </c>
      <c r="D98" s="47" t="s">
        <v>622</v>
      </c>
      <c r="E98" s="47" t="s">
        <v>623</v>
      </c>
      <c r="F98" s="47" t="s">
        <v>357</v>
      </c>
      <c r="G98" s="47" t="s">
        <v>358</v>
      </c>
      <c r="H98" s="47" t="str">
        <f>=IFERROR(VLOOKUP(A98,'ETPT Format DDG'!A:J,10,FALSE),"")</f>
        <v>0</v>
      </c>
      <c r="I98" s="47" t="str">
        <f>='ETPT Format DDG'!M98</f>
        <v/>
      </c>
      <c r="J98" s="47" t="str">
        <f>='ETPT Format DDG'!D98</f>
        <v/>
      </c>
      <c r="K98" s="47" t="s">
        <v>155</v>
      </c>
      <c r="L98" s="47" t="s">
        <v>624</v>
      </c>
      <c r="M98" s="47"/>
      <c r="N98" s="47">
        <v>0.9885</v>
      </c>
      <c r="O98" s="47">
        <v>0.9885</v>
      </c>
      <c r="P98" s="47">
        <v>0</v>
      </c>
      <c r="Q98" s="47">
        <v>0</v>
      </c>
      <c r="R98" s="47">
        <v>0</v>
      </c>
      <c r="S98" s="47">
        <v>0</v>
      </c>
      <c r="T98" s="47">
        <v>0</v>
      </c>
      <c r="U98" s="47">
        <v>0.9885</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0.0115</v>
      </c>
      <c r="DG98" s="47">
        <v>0.0115</v>
      </c>
      <c r="DH98" s="47">
        <v>0</v>
      </c>
      <c r="DI98" s="47">
        <v>0</v>
      </c>
      <c r="DJ98" s="47">
        <v>0</v>
      </c>
      <c r="DK98" s="47">
        <v>0</v>
      </c>
      <c r="DL98" s="47">
        <v>0</v>
      </c>
      <c r="DM98" s="47">
        <v>0</v>
      </c>
      <c r="DN98" s="47">
        <v>0</v>
      </c>
      <c r="DO98" s="47">
        <v>0</v>
      </c>
      <c r="DP98" s="47">
        <v>0</v>
      </c>
      <c r="DQ98" s="47">
        <v>0</v>
      </c>
      <c r="DR98" s="47">
        <v>0</v>
      </c>
    </row>
    <row r="99" spans="1:124" x14ac:dyDescent="0.25">
      <c r="A99" s="47" t="s">
        <v>625</v>
      </c>
      <c r="B99" s="47" t="s">
        <v>151</v>
      </c>
      <c r="C99" s="47" t="s">
        <v>626</v>
      </c>
      <c r="D99" s="47" t="s">
        <v>627</v>
      </c>
      <c r="E99" s="47" t="s">
        <v>628</v>
      </c>
      <c r="F99" s="47" t="s">
        <v>357</v>
      </c>
      <c r="G99" s="47" t="s">
        <v>557</v>
      </c>
      <c r="H99" s="47" t="str">
        <f>=IFERROR(VLOOKUP(A99,'ETPT Format DDG'!A:J,10,FALSE),"")</f>
        <v>0</v>
      </c>
      <c r="I99" s="47" t="str">
        <f>='ETPT Format DDG'!M99</f>
        <v/>
      </c>
      <c r="J99" s="47" t="str">
        <f>='ETPT Format DDG'!D99</f>
        <v/>
      </c>
      <c r="K99" s="47" t="s">
        <v>155</v>
      </c>
      <c r="L99" s="47" t="s">
        <v>624</v>
      </c>
      <c r="M99" s="47" t="s">
        <v>629</v>
      </c>
      <c r="N99" s="47">
        <v>0.4904</v>
      </c>
      <c r="O99" s="47">
        <v>0.4904</v>
      </c>
      <c r="P99" s="47">
        <v>0</v>
      </c>
      <c r="Q99" s="47">
        <v>0</v>
      </c>
      <c r="R99" s="47">
        <v>0</v>
      </c>
      <c r="S99" s="47">
        <v>0</v>
      </c>
      <c r="T99" s="47">
        <v>0</v>
      </c>
      <c r="U99" s="47">
        <v>0</v>
      </c>
      <c r="V99" s="47">
        <v>0</v>
      </c>
      <c r="W99" s="47">
        <v>0</v>
      </c>
      <c r="X99" s="47">
        <v>0</v>
      </c>
      <c r="Y99" s="47">
        <v>0</v>
      </c>
      <c r="Z99" s="47">
        <v>0</v>
      </c>
      <c r="AA99" s="47">
        <v>0</v>
      </c>
      <c r="AB99" s="47">
        <v>0</v>
      </c>
      <c r="AC99" s="47">
        <v>0</v>
      </c>
      <c r="AD99" s="47">
        <v>0</v>
      </c>
      <c r="AE99" s="47">
        <v>0.4904</v>
      </c>
      <c r="AF99" s="47">
        <v>0.3276</v>
      </c>
      <c r="AG99" s="47">
        <v>0</v>
      </c>
      <c r="AH99" s="47">
        <v>0</v>
      </c>
      <c r="AI99" s="47">
        <v>0</v>
      </c>
      <c r="AJ99" s="47">
        <v>0.1628</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row>
    <row r="100" spans="1:124" x14ac:dyDescent="0.25">
      <c r="A100" s="47" t="s">
        <v>630</v>
      </c>
      <c r="B100" s="47" t="s">
        <v>151</v>
      </c>
      <c r="C100" s="47" t="s">
        <v>631</v>
      </c>
      <c r="D100" s="47" t="s">
        <v>632</v>
      </c>
      <c r="E100" s="47" t="s">
        <v>633</v>
      </c>
      <c r="F100" s="47" t="s">
        <v>357</v>
      </c>
      <c r="G100" s="47" t="s">
        <v>388</v>
      </c>
      <c r="H100" s="47" t="str">
        <f>=IFERROR(VLOOKUP(A100,'ETPT Format DDG'!A:J,10,FALSE),"")</f>
        <v>0</v>
      </c>
      <c r="I100" s="47" t="str">
        <f>='ETPT Format DDG'!M100</f>
        <v/>
      </c>
      <c r="J100" s="47" t="str">
        <f>='ETPT Format DDG'!D100</f>
        <v/>
      </c>
      <c r="K100" s="47" t="s">
        <v>155</v>
      </c>
      <c r="L100" s="47" t="s">
        <v>634</v>
      </c>
      <c r="M100" s="47"/>
      <c r="N100" s="47">
        <v>0.2529</v>
      </c>
      <c r="O100" s="47">
        <v>0</v>
      </c>
      <c r="P100" s="47">
        <v>0</v>
      </c>
      <c r="Q100" s="47">
        <v>0</v>
      </c>
      <c r="R100" s="47">
        <v>0</v>
      </c>
      <c r="S100" s="47">
        <v>0</v>
      </c>
      <c r="T100" s="47">
        <v>0</v>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row>
    <row r="101" spans="1:124" x14ac:dyDescent="0.25">
      <c r="A101" s="47" t="s">
        <v>635</v>
      </c>
      <c r="B101" s="47" t="s">
        <v>151</v>
      </c>
      <c r="C101" s="47" t="s">
        <v>636</v>
      </c>
      <c r="D101" s="47" t="s">
        <v>637</v>
      </c>
      <c r="E101" s="47" t="s">
        <v>638</v>
      </c>
      <c r="F101" s="47" t="s">
        <v>357</v>
      </c>
      <c r="G101" s="47" t="s">
        <v>388</v>
      </c>
      <c r="H101" s="47" t="str">
        <f>=IFERROR(VLOOKUP(A101,'ETPT Format DDG'!A:J,10,FALSE),"")</f>
        <v>0</v>
      </c>
      <c r="I101" s="47" t="str">
        <f>='ETPT Format DDG'!M101</f>
        <v/>
      </c>
      <c r="J101" s="47" t="str">
        <f>='ETPT Format DDG'!D101</f>
        <v/>
      </c>
      <c r="K101" s="47" t="s">
        <v>155</v>
      </c>
      <c r="L101" s="47" t="s">
        <v>208</v>
      </c>
      <c r="M101" s="47" t="s">
        <v>639</v>
      </c>
      <c r="N101" s="47">
        <v>1</v>
      </c>
      <c r="O101" s="47">
        <v>1</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1</v>
      </c>
      <c r="CU101" s="47">
        <v>0</v>
      </c>
      <c r="CV101" s="47">
        <v>0</v>
      </c>
      <c r="CW101" s="47">
        <v>0</v>
      </c>
      <c r="CX101" s="47">
        <v>0</v>
      </c>
      <c r="CY101" s="47">
        <v>0</v>
      </c>
      <c r="CZ101" s="47">
        <v>0</v>
      </c>
      <c r="DA101" s="47">
        <v>0</v>
      </c>
      <c r="DB101" s="47">
        <v>0</v>
      </c>
      <c r="DC101" s="47">
        <v>0</v>
      </c>
      <c r="DD101" s="47">
        <v>1</v>
      </c>
      <c r="DE101" s="47">
        <v>0</v>
      </c>
      <c r="DF101" s="47">
        <v>0</v>
      </c>
      <c r="DG101" s="47">
        <v>0</v>
      </c>
      <c r="DH101" s="47">
        <v>0</v>
      </c>
      <c r="DI101" s="47">
        <v>0</v>
      </c>
      <c r="DJ101" s="47">
        <v>0</v>
      </c>
      <c r="DK101" s="47">
        <v>0</v>
      </c>
      <c r="DL101" s="47">
        <v>0</v>
      </c>
      <c r="DM101" s="47">
        <v>0</v>
      </c>
      <c r="DN101" s="47">
        <v>0</v>
      </c>
      <c r="DO101" s="47">
        <v>0</v>
      </c>
      <c r="DP101" s="47">
        <v>0</v>
      </c>
      <c r="DQ101" s="47">
        <v>0</v>
      </c>
      <c r="DR101" s="47">
        <v>0</v>
      </c>
    </row>
    <row r="102" spans="1:124" x14ac:dyDescent="0.25">
      <c r="A102" s="47" t="s">
        <v>640</v>
      </c>
      <c r="B102" s="47" t="s">
        <v>151</v>
      </c>
      <c r="C102" s="47" t="s">
        <v>641</v>
      </c>
      <c r="D102" s="47" t="s">
        <v>642</v>
      </c>
      <c r="E102" s="47" t="s">
        <v>643</v>
      </c>
      <c r="F102" s="47" t="s">
        <v>357</v>
      </c>
      <c r="G102" s="47" t="s">
        <v>388</v>
      </c>
      <c r="H102" s="47" t="str">
        <f>=IFERROR(VLOOKUP(A102,'ETPT Format DDG'!A:J,10,FALSE),"")</f>
        <v>0</v>
      </c>
      <c r="I102" s="47" t="str">
        <f>='ETPT Format DDG'!M102</f>
        <v/>
      </c>
      <c r="J102" s="47" t="str">
        <f>='ETPT Format DDG'!D102</f>
        <v/>
      </c>
      <c r="K102" s="47" t="s">
        <v>155</v>
      </c>
      <c r="L102" s="47" t="s">
        <v>644</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1</v>
      </c>
      <c r="CU102" s="47">
        <v>0</v>
      </c>
      <c r="CV102" s="47">
        <v>0</v>
      </c>
      <c r="CW102" s="47">
        <v>0</v>
      </c>
      <c r="CX102" s="47">
        <v>0</v>
      </c>
      <c r="CY102" s="47">
        <v>0</v>
      </c>
      <c r="CZ102" s="47">
        <v>0</v>
      </c>
      <c r="DA102" s="47">
        <v>0</v>
      </c>
      <c r="DB102" s="47">
        <v>1</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row>
    <row r="103" spans="1:124" x14ac:dyDescent="0.25">
      <c r="A103" s="47" t="s">
        <v>645</v>
      </c>
      <c r="B103" s="47" t="s">
        <v>151</v>
      </c>
      <c r="C103" s="47" t="s">
        <v>646</v>
      </c>
      <c r="D103" s="47" t="s">
        <v>647</v>
      </c>
      <c r="E103" s="47" t="s">
        <v>648</v>
      </c>
      <c r="F103" s="47" t="s">
        <v>357</v>
      </c>
      <c r="G103" s="47" t="s">
        <v>358</v>
      </c>
      <c r="H103" s="47" t="str">
        <f>=IFERROR(VLOOKUP(A103,'ETPT Format DDG'!A:J,10,FALSE),"")</f>
        <v>0</v>
      </c>
      <c r="I103" s="47" t="str">
        <f>='ETPT Format DDG'!M103</f>
        <v/>
      </c>
      <c r="J103" s="47" t="str">
        <f>='ETPT Format DDG'!D103</f>
        <v/>
      </c>
      <c r="K103" s="47" t="s">
        <v>155</v>
      </c>
      <c r="L103" s="47" t="s">
        <v>649</v>
      </c>
      <c r="M103" s="47"/>
      <c r="N103" s="47">
        <v>0.8</v>
      </c>
      <c r="O103" s="47">
        <v>0</v>
      </c>
      <c r="P103" s="47">
        <v>0</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row>
    <row r="104" spans="1:124" x14ac:dyDescent="0.25">
      <c r="A104" s="47" t="s">
        <v>650</v>
      </c>
      <c r="B104" s="47" t="s">
        <v>151</v>
      </c>
      <c r="C104" s="47" t="s">
        <v>651</v>
      </c>
      <c r="D104" s="47" t="s">
        <v>652</v>
      </c>
      <c r="E104" s="47" t="s">
        <v>653</v>
      </c>
      <c r="F104" s="47" t="s">
        <v>357</v>
      </c>
      <c r="G104" s="47" t="s">
        <v>388</v>
      </c>
      <c r="H104" s="47" t="str">
        <f>=IFERROR(VLOOKUP(A104,'ETPT Format DDG'!A:J,10,FALSE),"")</f>
        <v>0</v>
      </c>
      <c r="I104" s="47" t="str">
        <f>='ETPT Format DDG'!M104</f>
        <v/>
      </c>
      <c r="J104" s="47" t="str">
        <f>='ETPT Format DDG'!D104</f>
        <v/>
      </c>
      <c r="K104" s="47" t="s">
        <v>155</v>
      </c>
      <c r="L104" s="47" t="s">
        <v>417</v>
      </c>
      <c r="M104" s="47"/>
      <c r="N104" s="47">
        <v>1</v>
      </c>
      <c r="O104" s="47">
        <v>0</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row>
    <row r="105" spans="1:124" x14ac:dyDescent="0.25">
      <c r="A105" s="47" t="s">
        <v>654</v>
      </c>
      <c r="B105" s="47" t="s">
        <v>151</v>
      </c>
      <c r="C105" s="47" t="s">
        <v>655</v>
      </c>
      <c r="D105" s="47" t="s">
        <v>656</v>
      </c>
      <c r="E105" s="47" t="s">
        <v>657</v>
      </c>
      <c r="F105" s="47" t="s">
        <v>357</v>
      </c>
      <c r="G105" s="47" t="s">
        <v>358</v>
      </c>
      <c r="H105" s="47" t="str">
        <f>=IFERROR(VLOOKUP(A105,'ETPT Format DDG'!A:J,10,FALSE),"")</f>
        <v>0</v>
      </c>
      <c r="I105" s="47" t="str">
        <f>='ETPT Format DDG'!M105</f>
        <v/>
      </c>
      <c r="J105" s="47" t="str">
        <f>='ETPT Format DDG'!D105</f>
        <v/>
      </c>
      <c r="K105" s="47" t="s">
        <v>155</v>
      </c>
      <c r="L105" s="47" t="s">
        <v>658</v>
      </c>
      <c r="M105" s="47"/>
      <c r="N105" s="47">
        <v>1</v>
      </c>
      <c r="O105" s="47">
        <v>0</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row>
    <row r="106" spans="1:124" x14ac:dyDescent="0.25">
      <c r="A106" s="47" t="s">
        <v>659</v>
      </c>
      <c r="B106" s="47" t="s">
        <v>151</v>
      </c>
      <c r="C106" s="47" t="s">
        <v>660</v>
      </c>
      <c r="D106" s="47" t="s">
        <v>661</v>
      </c>
      <c r="E106" s="47" t="s">
        <v>662</v>
      </c>
      <c r="F106" s="47" t="s">
        <v>357</v>
      </c>
      <c r="G106" s="47" t="s">
        <v>388</v>
      </c>
      <c r="H106" s="47" t="str">
        <f>=IFERROR(VLOOKUP(A106,'ETPT Format DDG'!A:J,10,FALSE),"")</f>
        <v>0</v>
      </c>
      <c r="I106" s="47" t="str">
        <f>='ETPT Format DDG'!M106</f>
        <v/>
      </c>
      <c r="J106" s="47" t="str">
        <f>='ETPT Format DDG'!D106</f>
        <v/>
      </c>
      <c r="K106" s="47" t="s">
        <v>155</v>
      </c>
      <c r="L106" s="47" t="s">
        <v>663</v>
      </c>
      <c r="M106" s="47"/>
      <c r="N106" s="47">
        <v>1</v>
      </c>
      <c r="O106" s="47">
        <v>0</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v>
      </c>
      <c r="BN106" s="47">
        <v>0</v>
      </c>
      <c r="BO106" s="47">
        <v>0</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row>
    <row r="107" spans="1:124" x14ac:dyDescent="0.25">
      <c r="A107" s="47" t="s">
        <v>664</v>
      </c>
      <c r="B107" s="47" t="s">
        <v>151</v>
      </c>
      <c r="C107" s="47" t="s">
        <v>665</v>
      </c>
      <c r="D107" s="47" t="s">
        <v>666</v>
      </c>
      <c r="E107" s="47" t="s">
        <v>667</v>
      </c>
      <c r="F107" s="47" t="s">
        <v>357</v>
      </c>
      <c r="G107" s="47" t="s">
        <v>398</v>
      </c>
      <c r="H107" s="47" t="str">
        <f>=IFERROR(VLOOKUP(A107,'ETPT Format DDG'!A:J,10,FALSE),"")</f>
        <v>0</v>
      </c>
      <c r="I107" s="47" t="str">
        <f>='ETPT Format DDG'!M107</f>
        <v/>
      </c>
      <c r="J107" s="47" t="str">
        <f>='ETPT Format DDG'!D107</f>
        <v/>
      </c>
      <c r="K107" s="47" t="s">
        <v>155</v>
      </c>
      <c r="L107" s="47" t="s">
        <v>208</v>
      </c>
      <c r="M107" s="47"/>
      <c r="N107" s="47">
        <v>1</v>
      </c>
      <c r="O107" s="47">
        <v>1</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1</v>
      </c>
      <c r="CU107" s="47">
        <v>1</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row>
    <row r="108" spans="1:124" x14ac:dyDescent="0.25">
      <c r="A108" s="47" t="s">
        <v>668</v>
      </c>
      <c r="B108" s="47" t="s">
        <v>151</v>
      </c>
      <c r="C108" s="47" t="s">
        <v>669</v>
      </c>
      <c r="D108" s="47" t="s">
        <v>670</v>
      </c>
      <c r="E108" s="47" t="s">
        <v>671</v>
      </c>
      <c r="F108" s="47" t="s">
        <v>357</v>
      </c>
      <c r="G108" s="47" t="s">
        <v>601</v>
      </c>
      <c r="H108" s="47" t="str">
        <f>=IFERROR(VLOOKUP(A108,'ETPT Format DDG'!A:J,10,FALSE),"")</f>
        <v>0</v>
      </c>
      <c r="I108" s="47" t="str">
        <f>='ETPT Format DDG'!M108</f>
        <v/>
      </c>
      <c r="J108" s="47" t="str">
        <f>='ETPT Format DDG'!D108</f>
        <v/>
      </c>
      <c r="K108" s="47" t="s">
        <v>155</v>
      </c>
      <c r="L108" s="47" t="s">
        <v>672</v>
      </c>
      <c r="M108" s="47" t="s">
        <v>639</v>
      </c>
      <c r="N108" s="47">
        <v>0.1648</v>
      </c>
      <c r="O108" s="47">
        <v>0.1648</v>
      </c>
      <c r="P108" s="47">
        <v>0</v>
      </c>
      <c r="Q108" s="47">
        <v>0</v>
      </c>
      <c r="R108" s="47">
        <v>0</v>
      </c>
      <c r="S108" s="47">
        <v>0</v>
      </c>
      <c r="T108" s="47">
        <v>0</v>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0.0824</v>
      </c>
      <c r="BI108" s="47">
        <v>0</v>
      </c>
      <c r="BJ108" s="47">
        <v>0.033</v>
      </c>
      <c r="BK108" s="47">
        <v>0.0494</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0.0659</v>
      </c>
      <c r="CR108" s="47">
        <v>0.0659</v>
      </c>
      <c r="CS108" s="47">
        <v>0</v>
      </c>
      <c r="CT108" s="47">
        <v>0.0165</v>
      </c>
      <c r="CU108" s="47">
        <v>0</v>
      </c>
      <c r="CV108" s="47">
        <v>0</v>
      </c>
      <c r="CW108" s="47">
        <v>0</v>
      </c>
      <c r="CX108" s="47">
        <v>0.0165</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row>
    <row r="109" spans="1:124" x14ac:dyDescent="0.25">
      <c r="A109" s="47" t="s">
        <v>673</v>
      </c>
      <c r="B109" s="47" t="s">
        <v>151</v>
      </c>
      <c r="C109" s="47" t="s">
        <v>674</v>
      </c>
      <c r="D109" s="47" t="s">
        <v>675</v>
      </c>
      <c r="E109" s="47" t="s">
        <v>676</v>
      </c>
      <c r="F109" s="47" t="s">
        <v>357</v>
      </c>
      <c r="G109" s="47" t="s">
        <v>358</v>
      </c>
      <c r="H109" s="47" t="str">
        <f>=IFERROR(VLOOKUP(A109,'ETPT Format DDG'!A:J,10,FALSE),"")</f>
        <v>0</v>
      </c>
      <c r="I109" s="47" t="str">
        <f>='ETPT Format DDG'!M109</f>
        <v/>
      </c>
      <c r="J109" s="47" t="str">
        <f>='ETPT Format DDG'!D109</f>
        <v/>
      </c>
      <c r="K109" s="47" t="s">
        <v>155</v>
      </c>
      <c r="L109" s="47" t="s">
        <v>533</v>
      </c>
      <c r="M109" s="47"/>
      <c r="N109" s="47">
        <v>1</v>
      </c>
      <c r="O109" s="47">
        <v>1</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1</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row>
    <row r="110" spans="1:124" x14ac:dyDescent="0.25">
      <c r="A110" s="47" t="s">
        <v>677</v>
      </c>
      <c r="B110" s="47" t="s">
        <v>151</v>
      </c>
      <c r="C110" s="47" t="s">
        <v>678</v>
      </c>
      <c r="D110" s="47" t="s">
        <v>679</v>
      </c>
      <c r="E110" s="47" t="s">
        <v>680</v>
      </c>
      <c r="F110" s="47" t="s">
        <v>357</v>
      </c>
      <c r="G110" s="47" t="s">
        <v>358</v>
      </c>
      <c r="H110" s="47" t="str">
        <f>=IFERROR(VLOOKUP(A110,'ETPT Format DDG'!A:J,10,FALSE),"")</f>
        <v>0</v>
      </c>
      <c r="I110" s="47" t="str">
        <f>='ETPT Format DDG'!M110</f>
        <v/>
      </c>
      <c r="J110" s="47" t="str">
        <f>='ETPT Format DDG'!D110</f>
        <v/>
      </c>
      <c r="K110" s="47" t="s">
        <v>155</v>
      </c>
      <c r="L110" s="47" t="s">
        <v>681</v>
      </c>
      <c r="M110" s="47"/>
      <c r="N110" s="47">
        <v>0.4429</v>
      </c>
      <c r="O110" s="47">
        <v>0.4429</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0.4429</v>
      </c>
      <c r="CU110" s="47">
        <v>0</v>
      </c>
      <c r="CV110" s="47">
        <v>0</v>
      </c>
      <c r="CW110" s="47">
        <v>0</v>
      </c>
      <c r="CX110" s="47">
        <v>0</v>
      </c>
      <c r="CY110" s="47">
        <v>0</v>
      </c>
      <c r="CZ110" s="47">
        <v>0</v>
      </c>
      <c r="DA110" s="47">
        <v>0</v>
      </c>
      <c r="DB110" s="47">
        <v>0</v>
      </c>
      <c r="DC110" s="47">
        <v>0</v>
      </c>
      <c r="DD110" s="47">
        <v>0</v>
      </c>
      <c r="DE110" s="47">
        <v>0.4429</v>
      </c>
      <c r="DF110" s="47">
        <v>0.4559</v>
      </c>
      <c r="DG110" s="47">
        <v>0</v>
      </c>
      <c r="DH110" s="47">
        <v>0.4559</v>
      </c>
      <c r="DI110" s="47">
        <v>0</v>
      </c>
      <c r="DJ110" s="47">
        <v>0</v>
      </c>
      <c r="DK110" s="47">
        <v>0</v>
      </c>
      <c r="DL110" s="47">
        <v>0</v>
      </c>
      <c r="DM110" s="47">
        <v>0</v>
      </c>
      <c r="DN110" s="47">
        <v>0</v>
      </c>
      <c r="DO110" s="47">
        <v>0</v>
      </c>
      <c r="DP110" s="47">
        <v>0</v>
      </c>
      <c r="DQ110" s="47">
        <v>0</v>
      </c>
      <c r="DR110" s="47">
        <v>0</v>
      </c>
    </row>
    <row r="111" spans="1:124" x14ac:dyDescent="0.25">
      <c r="A111" s="47" t="s">
        <v>682</v>
      </c>
      <c r="B111" s="47" t="s">
        <v>151</v>
      </c>
      <c r="C111" s="47" t="s">
        <v>683</v>
      </c>
      <c r="D111" s="47" t="s">
        <v>684</v>
      </c>
      <c r="E111" s="47" t="s">
        <v>685</v>
      </c>
      <c r="F111" s="47" t="s">
        <v>357</v>
      </c>
      <c r="G111" s="47" t="s">
        <v>388</v>
      </c>
      <c r="H111" s="47" t="str">
        <f>=IFERROR(VLOOKUP(A111,'ETPT Format DDG'!A:J,10,FALSE),"")</f>
        <v>0</v>
      </c>
      <c r="I111" s="47" t="str">
        <f>='ETPT Format DDG'!M111</f>
        <v/>
      </c>
      <c r="J111" s="47" t="str">
        <f>='ETPT Format DDG'!D111</f>
        <v/>
      </c>
      <c r="K111" s="47" t="s">
        <v>155</v>
      </c>
      <c r="L111" s="47" t="s">
        <v>686</v>
      </c>
      <c r="M111" s="47"/>
      <c r="N111" s="47">
        <v>1</v>
      </c>
      <c r="O111" s="47">
        <v>1</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1</v>
      </c>
      <c r="BM111" s="47">
        <v>0</v>
      </c>
      <c r="BN111" s="47">
        <v>1</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0</v>
      </c>
      <c r="CZ111" s="47">
        <v>0</v>
      </c>
      <c r="DA111" s="47">
        <v>0</v>
      </c>
      <c r="DB111" s="47">
        <v>0</v>
      </c>
      <c r="DC111" s="47">
        <v>0</v>
      </c>
      <c r="DD111" s="47">
        <v>0</v>
      </c>
      <c r="DE111" s="47">
        <v>0</v>
      </c>
      <c r="DF111" s="47">
        <v>0</v>
      </c>
      <c r="DG111" s="47">
        <v>0</v>
      </c>
      <c r="DH111" s="47">
        <v>0</v>
      </c>
      <c r="DI111" s="47">
        <v>0</v>
      </c>
      <c r="DJ111" s="47">
        <v>0</v>
      </c>
      <c r="DK111" s="47">
        <v>0</v>
      </c>
      <c r="DL111" s="47">
        <v>0</v>
      </c>
      <c r="DM111" s="47">
        <v>0</v>
      </c>
      <c r="DN111" s="47">
        <v>0</v>
      </c>
      <c r="DO111" s="47">
        <v>0</v>
      </c>
      <c r="DP111" s="47">
        <v>0</v>
      </c>
      <c r="DQ111" s="47">
        <v>0</v>
      </c>
      <c r="DR111" s="47">
        <v>0</v>
      </c>
    </row>
    <row r="112" spans="1:124" x14ac:dyDescent="0.25">
      <c r="A112" s="47" t="s">
        <v>687</v>
      </c>
      <c r="B112" s="47" t="s">
        <v>151</v>
      </c>
      <c r="C112" s="47" t="s">
        <v>688</v>
      </c>
      <c r="D112" s="47" t="s">
        <v>689</v>
      </c>
      <c r="E112" s="47" t="s">
        <v>690</v>
      </c>
      <c r="F112" s="47" t="s">
        <v>357</v>
      </c>
      <c r="G112" s="47" t="s">
        <v>691</v>
      </c>
      <c r="H112" s="47" t="str">
        <f>=IFERROR(VLOOKUP(A112,'ETPT Format DDG'!A:J,10,FALSE),"")</f>
        <v>0</v>
      </c>
      <c r="I112" s="47" t="str">
        <f>='ETPT Format DDG'!M112</f>
        <v/>
      </c>
      <c r="J112" s="47" t="str">
        <f>='ETPT Format DDG'!D112</f>
        <v/>
      </c>
      <c r="K112" s="47" t="s">
        <v>155</v>
      </c>
      <c r="L112" s="47" t="s">
        <v>176</v>
      </c>
      <c r="M112" s="47"/>
      <c r="N112" s="47">
        <v>1</v>
      </c>
      <c r="O112" s="47">
        <v>1</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1</v>
      </c>
      <c r="CU112" s="47">
        <v>0</v>
      </c>
      <c r="CV112" s="47">
        <v>0</v>
      </c>
      <c r="CW112" s="47">
        <v>0</v>
      </c>
      <c r="CX112" s="47">
        <v>1</v>
      </c>
      <c r="CY112" s="47">
        <v>0</v>
      </c>
      <c r="CZ112" s="47">
        <v>0</v>
      </c>
      <c r="DA112" s="47">
        <v>0</v>
      </c>
      <c r="DB112" s="47">
        <v>0</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row>
    <row r="113" spans="1:124" x14ac:dyDescent="0.25">
      <c r="A113" s="47" t="s">
        <v>692</v>
      </c>
      <c r="B113" s="47" t="s">
        <v>151</v>
      </c>
      <c r="C113" s="47" t="s">
        <v>693</v>
      </c>
      <c r="D113" s="47" t="s">
        <v>694</v>
      </c>
      <c r="E113" s="47" t="s">
        <v>695</v>
      </c>
      <c r="F113" s="47" t="s">
        <v>357</v>
      </c>
      <c r="G113" s="47" t="s">
        <v>388</v>
      </c>
      <c r="H113" s="47" t="str">
        <f>=IFERROR(VLOOKUP(A113,'ETPT Format DDG'!A:J,10,FALSE),"")</f>
        <v>0</v>
      </c>
      <c r="I113" s="47" t="str">
        <f>='ETPT Format DDG'!M113</f>
        <v/>
      </c>
      <c r="J113" s="47" t="str">
        <f>='ETPT Format DDG'!D113</f>
        <v/>
      </c>
      <c r="K113" s="47" t="s">
        <v>155</v>
      </c>
      <c r="L113" s="47" t="s">
        <v>696</v>
      </c>
      <c r="M113" s="47"/>
      <c r="N113" s="47">
        <v>1</v>
      </c>
      <c r="O113" s="47">
        <v>0</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row>
    <row r="114" spans="1:124" x14ac:dyDescent="0.25">
      <c r="A114" s="47" t="s">
        <v>697</v>
      </c>
      <c r="B114" s="47" t="s">
        <v>151</v>
      </c>
      <c r="C114" s="47" t="s">
        <v>698</v>
      </c>
      <c r="D114" s="47" t="s">
        <v>699</v>
      </c>
      <c r="E114" s="47" t="s">
        <v>700</v>
      </c>
      <c r="F114" s="47" t="s">
        <v>357</v>
      </c>
      <c r="G114" s="47" t="s">
        <v>358</v>
      </c>
      <c r="H114" s="47" t="str">
        <f>=IFERROR(VLOOKUP(A114,'ETPT Format DDG'!A:J,10,FALSE),"")</f>
        <v>0</v>
      </c>
      <c r="I114" s="47" t="str">
        <f>='ETPT Format DDG'!M114</f>
        <v/>
      </c>
      <c r="J114" s="47" t="str">
        <f>='ETPT Format DDG'!D114</f>
        <v/>
      </c>
      <c r="K114" s="47" t="s">
        <v>155</v>
      </c>
      <c r="L114" s="47" t="s">
        <v>363</v>
      </c>
      <c r="M114" s="47"/>
      <c r="N114" s="47">
        <v>1</v>
      </c>
      <c r="O114" s="47">
        <v>0</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row>
    <row r="115" spans="1:124" x14ac:dyDescent="0.25">
      <c r="A115" s="47" t="s">
        <v>701</v>
      </c>
      <c r="B115" s="47" t="s">
        <v>151</v>
      </c>
      <c r="C115" s="47" t="s">
        <v>702</v>
      </c>
      <c r="D115" s="47" t="s">
        <v>703</v>
      </c>
      <c r="E115" s="47" t="s">
        <v>704</v>
      </c>
      <c r="F115" s="47" t="s">
        <v>357</v>
      </c>
      <c r="G115" s="47" t="s">
        <v>358</v>
      </c>
      <c r="H115" s="47" t="str">
        <f>=IFERROR(VLOOKUP(A115,'ETPT Format DDG'!A:J,10,FALSE),"")</f>
        <v>0</v>
      </c>
      <c r="I115" s="47" t="str">
        <f>='ETPT Format DDG'!M115</f>
        <v/>
      </c>
      <c r="J115" s="47" t="str">
        <f>='ETPT Format DDG'!D115</f>
        <v/>
      </c>
      <c r="K115" s="47" t="s">
        <v>155</v>
      </c>
      <c r="L115" s="47" t="s">
        <v>558</v>
      </c>
      <c r="M115" s="47"/>
      <c r="N115" s="47">
        <v>1</v>
      </c>
      <c r="O115" s="47">
        <v>0</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row>
    <row r="116" spans="1:124" x14ac:dyDescent="0.25">
      <c r="A116" s="47" t="s">
        <v>705</v>
      </c>
      <c r="B116" s="47" t="s">
        <v>151</v>
      </c>
      <c r="C116" s="47" t="s">
        <v>706</v>
      </c>
      <c r="D116" s="47" t="s">
        <v>707</v>
      </c>
      <c r="E116" s="47" t="s">
        <v>708</v>
      </c>
      <c r="F116" s="47" t="s">
        <v>357</v>
      </c>
      <c r="G116" s="47" t="s">
        <v>398</v>
      </c>
      <c r="H116" s="47" t="str">
        <f>=IFERROR(VLOOKUP(A116,'ETPT Format DDG'!A:J,10,FALSE),"")</f>
        <v>0</v>
      </c>
      <c r="I116" s="47" t="str">
        <f>='ETPT Format DDG'!M116</f>
        <v/>
      </c>
      <c r="J116" s="47" t="str">
        <f>='ETPT Format DDG'!D116</f>
        <v/>
      </c>
      <c r="K116" s="47" t="s">
        <v>155</v>
      </c>
      <c r="L116" s="47" t="s">
        <v>176</v>
      </c>
      <c r="M116" s="47"/>
      <c r="N116" s="47">
        <v>1</v>
      </c>
      <c r="O116" s="47">
        <v>0</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row>
    <row r="117" spans="1:124" x14ac:dyDescent="0.25">
      <c r="A117" s="47" t="s">
        <v>709</v>
      </c>
      <c r="B117" s="47" t="s">
        <v>151</v>
      </c>
      <c r="C117" s="47" t="s">
        <v>710</v>
      </c>
      <c r="D117" s="47" t="s">
        <v>711</v>
      </c>
      <c r="E117" s="47" t="s">
        <v>712</v>
      </c>
      <c r="F117" s="47" t="s">
        <v>357</v>
      </c>
      <c r="G117" s="47" t="s">
        <v>358</v>
      </c>
      <c r="H117" s="47" t="str">
        <f>=IFERROR(VLOOKUP(A117,'ETPT Format DDG'!A:J,10,FALSE),"")</f>
        <v>0</v>
      </c>
      <c r="I117" s="47" t="str">
        <f>='ETPT Format DDG'!M117</f>
        <v/>
      </c>
      <c r="J117" s="47" t="str">
        <f>='ETPT Format DDG'!D117</f>
        <v/>
      </c>
      <c r="K117" s="47" t="s">
        <v>155</v>
      </c>
      <c r="L117" s="47" t="s">
        <v>713</v>
      </c>
      <c r="M117" s="47"/>
      <c r="N117" s="47">
        <v>1</v>
      </c>
      <c r="O117" s="47">
        <v>0</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row>
    <row r="118" spans="1:124" x14ac:dyDescent="0.25">
      <c r="A118" s="47" t="s">
        <v>714</v>
      </c>
      <c r="B118" s="47" t="s">
        <v>151</v>
      </c>
      <c r="C118" s="47" t="s">
        <v>715</v>
      </c>
      <c r="D118" s="47" t="s">
        <v>716</v>
      </c>
      <c r="E118" s="47" t="s">
        <v>717</v>
      </c>
      <c r="F118" s="47" t="s">
        <v>357</v>
      </c>
      <c r="G118" s="47" t="s">
        <v>358</v>
      </c>
      <c r="H118" s="47" t="str">
        <f>=IFERROR(VLOOKUP(A118,'ETPT Format DDG'!A:J,10,FALSE),"")</f>
        <v>0</v>
      </c>
      <c r="I118" s="47" t="str">
        <f>='ETPT Format DDG'!M118</f>
        <v/>
      </c>
      <c r="J118" s="47" t="str">
        <f>='ETPT Format DDG'!D118</f>
        <v/>
      </c>
      <c r="K118" s="47" t="s">
        <v>155</v>
      </c>
      <c r="L118" s="47" t="s">
        <v>498</v>
      </c>
      <c r="M118" s="47"/>
      <c r="N118" s="47">
        <v>0.9</v>
      </c>
      <c r="O118" s="47">
        <v>0.9</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0.9</v>
      </c>
      <c r="CM118" s="47">
        <v>0</v>
      </c>
      <c r="CN118" s="47">
        <v>0</v>
      </c>
      <c r="CO118" s="47">
        <v>0</v>
      </c>
      <c r="CP118" s="47">
        <v>0</v>
      </c>
      <c r="CQ118" s="47">
        <v>0</v>
      </c>
      <c r="CR118" s="47">
        <v>0</v>
      </c>
      <c r="CS118" s="47">
        <v>0</v>
      </c>
      <c r="CT118" s="47">
        <v>0</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row>
    <row r="119" spans="1:124" x14ac:dyDescent="0.25">
      <c r="A119" s="47" t="s">
        <v>718</v>
      </c>
      <c r="B119" s="47" t="s">
        <v>151</v>
      </c>
      <c r="C119" s="47" t="s">
        <v>719</v>
      </c>
      <c r="D119" s="47" t="s">
        <v>720</v>
      </c>
      <c r="E119" s="47" t="s">
        <v>721</v>
      </c>
      <c r="F119" s="47" t="s">
        <v>357</v>
      </c>
      <c r="G119" s="47" t="s">
        <v>563</v>
      </c>
      <c r="H119" s="47" t="str">
        <f>=IFERROR(VLOOKUP(A119,'ETPT Format DDG'!A:J,10,FALSE),"")</f>
        <v>0</v>
      </c>
      <c r="I119" s="47" t="str">
        <f>='ETPT Format DDG'!M119</f>
        <v/>
      </c>
      <c r="J119" s="47" t="str">
        <f>='ETPT Format DDG'!D119</f>
        <v/>
      </c>
      <c r="K119" s="47" t="s">
        <v>155</v>
      </c>
      <c r="L119" s="47" t="s">
        <v>658</v>
      </c>
      <c r="M119" s="47"/>
      <c r="N119" s="47">
        <v>0.6674</v>
      </c>
      <c r="O119" s="47">
        <v>0.6674</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0.6674</v>
      </c>
      <c r="AF119" s="47">
        <v>0.6674</v>
      </c>
      <c r="AG119" s="47">
        <v>0</v>
      </c>
      <c r="AH119" s="47">
        <v>0</v>
      </c>
      <c r="AI119" s="47">
        <v>0</v>
      </c>
      <c r="AJ119" s="47">
        <v>0</v>
      </c>
      <c r="AK119" s="47">
        <v>0</v>
      </c>
      <c r="AL119" s="47">
        <v>0</v>
      </c>
      <c r="AM119" s="47">
        <v>0</v>
      </c>
      <c r="AN119" s="47">
        <v>0</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row>
    <row r="120" spans="1:124" x14ac:dyDescent="0.25">
      <c r="A120" s="47" t="s">
        <v>722</v>
      </c>
      <c r="B120" s="47" t="s">
        <v>151</v>
      </c>
      <c r="C120" s="47" t="s">
        <v>723</v>
      </c>
      <c r="D120" s="47" t="s">
        <v>724</v>
      </c>
      <c r="E120" s="47" t="s">
        <v>725</v>
      </c>
      <c r="F120" s="47" t="s">
        <v>357</v>
      </c>
      <c r="G120" s="47" t="s">
        <v>358</v>
      </c>
      <c r="H120" s="47" t="str">
        <f>=IFERROR(VLOOKUP(A120,'ETPT Format DDG'!A:J,10,FALSE),"")</f>
        <v>0</v>
      </c>
      <c r="I120" s="47" t="str">
        <f>='ETPT Format DDG'!M120</f>
        <v/>
      </c>
      <c r="J120" s="47" t="str">
        <f>='ETPT Format DDG'!D120</f>
        <v/>
      </c>
      <c r="K120" s="47" t="s">
        <v>155</v>
      </c>
      <c r="L120" s="47" t="s">
        <v>432</v>
      </c>
      <c r="M120" s="47"/>
      <c r="N120" s="47">
        <v>0.8</v>
      </c>
      <c r="O120" s="47">
        <v>0.8</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0.8</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v>
      </c>
      <c r="CZ120" s="47">
        <v>0</v>
      </c>
      <c r="DA120" s="47">
        <v>0</v>
      </c>
      <c r="DB120" s="47">
        <v>0</v>
      </c>
      <c r="DC120" s="47">
        <v>0</v>
      </c>
      <c r="DD120" s="47">
        <v>0</v>
      </c>
      <c r="DE120" s="47">
        <v>0</v>
      </c>
      <c r="DF120" s="47">
        <v>0</v>
      </c>
      <c r="DG120" s="47">
        <v>0</v>
      </c>
      <c r="DH120" s="47">
        <v>0</v>
      </c>
      <c r="DI120" s="47">
        <v>0</v>
      </c>
      <c r="DJ120" s="47">
        <v>0</v>
      </c>
      <c r="DK120" s="47">
        <v>0</v>
      </c>
      <c r="DL120" s="47">
        <v>0</v>
      </c>
      <c r="DM120" s="47">
        <v>0</v>
      </c>
      <c r="DN120" s="47">
        <v>0</v>
      </c>
      <c r="DO120" s="47">
        <v>0</v>
      </c>
      <c r="DP120" s="47">
        <v>0</v>
      </c>
      <c r="DQ120" s="47">
        <v>0</v>
      </c>
      <c r="DR120" s="47">
        <v>0</v>
      </c>
    </row>
    <row r="121" spans="1:124" x14ac:dyDescent="0.25">
      <c r="A121" s="47" t="s">
        <v>726</v>
      </c>
      <c r="B121" s="47" t="s">
        <v>151</v>
      </c>
      <c r="C121" s="47" t="s">
        <v>727</v>
      </c>
      <c r="D121" s="47" t="s">
        <v>728</v>
      </c>
      <c r="E121" s="47" t="s">
        <v>729</v>
      </c>
      <c r="F121" s="47" t="s">
        <v>357</v>
      </c>
      <c r="G121" s="47" t="s">
        <v>388</v>
      </c>
      <c r="H121" s="47" t="str">
        <f>=IFERROR(VLOOKUP(A121,'ETPT Format DDG'!A:J,10,FALSE),"")</f>
        <v>0</v>
      </c>
      <c r="I121" s="47" t="str">
        <f>='ETPT Format DDG'!M121</f>
        <v/>
      </c>
      <c r="J121" s="47" t="str">
        <f>='ETPT Format DDG'!D121</f>
        <v/>
      </c>
      <c r="K121" s="47" t="s">
        <v>155</v>
      </c>
      <c r="L121" s="47" t="s">
        <v>730</v>
      </c>
      <c r="M121" s="47"/>
      <c r="N121" s="47">
        <v>0</v>
      </c>
      <c r="O121" s="47">
        <v>0</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1</v>
      </c>
      <c r="DG121" s="47">
        <v>1</v>
      </c>
      <c r="DH121" s="47">
        <v>0</v>
      </c>
      <c r="DI121" s="47">
        <v>0</v>
      </c>
      <c r="DJ121" s="47">
        <v>0</v>
      </c>
      <c r="DK121" s="47">
        <v>0</v>
      </c>
      <c r="DL121" s="47">
        <v>0</v>
      </c>
      <c r="DM121" s="47">
        <v>0</v>
      </c>
      <c r="DN121" s="47">
        <v>0</v>
      </c>
      <c r="DO121" s="47">
        <v>0</v>
      </c>
      <c r="DP121" s="47">
        <v>0</v>
      </c>
      <c r="DQ121" s="47">
        <v>0</v>
      </c>
      <c r="DR121" s="47">
        <v>0</v>
      </c>
    </row>
    <row r="122" spans="1:124" x14ac:dyDescent="0.25">
      <c r="A122" s="47" t="s">
        <v>731</v>
      </c>
      <c r="B122" s="47" t="s">
        <v>151</v>
      </c>
      <c r="C122" s="47" t="s">
        <v>732</v>
      </c>
      <c r="D122" s="47" t="s">
        <v>733</v>
      </c>
      <c r="E122" s="47" t="s">
        <v>734</v>
      </c>
      <c r="F122" s="47" t="s">
        <v>357</v>
      </c>
      <c r="G122" s="47" t="s">
        <v>358</v>
      </c>
      <c r="H122" s="47" t="str">
        <f>=IFERROR(VLOOKUP(A122,'ETPT Format DDG'!A:J,10,FALSE),"")</f>
        <v>0</v>
      </c>
      <c r="I122" s="47" t="str">
        <f>='ETPT Format DDG'!M122</f>
        <v/>
      </c>
      <c r="J122" s="47" t="str">
        <f>='ETPT Format DDG'!D122</f>
        <v/>
      </c>
      <c r="K122" s="47" t="s">
        <v>155</v>
      </c>
      <c r="L122" s="47" t="s">
        <v>363</v>
      </c>
      <c r="M122" s="47"/>
      <c r="N122" s="47">
        <v>1</v>
      </c>
      <c r="O122" s="47">
        <v>0</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row>
    <row r="123" spans="1:124" x14ac:dyDescent="0.25">
      <c r="A123" s="47" t="s">
        <v>735</v>
      </c>
      <c r="B123" s="47" t="s">
        <v>151</v>
      </c>
      <c r="C123" s="47" t="s">
        <v>736</v>
      </c>
      <c r="D123" s="47" t="s">
        <v>737</v>
      </c>
      <c r="E123" s="47" t="s">
        <v>738</v>
      </c>
      <c r="F123" s="47" t="s">
        <v>357</v>
      </c>
      <c r="G123" s="47" t="s">
        <v>358</v>
      </c>
      <c r="H123" s="47" t="str">
        <f>=IFERROR(VLOOKUP(A123,'ETPT Format DDG'!A:J,10,FALSE),"")</f>
        <v>0</v>
      </c>
      <c r="I123" s="47" t="str">
        <f>='ETPT Format DDG'!M123</f>
        <v/>
      </c>
      <c r="J123" s="47" t="str">
        <f>='ETPT Format DDG'!D123</f>
        <v/>
      </c>
      <c r="K123" s="47" t="s">
        <v>155</v>
      </c>
      <c r="L123" s="47" t="s">
        <v>208</v>
      </c>
      <c r="M123" s="47"/>
      <c r="N123" s="47">
        <v>0.8</v>
      </c>
      <c r="O123" s="47">
        <v>0.0832</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0.0832</v>
      </c>
      <c r="CU123" s="47">
        <v>0</v>
      </c>
      <c r="CV123" s="47">
        <v>0.0032</v>
      </c>
      <c r="CW123" s="47">
        <v>0</v>
      </c>
      <c r="CX123" s="47">
        <v>0</v>
      </c>
      <c r="CY123" s="47">
        <v>0</v>
      </c>
      <c r="CZ123" s="47">
        <v>0.08</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row>
    <row r="124" spans="1:124" x14ac:dyDescent="0.25">
      <c r="A124" s="47" t="s">
        <v>739</v>
      </c>
      <c r="B124" s="47" t="s">
        <v>151</v>
      </c>
      <c r="C124" s="47" t="s">
        <v>740</v>
      </c>
      <c r="D124" s="47" t="s">
        <v>741</v>
      </c>
      <c r="E124" s="47" t="s">
        <v>742</v>
      </c>
      <c r="F124" s="47" t="s">
        <v>357</v>
      </c>
      <c r="G124" s="47" t="s">
        <v>358</v>
      </c>
      <c r="H124" s="47" t="str">
        <f>=IFERROR(VLOOKUP(A124,'ETPT Format DDG'!A:J,10,FALSE),"")</f>
        <v>0</v>
      </c>
      <c r="I124" s="47" t="str">
        <f>='ETPT Format DDG'!M124</f>
        <v/>
      </c>
      <c r="J124" s="47" t="str">
        <f>='ETPT Format DDG'!D124</f>
        <v/>
      </c>
      <c r="K124" s="47" t="s">
        <v>155</v>
      </c>
      <c r="L124" s="47" t="s">
        <v>743</v>
      </c>
      <c r="M124" s="47"/>
      <c r="N124" s="47">
        <v>1</v>
      </c>
      <c r="O124" s="47">
        <v>0</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row>
    <row r="125" spans="1:124" x14ac:dyDescent="0.25">
      <c r="A125" s="47" t="s">
        <v>744</v>
      </c>
      <c r="B125" s="47" t="s">
        <v>151</v>
      </c>
      <c r="C125" s="47" t="s">
        <v>745</v>
      </c>
      <c r="D125" s="47" t="s">
        <v>746</v>
      </c>
      <c r="E125" s="47" t="s">
        <v>747</v>
      </c>
      <c r="F125" s="47" t="s">
        <v>357</v>
      </c>
      <c r="G125" s="47" t="s">
        <v>358</v>
      </c>
      <c r="H125" s="47" t="str">
        <f>=IFERROR(VLOOKUP(A125,'ETPT Format DDG'!A:J,10,FALSE),"")</f>
        <v>0</v>
      </c>
      <c r="I125" s="47" t="str">
        <f>='ETPT Format DDG'!M125</f>
        <v/>
      </c>
      <c r="J125" s="47" t="str">
        <f>='ETPT Format DDG'!D125</f>
        <v/>
      </c>
      <c r="K125" s="47" t="s">
        <v>155</v>
      </c>
      <c r="L125" s="47" t="s">
        <v>578</v>
      </c>
      <c r="M125" s="47"/>
      <c r="N125" s="47">
        <v>1</v>
      </c>
      <c r="O125" s="47">
        <v>1</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0.5966</v>
      </c>
      <c r="AF125" s="47">
        <v>0</v>
      </c>
      <c r="AG125" s="47">
        <v>0.1657</v>
      </c>
      <c r="AH125" s="47">
        <v>0</v>
      </c>
      <c r="AI125" s="47">
        <v>0</v>
      </c>
      <c r="AJ125" s="47">
        <v>0</v>
      </c>
      <c r="AK125" s="47">
        <v>0.0994</v>
      </c>
      <c r="AL125" s="47">
        <v>0</v>
      </c>
      <c r="AM125" s="47">
        <v>0.3314</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0.3034</v>
      </c>
      <c r="CM125" s="47">
        <v>0</v>
      </c>
      <c r="CN125" s="47">
        <v>0</v>
      </c>
      <c r="CO125" s="47">
        <v>0</v>
      </c>
      <c r="CP125" s="47">
        <v>0</v>
      </c>
      <c r="CQ125" s="47">
        <v>0</v>
      </c>
      <c r="CR125" s="47">
        <v>0</v>
      </c>
      <c r="CS125" s="47">
        <v>0</v>
      </c>
      <c r="CT125" s="47">
        <v>0.1</v>
      </c>
      <c r="CU125" s="47">
        <v>0.1</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row>
    <row r="126" spans="1:124" x14ac:dyDescent="0.25">
      <c r="A126" s="47" t="s">
        <v>748</v>
      </c>
      <c r="B126" s="47" t="s">
        <v>151</v>
      </c>
      <c r="C126" s="47" t="s">
        <v>749</v>
      </c>
      <c r="D126" s="47" t="s">
        <v>750</v>
      </c>
      <c r="E126" s="47" t="s">
        <v>751</v>
      </c>
      <c r="F126" s="47" t="s">
        <v>357</v>
      </c>
      <c r="G126" s="47" t="s">
        <v>358</v>
      </c>
      <c r="H126" s="47" t="str">
        <f>=IFERROR(VLOOKUP(A126,'ETPT Format DDG'!A:J,10,FALSE),"")</f>
        <v>0</v>
      </c>
      <c r="I126" s="47" t="str">
        <f>='ETPT Format DDG'!M126</f>
        <v/>
      </c>
      <c r="J126" s="47" t="str">
        <f>='ETPT Format DDG'!D126</f>
        <v/>
      </c>
      <c r="K126" s="47" t="s">
        <v>155</v>
      </c>
      <c r="L126" s="47" t="s">
        <v>752</v>
      </c>
      <c r="M126" s="47"/>
      <c r="N126" s="47">
        <v>0.1686</v>
      </c>
      <c r="O126" s="47">
        <v>0.1686</v>
      </c>
      <c r="P126" s="47">
        <v>0</v>
      </c>
      <c r="Q126" s="47">
        <v>0</v>
      </c>
      <c r="R126" s="47">
        <v>0</v>
      </c>
      <c r="S126" s="47">
        <v>0</v>
      </c>
      <c r="T126" s="47">
        <v>0</v>
      </c>
      <c r="U126" s="47">
        <v>0</v>
      </c>
      <c r="V126" s="47">
        <v>0</v>
      </c>
      <c r="W126" s="47">
        <v>0</v>
      </c>
      <c r="X126" s="47">
        <v>0</v>
      </c>
      <c r="Y126" s="47">
        <v>0</v>
      </c>
      <c r="Z126" s="47">
        <v>0</v>
      </c>
      <c r="AA126" s="47">
        <v>0</v>
      </c>
      <c r="AB126" s="47">
        <v>0</v>
      </c>
      <c r="AC126" s="47">
        <v>0</v>
      </c>
      <c r="AD126" s="47">
        <v>0</v>
      </c>
      <c r="AE126" s="47">
        <v>0.1686</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row>
    <row r="127" spans="1:124" x14ac:dyDescent="0.25">
      <c r="A127" s="47" t="s">
        <v>753</v>
      </c>
      <c r="B127" s="47" t="s">
        <v>151</v>
      </c>
      <c r="C127" s="47" t="s">
        <v>754</v>
      </c>
      <c r="D127" s="47" t="s">
        <v>755</v>
      </c>
      <c r="E127" s="47" t="s">
        <v>756</v>
      </c>
      <c r="F127" s="47" t="s">
        <v>357</v>
      </c>
      <c r="G127" s="47" t="s">
        <v>757</v>
      </c>
      <c r="H127" s="47" t="str">
        <f>=IFERROR(VLOOKUP(A127,'ETPT Format DDG'!A:J,10,FALSE),"")</f>
        <v>0</v>
      </c>
      <c r="I127" s="47" t="str">
        <f>='ETPT Format DDG'!M127</f>
        <v/>
      </c>
      <c r="J127" s="47" t="str">
        <f>='ETPT Format DDG'!D127</f>
        <v/>
      </c>
      <c r="K127" s="47" t="s">
        <v>155</v>
      </c>
      <c r="L127" s="47" t="s">
        <v>758</v>
      </c>
      <c r="M127" s="47" t="s">
        <v>759</v>
      </c>
      <c r="N127" s="47">
        <v>0.1648</v>
      </c>
      <c r="O127" s="47">
        <v>0.1648</v>
      </c>
      <c r="P127" s="47">
        <v>0</v>
      </c>
      <c r="Q127" s="47">
        <v>0</v>
      </c>
      <c r="R127" s="47">
        <v>0</v>
      </c>
      <c r="S127" s="47">
        <v>0</v>
      </c>
      <c r="T127" s="47">
        <v>0</v>
      </c>
      <c r="U127" s="47">
        <v>0</v>
      </c>
      <c r="V127" s="47">
        <v>0</v>
      </c>
      <c r="W127" s="47">
        <v>0</v>
      </c>
      <c r="X127" s="47">
        <v>0</v>
      </c>
      <c r="Y127" s="47">
        <v>0</v>
      </c>
      <c r="Z127" s="47">
        <v>0</v>
      </c>
      <c r="AA127" s="47">
        <v>0</v>
      </c>
      <c r="AB127" s="47">
        <v>0</v>
      </c>
      <c r="AC127" s="47">
        <v>0</v>
      </c>
      <c r="AD127" s="47">
        <v>0</v>
      </c>
      <c r="AE127" s="47">
        <v>0.1071</v>
      </c>
      <c r="AF127" s="47">
        <v>0</v>
      </c>
      <c r="AG127" s="47">
        <v>0.1071</v>
      </c>
      <c r="AH127" s="47">
        <v>0</v>
      </c>
      <c r="AI127" s="47">
        <v>0</v>
      </c>
      <c r="AJ127" s="47">
        <v>0</v>
      </c>
      <c r="AK127" s="47">
        <v>0</v>
      </c>
      <c r="AL127" s="47">
        <v>0</v>
      </c>
      <c r="AM127" s="47">
        <v>0</v>
      </c>
      <c r="AN127" s="47">
        <v>0.0577</v>
      </c>
      <c r="AO127" s="47">
        <v>0.0577</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row>
    <row r="128" spans="1:124" x14ac:dyDescent="0.25">
      <c r="A128" s="47" t="s">
        <v>760</v>
      </c>
      <c r="B128" s="47" t="s">
        <v>151</v>
      </c>
      <c r="C128" s="47" t="s">
        <v>761</v>
      </c>
      <c r="D128" s="47" t="s">
        <v>762</v>
      </c>
      <c r="E128" s="47" t="s">
        <v>763</v>
      </c>
      <c r="F128" s="47" t="s">
        <v>357</v>
      </c>
      <c r="G128" s="47" t="s">
        <v>764</v>
      </c>
      <c r="H128" s="47" t="str">
        <f>=IFERROR(VLOOKUP(A128,'ETPT Format DDG'!A:J,10,FALSE),"")</f>
        <v>0</v>
      </c>
      <c r="I128" s="47" t="str">
        <f>='ETPT Format DDG'!M128</f>
        <v/>
      </c>
      <c r="J128" s="47" t="str">
        <f>='ETPT Format DDG'!D128</f>
        <v/>
      </c>
      <c r="K128" s="47" t="s">
        <v>155</v>
      </c>
      <c r="L128" s="47" t="s">
        <v>765</v>
      </c>
      <c r="M128" s="47"/>
      <c r="N128" s="47">
        <v>0.9885</v>
      </c>
      <c r="O128" s="47">
        <v>0.9885</v>
      </c>
      <c r="P128" s="47">
        <v>0</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0.9885</v>
      </c>
      <c r="CU128" s="47">
        <v>0.9732</v>
      </c>
      <c r="CV128" s="47">
        <v>0.0153</v>
      </c>
      <c r="CW128" s="47">
        <v>0</v>
      </c>
      <c r="CX128" s="47">
        <v>0</v>
      </c>
      <c r="CY128" s="47">
        <v>0</v>
      </c>
      <c r="CZ128" s="47">
        <v>0</v>
      </c>
      <c r="DA128" s="47">
        <v>0</v>
      </c>
      <c r="DB128" s="47">
        <v>0</v>
      </c>
      <c r="DC128" s="47">
        <v>0</v>
      </c>
      <c r="DD128" s="47">
        <v>0</v>
      </c>
      <c r="DE128" s="47">
        <v>0</v>
      </c>
      <c r="DF128" s="47">
        <v>0.0115</v>
      </c>
      <c r="DG128" s="47">
        <v>0.0115</v>
      </c>
      <c r="DH128" s="47">
        <v>0</v>
      </c>
      <c r="DI128" s="47">
        <v>0</v>
      </c>
      <c r="DJ128" s="47">
        <v>0</v>
      </c>
      <c r="DK128" s="47">
        <v>0</v>
      </c>
      <c r="DL128" s="47">
        <v>0</v>
      </c>
      <c r="DM128" s="47">
        <v>0</v>
      </c>
      <c r="DN128" s="47">
        <v>0</v>
      </c>
      <c r="DO128" s="47">
        <v>0</v>
      </c>
      <c r="DP128" s="47">
        <v>0</v>
      </c>
      <c r="DQ128" s="47">
        <v>0</v>
      </c>
      <c r="DR128" s="47">
        <v>0</v>
      </c>
    </row>
    <row r="129" spans="1:124" x14ac:dyDescent="0.25">
      <c r="A129" s="47" t="s">
        <v>766</v>
      </c>
      <c r="B129" s="47" t="s">
        <v>151</v>
      </c>
      <c r="C129" s="47" t="s">
        <v>767</v>
      </c>
      <c r="D129" s="47" t="s">
        <v>768</v>
      </c>
      <c r="E129" s="47" t="s">
        <v>769</v>
      </c>
      <c r="F129" s="47" t="s">
        <v>357</v>
      </c>
      <c r="G129" s="47" t="s">
        <v>398</v>
      </c>
      <c r="H129" s="47" t="str">
        <f>=IFERROR(VLOOKUP(A129,'ETPT Format DDG'!A:J,10,FALSE),"")</f>
        <v>0</v>
      </c>
      <c r="I129" s="47" t="str">
        <f>='ETPT Format DDG'!M129</f>
        <v/>
      </c>
      <c r="J129" s="47" t="str">
        <f>='ETPT Format DDG'!D129</f>
        <v/>
      </c>
      <c r="K129" s="47" t="s">
        <v>155</v>
      </c>
      <c r="L129" s="47" t="s">
        <v>770</v>
      </c>
      <c r="M129" s="47"/>
      <c r="N129" s="47">
        <v>1</v>
      </c>
      <c r="O129" s="47">
        <v>1</v>
      </c>
      <c r="P129" s="47">
        <v>0</v>
      </c>
      <c r="Q129" s="47">
        <v>0</v>
      </c>
      <c r="R129" s="47">
        <v>0</v>
      </c>
      <c r="S129" s="47">
        <v>0</v>
      </c>
      <c r="T129" s="47">
        <v>0</v>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1</v>
      </c>
      <c r="CU129" s="47">
        <v>1</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row>
    <row r="130" spans="1:124" x14ac:dyDescent="0.25">
      <c r="A130" s="47" t="s">
        <v>771</v>
      </c>
      <c r="B130" s="47" t="s">
        <v>151</v>
      </c>
      <c r="C130" s="47" t="s">
        <v>772</v>
      </c>
      <c r="D130" s="47" t="s">
        <v>773</v>
      </c>
      <c r="E130" s="47" t="s">
        <v>774</v>
      </c>
      <c r="F130" s="47" t="s">
        <v>357</v>
      </c>
      <c r="G130" s="47" t="s">
        <v>388</v>
      </c>
      <c r="H130" s="47" t="str">
        <f>=IFERROR(VLOOKUP(A130,'ETPT Format DDG'!A:J,10,FALSE),"")</f>
        <v>0</v>
      </c>
      <c r="I130" s="47" t="str">
        <f>='ETPT Format DDG'!M130</f>
        <v/>
      </c>
      <c r="J130" s="47" t="str">
        <f>='ETPT Format DDG'!D130</f>
        <v/>
      </c>
      <c r="K130" s="47" t="s">
        <v>155</v>
      </c>
      <c r="L130" s="47" t="s">
        <v>775</v>
      </c>
      <c r="M130" s="47"/>
      <c r="N130" s="47">
        <v>1</v>
      </c>
      <c r="O130" s="47">
        <v>0</v>
      </c>
      <c r="P130" s="47">
        <v>0</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row>
    <row r="131" spans="1:124" x14ac:dyDescent="0.25">
      <c r="A131" s="47" t="s">
        <v>776</v>
      </c>
      <c r="B131" s="47" t="s">
        <v>151</v>
      </c>
      <c r="C131" s="47" t="s">
        <v>777</v>
      </c>
      <c r="D131" s="47" t="s">
        <v>778</v>
      </c>
      <c r="E131" s="47" t="s">
        <v>779</v>
      </c>
      <c r="F131" s="47" t="s">
        <v>357</v>
      </c>
      <c r="G131" s="47" t="s">
        <v>358</v>
      </c>
      <c r="H131" s="47" t="str">
        <f>=IFERROR(VLOOKUP(A131,'ETPT Format DDG'!A:J,10,FALSE),"")</f>
        <v>0</v>
      </c>
      <c r="I131" s="47" t="str">
        <f>='ETPT Format DDG'!M131</f>
        <v/>
      </c>
      <c r="J131" s="47" t="str">
        <f>='ETPT Format DDG'!D131</f>
        <v/>
      </c>
      <c r="K131" s="47" t="s">
        <v>155</v>
      </c>
      <c r="L131" s="47" t="s">
        <v>780</v>
      </c>
      <c r="M131" s="47"/>
      <c r="N131" s="47">
        <v>1</v>
      </c>
      <c r="O131" s="47">
        <v>0</v>
      </c>
      <c r="P131" s="47">
        <v>0</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row>
    <row r="132" spans="1:124" x14ac:dyDescent="0.25">
      <c r="A132" s="47" t="s">
        <v>781</v>
      </c>
      <c r="B132" s="47" t="s">
        <v>151</v>
      </c>
      <c r="C132" s="47" t="s">
        <v>782</v>
      </c>
      <c r="D132" s="47" t="s">
        <v>783</v>
      </c>
      <c r="E132" s="47" t="s">
        <v>784</v>
      </c>
      <c r="F132" s="47" t="s">
        <v>357</v>
      </c>
      <c r="G132" s="47" t="s">
        <v>388</v>
      </c>
      <c r="H132" s="47" t="str">
        <f>=IFERROR(VLOOKUP(A132,'ETPT Format DDG'!A:J,10,FALSE),"")</f>
        <v>0</v>
      </c>
      <c r="I132" s="47" t="str">
        <f>='ETPT Format DDG'!M132</f>
        <v/>
      </c>
      <c r="J132" s="47" t="str">
        <f>='ETPT Format DDG'!D132</f>
        <v/>
      </c>
      <c r="K132" s="47" t="s">
        <v>155</v>
      </c>
      <c r="L132" s="47" t="s">
        <v>785</v>
      </c>
      <c r="M132" s="47"/>
      <c r="N132" s="47">
        <v>1</v>
      </c>
      <c r="O132" s="47">
        <v>0</v>
      </c>
      <c r="P132" s="47">
        <v>0</v>
      </c>
      <c r="Q132" s="47">
        <v>0</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row>
    <row r="133" spans="1:124" x14ac:dyDescent="0.25">
      <c r="A133" s="47" t="s">
        <v>786</v>
      </c>
      <c r="B133" s="47" t="s">
        <v>151</v>
      </c>
      <c r="C133" s="47" t="s">
        <v>787</v>
      </c>
      <c r="D133" s="47" t="s">
        <v>788</v>
      </c>
      <c r="E133" s="47" t="s">
        <v>789</v>
      </c>
      <c r="F133" s="47" t="s">
        <v>357</v>
      </c>
      <c r="G133" s="47" t="s">
        <v>358</v>
      </c>
      <c r="H133" s="47" t="str">
        <f>=IFERROR(VLOOKUP(A133,'ETPT Format DDG'!A:J,10,FALSE),"")</f>
        <v>0</v>
      </c>
      <c r="I133" s="47" t="str">
        <f>='ETPT Format DDG'!M133</f>
        <v/>
      </c>
      <c r="J133" s="47" t="str">
        <f>='ETPT Format DDG'!D133</f>
        <v/>
      </c>
      <c r="K133" s="47" t="s">
        <v>155</v>
      </c>
      <c r="L133" s="47" t="s">
        <v>510</v>
      </c>
      <c r="M133" s="47"/>
      <c r="N133" s="47">
        <v>1</v>
      </c>
      <c r="O133" s="47">
        <v>0</v>
      </c>
      <c r="P133" s="47">
        <v>0</v>
      </c>
      <c r="Q133" s="47">
        <v>0</v>
      </c>
      <c r="R133" s="47">
        <v>0</v>
      </c>
      <c r="S133" s="47">
        <v>0</v>
      </c>
      <c r="T133" s="47">
        <v>0</v>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row>
    <row r="134" spans="1:124" x14ac:dyDescent="0.25">
      <c r="A134" s="47" t="s">
        <v>790</v>
      </c>
      <c r="B134" s="47" t="s">
        <v>151</v>
      </c>
      <c r="C134" s="47" t="s">
        <v>791</v>
      </c>
      <c r="D134" s="47" t="s">
        <v>792</v>
      </c>
      <c r="E134" s="47" t="s">
        <v>793</v>
      </c>
      <c r="F134" s="47" t="s">
        <v>357</v>
      </c>
      <c r="G134" s="47" t="s">
        <v>691</v>
      </c>
      <c r="H134" s="47" t="str">
        <f>=IFERROR(VLOOKUP(A134,'ETPT Format DDG'!A:J,10,FALSE),"")</f>
        <v>0</v>
      </c>
      <c r="I134" s="47" t="str">
        <f>='ETPT Format DDG'!M134</f>
        <v/>
      </c>
      <c r="J134" s="47" t="str">
        <f>='ETPT Format DDG'!D134</f>
        <v/>
      </c>
      <c r="K134" s="47" t="s">
        <v>155</v>
      </c>
      <c r="L134" s="47" t="s">
        <v>743</v>
      </c>
      <c r="M134" s="47"/>
      <c r="N134" s="47">
        <v>0.931</v>
      </c>
      <c r="O134" s="47">
        <v>0.931</v>
      </c>
      <c r="P134" s="47">
        <v>0</v>
      </c>
      <c r="Q134" s="47">
        <v>0</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0.931</v>
      </c>
      <c r="CU134" s="47">
        <v>0.931</v>
      </c>
      <c r="CV134" s="47">
        <v>0</v>
      </c>
      <c r="CW134" s="47">
        <v>0</v>
      </c>
      <c r="CX134" s="47">
        <v>0</v>
      </c>
      <c r="CY134" s="47">
        <v>0</v>
      </c>
      <c r="CZ134" s="47">
        <v>0</v>
      </c>
      <c r="DA134" s="47">
        <v>0</v>
      </c>
      <c r="DB134" s="47">
        <v>0</v>
      </c>
      <c r="DC134" s="47">
        <v>0</v>
      </c>
      <c r="DD134" s="47">
        <v>0</v>
      </c>
      <c r="DE134" s="47">
        <v>0</v>
      </c>
      <c r="DF134" s="47">
        <v>0.069</v>
      </c>
      <c r="DG134" s="47">
        <v>0</v>
      </c>
      <c r="DH134" s="47">
        <v>0</v>
      </c>
      <c r="DI134" s="47">
        <v>0</v>
      </c>
      <c r="DJ134" s="47">
        <v>0</v>
      </c>
      <c r="DK134" s="47">
        <v>0.069</v>
      </c>
      <c r="DL134" s="47">
        <v>0</v>
      </c>
      <c r="DM134" s="47">
        <v>0</v>
      </c>
      <c r="DN134" s="47">
        <v>0</v>
      </c>
      <c r="DO134" s="47">
        <v>0</v>
      </c>
      <c r="DP134" s="47">
        <v>0</v>
      </c>
      <c r="DQ134" s="47">
        <v>0</v>
      </c>
      <c r="DR134" s="47">
        <v>0</v>
      </c>
    </row>
    <row r="135" spans="1:124" x14ac:dyDescent="0.25">
      <c r="A135" s="47" t="s">
        <v>794</v>
      </c>
      <c r="B135" s="47" t="s">
        <v>151</v>
      </c>
      <c r="C135" s="47" t="s">
        <v>795</v>
      </c>
      <c r="D135" s="47" t="s">
        <v>796</v>
      </c>
      <c r="E135" s="47" t="s">
        <v>797</v>
      </c>
      <c r="F135" s="47" t="s">
        <v>357</v>
      </c>
      <c r="G135" s="47" t="s">
        <v>388</v>
      </c>
      <c r="H135" s="47" t="str">
        <f>=IFERROR(VLOOKUP(A135,'ETPT Format DDG'!A:J,10,FALSE),"")</f>
        <v>0</v>
      </c>
      <c r="I135" s="47" t="str">
        <f>='ETPT Format DDG'!M135</f>
        <v/>
      </c>
      <c r="J135" s="47" t="str">
        <f>='ETPT Format DDG'!D135</f>
        <v/>
      </c>
      <c r="K135" s="47" t="s">
        <v>155</v>
      </c>
      <c r="L135" s="47" t="s">
        <v>798</v>
      </c>
      <c r="M135" s="47"/>
      <c r="N135" s="47">
        <v>1</v>
      </c>
      <c r="O135" s="47">
        <v>0</v>
      </c>
      <c r="P135" s="47">
        <v>0</v>
      </c>
      <c r="Q135" s="47">
        <v>0</v>
      </c>
      <c r="R135" s="47">
        <v>0</v>
      </c>
      <c r="S135" s="47">
        <v>0</v>
      </c>
      <c r="T135" s="47">
        <v>0</v>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row>
    <row r="136" spans="1:124" x14ac:dyDescent="0.25">
      <c r="A136" s="47" t="s">
        <v>799</v>
      </c>
      <c r="B136" s="47" t="s">
        <v>151</v>
      </c>
      <c r="C136" s="47" t="s">
        <v>800</v>
      </c>
      <c r="D136" s="47" t="s">
        <v>801</v>
      </c>
      <c r="E136" s="47" t="s">
        <v>802</v>
      </c>
      <c r="F136" s="47" t="s">
        <v>357</v>
      </c>
      <c r="G136" s="47" t="s">
        <v>691</v>
      </c>
      <c r="H136" s="47" t="str">
        <f>=IFERROR(VLOOKUP(A136,'ETPT Format DDG'!A:J,10,FALSE),"")</f>
        <v>0</v>
      </c>
      <c r="I136" s="47" t="str">
        <f>='ETPT Format DDG'!M136</f>
        <v/>
      </c>
      <c r="J136" s="47" t="str">
        <f>='ETPT Format DDG'!D136</f>
        <v/>
      </c>
      <c r="K136" s="47" t="s">
        <v>155</v>
      </c>
      <c r="L136" s="47" t="s">
        <v>803</v>
      </c>
      <c r="M136" s="47"/>
      <c r="N136" s="47">
        <v>1</v>
      </c>
      <c r="O136" s="47">
        <v>1</v>
      </c>
      <c r="P136" s="47">
        <v>0</v>
      </c>
      <c r="Q136" s="47">
        <v>0</v>
      </c>
      <c r="R136" s="47">
        <v>0</v>
      </c>
      <c r="S136" s="47">
        <v>0</v>
      </c>
      <c r="T136" s="47">
        <v>0</v>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1</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row>
    <row r="137" spans="1:124" x14ac:dyDescent="0.25">
      <c r="A137" s="47" t="s">
        <v>804</v>
      </c>
      <c r="B137" s="47" t="s">
        <v>151</v>
      </c>
      <c r="C137" s="47" t="s">
        <v>805</v>
      </c>
      <c r="D137" s="47" t="s">
        <v>806</v>
      </c>
      <c r="E137" s="47" t="s">
        <v>807</v>
      </c>
      <c r="F137" s="47" t="s">
        <v>357</v>
      </c>
      <c r="G137" s="47" t="s">
        <v>358</v>
      </c>
      <c r="H137" s="47" t="str">
        <f>=IFERROR(VLOOKUP(A137,'ETPT Format DDG'!A:J,10,FALSE),"")</f>
        <v>0</v>
      </c>
      <c r="I137" s="47" t="str">
        <f>='ETPT Format DDG'!M137</f>
        <v/>
      </c>
      <c r="J137" s="47" t="str">
        <f>='ETPT Format DDG'!D137</f>
        <v/>
      </c>
      <c r="K137" s="47" t="s">
        <v>155</v>
      </c>
      <c r="L137" s="47" t="s">
        <v>808</v>
      </c>
      <c r="M137" s="47"/>
      <c r="N137" s="47">
        <v>0</v>
      </c>
      <c r="O137" s="47">
        <v>0</v>
      </c>
      <c r="P137" s="47">
        <v>0</v>
      </c>
      <c r="Q137" s="47">
        <v>0</v>
      </c>
      <c r="R137" s="47">
        <v>0</v>
      </c>
      <c r="S137" s="47">
        <v>0</v>
      </c>
      <c r="T137" s="47">
        <v>0</v>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0.5</v>
      </c>
      <c r="DG137" s="47">
        <v>0</v>
      </c>
      <c r="DH137" s="47">
        <v>0</v>
      </c>
      <c r="DI137" s="47">
        <v>0</v>
      </c>
      <c r="DJ137" s="47">
        <v>0</v>
      </c>
      <c r="DK137" s="47">
        <v>0</v>
      </c>
      <c r="DL137" s="47">
        <v>0</v>
      </c>
      <c r="DM137" s="47">
        <v>0</v>
      </c>
      <c r="DN137" s="47">
        <v>0</v>
      </c>
      <c r="DO137" s="47">
        <v>0</v>
      </c>
      <c r="DP137" s="47">
        <v>0</v>
      </c>
      <c r="DQ137" s="47">
        <v>0</v>
      </c>
      <c r="DR137" s="47">
        <v>0.5</v>
      </c>
    </row>
    <row r="138" spans="1:124" x14ac:dyDescent="0.25">
      <c r="A138" s="47" t="s">
        <v>809</v>
      </c>
      <c r="B138" s="47" t="s">
        <v>151</v>
      </c>
      <c r="C138" s="47" t="s">
        <v>810</v>
      </c>
      <c r="D138" s="47" t="s">
        <v>811</v>
      </c>
      <c r="E138" s="47" t="s">
        <v>812</v>
      </c>
      <c r="F138" s="47" t="s">
        <v>357</v>
      </c>
      <c r="G138" s="47" t="s">
        <v>358</v>
      </c>
      <c r="H138" s="47" t="str">
        <f>=IFERROR(VLOOKUP(A138,'ETPT Format DDG'!A:J,10,FALSE),"")</f>
        <v>0</v>
      </c>
      <c r="I138" s="47" t="str">
        <f>='ETPT Format DDG'!M138</f>
        <v/>
      </c>
      <c r="J138" s="47" t="str">
        <f>='ETPT Format DDG'!D138</f>
        <v/>
      </c>
      <c r="K138" s="47" t="s">
        <v>155</v>
      </c>
      <c r="L138" s="47" t="s">
        <v>813</v>
      </c>
      <c r="M138" s="47"/>
      <c r="N138" s="47">
        <v>1</v>
      </c>
      <c r="O138" s="47">
        <v>1</v>
      </c>
      <c r="P138" s="47">
        <v>0</v>
      </c>
      <c r="Q138" s="47">
        <v>0</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1</v>
      </c>
      <c r="CU138" s="47">
        <v>0</v>
      </c>
      <c r="CV138" s="47">
        <v>0</v>
      </c>
      <c r="CW138" s="47">
        <v>0</v>
      </c>
      <c r="CX138" s="47">
        <v>0</v>
      </c>
      <c r="CY138" s="47">
        <v>0</v>
      </c>
      <c r="CZ138" s="47">
        <v>1</v>
      </c>
      <c r="DA138" s="47">
        <v>0</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row>
    <row r="139" spans="1:124" x14ac:dyDescent="0.25">
      <c r="A139" s="47" t="s">
        <v>814</v>
      </c>
      <c r="B139" s="47" t="s">
        <v>151</v>
      </c>
      <c r="C139" s="47" t="s">
        <v>815</v>
      </c>
      <c r="D139" s="47" t="s">
        <v>816</v>
      </c>
      <c r="E139" s="47" t="s">
        <v>817</v>
      </c>
      <c r="F139" s="47" t="s">
        <v>357</v>
      </c>
      <c r="G139" s="47" t="s">
        <v>388</v>
      </c>
      <c r="H139" s="47" t="str">
        <f>=IFERROR(VLOOKUP(A139,'ETPT Format DDG'!A:J,10,FALSE),"")</f>
        <v>0</v>
      </c>
      <c r="I139" s="47" t="str">
        <f>='ETPT Format DDG'!M139</f>
        <v/>
      </c>
      <c r="J139" s="47" t="str">
        <f>='ETPT Format DDG'!D139</f>
        <v/>
      </c>
      <c r="K139" s="47" t="s">
        <v>155</v>
      </c>
      <c r="L139" s="47" t="s">
        <v>818</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1</v>
      </c>
      <c r="CU139" s="47">
        <v>0</v>
      </c>
      <c r="CV139" s="47">
        <v>0</v>
      </c>
      <c r="CW139" s="47">
        <v>0</v>
      </c>
      <c r="CX139" s="47">
        <v>0</v>
      </c>
      <c r="CY139" s="47">
        <v>0</v>
      </c>
      <c r="CZ139" s="47">
        <v>0</v>
      </c>
      <c r="DA139" s="47">
        <v>0</v>
      </c>
      <c r="DB139" s="47">
        <v>0</v>
      </c>
      <c r="DC139" s="47">
        <v>0</v>
      </c>
      <c r="DD139" s="47">
        <v>0</v>
      </c>
      <c r="DE139" s="47">
        <v>1</v>
      </c>
      <c r="DF139" s="47">
        <v>0</v>
      </c>
      <c r="DG139" s="47">
        <v>0</v>
      </c>
      <c r="DH139" s="47">
        <v>0</v>
      </c>
      <c r="DI139" s="47">
        <v>0</v>
      </c>
      <c r="DJ139" s="47">
        <v>0</v>
      </c>
      <c r="DK139" s="47">
        <v>0</v>
      </c>
      <c r="DL139" s="47">
        <v>0</v>
      </c>
      <c r="DM139" s="47">
        <v>0</v>
      </c>
      <c r="DN139" s="47">
        <v>0</v>
      </c>
      <c r="DO139" s="47">
        <v>0</v>
      </c>
      <c r="DP139" s="47">
        <v>0</v>
      </c>
      <c r="DQ139" s="47">
        <v>0</v>
      </c>
      <c r="DR139" s="47">
        <v>0</v>
      </c>
    </row>
    <row r="140" spans="1:124" x14ac:dyDescent="0.25">
      <c r="A140" s="47" t="s">
        <v>819</v>
      </c>
      <c r="B140" s="47" t="s">
        <v>151</v>
      </c>
      <c r="C140" s="47" t="s">
        <v>820</v>
      </c>
      <c r="D140" s="47" t="s">
        <v>821</v>
      </c>
      <c r="E140" s="47" t="s">
        <v>822</v>
      </c>
      <c r="F140" s="47" t="s">
        <v>357</v>
      </c>
      <c r="G140" s="47" t="s">
        <v>358</v>
      </c>
      <c r="H140" s="47" t="str">
        <f>=IFERROR(VLOOKUP(A140,'ETPT Format DDG'!A:J,10,FALSE),"")</f>
        <v>0</v>
      </c>
      <c r="I140" s="47" t="str">
        <f>='ETPT Format DDG'!M140</f>
        <v/>
      </c>
      <c r="J140" s="47" t="str">
        <f>='ETPT Format DDG'!D140</f>
        <v/>
      </c>
      <c r="K140" s="47" t="s">
        <v>155</v>
      </c>
      <c r="L140" s="47" t="s">
        <v>823</v>
      </c>
      <c r="M140" s="47"/>
      <c r="N140" s="47">
        <v>1</v>
      </c>
      <c r="O140" s="47">
        <v>0</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row>
    <row r="141" spans="1:124" x14ac:dyDescent="0.25">
      <c r="A141" s="47" t="s">
        <v>824</v>
      </c>
      <c r="B141" s="47" t="s">
        <v>151</v>
      </c>
      <c r="C141" s="47" t="s">
        <v>825</v>
      </c>
      <c r="D141" s="47" t="s">
        <v>826</v>
      </c>
      <c r="E141" s="47" t="s">
        <v>827</v>
      </c>
      <c r="F141" s="47" t="s">
        <v>357</v>
      </c>
      <c r="G141" s="47" t="s">
        <v>398</v>
      </c>
      <c r="H141" s="47" t="str">
        <f>=IFERROR(VLOOKUP(A141,'ETPT Format DDG'!A:J,10,FALSE),"")</f>
        <v>0</v>
      </c>
      <c r="I141" s="47" t="str">
        <f>='ETPT Format DDG'!M141</f>
        <v/>
      </c>
      <c r="J141" s="47" t="str">
        <f>='ETPT Format DDG'!D141</f>
        <v/>
      </c>
      <c r="K141" s="47" t="s">
        <v>155</v>
      </c>
      <c r="L141" s="47" t="s">
        <v>176</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row>
    <row r="142" spans="1:124" x14ac:dyDescent="0.25">
      <c r="A142" s="47" t="s">
        <v>828</v>
      </c>
      <c r="B142" s="47" t="s">
        <v>151</v>
      </c>
      <c r="C142" s="47" t="s">
        <v>829</v>
      </c>
      <c r="D142" s="47" t="s">
        <v>830</v>
      </c>
      <c r="E142" s="47" t="s">
        <v>756</v>
      </c>
      <c r="F142" s="47" t="s">
        <v>357</v>
      </c>
      <c r="G142" s="47" t="s">
        <v>388</v>
      </c>
      <c r="H142" s="47" t="str">
        <f>=IFERROR(VLOOKUP(A142,'ETPT Format DDG'!A:J,10,FALSE),"")</f>
        <v>0</v>
      </c>
      <c r="I142" s="47" t="str">
        <f>='ETPT Format DDG'!M142</f>
        <v/>
      </c>
      <c r="J142" s="47" t="str">
        <f>='ETPT Format DDG'!D142</f>
        <v/>
      </c>
      <c r="K142" s="47" t="s">
        <v>155</v>
      </c>
      <c r="L142" s="47" t="s">
        <v>208</v>
      </c>
      <c r="M142" s="47"/>
      <c r="N142" s="47">
        <v>1</v>
      </c>
      <c r="O142" s="47">
        <v>1</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1</v>
      </c>
      <c r="CU142" s="47">
        <v>0</v>
      </c>
      <c r="CV142" s="47">
        <v>0</v>
      </c>
      <c r="CW142" s="47">
        <v>0</v>
      </c>
      <c r="CX142" s="47">
        <v>0</v>
      </c>
      <c r="CY142" s="47">
        <v>0</v>
      </c>
      <c r="CZ142" s="47">
        <v>1</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row>
    <row r="143" spans="1:124" x14ac:dyDescent="0.25">
      <c r="A143" s="47" t="s">
        <v>831</v>
      </c>
      <c r="B143" s="47" t="s">
        <v>151</v>
      </c>
      <c r="C143" s="47" t="s">
        <v>832</v>
      </c>
      <c r="D143" s="47" t="s">
        <v>833</v>
      </c>
      <c r="E143" s="47" t="s">
        <v>834</v>
      </c>
      <c r="F143" s="47" t="s">
        <v>357</v>
      </c>
      <c r="G143" s="47" t="s">
        <v>358</v>
      </c>
      <c r="H143" s="47" t="str">
        <f>=IFERROR(VLOOKUP(A143,'ETPT Format DDG'!A:J,10,FALSE),"")</f>
        <v>0</v>
      </c>
      <c r="I143" s="47" t="str">
        <f>='ETPT Format DDG'!M143</f>
        <v/>
      </c>
      <c r="J143" s="47" t="str">
        <f>='ETPT Format DDG'!D143</f>
        <v/>
      </c>
      <c r="K143" s="47" t="s">
        <v>155</v>
      </c>
      <c r="L143" s="47" t="s">
        <v>452</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row>
    <row r="144" spans="1:124" x14ac:dyDescent="0.25">
      <c r="A144" s="47" t="s">
        <v>835</v>
      </c>
      <c r="B144" s="47" t="s">
        <v>151</v>
      </c>
      <c r="C144" s="47" t="s">
        <v>836</v>
      </c>
      <c r="D144" s="47" t="s">
        <v>837</v>
      </c>
      <c r="E144" s="47" t="s">
        <v>241</v>
      </c>
      <c r="F144" s="47" t="s">
        <v>357</v>
      </c>
      <c r="G144" s="47" t="s">
        <v>398</v>
      </c>
      <c r="H144" s="47" t="str">
        <f>=IFERROR(VLOOKUP(A144,'ETPT Format DDG'!A:J,10,FALSE),"")</f>
        <v>0</v>
      </c>
      <c r="I144" s="47" t="str">
        <f>='ETPT Format DDG'!M144</f>
        <v/>
      </c>
      <c r="J144" s="47" t="str">
        <f>='ETPT Format DDG'!D144</f>
        <v/>
      </c>
      <c r="K144" s="47" t="s">
        <v>155</v>
      </c>
      <c r="L144" s="47" t="s">
        <v>838</v>
      </c>
      <c r="M144" s="47"/>
      <c r="N144" s="47">
        <v>1</v>
      </c>
      <c r="O144" s="47">
        <v>1</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1</v>
      </c>
      <c r="CU144" s="47">
        <v>1</v>
      </c>
      <c r="CV144" s="47">
        <v>0</v>
      </c>
      <c r="CW144" s="47">
        <v>0</v>
      </c>
      <c r="CX144" s="47">
        <v>0</v>
      </c>
      <c r="CY144" s="47">
        <v>0</v>
      </c>
      <c r="CZ144" s="47">
        <v>0</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row>
    <row r="145" spans="1:124" x14ac:dyDescent="0.25">
      <c r="A145" s="47" t="s">
        <v>839</v>
      </c>
      <c r="B145" s="47" t="s">
        <v>151</v>
      </c>
      <c r="C145" s="47" t="s">
        <v>840</v>
      </c>
      <c r="D145" s="47" t="s">
        <v>841</v>
      </c>
      <c r="E145" s="47" t="s">
        <v>842</v>
      </c>
      <c r="F145" s="47" t="s">
        <v>357</v>
      </c>
      <c r="G145" s="47" t="s">
        <v>388</v>
      </c>
      <c r="H145" s="47" t="str">
        <f>=IFERROR(VLOOKUP(A145,'ETPT Format DDG'!A:J,10,FALSE),"")</f>
        <v>0</v>
      </c>
      <c r="I145" s="47" t="str">
        <f>='ETPT Format DDG'!M145</f>
        <v/>
      </c>
      <c r="J145" s="47" t="str">
        <f>='ETPT Format DDG'!D145</f>
        <v/>
      </c>
      <c r="K145" s="47" t="s">
        <v>155</v>
      </c>
      <c r="L145" s="47" t="s">
        <v>843</v>
      </c>
      <c r="M145" s="47"/>
      <c r="N145" s="47">
        <v>0.1398</v>
      </c>
      <c r="O145" s="47">
        <v>0.1398</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0.1398</v>
      </c>
      <c r="CU145" s="47">
        <v>0.1398</v>
      </c>
      <c r="CV145" s="47">
        <v>0</v>
      </c>
      <c r="CW145" s="47">
        <v>0</v>
      </c>
      <c r="CX145" s="47">
        <v>0</v>
      </c>
      <c r="CY145" s="47">
        <v>0</v>
      </c>
      <c r="CZ145" s="47">
        <v>0</v>
      </c>
      <c r="DA145" s="47">
        <v>0</v>
      </c>
      <c r="DB145" s="47">
        <v>0</v>
      </c>
      <c r="DC145" s="47">
        <v>0</v>
      </c>
      <c r="DD145" s="47">
        <v>0</v>
      </c>
      <c r="DE145" s="47">
        <v>0</v>
      </c>
      <c r="DF145" s="47">
        <v>0.8391</v>
      </c>
      <c r="DG145" s="47">
        <v>0.6992</v>
      </c>
      <c r="DH145" s="47">
        <v>0</v>
      </c>
      <c r="DI145" s="47">
        <v>0</v>
      </c>
      <c r="DJ145" s="47">
        <v>0</v>
      </c>
      <c r="DK145" s="47">
        <v>0</v>
      </c>
      <c r="DL145" s="47">
        <v>0</v>
      </c>
      <c r="DM145" s="47">
        <v>0</v>
      </c>
      <c r="DN145" s="47">
        <v>0.1398</v>
      </c>
      <c r="DO145" s="47">
        <v>0</v>
      </c>
      <c r="DP145" s="47">
        <v>0</v>
      </c>
      <c r="DQ145" s="47">
        <v>0</v>
      </c>
      <c r="DR145" s="47">
        <v>0</v>
      </c>
    </row>
    <row r="146" spans="1:124" x14ac:dyDescent="0.25">
      <c r="A146" s="47" t="s">
        <v>844</v>
      </c>
      <c r="B146" s="47" t="s">
        <v>151</v>
      </c>
      <c r="C146" s="47" t="s">
        <v>845</v>
      </c>
      <c r="D146" s="47" t="s">
        <v>846</v>
      </c>
      <c r="E146" s="47" t="s">
        <v>847</v>
      </c>
      <c r="F146" s="47" t="s">
        <v>357</v>
      </c>
      <c r="G146" s="47" t="s">
        <v>487</v>
      </c>
      <c r="H146" s="47" t="str">
        <f>=IFERROR(VLOOKUP(A146,'ETPT Format DDG'!A:J,10,FALSE),"")</f>
        <v>0</v>
      </c>
      <c r="I146" s="47" t="str">
        <f>='ETPT Format DDG'!M146</f>
        <v/>
      </c>
      <c r="J146" s="47" t="str">
        <f>='ETPT Format DDG'!D146</f>
        <v/>
      </c>
      <c r="K146" s="47" t="s">
        <v>155</v>
      </c>
      <c r="L146" s="47" t="s">
        <v>848</v>
      </c>
      <c r="M146" s="47"/>
      <c r="N146" s="47">
        <v>0.8352</v>
      </c>
      <c r="O146" s="47">
        <v>0</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row>
    <row r="147" spans="1:124" x14ac:dyDescent="0.25">
      <c r="A147" s="47" t="s">
        <v>849</v>
      </c>
      <c r="B147" s="47" t="s">
        <v>151</v>
      </c>
      <c r="C147" s="47" t="s">
        <v>850</v>
      </c>
      <c r="D147" s="47" t="s">
        <v>851</v>
      </c>
      <c r="E147" s="47" t="s">
        <v>852</v>
      </c>
      <c r="F147" s="47" t="s">
        <v>357</v>
      </c>
      <c r="G147" s="47" t="s">
        <v>358</v>
      </c>
      <c r="H147" s="47" t="str">
        <f>=IFERROR(VLOOKUP(A147,'ETPT Format DDG'!A:J,10,FALSE),"")</f>
        <v>0</v>
      </c>
      <c r="I147" s="47" t="str">
        <f>='ETPT Format DDG'!M147</f>
        <v/>
      </c>
      <c r="J147" s="47" t="str">
        <f>='ETPT Format DDG'!D147</f>
        <v/>
      </c>
      <c r="K147" s="47" t="s">
        <v>155</v>
      </c>
      <c r="L147" s="47" t="s">
        <v>578</v>
      </c>
      <c r="M147" s="47"/>
      <c r="N147" s="47">
        <v>1</v>
      </c>
      <c r="O147" s="47">
        <v>0</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row>
    <row r="148" spans="1:124" x14ac:dyDescent="0.25">
      <c r="A148" s="47" t="s">
        <v>853</v>
      </c>
      <c r="B148" s="47" t="s">
        <v>151</v>
      </c>
      <c r="C148" s="47" t="s">
        <v>854</v>
      </c>
      <c r="D148" s="47" t="s">
        <v>855</v>
      </c>
      <c r="E148" s="47" t="s">
        <v>856</v>
      </c>
      <c r="F148" s="47" t="s">
        <v>357</v>
      </c>
      <c r="G148" s="47" t="s">
        <v>358</v>
      </c>
      <c r="H148" s="47" t="str">
        <f>=IFERROR(VLOOKUP(A148,'ETPT Format DDG'!A:J,10,FALSE),"")</f>
        <v>0</v>
      </c>
      <c r="I148" s="47" t="str">
        <f>='ETPT Format DDG'!M148</f>
        <v/>
      </c>
      <c r="J148" s="47" t="str">
        <f>='ETPT Format DDG'!D148</f>
        <v/>
      </c>
      <c r="K148" s="47" t="s">
        <v>155</v>
      </c>
      <c r="L148" s="47" t="s">
        <v>377</v>
      </c>
      <c r="M148" s="47"/>
      <c r="N148" s="47">
        <v>1</v>
      </c>
      <c r="O148" s="47">
        <v>0</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row>
    <row r="149" spans="1:124" x14ac:dyDescent="0.25">
      <c r="A149" s="47" t="s">
        <v>857</v>
      </c>
      <c r="B149" s="47" t="s">
        <v>151</v>
      </c>
      <c r="C149" s="47" t="s">
        <v>858</v>
      </c>
      <c r="D149" s="47" t="s">
        <v>859</v>
      </c>
      <c r="E149" s="47" t="s">
        <v>860</v>
      </c>
      <c r="F149" s="47" t="s">
        <v>357</v>
      </c>
      <c r="G149" s="47" t="s">
        <v>358</v>
      </c>
      <c r="H149" s="47" t="str">
        <f>=IFERROR(VLOOKUP(A149,'ETPT Format DDG'!A:J,10,FALSE),"")</f>
        <v>0</v>
      </c>
      <c r="I149" s="47" t="str">
        <f>='ETPT Format DDG'!M149</f>
        <v/>
      </c>
      <c r="J149" s="47" t="str">
        <f>='ETPT Format DDG'!D149</f>
        <v/>
      </c>
      <c r="K149" s="47" t="s">
        <v>155</v>
      </c>
      <c r="L149" s="47" t="s">
        <v>533</v>
      </c>
      <c r="M149" s="47"/>
      <c r="N149" s="47">
        <v>0.8</v>
      </c>
      <c r="O149" s="47">
        <v>0.8</v>
      </c>
      <c r="P149" s="47">
        <v>0</v>
      </c>
      <c r="Q149" s="47">
        <v>0</v>
      </c>
      <c r="R149" s="47">
        <v>0</v>
      </c>
      <c r="S149" s="47">
        <v>0</v>
      </c>
      <c r="T149" s="47">
        <v>0</v>
      </c>
      <c r="U149" s="47">
        <v>0</v>
      </c>
      <c r="V149" s="47">
        <v>0</v>
      </c>
      <c r="W149" s="47">
        <v>0</v>
      </c>
      <c r="X149" s="47">
        <v>0</v>
      </c>
      <c r="Y149" s="47">
        <v>0</v>
      </c>
      <c r="Z149" s="47">
        <v>0</v>
      </c>
      <c r="AA149" s="47">
        <v>0</v>
      </c>
      <c r="AB149" s="47">
        <v>0</v>
      </c>
      <c r="AC149" s="47">
        <v>0</v>
      </c>
      <c r="AD149" s="47">
        <v>0</v>
      </c>
      <c r="AE149" s="47">
        <v>0.8</v>
      </c>
      <c r="AF149" s="47">
        <v>0</v>
      </c>
      <c r="AG149" s="47">
        <v>0</v>
      </c>
      <c r="AH149" s="47">
        <v>0</v>
      </c>
      <c r="AI149" s="47">
        <v>0</v>
      </c>
      <c r="AJ149" s="47">
        <v>0</v>
      </c>
      <c r="AK149" s="47">
        <v>0.8</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0</v>
      </c>
      <c r="CZ149" s="47">
        <v>0</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c r="DR149" s="47">
        <v>0</v>
      </c>
    </row>
    <row r="150" spans="1:124" x14ac:dyDescent="0.25">
      <c r="A150" s="47" t="s">
        <v>861</v>
      </c>
      <c r="B150" s="47" t="s">
        <v>151</v>
      </c>
      <c r="C150" s="47" t="s">
        <v>862</v>
      </c>
      <c r="D150" s="47" t="s">
        <v>863</v>
      </c>
      <c r="E150" s="47" t="s">
        <v>864</v>
      </c>
      <c r="F150" s="47" t="s">
        <v>357</v>
      </c>
      <c r="G150" s="47" t="s">
        <v>388</v>
      </c>
      <c r="H150" s="47" t="str">
        <f>=IFERROR(VLOOKUP(A150,'ETPT Format DDG'!A:J,10,FALSE),"")</f>
        <v>0</v>
      </c>
      <c r="I150" s="47" t="str">
        <f>='ETPT Format DDG'!M150</f>
        <v/>
      </c>
      <c r="J150" s="47" t="str">
        <f>='ETPT Format DDG'!D150</f>
        <v/>
      </c>
      <c r="K150" s="47" t="s">
        <v>155</v>
      </c>
      <c r="L150" s="47" t="s">
        <v>865</v>
      </c>
      <c r="M150" s="47"/>
      <c r="N150" s="47">
        <v>1</v>
      </c>
      <c r="O150" s="47">
        <v>1</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1</v>
      </c>
      <c r="CU150" s="47">
        <v>0</v>
      </c>
      <c r="CV150" s="47">
        <v>0</v>
      </c>
      <c r="CW150" s="47">
        <v>0</v>
      </c>
      <c r="CX150" s="47">
        <v>0</v>
      </c>
      <c r="CY150" s="47">
        <v>0</v>
      </c>
      <c r="CZ150" s="47">
        <v>0</v>
      </c>
      <c r="DA150" s="47">
        <v>0</v>
      </c>
      <c r="DB150" s="47">
        <v>0</v>
      </c>
      <c r="DC150" s="47">
        <v>0</v>
      </c>
      <c r="DD150" s="47">
        <v>0</v>
      </c>
      <c r="DE150" s="47">
        <v>1</v>
      </c>
      <c r="DF150" s="47">
        <v>0</v>
      </c>
      <c r="DG150" s="47">
        <v>0</v>
      </c>
      <c r="DH150" s="47">
        <v>0</v>
      </c>
      <c r="DI150" s="47">
        <v>0</v>
      </c>
      <c r="DJ150" s="47">
        <v>0</v>
      </c>
      <c r="DK150" s="47">
        <v>0</v>
      </c>
      <c r="DL150" s="47">
        <v>0</v>
      </c>
      <c r="DM150" s="47">
        <v>0</v>
      </c>
      <c r="DN150" s="47">
        <v>0</v>
      </c>
      <c r="DO150" s="47">
        <v>0</v>
      </c>
      <c r="DP150" s="47">
        <v>0</v>
      </c>
      <c r="DQ150" s="47">
        <v>0</v>
      </c>
      <c r="DR150" s="47">
        <v>0</v>
      </c>
    </row>
    <row r="151" spans="1:124" x14ac:dyDescent="0.25">
      <c r="A151" s="47" t="s">
        <v>866</v>
      </c>
      <c r="B151" s="47" t="s">
        <v>151</v>
      </c>
      <c r="C151" s="47" t="s">
        <v>867</v>
      </c>
      <c r="D151" s="47" t="s">
        <v>868</v>
      </c>
      <c r="E151" s="47" t="s">
        <v>869</v>
      </c>
      <c r="F151" s="47" t="s">
        <v>357</v>
      </c>
      <c r="G151" s="47" t="s">
        <v>358</v>
      </c>
      <c r="H151" s="47" t="str">
        <f>=IFERROR(VLOOKUP(A151,'ETPT Format DDG'!A:J,10,FALSE),"")</f>
        <v>0</v>
      </c>
      <c r="I151" s="47" t="str">
        <f>='ETPT Format DDG'!M151</f>
        <v/>
      </c>
      <c r="J151" s="47" t="str">
        <f>='ETPT Format DDG'!D151</f>
        <v/>
      </c>
      <c r="K151" s="47" t="s">
        <v>155</v>
      </c>
      <c r="L151" s="47" t="s">
        <v>870</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row>
    <row r="152" spans="1:124" x14ac:dyDescent="0.25">
      <c r="A152" s="47" t="s">
        <v>871</v>
      </c>
      <c r="B152" s="47" t="s">
        <v>151</v>
      </c>
      <c r="C152" s="47" t="s">
        <v>872</v>
      </c>
      <c r="D152" s="47" t="s">
        <v>873</v>
      </c>
      <c r="E152" s="47" t="s">
        <v>874</v>
      </c>
      <c r="F152" s="47" t="s">
        <v>357</v>
      </c>
      <c r="G152" s="47" t="s">
        <v>358</v>
      </c>
      <c r="H152" s="47" t="str">
        <f>=IFERROR(VLOOKUP(A152,'ETPT Format DDG'!A:J,10,FALSE),"")</f>
        <v>0</v>
      </c>
      <c r="I152" s="47" t="str">
        <f>='ETPT Format DDG'!M152</f>
        <v/>
      </c>
      <c r="J152" s="47" t="str">
        <f>='ETPT Format DDG'!D152</f>
        <v/>
      </c>
      <c r="K152" s="47" t="s">
        <v>155</v>
      </c>
      <c r="L152" s="47" t="s">
        <v>875</v>
      </c>
      <c r="M152" s="47"/>
      <c r="N152" s="47">
        <v>1</v>
      </c>
      <c r="O152" s="47">
        <v>1</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1</v>
      </c>
      <c r="CU152" s="47">
        <v>0.1</v>
      </c>
      <c r="CV152" s="47">
        <v>0</v>
      </c>
      <c r="CW152" s="47">
        <v>0</v>
      </c>
      <c r="CX152" s="47">
        <v>0</v>
      </c>
      <c r="CY152" s="47">
        <v>0</v>
      </c>
      <c r="CZ152" s="47">
        <v>0</v>
      </c>
      <c r="DA152" s="47">
        <v>0</v>
      </c>
      <c r="DB152" s="47">
        <v>0.9</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row>
    <row r="153" spans="1:124" x14ac:dyDescent="0.25">
      <c r="A153" s="47" t="s">
        <v>876</v>
      </c>
      <c r="B153" s="47" t="s">
        <v>151</v>
      </c>
      <c r="C153" s="47" t="s">
        <v>877</v>
      </c>
      <c r="D153" s="47" t="s">
        <v>878</v>
      </c>
      <c r="E153" s="47" t="s">
        <v>879</v>
      </c>
      <c r="F153" s="47" t="s">
        <v>357</v>
      </c>
      <c r="G153" s="47" t="s">
        <v>388</v>
      </c>
      <c r="H153" s="47" t="str">
        <f>=IFERROR(VLOOKUP(A153,'ETPT Format DDG'!A:J,10,FALSE),"")</f>
        <v>0</v>
      </c>
      <c r="I153" s="47" t="str">
        <f>='ETPT Format DDG'!M153</f>
        <v/>
      </c>
      <c r="J153" s="47" t="str">
        <f>='ETPT Format DDG'!D153</f>
        <v/>
      </c>
      <c r="K153" s="47" t="s">
        <v>155</v>
      </c>
      <c r="L153" s="47" t="s">
        <v>880</v>
      </c>
      <c r="M153" s="47"/>
      <c r="N153" s="47">
        <v>1</v>
      </c>
      <c r="O153" s="47">
        <v>0</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row>
    <row r="154" spans="1:124" x14ac:dyDescent="0.25">
      <c r="A154" s="47" t="s">
        <v>881</v>
      </c>
      <c r="B154" s="47" t="s">
        <v>151</v>
      </c>
      <c r="C154" s="47" t="s">
        <v>882</v>
      </c>
      <c r="D154" s="47" t="s">
        <v>883</v>
      </c>
      <c r="E154" s="47" t="s">
        <v>884</v>
      </c>
      <c r="F154" s="47" t="s">
        <v>357</v>
      </c>
      <c r="G154" s="47" t="s">
        <v>358</v>
      </c>
      <c r="H154" s="47" t="str">
        <f>=IFERROR(VLOOKUP(A154,'ETPT Format DDG'!A:J,10,FALSE),"")</f>
        <v>0</v>
      </c>
      <c r="I154" s="47" t="str">
        <f>='ETPT Format DDG'!M154</f>
        <v/>
      </c>
      <c r="J154" s="47" t="str">
        <f>='ETPT Format DDG'!D154</f>
        <v/>
      </c>
      <c r="K154" s="47" t="s">
        <v>155</v>
      </c>
      <c r="L154" s="47" t="s">
        <v>573</v>
      </c>
      <c r="M154" s="47"/>
      <c r="N154" s="47">
        <v>1</v>
      </c>
      <c r="O154" s="47">
        <v>0</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row>
    <row r="155" spans="1:124" x14ac:dyDescent="0.25">
      <c r="A155" s="47" t="s">
        <v>885</v>
      </c>
      <c r="B155" s="47" t="s">
        <v>151</v>
      </c>
      <c r="C155" s="47" t="s">
        <v>886</v>
      </c>
      <c r="D155" s="47" t="s">
        <v>887</v>
      </c>
      <c r="E155" s="47" t="s">
        <v>888</v>
      </c>
      <c r="F155" s="47" t="s">
        <v>357</v>
      </c>
      <c r="G155" s="47" t="s">
        <v>388</v>
      </c>
      <c r="H155" s="47" t="str">
        <f>=IFERROR(VLOOKUP(A155,'ETPT Format DDG'!A:J,10,FALSE),"")</f>
        <v>0</v>
      </c>
      <c r="I155" s="47" t="str">
        <f>='ETPT Format DDG'!M155</f>
        <v/>
      </c>
      <c r="J155" s="47" t="str">
        <f>='ETPT Format DDG'!D155</f>
        <v/>
      </c>
      <c r="K155" s="47" t="s">
        <v>155</v>
      </c>
      <c r="L155" s="47" t="s">
        <v>875</v>
      </c>
      <c r="M155" s="47"/>
      <c r="N155" s="47">
        <v>1</v>
      </c>
      <c r="O155" s="47">
        <v>0</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row>
    <row r="156" spans="1:124" x14ac:dyDescent="0.25">
      <c r="A156" s="47" t="s">
        <v>889</v>
      </c>
      <c r="B156" s="47" t="s">
        <v>151</v>
      </c>
      <c r="C156" s="47" t="s">
        <v>890</v>
      </c>
      <c r="D156" s="47" t="s">
        <v>891</v>
      </c>
      <c r="E156" s="47" t="s">
        <v>892</v>
      </c>
      <c r="F156" s="47" t="s">
        <v>357</v>
      </c>
      <c r="G156" s="47" t="s">
        <v>358</v>
      </c>
      <c r="H156" s="47" t="str">
        <f>=IFERROR(VLOOKUP(A156,'ETPT Format DDG'!A:J,10,FALSE),"")</f>
        <v>0</v>
      </c>
      <c r="I156" s="47" t="str">
        <f>='ETPT Format DDG'!M156</f>
        <v/>
      </c>
      <c r="J156" s="47" t="str">
        <f>='ETPT Format DDG'!D156</f>
        <v/>
      </c>
      <c r="K156" s="47" t="s">
        <v>155</v>
      </c>
      <c r="L156" s="47" t="s">
        <v>893</v>
      </c>
      <c r="M156" s="47"/>
      <c r="N156" s="47">
        <v>1</v>
      </c>
      <c r="O156" s="47">
        <v>1</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1</v>
      </c>
      <c r="BM156" s="47">
        <v>0.5</v>
      </c>
      <c r="BN156" s="47">
        <v>0.5</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row>
    <row r="157" spans="1:124" x14ac:dyDescent="0.25">
      <c r="A157" s="47" t="s">
        <v>894</v>
      </c>
      <c r="B157" s="47" t="s">
        <v>151</v>
      </c>
      <c r="C157" s="47" t="s">
        <v>895</v>
      </c>
      <c r="D157" s="47" t="s">
        <v>896</v>
      </c>
      <c r="E157" s="47" t="s">
        <v>897</v>
      </c>
      <c r="F157" s="47" t="s">
        <v>357</v>
      </c>
      <c r="G157" s="47" t="s">
        <v>358</v>
      </c>
      <c r="H157" s="47" t="str">
        <f>=IFERROR(VLOOKUP(A157,'ETPT Format DDG'!A:J,10,FALSE),"")</f>
        <v>0</v>
      </c>
      <c r="I157" s="47" t="str">
        <f>='ETPT Format DDG'!M157</f>
        <v/>
      </c>
      <c r="J157" s="47" t="str">
        <f>='ETPT Format DDG'!D157</f>
        <v/>
      </c>
      <c r="K157" s="47" t="s">
        <v>155</v>
      </c>
      <c r="L157" s="47" t="s">
        <v>898</v>
      </c>
      <c r="M157" s="47"/>
      <c r="N157" s="47">
        <v>0.8</v>
      </c>
      <c r="O157" s="47">
        <v>0.8</v>
      </c>
      <c r="P157" s="47">
        <v>0.4785</v>
      </c>
      <c r="Q157" s="47">
        <v>0.4</v>
      </c>
      <c r="R157" s="47">
        <v>0</v>
      </c>
      <c r="S157" s="47">
        <v>0</v>
      </c>
      <c r="T157" s="47">
        <v>0.0785</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0.3215</v>
      </c>
      <c r="CU157" s="47">
        <v>0.08</v>
      </c>
      <c r="CV157" s="47">
        <v>0</v>
      </c>
      <c r="CW157" s="47">
        <v>0</v>
      </c>
      <c r="CX157" s="47">
        <v>0</v>
      </c>
      <c r="CY157" s="47">
        <v>0</v>
      </c>
      <c r="CZ157" s="47">
        <v>0.2415</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row>
    <row r="158" spans="1:124" x14ac:dyDescent="0.25">
      <c r="A158" s="47" t="s">
        <v>899</v>
      </c>
      <c r="B158" s="47" t="s">
        <v>151</v>
      </c>
      <c r="C158" s="47" t="s">
        <v>900</v>
      </c>
      <c r="D158" s="47" t="s">
        <v>901</v>
      </c>
      <c r="E158" s="47" t="s">
        <v>902</v>
      </c>
      <c r="F158" s="47" t="s">
        <v>357</v>
      </c>
      <c r="G158" s="47" t="s">
        <v>358</v>
      </c>
      <c r="H158" s="47" t="str">
        <f>=IFERROR(VLOOKUP(A158,'ETPT Format DDG'!A:J,10,FALSE),"")</f>
        <v>0</v>
      </c>
      <c r="I158" s="47" t="str">
        <f>='ETPT Format DDG'!M158</f>
        <v/>
      </c>
      <c r="J158" s="47" t="str">
        <f>='ETPT Format DDG'!D158</f>
        <v/>
      </c>
      <c r="K158" s="47" t="s">
        <v>155</v>
      </c>
      <c r="L158" s="47" t="s">
        <v>533</v>
      </c>
      <c r="M158" s="47"/>
      <c r="N158" s="47">
        <v>1</v>
      </c>
      <c r="O158" s="47">
        <v>1</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1</v>
      </c>
      <c r="CU158" s="47">
        <v>0</v>
      </c>
      <c r="CV158" s="47">
        <v>0</v>
      </c>
      <c r="CW158" s="47">
        <v>0</v>
      </c>
      <c r="CX158" s="47">
        <v>1</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row>
    <row r="159" spans="1:124" x14ac:dyDescent="0.25">
      <c r="A159" s="47" t="s">
        <v>903</v>
      </c>
      <c r="B159" s="47" t="s">
        <v>151</v>
      </c>
      <c r="C159" s="47" t="s">
        <v>904</v>
      </c>
      <c r="D159" s="47" t="s">
        <v>905</v>
      </c>
      <c r="E159" s="47" t="s">
        <v>906</v>
      </c>
      <c r="F159" s="47" t="s">
        <v>357</v>
      </c>
      <c r="G159" s="47" t="s">
        <v>757</v>
      </c>
      <c r="H159" s="47" t="str">
        <f>=IFERROR(VLOOKUP(A159,'ETPT Format DDG'!A:J,10,FALSE),"")</f>
        <v>0</v>
      </c>
      <c r="I159" s="47" t="str">
        <f>='ETPT Format DDG'!M159</f>
        <v/>
      </c>
      <c r="J159" s="47" t="str">
        <f>='ETPT Format DDG'!D159</f>
        <v/>
      </c>
      <c r="K159" s="47" t="s">
        <v>155</v>
      </c>
      <c r="L159" s="47" t="s">
        <v>634</v>
      </c>
      <c r="M159" s="47" t="s">
        <v>170</v>
      </c>
      <c r="N159" s="47">
        <v>0.1764</v>
      </c>
      <c r="O159" s="47">
        <v>0.1764</v>
      </c>
      <c r="P159" s="47">
        <v>0</v>
      </c>
      <c r="Q159" s="47">
        <v>0</v>
      </c>
      <c r="R159" s="47">
        <v>0</v>
      </c>
      <c r="S159" s="47">
        <v>0</v>
      </c>
      <c r="T159" s="47">
        <v>0</v>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0.1764</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0.0006</v>
      </c>
      <c r="DG159" s="47">
        <v>0</v>
      </c>
      <c r="DH159" s="47">
        <v>0</v>
      </c>
      <c r="DI159" s="47">
        <v>0</v>
      </c>
      <c r="DJ159" s="47">
        <v>0</v>
      </c>
      <c r="DK159" s="47">
        <v>0</v>
      </c>
      <c r="DL159" s="47">
        <v>0</v>
      </c>
      <c r="DM159" s="47">
        <v>0</v>
      </c>
      <c r="DN159" s="47">
        <v>0</v>
      </c>
      <c r="DO159" s="47">
        <v>0</v>
      </c>
      <c r="DP159" s="47">
        <v>0</v>
      </c>
      <c r="DQ159" s="47">
        <v>0</v>
      </c>
      <c r="DR159" s="47">
        <v>0.0006</v>
      </c>
    </row>
    <row r="160" spans="1:124" x14ac:dyDescent="0.25">
      <c r="A160" s="47" t="s">
        <v>907</v>
      </c>
      <c r="B160" s="47" t="s">
        <v>151</v>
      </c>
      <c r="C160" s="47" t="s">
        <v>908</v>
      </c>
      <c r="D160" s="47" t="s">
        <v>909</v>
      </c>
      <c r="E160" s="47" t="s">
        <v>910</v>
      </c>
      <c r="F160" s="47" t="s">
        <v>357</v>
      </c>
      <c r="G160" s="47" t="s">
        <v>503</v>
      </c>
      <c r="H160" s="47" t="str">
        <f>=IFERROR(VLOOKUP(A160,'ETPT Format DDG'!A:J,10,FALSE),"")</f>
        <v>0</v>
      </c>
      <c r="I160" s="47" t="str">
        <f>='ETPT Format DDG'!M160</f>
        <v/>
      </c>
      <c r="J160" s="47" t="str">
        <f>='ETPT Format DDG'!D160</f>
        <v/>
      </c>
      <c r="K160" s="47" t="s">
        <v>155</v>
      </c>
      <c r="L160" s="47" t="s">
        <v>911</v>
      </c>
      <c r="M160" s="47" t="s">
        <v>912</v>
      </c>
      <c r="N160" s="47">
        <v>0.4176</v>
      </c>
      <c r="O160" s="47">
        <v>0.4176</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0.4176</v>
      </c>
      <c r="AF160" s="47">
        <v>0</v>
      </c>
      <c r="AG160" s="47">
        <v>0</v>
      </c>
      <c r="AH160" s="47">
        <v>0</v>
      </c>
      <c r="AI160" s="47">
        <v>0</v>
      </c>
      <c r="AJ160" s="47">
        <v>0</v>
      </c>
      <c r="AK160" s="47">
        <v>0.4176</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row>
    <row r="161" spans="1:124" x14ac:dyDescent="0.25">
      <c r="A161" s="47" t="s">
        <v>913</v>
      </c>
      <c r="B161" s="47" t="s">
        <v>151</v>
      </c>
      <c r="C161" s="47" t="s">
        <v>914</v>
      </c>
      <c r="D161" s="47" t="s">
        <v>915</v>
      </c>
      <c r="E161" s="47" t="s">
        <v>916</v>
      </c>
      <c r="F161" s="47" t="s">
        <v>357</v>
      </c>
      <c r="G161" s="47" t="s">
        <v>358</v>
      </c>
      <c r="H161" s="47" t="str">
        <f>=IFERROR(VLOOKUP(A161,'ETPT Format DDG'!A:J,10,FALSE),"")</f>
        <v>0</v>
      </c>
      <c r="I161" s="47" t="str">
        <f>='ETPT Format DDG'!M161</f>
        <v/>
      </c>
      <c r="J161" s="47" t="str">
        <f>='ETPT Format DDG'!D161</f>
        <v/>
      </c>
      <c r="K161" s="47" t="s">
        <v>155</v>
      </c>
      <c r="L161" s="47" t="s">
        <v>818</v>
      </c>
      <c r="M161" s="47"/>
      <c r="N161" s="47">
        <v>1</v>
      </c>
      <c r="O161" s="47">
        <v>1</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0.3</v>
      </c>
      <c r="BP161" s="47">
        <v>0</v>
      </c>
      <c r="BQ161" s="47">
        <v>0</v>
      </c>
      <c r="BR161" s="47">
        <v>0</v>
      </c>
      <c r="BS161" s="47">
        <v>0</v>
      </c>
      <c r="BT161" s="47">
        <v>0</v>
      </c>
      <c r="BU161" s="47">
        <v>0.3</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0.7</v>
      </c>
      <c r="CU161" s="47">
        <v>0</v>
      </c>
      <c r="CV161" s="47">
        <v>0</v>
      </c>
      <c r="CW161" s="47">
        <v>0</v>
      </c>
      <c r="CX161" s="47">
        <v>0</v>
      </c>
      <c r="CY161" s="47">
        <v>0</v>
      </c>
      <c r="CZ161" s="47">
        <v>0</v>
      </c>
      <c r="DA161" s="47">
        <v>0</v>
      </c>
      <c r="DB161" s="47">
        <v>0</v>
      </c>
      <c r="DC161" s="47">
        <v>0</v>
      </c>
      <c r="DD161" s="47">
        <v>0</v>
      </c>
      <c r="DE161" s="47">
        <v>0.7</v>
      </c>
      <c r="DF161" s="47">
        <v>0</v>
      </c>
      <c r="DG161" s="47">
        <v>0</v>
      </c>
      <c r="DH161" s="47">
        <v>0</v>
      </c>
      <c r="DI161" s="47">
        <v>0</v>
      </c>
      <c r="DJ161" s="47">
        <v>0</v>
      </c>
      <c r="DK161" s="47">
        <v>0</v>
      </c>
      <c r="DL161" s="47">
        <v>0</v>
      </c>
      <c r="DM161" s="47">
        <v>0</v>
      </c>
      <c r="DN161" s="47">
        <v>0</v>
      </c>
      <c r="DO161" s="47">
        <v>0</v>
      </c>
      <c r="DP161" s="47">
        <v>0</v>
      </c>
      <c r="DQ161" s="47">
        <v>0</v>
      </c>
      <c r="DR161" s="47">
        <v>0</v>
      </c>
    </row>
    <row r="162" spans="1:124" x14ac:dyDescent="0.25">
      <c r="A162" s="47" t="s">
        <v>917</v>
      </c>
      <c r="B162" s="47" t="s">
        <v>151</v>
      </c>
      <c r="C162" s="47" t="s">
        <v>918</v>
      </c>
      <c r="D162" s="47" t="s">
        <v>919</v>
      </c>
      <c r="E162" s="47" t="s">
        <v>920</v>
      </c>
      <c r="F162" s="47" t="s">
        <v>357</v>
      </c>
      <c r="G162" s="47" t="s">
        <v>358</v>
      </c>
      <c r="H162" s="47" t="str">
        <f>=IFERROR(VLOOKUP(A162,'ETPT Format DDG'!A:J,10,FALSE),"")</f>
        <v>0</v>
      </c>
      <c r="I162" s="47" t="str">
        <f>='ETPT Format DDG'!M162</f>
        <v/>
      </c>
      <c r="J162" s="47" t="str">
        <f>='ETPT Format DDG'!D162</f>
        <v/>
      </c>
      <c r="K162" s="47" t="s">
        <v>155</v>
      </c>
      <c r="L162" s="47" t="s">
        <v>377</v>
      </c>
      <c r="M162" s="47"/>
      <c r="N162" s="47">
        <v>1</v>
      </c>
      <c r="O162" s="47">
        <v>0</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row>
    <row r="163" spans="1:124" x14ac:dyDescent="0.25">
      <c r="A163" s="47" t="s">
        <v>921</v>
      </c>
      <c r="B163" s="47" t="s">
        <v>151</v>
      </c>
      <c r="C163" s="47" t="s">
        <v>922</v>
      </c>
      <c r="D163" s="47" t="s">
        <v>923</v>
      </c>
      <c r="E163" s="47" t="s">
        <v>924</v>
      </c>
      <c r="F163" s="47" t="s">
        <v>357</v>
      </c>
      <c r="G163" s="47" t="s">
        <v>388</v>
      </c>
      <c r="H163" s="47" t="str">
        <f>=IFERROR(VLOOKUP(A163,'ETPT Format DDG'!A:J,10,FALSE),"")</f>
        <v>0</v>
      </c>
      <c r="I163" s="47" t="str">
        <f>='ETPT Format DDG'!M163</f>
        <v/>
      </c>
      <c r="J163" s="47" t="str">
        <f>='ETPT Format DDG'!D163</f>
        <v/>
      </c>
      <c r="K163" s="47" t="s">
        <v>155</v>
      </c>
      <c r="L163" s="47" t="s">
        <v>573</v>
      </c>
      <c r="M163" s="47"/>
      <c r="N163" s="47">
        <v>0.9119</v>
      </c>
      <c r="O163" s="47">
        <v>0.9119</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0.9119</v>
      </c>
      <c r="BM163" s="47">
        <v>0.9119</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0.0881</v>
      </c>
      <c r="DG163" s="47">
        <v>0</v>
      </c>
      <c r="DH163" s="47">
        <v>0</v>
      </c>
      <c r="DI163" s="47">
        <v>0</v>
      </c>
      <c r="DJ163" s="47">
        <v>0</v>
      </c>
      <c r="DK163" s="47">
        <v>0.0881</v>
      </c>
      <c r="DL163" s="47">
        <v>0</v>
      </c>
      <c r="DM163" s="47">
        <v>0</v>
      </c>
      <c r="DN163" s="47">
        <v>0</v>
      </c>
      <c r="DO163" s="47">
        <v>0</v>
      </c>
      <c r="DP163" s="47">
        <v>0</v>
      </c>
      <c r="DQ163" s="47">
        <v>0</v>
      </c>
      <c r="DR163" s="47">
        <v>0</v>
      </c>
    </row>
    <row r="164" spans="1:124" x14ac:dyDescent="0.25">
      <c r="A164" s="47" t="s">
        <v>925</v>
      </c>
      <c r="B164" s="47" t="s">
        <v>151</v>
      </c>
      <c r="C164" s="47" t="s">
        <v>926</v>
      </c>
      <c r="D164" s="47" t="s">
        <v>927</v>
      </c>
      <c r="E164" s="47" t="s">
        <v>928</v>
      </c>
      <c r="F164" s="47" t="s">
        <v>357</v>
      </c>
      <c r="G164" s="47" t="s">
        <v>358</v>
      </c>
      <c r="H164" s="47" t="str">
        <f>=IFERROR(VLOOKUP(A164,'ETPT Format DDG'!A:J,10,FALSE),"")</f>
        <v>0</v>
      </c>
      <c r="I164" s="47" t="str">
        <f>='ETPT Format DDG'!M164</f>
        <v/>
      </c>
      <c r="J164" s="47" t="str">
        <f>='ETPT Format DDG'!D164</f>
        <v/>
      </c>
      <c r="K164" s="47" t="s">
        <v>155</v>
      </c>
      <c r="L164" s="47" t="s">
        <v>472</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row>
    <row r="165" spans="1:124" x14ac:dyDescent="0.25">
      <c r="A165" s="47" t="s">
        <v>929</v>
      </c>
      <c r="B165" s="47" t="s">
        <v>151</v>
      </c>
      <c r="C165" s="47" t="s">
        <v>930</v>
      </c>
      <c r="D165" s="47" t="s">
        <v>931</v>
      </c>
      <c r="E165" s="47" t="s">
        <v>932</v>
      </c>
      <c r="F165" s="47" t="s">
        <v>357</v>
      </c>
      <c r="G165" s="47" t="s">
        <v>388</v>
      </c>
      <c r="H165" s="47" t="str">
        <f>=IFERROR(VLOOKUP(A165,'ETPT Format DDG'!A:J,10,FALSE),"")</f>
        <v>0</v>
      </c>
      <c r="I165" s="47" t="str">
        <f>='ETPT Format DDG'!M165</f>
        <v/>
      </c>
      <c r="J165" s="47" t="str">
        <f>='ETPT Format DDG'!D165</f>
        <v/>
      </c>
      <c r="K165" s="47" t="s">
        <v>155</v>
      </c>
      <c r="L165" s="47" t="s">
        <v>377</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row>
    <row r="166" spans="1:124" x14ac:dyDescent="0.25">
      <c r="A166" s="47" t="s">
        <v>933</v>
      </c>
      <c r="B166" s="47" t="s">
        <v>151</v>
      </c>
      <c r="C166" s="47" t="s">
        <v>934</v>
      </c>
      <c r="D166" s="47" t="s">
        <v>935</v>
      </c>
      <c r="E166" s="47" t="s">
        <v>936</v>
      </c>
      <c r="F166" s="47" t="s">
        <v>357</v>
      </c>
      <c r="G166" s="47" t="s">
        <v>388</v>
      </c>
      <c r="H166" s="47" t="str">
        <f>=IFERROR(VLOOKUP(A166,'ETPT Format DDG'!A:J,10,FALSE),"")</f>
        <v>0</v>
      </c>
      <c r="I166" s="47" t="str">
        <f>='ETPT Format DDG'!M166</f>
        <v/>
      </c>
      <c r="J166" s="47" t="str">
        <f>='ETPT Format DDG'!D166</f>
        <v/>
      </c>
      <c r="K166" s="47" t="s">
        <v>155</v>
      </c>
      <c r="L166" s="47" t="s">
        <v>937</v>
      </c>
      <c r="M166" s="47"/>
      <c r="N166" s="47">
        <v>0.9</v>
      </c>
      <c r="O166" s="47">
        <v>0</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row>
    <row r="167" spans="1:124" x14ac:dyDescent="0.25">
      <c r="A167" s="47" t="s">
        <v>938</v>
      </c>
      <c r="B167" s="47" t="s">
        <v>151</v>
      </c>
      <c r="C167" s="47" t="s">
        <v>939</v>
      </c>
      <c r="D167" s="47" t="s">
        <v>940</v>
      </c>
      <c r="E167" s="47" t="s">
        <v>941</v>
      </c>
      <c r="F167" s="47" t="s">
        <v>942</v>
      </c>
      <c r="G167" s="47" t="s">
        <v>943</v>
      </c>
      <c r="H167" s="47" t="str">
        <f>=IFERROR(VLOOKUP(A167,'ETPT Format DDG'!A:J,10,FALSE),"")</f>
        <v>0</v>
      </c>
      <c r="I167" s="47" t="str">
        <f>='ETPT Format DDG'!M167</f>
        <v/>
      </c>
      <c r="J167" s="47" t="str">
        <f>='ETPT Format DDG'!D167</f>
        <v/>
      </c>
      <c r="K167" s="47" t="s">
        <v>155</v>
      </c>
      <c r="L167" s="47" t="s">
        <v>944</v>
      </c>
      <c r="M167" s="47"/>
      <c r="N167" s="47">
        <v>0.4103</v>
      </c>
      <c r="O167" s="47">
        <v>0.4103</v>
      </c>
      <c r="P167" s="47">
        <v>0</v>
      </c>
      <c r="Q167" s="47">
        <v>0</v>
      </c>
      <c r="R167" s="47">
        <v>0</v>
      </c>
      <c r="S167" s="47">
        <v>0</v>
      </c>
      <c r="T167" s="47">
        <v>0</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0.3488</v>
      </c>
      <c r="BP167" s="47">
        <v>0</v>
      </c>
      <c r="BQ167" s="47">
        <v>0.1231</v>
      </c>
      <c r="BR167" s="47">
        <v>0</v>
      </c>
      <c r="BS167" s="47">
        <v>0</v>
      </c>
      <c r="BT167" s="47">
        <v>0</v>
      </c>
      <c r="BU167" s="47">
        <v>0</v>
      </c>
      <c r="BV167" s="47">
        <v>0</v>
      </c>
      <c r="BW167" s="47">
        <v>0.041</v>
      </c>
      <c r="BX167" s="47">
        <v>0.1641</v>
      </c>
      <c r="BY167" s="47">
        <v>0</v>
      </c>
      <c r="BZ167" s="47">
        <v>0</v>
      </c>
      <c r="CA167" s="47">
        <v>0.0205</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0.0616</v>
      </c>
      <c r="CU167" s="47">
        <v>0.0616</v>
      </c>
      <c r="CV167" s="47">
        <v>0</v>
      </c>
      <c r="CW167" s="47">
        <v>0</v>
      </c>
      <c r="CX167" s="47">
        <v>0</v>
      </c>
      <c r="CY167" s="47">
        <v>0</v>
      </c>
      <c r="CZ167" s="47">
        <v>0</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row>
    <row r="168" spans="1:124" x14ac:dyDescent="0.25">
      <c r="A168" s="47" t="s">
        <v>945</v>
      </c>
      <c r="B168" s="47" t="s">
        <v>151</v>
      </c>
      <c r="C168" s="47" t="s">
        <v>946</v>
      </c>
      <c r="D168" s="47" t="s">
        <v>947</v>
      </c>
      <c r="E168" s="47" t="s">
        <v>948</v>
      </c>
      <c r="F168" s="47" t="s">
        <v>942</v>
      </c>
      <c r="G168" s="47" t="s">
        <v>943</v>
      </c>
      <c r="H168" s="47" t="str">
        <f>=IFERROR(VLOOKUP(A168,'ETPT Format DDG'!A:J,10,FALSE),"")</f>
        <v>0</v>
      </c>
      <c r="I168" s="47" t="str">
        <f>='ETPT Format DDG'!M168</f>
        <v/>
      </c>
      <c r="J168" s="47" t="str">
        <f>='ETPT Format DDG'!D168</f>
        <v/>
      </c>
      <c r="K168" s="47" t="s">
        <v>155</v>
      </c>
      <c r="L168" s="47" t="s">
        <v>176</v>
      </c>
      <c r="M168" s="47"/>
      <c r="N168" s="47">
        <v>1</v>
      </c>
      <c r="O168" s="47">
        <v>0</v>
      </c>
      <c r="P168" s="47">
        <v>0</v>
      </c>
      <c r="Q168" s="47">
        <v>0</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row>
    <row r="169" spans="1:124" x14ac:dyDescent="0.25">
      <c r="A169" s="47" t="s">
        <v>949</v>
      </c>
      <c r="B169" s="47" t="s">
        <v>151</v>
      </c>
      <c r="C169" s="47" t="s">
        <v>950</v>
      </c>
      <c r="D169" s="47" t="s">
        <v>951</v>
      </c>
      <c r="E169" s="47" t="s">
        <v>952</v>
      </c>
      <c r="F169" s="47" t="s">
        <v>942</v>
      </c>
      <c r="G169" s="47" t="s">
        <v>943</v>
      </c>
      <c r="H169" s="47" t="str">
        <f>=IFERROR(VLOOKUP(A169,'ETPT Format DDG'!A:J,10,FALSE),"")</f>
        <v>0</v>
      </c>
      <c r="I169" s="47" t="str">
        <f>='ETPT Format DDG'!M169</f>
        <v/>
      </c>
      <c r="J169" s="47" t="str">
        <f>='ETPT Format DDG'!D169</f>
        <v/>
      </c>
      <c r="K169" s="47" t="s">
        <v>155</v>
      </c>
      <c r="L169" s="47" t="s">
        <v>953</v>
      </c>
      <c r="M169" s="47"/>
      <c r="N169" s="47">
        <v>1</v>
      </c>
      <c r="O169" s="47">
        <v>1</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1</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0.65</v>
      </c>
      <c r="BE169" s="47">
        <v>0.25</v>
      </c>
      <c r="BF169" s="47">
        <v>0</v>
      </c>
      <c r="BG169" s="47">
        <v>0.1</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row>
    <row r="170" spans="1:124" x14ac:dyDescent="0.25">
      <c r="A170" s="47" t="s">
        <v>954</v>
      </c>
      <c r="B170" s="47" t="s">
        <v>151</v>
      </c>
      <c r="C170" s="47" t="s">
        <v>955</v>
      </c>
      <c r="D170" s="47" t="s">
        <v>956</v>
      </c>
      <c r="E170" s="47" t="s">
        <v>633</v>
      </c>
      <c r="F170" s="47" t="s">
        <v>942</v>
      </c>
      <c r="G170" s="47" t="s">
        <v>957</v>
      </c>
      <c r="H170" s="47" t="str">
        <f>=IFERROR(VLOOKUP(A170,'ETPT Format DDG'!A:J,10,FALSE),"")</f>
        <v>0</v>
      </c>
      <c r="I170" s="47" t="str">
        <f>='ETPT Format DDG'!M170</f>
        <v/>
      </c>
      <c r="J170" s="47" t="str">
        <f>='ETPT Format DDG'!D170</f>
        <v/>
      </c>
      <c r="K170" s="47" t="s">
        <v>155</v>
      </c>
      <c r="L170" s="47" t="s">
        <v>596</v>
      </c>
      <c r="M170" s="47" t="s">
        <v>170</v>
      </c>
      <c r="N170" s="47">
        <v>0.4</v>
      </c>
      <c r="O170" s="47">
        <v>0.4</v>
      </c>
      <c r="P170" s="47">
        <v>0</v>
      </c>
      <c r="Q170" s="47">
        <v>0</v>
      </c>
      <c r="R170" s="47">
        <v>0</v>
      </c>
      <c r="S170" s="47">
        <v>0</v>
      </c>
      <c r="T170" s="47">
        <v>0</v>
      </c>
      <c r="U170" s="47">
        <v>0.4</v>
      </c>
      <c r="V170" s="47">
        <v>0</v>
      </c>
      <c r="W170" s="47">
        <v>0.2</v>
      </c>
      <c r="X170" s="47">
        <v>0</v>
      </c>
      <c r="Y170" s="47">
        <v>0</v>
      </c>
      <c r="Z170" s="47">
        <v>0.2</v>
      </c>
      <c r="AA170" s="47">
        <v>0</v>
      </c>
      <c r="AB170" s="47">
        <v>0</v>
      </c>
      <c r="AC170" s="47">
        <v>0</v>
      </c>
      <c r="AD170" s="47">
        <v>0</v>
      </c>
      <c r="AE170" s="47">
        <v>0</v>
      </c>
      <c r="AF170" s="47">
        <v>0</v>
      </c>
      <c r="AG170" s="47">
        <v>0</v>
      </c>
      <c r="AH170" s="47">
        <v>0</v>
      </c>
      <c r="AI170" s="47">
        <v>0</v>
      </c>
      <c r="AJ170" s="47">
        <v>0</v>
      </c>
      <c r="AK170" s="47">
        <v>0</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row>
    <row r="171" spans="1:124" x14ac:dyDescent="0.25">
      <c r="A171" s="47" t="s">
        <v>958</v>
      </c>
      <c r="B171" s="47" t="s">
        <v>151</v>
      </c>
      <c r="C171" s="47" t="s">
        <v>959</v>
      </c>
      <c r="D171" s="47" t="s">
        <v>960</v>
      </c>
      <c r="E171" s="47" t="s">
        <v>961</v>
      </c>
      <c r="F171" s="47" t="s">
        <v>942</v>
      </c>
      <c r="G171" s="47" t="s">
        <v>943</v>
      </c>
      <c r="H171" s="47" t="str">
        <f>=IFERROR(VLOOKUP(A171,'ETPT Format DDG'!A:J,10,FALSE),"")</f>
        <v>0</v>
      </c>
      <c r="I171" s="47" t="str">
        <f>='ETPT Format DDG'!M171</f>
        <v/>
      </c>
      <c r="J171" s="47" t="str">
        <f>='ETPT Format DDG'!D171</f>
        <v/>
      </c>
      <c r="K171" s="47" t="s">
        <v>155</v>
      </c>
      <c r="L171" s="47" t="s">
        <v>962</v>
      </c>
      <c r="M171" s="47" t="s">
        <v>963</v>
      </c>
      <c r="N171" s="47">
        <v>0.3425</v>
      </c>
      <c r="O171" s="47">
        <v>0.3425</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0.3425</v>
      </c>
      <c r="BP171" s="47">
        <v>0.1918</v>
      </c>
      <c r="BQ171" s="47">
        <v>0</v>
      </c>
      <c r="BR171" s="47">
        <v>0</v>
      </c>
      <c r="BS171" s="47">
        <v>0</v>
      </c>
      <c r="BT171" s="47">
        <v>0</v>
      </c>
      <c r="BU171" s="47">
        <v>0</v>
      </c>
      <c r="BV171" s="47">
        <v>0</v>
      </c>
      <c r="BW171" s="47">
        <v>0.0685</v>
      </c>
      <c r="BX171" s="47">
        <v>0.0137</v>
      </c>
      <c r="BY171" s="47">
        <v>0</v>
      </c>
      <c r="BZ171" s="47">
        <v>0</v>
      </c>
      <c r="CA171" s="47">
        <v>0.0685</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0.2529</v>
      </c>
      <c r="DG171" s="47">
        <v>0</v>
      </c>
      <c r="DH171" s="47">
        <v>0</v>
      </c>
      <c r="DI171" s="47">
        <v>0</v>
      </c>
      <c r="DJ171" s="47">
        <v>0</v>
      </c>
      <c r="DK171" s="47">
        <v>0</v>
      </c>
      <c r="DL171" s="47">
        <v>0</v>
      </c>
      <c r="DM171" s="47">
        <v>0.2529</v>
      </c>
      <c r="DN171" s="47">
        <v>0</v>
      </c>
      <c r="DO171" s="47">
        <v>0</v>
      </c>
      <c r="DP171" s="47">
        <v>0</v>
      </c>
      <c r="DQ171" s="47">
        <v>0</v>
      </c>
      <c r="DR171" s="47">
        <v>0</v>
      </c>
    </row>
    <row r="172" spans="1:124" x14ac:dyDescent="0.25">
      <c r="A172" s="47" t="s">
        <v>964</v>
      </c>
      <c r="B172" s="47" t="s">
        <v>151</v>
      </c>
      <c r="C172" s="47" t="s">
        <v>965</v>
      </c>
      <c r="D172" s="47" t="s">
        <v>966</v>
      </c>
      <c r="E172" s="47" t="s">
        <v>967</v>
      </c>
      <c r="F172" s="47" t="s">
        <v>942</v>
      </c>
      <c r="G172" s="47" t="s">
        <v>943</v>
      </c>
      <c r="H172" s="47" t="str">
        <f>=IFERROR(VLOOKUP(A172,'ETPT Format DDG'!A:J,10,FALSE),"")</f>
        <v>0</v>
      </c>
      <c r="I172" s="47" t="str">
        <f>='ETPT Format DDG'!M172</f>
        <v/>
      </c>
      <c r="J172" s="47" t="str">
        <f>='ETPT Format DDG'!D172</f>
        <v/>
      </c>
      <c r="K172" s="47" t="s">
        <v>155</v>
      </c>
      <c r="L172" s="47" t="s">
        <v>208</v>
      </c>
      <c r="M172" s="47" t="s">
        <v>912</v>
      </c>
      <c r="N172" s="47">
        <v>0.6628</v>
      </c>
      <c r="O172" s="47">
        <v>0.6628</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0.6628</v>
      </c>
      <c r="CU172" s="47">
        <v>0.6628</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row>
    <row r="173" spans="1:124" x14ac:dyDescent="0.25">
      <c r="A173" s="47" t="s">
        <v>968</v>
      </c>
      <c r="B173" s="47" t="s">
        <v>151</v>
      </c>
      <c r="C173" s="47" t="s">
        <v>969</v>
      </c>
      <c r="D173" s="47" t="s">
        <v>970</v>
      </c>
      <c r="E173" s="47" t="s">
        <v>971</v>
      </c>
      <c r="F173" s="47" t="s">
        <v>942</v>
      </c>
      <c r="G173" s="47" t="s">
        <v>972</v>
      </c>
      <c r="H173" s="47" t="str">
        <f>=IFERROR(VLOOKUP(A173,'ETPT Format DDG'!A:J,10,FALSE),"")</f>
        <v>0</v>
      </c>
      <c r="I173" s="47" t="str">
        <f>='ETPT Format DDG'!M173</f>
        <v/>
      </c>
      <c r="J173" s="47" t="str">
        <f>='ETPT Format DDG'!D173</f>
        <v/>
      </c>
      <c r="K173" s="47" t="s">
        <v>155</v>
      </c>
      <c r="L173" s="47" t="s">
        <v>377</v>
      </c>
      <c r="M173" s="47"/>
      <c r="N173" s="47">
        <v>1</v>
      </c>
      <c r="O173" s="47">
        <v>1</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0.98</v>
      </c>
      <c r="CG173" s="47">
        <v>0</v>
      </c>
      <c r="CH173" s="47">
        <v>0</v>
      </c>
      <c r="CI173" s="47">
        <v>0</v>
      </c>
      <c r="CJ173" s="47">
        <v>0.98</v>
      </c>
      <c r="CK173" s="47">
        <v>0</v>
      </c>
      <c r="CL173" s="47">
        <v>0</v>
      </c>
      <c r="CM173" s="47">
        <v>0</v>
      </c>
      <c r="CN173" s="47">
        <v>0</v>
      </c>
      <c r="CO173" s="47">
        <v>0</v>
      </c>
      <c r="CP173" s="47">
        <v>0</v>
      </c>
      <c r="CQ173" s="47">
        <v>0</v>
      </c>
      <c r="CR173" s="47">
        <v>0</v>
      </c>
      <c r="CS173" s="47">
        <v>0</v>
      </c>
      <c r="CT173" s="47">
        <v>0.02</v>
      </c>
      <c r="CU173" s="47">
        <v>0.02</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row>
    <row r="174" spans="1:124" x14ac:dyDescent="0.25">
      <c r="A174" s="47" t="s">
        <v>973</v>
      </c>
      <c r="B174" s="47" t="s">
        <v>151</v>
      </c>
      <c r="C174" s="47" t="s">
        <v>974</v>
      </c>
      <c r="D174" s="47" t="s">
        <v>975</v>
      </c>
      <c r="E174" s="47" t="s">
        <v>976</v>
      </c>
      <c r="F174" s="47" t="s">
        <v>942</v>
      </c>
      <c r="G174" s="47" t="s">
        <v>972</v>
      </c>
      <c r="H174" s="47" t="str">
        <f>=IFERROR(VLOOKUP(A174,'ETPT Format DDG'!A:J,10,FALSE),"")</f>
        <v>0</v>
      </c>
      <c r="I174" s="47" t="str">
        <f>='ETPT Format DDG'!M174</f>
        <v/>
      </c>
      <c r="J174" s="47" t="str">
        <f>='ETPT Format DDG'!D174</f>
        <v/>
      </c>
      <c r="K174" s="47" t="s">
        <v>155</v>
      </c>
      <c r="L174" s="47" t="s">
        <v>377</v>
      </c>
      <c r="M174" s="47"/>
      <c r="N174" s="47">
        <v>0.9425</v>
      </c>
      <c r="O174" s="47">
        <v>0.9425</v>
      </c>
      <c r="P174" s="47">
        <v>0.2828</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0.6598</v>
      </c>
      <c r="AO174" s="47">
        <v>0</v>
      </c>
      <c r="AP174" s="47">
        <v>0</v>
      </c>
      <c r="AQ174" s="47">
        <v>0</v>
      </c>
      <c r="AR174" s="47">
        <v>0.2828</v>
      </c>
      <c r="AS174" s="47">
        <v>0</v>
      </c>
      <c r="AT174" s="47">
        <v>0</v>
      </c>
      <c r="AU174" s="47">
        <v>0</v>
      </c>
      <c r="AV174" s="47">
        <v>0</v>
      </c>
      <c r="AW174" s="47">
        <v>0</v>
      </c>
      <c r="AX174" s="47">
        <v>0</v>
      </c>
      <c r="AY174" s="47">
        <v>0</v>
      </c>
      <c r="AZ174" s="47">
        <v>0</v>
      </c>
      <c r="BA174" s="47">
        <v>0</v>
      </c>
      <c r="BB174" s="47">
        <v>0</v>
      </c>
      <c r="BC174" s="47">
        <v>0</v>
      </c>
      <c r="BD174" s="47">
        <v>0</v>
      </c>
      <c r="BE174" s="47">
        <v>0</v>
      </c>
      <c r="BF174" s="47">
        <v>0.377</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0.0575</v>
      </c>
      <c r="DG174" s="47">
        <v>0.0575</v>
      </c>
      <c r="DH174" s="47">
        <v>0</v>
      </c>
      <c r="DI174" s="47">
        <v>0</v>
      </c>
      <c r="DJ174" s="47">
        <v>0</v>
      </c>
      <c r="DK174" s="47">
        <v>0</v>
      </c>
      <c r="DL174" s="47">
        <v>0</v>
      </c>
      <c r="DM174" s="47">
        <v>0</v>
      </c>
      <c r="DN174" s="47">
        <v>0</v>
      </c>
      <c r="DO174" s="47">
        <v>0</v>
      </c>
      <c r="DP174" s="47">
        <v>0</v>
      </c>
      <c r="DQ174" s="47">
        <v>0</v>
      </c>
      <c r="DR174" s="47">
        <v>0</v>
      </c>
    </row>
    <row r="175" spans="1:124" x14ac:dyDescent="0.25">
      <c r="A175" s="47" t="s">
        <v>977</v>
      </c>
      <c r="B175" s="47" t="s">
        <v>151</v>
      </c>
      <c r="C175" s="47" t="s">
        <v>978</v>
      </c>
      <c r="D175" s="47" t="s">
        <v>979</v>
      </c>
      <c r="E175" s="47" t="s">
        <v>980</v>
      </c>
      <c r="F175" s="47" t="s">
        <v>942</v>
      </c>
      <c r="G175" s="47" t="s">
        <v>943</v>
      </c>
      <c r="H175" s="47" t="str">
        <f>=IFERROR(VLOOKUP(A175,'ETPT Format DDG'!A:J,10,FALSE),"")</f>
        <v>0</v>
      </c>
      <c r="I175" s="47" t="str">
        <f>='ETPT Format DDG'!M175</f>
        <v/>
      </c>
      <c r="J175" s="47" t="str">
        <f>='ETPT Format DDG'!D175</f>
        <v/>
      </c>
      <c r="K175" s="47" t="s">
        <v>155</v>
      </c>
      <c r="L175" s="47" t="s">
        <v>848</v>
      </c>
      <c r="M175" s="47"/>
      <c r="N175" s="47">
        <v>0.8352</v>
      </c>
      <c r="O175" s="47">
        <v>0.8352</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0.7935</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0.7935</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0.0418</v>
      </c>
      <c r="CU175" s="47">
        <v>0.0418</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row>
    <row r="176" spans="1:124" x14ac:dyDescent="0.25">
      <c r="A176" s="47" t="s">
        <v>981</v>
      </c>
      <c r="B176" s="47" t="s">
        <v>151</v>
      </c>
      <c r="C176" s="47" t="s">
        <v>982</v>
      </c>
      <c r="D176" s="47" t="s">
        <v>983</v>
      </c>
      <c r="E176" s="47" t="s">
        <v>984</v>
      </c>
      <c r="F176" s="47" t="s">
        <v>942</v>
      </c>
      <c r="G176" s="47" t="s">
        <v>972</v>
      </c>
      <c r="H176" s="47" t="str">
        <f>=IFERROR(VLOOKUP(A176,'ETPT Format DDG'!A:J,10,FALSE),"")</f>
        <v>0</v>
      </c>
      <c r="I176" s="47" t="str">
        <f>='ETPT Format DDG'!M176</f>
        <v/>
      </c>
      <c r="J176" s="47" t="str">
        <f>='ETPT Format DDG'!D176</f>
        <v/>
      </c>
      <c r="K176" s="47" t="s">
        <v>155</v>
      </c>
      <c r="L176" s="47" t="s">
        <v>558</v>
      </c>
      <c r="M176" s="47"/>
      <c r="N176" s="47">
        <v>1</v>
      </c>
      <c r="O176" s="47">
        <v>1</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1</v>
      </c>
      <c r="CU176" s="47">
        <v>0</v>
      </c>
      <c r="CV176" s="47">
        <v>0</v>
      </c>
      <c r="CW176" s="47">
        <v>0</v>
      </c>
      <c r="CX176" s="47">
        <v>0</v>
      </c>
      <c r="CY176" s="47">
        <v>0</v>
      </c>
      <c r="CZ176" s="47">
        <v>0</v>
      </c>
      <c r="DA176" s="47">
        <v>0</v>
      </c>
      <c r="DB176" s="47">
        <v>0</v>
      </c>
      <c r="DC176" s="47">
        <v>0</v>
      </c>
      <c r="DD176" s="47">
        <v>0</v>
      </c>
      <c r="DE176" s="47">
        <v>1</v>
      </c>
      <c r="DF176" s="47">
        <v>0</v>
      </c>
      <c r="DG176" s="47">
        <v>0</v>
      </c>
      <c r="DH176" s="47">
        <v>0</v>
      </c>
      <c r="DI176" s="47">
        <v>0</v>
      </c>
      <c r="DJ176" s="47">
        <v>0</v>
      </c>
      <c r="DK176" s="47">
        <v>0</v>
      </c>
      <c r="DL176" s="47">
        <v>0</v>
      </c>
      <c r="DM176" s="47">
        <v>0</v>
      </c>
      <c r="DN176" s="47">
        <v>0</v>
      </c>
      <c r="DO176" s="47">
        <v>0</v>
      </c>
      <c r="DP176" s="47">
        <v>0</v>
      </c>
      <c r="DQ176" s="47">
        <v>0</v>
      </c>
      <c r="DR176" s="47">
        <v>0</v>
      </c>
    </row>
    <row r="177" spans="1:124" x14ac:dyDescent="0.25">
      <c r="A177" s="47" t="s">
        <v>985</v>
      </c>
      <c r="B177" s="47" t="s">
        <v>151</v>
      </c>
      <c r="C177" s="47" t="s">
        <v>986</v>
      </c>
      <c r="D177" s="47" t="s">
        <v>987</v>
      </c>
      <c r="E177" s="47" t="s">
        <v>988</v>
      </c>
      <c r="F177" s="47" t="s">
        <v>942</v>
      </c>
      <c r="G177" s="47" t="s">
        <v>943</v>
      </c>
      <c r="H177" s="47" t="str">
        <f>=IFERROR(VLOOKUP(A177,'ETPT Format DDG'!A:J,10,FALSE),"")</f>
        <v>0</v>
      </c>
      <c r="I177" s="47" t="str">
        <f>='ETPT Format DDG'!M177</f>
        <v/>
      </c>
      <c r="J177" s="47" t="str">
        <f>='ETPT Format DDG'!D177</f>
        <v/>
      </c>
      <c r="K177" s="47" t="s">
        <v>155</v>
      </c>
      <c r="L177" s="47" t="s">
        <v>176</v>
      </c>
      <c r="M177" s="47"/>
      <c r="N177" s="47">
        <v>1</v>
      </c>
      <c r="O177" s="47">
        <v>1</v>
      </c>
      <c r="P177" s="47">
        <v>0.5</v>
      </c>
      <c r="Q177" s="47">
        <v>0</v>
      </c>
      <c r="R177" s="47">
        <v>0.5</v>
      </c>
      <c r="S177" s="47">
        <v>0</v>
      </c>
      <c r="T177" s="47">
        <v>0</v>
      </c>
      <c r="U177" s="47">
        <v>0</v>
      </c>
      <c r="V177" s="47">
        <v>0</v>
      </c>
      <c r="W177" s="47">
        <v>0</v>
      </c>
      <c r="X177" s="47">
        <v>0</v>
      </c>
      <c r="Y177" s="47">
        <v>0</v>
      </c>
      <c r="Z177" s="47">
        <v>0</v>
      </c>
      <c r="AA177" s="47">
        <v>0</v>
      </c>
      <c r="AB177" s="47">
        <v>0</v>
      </c>
      <c r="AC177" s="47">
        <v>0</v>
      </c>
      <c r="AD177" s="47">
        <v>0</v>
      </c>
      <c r="AE177" s="47">
        <v>0.5</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row>
    <row r="178" spans="1:124" x14ac:dyDescent="0.25">
      <c r="A178" s="47" t="s">
        <v>989</v>
      </c>
      <c r="B178" s="47" t="s">
        <v>151</v>
      </c>
      <c r="C178" s="47" t="s">
        <v>990</v>
      </c>
      <c r="D178" s="47" t="s">
        <v>991</v>
      </c>
      <c r="E178" s="47" t="s">
        <v>992</v>
      </c>
      <c r="F178" s="47" t="s">
        <v>942</v>
      </c>
      <c r="G178" s="47" t="s">
        <v>943</v>
      </c>
      <c r="H178" s="47" t="str">
        <f>=IFERROR(VLOOKUP(A178,'ETPT Format DDG'!A:J,10,FALSE),"")</f>
        <v>0</v>
      </c>
      <c r="I178" s="47" t="str">
        <f>='ETPT Format DDG'!M178</f>
        <v/>
      </c>
      <c r="J178" s="47" t="str">
        <f>='ETPT Format DDG'!D178</f>
        <v/>
      </c>
      <c r="K178" s="47" t="s">
        <v>155</v>
      </c>
      <c r="L178" s="47" t="s">
        <v>993</v>
      </c>
      <c r="M178" s="47"/>
      <c r="N178" s="47">
        <v>1</v>
      </c>
      <c r="O178" s="47">
        <v>1</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1</v>
      </c>
      <c r="CU178" s="47">
        <v>0</v>
      </c>
      <c r="CV178" s="47">
        <v>0</v>
      </c>
      <c r="CW178" s="47">
        <v>0</v>
      </c>
      <c r="CX178" s="47">
        <v>0</v>
      </c>
      <c r="CY178" s="47">
        <v>0</v>
      </c>
      <c r="CZ178" s="47">
        <v>0</v>
      </c>
      <c r="DA178" s="47">
        <v>0</v>
      </c>
      <c r="DB178" s="47">
        <v>0</v>
      </c>
      <c r="DC178" s="47">
        <v>0</v>
      </c>
      <c r="DD178" s="47">
        <v>0</v>
      </c>
      <c r="DE178" s="47">
        <v>1</v>
      </c>
      <c r="DF178" s="47">
        <v>0</v>
      </c>
      <c r="DG178" s="47">
        <v>0</v>
      </c>
      <c r="DH178" s="47">
        <v>0</v>
      </c>
      <c r="DI178" s="47">
        <v>0</v>
      </c>
      <c r="DJ178" s="47">
        <v>0</v>
      </c>
      <c r="DK178" s="47">
        <v>0</v>
      </c>
      <c r="DL178" s="47">
        <v>0</v>
      </c>
      <c r="DM178" s="47">
        <v>0</v>
      </c>
      <c r="DN178" s="47">
        <v>0</v>
      </c>
      <c r="DO178" s="47">
        <v>0</v>
      </c>
      <c r="DP178" s="47">
        <v>0</v>
      </c>
      <c r="DQ178" s="47">
        <v>0</v>
      </c>
      <c r="DR178" s="47">
        <v>0</v>
      </c>
    </row>
    <row r="179" spans="1:124" x14ac:dyDescent="0.25">
      <c r="A179" s="47" t="s">
        <v>994</v>
      </c>
      <c r="B179" s="47" t="s">
        <v>151</v>
      </c>
      <c r="C179" s="47" t="s">
        <v>995</v>
      </c>
      <c r="D179" s="47" t="s">
        <v>996</v>
      </c>
      <c r="E179" s="47" t="s">
        <v>237</v>
      </c>
      <c r="F179" s="47" t="s">
        <v>942</v>
      </c>
      <c r="G179" s="47" t="s">
        <v>972</v>
      </c>
      <c r="H179" s="47" t="str">
        <f>=IFERROR(VLOOKUP(A179,'ETPT Format DDG'!A:J,10,FALSE),"")</f>
        <v>0</v>
      </c>
      <c r="I179" s="47" t="str">
        <f>='ETPT Format DDG'!M179</f>
        <v/>
      </c>
      <c r="J179" s="47" t="str">
        <f>='ETPT Format DDG'!D179</f>
        <v/>
      </c>
      <c r="K179" s="47" t="s">
        <v>155</v>
      </c>
      <c r="L179" s="47" t="s">
        <v>176</v>
      </c>
      <c r="M179" s="47" t="s">
        <v>997</v>
      </c>
      <c r="N179" s="47">
        <v>0.0996</v>
      </c>
      <c r="O179" s="47">
        <v>0.0996</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0.0996</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row>
    <row r="180" spans="1:124" x14ac:dyDescent="0.25">
      <c r="A180" s="47" t="s">
        <v>998</v>
      </c>
      <c r="B180" s="47" t="s">
        <v>151</v>
      </c>
      <c r="C180" s="47" t="s">
        <v>999</v>
      </c>
      <c r="D180" s="47" t="s">
        <v>1000</v>
      </c>
      <c r="E180" s="47" t="s">
        <v>1001</v>
      </c>
      <c r="F180" s="47" t="s">
        <v>942</v>
      </c>
      <c r="G180" s="47" t="s">
        <v>943</v>
      </c>
      <c r="H180" s="47" t="str">
        <f>=IFERROR(VLOOKUP(A180,'ETPT Format DDG'!A:J,10,FALSE),"")</f>
        <v>0</v>
      </c>
      <c r="I180" s="47" t="str">
        <f>='ETPT Format DDG'!M180</f>
        <v/>
      </c>
      <c r="J180" s="47" t="str">
        <f>='ETPT Format DDG'!D180</f>
        <v/>
      </c>
      <c r="K180" s="47" t="s">
        <v>155</v>
      </c>
      <c r="L180" s="47" t="s">
        <v>1002</v>
      </c>
      <c r="M180" s="47"/>
      <c r="N180" s="47">
        <v>1</v>
      </c>
      <c r="O180" s="47">
        <v>1</v>
      </c>
      <c r="P180" s="47">
        <v>0</v>
      </c>
      <c r="Q180" s="47">
        <v>0</v>
      </c>
      <c r="R180" s="47">
        <v>0</v>
      </c>
      <c r="S180" s="47">
        <v>0</v>
      </c>
      <c r="T180" s="47">
        <v>0</v>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1</v>
      </c>
      <c r="CU180" s="47">
        <v>0.346</v>
      </c>
      <c r="CV180" s="47">
        <v>0.024</v>
      </c>
      <c r="CW180" s="47">
        <v>0</v>
      </c>
      <c r="CX180" s="47">
        <v>0</v>
      </c>
      <c r="CY180" s="47">
        <v>0</v>
      </c>
      <c r="CZ180" s="47">
        <v>0</v>
      </c>
      <c r="DA180" s="47">
        <v>0</v>
      </c>
      <c r="DB180" s="47">
        <v>0</v>
      </c>
      <c r="DC180" s="47">
        <v>0</v>
      </c>
      <c r="DD180" s="47">
        <v>0</v>
      </c>
      <c r="DE180" s="47">
        <v>0.63</v>
      </c>
      <c r="DF180" s="47">
        <v>0</v>
      </c>
      <c r="DG180" s="47">
        <v>0</v>
      </c>
      <c r="DH180" s="47">
        <v>0</v>
      </c>
      <c r="DI180" s="47">
        <v>0</v>
      </c>
      <c r="DJ180" s="47">
        <v>0</v>
      </c>
      <c r="DK180" s="47">
        <v>0</v>
      </c>
      <c r="DL180" s="47">
        <v>0</v>
      </c>
      <c r="DM180" s="47">
        <v>0</v>
      </c>
      <c r="DN180" s="47">
        <v>0</v>
      </c>
      <c r="DO180" s="47">
        <v>0</v>
      </c>
      <c r="DP180" s="47">
        <v>0</v>
      </c>
      <c r="DQ180" s="47">
        <v>0</v>
      </c>
      <c r="DR180" s="47">
        <v>0</v>
      </c>
    </row>
    <row r="181" spans="1:124" x14ac:dyDescent="0.25">
      <c r="A181" s="47" t="s">
        <v>1003</v>
      </c>
      <c r="B181" s="47" t="s">
        <v>151</v>
      </c>
      <c r="C181" s="47" t="s">
        <v>1004</v>
      </c>
      <c r="D181" s="47" t="s">
        <v>1005</v>
      </c>
      <c r="E181" s="47" t="s">
        <v>1006</v>
      </c>
      <c r="F181" s="47" t="s">
        <v>942</v>
      </c>
      <c r="G181" s="47" t="s">
        <v>943</v>
      </c>
      <c r="H181" s="47" t="str">
        <f>=IFERROR(VLOOKUP(A181,'ETPT Format DDG'!A:J,10,FALSE),"")</f>
        <v>0</v>
      </c>
      <c r="I181" s="47" t="str">
        <f>='ETPT Format DDG'!M181</f>
        <v/>
      </c>
      <c r="J181" s="47" t="str">
        <f>='ETPT Format DDG'!D181</f>
        <v/>
      </c>
      <c r="K181" s="47" t="s">
        <v>155</v>
      </c>
      <c r="L181" s="47" t="s">
        <v>1007</v>
      </c>
      <c r="M181" s="47"/>
      <c r="N181" s="47">
        <v>0.9992</v>
      </c>
      <c r="O181" s="47">
        <v>0.9992</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0.2732</v>
      </c>
      <c r="AF181" s="47">
        <v>0</v>
      </c>
      <c r="AG181" s="47">
        <v>0</v>
      </c>
      <c r="AH181" s="47">
        <v>0.0597</v>
      </c>
      <c r="AI181" s="47">
        <v>0</v>
      </c>
      <c r="AJ181" s="47">
        <v>0.1985</v>
      </c>
      <c r="AK181" s="47">
        <v>0</v>
      </c>
      <c r="AL181" s="47">
        <v>0</v>
      </c>
      <c r="AM181" s="47">
        <v>0.0149</v>
      </c>
      <c r="AN181" s="47">
        <v>0.3692</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0.2019</v>
      </c>
      <c r="BD181" s="47">
        <v>0</v>
      </c>
      <c r="BE181" s="47">
        <v>0</v>
      </c>
      <c r="BF181" s="47">
        <v>0.1481</v>
      </c>
      <c r="BG181" s="47">
        <v>0.0192</v>
      </c>
      <c r="BH181" s="47">
        <v>0</v>
      </c>
      <c r="BI181" s="47">
        <v>0</v>
      </c>
      <c r="BJ181" s="47">
        <v>0</v>
      </c>
      <c r="BK181" s="47">
        <v>0</v>
      </c>
      <c r="BL181" s="47">
        <v>0</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0.3568</v>
      </c>
      <c r="CU181" s="47">
        <v>0.3568</v>
      </c>
      <c r="CV181" s="47">
        <v>0</v>
      </c>
      <c r="CW181" s="47">
        <v>0</v>
      </c>
      <c r="CX181" s="47">
        <v>0</v>
      </c>
      <c r="CY181" s="47">
        <v>0</v>
      </c>
      <c r="CZ181" s="47">
        <v>0</v>
      </c>
      <c r="DA181" s="47">
        <v>0</v>
      </c>
      <c r="DB181" s="47">
        <v>0</v>
      </c>
      <c r="DC181" s="47">
        <v>0</v>
      </c>
      <c r="DD181" s="47">
        <v>0</v>
      </c>
      <c r="DE181" s="47">
        <v>0</v>
      </c>
      <c r="DF181" s="47">
        <v>0.0008</v>
      </c>
      <c r="DG181" s="47">
        <v>0</v>
      </c>
      <c r="DH181" s="47">
        <v>0.0008</v>
      </c>
      <c r="DI181" s="47">
        <v>0</v>
      </c>
      <c r="DJ181" s="47">
        <v>0</v>
      </c>
      <c r="DK181" s="47">
        <v>0</v>
      </c>
      <c r="DL181" s="47">
        <v>0</v>
      </c>
      <c r="DM181" s="47">
        <v>0</v>
      </c>
      <c r="DN181" s="47">
        <v>0</v>
      </c>
      <c r="DO181" s="47">
        <v>0</v>
      </c>
      <c r="DP181" s="47">
        <v>0</v>
      </c>
      <c r="DQ181" s="47">
        <v>0</v>
      </c>
      <c r="DR181" s="47">
        <v>0</v>
      </c>
    </row>
    <row r="182" spans="1:124" x14ac:dyDescent="0.25">
      <c r="A182" s="47" t="s">
        <v>1008</v>
      </c>
      <c r="B182" s="47" t="s">
        <v>151</v>
      </c>
      <c r="C182" s="47" t="s">
        <v>1009</v>
      </c>
      <c r="D182" s="47" t="s">
        <v>1010</v>
      </c>
      <c r="E182" s="47" t="s">
        <v>1011</v>
      </c>
      <c r="F182" s="47" t="s">
        <v>942</v>
      </c>
      <c r="G182" s="47" t="s">
        <v>943</v>
      </c>
      <c r="H182" s="47" t="str">
        <f>=IFERROR(VLOOKUP(A182,'ETPT Format DDG'!A:J,10,FALSE),"")</f>
        <v>0</v>
      </c>
      <c r="I182" s="47" t="str">
        <f>='ETPT Format DDG'!M182</f>
        <v/>
      </c>
      <c r="J182" s="47" t="str">
        <f>='ETPT Format DDG'!D182</f>
        <v/>
      </c>
      <c r="K182" s="47" t="s">
        <v>155</v>
      </c>
      <c r="L182" s="47" t="s">
        <v>1012</v>
      </c>
      <c r="M182" s="47"/>
      <c r="N182" s="47">
        <v>0.5862</v>
      </c>
      <c r="O182" s="47">
        <v>0.5862</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0.1641</v>
      </c>
      <c r="CG182" s="47">
        <v>0.1641</v>
      </c>
      <c r="CH182" s="47">
        <v>0</v>
      </c>
      <c r="CI182" s="47">
        <v>0</v>
      </c>
      <c r="CJ182" s="47">
        <v>0</v>
      </c>
      <c r="CK182" s="47">
        <v>0</v>
      </c>
      <c r="CL182" s="47">
        <v>0</v>
      </c>
      <c r="CM182" s="47">
        <v>0</v>
      </c>
      <c r="CN182" s="47">
        <v>0</v>
      </c>
      <c r="CO182" s="47">
        <v>0</v>
      </c>
      <c r="CP182" s="47">
        <v>0</v>
      </c>
      <c r="CQ182" s="47">
        <v>0.3634</v>
      </c>
      <c r="CR182" s="47">
        <v>0</v>
      </c>
      <c r="CS182" s="47">
        <v>0</v>
      </c>
      <c r="CT182" s="47">
        <v>0.0586</v>
      </c>
      <c r="CU182" s="47">
        <v>0.0586</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row>
    <row r="183" spans="1:124" x14ac:dyDescent="0.25">
      <c r="A183" s="47" t="s">
        <v>1013</v>
      </c>
      <c r="B183" s="47" t="s">
        <v>151</v>
      </c>
      <c r="C183" s="47" t="s">
        <v>1014</v>
      </c>
      <c r="D183" s="47" t="s">
        <v>1015</v>
      </c>
      <c r="E183" s="47" t="s">
        <v>667</v>
      </c>
      <c r="F183" s="47" t="s">
        <v>942</v>
      </c>
      <c r="G183" s="47" t="s">
        <v>943</v>
      </c>
      <c r="H183" s="47" t="str">
        <f>=IFERROR(VLOOKUP(A183,'ETPT Format DDG'!A:J,10,FALSE),"")</f>
        <v>0</v>
      </c>
      <c r="I183" s="47" t="str">
        <f>='ETPT Format DDG'!M183</f>
        <v/>
      </c>
      <c r="J183" s="47" t="str">
        <f>='ETPT Format DDG'!D183</f>
        <v/>
      </c>
      <c r="K183" s="47" t="s">
        <v>155</v>
      </c>
      <c r="L183" s="47" t="s">
        <v>1016</v>
      </c>
      <c r="M183" s="47"/>
      <c r="N183" s="47">
        <v>1</v>
      </c>
      <c r="O183" s="47">
        <v>1</v>
      </c>
      <c r="P183" s="47">
        <v>0</v>
      </c>
      <c r="Q183" s="47">
        <v>0</v>
      </c>
      <c r="R183" s="47">
        <v>0</v>
      </c>
      <c r="S183" s="47">
        <v>0</v>
      </c>
      <c r="T183" s="47">
        <v>0</v>
      </c>
      <c r="U183" s="47">
        <v>0</v>
      </c>
      <c r="V183" s="47">
        <v>0</v>
      </c>
      <c r="W183" s="47">
        <v>0</v>
      </c>
      <c r="X183" s="47">
        <v>0</v>
      </c>
      <c r="Y183" s="47">
        <v>0</v>
      </c>
      <c r="Z183" s="47">
        <v>0</v>
      </c>
      <c r="AA183" s="47">
        <v>0</v>
      </c>
      <c r="AB183" s="47">
        <v>0</v>
      </c>
      <c r="AC183" s="47">
        <v>0</v>
      </c>
      <c r="AD183" s="47">
        <v>0</v>
      </c>
      <c r="AE183" s="47">
        <v>0.5</v>
      </c>
      <c r="AF183" s="47">
        <v>0</v>
      </c>
      <c r="AG183" s="47">
        <v>0</v>
      </c>
      <c r="AH183" s="47">
        <v>0</v>
      </c>
      <c r="AI183" s="47">
        <v>0</v>
      </c>
      <c r="AJ183" s="47">
        <v>0</v>
      </c>
      <c r="AK183" s="47">
        <v>0</v>
      </c>
      <c r="AL183" s="47">
        <v>0</v>
      </c>
      <c r="AM183" s="47">
        <v>0</v>
      </c>
      <c r="AN183" s="47">
        <v>0.5</v>
      </c>
      <c r="AO183" s="47">
        <v>0</v>
      </c>
      <c r="AP183" s="47">
        <v>0</v>
      </c>
      <c r="AQ183" s="47">
        <v>0</v>
      </c>
      <c r="AR183" s="47">
        <v>0</v>
      </c>
      <c r="AS183" s="47">
        <v>0</v>
      </c>
      <c r="AT183" s="47">
        <v>0</v>
      </c>
      <c r="AU183" s="47">
        <v>0</v>
      </c>
      <c r="AV183" s="47">
        <v>0.5</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row>
    <row r="184" spans="1:124" x14ac:dyDescent="0.25">
      <c r="A184" s="47" t="s">
        <v>1017</v>
      </c>
      <c r="B184" s="47" t="s">
        <v>151</v>
      </c>
      <c r="C184" s="47" t="s">
        <v>1018</v>
      </c>
      <c r="D184" s="47" t="s">
        <v>1019</v>
      </c>
      <c r="E184" s="47" t="s">
        <v>1020</v>
      </c>
      <c r="F184" s="47" t="s">
        <v>942</v>
      </c>
      <c r="G184" s="47" t="s">
        <v>943</v>
      </c>
      <c r="H184" s="47" t="str">
        <f>=IFERROR(VLOOKUP(A184,'ETPT Format DDG'!A:J,10,FALSE),"")</f>
        <v>0</v>
      </c>
      <c r="I184" s="47" t="str">
        <f>='ETPT Format DDG'!M184</f>
        <v/>
      </c>
      <c r="J184" s="47" t="str">
        <f>='ETPT Format DDG'!D184</f>
        <v/>
      </c>
      <c r="K184" s="47" t="s">
        <v>155</v>
      </c>
      <c r="L184" s="47" t="s">
        <v>1021</v>
      </c>
      <c r="M184" s="47"/>
      <c r="N184" s="47">
        <v>1</v>
      </c>
      <c r="O184" s="47">
        <v>1</v>
      </c>
      <c r="P184" s="47">
        <v>0</v>
      </c>
      <c r="Q184" s="47">
        <v>0</v>
      </c>
      <c r="R184" s="47">
        <v>0</v>
      </c>
      <c r="S184" s="47">
        <v>0</v>
      </c>
      <c r="T184" s="47">
        <v>0</v>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0.99</v>
      </c>
      <c r="AO184" s="47">
        <v>0</v>
      </c>
      <c r="AP184" s="47">
        <v>0</v>
      </c>
      <c r="AQ184" s="47">
        <v>0</v>
      </c>
      <c r="AR184" s="47">
        <v>0</v>
      </c>
      <c r="AS184" s="47">
        <v>0</v>
      </c>
      <c r="AT184" s="47">
        <v>0</v>
      </c>
      <c r="AU184" s="47">
        <v>0</v>
      </c>
      <c r="AV184" s="47">
        <v>0</v>
      </c>
      <c r="AW184" s="47">
        <v>0</v>
      </c>
      <c r="AX184" s="47">
        <v>0</v>
      </c>
      <c r="AY184" s="47">
        <v>0</v>
      </c>
      <c r="AZ184" s="47">
        <v>0.99</v>
      </c>
      <c r="BA184" s="47">
        <v>0</v>
      </c>
      <c r="BB184" s="47">
        <v>0</v>
      </c>
      <c r="BC184" s="47">
        <v>0</v>
      </c>
      <c r="BD184" s="47">
        <v>0</v>
      </c>
      <c r="BE184" s="47">
        <v>0</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0.01</v>
      </c>
      <c r="CU184" s="47">
        <v>0.01</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row>
    <row r="185" spans="1:124" x14ac:dyDescent="0.25">
      <c r="A185" s="47" t="s">
        <v>1022</v>
      </c>
      <c r="B185" s="47" t="s">
        <v>151</v>
      </c>
      <c r="C185" s="47" t="s">
        <v>1023</v>
      </c>
      <c r="D185" s="47" t="s">
        <v>1024</v>
      </c>
      <c r="E185" s="47" t="s">
        <v>167</v>
      </c>
      <c r="F185" s="47" t="s">
        <v>942</v>
      </c>
      <c r="G185" s="47" t="s">
        <v>972</v>
      </c>
      <c r="H185" s="47" t="str">
        <f>=IFERROR(VLOOKUP(A185,'ETPT Format DDG'!A:J,10,FALSE),"")</f>
        <v>0</v>
      </c>
      <c r="I185" s="47" t="str">
        <f>='ETPT Format DDG'!M185</f>
        <v/>
      </c>
      <c r="J185" s="47" t="str">
        <f>='ETPT Format DDG'!D185</f>
        <v/>
      </c>
      <c r="K185" s="47" t="s">
        <v>155</v>
      </c>
      <c r="L185" s="47" t="s">
        <v>1007</v>
      </c>
      <c r="M185" s="47" t="s">
        <v>1025</v>
      </c>
      <c r="N185" s="47">
        <v>0.2452</v>
      </c>
      <c r="O185" s="47">
        <v>0</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row>
    <row r="186" spans="1:124" x14ac:dyDescent="0.25">
      <c r="A186" s="47" t="s">
        <v>1026</v>
      </c>
      <c r="B186" s="47" t="s">
        <v>151</v>
      </c>
      <c r="C186" s="47" t="s">
        <v>1027</v>
      </c>
      <c r="D186" s="47" t="s">
        <v>1028</v>
      </c>
      <c r="E186" s="47" t="s">
        <v>1029</v>
      </c>
      <c r="F186" s="47" t="s">
        <v>942</v>
      </c>
      <c r="G186" s="47" t="s">
        <v>943</v>
      </c>
      <c r="H186" s="47" t="str">
        <f>=IFERROR(VLOOKUP(A186,'ETPT Format DDG'!A:J,10,FALSE),"")</f>
        <v>0</v>
      </c>
      <c r="I186" s="47" t="str">
        <f>='ETPT Format DDG'!M186</f>
        <v/>
      </c>
      <c r="J186" s="47" t="str">
        <f>='ETPT Format DDG'!D186</f>
        <v/>
      </c>
      <c r="K186" s="47" t="s">
        <v>155</v>
      </c>
      <c r="L186" s="47" t="s">
        <v>1030</v>
      </c>
      <c r="M186" s="47"/>
      <c r="N186" s="47">
        <v>1</v>
      </c>
      <c r="O186" s="47">
        <v>1</v>
      </c>
      <c r="P186" s="47">
        <v>0</v>
      </c>
      <c r="Q186" s="47">
        <v>0</v>
      </c>
      <c r="R186" s="47">
        <v>0</v>
      </c>
      <c r="S186" s="47">
        <v>0</v>
      </c>
      <c r="T186" s="47">
        <v>0</v>
      </c>
      <c r="U186" s="47">
        <v>0.25</v>
      </c>
      <c r="V186" s="47">
        <v>0.25</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0.75</v>
      </c>
      <c r="AO186" s="47">
        <v>0</v>
      </c>
      <c r="AP186" s="47">
        <v>0</v>
      </c>
      <c r="AQ186" s="47">
        <v>0</v>
      </c>
      <c r="AR186" s="47">
        <v>0</v>
      </c>
      <c r="AS186" s="47">
        <v>0</v>
      </c>
      <c r="AT186" s="47">
        <v>0</v>
      </c>
      <c r="AU186" s="47">
        <v>0</v>
      </c>
      <c r="AV186" s="47">
        <v>0.5</v>
      </c>
      <c r="AW186" s="47">
        <v>0</v>
      </c>
      <c r="AX186" s="47">
        <v>0</v>
      </c>
      <c r="AY186" s="47">
        <v>0</v>
      </c>
      <c r="AZ186" s="47">
        <v>0</v>
      </c>
      <c r="BA186" s="47">
        <v>0</v>
      </c>
      <c r="BB186" s="47">
        <v>0</v>
      </c>
      <c r="BC186" s="47">
        <v>0</v>
      </c>
      <c r="BD186" s="47">
        <v>0</v>
      </c>
      <c r="BE186" s="47">
        <v>0</v>
      </c>
      <c r="BF186" s="47">
        <v>0.25</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row>
    <row r="187" spans="1:124" x14ac:dyDescent="0.25">
      <c r="A187" s="47" t="s">
        <v>1031</v>
      </c>
      <c r="B187" s="47" t="s">
        <v>151</v>
      </c>
      <c r="C187" s="47" t="s">
        <v>1032</v>
      </c>
      <c r="D187" s="47" t="s">
        <v>1033</v>
      </c>
      <c r="E187" s="47" t="s">
        <v>1034</v>
      </c>
      <c r="F187" s="47" t="s">
        <v>942</v>
      </c>
      <c r="G187" s="47" t="s">
        <v>1035</v>
      </c>
      <c r="H187" s="47" t="str">
        <f>=IFERROR(VLOOKUP(A187,'ETPT Format DDG'!A:J,10,FALSE),"")</f>
        <v>0</v>
      </c>
      <c r="I187" s="47" t="str">
        <f>='ETPT Format DDG'!M187</f>
        <v/>
      </c>
      <c r="J187" s="47" t="str">
        <f>='ETPT Format DDG'!D187</f>
        <v/>
      </c>
      <c r="K187" s="47" t="s">
        <v>155</v>
      </c>
      <c r="L187" s="47" t="s">
        <v>1036</v>
      </c>
      <c r="M187" s="47"/>
      <c r="N187" s="47">
        <v>1</v>
      </c>
      <c r="O187" s="47">
        <v>0</v>
      </c>
      <c r="P187" s="47">
        <v>0</v>
      </c>
      <c r="Q187" s="47">
        <v>0</v>
      </c>
      <c r="R187" s="47">
        <v>0</v>
      </c>
      <c r="S187" s="47">
        <v>0</v>
      </c>
      <c r="T187" s="47">
        <v>0</v>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row>
    <row r="188" spans="1:124" x14ac:dyDescent="0.25">
      <c r="A188" s="47" t="s">
        <v>1037</v>
      </c>
      <c r="B188" s="47" t="s">
        <v>151</v>
      </c>
      <c r="C188" s="47" t="s">
        <v>1038</v>
      </c>
      <c r="D188" s="47" t="s">
        <v>1039</v>
      </c>
      <c r="E188" s="47" t="s">
        <v>1040</v>
      </c>
      <c r="F188" s="47" t="s">
        <v>942</v>
      </c>
      <c r="G188" s="47" t="s">
        <v>957</v>
      </c>
      <c r="H188" s="47" t="str">
        <f>=IFERROR(VLOOKUP(A188,'ETPT Format DDG'!A:J,10,FALSE),"")</f>
        <v>0</v>
      </c>
      <c r="I188" s="47" t="str">
        <f>='ETPT Format DDG'!M188</f>
        <v/>
      </c>
      <c r="J188" s="47" t="str">
        <f>='ETPT Format DDG'!D188</f>
        <v/>
      </c>
      <c r="K188" s="47" t="s">
        <v>155</v>
      </c>
      <c r="L188" s="47" t="s">
        <v>848</v>
      </c>
      <c r="M188" s="47"/>
      <c r="N188" s="47">
        <v>0.8352</v>
      </c>
      <c r="O188" s="47">
        <v>0.8352</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0.8352</v>
      </c>
      <c r="CR188" s="47">
        <v>0</v>
      </c>
      <c r="CS188" s="47">
        <v>0</v>
      </c>
      <c r="CT188" s="47">
        <v>0</v>
      </c>
      <c r="CU188" s="47">
        <v>0</v>
      </c>
      <c r="CV188" s="47">
        <v>0</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row>
    <row r="189" spans="1:124" x14ac:dyDescent="0.25">
      <c r="A189" s="47" t="s">
        <v>1041</v>
      </c>
      <c r="B189" s="47" t="s">
        <v>151</v>
      </c>
      <c r="C189" s="47" t="s">
        <v>1042</v>
      </c>
      <c r="D189" s="47" t="s">
        <v>1043</v>
      </c>
      <c r="E189" s="47" t="s">
        <v>1044</v>
      </c>
      <c r="F189" s="47" t="s">
        <v>942</v>
      </c>
      <c r="G189" s="47" t="s">
        <v>943</v>
      </c>
      <c r="H189" s="47" t="str">
        <f>=IFERROR(VLOOKUP(A189,'ETPT Format DDG'!A:J,10,FALSE),"")</f>
        <v>0</v>
      </c>
      <c r="I189" s="47" t="str">
        <f>='ETPT Format DDG'!M189</f>
        <v/>
      </c>
      <c r="J189" s="47" t="str">
        <f>='ETPT Format DDG'!D189</f>
        <v/>
      </c>
      <c r="K189" s="47" t="s">
        <v>155</v>
      </c>
      <c r="L189" s="47" t="s">
        <v>1045</v>
      </c>
      <c r="M189" s="47"/>
      <c r="N189" s="47">
        <v>0.5134</v>
      </c>
      <c r="O189" s="47">
        <v>0.5134</v>
      </c>
      <c r="P189" s="47">
        <v>0</v>
      </c>
      <c r="Q189" s="47">
        <v>0</v>
      </c>
      <c r="R189" s="47">
        <v>0</v>
      </c>
      <c r="S189" s="47">
        <v>0</v>
      </c>
      <c r="T189" s="47">
        <v>0</v>
      </c>
      <c r="U189" s="47">
        <v>0.5134</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0.4866</v>
      </c>
      <c r="DG189" s="47">
        <v>0.0728</v>
      </c>
      <c r="DH189" s="47">
        <v>0.3065</v>
      </c>
      <c r="DI189" s="47">
        <v>0</v>
      </c>
      <c r="DJ189" s="47">
        <v>0</v>
      </c>
      <c r="DK189" s="47">
        <v>0.1073</v>
      </c>
      <c r="DL189" s="47">
        <v>0</v>
      </c>
      <c r="DM189" s="47">
        <v>0</v>
      </c>
      <c r="DN189" s="47">
        <v>0</v>
      </c>
      <c r="DO189" s="47">
        <v>0</v>
      </c>
      <c r="DP189" s="47">
        <v>0</v>
      </c>
      <c r="DQ189" s="47">
        <v>0</v>
      </c>
      <c r="DR189" s="47">
        <v>0</v>
      </c>
    </row>
    <row r="190" spans="1:124" x14ac:dyDescent="0.25">
      <c r="A190" s="47" t="s">
        <v>1046</v>
      </c>
      <c r="B190" s="47" t="s">
        <v>151</v>
      </c>
      <c r="C190" s="47" t="s">
        <v>1047</v>
      </c>
      <c r="D190" s="47" t="s">
        <v>1048</v>
      </c>
      <c r="E190" s="47" t="s">
        <v>343</v>
      </c>
      <c r="F190" s="47" t="s">
        <v>942</v>
      </c>
      <c r="G190" s="47" t="s">
        <v>943</v>
      </c>
      <c r="H190" s="47" t="str">
        <f>=IFERROR(VLOOKUP(A190,'ETPT Format DDG'!A:J,10,FALSE),"")</f>
        <v>0</v>
      </c>
      <c r="I190" s="47" t="str">
        <f>='ETPT Format DDG'!M190</f>
        <v/>
      </c>
      <c r="J190" s="47" t="str">
        <f>='ETPT Format DDG'!D190</f>
        <v/>
      </c>
      <c r="K190" s="47" t="s">
        <v>155</v>
      </c>
      <c r="L190" s="47" t="s">
        <v>1049</v>
      </c>
      <c r="M190" s="47"/>
      <c r="N190" s="47">
        <v>0.0881</v>
      </c>
      <c r="O190" s="47">
        <v>0.0881</v>
      </c>
      <c r="P190" s="47">
        <v>0</v>
      </c>
      <c r="Q190" s="47">
        <v>0</v>
      </c>
      <c r="R190" s="47">
        <v>0</v>
      </c>
      <c r="S190" s="47">
        <v>0</v>
      </c>
      <c r="T190" s="47">
        <v>0</v>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0.0881</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row>
    <row r="191" spans="1:2" x14ac:dyDescent="0.25">
      <c r="B191" s="48"/>
    </row>
    <row r="193" spans="1:3" x14ac:dyDescent="0.25">
      <c r="A193" s="49"/>
      <c r="B193" s="49"/>
      <c r="C193" s="50"/>
    </row>
    <row r="194" spans="1:3" x14ac:dyDescent="0.25">
      <c r="B194" s="49"/>
      <c r="C194" s="50"/>
    </row>
  </sheetData>
  <sheetProtection sheet="1" sort="0" autoFilter="0"/>
  <autoFilter ref="A2:DR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191"/>
  <sheetViews>
    <sheetView workbookViewId="0" zoomScale="100" zoomScaleNormal="110">
      <pane xSplit="6" ySplit="2" topLeftCell="G3" activePane="bottomRight" state="frozen"/>
      <selection pane="bottomRight" activeCell="I7" sqref="I7"/>
    </sheetView>
  </sheetViews>
  <sheetFormatPr defaultRowHeight="15" outlineLevelRow="0" outlineLevelCol="0" x14ac:dyDescent="0.2"/>
  <cols>
    <col min="1" max="3" customWidth="1"/>
    <col min="4" max="4" width="12.5" customWidth="1"/>
    <col min="5" max="7" width="10" customWidth="1"/>
    <col min="8" max="8" width="19" customWidth="1"/>
    <col min="9" max="9" width="20" customWidth="1"/>
    <col min="10" max="13" customWidth="1"/>
    <col min="14" max="17" width="26" customWidth="1"/>
    <col min="18" max="131" width="27" customWidth="1"/>
  </cols>
  <sheetData>
    <row r="1" ht="80" customHeight="1" spans="1:133" s="40" customFormat="1" x14ac:dyDescent="0.25">
      <c r="A1" s="41"/>
      <c r="B1" s="41"/>
      <c r="C1" s="41"/>
      <c r="D1" s="51" t="s">
        <v>1050</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C1" s="40"/>
    </row>
    <row r="2" ht="66" customHeight="1" spans="1:133" x14ac:dyDescent="0.25">
      <c r="A2" s="46" t="s">
        <v>28</v>
      </c>
      <c r="B2" s="46" t="s">
        <v>29</v>
      </c>
      <c r="C2" s="46" t="s">
        <v>38</v>
      </c>
      <c r="D2" s="46" t="s">
        <v>37</v>
      </c>
      <c r="E2" s="46" t="s">
        <v>30</v>
      </c>
      <c r="F2" s="46" t="s">
        <v>31</v>
      </c>
      <c r="G2" s="46" t="s">
        <v>32</v>
      </c>
      <c r="H2" s="46" t="s">
        <v>33</v>
      </c>
      <c r="I2" s="46" t="s">
        <v>34</v>
      </c>
      <c r="J2" s="46" t="s">
        <v>35</v>
      </c>
      <c r="K2" s="46" t="s">
        <v>1051</v>
      </c>
      <c r="L2" s="46" t="s">
        <v>1052</v>
      </c>
      <c r="M2" s="46" t="s">
        <v>36</v>
      </c>
      <c r="N2" s="46" t="s">
        <v>39</v>
      </c>
      <c r="O2" s="46" t="s">
        <v>40</v>
      </c>
      <c r="P2" s="46" t="s">
        <v>1053</v>
      </c>
      <c r="Q2" s="46" t="s">
        <v>1054</v>
      </c>
      <c r="R2" s="46" t="s">
        <v>1055</v>
      </c>
      <c r="S2" s="46" t="s">
        <v>1056</v>
      </c>
      <c r="T2" s="46" t="s">
        <v>1057</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1058</v>
      </c>
      <c r="DL2" s="46" t="s">
        <v>143</v>
      </c>
      <c r="DM2" s="46" t="s">
        <v>144</v>
      </c>
      <c r="DN2" s="46" t="s">
        <v>145</v>
      </c>
      <c r="DO2" s="46" t="s">
        <v>146</v>
      </c>
      <c r="DP2" s="46" t="s">
        <v>147</v>
      </c>
      <c r="DQ2" s="46" t="s">
        <v>148</v>
      </c>
      <c r="DR2" s="46" t="s">
        <v>149</v>
      </c>
      <c r="DS2" s="46" t="s">
        <v>1059</v>
      </c>
      <c r="DT2" s="46" t="s">
        <v>1060</v>
      </c>
      <c r="DU2" s="46" t="s">
        <v>138</v>
      </c>
      <c r="DV2" s="46" t="s">
        <v>139</v>
      </c>
      <c r="DW2" s="46" t="s">
        <v>140</v>
      </c>
      <c r="DX2" s="46" t="s">
        <v>142</v>
      </c>
      <c r="DY2" s="46" t="s">
        <v>1061</v>
      </c>
      <c r="DZ2" s="46" t="s">
        <v>1062</v>
      </c>
      <c r="EA2" s="46" t="s">
        <v>1063</v>
      </c>
    </row>
    <row r="3" spans="1:702" x14ac:dyDescent="0.25">
      <c r="A3" s="47" t="s">
        <v>150</v>
      </c>
      <c r="B3" s="47" t="s">
        <v>151</v>
      </c>
      <c r="C3" s="47" t="s">
        <v>155</v>
      </c>
      <c r="D3" s="47" t="s">
        <v>1064</v>
      </c>
      <c r="E3" s="47" t="s">
        <v>152</v>
      </c>
      <c r="F3" s="47" t="s">
        <v>153</v>
      </c>
      <c r="G3" s="47" t="s">
        <v>154</v>
      </c>
      <c r="H3" s="47"/>
      <c r="I3" s="47"/>
      <c r="J3" s="47" t="str">
        <f>=IFERROR(VLOOKUP(H3&amp;I3,Table_Fonctions!A:G,6,FALSE),"")</f>
        <v>0</v>
      </c>
      <c r="K3" s="47"/>
      <c r="L3" s="47" t="str">
        <f>=IFERROR(VLOOKUP(H3&amp;I3,Table_Fonctions!A:G,7,FALSE),K3)</f>
        <v/>
      </c>
      <c r="M3" s="47" t="str">
        <f>=IF(OR(LEFT(D3, 3)="TJ ", LEFT(D3, 4)="CPH "), "OUI", "NON")</f>
        <v/>
      </c>
      <c r="N3" s="47" t="s">
        <v>156</v>
      </c>
      <c r="O3" s="47"/>
      <c r="P3" s="47">
        <v>0</v>
      </c>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v>0</v>
      </c>
      <c r="DZ3" s="47"/>
      <c r="EA3" s="47">
        <v>0</v>
      </c>
      <c r="ZZ3" t="s">
        <v>1062</v>
      </c>
    </row>
    <row r="4" spans="1:702" x14ac:dyDescent="0.25">
      <c r="A4" s="47" t="s">
        <v>157</v>
      </c>
      <c r="B4" s="47" t="s">
        <v>151</v>
      </c>
      <c r="C4" s="47" t="s">
        <v>155</v>
      </c>
      <c r="D4" s="47" t="s">
        <v>1065</v>
      </c>
      <c r="E4" s="47" t="s">
        <v>158</v>
      </c>
      <c r="F4" s="47" t="s">
        <v>159</v>
      </c>
      <c r="G4" s="47" t="s">
        <v>160</v>
      </c>
      <c r="H4" s="47" t="s">
        <v>161</v>
      </c>
      <c r="I4" s="47" t="s">
        <v>162</v>
      </c>
      <c r="J4" s="47" t="str">
        <f>=IFERROR(VLOOKUP(H4&amp;I4,Table_Fonctions!A:G,6,FALSE),"")</f>
        <v>0</v>
      </c>
      <c r="K4" s="47" t="s">
        <v>1066</v>
      </c>
      <c r="L4" s="47" t="str">
        <f>=IFERROR(VLOOKUP(H4&amp;I4,Table_Fonctions!A:G,7,FALSE),K4)</f>
        <v/>
      </c>
      <c r="M4" s="47" t="str">
        <f>=IF(OR(LEFT(D4, 3)="TJ ", LEFT(D4, 4)="CPH "), "OUI", "NON")</f>
        <v/>
      </c>
      <c r="N4" s="47" t="s">
        <v>163</v>
      </c>
      <c r="O4" s="47"/>
      <c r="P4" s="47">
        <v>1</v>
      </c>
      <c r="Q4" s="47">
        <v>1</v>
      </c>
      <c r="R4" s="47">
        <v>0</v>
      </c>
      <c r="S4" s="47">
        <f>=ROUND(BQ4-(BR4+BS4),3)</f>
      </c>
      <c r="T4" s="47">
        <f>=ROUND(CK4-(CL4+CM4+CN4+CO4+CP4),3)</f>
      </c>
      <c r="U4" s="47">
        <v>0</v>
      </c>
      <c r="V4" s="47">
        <v>0</v>
      </c>
      <c r="W4" s="47">
        <v>0</v>
      </c>
      <c r="X4" s="47">
        <v>0</v>
      </c>
      <c r="Y4" s="47">
        <v>0</v>
      </c>
      <c r="Z4" s="47">
        <v>0.91</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0.07</v>
      </c>
      <c r="BU4" s="47">
        <v>0</v>
      </c>
      <c r="BV4" s="47">
        <v>0</v>
      </c>
      <c r="BW4" s="47">
        <v>0</v>
      </c>
      <c r="BX4" s="47">
        <v>0</v>
      </c>
      <c r="BY4" s="47">
        <v>0</v>
      </c>
      <c r="BZ4" s="47">
        <v>0</v>
      </c>
      <c r="CA4" s="47">
        <v>0</v>
      </c>
      <c r="CB4" s="47">
        <v>0.02</v>
      </c>
      <c r="CC4" s="47">
        <v>0</v>
      </c>
      <c r="CD4" s="47">
        <v>0</v>
      </c>
      <c r="CE4" s="47">
        <v>0</v>
      </c>
      <c r="CF4" s="47">
        <v>0</v>
      </c>
      <c r="CG4" s="47">
        <v>0</v>
      </c>
      <c r="CH4" s="47">
        <v>0</v>
      </c>
      <c r="CI4" s="47">
        <v>0</v>
      </c>
      <c r="CJ4" s="47">
        <v>0.05</v>
      </c>
      <c r="CK4" s="47">
        <v>0</v>
      </c>
      <c r="CL4" s="47">
        <v>0</v>
      </c>
      <c r="CM4" s="47">
        <v>0</v>
      </c>
      <c r="CN4" s="47">
        <v>0</v>
      </c>
      <c r="CO4" s="47">
        <v>0</v>
      </c>
      <c r="CP4" s="47">
        <v>0</v>
      </c>
      <c r="CQ4" s="47">
        <v>0</v>
      </c>
      <c r="CR4" s="47">
        <v>0</v>
      </c>
      <c r="CS4" s="47">
        <v>0</v>
      </c>
      <c r="CT4" s="47">
        <v>0</v>
      </c>
      <c r="CU4" s="47">
        <v>0</v>
      </c>
      <c r="CV4" s="47">
        <v>0</v>
      </c>
      <c r="CW4" s="47">
        <v>0</v>
      </c>
      <c r="CX4" s="47">
        <v>0</v>
      </c>
      <c r="CY4" s="47">
        <v>0.02</v>
      </c>
      <c r="CZ4" s="47">
        <v>0</v>
      </c>
      <c r="DA4" s="47">
        <v>0.02</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v>0</v>
      </c>
      <c r="DZ4" s="47"/>
      <c r="EA4" s="47">
        <v>1</v>
      </c>
      <c r="ZZ4" t="s">
        <v>1062</v>
      </c>
    </row>
    <row r="5" spans="1:702" x14ac:dyDescent="0.25">
      <c r="A5" s="47" t="s">
        <v>164</v>
      </c>
      <c r="B5" s="47" t="s">
        <v>151</v>
      </c>
      <c r="C5" s="47" t="s">
        <v>155</v>
      </c>
      <c r="D5" s="47" t="s">
        <v>1067</v>
      </c>
      <c r="E5" s="47" t="s">
        <v>165</v>
      </c>
      <c r="F5" s="47" t="s">
        <v>166</v>
      </c>
      <c r="G5" s="47" t="s">
        <v>167</v>
      </c>
      <c r="H5" s="47" t="s">
        <v>161</v>
      </c>
      <c r="I5" s="47" t="s">
        <v>1068</v>
      </c>
      <c r="J5" s="47" t="str">
        <f>=IFERROR(VLOOKUP(H5&amp;I5,Table_Fonctions!A:G,6,FALSE),"")</f>
        <v>0</v>
      </c>
      <c r="K5" s="47" t="s">
        <v>1069</v>
      </c>
      <c r="L5" s="47" t="str">
        <f>=IFERROR(VLOOKUP(H5&amp;I5,Table_Fonctions!A:G,7,FALSE),K5)</f>
        <v/>
      </c>
      <c r="M5" s="47" t="str">
        <f>=IF(OR(LEFT(D5, 3)="TJ ", LEFT(D5, 4)="CPH "), "OUI", "NON")</f>
        <v/>
      </c>
      <c r="N5" s="47" t="s">
        <v>169</v>
      </c>
      <c r="O5" s="47" t="s">
        <v>170</v>
      </c>
      <c r="P5" s="47">
        <v>0.3372</v>
      </c>
      <c r="Q5" s="47">
        <v>0.3372</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0.3372</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v>0</v>
      </c>
      <c r="DZ5" s="47"/>
      <c r="EA5" s="47">
        <v>0.3372</v>
      </c>
      <c r="ZZ5" t="s">
        <v>1062</v>
      </c>
    </row>
    <row r="6" spans="1:702" x14ac:dyDescent="0.25">
      <c r="A6" s="47" t="s">
        <v>171</v>
      </c>
      <c r="B6" s="47" t="s">
        <v>151</v>
      </c>
      <c r="C6" s="47" t="s">
        <v>155</v>
      </c>
      <c r="D6" s="47" t="s">
        <v>1070</v>
      </c>
      <c r="E6" s="47" t="s">
        <v>172</v>
      </c>
      <c r="F6" s="47" t="s">
        <v>173</v>
      </c>
      <c r="G6" s="47" t="s">
        <v>174</v>
      </c>
      <c r="H6" s="47" t="s">
        <v>161</v>
      </c>
      <c r="I6" s="47" t="s">
        <v>175</v>
      </c>
      <c r="J6" s="47" t="str">
        <f>=IFERROR(VLOOKUP(H6&amp;I6,Table_Fonctions!A:G,6,FALSE),"")</f>
        <v>0</v>
      </c>
      <c r="K6" s="47" t="s">
        <v>1066</v>
      </c>
      <c r="L6" s="47" t="str">
        <f>=IFERROR(VLOOKUP(H6&amp;I6,Table_Fonctions!A:G,7,FALSE),K6)</f>
        <v/>
      </c>
      <c r="M6" s="47" t="str">
        <f>=IF(OR(LEFT(D6, 3)="TJ ", LEFT(D6, 4)="CPH "), "OUI", "NON")</f>
        <v/>
      </c>
      <c r="N6" s="47" t="s">
        <v>176</v>
      </c>
      <c r="O6" s="47"/>
      <c r="P6" s="47">
        <v>1</v>
      </c>
      <c r="Q6" s="47">
        <v>1</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0.14</v>
      </c>
      <c r="BU6" s="47">
        <v>0.1</v>
      </c>
      <c r="BV6" s="47">
        <v>0.03</v>
      </c>
      <c r="BW6" s="47">
        <v>0</v>
      </c>
      <c r="BX6" s="47">
        <v>0</v>
      </c>
      <c r="BY6" s="47">
        <v>0</v>
      </c>
      <c r="BZ6" s="47">
        <v>0</v>
      </c>
      <c r="CA6" s="47">
        <v>0</v>
      </c>
      <c r="CB6" s="47">
        <v>0.01</v>
      </c>
      <c r="CC6" s="47">
        <v>0</v>
      </c>
      <c r="CD6" s="47">
        <v>0</v>
      </c>
      <c r="CE6" s="47">
        <v>0</v>
      </c>
      <c r="CF6" s="47">
        <v>0</v>
      </c>
      <c r="CG6" s="47">
        <v>0</v>
      </c>
      <c r="CH6" s="47">
        <v>0</v>
      </c>
      <c r="CI6" s="47">
        <v>0</v>
      </c>
      <c r="CJ6" s="47">
        <v>0</v>
      </c>
      <c r="CK6" s="47">
        <v>0</v>
      </c>
      <c r="CL6" s="47">
        <v>0</v>
      </c>
      <c r="CM6" s="47">
        <v>0</v>
      </c>
      <c r="CN6" s="47">
        <v>0</v>
      </c>
      <c r="CO6" s="47">
        <v>0</v>
      </c>
      <c r="CP6" s="47">
        <v>0</v>
      </c>
      <c r="CQ6" s="47">
        <v>0.77</v>
      </c>
      <c r="CR6" s="47">
        <v>0</v>
      </c>
      <c r="CS6" s="47">
        <v>0</v>
      </c>
      <c r="CT6" s="47">
        <v>0</v>
      </c>
      <c r="CU6" s="47">
        <v>0</v>
      </c>
      <c r="CV6" s="47">
        <v>0</v>
      </c>
      <c r="CW6" s="47">
        <v>0</v>
      </c>
      <c r="CX6" s="47">
        <v>0</v>
      </c>
      <c r="CY6" s="47">
        <v>0.09</v>
      </c>
      <c r="CZ6" s="47">
        <v>0.066</v>
      </c>
      <c r="DA6" s="47">
        <v>0.024</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v>0</v>
      </c>
      <c r="DZ6" s="47"/>
      <c r="EA6" s="47">
        <v>1</v>
      </c>
      <c r="ZZ6" t="s">
        <v>1062</v>
      </c>
    </row>
    <row r="7" spans="1:702" x14ac:dyDescent="0.25">
      <c r="A7" s="47" t="s">
        <v>177</v>
      </c>
      <c r="B7" s="47" t="s">
        <v>151</v>
      </c>
      <c r="C7" s="47" t="s">
        <v>155</v>
      </c>
      <c r="D7" s="47" t="s">
        <v>1071</v>
      </c>
      <c r="E7" s="47" t="s">
        <v>178</v>
      </c>
      <c r="F7" s="47" t="s">
        <v>179</v>
      </c>
      <c r="G7" s="47" t="s">
        <v>180</v>
      </c>
      <c r="H7" s="47" t="s">
        <v>161</v>
      </c>
      <c r="I7" s="47" t="s">
        <v>181</v>
      </c>
      <c r="J7" s="47" t="str">
        <f>=IFERROR(VLOOKUP(H7&amp;I7,Table_Fonctions!A:G,6,FALSE),"")</f>
        <v>0</v>
      </c>
      <c r="K7" s="47" t="s">
        <v>1066</v>
      </c>
      <c r="L7" s="47" t="str">
        <f>=IFERROR(VLOOKUP(H7&amp;I7,Table_Fonctions!A:G,7,FALSE),K7)</f>
        <v/>
      </c>
      <c r="M7" s="47" t="str">
        <f>=IF(OR(LEFT(D7, 3)="TJ ", LEFT(D7, 4)="CPH "), "OUI", "NON")</f>
        <v/>
      </c>
      <c r="N7" s="47" t="s">
        <v>182</v>
      </c>
      <c r="O7" s="47"/>
      <c r="P7" s="47">
        <v>0.8</v>
      </c>
      <c r="Q7" s="47">
        <v>0.8</v>
      </c>
      <c r="R7" s="47">
        <v>0</v>
      </c>
      <c r="S7" s="47">
        <f>=ROUND(BQ7-(BR7+BS7),3)</f>
      </c>
      <c r="T7" s="47">
        <f>=ROUND(CK7-(CL7+CM7+CN7+CO7+CP7),3)</f>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0.224</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0.4</v>
      </c>
      <c r="CW7" s="47">
        <v>0</v>
      </c>
      <c r="CX7" s="47">
        <v>0</v>
      </c>
      <c r="CY7" s="47">
        <v>0.176</v>
      </c>
      <c r="CZ7" s="47">
        <v>0.064</v>
      </c>
      <c r="DA7" s="47">
        <v>0.016</v>
      </c>
      <c r="DB7" s="47">
        <v>0.096</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v>0</v>
      </c>
      <c r="DZ7" s="47"/>
      <c r="EA7" s="47">
        <v>0.8</v>
      </c>
      <c r="ZZ7" t="s">
        <v>1062</v>
      </c>
    </row>
    <row r="8" spans="1:702" x14ac:dyDescent="0.25">
      <c r="A8" s="47" t="s">
        <v>183</v>
      </c>
      <c r="B8" s="47" t="s">
        <v>151</v>
      </c>
      <c r="C8" s="47" t="s">
        <v>155</v>
      </c>
      <c r="D8" s="47" t="s">
        <v>1072</v>
      </c>
      <c r="E8" s="47" t="s">
        <v>184</v>
      </c>
      <c r="F8" s="47" t="s">
        <v>185</v>
      </c>
      <c r="G8" s="47" t="s">
        <v>186</v>
      </c>
      <c r="H8" s="47" t="s">
        <v>161</v>
      </c>
      <c r="I8" s="47" t="s">
        <v>187</v>
      </c>
      <c r="J8" s="47" t="str">
        <f>=IFERROR(VLOOKUP(H8&amp;I8,Table_Fonctions!A:G,6,FALSE),"")</f>
        <v>0</v>
      </c>
      <c r="K8" s="47" t="s">
        <v>1066</v>
      </c>
      <c r="L8" s="47" t="str">
        <f>=IFERROR(VLOOKUP(H8&amp;I8,Table_Fonctions!A:G,7,FALSE),K8)</f>
        <v/>
      </c>
      <c r="M8" s="47" t="str">
        <f>=IF(OR(LEFT(D8, 3)="TJ ", LEFT(D8, 4)="CPH "), "OUI", "NON")</f>
        <v/>
      </c>
      <c r="N8" s="47" t="s">
        <v>182</v>
      </c>
      <c r="O8" s="47"/>
      <c r="P8" s="47">
        <v>1</v>
      </c>
      <c r="Q8" s="47">
        <v>0</v>
      </c>
      <c r="R8" s="47">
        <v>1</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v>0</v>
      </c>
      <c r="DZ8" s="47"/>
      <c r="EA8" s="47">
        <v>1</v>
      </c>
      <c r="ZZ8" t="s">
        <v>1062</v>
      </c>
    </row>
    <row r="9" spans="1:702" x14ac:dyDescent="0.25">
      <c r="A9" s="47" t="s">
        <v>188</v>
      </c>
      <c r="B9" s="47" t="s">
        <v>151</v>
      </c>
      <c r="C9" s="47" t="s">
        <v>155</v>
      </c>
      <c r="D9" s="47" t="s">
        <v>1073</v>
      </c>
      <c r="E9" s="47" t="s">
        <v>189</v>
      </c>
      <c r="F9" s="47" t="s">
        <v>190</v>
      </c>
      <c r="G9" s="47" t="s">
        <v>191</v>
      </c>
      <c r="H9" s="47" t="s">
        <v>161</v>
      </c>
      <c r="I9" s="47" t="s">
        <v>192</v>
      </c>
      <c r="J9" s="47" t="str">
        <f>=IFERROR(VLOOKUP(H9&amp;I9,Table_Fonctions!A:G,6,FALSE),"")</f>
        <v>0</v>
      </c>
      <c r="K9" s="47" t="s">
        <v>1066</v>
      </c>
      <c r="L9" s="47" t="str">
        <f>=IFERROR(VLOOKUP(H9&amp;I9,Table_Fonctions!A:G,7,FALSE),K9)</f>
        <v/>
      </c>
      <c r="M9" s="47" t="str">
        <f>=IF(OR(LEFT(D9, 3)="TJ ", LEFT(D9, 4)="CPH "), "OUI", "NON")</f>
        <v/>
      </c>
      <c r="N9" s="47" t="s">
        <v>182</v>
      </c>
      <c r="O9" s="47"/>
      <c r="P9" s="47">
        <v>1</v>
      </c>
      <c r="Q9" s="47">
        <v>1</v>
      </c>
      <c r="R9" s="47">
        <v>0</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0.065</v>
      </c>
      <c r="BU9" s="47">
        <v>0.006</v>
      </c>
      <c r="BV9" s="47">
        <v>0.03</v>
      </c>
      <c r="BW9" s="47">
        <v>0</v>
      </c>
      <c r="BX9" s="47">
        <v>0</v>
      </c>
      <c r="BY9" s="47">
        <v>0</v>
      </c>
      <c r="BZ9" s="47">
        <v>0</v>
      </c>
      <c r="CA9" s="47">
        <v>0</v>
      </c>
      <c r="CB9" s="47">
        <v>0.01</v>
      </c>
      <c r="CC9" s="47">
        <v>0.019</v>
      </c>
      <c r="CD9" s="47">
        <v>0</v>
      </c>
      <c r="CE9" s="47">
        <v>0</v>
      </c>
      <c r="CF9" s="47">
        <v>0</v>
      </c>
      <c r="CG9" s="47">
        <v>0</v>
      </c>
      <c r="CH9" s="47">
        <v>0</v>
      </c>
      <c r="CI9" s="47">
        <v>0</v>
      </c>
      <c r="CJ9" s="47">
        <v>0</v>
      </c>
      <c r="CK9" s="47">
        <v>0</v>
      </c>
      <c r="CL9" s="47">
        <v>0</v>
      </c>
      <c r="CM9" s="47">
        <v>0</v>
      </c>
      <c r="CN9" s="47">
        <v>0</v>
      </c>
      <c r="CO9" s="47">
        <v>0</v>
      </c>
      <c r="CP9" s="47">
        <v>0</v>
      </c>
      <c r="CQ9" s="47">
        <v>0.887</v>
      </c>
      <c r="CR9" s="47">
        <v>0</v>
      </c>
      <c r="CS9" s="47">
        <v>0</v>
      </c>
      <c r="CT9" s="47">
        <v>0</v>
      </c>
      <c r="CU9" s="47">
        <v>0</v>
      </c>
      <c r="CV9" s="47">
        <v>0</v>
      </c>
      <c r="CW9" s="47">
        <v>0</v>
      </c>
      <c r="CX9" s="47">
        <v>0</v>
      </c>
      <c r="CY9" s="47">
        <v>0.048</v>
      </c>
      <c r="CZ9" s="47">
        <v>0</v>
      </c>
      <c r="DA9" s="47">
        <v>0.024</v>
      </c>
      <c r="DB9" s="47">
        <v>0</v>
      </c>
      <c r="DC9" s="47">
        <v>0</v>
      </c>
      <c r="DD9" s="47">
        <v>0</v>
      </c>
      <c r="DE9" s="47">
        <v>0</v>
      </c>
      <c r="DF9" s="47">
        <v>0.024</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v>0</v>
      </c>
      <c r="DZ9" s="47"/>
      <c r="EA9" s="47">
        <v>1</v>
      </c>
      <c r="ZZ9" t="s">
        <v>1062</v>
      </c>
    </row>
    <row r="10" spans="1:702" x14ac:dyDescent="0.25">
      <c r="A10" s="47" t="s">
        <v>193</v>
      </c>
      <c r="B10" s="47" t="s">
        <v>151</v>
      </c>
      <c r="C10" s="47" t="s">
        <v>155</v>
      </c>
      <c r="D10" s="47" t="s">
        <v>1074</v>
      </c>
      <c r="E10" s="47" t="s">
        <v>194</v>
      </c>
      <c r="F10" s="47" t="s">
        <v>195</v>
      </c>
      <c r="G10" s="47" t="s">
        <v>196</v>
      </c>
      <c r="H10" s="47" t="s">
        <v>161</v>
      </c>
      <c r="I10" s="47" t="s">
        <v>197</v>
      </c>
      <c r="J10" s="47" t="str">
        <f>=IFERROR(VLOOKUP(H10&amp;I10,Table_Fonctions!A:G,6,FALSE),"")</f>
        <v>0</v>
      </c>
      <c r="K10" s="47" t="s">
        <v>1066</v>
      </c>
      <c r="L10" s="47" t="str">
        <f>=IFERROR(VLOOKUP(H10&amp;I10,Table_Fonctions!A:G,7,FALSE),K10)</f>
        <v/>
      </c>
      <c r="M10" s="47" t="str">
        <f>=IF(OR(LEFT(D10, 3)="TJ ", LEFT(D10, 4)="CPH "), "OUI", "NON")</f>
        <v/>
      </c>
      <c r="N10" s="47" t="s">
        <v>198</v>
      </c>
      <c r="O10" s="47" t="s">
        <v>169</v>
      </c>
      <c r="P10" s="47">
        <v>0.6667</v>
      </c>
      <c r="Q10" s="47">
        <v>0.6667</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0.6067</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v>
      </c>
      <c r="BP10" s="47">
        <v>0</v>
      </c>
      <c r="BQ10" s="47">
        <v>0</v>
      </c>
      <c r="BR10" s="47">
        <v>0</v>
      </c>
      <c r="BS10" s="47">
        <v>0</v>
      </c>
      <c r="BT10" s="47">
        <v>0.0467</v>
      </c>
      <c r="BU10" s="47">
        <v>0</v>
      </c>
      <c r="BV10" s="47">
        <v>0</v>
      </c>
      <c r="BW10" s="47">
        <v>0</v>
      </c>
      <c r="BX10" s="47">
        <v>0</v>
      </c>
      <c r="BY10" s="47">
        <v>0</v>
      </c>
      <c r="BZ10" s="47">
        <v>0</v>
      </c>
      <c r="CA10" s="47">
        <v>0</v>
      </c>
      <c r="CB10" s="47">
        <v>0.0133</v>
      </c>
      <c r="CC10" s="47">
        <v>0</v>
      </c>
      <c r="CD10" s="47">
        <v>0</v>
      </c>
      <c r="CE10" s="47">
        <v>0</v>
      </c>
      <c r="CF10" s="47">
        <v>0</v>
      </c>
      <c r="CG10" s="47">
        <v>0</v>
      </c>
      <c r="CH10" s="47">
        <v>0</v>
      </c>
      <c r="CI10" s="47">
        <v>0</v>
      </c>
      <c r="CJ10" s="47">
        <v>0.0333</v>
      </c>
      <c r="CK10" s="47">
        <v>0</v>
      </c>
      <c r="CL10" s="47">
        <v>0</v>
      </c>
      <c r="CM10" s="47">
        <v>0</v>
      </c>
      <c r="CN10" s="47">
        <v>0</v>
      </c>
      <c r="CO10" s="47">
        <v>0</v>
      </c>
      <c r="CP10" s="47">
        <v>0</v>
      </c>
      <c r="CQ10" s="47">
        <v>0</v>
      </c>
      <c r="CR10" s="47">
        <v>0</v>
      </c>
      <c r="CS10" s="47">
        <v>0</v>
      </c>
      <c r="CT10" s="47">
        <v>0</v>
      </c>
      <c r="CU10" s="47">
        <v>0</v>
      </c>
      <c r="CV10" s="47">
        <v>0</v>
      </c>
      <c r="CW10" s="47">
        <v>0</v>
      </c>
      <c r="CX10" s="47">
        <v>0</v>
      </c>
      <c r="CY10" s="47">
        <v>0.0133</v>
      </c>
      <c r="CZ10" s="47">
        <v>0</v>
      </c>
      <c r="DA10" s="47">
        <v>0.0133</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v>0</v>
      </c>
      <c r="DZ10" s="47"/>
      <c r="EA10" s="47">
        <v>0.6667</v>
      </c>
      <c r="ZZ10" t="s">
        <v>1062</v>
      </c>
    </row>
    <row r="11" spans="1:702" x14ac:dyDescent="0.25">
      <c r="A11" s="47" t="s">
        <v>199</v>
      </c>
      <c r="B11" s="47" t="s">
        <v>151</v>
      </c>
      <c r="C11" s="47" t="s">
        <v>155</v>
      </c>
      <c r="D11" s="47" t="s">
        <v>1075</v>
      </c>
      <c r="E11" s="47" t="s">
        <v>200</v>
      </c>
      <c r="F11" s="47" t="s">
        <v>201</v>
      </c>
      <c r="G11" s="47" t="s">
        <v>202</v>
      </c>
      <c r="H11" s="47" t="s">
        <v>161</v>
      </c>
      <c r="I11" s="47" t="s">
        <v>187</v>
      </c>
      <c r="J11" s="47" t="str">
        <f>=IFERROR(VLOOKUP(H11&amp;I11,Table_Fonctions!A:G,6,FALSE),"")</f>
        <v>0</v>
      </c>
      <c r="K11" s="47" t="s">
        <v>1066</v>
      </c>
      <c r="L11" s="47" t="str">
        <f>=IFERROR(VLOOKUP(H11&amp;I11,Table_Fonctions!A:G,7,FALSE),K11)</f>
        <v/>
      </c>
      <c r="M11" s="47" t="str">
        <f>=IF(OR(LEFT(D11, 3)="TJ ", LEFT(D11, 4)="CPH "), "OUI", "NON")</f>
        <v/>
      </c>
      <c r="N11" s="47" t="s">
        <v>169</v>
      </c>
      <c r="O11" s="47"/>
      <c r="P11" s="47">
        <v>0.0881</v>
      </c>
      <c r="Q11" s="47">
        <v>0</v>
      </c>
      <c r="R11" s="47">
        <v>0.0881</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v>0</v>
      </c>
      <c r="DZ11" s="47"/>
      <c r="EA11" s="47">
        <v>0.0881</v>
      </c>
      <c r="ZZ11" t="s">
        <v>1062</v>
      </c>
    </row>
    <row r="12" spans="1:702" x14ac:dyDescent="0.25">
      <c r="A12" s="47" t="s">
        <v>203</v>
      </c>
      <c r="B12" s="47" t="s">
        <v>151</v>
      </c>
      <c r="C12" s="47" t="s">
        <v>155</v>
      </c>
      <c r="D12" s="47" t="s">
        <v>1076</v>
      </c>
      <c r="E12" s="47" t="s">
        <v>204</v>
      </c>
      <c r="F12" s="47" t="s">
        <v>205</v>
      </c>
      <c r="G12" s="47" t="s">
        <v>206</v>
      </c>
      <c r="H12" s="47" t="s">
        <v>161</v>
      </c>
      <c r="I12" s="47" t="s">
        <v>207</v>
      </c>
      <c r="J12" s="47" t="str">
        <f>=IFERROR(VLOOKUP(H12&amp;I12,Table_Fonctions!A:G,6,FALSE),"")</f>
        <v>0</v>
      </c>
      <c r="K12" s="47" t="s">
        <v>1066</v>
      </c>
      <c r="L12" s="47" t="str">
        <f>=IFERROR(VLOOKUP(H12&amp;I12,Table_Fonctions!A:G,7,FALSE),K12)</f>
        <v/>
      </c>
      <c r="M12" s="47" t="str">
        <f>=IF(OR(LEFT(D12, 3)="TJ ", LEFT(D12, 4)="CPH "), "OUI", "NON")</f>
        <v/>
      </c>
      <c r="N12" s="47" t="s">
        <v>208</v>
      </c>
      <c r="O12" s="47"/>
      <c r="P12" s="47">
        <v>1</v>
      </c>
      <c r="Q12" s="47">
        <v>1</v>
      </c>
      <c r="R12" s="47">
        <v>0</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0.91</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0.07</v>
      </c>
      <c r="BU12" s="47">
        <v>0</v>
      </c>
      <c r="BV12" s="47">
        <v>0</v>
      </c>
      <c r="BW12" s="47">
        <v>0</v>
      </c>
      <c r="BX12" s="47">
        <v>0</v>
      </c>
      <c r="BY12" s="47">
        <v>0</v>
      </c>
      <c r="BZ12" s="47">
        <v>0</v>
      </c>
      <c r="CA12" s="47">
        <v>0</v>
      </c>
      <c r="CB12" s="47">
        <v>0.02</v>
      </c>
      <c r="CC12" s="47">
        <v>0</v>
      </c>
      <c r="CD12" s="47">
        <v>0</v>
      </c>
      <c r="CE12" s="47">
        <v>0</v>
      </c>
      <c r="CF12" s="47">
        <v>0</v>
      </c>
      <c r="CG12" s="47">
        <v>0</v>
      </c>
      <c r="CH12" s="47">
        <v>0</v>
      </c>
      <c r="CI12" s="47">
        <v>0</v>
      </c>
      <c r="CJ12" s="47">
        <v>0.05</v>
      </c>
      <c r="CK12" s="47">
        <v>0</v>
      </c>
      <c r="CL12" s="47">
        <v>0</v>
      </c>
      <c r="CM12" s="47">
        <v>0</v>
      </c>
      <c r="CN12" s="47">
        <v>0</v>
      </c>
      <c r="CO12" s="47">
        <v>0</v>
      </c>
      <c r="CP12" s="47">
        <v>0</v>
      </c>
      <c r="CQ12" s="47">
        <v>0</v>
      </c>
      <c r="CR12" s="47">
        <v>0</v>
      </c>
      <c r="CS12" s="47">
        <v>0</v>
      </c>
      <c r="CT12" s="47">
        <v>0</v>
      </c>
      <c r="CU12" s="47">
        <v>0</v>
      </c>
      <c r="CV12" s="47">
        <v>0</v>
      </c>
      <c r="CW12" s="47">
        <v>0</v>
      </c>
      <c r="CX12" s="47">
        <v>0</v>
      </c>
      <c r="CY12" s="47">
        <v>0.02</v>
      </c>
      <c r="CZ12" s="47">
        <v>0</v>
      </c>
      <c r="DA12" s="47">
        <v>0.02</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v>0</v>
      </c>
      <c r="DZ12" s="47"/>
      <c r="EA12" s="47">
        <v>1</v>
      </c>
      <c r="ZZ12" t="s">
        <v>1062</v>
      </c>
    </row>
    <row r="13" spans="1:702" x14ac:dyDescent="0.25">
      <c r="A13" s="47" t="s">
        <v>209</v>
      </c>
      <c r="B13" s="47" t="s">
        <v>151</v>
      </c>
      <c r="C13" s="47" t="s">
        <v>155</v>
      </c>
      <c r="D13" s="47" t="s">
        <v>1077</v>
      </c>
      <c r="E13" s="47" t="s">
        <v>210</v>
      </c>
      <c r="F13" s="47" t="s">
        <v>211</v>
      </c>
      <c r="G13" s="47" t="s">
        <v>212</v>
      </c>
      <c r="H13" s="47" t="s">
        <v>161</v>
      </c>
      <c r="I13" s="47" t="s">
        <v>207</v>
      </c>
      <c r="J13" s="47" t="str">
        <f>=IFERROR(VLOOKUP(H13&amp;I13,Table_Fonctions!A:G,6,FALSE),"")</f>
        <v>0</v>
      </c>
      <c r="K13" s="47" t="s">
        <v>1066</v>
      </c>
      <c r="L13" s="47" t="str">
        <f>=IFERROR(VLOOKUP(H13&amp;I13,Table_Fonctions!A:G,7,FALSE),K13)</f>
        <v/>
      </c>
      <c r="M13" s="47" t="str">
        <f>=IF(OR(LEFT(D13, 3)="TJ ", LEFT(D13, 4)="CPH "), "OUI", "NON")</f>
        <v/>
      </c>
      <c r="N13" s="47" t="s">
        <v>213</v>
      </c>
      <c r="O13" s="47"/>
      <c r="P13" s="47">
        <v>1</v>
      </c>
      <c r="Q13" s="47">
        <v>0</v>
      </c>
      <c r="R13" s="47">
        <v>1</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0.0575</v>
      </c>
      <c r="DV13" s="47">
        <v>0</v>
      </c>
      <c r="DW13" s="47">
        <v>0</v>
      </c>
      <c r="DX13" s="47">
        <v>0</v>
      </c>
      <c r="DY13" s="47">
        <v>0.0575</v>
      </c>
      <c r="DZ13" s="47"/>
      <c r="EA13" s="47">
        <v>1</v>
      </c>
      <c r="ZZ13" t="s">
        <v>1062</v>
      </c>
    </row>
    <row r="14" spans="1:702" x14ac:dyDescent="0.25">
      <c r="A14" s="47" t="s">
        <v>214</v>
      </c>
      <c r="B14" s="47" t="s">
        <v>151</v>
      </c>
      <c r="C14" s="47" t="s">
        <v>155</v>
      </c>
      <c r="D14" s="47" t="s">
        <v>1078</v>
      </c>
      <c r="E14" s="47" t="s">
        <v>215</v>
      </c>
      <c r="F14" s="47" t="s">
        <v>216</v>
      </c>
      <c r="G14" s="47" t="s">
        <v>217</v>
      </c>
      <c r="H14" s="47" t="s">
        <v>161</v>
      </c>
      <c r="I14" s="47" t="s">
        <v>218</v>
      </c>
      <c r="J14" s="47" t="str">
        <f>=IFERROR(VLOOKUP(H14&amp;I14,Table_Fonctions!A:G,6,FALSE),"")</f>
        <v>0</v>
      </c>
      <c r="K14" s="47" t="s">
        <v>1066</v>
      </c>
      <c r="L14" s="47" t="str">
        <f>=IFERROR(VLOOKUP(H14&amp;I14,Table_Fonctions!A:G,7,FALSE),K14)</f>
        <v/>
      </c>
      <c r="M14" s="47" t="str">
        <f>=IF(OR(LEFT(D14, 3)="TJ ", LEFT(D14, 4)="CPH "), "OUI", "NON")</f>
        <v/>
      </c>
      <c r="N14" s="47" t="s">
        <v>176</v>
      </c>
      <c r="O14" s="47" t="s">
        <v>169</v>
      </c>
      <c r="P14" s="47">
        <v>0.6667</v>
      </c>
      <c r="Q14" s="47">
        <v>0.6667</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v>
      </c>
      <c r="BP14" s="47">
        <v>0</v>
      </c>
      <c r="BQ14" s="47">
        <v>0.596</v>
      </c>
      <c r="BR14" s="47">
        <v>0.476</v>
      </c>
      <c r="BS14" s="47">
        <v>0.12</v>
      </c>
      <c r="BT14" s="47">
        <v>0.0133</v>
      </c>
      <c r="BU14" s="47">
        <v>0</v>
      </c>
      <c r="BV14" s="47">
        <v>0</v>
      </c>
      <c r="BW14" s="47">
        <v>0</v>
      </c>
      <c r="BX14" s="47">
        <v>0</v>
      </c>
      <c r="BY14" s="47">
        <v>0</v>
      </c>
      <c r="BZ14" s="47">
        <v>0</v>
      </c>
      <c r="CA14" s="47">
        <v>0</v>
      </c>
      <c r="CB14" s="47">
        <v>0.0133</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v>
      </c>
      <c r="CU14" s="47">
        <v>0</v>
      </c>
      <c r="CV14" s="47">
        <v>0.024</v>
      </c>
      <c r="CW14" s="47">
        <v>0</v>
      </c>
      <c r="CX14" s="47">
        <v>0</v>
      </c>
      <c r="CY14" s="47">
        <v>0.0333</v>
      </c>
      <c r="CZ14" s="47">
        <v>0.0333</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v>0</v>
      </c>
      <c r="DZ14" s="47"/>
      <c r="EA14" s="47">
        <v>0.6667</v>
      </c>
      <c r="ZZ14" t="s">
        <v>1062</v>
      </c>
    </row>
    <row r="15" spans="1:702" x14ac:dyDescent="0.25">
      <c r="A15" s="47" t="s">
        <v>219</v>
      </c>
      <c r="B15" s="47" t="s">
        <v>151</v>
      </c>
      <c r="C15" s="47" t="s">
        <v>155</v>
      </c>
      <c r="D15" s="47" t="s">
        <v>1079</v>
      </c>
      <c r="E15" s="47" t="s">
        <v>220</v>
      </c>
      <c r="F15" s="47" t="s">
        <v>221</v>
      </c>
      <c r="G15" s="47" t="s">
        <v>222</v>
      </c>
      <c r="H15" s="47" t="s">
        <v>161</v>
      </c>
      <c r="I15" s="47" t="s">
        <v>192</v>
      </c>
      <c r="J15" s="47" t="str">
        <f>=IFERROR(VLOOKUP(H15&amp;I15,Table_Fonctions!A:G,6,FALSE),"")</f>
        <v>0</v>
      </c>
      <c r="K15" s="47" t="s">
        <v>1066</v>
      </c>
      <c r="L15" s="47" t="str">
        <f>=IFERROR(VLOOKUP(H15&amp;I15,Table_Fonctions!A:G,7,FALSE),K15)</f>
        <v/>
      </c>
      <c r="M15" s="47" t="str">
        <f>=IF(OR(LEFT(D15, 3)="TJ ", LEFT(D15, 4)="CPH "), "OUI", "NON")</f>
        <v/>
      </c>
      <c r="N15" s="47" t="s">
        <v>223</v>
      </c>
      <c r="O15" s="47"/>
      <c r="P15" s="47">
        <v>1</v>
      </c>
      <c r="Q15" s="47">
        <v>1</v>
      </c>
      <c r="R15" s="47">
        <v>0</v>
      </c>
      <c r="S15" s="47">
        <f>=ROUND(BQ15-(BR15+BS15),3)</f>
      </c>
      <c r="T15" s="47">
        <f>=ROUND(CK15-(CL15+CM15+CN15+CO15+CP15),3)</f>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v>
      </c>
      <c r="BP15" s="47">
        <v>0</v>
      </c>
      <c r="BQ15" s="47">
        <v>0</v>
      </c>
      <c r="BR15" s="47">
        <v>0</v>
      </c>
      <c r="BS15" s="47">
        <v>0</v>
      </c>
      <c r="BT15" s="47">
        <v>0.05</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0.91</v>
      </c>
      <c r="CR15" s="47">
        <v>0</v>
      </c>
      <c r="CS15" s="47">
        <v>0</v>
      </c>
      <c r="CT15" s="47">
        <v>0</v>
      </c>
      <c r="CU15" s="47">
        <v>0</v>
      </c>
      <c r="CV15" s="47">
        <v>0</v>
      </c>
      <c r="CW15" s="47">
        <v>0</v>
      </c>
      <c r="CX15" s="47">
        <v>0</v>
      </c>
      <c r="CY15" s="47">
        <v>0.04</v>
      </c>
      <c r="CZ15" s="47">
        <v>0</v>
      </c>
      <c r="DA15" s="47">
        <v>0.02</v>
      </c>
      <c r="DB15" s="47">
        <v>0.02</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0.0307</v>
      </c>
      <c r="DW15" s="47">
        <v>0</v>
      </c>
      <c r="DX15" s="47">
        <v>0</v>
      </c>
      <c r="DY15" s="47">
        <v>0.0307</v>
      </c>
      <c r="DZ15" s="47"/>
      <c r="EA15" s="47">
        <v>1</v>
      </c>
      <c r="ZZ15" t="s">
        <v>1062</v>
      </c>
    </row>
    <row r="16" spans="1:702" x14ac:dyDescent="0.25">
      <c r="A16" s="47" t="s">
        <v>224</v>
      </c>
      <c r="B16" s="47" t="s">
        <v>151</v>
      </c>
      <c r="C16" s="47" t="s">
        <v>155</v>
      </c>
      <c r="D16" s="47" t="s">
        <v>1080</v>
      </c>
      <c r="E16" s="47" t="s">
        <v>225</v>
      </c>
      <c r="F16" s="47" t="s">
        <v>226</v>
      </c>
      <c r="G16" s="47" t="s">
        <v>227</v>
      </c>
      <c r="H16" s="47" t="s">
        <v>161</v>
      </c>
      <c r="I16" s="47" t="s">
        <v>162</v>
      </c>
      <c r="J16" s="47" t="str">
        <f>=IFERROR(VLOOKUP(H16&amp;I16,Table_Fonctions!A:G,6,FALSE),"")</f>
        <v>0</v>
      </c>
      <c r="K16" s="47" t="s">
        <v>1066</v>
      </c>
      <c r="L16" s="47" t="str">
        <f>=IFERROR(VLOOKUP(H16&amp;I16,Table_Fonctions!A:G,7,FALSE),K16)</f>
        <v/>
      </c>
      <c r="M16" s="47" t="str">
        <f>=IF(OR(LEFT(D16, 3)="TJ ", LEFT(D16, 4)="CPH "), "OUI", "NON")</f>
        <v/>
      </c>
      <c r="N16" s="47" t="s">
        <v>228</v>
      </c>
      <c r="O16" s="47"/>
      <c r="P16" s="47">
        <v>0.9</v>
      </c>
      <c r="Q16" s="47">
        <v>0</v>
      </c>
      <c r="R16" s="47">
        <v>0.9</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v>0</v>
      </c>
      <c r="DZ16" s="47"/>
      <c r="EA16" s="47">
        <v>0.9</v>
      </c>
      <c r="ZZ16" t="s">
        <v>1062</v>
      </c>
    </row>
    <row r="17" spans="1:702" x14ac:dyDescent="0.25">
      <c r="A17" s="47" t="s">
        <v>229</v>
      </c>
      <c r="B17" s="47" t="s">
        <v>151</v>
      </c>
      <c r="C17" s="47" t="s">
        <v>155</v>
      </c>
      <c r="D17" s="47" t="s">
        <v>1081</v>
      </c>
      <c r="E17" s="47" t="s">
        <v>230</v>
      </c>
      <c r="F17" s="47" t="s">
        <v>231</v>
      </c>
      <c r="G17" s="47" t="s">
        <v>232</v>
      </c>
      <c r="H17" s="47" t="s">
        <v>161</v>
      </c>
      <c r="I17" s="47" t="s">
        <v>207</v>
      </c>
      <c r="J17" s="47" t="str">
        <f>=IFERROR(VLOOKUP(H17&amp;I17,Table_Fonctions!A:G,6,FALSE),"")</f>
        <v>0</v>
      </c>
      <c r="K17" s="47" t="s">
        <v>1066</v>
      </c>
      <c r="L17" s="47" t="str">
        <f>=IFERROR(VLOOKUP(H17&amp;I17,Table_Fonctions!A:G,7,FALSE),K17)</f>
        <v/>
      </c>
      <c r="M17" s="47" t="str">
        <f>=IF(OR(LEFT(D17, 3)="TJ ", LEFT(D17, 4)="CPH "), "OUI", "NON")</f>
        <v/>
      </c>
      <c r="N17" s="47" t="s">
        <v>233</v>
      </c>
      <c r="O17" s="47"/>
      <c r="P17" s="47">
        <v>1</v>
      </c>
      <c r="Q17" s="47">
        <v>1</v>
      </c>
      <c r="R17" s="47">
        <v>0</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0.92</v>
      </c>
      <c r="AT17" s="47">
        <v>0</v>
      </c>
      <c r="AU17" s="47">
        <v>0</v>
      </c>
      <c r="AV17" s="47">
        <v>0</v>
      </c>
      <c r="AW17" s="47">
        <v>0.25</v>
      </c>
      <c r="AX17" s="47">
        <v>0.465</v>
      </c>
      <c r="AY17" s="47">
        <v>0</v>
      </c>
      <c r="AZ17" s="47">
        <v>0</v>
      </c>
      <c r="BA17" s="47">
        <v>0</v>
      </c>
      <c r="BB17" s="47">
        <v>0</v>
      </c>
      <c r="BC17" s="47">
        <v>0</v>
      </c>
      <c r="BD17" s="47">
        <v>0</v>
      </c>
      <c r="BE17" s="47">
        <v>0</v>
      </c>
      <c r="BF17" s="47">
        <v>0</v>
      </c>
      <c r="BG17" s="47">
        <v>0</v>
      </c>
      <c r="BH17" s="47">
        <v>0.005</v>
      </c>
      <c r="BI17" s="47">
        <v>0</v>
      </c>
      <c r="BJ17" s="47">
        <v>0.2</v>
      </c>
      <c r="BK17" s="47">
        <v>0</v>
      </c>
      <c r="BL17" s="47">
        <v>0</v>
      </c>
      <c r="BM17" s="47">
        <v>0</v>
      </c>
      <c r="BN17" s="47">
        <v>0</v>
      </c>
      <c r="BO17" s="47">
        <v>0</v>
      </c>
      <c r="BP17" s="47">
        <v>0</v>
      </c>
      <c r="BQ17" s="47">
        <v>0</v>
      </c>
      <c r="BR17" s="47">
        <v>0</v>
      </c>
      <c r="BS17" s="47">
        <v>0</v>
      </c>
      <c r="BT17" s="47">
        <v>0.05</v>
      </c>
      <c r="BU17" s="47">
        <v>0.03</v>
      </c>
      <c r="BV17" s="47">
        <v>0</v>
      </c>
      <c r="BW17" s="47">
        <v>0</v>
      </c>
      <c r="BX17" s="47">
        <v>0</v>
      </c>
      <c r="BY17" s="47">
        <v>0</v>
      </c>
      <c r="BZ17" s="47">
        <v>0</v>
      </c>
      <c r="CA17" s="47">
        <v>0</v>
      </c>
      <c r="CB17" s="47">
        <v>0.02</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0.03</v>
      </c>
      <c r="CZ17" s="47">
        <v>0.01</v>
      </c>
      <c r="DA17" s="47">
        <v>0.02</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0.2069</v>
      </c>
      <c r="DW17" s="47">
        <v>0</v>
      </c>
      <c r="DX17" s="47">
        <v>0</v>
      </c>
      <c r="DY17" s="47">
        <v>0.2069</v>
      </c>
      <c r="DZ17" s="47"/>
      <c r="EA17" s="47">
        <v>1</v>
      </c>
      <c r="ZZ17" t="s">
        <v>1062</v>
      </c>
    </row>
    <row r="18" spans="1:702" x14ac:dyDescent="0.25">
      <c r="A18" s="47" t="s">
        <v>234</v>
      </c>
      <c r="B18" s="47" t="s">
        <v>151</v>
      </c>
      <c r="C18" s="47" t="s">
        <v>155</v>
      </c>
      <c r="D18" s="47" t="s">
        <v>1082</v>
      </c>
      <c r="E18" s="47" t="s">
        <v>235</v>
      </c>
      <c r="F18" s="47" t="s">
        <v>236</v>
      </c>
      <c r="G18" s="47" t="s">
        <v>237</v>
      </c>
      <c r="H18" s="47" t="s">
        <v>161</v>
      </c>
      <c r="I18" s="47" t="s">
        <v>218</v>
      </c>
      <c r="J18" s="47" t="str">
        <f>=IFERROR(VLOOKUP(H18&amp;I18,Table_Fonctions!A:G,6,FALSE),"")</f>
        <v>0</v>
      </c>
      <c r="K18" s="47" t="s">
        <v>1066</v>
      </c>
      <c r="L18" s="47" t="str">
        <f>=IFERROR(VLOOKUP(H18&amp;I18,Table_Fonctions!A:G,7,FALSE),K18)</f>
        <v/>
      </c>
      <c r="M18" s="47" t="str">
        <f>=IF(OR(LEFT(D18, 3)="TJ ", LEFT(D18, 4)="CPH "), "OUI", "NON")</f>
        <v/>
      </c>
      <c r="N18" s="47" t="s">
        <v>213</v>
      </c>
      <c r="O18" s="47"/>
      <c r="P18" s="47">
        <v>1</v>
      </c>
      <c r="Q18" s="47">
        <v>1</v>
      </c>
      <c r="R18" s="47">
        <v>0</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0.05</v>
      </c>
      <c r="BN18" s="47">
        <v>0</v>
      </c>
      <c r="BO18" s="47">
        <v>0</v>
      </c>
      <c r="BP18" s="47">
        <v>0</v>
      </c>
      <c r="BQ18" s="47">
        <v>0.8</v>
      </c>
      <c r="BR18" s="47">
        <v>0.5</v>
      </c>
      <c r="BS18" s="47">
        <v>0.3</v>
      </c>
      <c r="BT18" s="47">
        <v>0.03</v>
      </c>
      <c r="BU18" s="47">
        <v>0.03</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0.05</v>
      </c>
      <c r="CW18" s="47">
        <v>0</v>
      </c>
      <c r="CX18" s="47">
        <v>0</v>
      </c>
      <c r="CY18" s="47">
        <v>0.07</v>
      </c>
      <c r="CZ18" s="47">
        <v>0</v>
      </c>
      <c r="DA18" s="47">
        <v>0.07</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v>0</v>
      </c>
      <c r="DZ18" s="47"/>
      <c r="EA18" s="47">
        <v>1</v>
      </c>
      <c r="ZZ18" t="s">
        <v>1062</v>
      </c>
    </row>
    <row r="19" spans="1:702" x14ac:dyDescent="0.25">
      <c r="A19" s="47" t="s">
        <v>238</v>
      </c>
      <c r="B19" s="47" t="s">
        <v>151</v>
      </c>
      <c r="C19" s="47" t="s">
        <v>155</v>
      </c>
      <c r="D19" s="47" t="s">
        <v>1083</v>
      </c>
      <c r="E19" s="47" t="s">
        <v>239</v>
      </c>
      <c r="F19" s="47" t="s">
        <v>240</v>
      </c>
      <c r="G19" s="47" t="s">
        <v>241</v>
      </c>
      <c r="H19" s="47" t="s">
        <v>161</v>
      </c>
      <c r="I19" s="47" t="s">
        <v>242</v>
      </c>
      <c r="J19" s="47" t="str">
        <f>=IFERROR(VLOOKUP(H19&amp;I19,Table_Fonctions!A:G,6,FALSE),"")</f>
        <v>0</v>
      </c>
      <c r="K19" s="47" t="s">
        <v>1066</v>
      </c>
      <c r="L19" s="47" t="str">
        <f>=IFERROR(VLOOKUP(H19&amp;I19,Table_Fonctions!A:G,7,FALSE),K19)</f>
        <v/>
      </c>
      <c r="M19" s="47" t="str">
        <f>=IF(OR(LEFT(D19, 3)="TJ ", LEFT(D19, 4)="CPH "), "OUI", "NON")</f>
        <v/>
      </c>
      <c r="N19" s="47" t="s">
        <v>169</v>
      </c>
      <c r="O19" s="47"/>
      <c r="P19" s="47">
        <v>0.3372</v>
      </c>
      <c r="Q19" s="47">
        <v>0</v>
      </c>
      <c r="R19" s="47">
        <v>0.3372</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v>0</v>
      </c>
      <c r="DZ19" s="47"/>
      <c r="EA19" s="47">
        <v>0.3372</v>
      </c>
      <c r="ZZ19" t="s">
        <v>1062</v>
      </c>
    </row>
    <row r="20" spans="1:702" x14ac:dyDescent="0.25">
      <c r="A20" s="47" t="s">
        <v>243</v>
      </c>
      <c r="B20" s="47" t="s">
        <v>151</v>
      </c>
      <c r="C20" s="47" t="s">
        <v>155</v>
      </c>
      <c r="D20" s="47" t="s">
        <v>1084</v>
      </c>
      <c r="E20" s="47" t="s">
        <v>244</v>
      </c>
      <c r="F20" s="47" t="s">
        <v>245</v>
      </c>
      <c r="G20" s="47" t="s">
        <v>246</v>
      </c>
      <c r="H20" s="47" t="s">
        <v>161</v>
      </c>
      <c r="I20" s="47" t="s">
        <v>207</v>
      </c>
      <c r="J20" s="47" t="str">
        <f>=IFERROR(VLOOKUP(H20&amp;I20,Table_Fonctions!A:G,6,FALSE),"")</f>
        <v>0</v>
      </c>
      <c r="K20" s="47" t="s">
        <v>1066</v>
      </c>
      <c r="L20" s="47" t="str">
        <f>=IFERROR(VLOOKUP(H20&amp;I20,Table_Fonctions!A:G,7,FALSE),K20)</f>
        <v/>
      </c>
      <c r="M20" s="47" t="str">
        <f>=IF(OR(LEFT(D20, 3)="TJ ", LEFT(D20, 4)="CPH "), "OUI", "NON")</f>
        <v/>
      </c>
      <c r="N20" s="47" t="s">
        <v>213</v>
      </c>
      <c r="O20" s="47"/>
      <c r="P20" s="47">
        <v>1</v>
      </c>
      <c r="Q20" s="47">
        <v>0</v>
      </c>
      <c r="R20" s="47">
        <v>1</v>
      </c>
      <c r="S20" s="47">
        <f>=ROUND(BQ20-(BR20+BS20),3)</f>
      </c>
      <c r="T20" s="47">
        <f>=ROUND(CK20-(CL20+CM20+CN20+CO20+CP20),3)</f>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v>0</v>
      </c>
      <c r="DZ20" s="47"/>
      <c r="EA20" s="47">
        <v>1</v>
      </c>
      <c r="ZZ20" t="s">
        <v>1062</v>
      </c>
    </row>
    <row r="21" spans="1:702" x14ac:dyDescent="0.25">
      <c r="A21" s="47" t="s">
        <v>247</v>
      </c>
      <c r="B21" s="47" t="s">
        <v>151</v>
      </c>
      <c r="C21" s="47" t="s">
        <v>155</v>
      </c>
      <c r="D21" s="47" t="s">
        <v>1085</v>
      </c>
      <c r="E21" s="47" t="s">
        <v>248</v>
      </c>
      <c r="F21" s="47" t="s">
        <v>249</v>
      </c>
      <c r="G21" s="47" t="s">
        <v>250</v>
      </c>
      <c r="H21" s="47" t="s">
        <v>161</v>
      </c>
      <c r="I21" s="47" t="s">
        <v>251</v>
      </c>
      <c r="J21" s="47" t="str">
        <f>=IFERROR(VLOOKUP(H21&amp;I21,Table_Fonctions!A:G,6,FALSE),"")</f>
        <v>0</v>
      </c>
      <c r="K21" s="47" t="s">
        <v>1066</v>
      </c>
      <c r="L21" s="47" t="str">
        <f>=IFERROR(VLOOKUP(H21&amp;I21,Table_Fonctions!A:G,7,FALSE),K21)</f>
        <v/>
      </c>
      <c r="M21" s="47" t="str">
        <f>=IF(OR(LEFT(D21, 3)="TJ ", LEFT(D21, 4)="CPH "), "OUI", "NON")</f>
        <v/>
      </c>
      <c r="N21" s="47" t="s">
        <v>163</v>
      </c>
      <c r="O21" s="47"/>
      <c r="P21" s="47">
        <v>1</v>
      </c>
      <c r="Q21" s="47">
        <v>0</v>
      </c>
      <c r="R21" s="47">
        <v>1</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c r="DT21" s="47">
        <v>0</v>
      </c>
      <c r="DU21" s="47">
        <v>0</v>
      </c>
      <c r="DV21" s="47">
        <v>0</v>
      </c>
      <c r="DW21" s="47">
        <v>0</v>
      </c>
      <c r="DX21" s="47">
        <v>0</v>
      </c>
      <c r="DY21" s="47">
        <v>0</v>
      </c>
      <c r="DZ21" s="47"/>
      <c r="EA21" s="47">
        <v>1</v>
      </c>
      <c r="ZZ21" t="s">
        <v>1062</v>
      </c>
    </row>
    <row r="22" spans="1:702" x14ac:dyDescent="0.25">
      <c r="A22" s="47" t="s">
        <v>252</v>
      </c>
      <c r="B22" s="47" t="s">
        <v>151</v>
      </c>
      <c r="C22" s="47" t="s">
        <v>155</v>
      </c>
      <c r="D22" s="47" t="s">
        <v>1086</v>
      </c>
      <c r="E22" s="47" t="s">
        <v>253</v>
      </c>
      <c r="F22" s="47" t="s">
        <v>254</v>
      </c>
      <c r="G22" s="47" t="s">
        <v>255</v>
      </c>
      <c r="H22" s="47" t="s">
        <v>161</v>
      </c>
      <c r="I22" s="47" t="s">
        <v>256</v>
      </c>
      <c r="J22" s="47" t="str">
        <f>=IFERROR(VLOOKUP(H22&amp;I22,Table_Fonctions!A:G,6,FALSE),"")</f>
        <v>0</v>
      </c>
      <c r="K22" s="47" t="s">
        <v>1066</v>
      </c>
      <c r="L22" s="47" t="str">
        <f>=IFERROR(VLOOKUP(H22&amp;I22,Table_Fonctions!A:G,7,FALSE),K22)</f>
        <v/>
      </c>
      <c r="M22" s="47" t="str">
        <f>=IF(OR(LEFT(D22, 3)="TJ ", LEFT(D22, 4)="CPH "), "OUI", "NON")</f>
        <v/>
      </c>
      <c r="N22" s="47" t="s">
        <v>257</v>
      </c>
      <c r="O22" s="47"/>
      <c r="P22" s="47">
        <v>1</v>
      </c>
      <c r="Q22" s="47">
        <v>1</v>
      </c>
      <c r="R22" s="47">
        <v>0</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0.91</v>
      </c>
      <c r="BR22" s="47">
        <v>0</v>
      </c>
      <c r="BS22" s="47">
        <v>0</v>
      </c>
      <c r="BT22" s="47">
        <v>0.02</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v>
      </c>
      <c r="CW22" s="47">
        <v>0</v>
      </c>
      <c r="CX22" s="47">
        <v>0</v>
      </c>
      <c r="CY22" s="47">
        <v>0.07</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v>0</v>
      </c>
      <c r="DZ22" s="47"/>
      <c r="EA22" s="47">
        <v>1</v>
      </c>
      <c r="ZZ22" t="s">
        <v>1062</v>
      </c>
    </row>
    <row r="23" spans="1:702" x14ac:dyDescent="0.25">
      <c r="A23" s="47" t="s">
        <v>258</v>
      </c>
      <c r="B23" s="47" t="s">
        <v>151</v>
      </c>
      <c r="C23" s="47" t="s">
        <v>155</v>
      </c>
      <c r="D23" s="47" t="s">
        <v>1087</v>
      </c>
      <c r="E23" s="47" t="s">
        <v>259</v>
      </c>
      <c r="F23" s="47" t="s">
        <v>260</v>
      </c>
      <c r="G23" s="47" t="s">
        <v>261</v>
      </c>
      <c r="H23" s="47" t="s">
        <v>161</v>
      </c>
      <c r="I23" s="47" t="s">
        <v>262</v>
      </c>
      <c r="J23" s="47" t="str">
        <f>=IFERROR(VLOOKUP(H23&amp;I23,Table_Fonctions!A:G,6,FALSE),"")</f>
        <v>0</v>
      </c>
      <c r="K23" s="47" t="s">
        <v>1066</v>
      </c>
      <c r="L23" s="47" t="str">
        <f>=IFERROR(VLOOKUP(H23&amp;I23,Table_Fonctions!A:G,7,FALSE),K23)</f>
        <v/>
      </c>
      <c r="M23" s="47" t="str">
        <f>=IF(OR(LEFT(D23, 3)="TJ ", LEFT(D23, 4)="CPH "), "OUI", "NON")</f>
        <v/>
      </c>
      <c r="N23" s="47" t="s">
        <v>263</v>
      </c>
      <c r="O23" s="47"/>
      <c r="P23" s="47">
        <v>1</v>
      </c>
      <c r="Q23" s="47">
        <v>1</v>
      </c>
      <c r="R23" s="47">
        <v>0</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0.07</v>
      </c>
      <c r="BU23" s="47">
        <v>0</v>
      </c>
      <c r="BV23" s="47">
        <v>0</v>
      </c>
      <c r="BW23" s="47">
        <v>0</v>
      </c>
      <c r="BX23" s="47">
        <v>0</v>
      </c>
      <c r="BY23" s="47">
        <v>0</v>
      </c>
      <c r="BZ23" s="47">
        <v>0</v>
      </c>
      <c r="CA23" s="47">
        <v>0</v>
      </c>
      <c r="CB23" s="47">
        <v>0.02</v>
      </c>
      <c r="CC23" s="47">
        <v>0</v>
      </c>
      <c r="CD23" s="47">
        <v>0</v>
      </c>
      <c r="CE23" s="47">
        <v>0</v>
      </c>
      <c r="CF23" s="47">
        <v>0</v>
      </c>
      <c r="CG23" s="47">
        <v>0</v>
      </c>
      <c r="CH23" s="47">
        <v>0</v>
      </c>
      <c r="CI23" s="47">
        <v>0</v>
      </c>
      <c r="CJ23" s="47">
        <v>0.05</v>
      </c>
      <c r="CK23" s="47">
        <v>0.91</v>
      </c>
      <c r="CL23" s="47">
        <v>0.91</v>
      </c>
      <c r="CM23" s="47">
        <v>0</v>
      </c>
      <c r="CN23" s="47">
        <v>0</v>
      </c>
      <c r="CO23" s="47">
        <v>0</v>
      </c>
      <c r="CP23" s="47">
        <v>0</v>
      </c>
      <c r="CQ23" s="47">
        <v>0</v>
      </c>
      <c r="CR23" s="47">
        <v>0</v>
      </c>
      <c r="CS23" s="47">
        <v>0</v>
      </c>
      <c r="CT23" s="47">
        <v>0</v>
      </c>
      <c r="CU23" s="47">
        <v>0</v>
      </c>
      <c r="CV23" s="47">
        <v>0</v>
      </c>
      <c r="CW23" s="47">
        <v>0</v>
      </c>
      <c r="CX23" s="47">
        <v>0</v>
      </c>
      <c r="CY23" s="47">
        <v>0.02</v>
      </c>
      <c r="CZ23" s="47">
        <v>0</v>
      </c>
      <c r="DA23" s="47">
        <v>0.02</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v>0</v>
      </c>
      <c r="DZ23" s="47"/>
      <c r="EA23" s="47">
        <v>1</v>
      </c>
      <c r="ZZ23" t="s">
        <v>1062</v>
      </c>
    </row>
    <row r="24" spans="1:702" x14ac:dyDescent="0.25">
      <c r="A24" s="47" t="s">
        <v>264</v>
      </c>
      <c r="B24" s="47" t="s">
        <v>151</v>
      </c>
      <c r="C24" s="47" t="s">
        <v>155</v>
      </c>
      <c r="D24" s="47" t="s">
        <v>1088</v>
      </c>
      <c r="E24" s="47" t="s">
        <v>265</v>
      </c>
      <c r="F24" s="47" t="s">
        <v>266</v>
      </c>
      <c r="G24" s="47" t="s">
        <v>267</v>
      </c>
      <c r="H24" s="47" t="s">
        <v>161</v>
      </c>
      <c r="I24" s="47" t="s">
        <v>256</v>
      </c>
      <c r="J24" s="47" t="str">
        <f>=IFERROR(VLOOKUP(H24&amp;I24,Table_Fonctions!A:G,6,FALSE),"")</f>
        <v>0</v>
      </c>
      <c r="K24" s="47" t="s">
        <v>1066</v>
      </c>
      <c r="L24" s="47" t="str">
        <f>=IFERROR(VLOOKUP(H24&amp;I24,Table_Fonctions!A:G,7,FALSE),K24)</f>
        <v/>
      </c>
      <c r="M24" s="47" t="str">
        <f>=IF(OR(LEFT(D24, 3)="TJ ", LEFT(D24, 4)="CPH "), "OUI", "NON")</f>
        <v/>
      </c>
      <c r="N24" s="47" t="s">
        <v>213</v>
      </c>
      <c r="O24" s="47"/>
      <c r="P24" s="47">
        <v>1</v>
      </c>
      <c r="Q24" s="47">
        <v>0</v>
      </c>
      <c r="R24" s="47">
        <v>1</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v>0</v>
      </c>
      <c r="DZ24" s="47"/>
      <c r="EA24" s="47">
        <v>1</v>
      </c>
      <c r="ZZ24" t="s">
        <v>1062</v>
      </c>
    </row>
    <row r="25" spans="1:702" x14ac:dyDescent="0.25">
      <c r="A25" s="47" t="s">
        <v>268</v>
      </c>
      <c r="B25" s="47" t="s">
        <v>151</v>
      </c>
      <c r="C25" s="47" t="s">
        <v>155</v>
      </c>
      <c r="D25" s="47" t="s">
        <v>1089</v>
      </c>
      <c r="E25" s="47" t="s">
        <v>269</v>
      </c>
      <c r="F25" s="47" t="s">
        <v>270</v>
      </c>
      <c r="G25" s="47" t="s">
        <v>271</v>
      </c>
      <c r="H25" s="47" t="s">
        <v>161</v>
      </c>
      <c r="I25" s="47" t="s">
        <v>162</v>
      </c>
      <c r="J25" s="47" t="str">
        <f>=IFERROR(VLOOKUP(H25&amp;I25,Table_Fonctions!A:G,6,FALSE),"")</f>
        <v>0</v>
      </c>
      <c r="K25" s="47" t="s">
        <v>1066</v>
      </c>
      <c r="L25" s="47" t="str">
        <f>=IFERROR(VLOOKUP(H25&amp;I25,Table_Fonctions!A:G,7,FALSE),K25)</f>
        <v/>
      </c>
      <c r="M25" s="47" t="str">
        <f>=IF(OR(LEFT(D25, 3)="TJ ", LEFT(D25, 4)="CPH "), "OUI", "NON")</f>
        <v/>
      </c>
      <c r="N25" s="47" t="s">
        <v>257</v>
      </c>
      <c r="O25" s="47"/>
      <c r="P25" s="47">
        <v>1</v>
      </c>
      <c r="Q25" s="47">
        <v>1</v>
      </c>
      <c r="R25" s="47">
        <v>0</v>
      </c>
      <c r="S25" s="47">
        <f>=ROUND(BQ25-(BR25+BS25),3)</f>
      </c>
      <c r="T25" s="47">
        <f>=ROUND(CK25-(CL25+CM25+CN25+CO25+CP25),3)</f>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0.835</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0.03</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0.05</v>
      </c>
      <c r="CW25" s="47">
        <v>0</v>
      </c>
      <c r="CX25" s="47">
        <v>0</v>
      </c>
      <c r="CY25" s="47">
        <v>0.085</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v>
      </c>
      <c r="DV25" s="47">
        <v>0</v>
      </c>
      <c r="DW25" s="47">
        <v>0</v>
      </c>
      <c r="DX25" s="47">
        <v>0</v>
      </c>
      <c r="DY25" s="47">
        <v>0</v>
      </c>
      <c r="DZ25" s="47"/>
      <c r="EA25" s="47">
        <v>1</v>
      </c>
      <c r="ZZ25" t="s">
        <v>1062</v>
      </c>
    </row>
    <row r="26" spans="1:702" x14ac:dyDescent="0.25">
      <c r="A26" s="47" t="s">
        <v>272</v>
      </c>
      <c r="B26" s="47" t="s">
        <v>151</v>
      </c>
      <c r="C26" s="47" t="s">
        <v>155</v>
      </c>
      <c r="D26" s="47" t="s">
        <v>1090</v>
      </c>
      <c r="E26" s="47" t="s">
        <v>273</v>
      </c>
      <c r="F26" s="47" t="s">
        <v>274</v>
      </c>
      <c r="G26" s="47" t="s">
        <v>275</v>
      </c>
      <c r="H26" s="47" t="s">
        <v>161</v>
      </c>
      <c r="I26" s="47" t="s">
        <v>256</v>
      </c>
      <c r="J26" s="47" t="str">
        <f>=IFERROR(VLOOKUP(H26&amp;I26,Table_Fonctions!A:G,6,FALSE),"")</f>
        <v>0</v>
      </c>
      <c r="K26" s="47" t="s">
        <v>1066</v>
      </c>
      <c r="L26" s="47" t="str">
        <f>=IFERROR(VLOOKUP(H26&amp;I26,Table_Fonctions!A:G,7,FALSE),K26)</f>
        <v/>
      </c>
      <c r="M26" s="47" t="str">
        <f>=IF(OR(LEFT(D26, 3)="TJ ", LEFT(D26, 4)="CPH "), "OUI", "NON")</f>
        <v/>
      </c>
      <c r="N26" s="47" t="s">
        <v>182</v>
      </c>
      <c r="O26" s="47"/>
      <c r="P26" s="47">
        <v>1</v>
      </c>
      <c r="Q26" s="47">
        <v>0</v>
      </c>
      <c r="R26" s="47">
        <v>1</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c r="DU26" s="47">
        <v>0</v>
      </c>
      <c r="DV26" s="47">
        <v>0</v>
      </c>
      <c r="DW26" s="47">
        <v>0</v>
      </c>
      <c r="DX26" s="47">
        <v>0</v>
      </c>
      <c r="DY26" s="47">
        <v>0</v>
      </c>
      <c r="DZ26" s="47"/>
      <c r="EA26" s="47">
        <v>1</v>
      </c>
      <c r="ZZ26" t="s">
        <v>1062</v>
      </c>
    </row>
    <row r="27" spans="1:702" x14ac:dyDescent="0.25">
      <c r="A27" s="47" t="s">
        <v>276</v>
      </c>
      <c r="B27" s="47" t="s">
        <v>151</v>
      </c>
      <c r="C27" s="47" t="s">
        <v>155</v>
      </c>
      <c r="D27" s="47" t="s">
        <v>1091</v>
      </c>
      <c r="E27" s="47" t="s">
        <v>277</v>
      </c>
      <c r="F27" s="47" t="s">
        <v>278</v>
      </c>
      <c r="G27" s="47" t="s">
        <v>279</v>
      </c>
      <c r="H27" s="47" t="s">
        <v>161</v>
      </c>
      <c r="I27" s="47" t="s">
        <v>175</v>
      </c>
      <c r="J27" s="47" t="str">
        <f>=IFERROR(VLOOKUP(H27&amp;I27,Table_Fonctions!A:G,6,FALSE),"")</f>
        <v>0</v>
      </c>
      <c r="K27" s="47" t="s">
        <v>1066</v>
      </c>
      <c r="L27" s="47" t="str">
        <f>=IFERROR(VLOOKUP(H27&amp;I27,Table_Fonctions!A:G,7,FALSE),K27)</f>
        <v/>
      </c>
      <c r="M27" s="47" t="str">
        <f>=IF(OR(LEFT(D27, 3)="TJ ", LEFT(D27, 4)="CPH "), "OUI", "NON")</f>
        <v/>
      </c>
      <c r="N27" s="47" t="s">
        <v>213</v>
      </c>
      <c r="O27" s="47"/>
      <c r="P27" s="47">
        <v>0.8</v>
      </c>
      <c r="Q27" s="47">
        <v>0.7966</v>
      </c>
      <c r="R27" s="47">
        <v>0.0034</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0.0877</v>
      </c>
      <c r="BU27" s="47">
        <v>0</v>
      </c>
      <c r="BV27" s="47">
        <v>0</v>
      </c>
      <c r="BW27" s="47">
        <v>0</v>
      </c>
      <c r="BX27" s="47">
        <v>0</v>
      </c>
      <c r="BY27" s="47">
        <v>0</v>
      </c>
      <c r="BZ27" s="47">
        <v>0</v>
      </c>
      <c r="CA27" s="47">
        <v>0</v>
      </c>
      <c r="CB27" s="47">
        <v>0</v>
      </c>
      <c r="CC27" s="47">
        <v>0.0077</v>
      </c>
      <c r="CD27" s="47">
        <v>0</v>
      </c>
      <c r="CE27" s="47">
        <v>0.0048</v>
      </c>
      <c r="CF27" s="47">
        <v>0</v>
      </c>
      <c r="CG27" s="47">
        <v>0</v>
      </c>
      <c r="CH27" s="47">
        <v>0</v>
      </c>
      <c r="CI27" s="47">
        <v>0</v>
      </c>
      <c r="CJ27" s="47">
        <v>0.0752</v>
      </c>
      <c r="CK27" s="47">
        <v>0.04</v>
      </c>
      <c r="CL27" s="47">
        <v>0.04</v>
      </c>
      <c r="CM27" s="47">
        <v>0</v>
      </c>
      <c r="CN27" s="47">
        <v>0</v>
      </c>
      <c r="CO27" s="47">
        <v>0</v>
      </c>
      <c r="CP27" s="47">
        <v>0</v>
      </c>
      <c r="CQ27" s="47">
        <v>0.472</v>
      </c>
      <c r="CR27" s="47">
        <v>0</v>
      </c>
      <c r="CS27" s="47">
        <v>0</v>
      </c>
      <c r="CT27" s="47">
        <v>0</v>
      </c>
      <c r="CU27" s="47">
        <v>0</v>
      </c>
      <c r="CV27" s="47">
        <v>0.04</v>
      </c>
      <c r="CW27" s="47">
        <v>0</v>
      </c>
      <c r="CX27" s="47">
        <v>0</v>
      </c>
      <c r="CY27" s="47">
        <v>0.157</v>
      </c>
      <c r="CZ27" s="47">
        <v>0.157</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0.0582</v>
      </c>
      <c r="DV27" s="47">
        <v>0.4169</v>
      </c>
      <c r="DW27" s="47">
        <v>0</v>
      </c>
      <c r="DX27" s="47">
        <v>0</v>
      </c>
      <c r="DY27" s="47">
        <v>0.4751</v>
      </c>
      <c r="DZ27" s="47"/>
      <c r="EA27" s="47">
        <v>0.8</v>
      </c>
      <c r="ZZ27" t="s">
        <v>1062</v>
      </c>
    </row>
    <row r="28" spans="1:702" x14ac:dyDescent="0.25">
      <c r="A28" s="47" t="s">
        <v>280</v>
      </c>
      <c r="B28" s="47" t="s">
        <v>151</v>
      </c>
      <c r="C28" s="47" t="s">
        <v>155</v>
      </c>
      <c r="D28" s="47" t="s">
        <v>1092</v>
      </c>
      <c r="E28" s="47" t="s">
        <v>281</v>
      </c>
      <c r="F28" s="47" t="s">
        <v>282</v>
      </c>
      <c r="G28" s="47" t="s">
        <v>283</v>
      </c>
      <c r="H28" s="47" t="s">
        <v>161</v>
      </c>
      <c r="I28" s="47" t="s">
        <v>218</v>
      </c>
      <c r="J28" s="47" t="str">
        <f>=IFERROR(VLOOKUP(H28&amp;I28,Table_Fonctions!A:G,6,FALSE),"")</f>
        <v>0</v>
      </c>
      <c r="K28" s="47" t="s">
        <v>1066</v>
      </c>
      <c r="L28" s="47" t="str">
        <f>=IFERROR(VLOOKUP(H28&amp;I28,Table_Fonctions!A:G,7,FALSE),K28)</f>
        <v/>
      </c>
      <c r="M28" s="47" t="str">
        <f>=IF(OR(LEFT(D28, 3)="TJ ", LEFT(D28, 4)="CPH "), "OUI", "NON")</f>
        <v/>
      </c>
      <c r="N28" s="47" t="s">
        <v>208</v>
      </c>
      <c r="O28" s="47"/>
      <c r="P28" s="47">
        <v>1</v>
      </c>
      <c r="Q28" s="47">
        <v>0</v>
      </c>
      <c r="R28" s="47">
        <v>1</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c r="DS28" s="47">
        <v>0</v>
      </c>
      <c r="DT28" s="47">
        <v>0</v>
      </c>
      <c r="DU28" s="47">
        <v>0</v>
      </c>
      <c r="DV28" s="47">
        <v>0</v>
      </c>
      <c r="DW28" s="47">
        <v>0</v>
      </c>
      <c r="DX28" s="47">
        <v>0</v>
      </c>
      <c r="DY28" s="47">
        <v>0</v>
      </c>
      <c r="DZ28" s="47"/>
      <c r="EA28" s="47">
        <v>1</v>
      </c>
      <c r="ZZ28" t="s">
        <v>1062</v>
      </c>
    </row>
    <row r="29" spans="1:702" x14ac:dyDescent="0.25">
      <c r="A29" s="47" t="s">
        <v>284</v>
      </c>
      <c r="B29" s="47" t="s">
        <v>151</v>
      </c>
      <c r="C29" s="47" t="s">
        <v>155</v>
      </c>
      <c r="D29" s="47" t="s">
        <v>1093</v>
      </c>
      <c r="E29" s="47" t="s">
        <v>285</v>
      </c>
      <c r="F29" s="47" t="s">
        <v>286</v>
      </c>
      <c r="G29" s="47" t="s">
        <v>287</v>
      </c>
      <c r="H29" s="47" t="s">
        <v>161</v>
      </c>
      <c r="I29" s="47" t="s">
        <v>1068</v>
      </c>
      <c r="J29" s="47" t="str">
        <f>=IFERROR(VLOOKUP(H29&amp;I29,Table_Fonctions!A:G,6,FALSE),"")</f>
        <v>0</v>
      </c>
      <c r="K29" s="47" t="s">
        <v>1069</v>
      </c>
      <c r="L29" s="47" t="str">
        <f>=IFERROR(VLOOKUP(H29&amp;I29,Table_Fonctions!A:G,7,FALSE),K29)</f>
        <v/>
      </c>
      <c r="M29" s="47" t="str">
        <f>=IF(OR(LEFT(D29, 3)="TJ ", LEFT(D29, 4)="CPH "), "OUI", "NON")</f>
        <v/>
      </c>
      <c r="N29" s="47" t="s">
        <v>169</v>
      </c>
      <c r="O29" s="47"/>
      <c r="P29" s="47">
        <v>0.3372</v>
      </c>
      <c r="Q29" s="47">
        <v>0.3372</v>
      </c>
      <c r="R29" s="47">
        <v>0</v>
      </c>
      <c r="S29" s="47">
        <f>=ROUND(BQ29-(BR29+BS29),3)</f>
      </c>
      <c r="T29" s="47">
        <f>=ROUND(CK29-(CL29+CM29+CN29+CO29+CP29),3)</f>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v>
      </c>
      <c r="AK29" s="47">
        <v>0</v>
      </c>
      <c r="AL29" s="47">
        <v>0</v>
      </c>
      <c r="AM29" s="47">
        <v>0</v>
      </c>
      <c r="AN29" s="47">
        <v>0</v>
      </c>
      <c r="AO29" s="47">
        <v>0</v>
      </c>
      <c r="AP29" s="47">
        <v>0</v>
      </c>
      <c r="AQ29" s="47">
        <v>0</v>
      </c>
      <c r="AR29" s="47">
        <v>0</v>
      </c>
      <c r="AS29" s="47">
        <v>0.0674</v>
      </c>
      <c r="AT29" s="47">
        <v>0.0337</v>
      </c>
      <c r="AU29" s="47">
        <v>0</v>
      </c>
      <c r="AV29" s="47">
        <v>0</v>
      </c>
      <c r="AW29" s="47">
        <v>0</v>
      </c>
      <c r="AX29" s="47">
        <v>0.0337</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0.2023</v>
      </c>
      <c r="BR29" s="47">
        <v>0.1011</v>
      </c>
      <c r="BS29" s="47">
        <v>0.1011</v>
      </c>
      <c r="BT29" s="47">
        <v>0.0337</v>
      </c>
      <c r="BU29" s="47">
        <v>0.0169</v>
      </c>
      <c r="BV29" s="47">
        <v>0.0169</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0.0337</v>
      </c>
      <c r="CZ29" s="47">
        <v>0.0337</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c r="DR29" s="47">
        <v>0</v>
      </c>
      <c r="DS29" s="47">
        <v>0</v>
      </c>
      <c r="DT29" s="47">
        <v>0</v>
      </c>
      <c r="DU29" s="47">
        <v>0</v>
      </c>
      <c r="DV29" s="47">
        <v>0</v>
      </c>
      <c r="DW29" s="47">
        <v>0</v>
      </c>
      <c r="DX29" s="47">
        <v>0</v>
      </c>
      <c r="DY29" s="47">
        <v>0</v>
      </c>
      <c r="DZ29" s="47"/>
      <c r="EA29" s="47">
        <v>0.3372</v>
      </c>
      <c r="ZZ29" t="s">
        <v>1062</v>
      </c>
    </row>
    <row r="30" spans="1:702" x14ac:dyDescent="0.25">
      <c r="A30" s="47" t="s">
        <v>288</v>
      </c>
      <c r="B30" s="47" t="s">
        <v>151</v>
      </c>
      <c r="C30" s="47" t="s">
        <v>155</v>
      </c>
      <c r="D30" s="47" t="s">
        <v>1094</v>
      </c>
      <c r="E30" s="47" t="s">
        <v>289</v>
      </c>
      <c r="F30" s="47" t="s">
        <v>290</v>
      </c>
      <c r="G30" s="47" t="s">
        <v>291</v>
      </c>
      <c r="H30" s="47" t="s">
        <v>161</v>
      </c>
      <c r="I30" s="47" t="s">
        <v>197</v>
      </c>
      <c r="J30" s="47" t="str">
        <f>=IFERROR(VLOOKUP(H30&amp;I30,Table_Fonctions!A:G,6,FALSE),"")</f>
        <v>0</v>
      </c>
      <c r="K30" s="47" t="s">
        <v>1066</v>
      </c>
      <c r="L30" s="47" t="str">
        <f>=IFERROR(VLOOKUP(H30&amp;I30,Table_Fonctions!A:G,7,FALSE),K30)</f>
        <v/>
      </c>
      <c r="M30" s="47" t="str">
        <f>=IF(OR(LEFT(D30, 3)="TJ ", LEFT(D30, 4)="CPH "), "OUI", "NON")</f>
        <v/>
      </c>
      <c r="N30" s="47" t="s">
        <v>292</v>
      </c>
      <c r="O30" s="47"/>
      <c r="P30" s="47">
        <v>1</v>
      </c>
      <c r="Q30" s="47">
        <v>1</v>
      </c>
      <c r="R30" s="47">
        <v>0</v>
      </c>
      <c r="S30" s="47">
        <f>=ROUND(BQ30-(BR30+BS30),3)</f>
      </c>
      <c r="T30" s="47">
        <f>=ROUND(CK30-(CL30+CM30+CN30+CO30+CP30),3)</f>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0.98</v>
      </c>
      <c r="BU30" s="47">
        <v>0</v>
      </c>
      <c r="BV30" s="47">
        <v>0</v>
      </c>
      <c r="BW30" s="47">
        <v>0</v>
      </c>
      <c r="BX30" s="47">
        <v>0</v>
      </c>
      <c r="BY30" s="47">
        <v>0</v>
      </c>
      <c r="BZ30" s="47">
        <v>0</v>
      </c>
      <c r="CA30" s="47">
        <v>0</v>
      </c>
      <c r="CB30" s="47">
        <v>0.02</v>
      </c>
      <c r="CC30" s="47">
        <v>0</v>
      </c>
      <c r="CD30" s="47">
        <v>0</v>
      </c>
      <c r="CE30" s="47">
        <v>0</v>
      </c>
      <c r="CF30" s="47">
        <v>0</v>
      </c>
      <c r="CG30" s="47">
        <v>0.91</v>
      </c>
      <c r="CH30" s="47">
        <v>0</v>
      </c>
      <c r="CI30" s="47">
        <v>0</v>
      </c>
      <c r="CJ30" s="47">
        <v>0.05</v>
      </c>
      <c r="CK30" s="47">
        <v>0</v>
      </c>
      <c r="CL30" s="47">
        <v>0</v>
      </c>
      <c r="CM30" s="47">
        <v>0</v>
      </c>
      <c r="CN30" s="47">
        <v>0</v>
      </c>
      <c r="CO30" s="47">
        <v>0</v>
      </c>
      <c r="CP30" s="47">
        <v>0</v>
      </c>
      <c r="CQ30" s="47">
        <v>0</v>
      </c>
      <c r="CR30" s="47">
        <v>0</v>
      </c>
      <c r="CS30" s="47">
        <v>0</v>
      </c>
      <c r="CT30" s="47">
        <v>0</v>
      </c>
      <c r="CU30" s="47">
        <v>0</v>
      </c>
      <c r="CV30" s="47">
        <v>0</v>
      </c>
      <c r="CW30" s="47">
        <v>0</v>
      </c>
      <c r="CX30" s="47">
        <v>0</v>
      </c>
      <c r="CY30" s="47">
        <v>0.02</v>
      </c>
      <c r="CZ30" s="47">
        <v>0</v>
      </c>
      <c r="DA30" s="47">
        <v>0.02</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v>
      </c>
      <c r="DV30" s="47">
        <v>0</v>
      </c>
      <c r="DW30" s="47">
        <v>0</v>
      </c>
      <c r="DX30" s="47">
        <v>0</v>
      </c>
      <c r="DY30" s="47">
        <v>0</v>
      </c>
      <c r="DZ30" s="47"/>
      <c r="EA30" s="47">
        <v>1</v>
      </c>
      <c r="ZZ30" t="s">
        <v>1062</v>
      </c>
    </row>
    <row r="31" spans="1:702" x14ac:dyDescent="0.25">
      <c r="A31" s="47" t="s">
        <v>293</v>
      </c>
      <c r="B31" s="47" t="s">
        <v>151</v>
      </c>
      <c r="C31" s="47" t="s">
        <v>155</v>
      </c>
      <c r="D31" s="47" t="s">
        <v>1095</v>
      </c>
      <c r="E31" s="47" t="s">
        <v>294</v>
      </c>
      <c r="F31" s="47" t="s">
        <v>295</v>
      </c>
      <c r="G31" s="47" t="s">
        <v>296</v>
      </c>
      <c r="H31" s="47" t="s">
        <v>161</v>
      </c>
      <c r="I31" s="47" t="s">
        <v>207</v>
      </c>
      <c r="J31" s="47" t="str">
        <f>=IFERROR(VLOOKUP(H31&amp;I31,Table_Fonctions!A:G,6,FALSE),"")</f>
        <v>0</v>
      </c>
      <c r="K31" s="47" t="s">
        <v>1066</v>
      </c>
      <c r="L31" s="47" t="str">
        <f>=IFERROR(VLOOKUP(H31&amp;I31,Table_Fonctions!A:G,7,FALSE),K31)</f>
        <v/>
      </c>
      <c r="M31" s="47" t="str">
        <f>=IF(OR(LEFT(D31, 3)="TJ ", LEFT(D31, 4)="CPH "), "OUI", "NON")</f>
        <v/>
      </c>
      <c r="N31" s="47" t="s">
        <v>297</v>
      </c>
      <c r="O31" s="47"/>
      <c r="P31" s="47">
        <v>1</v>
      </c>
      <c r="Q31" s="47">
        <v>0</v>
      </c>
      <c r="R31" s="47">
        <v>1</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v>
      </c>
      <c r="DL31" s="47">
        <v>0</v>
      </c>
      <c r="DM31" s="47">
        <v>0</v>
      </c>
      <c r="DN31" s="47">
        <v>0</v>
      </c>
      <c r="DO31" s="47">
        <v>0</v>
      </c>
      <c r="DP31" s="47">
        <v>0</v>
      </c>
      <c r="DQ31" s="47">
        <v>0</v>
      </c>
      <c r="DR31" s="47">
        <v>0</v>
      </c>
      <c r="DS31" s="47">
        <v>0</v>
      </c>
      <c r="DT31" s="47">
        <v>0</v>
      </c>
      <c r="DU31" s="47">
        <v>0</v>
      </c>
      <c r="DV31" s="47">
        <v>0</v>
      </c>
      <c r="DW31" s="47">
        <v>0</v>
      </c>
      <c r="DX31" s="47">
        <v>0</v>
      </c>
      <c r="DY31" s="47">
        <v>0</v>
      </c>
      <c r="DZ31" s="47"/>
      <c r="EA31" s="47">
        <v>1</v>
      </c>
      <c r="ZZ31" t="s">
        <v>1062</v>
      </c>
    </row>
    <row r="32" spans="1:702" x14ac:dyDescent="0.25">
      <c r="A32" s="47" t="s">
        <v>298</v>
      </c>
      <c r="B32" s="47" t="s">
        <v>151</v>
      </c>
      <c r="C32" s="47" t="s">
        <v>155</v>
      </c>
      <c r="D32" s="47" t="s">
        <v>1096</v>
      </c>
      <c r="E32" s="47" t="s">
        <v>299</v>
      </c>
      <c r="F32" s="47" t="s">
        <v>300</v>
      </c>
      <c r="G32" s="47" t="s">
        <v>301</v>
      </c>
      <c r="H32" s="47" t="s">
        <v>161</v>
      </c>
      <c r="I32" s="47" t="s">
        <v>1097</v>
      </c>
      <c r="J32" s="47" t="str">
        <f>=IFERROR(VLOOKUP(H32&amp;I32,Table_Fonctions!A:G,6,FALSE),"")</f>
        <v>0</v>
      </c>
      <c r="K32" s="47" t="s">
        <v>1069</v>
      </c>
      <c r="L32" s="47" t="str">
        <f>=IFERROR(VLOOKUP(H32&amp;I32,Table_Fonctions!A:G,7,FALSE),K32)</f>
        <v/>
      </c>
      <c r="M32" s="47" t="str">
        <f>=IF(OR(LEFT(D32, 3)="TJ ", LEFT(D32, 4)="CPH "), "OUI", "NON")</f>
        <v/>
      </c>
      <c r="N32" s="47" t="s">
        <v>169</v>
      </c>
      <c r="O32" s="47"/>
      <c r="P32" s="47">
        <v>0.3096</v>
      </c>
      <c r="Q32" s="47">
        <v>0.3096</v>
      </c>
      <c r="R32" s="47">
        <v>0</v>
      </c>
      <c r="S32" s="47">
        <f>=ROUND(BQ32-(BR32+BS32),3)</f>
      </c>
      <c r="T32" s="47">
        <f>=ROUND(CK32-(CL32+CM32+CN32+CO32+CP32),3)</f>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0.2941</v>
      </c>
      <c r="CW32" s="47">
        <v>0.2941</v>
      </c>
      <c r="CX32" s="47">
        <v>0</v>
      </c>
      <c r="CY32" s="47">
        <v>0.0155</v>
      </c>
      <c r="CZ32" s="47">
        <v>0.0155</v>
      </c>
      <c r="DA32" s="47">
        <v>0</v>
      </c>
      <c r="DB32" s="47">
        <v>0</v>
      </c>
      <c r="DC32" s="47">
        <v>0</v>
      </c>
      <c r="DD32" s="47">
        <v>0</v>
      </c>
      <c r="DE32" s="47">
        <v>0</v>
      </c>
      <c r="DF32" s="47">
        <v>0</v>
      </c>
      <c r="DG32" s="47">
        <v>0</v>
      </c>
      <c r="DH32" s="47">
        <v>0</v>
      </c>
      <c r="DI32" s="47">
        <v>0</v>
      </c>
      <c r="DJ32" s="47">
        <v>0</v>
      </c>
      <c r="DK32" s="47">
        <v>0.0276</v>
      </c>
      <c r="DL32" s="47">
        <v>0</v>
      </c>
      <c r="DM32" s="47">
        <v>0</v>
      </c>
      <c r="DN32" s="47">
        <v>0.0276</v>
      </c>
      <c r="DO32" s="47">
        <v>0</v>
      </c>
      <c r="DP32" s="47">
        <v>0</v>
      </c>
      <c r="DQ32" s="47">
        <v>0</v>
      </c>
      <c r="DR32" s="47">
        <v>0</v>
      </c>
      <c r="DS32" s="47">
        <v>0</v>
      </c>
      <c r="DT32" s="47">
        <v>0</v>
      </c>
      <c r="DU32" s="47">
        <v>0</v>
      </c>
      <c r="DV32" s="47">
        <v>0</v>
      </c>
      <c r="DW32" s="47">
        <v>0</v>
      </c>
      <c r="DX32" s="47">
        <v>0</v>
      </c>
      <c r="DY32" s="47">
        <v>0</v>
      </c>
      <c r="DZ32" s="47"/>
      <c r="EA32" s="47">
        <v>0.3372</v>
      </c>
      <c r="ZZ32" t="s">
        <v>1062</v>
      </c>
    </row>
    <row r="33" spans="1:702" x14ac:dyDescent="0.25">
      <c r="A33" s="47" t="s">
        <v>303</v>
      </c>
      <c r="B33" s="47" t="s">
        <v>151</v>
      </c>
      <c r="C33" s="47" t="s">
        <v>155</v>
      </c>
      <c r="D33" s="47" t="s">
        <v>1098</v>
      </c>
      <c r="E33" s="47" t="s">
        <v>304</v>
      </c>
      <c r="F33" s="47" t="s">
        <v>305</v>
      </c>
      <c r="G33" s="47" t="s">
        <v>306</v>
      </c>
      <c r="H33" s="47" t="s">
        <v>161</v>
      </c>
      <c r="I33" s="47" t="s">
        <v>192</v>
      </c>
      <c r="J33" s="47" t="str">
        <f>=IFERROR(VLOOKUP(H33&amp;I33,Table_Fonctions!A:G,6,FALSE),"")</f>
        <v>0</v>
      </c>
      <c r="K33" s="47" t="s">
        <v>1066</v>
      </c>
      <c r="L33" s="47" t="str">
        <f>=IFERROR(VLOOKUP(H33&amp;I33,Table_Fonctions!A:G,7,FALSE),K33)</f>
        <v/>
      </c>
      <c r="M33" s="47" t="str">
        <f>=IF(OR(LEFT(D33, 3)="TJ ", LEFT(D33, 4)="CPH "), "OUI", "NON")</f>
        <v/>
      </c>
      <c r="N33" s="47" t="s">
        <v>307</v>
      </c>
      <c r="O33" s="47"/>
      <c r="P33" s="47">
        <v>1</v>
      </c>
      <c r="Q33" s="47">
        <v>1</v>
      </c>
      <c r="R33" s="47">
        <v>0</v>
      </c>
      <c r="S33" s="47">
        <f>=ROUND(BQ33-(BR33+BS33),3)</f>
      </c>
      <c r="T33" s="47">
        <f>=ROUND(CK33-(CL33+CM33+CN33+CO33+CP33),3)</f>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0.05</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0.8</v>
      </c>
      <c r="CR33" s="47">
        <v>0</v>
      </c>
      <c r="CS33" s="47">
        <v>0</v>
      </c>
      <c r="CT33" s="47">
        <v>0</v>
      </c>
      <c r="CU33" s="47">
        <v>0</v>
      </c>
      <c r="CV33" s="47">
        <v>0</v>
      </c>
      <c r="CW33" s="47">
        <v>0</v>
      </c>
      <c r="CX33" s="47">
        <v>0</v>
      </c>
      <c r="CY33" s="47">
        <v>0.15</v>
      </c>
      <c r="CZ33" s="47">
        <v>0.125</v>
      </c>
      <c r="DA33" s="47">
        <v>0.025</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c r="DS33" s="47">
        <v>0</v>
      </c>
      <c r="DT33" s="47">
        <v>0</v>
      </c>
      <c r="DU33" s="47">
        <v>0</v>
      </c>
      <c r="DV33" s="47">
        <v>0</v>
      </c>
      <c r="DW33" s="47">
        <v>0</v>
      </c>
      <c r="DX33" s="47">
        <v>0</v>
      </c>
      <c r="DY33" s="47">
        <v>0</v>
      </c>
      <c r="DZ33" s="47"/>
      <c r="EA33" s="47">
        <v>1</v>
      </c>
      <c r="ZZ33" t="s">
        <v>1062</v>
      </c>
    </row>
    <row r="34" spans="1:702" x14ac:dyDescent="0.25">
      <c r="A34" s="47" t="s">
        <v>308</v>
      </c>
      <c r="B34" s="47" t="s">
        <v>151</v>
      </c>
      <c r="C34" s="47" t="s">
        <v>155</v>
      </c>
      <c r="D34" s="47" t="s">
        <v>1099</v>
      </c>
      <c r="E34" s="47" t="s">
        <v>309</v>
      </c>
      <c r="F34" s="47" t="s">
        <v>310</v>
      </c>
      <c r="G34" s="47" t="s">
        <v>311</v>
      </c>
      <c r="H34" s="47" t="s">
        <v>161</v>
      </c>
      <c r="I34" s="47" t="s">
        <v>1068</v>
      </c>
      <c r="J34" s="47" t="str">
        <f>=IFERROR(VLOOKUP(H34&amp;I34,Table_Fonctions!A:G,6,FALSE),"")</f>
        <v>0</v>
      </c>
      <c r="K34" s="47" t="s">
        <v>1069</v>
      </c>
      <c r="L34" s="47" t="str">
        <f>=IFERROR(VLOOKUP(H34&amp;I34,Table_Fonctions!A:G,7,FALSE),K34)</f>
        <v/>
      </c>
      <c r="M34" s="47" t="str">
        <f>=IF(OR(LEFT(D34, 3)="TJ ", LEFT(D34, 4)="CPH "), "OUI", "NON")</f>
        <v/>
      </c>
      <c r="N34" s="47" t="s">
        <v>169</v>
      </c>
      <c r="O34" s="47"/>
      <c r="P34" s="47">
        <v>0.3372</v>
      </c>
      <c r="Q34" s="47">
        <v>0.3372</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0.2225</v>
      </c>
      <c r="AK34" s="47">
        <v>0.1113</v>
      </c>
      <c r="AL34" s="47">
        <v>0</v>
      </c>
      <c r="AM34" s="47">
        <v>0.0539</v>
      </c>
      <c r="AN34" s="47">
        <v>0.0405</v>
      </c>
      <c r="AO34" s="47">
        <v>0.0169</v>
      </c>
      <c r="AP34" s="47">
        <v>0</v>
      </c>
      <c r="AQ34" s="47">
        <v>0</v>
      </c>
      <c r="AR34" s="47">
        <v>0</v>
      </c>
      <c r="AS34" s="47">
        <v>0.0236</v>
      </c>
      <c r="AT34" s="47">
        <v>0.0236</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0.0337</v>
      </c>
      <c r="BN34" s="47">
        <v>0</v>
      </c>
      <c r="BO34" s="47">
        <v>0.0337</v>
      </c>
      <c r="BP34" s="47">
        <v>0</v>
      </c>
      <c r="BQ34" s="47">
        <v>0</v>
      </c>
      <c r="BR34" s="47">
        <v>0</v>
      </c>
      <c r="BS34" s="47">
        <v>0</v>
      </c>
      <c r="BT34" s="47">
        <v>0.0303</v>
      </c>
      <c r="BU34" s="47">
        <v>0.0101</v>
      </c>
      <c r="BV34" s="47">
        <v>0</v>
      </c>
      <c r="BW34" s="47">
        <v>0</v>
      </c>
      <c r="BX34" s="47">
        <v>0</v>
      </c>
      <c r="BY34" s="47">
        <v>0</v>
      </c>
      <c r="BZ34" s="47">
        <v>0</v>
      </c>
      <c r="CA34" s="47">
        <v>0</v>
      </c>
      <c r="CB34" s="47">
        <v>0.0067</v>
      </c>
      <c r="CC34" s="47">
        <v>0.0135</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0.027</v>
      </c>
      <c r="CZ34" s="47">
        <v>0.0101</v>
      </c>
      <c r="DA34" s="47">
        <v>0.0169</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c r="DS34" s="47">
        <v>0</v>
      </c>
      <c r="DT34" s="47">
        <v>0</v>
      </c>
      <c r="DU34" s="47">
        <v>0</v>
      </c>
      <c r="DV34" s="47">
        <v>0</v>
      </c>
      <c r="DW34" s="47">
        <v>0</v>
      </c>
      <c r="DX34" s="47">
        <v>0</v>
      </c>
      <c r="DY34" s="47">
        <v>0</v>
      </c>
      <c r="DZ34" s="47"/>
      <c r="EA34" s="47">
        <v>0.3372</v>
      </c>
      <c r="ZZ34" t="s">
        <v>1062</v>
      </c>
    </row>
    <row r="35" spans="1:702" x14ac:dyDescent="0.25">
      <c r="A35" s="47" t="s">
        <v>312</v>
      </c>
      <c r="B35" s="47" t="s">
        <v>151</v>
      </c>
      <c r="C35" s="47" t="s">
        <v>155</v>
      </c>
      <c r="D35" s="47" t="s">
        <v>1100</v>
      </c>
      <c r="E35" s="47" t="s">
        <v>313</v>
      </c>
      <c r="F35" s="47" t="s">
        <v>314</v>
      </c>
      <c r="G35" s="47" t="s">
        <v>315</v>
      </c>
      <c r="H35" s="47" t="s">
        <v>161</v>
      </c>
      <c r="I35" s="47" t="s">
        <v>207</v>
      </c>
      <c r="J35" s="47" t="str">
        <f>=IFERROR(VLOOKUP(H35&amp;I35,Table_Fonctions!A:G,6,FALSE),"")</f>
        <v>0</v>
      </c>
      <c r="K35" s="47" t="s">
        <v>1066</v>
      </c>
      <c r="L35" s="47" t="str">
        <f>=IFERROR(VLOOKUP(H35&amp;I35,Table_Fonctions!A:G,7,FALSE),K35)</f>
        <v/>
      </c>
      <c r="M35" s="47" t="str">
        <f>=IF(OR(LEFT(D35, 3)="TJ ", LEFT(D35, 4)="CPH "), "OUI", "NON")</f>
        <v/>
      </c>
      <c r="N35" s="47" t="s">
        <v>316</v>
      </c>
      <c r="O35" s="47"/>
      <c r="P35" s="47">
        <v>1</v>
      </c>
      <c r="Q35" s="47">
        <v>0</v>
      </c>
      <c r="R35" s="47">
        <v>1</v>
      </c>
      <c r="S35" s="47">
        <f>=ROUND(BQ35-(BR35+BS35),3)</f>
      </c>
      <c r="T35" s="47">
        <f>=ROUND(CK35-(CL35+CM35+CN35+CO35+CP35),3)</f>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v>0</v>
      </c>
      <c r="DZ35" s="47"/>
      <c r="EA35" s="47">
        <v>1</v>
      </c>
      <c r="ZZ35" t="s">
        <v>1062</v>
      </c>
    </row>
    <row r="36" spans="1:702" x14ac:dyDescent="0.25">
      <c r="A36" s="47" t="s">
        <v>317</v>
      </c>
      <c r="B36" s="47" t="s">
        <v>151</v>
      </c>
      <c r="C36" s="47" t="s">
        <v>155</v>
      </c>
      <c r="D36" s="47" t="s">
        <v>1101</v>
      </c>
      <c r="E36" s="47" t="s">
        <v>318</v>
      </c>
      <c r="F36" s="47" t="s">
        <v>319</v>
      </c>
      <c r="G36" s="47" t="s">
        <v>320</v>
      </c>
      <c r="H36" s="47" t="s">
        <v>161</v>
      </c>
      <c r="I36" s="47" t="s">
        <v>207</v>
      </c>
      <c r="J36" s="47" t="str">
        <f>=IFERROR(VLOOKUP(H36&amp;I36,Table_Fonctions!A:G,6,FALSE),"")</f>
        <v>0</v>
      </c>
      <c r="K36" s="47" t="s">
        <v>1066</v>
      </c>
      <c r="L36" s="47" t="str">
        <f>=IFERROR(VLOOKUP(H36&amp;I36,Table_Fonctions!A:G,7,FALSE),K36)</f>
        <v/>
      </c>
      <c r="M36" s="47" t="str">
        <f>=IF(OR(LEFT(D36, 3)="TJ ", LEFT(D36, 4)="CPH "), "OUI", "NON")</f>
        <v/>
      </c>
      <c r="N36" s="47" t="s">
        <v>208</v>
      </c>
      <c r="O36" s="47"/>
      <c r="P36" s="47">
        <v>1</v>
      </c>
      <c r="Q36" s="47">
        <v>1</v>
      </c>
      <c r="R36" s="47">
        <v>0</v>
      </c>
      <c r="S36" s="47">
        <f>=ROUND(BQ36-(BR36+BS36),3)</f>
      </c>
      <c r="T36" s="47">
        <f>=ROUND(CK36-(CL36+CM36+CN36+CO36+CP36),3)</f>
      </c>
      <c r="U36" s="47">
        <v>0</v>
      </c>
      <c r="V36" s="47">
        <v>0</v>
      </c>
      <c r="W36" s="47">
        <v>0</v>
      </c>
      <c r="X36" s="47">
        <v>0</v>
      </c>
      <c r="Y36" s="47">
        <v>0</v>
      </c>
      <c r="Z36" s="47">
        <v>0.833</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0.085</v>
      </c>
      <c r="BU36" s="47">
        <v>0</v>
      </c>
      <c r="BV36" s="47">
        <v>0.022</v>
      </c>
      <c r="BW36" s="47">
        <v>0</v>
      </c>
      <c r="BX36" s="47">
        <v>0</v>
      </c>
      <c r="BY36" s="47">
        <v>0</v>
      </c>
      <c r="BZ36" s="47">
        <v>0</v>
      </c>
      <c r="CA36" s="47">
        <v>0</v>
      </c>
      <c r="CB36" s="47">
        <v>0.04</v>
      </c>
      <c r="CC36" s="47">
        <v>0.023</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0.082</v>
      </c>
      <c r="CZ36" s="47">
        <v>0.058</v>
      </c>
      <c r="DA36" s="47">
        <v>0.024</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0.2989</v>
      </c>
      <c r="DW36" s="47">
        <v>0</v>
      </c>
      <c r="DX36" s="47">
        <v>0</v>
      </c>
      <c r="DY36" s="47">
        <v>0.2989</v>
      </c>
      <c r="DZ36" s="47"/>
      <c r="EA36" s="47">
        <v>1</v>
      </c>
      <c r="ZZ36" t="s">
        <v>1062</v>
      </c>
    </row>
    <row r="37" spans="1:702" x14ac:dyDescent="0.25">
      <c r="A37" s="47" t="s">
        <v>321</v>
      </c>
      <c r="B37" s="47" t="s">
        <v>151</v>
      </c>
      <c r="C37" s="47" t="s">
        <v>155</v>
      </c>
      <c r="D37" s="47" t="s">
        <v>1102</v>
      </c>
      <c r="E37" s="47" t="s">
        <v>322</v>
      </c>
      <c r="F37" s="47" t="s">
        <v>323</v>
      </c>
      <c r="G37" s="47" t="s">
        <v>324</v>
      </c>
      <c r="H37" s="47" t="s">
        <v>161</v>
      </c>
      <c r="I37" s="47" t="s">
        <v>162</v>
      </c>
      <c r="J37" s="47" t="str">
        <f>=IFERROR(VLOOKUP(H37&amp;I37,Table_Fonctions!A:G,6,FALSE),"")</f>
        <v>0</v>
      </c>
      <c r="K37" s="47" t="s">
        <v>1066</v>
      </c>
      <c r="L37" s="47" t="str">
        <f>=IFERROR(VLOOKUP(H37&amp;I37,Table_Fonctions!A:G,7,FALSE),K37)</f>
        <v/>
      </c>
      <c r="M37" s="47" t="str">
        <f>=IF(OR(LEFT(D37, 3)="TJ ", LEFT(D37, 4)="CPH "), "OUI", "NON")</f>
        <v/>
      </c>
      <c r="N37" s="47" t="s">
        <v>325</v>
      </c>
      <c r="O37" s="47"/>
      <c r="P37" s="47">
        <v>1</v>
      </c>
      <c r="Q37" s="47">
        <v>1</v>
      </c>
      <c r="R37" s="47">
        <v>0</v>
      </c>
      <c r="S37" s="47">
        <f>=ROUND(BQ37-(BR37+BS37),3)</f>
      </c>
      <c r="T37" s="47">
        <f>=ROUND(CK37-(CL37+CM37+CN37+CO37+CP37),3)</f>
      </c>
      <c r="U37" s="47">
        <v>0</v>
      </c>
      <c r="V37" s="47">
        <v>0</v>
      </c>
      <c r="W37" s="47">
        <v>0</v>
      </c>
      <c r="X37" s="47">
        <v>0</v>
      </c>
      <c r="Y37" s="47">
        <v>0</v>
      </c>
      <c r="Z37" s="47">
        <v>0.86</v>
      </c>
      <c r="AA37" s="47">
        <v>0</v>
      </c>
      <c r="AB37" s="47">
        <v>0</v>
      </c>
      <c r="AC37" s="47">
        <v>0</v>
      </c>
      <c r="AD37" s="47">
        <v>0</v>
      </c>
      <c r="AE37" s="47">
        <v>0</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0.04</v>
      </c>
      <c r="BU37" s="47">
        <v>0</v>
      </c>
      <c r="BV37" s="47">
        <v>0.03</v>
      </c>
      <c r="BW37" s="47">
        <v>0</v>
      </c>
      <c r="BX37" s="47">
        <v>0</v>
      </c>
      <c r="BY37" s="47">
        <v>0</v>
      </c>
      <c r="BZ37" s="47">
        <v>0</v>
      </c>
      <c r="CA37" s="47">
        <v>0</v>
      </c>
      <c r="CB37" s="47">
        <v>0.01</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0.1</v>
      </c>
      <c r="CZ37" s="47">
        <v>0.1</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v>0</v>
      </c>
      <c r="DZ37" s="47"/>
      <c r="EA37" s="47">
        <v>1</v>
      </c>
      <c r="ZZ37" t="s">
        <v>1062</v>
      </c>
    </row>
    <row r="38" spans="1:702" x14ac:dyDescent="0.25">
      <c r="A38" s="47" t="s">
        <v>326</v>
      </c>
      <c r="B38" s="47" t="s">
        <v>151</v>
      </c>
      <c r="C38" s="47" t="s">
        <v>155</v>
      </c>
      <c r="D38" s="47" t="s">
        <v>1103</v>
      </c>
      <c r="E38" s="47" t="s">
        <v>327</v>
      </c>
      <c r="F38" s="47" t="s">
        <v>328</v>
      </c>
      <c r="G38" s="47" t="s">
        <v>329</v>
      </c>
      <c r="H38" s="47" t="s">
        <v>161</v>
      </c>
      <c r="I38" s="47" t="s">
        <v>330</v>
      </c>
      <c r="J38" s="47" t="str">
        <f>=IFERROR(VLOOKUP(H38&amp;I38,Table_Fonctions!A:G,6,FALSE),"")</f>
        <v>0</v>
      </c>
      <c r="K38" s="47" t="s">
        <v>1066</v>
      </c>
      <c r="L38" s="47" t="str">
        <f>=IFERROR(VLOOKUP(H38&amp;I38,Table_Fonctions!A:G,7,FALSE),K38)</f>
        <v/>
      </c>
      <c r="M38" s="47" t="str">
        <f>=IF(OR(LEFT(D38, 3)="TJ ", LEFT(D38, 4)="CPH "), "OUI", "NON")</f>
        <v/>
      </c>
      <c r="N38" s="47" t="s">
        <v>176</v>
      </c>
      <c r="O38" s="47"/>
      <c r="P38" s="47">
        <v>1</v>
      </c>
      <c r="Q38" s="47">
        <v>1</v>
      </c>
      <c r="R38" s="47">
        <v>0</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0.02</v>
      </c>
      <c r="AK38" s="47">
        <v>0</v>
      </c>
      <c r="AL38" s="47">
        <v>0</v>
      </c>
      <c r="AM38" s="47">
        <v>0</v>
      </c>
      <c r="AN38" s="47">
        <v>0</v>
      </c>
      <c r="AO38" s="47">
        <v>0</v>
      </c>
      <c r="AP38" s="47">
        <v>0.02</v>
      </c>
      <c r="AQ38" s="47">
        <v>0</v>
      </c>
      <c r="AR38" s="47">
        <v>0</v>
      </c>
      <c r="AS38" s="47">
        <v>0.62</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0.02</v>
      </c>
      <c r="BN38" s="47">
        <v>0</v>
      </c>
      <c r="BO38" s="47">
        <v>0</v>
      </c>
      <c r="BP38" s="47">
        <v>0.02</v>
      </c>
      <c r="BQ38" s="47">
        <v>0</v>
      </c>
      <c r="BR38" s="47">
        <v>0</v>
      </c>
      <c r="BS38" s="47">
        <v>0</v>
      </c>
      <c r="BT38" s="47">
        <v>0.09</v>
      </c>
      <c r="BU38" s="47">
        <v>0</v>
      </c>
      <c r="BV38" s="47">
        <v>0.07</v>
      </c>
      <c r="BW38" s="47">
        <v>0</v>
      </c>
      <c r="BX38" s="47">
        <v>0</v>
      </c>
      <c r="BY38" s="47">
        <v>0</v>
      </c>
      <c r="BZ38" s="47">
        <v>0</v>
      </c>
      <c r="CA38" s="47">
        <v>0</v>
      </c>
      <c r="CB38" s="47">
        <v>0.02</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0.05</v>
      </c>
      <c r="CW38" s="47">
        <v>0.05</v>
      </c>
      <c r="CX38" s="47">
        <v>0</v>
      </c>
      <c r="CY38" s="47">
        <v>0.2</v>
      </c>
      <c r="CZ38" s="47">
        <v>0.18</v>
      </c>
      <c r="DA38" s="47">
        <v>0.02</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v>0</v>
      </c>
      <c r="DZ38" s="47"/>
      <c r="EA38" s="47">
        <v>1</v>
      </c>
      <c r="ZZ38" t="s">
        <v>1062</v>
      </c>
    </row>
    <row r="39" spans="1:702" x14ac:dyDescent="0.25">
      <c r="A39" s="47" t="s">
        <v>331</v>
      </c>
      <c r="B39" s="47" t="s">
        <v>151</v>
      </c>
      <c r="C39" s="47" t="s">
        <v>155</v>
      </c>
      <c r="D39" s="47" t="s">
        <v>1104</v>
      </c>
      <c r="E39" s="47" t="s">
        <v>332</v>
      </c>
      <c r="F39" s="47" t="s">
        <v>333</v>
      </c>
      <c r="G39" s="47" t="s">
        <v>334</v>
      </c>
      <c r="H39" s="47" t="s">
        <v>161</v>
      </c>
      <c r="I39" s="47" t="s">
        <v>262</v>
      </c>
      <c r="J39" s="47" t="str">
        <f>=IFERROR(VLOOKUP(H39&amp;I39,Table_Fonctions!A:G,6,FALSE),"")</f>
        <v>0</v>
      </c>
      <c r="K39" s="47" t="s">
        <v>1066</v>
      </c>
      <c r="L39" s="47" t="str">
        <f>=IFERROR(VLOOKUP(H39&amp;I39,Table_Fonctions!A:G,7,FALSE),K39)</f>
        <v/>
      </c>
      <c r="M39" s="47" t="str">
        <f>=IF(OR(LEFT(D39, 3)="TJ ", LEFT(D39, 4)="CPH "), "OUI", "NON")</f>
        <v/>
      </c>
      <c r="N39" s="47" t="s">
        <v>257</v>
      </c>
      <c r="O39" s="47"/>
      <c r="P39" s="47">
        <v>1</v>
      </c>
      <c r="Q39" s="47">
        <v>1</v>
      </c>
      <c r="R39" s="47">
        <v>0</v>
      </c>
      <c r="S39" s="47">
        <f>=ROUND(BQ39-(BR39+BS39),3)</f>
      </c>
      <c r="T39" s="47">
        <f>=ROUND(CK39-(CL39+CM39+CN39+CO39+CP39),3)</f>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v>
      </c>
      <c r="BR39" s="47">
        <v>0</v>
      </c>
      <c r="BS39" s="47">
        <v>0</v>
      </c>
      <c r="BT39" s="47">
        <v>0.025</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0.93</v>
      </c>
      <c r="CL39" s="47">
        <v>0</v>
      </c>
      <c r="CM39" s="47">
        <v>0</v>
      </c>
      <c r="CN39" s="47">
        <v>0</v>
      </c>
      <c r="CO39" s="47">
        <v>0</v>
      </c>
      <c r="CP39" s="47">
        <v>0</v>
      </c>
      <c r="CQ39" s="47">
        <v>0</v>
      </c>
      <c r="CR39" s="47">
        <v>0</v>
      </c>
      <c r="CS39" s="47">
        <v>0</v>
      </c>
      <c r="CT39" s="47">
        <v>0</v>
      </c>
      <c r="CU39" s="47">
        <v>0</v>
      </c>
      <c r="CV39" s="47">
        <v>0</v>
      </c>
      <c r="CW39" s="47">
        <v>0</v>
      </c>
      <c r="CX39" s="47">
        <v>0</v>
      </c>
      <c r="CY39" s="47">
        <v>0.045</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v>0</v>
      </c>
      <c r="DZ39" s="47"/>
      <c r="EA39" s="47">
        <v>1</v>
      </c>
      <c r="ZZ39" t="s">
        <v>1062</v>
      </c>
    </row>
    <row r="40" spans="1:702" x14ac:dyDescent="0.25">
      <c r="A40" s="47" t="s">
        <v>335</v>
      </c>
      <c r="B40" s="47" t="s">
        <v>151</v>
      </c>
      <c r="C40" s="47" t="s">
        <v>155</v>
      </c>
      <c r="D40" s="47" t="s">
        <v>1105</v>
      </c>
      <c r="E40" s="47" t="s">
        <v>336</v>
      </c>
      <c r="F40" s="47" t="s">
        <v>337</v>
      </c>
      <c r="G40" s="47" t="s">
        <v>338</v>
      </c>
      <c r="H40" s="47" t="s">
        <v>161</v>
      </c>
      <c r="I40" s="47" t="s">
        <v>181</v>
      </c>
      <c r="J40" s="47" t="str">
        <f>=IFERROR(VLOOKUP(H40&amp;I40,Table_Fonctions!A:G,6,FALSE),"")</f>
        <v>0</v>
      </c>
      <c r="K40" s="47" t="s">
        <v>1066</v>
      </c>
      <c r="L40" s="47" t="str">
        <f>=IFERROR(VLOOKUP(H40&amp;I40,Table_Fonctions!A:G,7,FALSE),K40)</f>
        <v/>
      </c>
      <c r="M40" s="47" t="str">
        <f>=IF(OR(LEFT(D40, 3)="TJ ", LEFT(D40, 4)="CPH "), "OUI", "NON")</f>
        <v/>
      </c>
      <c r="N40" s="47" t="s">
        <v>339</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0.317</v>
      </c>
      <c r="BN40" s="47">
        <v>0.228</v>
      </c>
      <c r="BO40" s="47">
        <v>0.089</v>
      </c>
      <c r="BP40" s="47">
        <v>0</v>
      </c>
      <c r="BQ40" s="47">
        <v>0</v>
      </c>
      <c r="BR40" s="47">
        <v>0</v>
      </c>
      <c r="BS40" s="47">
        <v>0</v>
      </c>
      <c r="BT40" s="47">
        <v>0.072</v>
      </c>
      <c r="BU40" s="47">
        <v>0</v>
      </c>
      <c r="BV40" s="47">
        <v>0</v>
      </c>
      <c r="BW40" s="47">
        <v>0.053</v>
      </c>
      <c r="BX40" s="47">
        <v>0</v>
      </c>
      <c r="BY40" s="47">
        <v>0</v>
      </c>
      <c r="BZ40" s="47">
        <v>0</v>
      </c>
      <c r="CA40" s="47">
        <v>0</v>
      </c>
      <c r="CB40" s="47">
        <v>0.019</v>
      </c>
      <c r="CC40" s="47">
        <v>0</v>
      </c>
      <c r="CD40" s="47">
        <v>0</v>
      </c>
      <c r="CE40" s="47">
        <v>0</v>
      </c>
      <c r="CF40" s="47">
        <v>0</v>
      </c>
      <c r="CG40" s="47">
        <v>0</v>
      </c>
      <c r="CH40" s="47">
        <v>0</v>
      </c>
      <c r="CI40" s="47">
        <v>0</v>
      </c>
      <c r="CJ40" s="47">
        <v>0</v>
      </c>
      <c r="CK40" s="47">
        <v>0</v>
      </c>
      <c r="CL40" s="47">
        <v>0</v>
      </c>
      <c r="CM40" s="47">
        <v>0</v>
      </c>
      <c r="CN40" s="47">
        <v>0</v>
      </c>
      <c r="CO40" s="47">
        <v>0</v>
      </c>
      <c r="CP40" s="47">
        <v>0</v>
      </c>
      <c r="CQ40" s="47">
        <v>0</v>
      </c>
      <c r="CR40" s="47">
        <v>0</v>
      </c>
      <c r="CS40" s="47">
        <v>0</v>
      </c>
      <c r="CT40" s="47">
        <v>0</v>
      </c>
      <c r="CU40" s="47">
        <v>0</v>
      </c>
      <c r="CV40" s="47">
        <v>0.382</v>
      </c>
      <c r="CW40" s="47">
        <v>0</v>
      </c>
      <c r="CX40" s="47">
        <v>0</v>
      </c>
      <c r="CY40" s="47">
        <v>0.229</v>
      </c>
      <c r="CZ40" s="47">
        <v>0.2</v>
      </c>
      <c r="DA40" s="47">
        <v>0.029</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v>0</v>
      </c>
      <c r="DZ40" s="47"/>
      <c r="EA40" s="47">
        <v>1</v>
      </c>
      <c r="ZZ40" t="s">
        <v>1062</v>
      </c>
    </row>
    <row r="41" spans="1:702" x14ac:dyDescent="0.25">
      <c r="A41" s="47" t="s">
        <v>340</v>
      </c>
      <c r="B41" s="47" t="s">
        <v>151</v>
      </c>
      <c r="C41" s="47" t="s">
        <v>155</v>
      </c>
      <c r="D41" s="47" t="s">
        <v>1106</v>
      </c>
      <c r="E41" s="47" t="s">
        <v>341</v>
      </c>
      <c r="F41" s="47" t="s">
        <v>342</v>
      </c>
      <c r="G41" s="47" t="s">
        <v>343</v>
      </c>
      <c r="H41" s="47" t="s">
        <v>161</v>
      </c>
      <c r="I41" s="47" t="s">
        <v>330</v>
      </c>
      <c r="J41" s="47" t="str">
        <f>=IFERROR(VLOOKUP(H41&amp;I41,Table_Fonctions!A:G,6,FALSE),"")</f>
        <v>0</v>
      </c>
      <c r="K41" s="47" t="s">
        <v>1066</v>
      </c>
      <c r="L41" s="47" t="str">
        <f>=IFERROR(VLOOKUP(H41&amp;I41,Table_Fonctions!A:G,7,FALSE),K41)</f>
        <v/>
      </c>
      <c r="M41" s="47" t="str">
        <f>=IF(OR(LEFT(D41, 3)="TJ ", LEFT(D41, 4)="CPH "), "OUI", "NON")</f>
        <v/>
      </c>
      <c r="N41" s="47" t="s">
        <v>257</v>
      </c>
      <c r="O41" s="47"/>
      <c r="P41" s="47">
        <v>1</v>
      </c>
      <c r="Q41" s="47">
        <v>1</v>
      </c>
      <c r="R41" s="47">
        <v>0</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0.8</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0.2</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v>0</v>
      </c>
      <c r="DZ41" s="47"/>
      <c r="EA41" s="47">
        <v>1</v>
      </c>
      <c r="ZZ41" t="s">
        <v>1062</v>
      </c>
    </row>
    <row r="42" spans="1:702" x14ac:dyDescent="0.25">
      <c r="A42" s="47" t="s">
        <v>344</v>
      </c>
      <c r="B42" s="47" t="s">
        <v>151</v>
      </c>
      <c r="C42" s="47" t="s">
        <v>155</v>
      </c>
      <c r="D42" s="47" t="s">
        <v>1107</v>
      </c>
      <c r="E42" s="47" t="s">
        <v>345</v>
      </c>
      <c r="F42" s="47" t="s">
        <v>346</v>
      </c>
      <c r="G42" s="47" t="s">
        <v>347</v>
      </c>
      <c r="H42" s="47" t="s">
        <v>161</v>
      </c>
      <c r="I42" s="47" t="s">
        <v>181</v>
      </c>
      <c r="J42" s="47" t="str">
        <f>=IFERROR(VLOOKUP(H42&amp;I42,Table_Fonctions!A:G,6,FALSE),"")</f>
        <v>0</v>
      </c>
      <c r="K42" s="47" t="s">
        <v>1066</v>
      </c>
      <c r="L42" s="47" t="str">
        <f>=IFERROR(VLOOKUP(H42&amp;I42,Table_Fonctions!A:G,7,FALSE),K42)</f>
        <v/>
      </c>
      <c r="M42" s="47" t="str">
        <f>=IF(OR(LEFT(D42, 3)="TJ ", LEFT(D42, 4)="CPH "), "OUI", "NON")</f>
        <v/>
      </c>
      <c r="N42" s="47" t="s">
        <v>208</v>
      </c>
      <c r="O42" s="47"/>
      <c r="P42" s="47">
        <v>1</v>
      </c>
      <c r="Q42" s="47">
        <v>1</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0.275</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v>
      </c>
      <c r="CU42" s="47">
        <v>0</v>
      </c>
      <c r="CV42" s="47">
        <v>0.64</v>
      </c>
      <c r="CW42" s="47">
        <v>0</v>
      </c>
      <c r="CX42" s="47">
        <v>0</v>
      </c>
      <c r="CY42" s="47">
        <v>0.085</v>
      </c>
      <c r="CZ42" s="47">
        <v>0.085</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c r="DS42" s="47">
        <v>0</v>
      </c>
      <c r="DT42" s="47">
        <v>0</v>
      </c>
      <c r="DU42" s="47">
        <v>0</v>
      </c>
      <c r="DV42" s="47">
        <v>0</v>
      </c>
      <c r="DW42" s="47">
        <v>0</v>
      </c>
      <c r="DX42" s="47">
        <v>0</v>
      </c>
      <c r="DY42" s="47">
        <v>0</v>
      </c>
      <c r="DZ42" s="47"/>
      <c r="EA42" s="47">
        <v>1</v>
      </c>
      <c r="ZZ42" t="s">
        <v>1062</v>
      </c>
    </row>
    <row r="43" spans="1:702" x14ac:dyDescent="0.25">
      <c r="A43" s="47" t="s">
        <v>348</v>
      </c>
      <c r="B43" s="47" t="s">
        <v>151</v>
      </c>
      <c r="C43" s="47" t="s">
        <v>155</v>
      </c>
      <c r="D43" s="47" t="s">
        <v>1108</v>
      </c>
      <c r="E43" s="47" t="s">
        <v>349</v>
      </c>
      <c r="F43" s="47" t="s">
        <v>350</v>
      </c>
      <c r="G43" s="47" t="s">
        <v>351</v>
      </c>
      <c r="H43" s="47" t="s">
        <v>161</v>
      </c>
      <c r="I43" s="47" t="s">
        <v>330</v>
      </c>
      <c r="J43" s="47" t="str">
        <f>=IFERROR(VLOOKUP(H43&amp;I43,Table_Fonctions!A:G,6,FALSE),"")</f>
        <v>0</v>
      </c>
      <c r="K43" s="47" t="s">
        <v>1066</v>
      </c>
      <c r="L43" s="47" t="str">
        <f>=IFERROR(VLOOKUP(H43&amp;I43,Table_Fonctions!A:G,7,FALSE),K43)</f>
        <v/>
      </c>
      <c r="M43" s="47" t="str">
        <f>=IF(OR(LEFT(D43, 3)="TJ ", LEFT(D43, 4)="CPH "), "OUI", "NON")</f>
        <v/>
      </c>
      <c r="N43" s="47" t="s">
        <v>352</v>
      </c>
      <c r="O43" s="47" t="s">
        <v>170</v>
      </c>
      <c r="P43" s="47">
        <v>1</v>
      </c>
      <c r="Q43" s="47">
        <v>1</v>
      </c>
      <c r="R43" s="47">
        <v>0</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0.45</v>
      </c>
      <c r="AT43" s="47">
        <v>0</v>
      </c>
      <c r="AU43" s="47">
        <v>0</v>
      </c>
      <c r="AV43" s="47">
        <v>0</v>
      </c>
      <c r="AW43" s="47">
        <v>0</v>
      </c>
      <c r="AX43" s="47">
        <v>0</v>
      </c>
      <c r="AY43" s="47">
        <v>0</v>
      </c>
      <c r="AZ43" s="47">
        <v>0</v>
      </c>
      <c r="BA43" s="47">
        <v>0</v>
      </c>
      <c r="BB43" s="47">
        <v>0</v>
      </c>
      <c r="BC43" s="47">
        <v>0.1</v>
      </c>
      <c r="BD43" s="47">
        <v>0</v>
      </c>
      <c r="BE43" s="47">
        <v>0</v>
      </c>
      <c r="BF43" s="47">
        <v>0.03</v>
      </c>
      <c r="BG43" s="47">
        <v>0</v>
      </c>
      <c r="BH43" s="47">
        <v>0.05</v>
      </c>
      <c r="BI43" s="47">
        <v>0</v>
      </c>
      <c r="BJ43" s="47">
        <v>0</v>
      </c>
      <c r="BK43" s="47">
        <v>0.1</v>
      </c>
      <c r="BL43" s="47">
        <v>0.17</v>
      </c>
      <c r="BM43" s="47">
        <v>0</v>
      </c>
      <c r="BN43" s="47">
        <v>0</v>
      </c>
      <c r="BO43" s="47">
        <v>0</v>
      </c>
      <c r="BP43" s="47">
        <v>0</v>
      </c>
      <c r="BQ43" s="47">
        <v>0</v>
      </c>
      <c r="BR43" s="47">
        <v>0</v>
      </c>
      <c r="BS43" s="47">
        <v>0</v>
      </c>
      <c r="BT43" s="47">
        <v>0.03</v>
      </c>
      <c r="BU43" s="47">
        <v>0.03</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v>
      </c>
      <c r="CR43" s="47">
        <v>0</v>
      </c>
      <c r="CS43" s="47">
        <v>0</v>
      </c>
      <c r="CT43" s="47">
        <v>0</v>
      </c>
      <c r="CU43" s="47">
        <v>0</v>
      </c>
      <c r="CV43" s="47">
        <v>0.02</v>
      </c>
      <c r="CW43" s="47">
        <v>0.02</v>
      </c>
      <c r="CX43" s="47">
        <v>0</v>
      </c>
      <c r="CY43" s="47">
        <v>0.5</v>
      </c>
      <c r="CZ43" s="47">
        <v>0.35</v>
      </c>
      <c r="DA43" s="47">
        <v>0</v>
      </c>
      <c r="DB43" s="47">
        <v>0.05</v>
      </c>
      <c r="DC43" s="47">
        <v>0.1</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v>0</v>
      </c>
      <c r="DZ43" s="47"/>
      <c r="EA43" s="47">
        <v>1</v>
      </c>
      <c r="ZZ43" t="s">
        <v>1062</v>
      </c>
    </row>
    <row r="44" spans="1:702" x14ac:dyDescent="0.25">
      <c r="A44" s="47" t="s">
        <v>353</v>
      </c>
      <c r="B44" s="47" t="s">
        <v>151</v>
      </c>
      <c r="C44" s="47" t="s">
        <v>155</v>
      </c>
      <c r="D44" s="47" t="s">
        <v>1109</v>
      </c>
      <c r="E44" s="47" t="s">
        <v>354</v>
      </c>
      <c r="F44" s="47" t="s">
        <v>355</v>
      </c>
      <c r="G44" s="47" t="s">
        <v>356</v>
      </c>
      <c r="H44" s="47" t="s">
        <v>357</v>
      </c>
      <c r="I44" s="47" t="s">
        <v>358</v>
      </c>
      <c r="J44" s="47" t="str">
        <f>=IFERROR(VLOOKUP(H44&amp;I44,Table_Fonctions!A:G,6,FALSE),"")</f>
        <v>0</v>
      </c>
      <c r="K44" s="47" t="s">
        <v>1110</v>
      </c>
      <c r="L44" s="47" t="str">
        <f>=IFERROR(VLOOKUP(H44&amp;I44,Table_Fonctions!A:G,7,FALSE),K44)</f>
        <v/>
      </c>
      <c r="M44" s="47" t="str">
        <f>=IF(OR(LEFT(D44, 3)="TJ ", LEFT(D44, 4)="CPH "), "OUI", "NON")</f>
        <v/>
      </c>
      <c r="N44" s="47" t="s">
        <v>208</v>
      </c>
      <c r="O44" s="47"/>
      <c r="P44" s="47">
        <v>1</v>
      </c>
      <c r="Q44" s="47">
        <v>1</v>
      </c>
      <c r="R44" s="47">
        <v>0</v>
      </c>
      <c r="S44" s="47">
        <f>=ROUND(BQ44-(BR44+BS44),3)</f>
      </c>
      <c r="T44" s="47">
        <f>=ROUND(CK44-(CL44+CM44+CN44+CO44+CP44),3)</f>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v>
      </c>
      <c r="BP44" s="47">
        <v>0</v>
      </c>
      <c r="BQ44" s="47">
        <v>0</v>
      </c>
      <c r="BR44" s="47">
        <v>0</v>
      </c>
      <c r="BS44" s="47">
        <v>0</v>
      </c>
      <c r="BT44" s="47">
        <v>0</v>
      </c>
      <c r="BU44" s="47">
        <v>0</v>
      </c>
      <c r="BV44" s="47">
        <v>0</v>
      </c>
      <c r="BW44" s="47">
        <v>0</v>
      </c>
      <c r="BX44" s="47">
        <v>0</v>
      </c>
      <c r="BY44" s="47">
        <v>0</v>
      </c>
      <c r="BZ44" s="47">
        <v>0</v>
      </c>
      <c r="CA44" s="47">
        <v>0</v>
      </c>
      <c r="CB44" s="47">
        <v>0</v>
      </c>
      <c r="CC44" s="47">
        <v>0</v>
      </c>
      <c r="CD44" s="47">
        <v>0</v>
      </c>
      <c r="CE44" s="47">
        <v>0</v>
      </c>
      <c r="CF44" s="47">
        <v>0</v>
      </c>
      <c r="CG44" s="47">
        <v>0</v>
      </c>
      <c r="CH44" s="47">
        <v>0</v>
      </c>
      <c r="CI44" s="47">
        <v>0</v>
      </c>
      <c r="CJ44" s="47">
        <v>0</v>
      </c>
      <c r="CK44" s="47">
        <v>1</v>
      </c>
      <c r="CL44" s="47">
        <v>1</v>
      </c>
      <c r="CM44" s="47">
        <v>0</v>
      </c>
      <c r="CN44" s="47">
        <v>0</v>
      </c>
      <c r="CO44" s="47">
        <v>0</v>
      </c>
      <c r="CP44" s="47">
        <v>0</v>
      </c>
      <c r="CQ44" s="47">
        <v>0</v>
      </c>
      <c r="CR44" s="47">
        <v>0</v>
      </c>
      <c r="CS44" s="47">
        <v>0</v>
      </c>
      <c r="CT44" s="47">
        <v>0</v>
      </c>
      <c r="CU44" s="47">
        <v>0</v>
      </c>
      <c r="CV44" s="47">
        <v>0</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v>0</v>
      </c>
      <c r="DZ44" s="47"/>
      <c r="EA44" s="47">
        <v>1</v>
      </c>
      <c r="ZZ44" t="s">
        <v>1062</v>
      </c>
    </row>
    <row r="45" spans="1:702" x14ac:dyDescent="0.25">
      <c r="A45" s="47" t="s">
        <v>359</v>
      </c>
      <c r="B45" s="47" t="s">
        <v>151</v>
      </c>
      <c r="C45" s="47" t="s">
        <v>155</v>
      </c>
      <c r="D45" s="47" t="s">
        <v>1111</v>
      </c>
      <c r="E45" s="47" t="s">
        <v>360</v>
      </c>
      <c r="F45" s="47" t="s">
        <v>361</v>
      </c>
      <c r="G45" s="47" t="s">
        <v>362</v>
      </c>
      <c r="H45" s="47" t="s">
        <v>357</v>
      </c>
      <c r="I45" s="47" t="s">
        <v>358</v>
      </c>
      <c r="J45" s="47" t="str">
        <f>=IFERROR(VLOOKUP(H45&amp;I45,Table_Fonctions!A:G,6,FALSE),"")</f>
        <v>0</v>
      </c>
      <c r="K45" s="47" t="s">
        <v>1110</v>
      </c>
      <c r="L45" s="47" t="str">
        <f>=IFERROR(VLOOKUP(H45&amp;I45,Table_Fonctions!A:G,7,FALSE),K45)</f>
        <v/>
      </c>
      <c r="M45" s="47" t="str">
        <f>=IF(OR(LEFT(D45, 3)="TJ ", LEFT(D45, 4)="CPH "), "OUI", "NON")</f>
        <v/>
      </c>
      <c r="N45" s="47" t="s">
        <v>363</v>
      </c>
      <c r="O45" s="47"/>
      <c r="P45" s="47">
        <v>1</v>
      </c>
      <c r="Q45" s="47">
        <v>1</v>
      </c>
      <c r="R45" s="47">
        <v>0</v>
      </c>
      <c r="S45" s="47">
        <f>=ROUND(BQ45-(BR45+BS45),3)</f>
      </c>
      <c r="T45" s="47">
        <f>=ROUND(CK45-(CL45+CM45+CN45+CO45+CP45),3)</f>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0.53</v>
      </c>
      <c r="AT45" s="47">
        <v>0</v>
      </c>
      <c r="AU45" s="47">
        <v>0</v>
      </c>
      <c r="AV45" s="47">
        <v>0</v>
      </c>
      <c r="AW45" s="47">
        <v>0</v>
      </c>
      <c r="AX45" s="47">
        <v>0</v>
      </c>
      <c r="AY45" s="47">
        <v>0</v>
      </c>
      <c r="AZ45" s="47">
        <v>0</v>
      </c>
      <c r="BA45" s="47">
        <v>0</v>
      </c>
      <c r="BB45" s="47">
        <v>0</v>
      </c>
      <c r="BC45" s="47">
        <v>0</v>
      </c>
      <c r="BD45" s="47">
        <v>0</v>
      </c>
      <c r="BE45" s="47">
        <v>0</v>
      </c>
      <c r="BF45" s="47">
        <v>0</v>
      </c>
      <c r="BG45" s="47">
        <v>0</v>
      </c>
      <c r="BH45" s="47">
        <v>0.1</v>
      </c>
      <c r="BI45" s="47">
        <v>0</v>
      </c>
      <c r="BJ45" s="47">
        <v>0</v>
      </c>
      <c r="BK45" s="47">
        <v>0.43</v>
      </c>
      <c r="BL45" s="47">
        <v>0</v>
      </c>
      <c r="BM45" s="47">
        <v>0.02</v>
      </c>
      <c r="BN45" s="47">
        <v>0</v>
      </c>
      <c r="BO45" s="47">
        <v>0.02</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0.45</v>
      </c>
      <c r="CZ45" s="47">
        <v>0.45</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v>0</v>
      </c>
      <c r="DZ45" s="47"/>
      <c r="EA45" s="47">
        <v>1</v>
      </c>
      <c r="ZZ45" t="s">
        <v>1062</v>
      </c>
    </row>
    <row r="46" spans="1:702" x14ac:dyDescent="0.25">
      <c r="A46" s="47" t="s">
        <v>364</v>
      </c>
      <c r="B46" s="47" t="s">
        <v>151</v>
      </c>
      <c r="C46" s="47" t="s">
        <v>155</v>
      </c>
      <c r="D46" s="47" t="s">
        <v>1112</v>
      </c>
      <c r="E46" s="47" t="s">
        <v>365</v>
      </c>
      <c r="F46" s="47" t="s">
        <v>366</v>
      </c>
      <c r="G46" s="47" t="s">
        <v>367</v>
      </c>
      <c r="H46" s="47" t="s">
        <v>357</v>
      </c>
      <c r="I46" s="47" t="s">
        <v>1113</v>
      </c>
      <c r="J46" s="47" t="str">
        <f>=IFERROR(VLOOKUP(H46&amp;I46,Table_Fonctions!A:G,6,FALSE),"")</f>
        <v>0</v>
      </c>
      <c r="K46" s="47" t="s">
        <v>1114</v>
      </c>
      <c r="L46" s="47" t="str">
        <f>=IFERROR(VLOOKUP(H46&amp;I46,Table_Fonctions!A:G,7,FALSE),K46)</f>
        <v/>
      </c>
      <c r="M46" s="47" t="str">
        <f>=IF(OR(LEFT(D46, 3)="TJ ", LEFT(D46, 4)="CPH "), "OUI", "NON")</f>
        <v/>
      </c>
      <c r="N46" s="47" t="s">
        <v>176</v>
      </c>
      <c r="O46" s="47"/>
      <c r="P46" s="47">
        <v>1</v>
      </c>
      <c r="Q46" s="47">
        <v>1</v>
      </c>
      <c r="R46" s="47">
        <v>0</v>
      </c>
      <c r="S46" s="47">
        <f>=ROUND(BQ46-(BR46+BS46),3)</f>
      </c>
      <c r="T46" s="47">
        <f>=ROUND(CK46-(CL46+CM46+CN46+CO46+CP46),3)</f>
      </c>
      <c r="U46" s="47">
        <v>0</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v>
      </c>
      <c r="BP46" s="47">
        <v>0</v>
      </c>
      <c r="BQ46" s="47">
        <v>0</v>
      </c>
      <c r="BR46" s="47">
        <v>0</v>
      </c>
      <c r="BS46" s="47">
        <v>0</v>
      </c>
      <c r="BT46" s="47">
        <v>1</v>
      </c>
      <c r="BU46" s="47">
        <v>0</v>
      </c>
      <c r="BV46" s="47">
        <v>0</v>
      </c>
      <c r="BW46" s="47">
        <v>0</v>
      </c>
      <c r="BX46" s="47">
        <v>0</v>
      </c>
      <c r="BY46" s="47">
        <v>0</v>
      </c>
      <c r="BZ46" s="47">
        <v>0</v>
      </c>
      <c r="CA46" s="47">
        <v>0</v>
      </c>
      <c r="CB46" s="47">
        <v>0</v>
      </c>
      <c r="CC46" s="47">
        <v>1</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v>
      </c>
      <c r="DW46" s="47">
        <v>0</v>
      </c>
      <c r="DX46" s="47">
        <v>0</v>
      </c>
      <c r="DY46" s="47">
        <v>0</v>
      </c>
      <c r="DZ46" s="47"/>
      <c r="EA46" s="47">
        <v>1</v>
      </c>
      <c r="ZZ46" t="s">
        <v>1062</v>
      </c>
    </row>
    <row r="47" spans="1:702" x14ac:dyDescent="0.25">
      <c r="A47" s="47" t="s">
        <v>369</v>
      </c>
      <c r="B47" s="47" t="s">
        <v>151</v>
      </c>
      <c r="C47" s="47" t="s">
        <v>155</v>
      </c>
      <c r="D47" s="47" t="s">
        <v>1115</v>
      </c>
      <c r="E47" s="47" t="s">
        <v>370</v>
      </c>
      <c r="F47" s="47" t="s">
        <v>371</v>
      </c>
      <c r="G47" s="47" t="s">
        <v>372</v>
      </c>
      <c r="H47" s="47" t="s">
        <v>357</v>
      </c>
      <c r="I47" s="47" t="s">
        <v>358</v>
      </c>
      <c r="J47" s="47" t="str">
        <f>=IFERROR(VLOOKUP(H47&amp;I47,Table_Fonctions!A:G,6,FALSE),"")</f>
        <v>0</v>
      </c>
      <c r="K47" s="47" t="s">
        <v>1110</v>
      </c>
      <c r="L47" s="47" t="str">
        <f>=IFERROR(VLOOKUP(H47&amp;I47,Table_Fonctions!A:G,7,FALSE),K47)</f>
        <v/>
      </c>
      <c r="M47" s="47" t="str">
        <f>=IF(OR(LEFT(D47, 3)="TJ ", LEFT(D47, 4)="CPH "), "OUI", "NON")</f>
        <v/>
      </c>
      <c r="N47" s="47" t="s">
        <v>208</v>
      </c>
      <c r="O47" s="47"/>
      <c r="P47" s="47">
        <v>1</v>
      </c>
      <c r="Q47" s="47">
        <v>1</v>
      </c>
      <c r="R47" s="47">
        <v>0</v>
      </c>
      <c r="S47" s="47">
        <f>=ROUND(BQ47-(BR47+BS47),3)</f>
      </c>
      <c r="T47" s="47">
        <f>=ROUND(CK47-(CL47+CM47+CN47+CO47+CP47),3)</f>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1</v>
      </c>
      <c r="BR47" s="47">
        <v>0.6</v>
      </c>
      <c r="BS47" s="47">
        <v>0.4</v>
      </c>
      <c r="BT47" s="47">
        <v>0</v>
      </c>
      <c r="BU47" s="47">
        <v>0</v>
      </c>
      <c r="BV47" s="47">
        <v>0</v>
      </c>
      <c r="BW47" s="47">
        <v>0</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v>0</v>
      </c>
      <c r="DZ47" s="47"/>
      <c r="EA47" s="47">
        <v>1</v>
      </c>
      <c r="ZZ47" t="s">
        <v>1062</v>
      </c>
    </row>
    <row r="48" spans="1:702" x14ac:dyDescent="0.25">
      <c r="A48" s="47" t="s">
        <v>373</v>
      </c>
      <c r="B48" s="47" t="s">
        <v>151</v>
      </c>
      <c r="C48" s="47" t="s">
        <v>155</v>
      </c>
      <c r="D48" s="47" t="s">
        <v>1116</v>
      </c>
      <c r="E48" s="47" t="s">
        <v>374</v>
      </c>
      <c r="F48" s="47" t="s">
        <v>375</v>
      </c>
      <c r="G48" s="47" t="s">
        <v>376</v>
      </c>
      <c r="H48" s="47" t="s">
        <v>357</v>
      </c>
      <c r="I48" s="47" t="s">
        <v>358</v>
      </c>
      <c r="J48" s="47" t="str">
        <f>=IFERROR(VLOOKUP(H48&amp;I48,Table_Fonctions!A:G,6,FALSE),"")</f>
        <v>0</v>
      </c>
      <c r="K48" s="47" t="s">
        <v>1110</v>
      </c>
      <c r="L48" s="47" t="str">
        <f>=IFERROR(VLOOKUP(H48&amp;I48,Table_Fonctions!A:G,7,FALSE),K48)</f>
        <v/>
      </c>
      <c r="M48" s="47" t="str">
        <f>=IF(OR(LEFT(D48, 3)="TJ ", LEFT(D48, 4)="CPH "), "OUI", "NON")</f>
        <v/>
      </c>
      <c r="N48" s="47" t="s">
        <v>377</v>
      </c>
      <c r="O48" s="47"/>
      <c r="P48" s="47">
        <v>1</v>
      </c>
      <c r="Q48" s="47">
        <v>0</v>
      </c>
      <c r="R48" s="47">
        <v>1</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v>
      </c>
      <c r="BN48" s="47">
        <v>0</v>
      </c>
      <c r="BO48" s="47">
        <v>0</v>
      </c>
      <c r="BP48" s="47">
        <v>0</v>
      </c>
      <c r="BQ48" s="47">
        <v>0</v>
      </c>
      <c r="BR48" s="47">
        <v>0</v>
      </c>
      <c r="BS48" s="47">
        <v>0</v>
      </c>
      <c r="BT48" s="47">
        <v>0</v>
      </c>
      <c r="BU48" s="47">
        <v>0</v>
      </c>
      <c r="BV48" s="47">
        <v>0</v>
      </c>
      <c r="BW48" s="47">
        <v>0</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v>0</v>
      </c>
      <c r="DZ48" s="47"/>
      <c r="EA48" s="47">
        <v>1</v>
      </c>
      <c r="ZZ48" t="s">
        <v>1062</v>
      </c>
    </row>
    <row r="49" spans="1:702" x14ac:dyDescent="0.25">
      <c r="A49" s="47" t="s">
        <v>378</v>
      </c>
      <c r="B49" s="47" t="s">
        <v>151</v>
      </c>
      <c r="C49" s="47" t="s">
        <v>155</v>
      </c>
      <c r="D49" s="47" t="s">
        <v>1117</v>
      </c>
      <c r="E49" s="47" t="s">
        <v>379</v>
      </c>
      <c r="F49" s="47" t="s">
        <v>380</v>
      </c>
      <c r="G49" s="47" t="s">
        <v>381</v>
      </c>
      <c r="H49" s="47" t="s">
        <v>357</v>
      </c>
      <c r="I49" s="47" t="s">
        <v>358</v>
      </c>
      <c r="J49" s="47" t="str">
        <f>=IFERROR(VLOOKUP(H49&amp;I49,Table_Fonctions!A:G,6,FALSE),"")</f>
        <v>0</v>
      </c>
      <c r="K49" s="47" t="s">
        <v>1110</v>
      </c>
      <c r="L49" s="47" t="str">
        <f>=IFERROR(VLOOKUP(H49&amp;I49,Table_Fonctions!A:G,7,FALSE),K49)</f>
        <v/>
      </c>
      <c r="M49" s="47" t="str">
        <f>=IF(OR(LEFT(D49, 3)="TJ ", LEFT(D49, 4)="CPH "), "OUI", "NON")</f>
        <v/>
      </c>
      <c r="N49" s="47" t="s">
        <v>382</v>
      </c>
      <c r="O49" s="47" t="s">
        <v>383</v>
      </c>
      <c r="P49" s="47">
        <v>1</v>
      </c>
      <c r="Q49" s="47">
        <v>1</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1</v>
      </c>
      <c r="CL49" s="47">
        <v>0</v>
      </c>
      <c r="CM49" s="47">
        <v>0</v>
      </c>
      <c r="CN49" s="47">
        <v>0</v>
      </c>
      <c r="CO49" s="47">
        <v>1</v>
      </c>
      <c r="CP49" s="47">
        <v>0</v>
      </c>
      <c r="CQ49" s="47">
        <v>0</v>
      </c>
      <c r="CR49" s="47">
        <v>0</v>
      </c>
      <c r="CS49" s="47">
        <v>0</v>
      </c>
      <c r="CT49" s="47">
        <v>0</v>
      </c>
      <c r="CU49" s="47">
        <v>0</v>
      </c>
      <c r="CV49" s="47">
        <v>0</v>
      </c>
      <c r="CW49" s="47">
        <v>0</v>
      </c>
      <c r="CX49" s="47">
        <v>0</v>
      </c>
      <c r="CY49" s="47">
        <v>0</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0.0651</v>
      </c>
      <c r="DU49" s="47">
        <v>0</v>
      </c>
      <c r="DV49" s="47">
        <v>0</v>
      </c>
      <c r="DW49" s="47">
        <v>0</v>
      </c>
      <c r="DX49" s="47">
        <v>0</v>
      </c>
      <c r="DY49" s="47">
        <v>0.0651</v>
      </c>
      <c r="DZ49" s="47"/>
      <c r="EA49" s="47">
        <v>1</v>
      </c>
      <c r="ZZ49" t="s">
        <v>1062</v>
      </c>
    </row>
    <row r="50" spans="1:702" x14ac:dyDescent="0.25">
      <c r="A50" s="47" t="s">
        <v>384</v>
      </c>
      <c r="B50" s="47" t="s">
        <v>151</v>
      </c>
      <c r="C50" s="47" t="s">
        <v>155</v>
      </c>
      <c r="D50" s="47" t="s">
        <v>1118</v>
      </c>
      <c r="E50" s="47" t="s">
        <v>385</v>
      </c>
      <c r="F50" s="47" t="s">
        <v>386</v>
      </c>
      <c r="G50" s="47" t="s">
        <v>387</v>
      </c>
      <c r="H50" s="47" t="s">
        <v>357</v>
      </c>
      <c r="I50" s="47" t="s">
        <v>388</v>
      </c>
      <c r="J50" s="47" t="str">
        <f>=IFERROR(VLOOKUP(H50&amp;I50,Table_Fonctions!A:G,6,FALSE),"")</f>
        <v>0</v>
      </c>
      <c r="K50" s="47" t="s">
        <v>1110</v>
      </c>
      <c r="L50" s="47" t="str">
        <f>=IFERROR(VLOOKUP(H50&amp;I50,Table_Fonctions!A:G,7,FALSE),K50)</f>
        <v/>
      </c>
      <c r="M50" s="47" t="str">
        <f>=IF(OR(LEFT(D50, 3)="TJ ", LEFT(D50, 4)="CPH "), "OUI", "NON")</f>
        <v/>
      </c>
      <c r="N50" s="47" t="s">
        <v>389</v>
      </c>
      <c r="O50" s="47"/>
      <c r="P50" s="47">
        <v>1</v>
      </c>
      <c r="Q50" s="47">
        <v>0</v>
      </c>
      <c r="R50" s="47">
        <v>1</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v>0</v>
      </c>
      <c r="DZ50" s="47"/>
      <c r="EA50" s="47">
        <v>1</v>
      </c>
      <c r="ZZ50" t="s">
        <v>1062</v>
      </c>
    </row>
    <row r="51" spans="1:702" x14ac:dyDescent="0.25">
      <c r="A51" s="47" t="s">
        <v>390</v>
      </c>
      <c r="B51" s="47" t="s">
        <v>151</v>
      </c>
      <c r="C51" s="47" t="s">
        <v>155</v>
      </c>
      <c r="D51" s="47" t="s">
        <v>1119</v>
      </c>
      <c r="E51" s="47" t="s">
        <v>391</v>
      </c>
      <c r="F51" s="47" t="s">
        <v>392</v>
      </c>
      <c r="G51" s="47" t="s">
        <v>393</v>
      </c>
      <c r="H51" s="47" t="s">
        <v>357</v>
      </c>
      <c r="I51" s="47" t="s">
        <v>388</v>
      </c>
      <c r="J51" s="47" t="str">
        <f>=IFERROR(VLOOKUP(H51&amp;I51,Table_Fonctions!A:G,6,FALSE),"")</f>
        <v>0</v>
      </c>
      <c r="K51" s="47" t="s">
        <v>1110</v>
      </c>
      <c r="L51" s="47" t="str">
        <f>=IFERROR(VLOOKUP(H51&amp;I51,Table_Fonctions!A:G,7,FALSE),K51)</f>
        <v/>
      </c>
      <c r="M51" s="47" t="str">
        <f>=IF(OR(LEFT(D51, 3)="TJ ", LEFT(D51, 4)="CPH "), "OUI", "NON")</f>
        <v/>
      </c>
      <c r="N51" s="47" t="s">
        <v>208</v>
      </c>
      <c r="O51" s="47" t="s">
        <v>169</v>
      </c>
      <c r="P51" s="47">
        <v>0.6667</v>
      </c>
      <c r="Q51" s="47">
        <v>0.6667</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v>
      </c>
      <c r="CU51" s="47">
        <v>0</v>
      </c>
      <c r="CV51" s="47">
        <v>0</v>
      </c>
      <c r="CW51" s="47">
        <v>0</v>
      </c>
      <c r="CX51" s="47">
        <v>0</v>
      </c>
      <c r="CY51" s="47">
        <v>0.6667</v>
      </c>
      <c r="CZ51" s="47">
        <v>0</v>
      </c>
      <c r="DA51" s="47">
        <v>0</v>
      </c>
      <c r="DB51" s="47">
        <v>0</v>
      </c>
      <c r="DC51" s="47">
        <v>0</v>
      </c>
      <c r="DD51" s="47">
        <v>0</v>
      </c>
      <c r="DE51" s="47">
        <v>0</v>
      </c>
      <c r="DF51" s="47">
        <v>0</v>
      </c>
      <c r="DG51" s="47">
        <v>0</v>
      </c>
      <c r="DH51" s="47">
        <v>0</v>
      </c>
      <c r="DI51" s="47">
        <v>0</v>
      </c>
      <c r="DJ51" s="47">
        <v>0.6667</v>
      </c>
      <c r="DK51" s="47">
        <v>0</v>
      </c>
      <c r="DL51" s="47">
        <v>0</v>
      </c>
      <c r="DM51" s="47">
        <v>0</v>
      </c>
      <c r="DN51" s="47">
        <v>0</v>
      </c>
      <c r="DO51" s="47">
        <v>0</v>
      </c>
      <c r="DP51" s="47">
        <v>0</v>
      </c>
      <c r="DQ51" s="47">
        <v>0</v>
      </c>
      <c r="DR51" s="47">
        <v>0</v>
      </c>
      <c r="DS51" s="47">
        <v>0</v>
      </c>
      <c r="DT51" s="47">
        <v>0</v>
      </c>
      <c r="DU51" s="47">
        <v>0.0575</v>
      </c>
      <c r="DV51" s="47">
        <v>0</v>
      </c>
      <c r="DW51" s="47">
        <v>0.0192</v>
      </c>
      <c r="DX51" s="47">
        <v>0</v>
      </c>
      <c r="DY51" s="47">
        <v>0.0766</v>
      </c>
      <c r="DZ51" s="47"/>
      <c r="EA51" s="47">
        <v>0.6667</v>
      </c>
      <c r="ZZ51" t="s">
        <v>1062</v>
      </c>
    </row>
    <row r="52" spans="1:702" x14ac:dyDescent="0.25">
      <c r="A52" s="47" t="s">
        <v>394</v>
      </c>
      <c r="B52" s="47" t="s">
        <v>151</v>
      </c>
      <c r="C52" s="47" t="s">
        <v>155</v>
      </c>
      <c r="D52" s="47" t="s">
        <v>1120</v>
      </c>
      <c r="E52" s="47" t="s">
        <v>395</v>
      </c>
      <c r="F52" s="47" t="s">
        <v>396</v>
      </c>
      <c r="G52" s="47" t="s">
        <v>397</v>
      </c>
      <c r="H52" s="47" t="s">
        <v>357</v>
      </c>
      <c r="I52" s="47" t="s">
        <v>398</v>
      </c>
      <c r="J52" s="47" t="str">
        <f>=IFERROR(VLOOKUP(H52&amp;I52,Table_Fonctions!A:G,6,FALSE),"")</f>
        <v>0</v>
      </c>
      <c r="K52" s="47" t="s">
        <v>1110</v>
      </c>
      <c r="L52" s="47" t="str">
        <f>=IFERROR(VLOOKUP(H52&amp;I52,Table_Fonctions!A:G,7,FALSE),K52)</f>
        <v/>
      </c>
      <c r="M52" s="47" t="str">
        <f>=IF(OR(LEFT(D52, 3)="TJ ", LEFT(D52, 4)="CPH "), "OUI", "NON")</f>
        <v/>
      </c>
      <c r="N52" s="47" t="s">
        <v>176</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v>
      </c>
      <c r="CW52" s="47">
        <v>0</v>
      </c>
      <c r="CX52" s="47">
        <v>0</v>
      </c>
      <c r="CY52" s="47">
        <v>1</v>
      </c>
      <c r="CZ52" s="47">
        <v>1</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v>0</v>
      </c>
      <c r="DZ52" s="47"/>
      <c r="EA52" s="47">
        <v>1</v>
      </c>
      <c r="ZZ52" t="s">
        <v>1062</v>
      </c>
    </row>
    <row r="53" spans="1:702" x14ac:dyDescent="0.25">
      <c r="A53" s="47" t="s">
        <v>399</v>
      </c>
      <c r="B53" s="47" t="s">
        <v>151</v>
      </c>
      <c r="C53" s="47" t="s">
        <v>155</v>
      </c>
      <c r="D53" s="47" t="s">
        <v>1121</v>
      </c>
      <c r="E53" s="47" t="s">
        <v>400</v>
      </c>
      <c r="F53" s="47" t="s">
        <v>401</v>
      </c>
      <c r="G53" s="47" t="s">
        <v>402</v>
      </c>
      <c r="H53" s="47" t="s">
        <v>357</v>
      </c>
      <c r="I53" s="47" t="s">
        <v>358</v>
      </c>
      <c r="J53" s="47" t="str">
        <f>=IFERROR(VLOOKUP(H53&amp;I53,Table_Fonctions!A:G,6,FALSE),"")</f>
        <v>0</v>
      </c>
      <c r="K53" s="47" t="s">
        <v>1110</v>
      </c>
      <c r="L53" s="47" t="str">
        <f>=IFERROR(VLOOKUP(H53&amp;I53,Table_Fonctions!A:G,7,FALSE),K53)</f>
        <v/>
      </c>
      <c r="M53" s="47" t="str">
        <f>=IF(OR(LEFT(D53, 3)="TJ ", LEFT(D53, 4)="CPH "), "OUI", "NON")</f>
        <v/>
      </c>
      <c r="N53" s="47" t="s">
        <v>403</v>
      </c>
      <c r="O53" s="47"/>
      <c r="P53" s="47">
        <v>1</v>
      </c>
      <c r="Q53" s="47">
        <v>1</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0</v>
      </c>
      <c r="BM53" s="47">
        <v>0</v>
      </c>
      <c r="BN53" s="47">
        <v>0</v>
      </c>
      <c r="BO53" s="47">
        <v>0</v>
      </c>
      <c r="BP53" s="47">
        <v>0</v>
      </c>
      <c r="BQ53" s="47">
        <v>1</v>
      </c>
      <c r="BR53" s="47">
        <v>0.65</v>
      </c>
      <c r="BS53" s="47">
        <v>0.35</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v>0</v>
      </c>
      <c r="DZ53" s="47"/>
      <c r="EA53" s="47">
        <v>1</v>
      </c>
      <c r="ZZ53" t="s">
        <v>1062</v>
      </c>
    </row>
    <row r="54" spans="1:702" x14ac:dyDescent="0.25">
      <c r="A54" s="47" t="s">
        <v>404</v>
      </c>
      <c r="B54" s="47" t="s">
        <v>151</v>
      </c>
      <c r="C54" s="47" t="s">
        <v>155</v>
      </c>
      <c r="D54" s="47" t="s">
        <v>1122</v>
      </c>
      <c r="E54" s="47" t="s">
        <v>405</v>
      </c>
      <c r="F54" s="47" t="s">
        <v>406</v>
      </c>
      <c r="G54" s="47" t="s">
        <v>407</v>
      </c>
      <c r="H54" s="47" t="s">
        <v>357</v>
      </c>
      <c r="I54" s="47" t="s">
        <v>358</v>
      </c>
      <c r="J54" s="47" t="str">
        <f>=IFERROR(VLOOKUP(H54&amp;I54,Table_Fonctions!A:G,6,FALSE),"")</f>
        <v>0</v>
      </c>
      <c r="K54" s="47" t="s">
        <v>1110</v>
      </c>
      <c r="L54" s="47" t="str">
        <f>=IFERROR(VLOOKUP(H54&amp;I54,Table_Fonctions!A:G,7,FALSE),K54)</f>
        <v/>
      </c>
      <c r="M54" s="47" t="str">
        <f>=IF(OR(LEFT(D54, 3)="TJ ", LEFT(D54, 4)="CPH "), "OUI", "NON")</f>
        <v/>
      </c>
      <c r="N54" s="47" t="s">
        <v>377</v>
      </c>
      <c r="O54" s="47"/>
      <c r="P54" s="47">
        <v>1</v>
      </c>
      <c r="Q54" s="47">
        <v>0</v>
      </c>
      <c r="R54" s="47">
        <v>1</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v>0</v>
      </c>
      <c r="DZ54" s="47"/>
      <c r="EA54" s="47">
        <v>1</v>
      </c>
      <c r="ZZ54" t="s">
        <v>1062</v>
      </c>
    </row>
    <row r="55" spans="1:702" x14ac:dyDescent="0.25">
      <c r="A55" s="47" t="s">
        <v>408</v>
      </c>
      <c r="B55" s="47" t="s">
        <v>151</v>
      </c>
      <c r="C55" s="47" t="s">
        <v>155</v>
      </c>
      <c r="D55" s="47" t="s">
        <v>1123</v>
      </c>
      <c r="E55" s="47" t="s">
        <v>409</v>
      </c>
      <c r="F55" s="47" t="s">
        <v>410</v>
      </c>
      <c r="G55" s="47" t="s">
        <v>411</v>
      </c>
      <c r="H55" s="47" t="s">
        <v>357</v>
      </c>
      <c r="I55" s="47" t="s">
        <v>358</v>
      </c>
      <c r="J55" s="47" t="str">
        <f>=IFERROR(VLOOKUP(H55&amp;I55,Table_Fonctions!A:G,6,FALSE),"")</f>
        <v>0</v>
      </c>
      <c r="K55" s="47" t="s">
        <v>1110</v>
      </c>
      <c r="L55" s="47" t="str">
        <f>=IFERROR(VLOOKUP(H55&amp;I55,Table_Fonctions!A:G,7,FALSE),K55)</f>
        <v/>
      </c>
      <c r="M55" s="47" t="str">
        <f>=IF(OR(LEFT(D55, 3)="TJ ", LEFT(D55, 4)="CPH "), "OUI", "NON")</f>
        <v/>
      </c>
      <c r="N55" s="47" t="s">
        <v>412</v>
      </c>
      <c r="O55" s="47"/>
      <c r="P55" s="47">
        <v>1</v>
      </c>
      <c r="Q55" s="47">
        <v>0</v>
      </c>
      <c r="R55" s="47">
        <v>1</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v>0</v>
      </c>
      <c r="DZ55" s="47"/>
      <c r="EA55" s="47">
        <v>1</v>
      </c>
      <c r="ZZ55" t="s">
        <v>1062</v>
      </c>
    </row>
    <row r="56" spans="1:702" x14ac:dyDescent="0.25">
      <c r="A56" s="47" t="s">
        <v>413</v>
      </c>
      <c r="B56" s="47" t="s">
        <v>151</v>
      </c>
      <c r="C56" s="47" t="s">
        <v>155</v>
      </c>
      <c r="D56" s="47" t="s">
        <v>1124</v>
      </c>
      <c r="E56" s="47" t="s">
        <v>414</v>
      </c>
      <c r="F56" s="47" t="s">
        <v>415</v>
      </c>
      <c r="G56" s="47" t="s">
        <v>416</v>
      </c>
      <c r="H56" s="47" t="s">
        <v>357</v>
      </c>
      <c r="I56" s="47" t="s">
        <v>388</v>
      </c>
      <c r="J56" s="47" t="str">
        <f>=IFERROR(VLOOKUP(H56&amp;I56,Table_Fonctions!A:G,6,FALSE),"")</f>
        <v>0</v>
      </c>
      <c r="K56" s="47" t="s">
        <v>1110</v>
      </c>
      <c r="L56" s="47" t="str">
        <f>=IFERROR(VLOOKUP(H56&amp;I56,Table_Fonctions!A:G,7,FALSE),K56)</f>
        <v/>
      </c>
      <c r="M56" s="47" t="str">
        <f>=IF(OR(LEFT(D56, 3)="TJ ", LEFT(D56, 4)="CPH "), "OUI", "NON")</f>
        <v/>
      </c>
      <c r="N56" s="47" t="s">
        <v>417</v>
      </c>
      <c r="O56" s="47"/>
      <c r="P56" s="47">
        <v>1</v>
      </c>
      <c r="Q56" s="47">
        <v>1</v>
      </c>
      <c r="R56" s="47">
        <v>0</v>
      </c>
      <c r="S56" s="47">
        <f>=ROUND(BQ56-(BR56+BS56),3)</f>
      </c>
      <c r="T56" s="47">
        <f>=ROUND(CK56-(CL56+CM56+CN56+CO56+CP56),3)</f>
      </c>
      <c r="U56" s="47">
        <v>1</v>
      </c>
      <c r="V56" s="47">
        <v>0</v>
      </c>
      <c r="W56" s="47">
        <v>1</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v>0</v>
      </c>
      <c r="DZ56" s="47"/>
      <c r="EA56" s="47">
        <v>1</v>
      </c>
      <c r="ZZ56" t="s">
        <v>1062</v>
      </c>
    </row>
    <row r="57" spans="1:702" x14ac:dyDescent="0.25">
      <c r="A57" s="47" t="s">
        <v>418</v>
      </c>
      <c r="B57" s="47" t="s">
        <v>151</v>
      </c>
      <c r="C57" s="47" t="s">
        <v>155</v>
      </c>
      <c r="D57" s="47" t="s">
        <v>1125</v>
      </c>
      <c r="E57" s="47" t="s">
        <v>419</v>
      </c>
      <c r="F57" s="47" t="s">
        <v>420</v>
      </c>
      <c r="G57" s="47" t="s">
        <v>421</v>
      </c>
      <c r="H57" s="47" t="s">
        <v>357</v>
      </c>
      <c r="I57" s="47" t="s">
        <v>358</v>
      </c>
      <c r="J57" s="47" t="str">
        <f>=IFERROR(VLOOKUP(H57&amp;I57,Table_Fonctions!A:G,6,FALSE),"")</f>
        <v>0</v>
      </c>
      <c r="K57" s="47" t="s">
        <v>1110</v>
      </c>
      <c r="L57" s="47" t="str">
        <f>=IFERROR(VLOOKUP(H57&amp;I57,Table_Fonctions!A:G,7,FALSE),K57)</f>
        <v/>
      </c>
      <c r="M57" s="47" t="str">
        <f>=IF(OR(LEFT(D57, 3)="TJ ", LEFT(D57, 4)="CPH "), "OUI", "NON")</f>
        <v/>
      </c>
      <c r="N57" s="47" t="s">
        <v>422</v>
      </c>
      <c r="O57" s="47"/>
      <c r="P57" s="47">
        <v>1</v>
      </c>
      <c r="Q57" s="47">
        <v>0</v>
      </c>
      <c r="R57" s="47">
        <v>1</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v>0</v>
      </c>
      <c r="DZ57" s="47"/>
      <c r="EA57" s="47">
        <v>1</v>
      </c>
      <c r="ZZ57" t="s">
        <v>1062</v>
      </c>
    </row>
    <row r="58" spans="1:702" x14ac:dyDescent="0.25">
      <c r="A58" s="47" t="s">
        <v>423</v>
      </c>
      <c r="B58" s="47" t="s">
        <v>151</v>
      </c>
      <c r="C58" s="47" t="s">
        <v>155</v>
      </c>
      <c r="D58" s="47" t="s">
        <v>1126</v>
      </c>
      <c r="E58" s="47" t="s">
        <v>424</v>
      </c>
      <c r="F58" s="47" t="s">
        <v>425</v>
      </c>
      <c r="G58" s="47" t="s">
        <v>426</v>
      </c>
      <c r="H58" s="47" t="s">
        <v>357</v>
      </c>
      <c r="I58" s="47" t="s">
        <v>358</v>
      </c>
      <c r="J58" s="47" t="str">
        <f>=IFERROR(VLOOKUP(H58&amp;I58,Table_Fonctions!A:G,6,FALSE),"")</f>
        <v>0</v>
      </c>
      <c r="K58" s="47" t="s">
        <v>1110</v>
      </c>
      <c r="L58" s="47" t="str">
        <f>=IFERROR(VLOOKUP(H58&amp;I58,Table_Fonctions!A:G,7,FALSE),K58)</f>
        <v/>
      </c>
      <c r="M58" s="47" t="str">
        <f>=IF(OR(LEFT(D58, 3)="TJ ", LEFT(D58, 4)="CPH "), "OUI", "NON")</f>
        <v/>
      </c>
      <c r="N58" s="47" t="s">
        <v>427</v>
      </c>
      <c r="O58" s="47"/>
      <c r="P58" s="47">
        <v>1</v>
      </c>
      <c r="Q58" s="47">
        <v>1</v>
      </c>
      <c r="R58" s="47">
        <v>0</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1</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v>0</v>
      </c>
      <c r="DZ58" s="47"/>
      <c r="EA58" s="47">
        <v>1</v>
      </c>
      <c r="ZZ58" t="s">
        <v>1062</v>
      </c>
    </row>
    <row r="59" spans="1:702" x14ac:dyDescent="0.25">
      <c r="A59" s="47" t="s">
        <v>428</v>
      </c>
      <c r="B59" s="47" t="s">
        <v>151</v>
      </c>
      <c r="C59" s="47" t="s">
        <v>155</v>
      </c>
      <c r="D59" s="47" t="s">
        <v>1127</v>
      </c>
      <c r="E59" s="47" t="s">
        <v>429</v>
      </c>
      <c r="F59" s="47" t="s">
        <v>430</v>
      </c>
      <c r="G59" s="47" t="s">
        <v>431</v>
      </c>
      <c r="H59" s="47" t="s">
        <v>357</v>
      </c>
      <c r="I59" s="47" t="s">
        <v>388</v>
      </c>
      <c r="J59" s="47" t="str">
        <f>=IFERROR(VLOOKUP(H59&amp;I59,Table_Fonctions!A:G,6,FALSE),"")</f>
        <v>0</v>
      </c>
      <c r="K59" s="47" t="s">
        <v>1110</v>
      </c>
      <c r="L59" s="47" t="str">
        <f>=IFERROR(VLOOKUP(H59&amp;I59,Table_Fonctions!A:G,7,FALSE),K59)</f>
        <v/>
      </c>
      <c r="M59" s="47" t="str">
        <f>=IF(OR(LEFT(D59, 3)="TJ ", LEFT(D59, 4)="CPH "), "OUI", "NON")</f>
        <v/>
      </c>
      <c r="N59" s="47" t="s">
        <v>432</v>
      </c>
      <c r="O59" s="47"/>
      <c r="P59" s="47">
        <v>0.8</v>
      </c>
      <c r="Q59" s="47">
        <v>0.8</v>
      </c>
      <c r="R59" s="47">
        <v>0</v>
      </c>
      <c r="S59" s="47">
        <f>=ROUND(BQ59-(BR59+BS59),3)</f>
      </c>
      <c r="T59" s="47">
        <f>=ROUND(CK59-(CL59+CM59+CN59+CO59+CP59),3)</f>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v>
      </c>
      <c r="CL59" s="47">
        <v>0</v>
      </c>
      <c r="CM59" s="47">
        <v>0</v>
      </c>
      <c r="CN59" s="47">
        <v>0</v>
      </c>
      <c r="CO59" s="47">
        <v>0</v>
      </c>
      <c r="CP59" s="47">
        <v>0</v>
      </c>
      <c r="CQ59" s="47">
        <v>0</v>
      </c>
      <c r="CR59" s="47">
        <v>0</v>
      </c>
      <c r="CS59" s="47">
        <v>0</v>
      </c>
      <c r="CT59" s="47">
        <v>0</v>
      </c>
      <c r="CU59" s="47">
        <v>0</v>
      </c>
      <c r="CV59" s="47">
        <v>0</v>
      </c>
      <c r="CW59" s="47">
        <v>0</v>
      </c>
      <c r="CX59" s="47">
        <v>0</v>
      </c>
      <c r="CY59" s="47">
        <v>0.8</v>
      </c>
      <c r="CZ59" s="47">
        <v>0.8</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v>
      </c>
      <c r="DU59" s="47">
        <v>0</v>
      </c>
      <c r="DV59" s="47">
        <v>0</v>
      </c>
      <c r="DW59" s="47">
        <v>0</v>
      </c>
      <c r="DX59" s="47">
        <v>0</v>
      </c>
      <c r="DY59" s="47">
        <v>0</v>
      </c>
      <c r="DZ59" s="47"/>
      <c r="EA59" s="47">
        <v>0.8</v>
      </c>
      <c r="ZZ59" t="s">
        <v>1062</v>
      </c>
    </row>
    <row r="60" spans="1:702" x14ac:dyDescent="0.25">
      <c r="A60" s="47" t="s">
        <v>433</v>
      </c>
      <c r="B60" s="47" t="s">
        <v>151</v>
      </c>
      <c r="C60" s="47" t="s">
        <v>155</v>
      </c>
      <c r="D60" s="47" t="s">
        <v>1128</v>
      </c>
      <c r="E60" s="47" t="s">
        <v>434</v>
      </c>
      <c r="F60" s="47" t="s">
        <v>435</v>
      </c>
      <c r="G60" s="47" t="s">
        <v>436</v>
      </c>
      <c r="H60" s="47" t="s">
        <v>357</v>
      </c>
      <c r="I60" s="47" t="s">
        <v>388</v>
      </c>
      <c r="J60" s="47" t="str">
        <f>=IFERROR(VLOOKUP(H60&amp;I60,Table_Fonctions!A:G,6,FALSE),"")</f>
        <v>0</v>
      </c>
      <c r="K60" s="47" t="s">
        <v>1110</v>
      </c>
      <c r="L60" s="47" t="str">
        <f>=IFERROR(VLOOKUP(H60&amp;I60,Table_Fonctions!A:G,7,FALSE),K60)</f>
        <v/>
      </c>
      <c r="M60" s="47" t="str">
        <f>=IF(OR(LEFT(D60, 3)="TJ ", LEFT(D60, 4)="CPH "), "OUI", "NON")</f>
        <v/>
      </c>
      <c r="N60" s="47" t="s">
        <v>437</v>
      </c>
      <c r="O60" s="47"/>
      <c r="P60" s="47">
        <v>1</v>
      </c>
      <c r="Q60" s="47">
        <v>0</v>
      </c>
      <c r="R60" s="47">
        <v>1</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v>0</v>
      </c>
      <c r="DZ60" s="47"/>
      <c r="EA60" s="47">
        <v>1</v>
      </c>
      <c r="ZZ60" t="s">
        <v>1062</v>
      </c>
    </row>
    <row r="61" spans="1:702" x14ac:dyDescent="0.25">
      <c r="A61" s="47" t="s">
        <v>438</v>
      </c>
      <c r="B61" s="47" t="s">
        <v>151</v>
      </c>
      <c r="C61" s="47" t="s">
        <v>155</v>
      </c>
      <c r="D61" s="47" t="s">
        <v>1129</v>
      </c>
      <c r="E61" s="47" t="s">
        <v>439</v>
      </c>
      <c r="F61" s="47" t="s">
        <v>440</v>
      </c>
      <c r="G61" s="47" t="s">
        <v>441</v>
      </c>
      <c r="H61" s="47" t="s">
        <v>357</v>
      </c>
      <c r="I61" s="47" t="s">
        <v>358</v>
      </c>
      <c r="J61" s="47" t="str">
        <f>=IFERROR(VLOOKUP(H61&amp;I61,Table_Fonctions!A:G,6,FALSE),"")</f>
        <v>0</v>
      </c>
      <c r="K61" s="47" t="s">
        <v>1110</v>
      </c>
      <c r="L61" s="47" t="str">
        <f>=IFERROR(VLOOKUP(H61&amp;I61,Table_Fonctions!A:G,7,FALSE),K61)</f>
        <v/>
      </c>
      <c r="M61" s="47" t="str">
        <f>=IF(OR(LEFT(D61, 3)="TJ ", LEFT(D61, 4)="CPH "), "OUI", "NON")</f>
        <v/>
      </c>
      <c r="N61" s="47" t="s">
        <v>442</v>
      </c>
      <c r="O61" s="47"/>
      <c r="P61" s="47">
        <v>1</v>
      </c>
      <c r="Q61" s="47">
        <v>1</v>
      </c>
      <c r="R61" s="47">
        <v>0</v>
      </c>
      <c r="S61" s="47">
        <f>=ROUND(BQ61-(BR61+BS61),3)</f>
      </c>
      <c r="T61" s="47">
        <f>=ROUND(CK61-(CL61+CM61+CN61+CO61+CP61),3)</f>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1</v>
      </c>
      <c r="CZ61" s="47">
        <v>0</v>
      </c>
      <c r="DA61" s="47">
        <v>0</v>
      </c>
      <c r="DB61" s="47">
        <v>0</v>
      </c>
      <c r="DC61" s="47">
        <v>0</v>
      </c>
      <c r="DD61" s="47">
        <v>0</v>
      </c>
      <c r="DE61" s="47">
        <v>0</v>
      </c>
      <c r="DF61" s="47">
        <v>0</v>
      </c>
      <c r="DG61" s="47">
        <v>0</v>
      </c>
      <c r="DH61" s="47">
        <v>0</v>
      </c>
      <c r="DI61" s="47">
        <v>0</v>
      </c>
      <c r="DJ61" s="47">
        <v>1</v>
      </c>
      <c r="DK61" s="47">
        <v>0</v>
      </c>
      <c r="DL61" s="47">
        <v>0</v>
      </c>
      <c r="DM61" s="47">
        <v>0</v>
      </c>
      <c r="DN61" s="47">
        <v>0</v>
      </c>
      <c r="DO61" s="47">
        <v>0</v>
      </c>
      <c r="DP61" s="47">
        <v>0</v>
      </c>
      <c r="DQ61" s="47">
        <v>0</v>
      </c>
      <c r="DR61" s="47">
        <v>0</v>
      </c>
      <c r="DS61" s="47">
        <v>0</v>
      </c>
      <c r="DT61" s="47">
        <v>0</v>
      </c>
      <c r="DU61" s="47">
        <v>0</v>
      </c>
      <c r="DV61" s="47">
        <v>0</v>
      </c>
      <c r="DW61" s="47">
        <v>0</v>
      </c>
      <c r="DX61" s="47">
        <v>0</v>
      </c>
      <c r="DY61" s="47">
        <v>0</v>
      </c>
      <c r="DZ61" s="47"/>
      <c r="EA61" s="47">
        <v>1</v>
      </c>
      <c r="ZZ61" t="s">
        <v>1062</v>
      </c>
    </row>
    <row r="62" spans="1:702" x14ac:dyDescent="0.25">
      <c r="A62" s="47" t="s">
        <v>443</v>
      </c>
      <c r="B62" s="47" t="s">
        <v>151</v>
      </c>
      <c r="C62" s="47" t="s">
        <v>155</v>
      </c>
      <c r="D62" s="47" t="s">
        <v>1130</v>
      </c>
      <c r="E62" s="47" t="s">
        <v>444</v>
      </c>
      <c r="F62" s="47" t="s">
        <v>445</v>
      </c>
      <c r="G62" s="47" t="s">
        <v>446</v>
      </c>
      <c r="H62" s="47" t="s">
        <v>357</v>
      </c>
      <c r="I62" s="47" t="s">
        <v>388</v>
      </c>
      <c r="J62" s="47" t="str">
        <f>=IFERROR(VLOOKUP(H62&amp;I62,Table_Fonctions!A:G,6,FALSE),"")</f>
        <v>0</v>
      </c>
      <c r="K62" s="47" t="s">
        <v>1110</v>
      </c>
      <c r="L62" s="47" t="str">
        <f>=IFERROR(VLOOKUP(H62&amp;I62,Table_Fonctions!A:G,7,FALSE),K62)</f>
        <v/>
      </c>
      <c r="M62" s="47" t="str">
        <f>=IF(OR(LEFT(D62, 3)="TJ ", LEFT(D62, 4)="CPH "), "OUI", "NON")</f>
        <v/>
      </c>
      <c r="N62" s="47" t="s">
        <v>447</v>
      </c>
      <c r="O62" s="47"/>
      <c r="P62" s="47">
        <v>0.9885</v>
      </c>
      <c r="Q62" s="47">
        <v>0.9885</v>
      </c>
      <c r="R62" s="47">
        <v>0</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0.9885</v>
      </c>
      <c r="CZ62" s="47">
        <v>0</v>
      </c>
      <c r="DA62" s="47">
        <v>0</v>
      </c>
      <c r="DB62" s="47">
        <v>0</v>
      </c>
      <c r="DC62" s="47">
        <v>0.9885</v>
      </c>
      <c r="DD62" s="47">
        <v>0</v>
      </c>
      <c r="DE62" s="47">
        <v>0</v>
      </c>
      <c r="DF62" s="47">
        <v>0</v>
      </c>
      <c r="DG62" s="47">
        <v>0</v>
      </c>
      <c r="DH62" s="47">
        <v>0</v>
      </c>
      <c r="DI62" s="47">
        <v>0</v>
      </c>
      <c r="DJ62" s="47">
        <v>0</v>
      </c>
      <c r="DK62" s="47">
        <v>0.0115</v>
      </c>
      <c r="DL62" s="47">
        <v>0</v>
      </c>
      <c r="DM62" s="47">
        <v>0</v>
      </c>
      <c r="DN62" s="47">
        <v>0</v>
      </c>
      <c r="DO62" s="47">
        <v>0</v>
      </c>
      <c r="DP62" s="47">
        <v>0</v>
      </c>
      <c r="DQ62" s="47">
        <v>0</v>
      </c>
      <c r="DR62" s="47">
        <v>0.0115</v>
      </c>
      <c r="DS62" s="47">
        <v>0</v>
      </c>
      <c r="DT62" s="47">
        <v>0</v>
      </c>
      <c r="DU62" s="47">
        <v>0</v>
      </c>
      <c r="DV62" s="47">
        <v>0</v>
      </c>
      <c r="DW62" s="47">
        <v>0.0498</v>
      </c>
      <c r="DX62" s="47">
        <v>0.0077</v>
      </c>
      <c r="DY62" s="47">
        <v>0.0575</v>
      </c>
      <c r="DZ62" s="47"/>
      <c r="EA62" s="47">
        <v>1</v>
      </c>
      <c r="ZZ62" t="s">
        <v>1062</v>
      </c>
    </row>
    <row r="63" spans="1:702" x14ac:dyDescent="0.25">
      <c r="A63" s="47" t="s">
        <v>448</v>
      </c>
      <c r="B63" s="47" t="s">
        <v>151</v>
      </c>
      <c r="C63" s="47" t="s">
        <v>155</v>
      </c>
      <c r="D63" s="47" t="s">
        <v>1131</v>
      </c>
      <c r="E63" s="47" t="s">
        <v>449</v>
      </c>
      <c r="F63" s="47" t="s">
        <v>450</v>
      </c>
      <c r="G63" s="47" t="s">
        <v>451</v>
      </c>
      <c r="H63" s="47" t="s">
        <v>357</v>
      </c>
      <c r="I63" s="47" t="s">
        <v>358</v>
      </c>
      <c r="J63" s="47" t="str">
        <f>=IFERROR(VLOOKUP(H63&amp;I63,Table_Fonctions!A:G,6,FALSE),"")</f>
        <v>0</v>
      </c>
      <c r="K63" s="47" t="s">
        <v>1110</v>
      </c>
      <c r="L63" s="47" t="str">
        <f>=IFERROR(VLOOKUP(H63&amp;I63,Table_Fonctions!A:G,7,FALSE),K63)</f>
        <v/>
      </c>
      <c r="M63" s="47" t="str">
        <f>=IF(OR(LEFT(D63, 3)="TJ ", LEFT(D63, 4)="CPH "), "OUI", "NON")</f>
        <v/>
      </c>
      <c r="N63" s="47" t="s">
        <v>452</v>
      </c>
      <c r="O63" s="47"/>
      <c r="P63" s="47">
        <v>1</v>
      </c>
      <c r="Q63" s="47">
        <v>0</v>
      </c>
      <c r="R63" s="47">
        <v>1</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v>0</v>
      </c>
      <c r="DZ63" s="47"/>
      <c r="EA63" s="47">
        <v>1</v>
      </c>
      <c r="ZZ63" t="s">
        <v>1062</v>
      </c>
    </row>
    <row r="64" spans="1:702" x14ac:dyDescent="0.25">
      <c r="A64" s="47" t="s">
        <v>453</v>
      </c>
      <c r="B64" s="47" t="s">
        <v>151</v>
      </c>
      <c r="C64" s="47" t="s">
        <v>155</v>
      </c>
      <c r="D64" s="47" t="s">
        <v>1132</v>
      </c>
      <c r="E64" s="47" t="s">
        <v>454</v>
      </c>
      <c r="F64" s="47" t="s">
        <v>455</v>
      </c>
      <c r="G64" s="47" t="s">
        <v>456</v>
      </c>
      <c r="H64" s="47" t="s">
        <v>357</v>
      </c>
      <c r="I64" s="47" t="s">
        <v>388</v>
      </c>
      <c r="J64" s="47" t="str">
        <f>=IFERROR(VLOOKUP(H64&amp;I64,Table_Fonctions!A:G,6,FALSE),"")</f>
        <v>0</v>
      </c>
      <c r="K64" s="47" t="s">
        <v>1110</v>
      </c>
      <c r="L64" s="47" t="str">
        <f>=IFERROR(VLOOKUP(H64&amp;I64,Table_Fonctions!A:G,7,FALSE),K64)</f>
        <v/>
      </c>
      <c r="M64" s="47" t="str">
        <f>=IF(OR(LEFT(D64, 3)="TJ ", LEFT(D64, 4)="CPH "), "OUI", "NON")</f>
        <v/>
      </c>
      <c r="N64" s="47" t="s">
        <v>457</v>
      </c>
      <c r="O64" s="47"/>
      <c r="P64" s="47">
        <v>0.2011</v>
      </c>
      <c r="Q64" s="47">
        <v>0</v>
      </c>
      <c r="R64" s="47">
        <v>0.2011</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0.1245</v>
      </c>
      <c r="DL64" s="47">
        <v>0</v>
      </c>
      <c r="DM64" s="47">
        <v>0</v>
      </c>
      <c r="DN64" s="47">
        <v>0.1245</v>
      </c>
      <c r="DO64" s="47">
        <v>0</v>
      </c>
      <c r="DP64" s="47">
        <v>0</v>
      </c>
      <c r="DQ64" s="47">
        <v>0</v>
      </c>
      <c r="DR64" s="47">
        <v>0</v>
      </c>
      <c r="DS64" s="47">
        <v>0</v>
      </c>
      <c r="DT64" s="47">
        <v>0</v>
      </c>
      <c r="DU64" s="47">
        <v>0.1552</v>
      </c>
      <c r="DV64" s="47">
        <v>0</v>
      </c>
      <c r="DW64" s="47">
        <v>0</v>
      </c>
      <c r="DX64" s="47">
        <v>0</v>
      </c>
      <c r="DY64" s="47">
        <v>0.1552</v>
      </c>
      <c r="DZ64" s="47"/>
      <c r="EA64" s="47">
        <v>0.3257</v>
      </c>
      <c r="ZZ64" t="s">
        <v>1062</v>
      </c>
    </row>
    <row r="65" spans="1:702" x14ac:dyDescent="0.25">
      <c r="A65" s="47" t="s">
        <v>458</v>
      </c>
      <c r="B65" s="47" t="s">
        <v>151</v>
      </c>
      <c r="C65" s="47" t="s">
        <v>155</v>
      </c>
      <c r="D65" s="47" t="s">
        <v>1133</v>
      </c>
      <c r="E65" s="47" t="s">
        <v>459</v>
      </c>
      <c r="F65" s="47" t="s">
        <v>460</v>
      </c>
      <c r="G65" s="47" t="s">
        <v>461</v>
      </c>
      <c r="H65" s="47" t="s">
        <v>357</v>
      </c>
      <c r="I65" s="47" t="s">
        <v>388</v>
      </c>
      <c r="J65" s="47" t="str">
        <f>=IFERROR(VLOOKUP(H65&amp;I65,Table_Fonctions!A:G,6,FALSE),"")</f>
        <v>0</v>
      </c>
      <c r="K65" s="47" t="s">
        <v>1110</v>
      </c>
      <c r="L65" s="47" t="str">
        <f>=IFERROR(VLOOKUP(H65&amp;I65,Table_Fonctions!A:G,7,FALSE),K65)</f>
        <v/>
      </c>
      <c r="M65" s="47" t="str">
        <f>=IF(OR(LEFT(D65, 3)="TJ ", LEFT(D65, 4)="CPH "), "OUI", "NON")</f>
        <v/>
      </c>
      <c r="N65" s="47" t="s">
        <v>462</v>
      </c>
      <c r="O65" s="47"/>
      <c r="P65" s="47">
        <v>1</v>
      </c>
      <c r="Q65" s="47">
        <v>0</v>
      </c>
      <c r="R65" s="47">
        <v>1</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v>0</v>
      </c>
      <c r="DZ65" s="47"/>
      <c r="EA65" s="47">
        <v>1</v>
      </c>
      <c r="ZZ65" t="s">
        <v>1062</v>
      </c>
    </row>
    <row r="66" spans="1:702" x14ac:dyDescent="0.25">
      <c r="A66" s="47" t="s">
        <v>463</v>
      </c>
      <c r="B66" s="47" t="s">
        <v>151</v>
      </c>
      <c r="C66" s="47" t="s">
        <v>155</v>
      </c>
      <c r="D66" s="47" t="s">
        <v>1134</v>
      </c>
      <c r="E66" s="47" t="s">
        <v>464</v>
      </c>
      <c r="F66" s="47" t="s">
        <v>465</v>
      </c>
      <c r="G66" s="47" t="s">
        <v>466</v>
      </c>
      <c r="H66" s="47" t="s">
        <v>357</v>
      </c>
      <c r="I66" s="47" t="s">
        <v>358</v>
      </c>
      <c r="J66" s="47" t="str">
        <f>=IFERROR(VLOOKUP(H66&amp;I66,Table_Fonctions!A:G,6,FALSE),"")</f>
        <v>0</v>
      </c>
      <c r="K66" s="47" t="s">
        <v>1110</v>
      </c>
      <c r="L66" s="47" t="str">
        <f>=IFERROR(VLOOKUP(H66&amp;I66,Table_Fonctions!A:G,7,FALSE),K66)</f>
        <v/>
      </c>
      <c r="M66" s="47" t="str">
        <f>=IF(OR(LEFT(D66, 3)="TJ ", LEFT(D66, 4)="CPH "), "OUI", "NON")</f>
        <v/>
      </c>
      <c r="N66" s="47" t="s">
        <v>467</v>
      </c>
      <c r="O66" s="47"/>
      <c r="P66" s="47">
        <v>1</v>
      </c>
      <c r="Q66" s="47">
        <v>0</v>
      </c>
      <c r="R66" s="47">
        <v>1</v>
      </c>
      <c r="S66" s="47">
        <f>=ROUND(BQ66-(BR66+BS66),3)</f>
      </c>
      <c r="T66" s="47">
        <f>=ROUND(CK66-(CL66+CM66+CN66+CO66+CP66),3)</f>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c r="DU66" s="47">
        <v>0</v>
      </c>
      <c r="DV66" s="47">
        <v>0</v>
      </c>
      <c r="DW66" s="47">
        <v>0</v>
      </c>
      <c r="DX66" s="47">
        <v>0</v>
      </c>
      <c r="DY66" s="47">
        <v>0</v>
      </c>
      <c r="DZ66" s="47"/>
      <c r="EA66" s="47">
        <v>1</v>
      </c>
      <c r="ZZ66" t="s">
        <v>1062</v>
      </c>
    </row>
    <row r="67" spans="1:702" x14ac:dyDescent="0.25">
      <c r="A67" s="47" t="s">
        <v>468</v>
      </c>
      <c r="B67" s="47" t="s">
        <v>151</v>
      </c>
      <c r="C67" s="47" t="s">
        <v>155</v>
      </c>
      <c r="D67" s="47" t="s">
        <v>1135</v>
      </c>
      <c r="E67" s="47" t="s">
        <v>469</v>
      </c>
      <c r="F67" s="47" t="s">
        <v>470</v>
      </c>
      <c r="G67" s="47" t="s">
        <v>471</v>
      </c>
      <c r="H67" s="47" t="s">
        <v>357</v>
      </c>
      <c r="I67" s="47" t="s">
        <v>398</v>
      </c>
      <c r="J67" s="47" t="str">
        <f>=IFERROR(VLOOKUP(H67&amp;I67,Table_Fonctions!A:G,6,FALSE),"")</f>
        <v>0</v>
      </c>
      <c r="K67" s="47" t="s">
        <v>1110</v>
      </c>
      <c r="L67" s="47" t="str">
        <f>=IFERROR(VLOOKUP(H67&amp;I67,Table_Fonctions!A:G,7,FALSE),K67)</f>
        <v/>
      </c>
      <c r="M67" s="47" t="str">
        <f>=IF(OR(LEFT(D67, 3)="TJ ", LEFT(D67, 4)="CPH "), "OUI", "NON")</f>
        <v/>
      </c>
      <c r="N67" s="47" t="s">
        <v>472</v>
      </c>
      <c r="O67" s="47"/>
      <c r="P67" s="47">
        <v>1</v>
      </c>
      <c r="Q67" s="47">
        <v>1</v>
      </c>
      <c r="R67" s="47">
        <v>0</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1</v>
      </c>
      <c r="CZ67" s="47">
        <v>0.871</v>
      </c>
      <c r="DA67" s="47">
        <v>0.022</v>
      </c>
      <c r="DB67" s="47">
        <v>0.057</v>
      </c>
      <c r="DC67" s="47">
        <v>0</v>
      </c>
      <c r="DD67" s="47">
        <v>0</v>
      </c>
      <c r="DE67" s="47">
        <v>0</v>
      </c>
      <c r="DF67" s="47">
        <v>0</v>
      </c>
      <c r="DG67" s="47">
        <v>0.05</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v>0</v>
      </c>
      <c r="DZ67" s="47"/>
      <c r="EA67" s="47">
        <v>1</v>
      </c>
      <c r="ZZ67" t="s">
        <v>1062</v>
      </c>
    </row>
    <row r="68" spans="1:702" x14ac:dyDescent="0.25">
      <c r="A68" s="47" t="s">
        <v>473</v>
      </c>
      <c r="B68" s="47" t="s">
        <v>151</v>
      </c>
      <c r="C68" s="47" t="s">
        <v>155</v>
      </c>
      <c r="D68" s="47" t="s">
        <v>1136</v>
      </c>
      <c r="E68" s="47" t="s">
        <v>474</v>
      </c>
      <c r="F68" s="47" t="s">
        <v>475</v>
      </c>
      <c r="G68" s="47" t="s">
        <v>476</v>
      </c>
      <c r="H68" s="47" t="s">
        <v>357</v>
      </c>
      <c r="I68" s="47" t="s">
        <v>388</v>
      </c>
      <c r="J68" s="47" t="str">
        <f>=IFERROR(VLOOKUP(H68&amp;I68,Table_Fonctions!A:G,6,FALSE),"")</f>
        <v>0</v>
      </c>
      <c r="K68" s="47" t="s">
        <v>1110</v>
      </c>
      <c r="L68" s="47" t="str">
        <f>=IFERROR(VLOOKUP(H68&amp;I68,Table_Fonctions!A:G,7,FALSE),K68)</f>
        <v/>
      </c>
      <c r="M68" s="47" t="str">
        <f>=IF(OR(LEFT(D68, 3)="TJ ", LEFT(D68, 4)="CPH "), "OUI", "NON")</f>
        <v/>
      </c>
      <c r="N68" s="47" t="s">
        <v>477</v>
      </c>
      <c r="O68" s="47"/>
      <c r="P68" s="47">
        <v>0.5153</v>
      </c>
      <c r="Q68" s="47">
        <v>0.4847</v>
      </c>
      <c r="R68" s="47">
        <v>0.0307</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0.4847</v>
      </c>
      <c r="AK68" s="47">
        <v>0</v>
      </c>
      <c r="AL68" s="47">
        <v>0</v>
      </c>
      <c r="AM68" s="47">
        <v>0</v>
      </c>
      <c r="AN68" s="47">
        <v>0</v>
      </c>
      <c r="AO68" s="47">
        <v>0.4847</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v>0</v>
      </c>
      <c r="DZ68" s="47"/>
      <c r="EA68" s="47">
        <v>0.5153</v>
      </c>
      <c r="ZZ68" t="s">
        <v>1062</v>
      </c>
    </row>
    <row r="69" spans="1:702" x14ac:dyDescent="0.25">
      <c r="A69" s="47" t="s">
        <v>478</v>
      </c>
      <c r="B69" s="47" t="s">
        <v>151</v>
      </c>
      <c r="C69" s="47" t="s">
        <v>155</v>
      </c>
      <c r="D69" s="47" t="s">
        <v>1137</v>
      </c>
      <c r="E69" s="47" t="s">
        <v>479</v>
      </c>
      <c r="F69" s="47" t="s">
        <v>480</v>
      </c>
      <c r="G69" s="47" t="s">
        <v>481</v>
      </c>
      <c r="H69" s="47" t="s">
        <v>357</v>
      </c>
      <c r="I69" s="47" t="s">
        <v>358</v>
      </c>
      <c r="J69" s="47" t="str">
        <f>=IFERROR(VLOOKUP(H69&amp;I69,Table_Fonctions!A:G,6,FALSE),"")</f>
        <v>0</v>
      </c>
      <c r="K69" s="47" t="s">
        <v>1110</v>
      </c>
      <c r="L69" s="47" t="str">
        <f>=IFERROR(VLOOKUP(H69&amp;I69,Table_Fonctions!A:G,7,FALSE),K69)</f>
        <v/>
      </c>
      <c r="M69" s="47" t="str">
        <f>=IF(OR(LEFT(D69, 3)="TJ ", LEFT(D69, 4)="CPH "), "OUI", "NON")</f>
        <v/>
      </c>
      <c r="N69" s="47" t="s">
        <v>482</v>
      </c>
      <c r="O69" s="47"/>
      <c r="P69" s="47">
        <v>1</v>
      </c>
      <c r="Q69" s="47">
        <v>0.0005</v>
      </c>
      <c r="R69" s="47">
        <v>0.9995</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0.0005</v>
      </c>
      <c r="CZ69" s="47">
        <v>0</v>
      </c>
      <c r="DA69" s="47">
        <v>0.0003</v>
      </c>
      <c r="DB69" s="47">
        <v>0</v>
      </c>
      <c r="DC69" s="47">
        <v>0</v>
      </c>
      <c r="DD69" s="47">
        <v>0</v>
      </c>
      <c r="DE69" s="47">
        <v>0.0002</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v>0</v>
      </c>
      <c r="DZ69" s="47"/>
      <c r="EA69" s="47">
        <v>1</v>
      </c>
      <c r="ZZ69" t="s">
        <v>1062</v>
      </c>
    </row>
    <row r="70" spans="1:702" x14ac:dyDescent="0.25">
      <c r="A70" s="47" t="s">
        <v>483</v>
      </c>
      <c r="B70" s="47" t="s">
        <v>151</v>
      </c>
      <c r="C70" s="47" t="s">
        <v>155</v>
      </c>
      <c r="D70" s="47" t="s">
        <v>1138</v>
      </c>
      <c r="E70" s="47" t="s">
        <v>484</v>
      </c>
      <c r="F70" s="47" t="s">
        <v>485</v>
      </c>
      <c r="G70" s="47" t="s">
        <v>486</v>
      </c>
      <c r="H70" s="47" t="s">
        <v>357</v>
      </c>
      <c r="I70" s="47" t="s">
        <v>487</v>
      </c>
      <c r="J70" s="47" t="str">
        <f>=IFERROR(VLOOKUP(H70&amp;I70,Table_Fonctions!A:G,6,FALSE),"")</f>
        <v>0</v>
      </c>
      <c r="K70" s="47" t="s">
        <v>1114</v>
      </c>
      <c r="L70" s="47" t="str">
        <f>=IFERROR(VLOOKUP(H70&amp;I70,Table_Fonctions!A:G,7,FALSE),K70)</f>
        <v/>
      </c>
      <c r="M70" s="47" t="str">
        <f>=IF(OR(LEFT(D70, 3)="TJ ", LEFT(D70, 4)="CPH "), "OUI", "NON")</f>
        <v/>
      </c>
      <c r="N70" s="47" t="s">
        <v>488</v>
      </c>
      <c r="O70" s="47"/>
      <c r="P70" s="47">
        <v>1</v>
      </c>
      <c r="Q70" s="47">
        <v>1</v>
      </c>
      <c r="R70" s="47">
        <v>0</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1</v>
      </c>
      <c r="CZ70" s="47">
        <v>0</v>
      </c>
      <c r="DA70" s="47">
        <v>0</v>
      </c>
      <c r="DB70" s="47">
        <v>0</v>
      </c>
      <c r="DC70" s="47">
        <v>0</v>
      </c>
      <c r="DD70" s="47">
        <v>0</v>
      </c>
      <c r="DE70" s="47">
        <v>0</v>
      </c>
      <c r="DF70" s="47">
        <v>0</v>
      </c>
      <c r="DG70" s="47">
        <v>0</v>
      </c>
      <c r="DH70" s="47">
        <v>0</v>
      </c>
      <c r="DI70" s="47">
        <v>0.1</v>
      </c>
      <c r="DJ70" s="47">
        <v>0.9</v>
      </c>
      <c r="DK70" s="47">
        <v>0</v>
      </c>
      <c r="DL70" s="47">
        <v>0</v>
      </c>
      <c r="DM70" s="47">
        <v>0</v>
      </c>
      <c r="DN70" s="47">
        <v>0</v>
      </c>
      <c r="DO70" s="47">
        <v>0</v>
      </c>
      <c r="DP70" s="47">
        <v>0</v>
      </c>
      <c r="DQ70" s="47">
        <v>0</v>
      </c>
      <c r="DR70" s="47">
        <v>0</v>
      </c>
      <c r="DS70" s="47">
        <v>0</v>
      </c>
      <c r="DT70" s="47">
        <v>0</v>
      </c>
      <c r="DU70" s="47">
        <v>0.1724</v>
      </c>
      <c r="DV70" s="47">
        <v>0</v>
      </c>
      <c r="DW70" s="47">
        <v>0</v>
      </c>
      <c r="DX70" s="47">
        <v>0</v>
      </c>
      <c r="DY70" s="47">
        <v>0.1724</v>
      </c>
      <c r="DZ70" s="47"/>
      <c r="EA70" s="47">
        <v>1</v>
      </c>
      <c r="ZZ70" t="s">
        <v>1062</v>
      </c>
    </row>
    <row r="71" spans="1:702" x14ac:dyDescent="0.25">
      <c r="A71" s="47" t="s">
        <v>489</v>
      </c>
      <c r="B71" s="47" t="s">
        <v>151</v>
      </c>
      <c r="C71" s="47" t="s">
        <v>155</v>
      </c>
      <c r="D71" s="47" t="s">
        <v>1139</v>
      </c>
      <c r="E71" s="47" t="s">
        <v>490</v>
      </c>
      <c r="F71" s="47" t="s">
        <v>491</v>
      </c>
      <c r="G71" s="47" t="s">
        <v>492</v>
      </c>
      <c r="H71" s="47" t="s">
        <v>357</v>
      </c>
      <c r="I71" s="47" t="s">
        <v>388</v>
      </c>
      <c r="J71" s="47" t="str">
        <f>=IFERROR(VLOOKUP(H71&amp;I71,Table_Fonctions!A:G,6,FALSE),"")</f>
        <v>0</v>
      </c>
      <c r="K71" s="47" t="s">
        <v>1110</v>
      </c>
      <c r="L71" s="47" t="str">
        <f>=IFERROR(VLOOKUP(H71&amp;I71,Table_Fonctions!A:G,7,FALSE),K71)</f>
        <v/>
      </c>
      <c r="M71" s="47" t="str">
        <f>=IF(OR(LEFT(D71, 3)="TJ ", LEFT(D71, 4)="CPH "), "OUI", "NON")</f>
        <v/>
      </c>
      <c r="N71" s="47" t="s">
        <v>493</v>
      </c>
      <c r="O71" s="47"/>
      <c r="P71" s="47">
        <v>1</v>
      </c>
      <c r="Q71" s="47">
        <v>0</v>
      </c>
      <c r="R71" s="47">
        <v>1</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c r="DS71" s="47">
        <v>0</v>
      </c>
      <c r="DT71" s="47">
        <v>0</v>
      </c>
      <c r="DU71" s="47">
        <v>0</v>
      </c>
      <c r="DV71" s="47">
        <v>0</v>
      </c>
      <c r="DW71" s="47">
        <v>0</v>
      </c>
      <c r="DX71" s="47">
        <v>0</v>
      </c>
      <c r="DY71" s="47">
        <v>0</v>
      </c>
      <c r="DZ71" s="47"/>
      <c r="EA71" s="47">
        <v>1</v>
      </c>
      <c r="ZZ71" t="s">
        <v>1062</v>
      </c>
    </row>
    <row r="72" spans="1:702" x14ac:dyDescent="0.25">
      <c r="A72" s="47" t="s">
        <v>494</v>
      </c>
      <c r="B72" s="47" t="s">
        <v>151</v>
      </c>
      <c r="C72" s="47" t="s">
        <v>155</v>
      </c>
      <c r="D72" s="47" t="s">
        <v>1140</v>
      </c>
      <c r="E72" s="47" t="s">
        <v>495</v>
      </c>
      <c r="F72" s="47" t="s">
        <v>496</v>
      </c>
      <c r="G72" s="47" t="s">
        <v>497</v>
      </c>
      <c r="H72" s="47" t="s">
        <v>357</v>
      </c>
      <c r="I72" s="47" t="s">
        <v>358</v>
      </c>
      <c r="J72" s="47" t="str">
        <f>=IFERROR(VLOOKUP(H72&amp;I72,Table_Fonctions!A:G,6,FALSE),"")</f>
        <v>0</v>
      </c>
      <c r="K72" s="47" t="s">
        <v>1110</v>
      </c>
      <c r="L72" s="47" t="str">
        <f>=IFERROR(VLOOKUP(H72&amp;I72,Table_Fonctions!A:G,7,FALSE),K72)</f>
        <v/>
      </c>
      <c r="M72" s="47" t="str">
        <f>=IF(OR(LEFT(D72, 3)="TJ ", LEFT(D72, 4)="CPH "), "OUI", "NON")</f>
        <v/>
      </c>
      <c r="N72" s="47" t="s">
        <v>498</v>
      </c>
      <c r="O72" s="47"/>
      <c r="P72" s="47">
        <v>1</v>
      </c>
      <c r="Q72" s="47">
        <v>0</v>
      </c>
      <c r="R72" s="47">
        <v>1</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v>
      </c>
      <c r="CZ72" s="47">
        <v>0</v>
      </c>
      <c r="DA72" s="47">
        <v>0</v>
      </c>
      <c r="DB72" s="47">
        <v>0</v>
      </c>
      <c r="DC72" s="47">
        <v>0</v>
      </c>
      <c r="DD72" s="47">
        <v>0</v>
      </c>
      <c r="DE72" s="47">
        <v>0</v>
      </c>
      <c r="DF72" s="47">
        <v>0</v>
      </c>
      <c r="DG72" s="47">
        <v>0</v>
      </c>
      <c r="DH72" s="47">
        <v>0</v>
      </c>
      <c r="DI72" s="47">
        <v>0</v>
      </c>
      <c r="DJ72" s="47">
        <v>0</v>
      </c>
      <c r="DK72" s="47">
        <v>0</v>
      </c>
      <c r="DL72" s="47">
        <v>0</v>
      </c>
      <c r="DM72" s="47">
        <v>0</v>
      </c>
      <c r="DN72" s="47">
        <v>0</v>
      </c>
      <c r="DO72" s="47">
        <v>0</v>
      </c>
      <c r="DP72" s="47">
        <v>0</v>
      </c>
      <c r="DQ72" s="47">
        <v>0</v>
      </c>
      <c r="DR72" s="47">
        <v>0</v>
      </c>
      <c r="DS72" s="47">
        <v>0</v>
      </c>
      <c r="DT72" s="47">
        <v>0</v>
      </c>
      <c r="DU72" s="47">
        <v>0</v>
      </c>
      <c r="DV72" s="47">
        <v>0</v>
      </c>
      <c r="DW72" s="47">
        <v>0</v>
      </c>
      <c r="DX72" s="47">
        <v>0</v>
      </c>
      <c r="DY72" s="47">
        <v>0</v>
      </c>
      <c r="DZ72" s="47"/>
      <c r="EA72" s="47">
        <v>1</v>
      </c>
      <c r="ZZ72" t="s">
        <v>1062</v>
      </c>
    </row>
    <row r="73" spans="1:702" x14ac:dyDescent="0.25">
      <c r="A73" s="47" t="s">
        <v>499</v>
      </c>
      <c r="B73" s="47" t="s">
        <v>151</v>
      </c>
      <c r="C73" s="47" t="s">
        <v>155</v>
      </c>
      <c r="D73" s="47" t="s">
        <v>1141</v>
      </c>
      <c r="E73" s="47" t="s">
        <v>500</v>
      </c>
      <c r="F73" s="47" t="s">
        <v>501</v>
      </c>
      <c r="G73" s="47" t="s">
        <v>502</v>
      </c>
      <c r="H73" s="47" t="s">
        <v>357</v>
      </c>
      <c r="I73" s="47" t="s">
        <v>503</v>
      </c>
      <c r="J73" s="47" t="str">
        <f>=IFERROR(VLOOKUP(H73&amp;I73,Table_Fonctions!A:G,6,FALSE),"")</f>
        <v>0</v>
      </c>
      <c r="K73" s="47" t="s">
        <v>1114</v>
      </c>
      <c r="L73" s="47" t="str">
        <f>=IFERROR(VLOOKUP(H73&amp;I73,Table_Fonctions!A:G,7,FALSE),K73)</f>
        <v/>
      </c>
      <c r="M73" s="47" t="str">
        <f>=IF(OR(LEFT(D73, 3)="TJ ", LEFT(D73, 4)="CPH "), "OUI", "NON")</f>
        <v/>
      </c>
      <c r="N73" s="47" t="s">
        <v>504</v>
      </c>
      <c r="O73" s="47" t="s">
        <v>505</v>
      </c>
      <c r="P73" s="47">
        <v>0.4981</v>
      </c>
      <c r="Q73" s="47">
        <v>0.4981</v>
      </c>
      <c r="R73" s="47">
        <v>0</v>
      </c>
      <c r="S73" s="47">
        <f>=ROUND(BQ73-(BR73+BS73),3)</f>
      </c>
      <c r="T73" s="47">
        <f>=ROUND(CK73-(CL73+CM73+CN73+CO73+CP73),3)</f>
      </c>
      <c r="U73" s="47">
        <v>0</v>
      </c>
      <c r="V73" s="47">
        <v>0</v>
      </c>
      <c r="W73" s="47">
        <v>0</v>
      </c>
      <c r="X73" s="47">
        <v>0</v>
      </c>
      <c r="Y73" s="47">
        <v>0</v>
      </c>
      <c r="Z73" s="47">
        <v>0.4981</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v>0</v>
      </c>
      <c r="DZ73" s="47"/>
      <c r="EA73" s="47">
        <v>0.4981</v>
      </c>
      <c r="ZZ73" t="s">
        <v>1062</v>
      </c>
    </row>
    <row r="74" spans="1:702" x14ac:dyDescent="0.25">
      <c r="A74" s="47" t="s">
        <v>506</v>
      </c>
      <c r="B74" s="47" t="s">
        <v>151</v>
      </c>
      <c r="C74" s="47" t="s">
        <v>155</v>
      </c>
      <c r="D74" s="47" t="s">
        <v>1142</v>
      </c>
      <c r="E74" s="47" t="s">
        <v>507</v>
      </c>
      <c r="F74" s="47" t="s">
        <v>508</v>
      </c>
      <c r="G74" s="47" t="s">
        <v>509</v>
      </c>
      <c r="H74" s="47" t="s">
        <v>357</v>
      </c>
      <c r="I74" s="47" t="s">
        <v>358</v>
      </c>
      <c r="J74" s="47" t="str">
        <f>=IFERROR(VLOOKUP(H74&amp;I74,Table_Fonctions!A:G,6,FALSE),"")</f>
        <v>0</v>
      </c>
      <c r="K74" s="47" t="s">
        <v>1110</v>
      </c>
      <c r="L74" s="47" t="str">
        <f>=IFERROR(VLOOKUP(H74&amp;I74,Table_Fonctions!A:G,7,FALSE),K74)</f>
        <v/>
      </c>
      <c r="M74" s="47" t="str">
        <f>=IF(OR(LEFT(D74, 3)="TJ ", LEFT(D74, 4)="CPH "), "OUI", "NON")</f>
        <v/>
      </c>
      <c r="N74" s="47" t="s">
        <v>510</v>
      </c>
      <c r="O74" s="47"/>
      <c r="P74" s="47">
        <v>1</v>
      </c>
      <c r="Q74" s="47">
        <v>0</v>
      </c>
      <c r="R74" s="47">
        <v>1</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c r="DR74" s="47">
        <v>0</v>
      </c>
      <c r="DS74" s="47">
        <v>0</v>
      </c>
      <c r="DT74" s="47">
        <v>0</v>
      </c>
      <c r="DU74" s="47">
        <v>0</v>
      </c>
      <c r="DV74" s="47">
        <v>0</v>
      </c>
      <c r="DW74" s="47">
        <v>0</v>
      </c>
      <c r="DX74" s="47">
        <v>0</v>
      </c>
      <c r="DY74" s="47">
        <v>0</v>
      </c>
      <c r="DZ74" s="47"/>
      <c r="EA74" s="47">
        <v>1</v>
      </c>
      <c r="ZZ74" t="s">
        <v>1062</v>
      </c>
    </row>
    <row r="75" spans="1:702" x14ac:dyDescent="0.25">
      <c r="A75" s="47" t="s">
        <v>511</v>
      </c>
      <c r="B75" s="47" t="s">
        <v>151</v>
      </c>
      <c r="C75" s="47" t="s">
        <v>155</v>
      </c>
      <c r="D75" s="47" t="s">
        <v>1143</v>
      </c>
      <c r="E75" s="47" t="s">
        <v>512</v>
      </c>
      <c r="F75" s="47" t="s">
        <v>513</v>
      </c>
      <c r="G75" s="47" t="s">
        <v>514</v>
      </c>
      <c r="H75" s="47" t="s">
        <v>357</v>
      </c>
      <c r="I75" s="47" t="s">
        <v>358</v>
      </c>
      <c r="J75" s="47" t="str">
        <f>=IFERROR(VLOOKUP(H75&amp;I75,Table_Fonctions!A:G,6,FALSE),"")</f>
        <v>0</v>
      </c>
      <c r="K75" s="47" t="s">
        <v>1110</v>
      </c>
      <c r="L75" s="47" t="str">
        <f>=IFERROR(VLOOKUP(H75&amp;I75,Table_Fonctions!A:G,7,FALSE),K75)</f>
        <v/>
      </c>
      <c r="M75" s="47" t="str">
        <f>=IF(OR(LEFT(D75, 3)="TJ ", LEFT(D75, 4)="CPH "), "OUI", "NON")</f>
        <v/>
      </c>
      <c r="N75" s="47" t="s">
        <v>169</v>
      </c>
      <c r="O75" s="47"/>
      <c r="P75" s="47">
        <v>0.3372</v>
      </c>
      <c r="Q75" s="47">
        <v>0.3372</v>
      </c>
      <c r="R75" s="47">
        <v>0</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0.2023</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0.1349</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c r="DU75" s="47">
        <v>0</v>
      </c>
      <c r="DV75" s="47">
        <v>0</v>
      </c>
      <c r="DW75" s="47">
        <v>0</v>
      </c>
      <c r="DX75" s="47">
        <v>0</v>
      </c>
      <c r="DY75" s="47">
        <v>0</v>
      </c>
      <c r="DZ75" s="47"/>
      <c r="EA75" s="47">
        <v>0.3372</v>
      </c>
      <c r="ZZ75" t="s">
        <v>1062</v>
      </c>
    </row>
    <row r="76" spans="1:702" x14ac:dyDescent="0.25">
      <c r="A76" s="47" t="s">
        <v>515</v>
      </c>
      <c r="B76" s="47" t="s">
        <v>151</v>
      </c>
      <c r="C76" s="47" t="s">
        <v>155</v>
      </c>
      <c r="D76" s="47" t="s">
        <v>1135</v>
      </c>
      <c r="E76" s="47" t="s">
        <v>516</v>
      </c>
      <c r="F76" s="47" t="s">
        <v>517</v>
      </c>
      <c r="G76" s="47" t="s">
        <v>518</v>
      </c>
      <c r="H76" s="47" t="s">
        <v>357</v>
      </c>
      <c r="I76" s="47" t="s">
        <v>388</v>
      </c>
      <c r="J76" s="47" t="str">
        <f>=IFERROR(VLOOKUP(H76&amp;I76,Table_Fonctions!A:G,6,FALSE),"")</f>
        <v>0</v>
      </c>
      <c r="K76" s="47" t="s">
        <v>1110</v>
      </c>
      <c r="L76" s="47" t="str">
        <f>=IFERROR(VLOOKUP(H76&amp;I76,Table_Fonctions!A:G,7,FALSE),K76)</f>
        <v/>
      </c>
      <c r="M76" s="47" t="str">
        <f>=IF(OR(LEFT(D76, 3)="TJ ", LEFT(D76, 4)="CPH "), "OUI", "NON")</f>
        <v/>
      </c>
      <c r="N76" s="47" t="s">
        <v>519</v>
      </c>
      <c r="O76" s="47"/>
      <c r="P76" s="47">
        <v>1</v>
      </c>
      <c r="Q76" s="47">
        <v>1</v>
      </c>
      <c r="R76" s="47">
        <v>0</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1</v>
      </c>
      <c r="CZ76" s="47">
        <v>0</v>
      </c>
      <c r="DA76" s="47">
        <v>0</v>
      </c>
      <c r="DB76" s="47">
        <v>0</v>
      </c>
      <c r="DC76" s="47">
        <v>1</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v>0</v>
      </c>
      <c r="DZ76" s="47"/>
      <c r="EA76" s="47">
        <v>1</v>
      </c>
      <c r="ZZ76" t="s">
        <v>1062</v>
      </c>
    </row>
    <row r="77" spans="1:702" x14ac:dyDescent="0.25">
      <c r="A77" s="47" t="s">
        <v>520</v>
      </c>
      <c r="B77" s="47" t="s">
        <v>151</v>
      </c>
      <c r="C77" s="47" t="s">
        <v>155</v>
      </c>
      <c r="D77" s="47" t="s">
        <v>1144</v>
      </c>
      <c r="E77" s="47" t="s">
        <v>521</v>
      </c>
      <c r="F77" s="47" t="s">
        <v>522</v>
      </c>
      <c r="G77" s="47" t="s">
        <v>523</v>
      </c>
      <c r="H77" s="47" t="s">
        <v>357</v>
      </c>
      <c r="I77" s="47" t="s">
        <v>388</v>
      </c>
      <c r="J77" s="47" t="str">
        <f>=IFERROR(VLOOKUP(H77&amp;I77,Table_Fonctions!A:G,6,FALSE),"")</f>
        <v>0</v>
      </c>
      <c r="K77" s="47" t="s">
        <v>1110</v>
      </c>
      <c r="L77" s="47" t="str">
        <f>=IFERROR(VLOOKUP(H77&amp;I77,Table_Fonctions!A:G,7,FALSE),K77)</f>
        <v/>
      </c>
      <c r="M77" s="47" t="str">
        <f>=IF(OR(LEFT(D77, 3)="TJ ", LEFT(D77, 4)="CPH "), "OUI", "NON")</f>
        <v/>
      </c>
      <c r="N77" s="47" t="s">
        <v>524</v>
      </c>
      <c r="O77" s="47"/>
      <c r="P77" s="47">
        <v>1</v>
      </c>
      <c r="Q77" s="47">
        <v>0</v>
      </c>
      <c r="R77" s="47">
        <v>1</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v>0</v>
      </c>
      <c r="DZ77" s="47"/>
      <c r="EA77" s="47">
        <v>1</v>
      </c>
      <c r="ZZ77" t="s">
        <v>1062</v>
      </c>
    </row>
    <row r="78" spans="1:702" x14ac:dyDescent="0.25">
      <c r="A78" s="47" t="s">
        <v>525</v>
      </c>
      <c r="B78" s="47" t="s">
        <v>151</v>
      </c>
      <c r="C78" s="47" t="s">
        <v>155</v>
      </c>
      <c r="D78" s="47" t="s">
        <v>1145</v>
      </c>
      <c r="E78" s="47" t="s">
        <v>526</v>
      </c>
      <c r="F78" s="47" t="s">
        <v>527</v>
      </c>
      <c r="G78" s="47" t="s">
        <v>528</v>
      </c>
      <c r="H78" s="47" t="s">
        <v>357</v>
      </c>
      <c r="I78" s="47" t="s">
        <v>358</v>
      </c>
      <c r="J78" s="47" t="str">
        <f>=IFERROR(VLOOKUP(H78&amp;I78,Table_Fonctions!A:G,6,FALSE),"")</f>
        <v>0</v>
      </c>
      <c r="K78" s="47" t="s">
        <v>1110</v>
      </c>
      <c r="L78" s="47" t="str">
        <f>=IFERROR(VLOOKUP(H78&amp;I78,Table_Fonctions!A:G,7,FALSE),K78)</f>
        <v/>
      </c>
      <c r="M78" s="47" t="str">
        <f>=IF(OR(LEFT(D78, 3)="TJ ", LEFT(D78, 4)="CPH "), "OUI", "NON")</f>
        <v/>
      </c>
      <c r="N78" s="47" t="s">
        <v>447</v>
      </c>
      <c r="O78" s="47"/>
      <c r="P78" s="47">
        <v>1</v>
      </c>
      <c r="Q78" s="47">
        <v>0</v>
      </c>
      <c r="R78" s="47">
        <v>1</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v>0</v>
      </c>
      <c r="DZ78" s="47"/>
      <c r="EA78" s="47">
        <v>1</v>
      </c>
      <c r="ZZ78" t="s">
        <v>1062</v>
      </c>
    </row>
    <row r="79" spans="1:702" x14ac:dyDescent="0.25">
      <c r="A79" s="47" t="s">
        <v>529</v>
      </c>
      <c r="B79" s="47" t="s">
        <v>151</v>
      </c>
      <c r="C79" s="47" t="s">
        <v>155</v>
      </c>
      <c r="D79" s="47" t="s">
        <v>1146</v>
      </c>
      <c r="E79" s="47" t="s">
        <v>530</v>
      </c>
      <c r="F79" s="47" t="s">
        <v>531</v>
      </c>
      <c r="G79" s="47" t="s">
        <v>532</v>
      </c>
      <c r="H79" s="47" t="s">
        <v>357</v>
      </c>
      <c r="I79" s="47" t="s">
        <v>358</v>
      </c>
      <c r="J79" s="47" t="str">
        <f>=IFERROR(VLOOKUP(H79&amp;I79,Table_Fonctions!A:G,6,FALSE),"")</f>
        <v>0</v>
      </c>
      <c r="K79" s="47" t="s">
        <v>1110</v>
      </c>
      <c r="L79" s="47" t="str">
        <f>=IFERROR(VLOOKUP(H79&amp;I79,Table_Fonctions!A:G,7,FALSE),K79)</f>
        <v/>
      </c>
      <c r="M79" s="47" t="str">
        <f>=IF(OR(LEFT(D79, 3)="TJ ", LEFT(D79, 4)="CPH "), "OUI", "NON")</f>
        <v/>
      </c>
      <c r="N79" s="47" t="s">
        <v>533</v>
      </c>
      <c r="O79" s="47"/>
      <c r="P79" s="47">
        <v>1</v>
      </c>
      <c r="Q79" s="47">
        <v>1</v>
      </c>
      <c r="R79" s="47">
        <v>0</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0.4</v>
      </c>
      <c r="AK79" s="47">
        <v>0.2</v>
      </c>
      <c r="AL79" s="47">
        <v>0.2</v>
      </c>
      <c r="AM79" s="47">
        <v>0</v>
      </c>
      <c r="AN79" s="47">
        <v>0</v>
      </c>
      <c r="AO79" s="47">
        <v>0</v>
      </c>
      <c r="AP79" s="47">
        <v>0</v>
      </c>
      <c r="AQ79" s="47">
        <v>0</v>
      </c>
      <c r="AR79" s="47">
        <v>0</v>
      </c>
      <c r="AS79" s="47">
        <v>0.15</v>
      </c>
      <c r="AT79" s="47">
        <v>0</v>
      </c>
      <c r="AU79" s="47">
        <v>0.1</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0.05</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v>
      </c>
      <c r="CW79" s="47">
        <v>0</v>
      </c>
      <c r="CX79" s="47">
        <v>0</v>
      </c>
      <c r="CY79" s="47">
        <v>0.45</v>
      </c>
      <c r="CZ79" s="47">
        <v>0.45</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v>0</v>
      </c>
      <c r="DZ79" s="47"/>
      <c r="EA79" s="47">
        <v>1</v>
      </c>
      <c r="ZZ79" t="s">
        <v>1062</v>
      </c>
    </row>
    <row r="80" spans="1:702" x14ac:dyDescent="0.25">
      <c r="A80" s="47" t="s">
        <v>534</v>
      </c>
      <c r="B80" s="47" t="s">
        <v>151</v>
      </c>
      <c r="C80" s="47" t="s">
        <v>155</v>
      </c>
      <c r="D80" s="47" t="s">
        <v>1147</v>
      </c>
      <c r="E80" s="47" t="s">
        <v>535</v>
      </c>
      <c r="F80" s="47" t="s">
        <v>536</v>
      </c>
      <c r="G80" s="47" t="s">
        <v>537</v>
      </c>
      <c r="H80" s="47" t="s">
        <v>357</v>
      </c>
      <c r="I80" s="47" t="s">
        <v>388</v>
      </c>
      <c r="J80" s="47" t="str">
        <f>=IFERROR(VLOOKUP(H80&amp;I80,Table_Fonctions!A:G,6,FALSE),"")</f>
        <v>0</v>
      </c>
      <c r="K80" s="47" t="s">
        <v>1110</v>
      </c>
      <c r="L80" s="47" t="str">
        <f>=IFERROR(VLOOKUP(H80&amp;I80,Table_Fonctions!A:G,7,FALSE),K80)</f>
        <v/>
      </c>
      <c r="M80" s="47" t="str">
        <f>=IF(OR(LEFT(D80, 3)="TJ ", LEFT(D80, 4)="CPH "), "OUI", "NON")</f>
        <v/>
      </c>
      <c r="N80" s="47" t="s">
        <v>538</v>
      </c>
      <c r="O80" s="47"/>
      <c r="P80" s="47">
        <v>1</v>
      </c>
      <c r="Q80" s="47">
        <v>0</v>
      </c>
      <c r="R80" s="47">
        <v>1</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0</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c r="DR80" s="47">
        <v>0</v>
      </c>
      <c r="DS80" s="47">
        <v>0</v>
      </c>
      <c r="DT80" s="47">
        <v>0</v>
      </c>
      <c r="DU80" s="47">
        <v>0</v>
      </c>
      <c r="DV80" s="47">
        <v>0</v>
      </c>
      <c r="DW80" s="47">
        <v>0</v>
      </c>
      <c r="DX80" s="47">
        <v>0</v>
      </c>
      <c r="DY80" s="47">
        <v>0</v>
      </c>
      <c r="DZ80" s="47"/>
      <c r="EA80" s="47">
        <v>1</v>
      </c>
      <c r="ZZ80" t="s">
        <v>1062</v>
      </c>
    </row>
    <row r="81" spans="1:702" x14ac:dyDescent="0.25">
      <c r="A81" s="47" t="s">
        <v>539</v>
      </c>
      <c r="B81" s="47" t="s">
        <v>151</v>
      </c>
      <c r="C81" s="47" t="s">
        <v>155</v>
      </c>
      <c r="D81" s="47" t="s">
        <v>1148</v>
      </c>
      <c r="E81" s="47" t="s">
        <v>540</v>
      </c>
      <c r="F81" s="47" t="s">
        <v>541</v>
      </c>
      <c r="G81" s="47" t="s">
        <v>542</v>
      </c>
      <c r="H81" s="47" t="s">
        <v>357</v>
      </c>
      <c r="I81" s="47" t="s">
        <v>388</v>
      </c>
      <c r="J81" s="47" t="str">
        <f>=IFERROR(VLOOKUP(H81&amp;I81,Table_Fonctions!A:G,6,FALSE),"")</f>
        <v>0</v>
      </c>
      <c r="K81" s="47" t="s">
        <v>1110</v>
      </c>
      <c r="L81" s="47" t="str">
        <f>=IFERROR(VLOOKUP(H81&amp;I81,Table_Fonctions!A:G,7,FALSE),K81)</f>
        <v/>
      </c>
      <c r="M81" s="47" t="str">
        <f>=IF(OR(LEFT(D81, 3)="TJ ", LEFT(D81, 4)="CPH "), "OUI", "NON")</f>
        <v/>
      </c>
      <c r="N81" s="47" t="s">
        <v>377</v>
      </c>
      <c r="O81" s="47"/>
      <c r="P81" s="47">
        <v>1</v>
      </c>
      <c r="Q81" s="47">
        <v>1</v>
      </c>
      <c r="R81" s="47">
        <v>0</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1</v>
      </c>
      <c r="CZ81" s="47">
        <v>0</v>
      </c>
      <c r="DA81" s="47">
        <v>0.0004</v>
      </c>
      <c r="DB81" s="47">
        <v>0</v>
      </c>
      <c r="DC81" s="47">
        <v>0</v>
      </c>
      <c r="DD81" s="47">
        <v>0</v>
      </c>
      <c r="DE81" s="47">
        <v>0</v>
      </c>
      <c r="DF81" s="47">
        <v>0</v>
      </c>
      <c r="DG81" s="47">
        <v>0</v>
      </c>
      <c r="DH81" s="47">
        <v>0</v>
      </c>
      <c r="DI81" s="47">
        <v>0</v>
      </c>
      <c r="DJ81" s="47">
        <v>0.9996</v>
      </c>
      <c r="DK81" s="47">
        <v>0</v>
      </c>
      <c r="DL81" s="47">
        <v>0</v>
      </c>
      <c r="DM81" s="47">
        <v>0</v>
      </c>
      <c r="DN81" s="47">
        <v>0</v>
      </c>
      <c r="DO81" s="47">
        <v>0</v>
      </c>
      <c r="DP81" s="47">
        <v>0</v>
      </c>
      <c r="DQ81" s="47">
        <v>0</v>
      </c>
      <c r="DR81" s="47">
        <v>0</v>
      </c>
      <c r="DS81" s="47">
        <v>0</v>
      </c>
      <c r="DT81" s="47">
        <v>0</v>
      </c>
      <c r="DU81" s="47">
        <v>0</v>
      </c>
      <c r="DV81" s="47">
        <v>0</v>
      </c>
      <c r="DW81" s="47">
        <v>0</v>
      </c>
      <c r="DX81" s="47">
        <v>0</v>
      </c>
      <c r="DY81" s="47">
        <v>0</v>
      </c>
      <c r="DZ81" s="47"/>
      <c r="EA81" s="47">
        <v>1</v>
      </c>
      <c r="ZZ81" t="s">
        <v>1062</v>
      </c>
    </row>
    <row r="82" spans="1:702" x14ac:dyDescent="0.25">
      <c r="A82" s="47" t="s">
        <v>543</v>
      </c>
      <c r="B82" s="47" t="s">
        <v>151</v>
      </c>
      <c r="C82" s="47" t="s">
        <v>155</v>
      </c>
      <c r="D82" s="47" t="s">
        <v>1149</v>
      </c>
      <c r="E82" s="47" t="s">
        <v>544</v>
      </c>
      <c r="F82" s="47" t="s">
        <v>545</v>
      </c>
      <c r="G82" s="47" t="s">
        <v>546</v>
      </c>
      <c r="H82" s="47" t="s">
        <v>357</v>
      </c>
      <c r="I82" s="47" t="s">
        <v>398</v>
      </c>
      <c r="J82" s="47" t="str">
        <f>=IFERROR(VLOOKUP(H82&amp;I82,Table_Fonctions!A:G,6,FALSE),"")</f>
        <v>0</v>
      </c>
      <c r="K82" s="47" t="s">
        <v>1110</v>
      </c>
      <c r="L82" s="47" t="str">
        <f>=IFERROR(VLOOKUP(H82&amp;I82,Table_Fonctions!A:G,7,FALSE),K82)</f>
        <v/>
      </c>
      <c r="M82" s="47" t="str">
        <f>=IF(OR(LEFT(D82, 3)="TJ ", LEFT(D82, 4)="CPH "), "OUI", "NON")</f>
        <v/>
      </c>
      <c r="N82" s="47" t="s">
        <v>452</v>
      </c>
      <c r="O82" s="47" t="s">
        <v>547</v>
      </c>
      <c r="P82" s="47">
        <v>0.0498</v>
      </c>
      <c r="Q82" s="47">
        <v>0</v>
      </c>
      <c r="R82" s="47">
        <v>0.0498</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v>0</v>
      </c>
      <c r="DZ82" s="47"/>
      <c r="EA82" s="47">
        <v>0.0498</v>
      </c>
      <c r="ZZ82" t="s">
        <v>1062</v>
      </c>
    </row>
    <row r="83" spans="1:702" x14ac:dyDescent="0.25">
      <c r="A83" s="47" t="s">
        <v>548</v>
      </c>
      <c r="B83" s="47" t="s">
        <v>151</v>
      </c>
      <c r="C83" s="47" t="s">
        <v>155</v>
      </c>
      <c r="D83" s="47" t="s">
        <v>1150</v>
      </c>
      <c r="E83" s="47" t="s">
        <v>549</v>
      </c>
      <c r="F83" s="47" t="s">
        <v>550</v>
      </c>
      <c r="G83" s="47" t="s">
        <v>551</v>
      </c>
      <c r="H83" s="47" t="s">
        <v>357</v>
      </c>
      <c r="I83" s="47" t="s">
        <v>388</v>
      </c>
      <c r="J83" s="47" t="str">
        <f>=IFERROR(VLOOKUP(H83&amp;I83,Table_Fonctions!A:G,6,FALSE),"")</f>
        <v>0</v>
      </c>
      <c r="K83" s="47" t="s">
        <v>1110</v>
      </c>
      <c r="L83" s="47" t="str">
        <f>=IFERROR(VLOOKUP(H83&amp;I83,Table_Fonctions!A:G,7,FALSE),K83)</f>
        <v/>
      </c>
      <c r="M83" s="47" t="str">
        <f>=IF(OR(LEFT(D83, 3)="TJ ", LEFT(D83, 4)="CPH "), "OUI", "NON")</f>
        <v/>
      </c>
      <c r="N83" s="47" t="s">
        <v>552</v>
      </c>
      <c r="O83" s="47"/>
      <c r="P83" s="47">
        <v>1</v>
      </c>
      <c r="Q83" s="47">
        <v>0</v>
      </c>
      <c r="R83" s="47">
        <v>1</v>
      </c>
      <c r="S83" s="47">
        <f>=ROUND(BQ83-(BR83+BS83),3)</f>
      </c>
      <c r="T83" s="47">
        <f>=ROUND(CK83-(CL83+CM83+CN83+CO83+CP83),3)</f>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v>0</v>
      </c>
      <c r="DZ83" s="47"/>
      <c r="EA83" s="47">
        <v>1</v>
      </c>
      <c r="ZZ83" t="s">
        <v>1062</v>
      </c>
    </row>
    <row r="84" spans="1:702" x14ac:dyDescent="0.25">
      <c r="A84" s="47" t="s">
        <v>553</v>
      </c>
      <c r="B84" s="47" t="s">
        <v>151</v>
      </c>
      <c r="C84" s="47" t="s">
        <v>155</v>
      </c>
      <c r="D84" s="47" t="s">
        <v>1151</v>
      </c>
      <c r="E84" s="47" t="s">
        <v>554</v>
      </c>
      <c r="F84" s="47" t="s">
        <v>555</v>
      </c>
      <c r="G84" s="47" t="s">
        <v>556</v>
      </c>
      <c r="H84" s="47" t="s">
        <v>357</v>
      </c>
      <c r="I84" s="47" t="s">
        <v>557</v>
      </c>
      <c r="J84" s="47" t="str">
        <f>=IFERROR(VLOOKUP(H84&amp;I84,Table_Fonctions!A:G,6,FALSE),"")</f>
        <v>0</v>
      </c>
      <c r="K84" s="47" t="s">
        <v>1114</v>
      </c>
      <c r="L84" s="47" t="str">
        <f>=IFERROR(VLOOKUP(H84&amp;I84,Table_Fonctions!A:G,7,FALSE),K84)</f>
        <v/>
      </c>
      <c r="M84" s="47" t="str">
        <f>=IF(OR(LEFT(D84, 3)="TJ ", LEFT(D84, 4)="CPH "), "OUI", "NON")</f>
        <v/>
      </c>
      <c r="N84" s="47" t="s">
        <v>558</v>
      </c>
      <c r="O84" s="47"/>
      <c r="P84" s="47">
        <v>1</v>
      </c>
      <c r="Q84" s="47">
        <v>1</v>
      </c>
      <c r="R84" s="47">
        <v>0</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1</v>
      </c>
      <c r="BU84" s="47">
        <v>0</v>
      </c>
      <c r="BV84" s="47">
        <v>0</v>
      </c>
      <c r="BW84" s="47">
        <v>0</v>
      </c>
      <c r="BX84" s="47">
        <v>0</v>
      </c>
      <c r="BY84" s="47">
        <v>0</v>
      </c>
      <c r="BZ84" s="47">
        <v>0</v>
      </c>
      <c r="CA84" s="47">
        <v>0</v>
      </c>
      <c r="CB84" s="47">
        <v>0</v>
      </c>
      <c r="CC84" s="47">
        <v>0</v>
      </c>
      <c r="CD84" s="47">
        <v>0</v>
      </c>
      <c r="CE84" s="47">
        <v>1</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v>0</v>
      </c>
      <c r="DZ84" s="47"/>
      <c r="EA84" s="47">
        <v>1</v>
      </c>
      <c r="ZZ84" t="s">
        <v>1062</v>
      </c>
    </row>
    <row r="85" spans="1:702" x14ac:dyDescent="0.25">
      <c r="A85" s="47" t="s">
        <v>559</v>
      </c>
      <c r="B85" s="47" t="s">
        <v>151</v>
      </c>
      <c r="C85" s="47" t="s">
        <v>155</v>
      </c>
      <c r="D85" s="47" t="s">
        <v>1152</v>
      </c>
      <c r="E85" s="47" t="s">
        <v>560</v>
      </c>
      <c r="F85" s="47" t="s">
        <v>561</v>
      </c>
      <c r="G85" s="47" t="s">
        <v>562</v>
      </c>
      <c r="H85" s="47" t="s">
        <v>357</v>
      </c>
      <c r="I85" s="47" t="s">
        <v>563</v>
      </c>
      <c r="J85" s="47" t="str">
        <f>=IFERROR(VLOOKUP(H85&amp;I85,Table_Fonctions!A:G,6,FALSE),"")</f>
        <v>0</v>
      </c>
      <c r="K85" s="47" t="s">
        <v>1110</v>
      </c>
      <c r="L85" s="47" t="str">
        <f>=IFERROR(VLOOKUP(H85&amp;I85,Table_Fonctions!A:G,7,FALSE),K85)</f>
        <v/>
      </c>
      <c r="M85" s="47" t="str">
        <f>=IF(OR(LEFT(D85, 3)="TJ ", LEFT(D85, 4)="CPH "), "OUI", "NON")</f>
        <v/>
      </c>
      <c r="N85" s="47" t="s">
        <v>493</v>
      </c>
      <c r="O85" s="47"/>
      <c r="P85" s="47">
        <v>1</v>
      </c>
      <c r="Q85" s="47">
        <v>1</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v>
      </c>
      <c r="CW85" s="47">
        <v>0</v>
      </c>
      <c r="CX85" s="47">
        <v>0</v>
      </c>
      <c r="CY85" s="47">
        <v>1</v>
      </c>
      <c r="CZ85" s="47">
        <v>0</v>
      </c>
      <c r="DA85" s="47">
        <v>0</v>
      </c>
      <c r="DB85" s="47">
        <v>0</v>
      </c>
      <c r="DC85" s="47">
        <v>0</v>
      </c>
      <c r="DD85" s="47">
        <v>0</v>
      </c>
      <c r="DE85" s="47">
        <v>0</v>
      </c>
      <c r="DF85" s="47">
        <v>0</v>
      </c>
      <c r="DG85" s="47">
        <v>0</v>
      </c>
      <c r="DH85" s="47">
        <v>0</v>
      </c>
      <c r="DI85" s="47">
        <v>0</v>
      </c>
      <c r="DJ85" s="47">
        <v>1</v>
      </c>
      <c r="DK85" s="47">
        <v>0</v>
      </c>
      <c r="DL85" s="47">
        <v>0</v>
      </c>
      <c r="DM85" s="47">
        <v>0</v>
      </c>
      <c r="DN85" s="47">
        <v>0</v>
      </c>
      <c r="DO85" s="47">
        <v>0</v>
      </c>
      <c r="DP85" s="47">
        <v>0</v>
      </c>
      <c r="DQ85" s="47">
        <v>0</v>
      </c>
      <c r="DR85" s="47">
        <v>0</v>
      </c>
      <c r="DS85" s="47">
        <v>0</v>
      </c>
      <c r="DT85" s="47">
        <v>0</v>
      </c>
      <c r="DU85" s="47">
        <v>0</v>
      </c>
      <c r="DV85" s="47">
        <v>0</v>
      </c>
      <c r="DW85" s="47">
        <v>0</v>
      </c>
      <c r="DX85" s="47">
        <v>0</v>
      </c>
      <c r="DY85" s="47">
        <v>0</v>
      </c>
      <c r="DZ85" s="47"/>
      <c r="EA85" s="47">
        <v>1</v>
      </c>
      <c r="ZZ85" t="s">
        <v>1062</v>
      </c>
    </row>
    <row r="86" spans="1:702" x14ac:dyDescent="0.25">
      <c r="A86" s="47" t="s">
        <v>564</v>
      </c>
      <c r="B86" s="47" t="s">
        <v>151</v>
      </c>
      <c r="C86" s="47" t="s">
        <v>155</v>
      </c>
      <c r="D86" s="47" t="s">
        <v>1153</v>
      </c>
      <c r="E86" s="47" t="s">
        <v>565</v>
      </c>
      <c r="F86" s="47" t="s">
        <v>566</v>
      </c>
      <c r="G86" s="47" t="s">
        <v>567</v>
      </c>
      <c r="H86" s="47" t="s">
        <v>357</v>
      </c>
      <c r="I86" s="47" t="s">
        <v>388</v>
      </c>
      <c r="J86" s="47" t="str">
        <f>=IFERROR(VLOOKUP(H86&amp;I86,Table_Fonctions!A:G,6,FALSE),"")</f>
        <v>0</v>
      </c>
      <c r="K86" s="47" t="s">
        <v>1110</v>
      </c>
      <c r="L86" s="47" t="str">
        <f>=IFERROR(VLOOKUP(H86&amp;I86,Table_Fonctions!A:G,7,FALSE),K86)</f>
        <v/>
      </c>
      <c r="M86" s="47" t="str">
        <f>=IF(OR(LEFT(D86, 3)="TJ ", LEFT(D86, 4)="CPH "), "OUI", "NON")</f>
        <v/>
      </c>
      <c r="N86" s="47" t="s">
        <v>568</v>
      </c>
      <c r="O86" s="47"/>
      <c r="P86" s="47">
        <v>1</v>
      </c>
      <c r="Q86" s="47">
        <v>1</v>
      </c>
      <c r="R86" s="47">
        <v>0</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1</v>
      </c>
      <c r="CZ86" s="47">
        <v>1</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v>0</v>
      </c>
      <c r="DZ86" s="47"/>
      <c r="EA86" s="47">
        <v>1</v>
      </c>
      <c r="ZZ86" t="s">
        <v>1062</v>
      </c>
    </row>
    <row r="87" spans="1:702" x14ac:dyDescent="0.25">
      <c r="A87" s="47" t="s">
        <v>569</v>
      </c>
      <c r="B87" s="47" t="s">
        <v>151</v>
      </c>
      <c r="C87" s="47" t="s">
        <v>155</v>
      </c>
      <c r="D87" s="47" t="s">
        <v>1154</v>
      </c>
      <c r="E87" s="47" t="s">
        <v>570</v>
      </c>
      <c r="F87" s="47" t="s">
        <v>571</v>
      </c>
      <c r="G87" s="47" t="s">
        <v>572</v>
      </c>
      <c r="H87" s="47" t="s">
        <v>357</v>
      </c>
      <c r="I87" s="47" t="s">
        <v>388</v>
      </c>
      <c r="J87" s="47" t="str">
        <f>=IFERROR(VLOOKUP(H87&amp;I87,Table_Fonctions!A:G,6,FALSE),"")</f>
        <v>0</v>
      </c>
      <c r="K87" s="47" t="s">
        <v>1110</v>
      </c>
      <c r="L87" s="47" t="str">
        <f>=IFERROR(VLOOKUP(H87&amp;I87,Table_Fonctions!A:G,7,FALSE),K87)</f>
        <v/>
      </c>
      <c r="M87" s="47" t="str">
        <f>=IF(OR(LEFT(D87, 3)="TJ ", LEFT(D87, 4)="CPH "), "OUI", "NON")</f>
        <v/>
      </c>
      <c r="N87" s="47" t="s">
        <v>573</v>
      </c>
      <c r="O87" s="47"/>
      <c r="P87" s="47">
        <v>1</v>
      </c>
      <c r="Q87" s="47">
        <v>0</v>
      </c>
      <c r="R87" s="47">
        <v>1</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v>0</v>
      </c>
      <c r="DZ87" s="47"/>
      <c r="EA87" s="47">
        <v>1</v>
      </c>
      <c r="ZZ87" t="s">
        <v>1062</v>
      </c>
    </row>
    <row r="88" spans="1:702" x14ac:dyDescent="0.25">
      <c r="A88" s="47" t="s">
        <v>574</v>
      </c>
      <c r="B88" s="47" t="s">
        <v>151</v>
      </c>
      <c r="C88" s="47" t="s">
        <v>155</v>
      </c>
      <c r="D88" s="47" t="s">
        <v>1155</v>
      </c>
      <c r="E88" s="47" t="s">
        <v>575</v>
      </c>
      <c r="F88" s="47" t="s">
        <v>576</v>
      </c>
      <c r="G88" s="47" t="s">
        <v>577</v>
      </c>
      <c r="H88" s="47" t="s">
        <v>357</v>
      </c>
      <c r="I88" s="47" t="s">
        <v>358</v>
      </c>
      <c r="J88" s="47" t="str">
        <f>=IFERROR(VLOOKUP(H88&amp;I88,Table_Fonctions!A:G,6,FALSE),"")</f>
        <v>0</v>
      </c>
      <c r="K88" s="47" t="s">
        <v>1110</v>
      </c>
      <c r="L88" s="47" t="str">
        <f>=IFERROR(VLOOKUP(H88&amp;I88,Table_Fonctions!A:G,7,FALSE),K88)</f>
        <v/>
      </c>
      <c r="M88" s="47" t="str">
        <f>=IF(OR(LEFT(D88, 3)="TJ ", LEFT(D88, 4)="CPH "), "OUI", "NON")</f>
        <v/>
      </c>
      <c r="N88" s="47" t="s">
        <v>578</v>
      </c>
      <c r="O88" s="47"/>
      <c r="P88" s="47">
        <v>1</v>
      </c>
      <c r="Q88" s="47">
        <v>0</v>
      </c>
      <c r="R88" s="47">
        <v>1</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c r="DU88" s="47">
        <v>0</v>
      </c>
      <c r="DV88" s="47">
        <v>0</v>
      </c>
      <c r="DW88" s="47">
        <v>0</v>
      </c>
      <c r="DX88" s="47">
        <v>0</v>
      </c>
      <c r="DY88" s="47">
        <v>0</v>
      </c>
      <c r="DZ88" s="47"/>
      <c r="EA88" s="47">
        <v>1</v>
      </c>
      <c r="ZZ88" t="s">
        <v>1062</v>
      </c>
    </row>
    <row r="89" spans="1:702" x14ac:dyDescent="0.25">
      <c r="A89" s="47" t="s">
        <v>579</v>
      </c>
      <c r="B89" s="47" t="s">
        <v>151</v>
      </c>
      <c r="C89" s="47" t="s">
        <v>155</v>
      </c>
      <c r="D89" s="47" t="s">
        <v>1156</v>
      </c>
      <c r="E89" s="47" t="s">
        <v>580</v>
      </c>
      <c r="F89" s="47" t="s">
        <v>581</v>
      </c>
      <c r="G89" s="47" t="s">
        <v>582</v>
      </c>
      <c r="H89" s="47" t="s">
        <v>357</v>
      </c>
      <c r="I89" s="47" t="s">
        <v>358</v>
      </c>
      <c r="J89" s="47" t="str">
        <f>=IFERROR(VLOOKUP(H89&amp;I89,Table_Fonctions!A:G,6,FALSE),"")</f>
        <v>0</v>
      </c>
      <c r="K89" s="47" t="s">
        <v>1110</v>
      </c>
      <c r="L89" s="47" t="str">
        <f>=IFERROR(VLOOKUP(H89&amp;I89,Table_Fonctions!A:G,7,FALSE),K89)</f>
        <v/>
      </c>
      <c r="M89" s="47" t="str">
        <f>=IF(OR(LEFT(D89, 3)="TJ ", LEFT(D89, 4)="CPH "), "OUI", "NON")</f>
        <v/>
      </c>
      <c r="N89" s="47" t="s">
        <v>583</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v>
      </c>
      <c r="CW89" s="47">
        <v>0</v>
      </c>
      <c r="CX89" s="47">
        <v>0</v>
      </c>
      <c r="CY89" s="47">
        <v>1</v>
      </c>
      <c r="CZ89" s="47">
        <v>0</v>
      </c>
      <c r="DA89" s="47">
        <v>0</v>
      </c>
      <c r="DB89" s="47">
        <v>0</v>
      </c>
      <c r="DC89" s="47">
        <v>1</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v>0</v>
      </c>
      <c r="DZ89" s="47"/>
      <c r="EA89" s="47">
        <v>1</v>
      </c>
      <c r="ZZ89" t="s">
        <v>1062</v>
      </c>
    </row>
    <row r="90" spans="1:702" x14ac:dyDescent="0.25">
      <c r="A90" s="47" t="s">
        <v>584</v>
      </c>
      <c r="B90" s="47" t="s">
        <v>151</v>
      </c>
      <c r="C90" s="47" t="s">
        <v>155</v>
      </c>
      <c r="D90" s="47" t="s">
        <v>1157</v>
      </c>
      <c r="E90" s="47" t="s">
        <v>585</v>
      </c>
      <c r="F90" s="47" t="s">
        <v>586</v>
      </c>
      <c r="G90" s="47" t="s">
        <v>587</v>
      </c>
      <c r="H90" s="47" t="s">
        <v>357</v>
      </c>
      <c r="I90" s="47" t="s">
        <v>388</v>
      </c>
      <c r="J90" s="47" t="str">
        <f>=IFERROR(VLOOKUP(H90&amp;I90,Table_Fonctions!A:G,6,FALSE),"")</f>
        <v>0</v>
      </c>
      <c r="K90" s="47" t="s">
        <v>1110</v>
      </c>
      <c r="L90" s="47" t="str">
        <f>=IFERROR(VLOOKUP(H90&amp;I90,Table_Fonctions!A:G,7,FALSE),K90)</f>
        <v/>
      </c>
      <c r="M90" s="47" t="str">
        <f>=IF(OR(LEFT(D90, 3)="TJ ", LEFT(D90, 4)="CPH "), "OUI", "NON")</f>
        <v/>
      </c>
      <c r="N90" s="47" t="s">
        <v>257</v>
      </c>
      <c r="O90" s="47"/>
      <c r="P90" s="47">
        <v>1</v>
      </c>
      <c r="Q90" s="47">
        <v>0</v>
      </c>
      <c r="R90" s="47">
        <v>1</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v>0</v>
      </c>
      <c r="DZ90" s="47"/>
      <c r="EA90" s="47">
        <v>1</v>
      </c>
      <c r="ZZ90" t="s">
        <v>1062</v>
      </c>
    </row>
    <row r="91" spans="1:702" x14ac:dyDescent="0.25">
      <c r="A91" s="47" t="s">
        <v>588</v>
      </c>
      <c r="B91" s="47" t="s">
        <v>151</v>
      </c>
      <c r="C91" s="47" t="s">
        <v>155</v>
      </c>
      <c r="D91" s="47" t="s">
        <v>1158</v>
      </c>
      <c r="E91" s="47" t="s">
        <v>589</v>
      </c>
      <c r="F91" s="47" t="s">
        <v>590</v>
      </c>
      <c r="G91" s="47" t="s">
        <v>591</v>
      </c>
      <c r="H91" s="47" t="s">
        <v>357</v>
      </c>
      <c r="I91" s="47" t="s">
        <v>388</v>
      </c>
      <c r="J91" s="47" t="str">
        <f>=IFERROR(VLOOKUP(H91&amp;I91,Table_Fonctions!A:G,6,FALSE),"")</f>
        <v>0</v>
      </c>
      <c r="K91" s="47" t="s">
        <v>1110</v>
      </c>
      <c r="L91" s="47" t="str">
        <f>=IFERROR(VLOOKUP(H91&amp;I91,Table_Fonctions!A:G,7,FALSE),K91)</f>
        <v/>
      </c>
      <c r="M91" s="47" t="str">
        <f>=IF(OR(LEFT(D91, 3)="TJ ", LEFT(D91, 4)="CPH "), "OUI", "NON")</f>
        <v/>
      </c>
      <c r="N91" s="47" t="s">
        <v>592</v>
      </c>
      <c r="O91" s="47"/>
      <c r="P91" s="47">
        <v>1</v>
      </c>
      <c r="Q91" s="47">
        <v>1</v>
      </c>
      <c r="R91" s="47">
        <v>0</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1</v>
      </c>
      <c r="CZ91" s="47">
        <v>0</v>
      </c>
      <c r="DA91" s="47">
        <v>0</v>
      </c>
      <c r="DB91" s="47">
        <v>0</v>
      </c>
      <c r="DC91" s="47">
        <v>1</v>
      </c>
      <c r="DD91" s="47">
        <v>0</v>
      </c>
      <c r="DE91" s="47">
        <v>0</v>
      </c>
      <c r="DF91" s="47">
        <v>0</v>
      </c>
      <c r="DG91" s="47">
        <v>0</v>
      </c>
      <c r="DH91" s="47">
        <v>0</v>
      </c>
      <c r="DI91" s="47">
        <v>0</v>
      </c>
      <c r="DJ91" s="47">
        <v>0</v>
      </c>
      <c r="DK91" s="47">
        <v>0</v>
      </c>
      <c r="DL91" s="47">
        <v>0</v>
      </c>
      <c r="DM91" s="47">
        <v>0</v>
      </c>
      <c r="DN91" s="47">
        <v>0</v>
      </c>
      <c r="DO91" s="47">
        <v>0</v>
      </c>
      <c r="DP91" s="47">
        <v>0</v>
      </c>
      <c r="DQ91" s="47">
        <v>0</v>
      </c>
      <c r="DR91" s="47">
        <v>0</v>
      </c>
      <c r="DS91" s="47">
        <v>0</v>
      </c>
      <c r="DT91" s="47">
        <v>0</v>
      </c>
      <c r="DU91" s="47">
        <v>0</v>
      </c>
      <c r="DV91" s="47">
        <v>0</v>
      </c>
      <c r="DW91" s="47">
        <v>0</v>
      </c>
      <c r="DX91" s="47">
        <v>0</v>
      </c>
      <c r="DY91" s="47">
        <v>0</v>
      </c>
      <c r="DZ91" s="47"/>
      <c r="EA91" s="47">
        <v>1</v>
      </c>
      <c r="ZZ91" t="s">
        <v>1062</v>
      </c>
    </row>
    <row r="92" spans="1:702" x14ac:dyDescent="0.25">
      <c r="A92" s="47" t="s">
        <v>593</v>
      </c>
      <c r="B92" s="47" t="s">
        <v>151</v>
      </c>
      <c r="C92" s="47" t="s">
        <v>155</v>
      </c>
      <c r="D92" s="47" t="s">
        <v>1117</v>
      </c>
      <c r="E92" s="47" t="s">
        <v>594</v>
      </c>
      <c r="F92" s="47" t="s">
        <v>595</v>
      </c>
      <c r="G92" s="47" t="s">
        <v>381</v>
      </c>
      <c r="H92" s="47" t="s">
        <v>357</v>
      </c>
      <c r="I92" s="47" t="s">
        <v>388</v>
      </c>
      <c r="J92" s="47" t="str">
        <f>=IFERROR(VLOOKUP(H92&amp;I92,Table_Fonctions!A:G,6,FALSE),"")</f>
        <v>0</v>
      </c>
      <c r="K92" s="47" t="s">
        <v>1110</v>
      </c>
      <c r="L92" s="47" t="str">
        <f>=IFERROR(VLOOKUP(H92&amp;I92,Table_Fonctions!A:G,7,FALSE),K92)</f>
        <v/>
      </c>
      <c r="M92" s="47" t="str">
        <f>=IF(OR(LEFT(D92, 3)="TJ ", LEFT(D92, 4)="CPH "), "OUI", "NON")</f>
        <v/>
      </c>
      <c r="N92" s="47" t="s">
        <v>596</v>
      </c>
      <c r="O92" s="47"/>
      <c r="P92" s="47">
        <v>1</v>
      </c>
      <c r="Q92" s="47">
        <v>1</v>
      </c>
      <c r="R92" s="47">
        <v>0</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1</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v>0</v>
      </c>
      <c r="DZ92" s="47"/>
      <c r="EA92" s="47">
        <v>1</v>
      </c>
      <c r="ZZ92" t="s">
        <v>1062</v>
      </c>
    </row>
    <row r="93" spans="1:702" x14ac:dyDescent="0.25">
      <c r="A93" s="47" t="s">
        <v>597</v>
      </c>
      <c r="B93" s="47" t="s">
        <v>151</v>
      </c>
      <c r="C93" s="47" t="s">
        <v>155</v>
      </c>
      <c r="D93" s="47" t="s">
        <v>1159</v>
      </c>
      <c r="E93" s="47" t="s">
        <v>598</v>
      </c>
      <c r="F93" s="47" t="s">
        <v>599</v>
      </c>
      <c r="G93" s="47" t="s">
        <v>600</v>
      </c>
      <c r="H93" s="47" t="s">
        <v>357</v>
      </c>
      <c r="I93" s="47" t="s">
        <v>1160</v>
      </c>
      <c r="J93" s="47" t="str">
        <f>=IFERROR(VLOOKUP(H93&amp;I93,Table_Fonctions!A:G,6,FALSE),"")</f>
        <v>0</v>
      </c>
      <c r="K93" s="47" t="s">
        <v>1161</v>
      </c>
      <c r="L93" s="47" t="str">
        <f>=IFERROR(VLOOKUP(H93&amp;I93,Table_Fonctions!A:G,7,FALSE),K93)</f>
        <v/>
      </c>
      <c r="M93" s="47" t="str">
        <f>=IF(OR(LEFT(D93, 3)="TJ ", LEFT(D93, 4)="CPH "), "OUI", "NON")</f>
        <v/>
      </c>
      <c r="N93" s="47" t="s">
        <v>482</v>
      </c>
      <c r="O93" s="47" t="s">
        <v>602</v>
      </c>
      <c r="P93" s="47">
        <v>0.1648</v>
      </c>
      <c r="Q93" s="47">
        <v>0.1648</v>
      </c>
      <c r="R93" s="47">
        <v>0</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0.1648</v>
      </c>
      <c r="CZ93" s="47">
        <v>0.1648</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v>0</v>
      </c>
      <c r="DZ93" s="47"/>
      <c r="EA93" s="47">
        <v>0.1648</v>
      </c>
      <c r="ZZ93" t="s">
        <v>1062</v>
      </c>
    </row>
    <row r="94" spans="1:702" x14ac:dyDescent="0.25">
      <c r="A94" s="47" t="s">
        <v>603</v>
      </c>
      <c r="B94" s="47" t="s">
        <v>151</v>
      </c>
      <c r="C94" s="47" t="s">
        <v>155</v>
      </c>
      <c r="D94" s="47" t="s">
        <v>1162</v>
      </c>
      <c r="E94" s="47" t="s">
        <v>604</v>
      </c>
      <c r="F94" s="47" t="s">
        <v>605</v>
      </c>
      <c r="G94" s="47" t="s">
        <v>606</v>
      </c>
      <c r="H94" s="47" t="s">
        <v>357</v>
      </c>
      <c r="I94" s="47" t="s">
        <v>358</v>
      </c>
      <c r="J94" s="47" t="str">
        <f>=IFERROR(VLOOKUP(H94&amp;I94,Table_Fonctions!A:G,6,FALSE),"")</f>
        <v>0</v>
      </c>
      <c r="K94" s="47" t="s">
        <v>1110</v>
      </c>
      <c r="L94" s="47" t="str">
        <f>=IFERROR(VLOOKUP(H94&amp;I94,Table_Fonctions!A:G,7,FALSE),K94)</f>
        <v/>
      </c>
      <c r="M94" s="47" t="str">
        <f>=IF(OR(LEFT(D94, 3)="TJ ", LEFT(D94, 4)="CPH "), "OUI", "NON")</f>
        <v/>
      </c>
      <c r="N94" s="47" t="s">
        <v>363</v>
      </c>
      <c r="O94" s="47"/>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1</v>
      </c>
      <c r="BU94" s="47">
        <v>0.2</v>
      </c>
      <c r="BV94" s="47">
        <v>0.8</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0.0192</v>
      </c>
      <c r="DV94" s="47">
        <v>0</v>
      </c>
      <c r="DW94" s="47">
        <v>0</v>
      </c>
      <c r="DX94" s="47">
        <v>0.0115</v>
      </c>
      <c r="DY94" s="47">
        <v>0.0307</v>
      </c>
      <c r="DZ94" s="47"/>
      <c r="EA94" s="47">
        <v>1</v>
      </c>
      <c r="ZZ94" t="s">
        <v>1062</v>
      </c>
    </row>
    <row r="95" spans="1:702" x14ac:dyDescent="0.25">
      <c r="A95" s="47" t="s">
        <v>607</v>
      </c>
      <c r="B95" s="47" t="s">
        <v>151</v>
      </c>
      <c r="C95" s="47" t="s">
        <v>155</v>
      </c>
      <c r="D95" s="47" t="s">
        <v>1163</v>
      </c>
      <c r="E95" s="47" t="s">
        <v>608</v>
      </c>
      <c r="F95" s="47" t="s">
        <v>609</v>
      </c>
      <c r="G95" s="47" t="s">
        <v>610</v>
      </c>
      <c r="H95" s="47" t="s">
        <v>357</v>
      </c>
      <c r="I95" s="47" t="s">
        <v>563</v>
      </c>
      <c r="J95" s="47" t="str">
        <f>=IFERROR(VLOOKUP(H95&amp;I95,Table_Fonctions!A:G,6,FALSE),"")</f>
        <v>0</v>
      </c>
      <c r="K95" s="47" t="s">
        <v>1110</v>
      </c>
      <c r="L95" s="47" t="str">
        <f>=IFERROR(VLOOKUP(H95&amp;I95,Table_Fonctions!A:G,7,FALSE),K95)</f>
        <v/>
      </c>
      <c r="M95" s="47" t="str">
        <f>=IF(OR(LEFT(D95, 3)="TJ ", LEFT(D95, 4)="CPH "), "OUI", "NON")</f>
        <v/>
      </c>
      <c r="N95" s="47" t="s">
        <v>573</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0.3314</v>
      </c>
      <c r="AK95" s="47">
        <v>0</v>
      </c>
      <c r="AL95" s="47">
        <v>0</v>
      </c>
      <c r="AM95" s="47">
        <v>0</v>
      </c>
      <c r="AN95" s="47">
        <v>0</v>
      </c>
      <c r="AO95" s="47">
        <v>0</v>
      </c>
      <c r="AP95" s="47">
        <v>0.3314</v>
      </c>
      <c r="AQ95" s="47">
        <v>0</v>
      </c>
      <c r="AR95" s="47">
        <v>0</v>
      </c>
      <c r="AS95" s="47">
        <v>0.3314</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0.3372</v>
      </c>
      <c r="CZ95" s="47">
        <v>0</v>
      </c>
      <c r="DA95" s="47">
        <v>0</v>
      </c>
      <c r="DB95" s="47">
        <v>0</v>
      </c>
      <c r="DC95" s="47">
        <v>0</v>
      </c>
      <c r="DD95" s="47">
        <v>0</v>
      </c>
      <c r="DE95" s="47">
        <v>0</v>
      </c>
      <c r="DF95" s="47">
        <v>0</v>
      </c>
      <c r="DG95" s="47">
        <v>0</v>
      </c>
      <c r="DH95" s="47">
        <v>0</v>
      </c>
      <c r="DI95" s="47">
        <v>0</v>
      </c>
      <c r="DJ95" s="47">
        <v>0.3372</v>
      </c>
      <c r="DK95" s="47">
        <v>0</v>
      </c>
      <c r="DL95" s="47">
        <v>0</v>
      </c>
      <c r="DM95" s="47">
        <v>0</v>
      </c>
      <c r="DN95" s="47">
        <v>0</v>
      </c>
      <c r="DO95" s="47">
        <v>0</v>
      </c>
      <c r="DP95" s="47">
        <v>0</v>
      </c>
      <c r="DQ95" s="47">
        <v>0</v>
      </c>
      <c r="DR95" s="47">
        <v>0</v>
      </c>
      <c r="DS95" s="47">
        <v>0</v>
      </c>
      <c r="DT95" s="47">
        <v>0</v>
      </c>
      <c r="DU95" s="47">
        <v>0.023</v>
      </c>
      <c r="DV95" s="47">
        <v>0</v>
      </c>
      <c r="DW95" s="47">
        <v>0</v>
      </c>
      <c r="DX95" s="47">
        <v>0</v>
      </c>
      <c r="DY95" s="47">
        <v>0.023</v>
      </c>
      <c r="DZ95" s="47"/>
      <c r="EA95" s="47">
        <v>1</v>
      </c>
      <c r="ZZ95" t="s">
        <v>1062</v>
      </c>
    </row>
    <row r="96" spans="1:702" x14ac:dyDescent="0.25">
      <c r="A96" s="47" t="s">
        <v>611</v>
      </c>
      <c r="B96" s="47" t="s">
        <v>151</v>
      </c>
      <c r="C96" s="47" t="s">
        <v>155</v>
      </c>
      <c r="D96" s="47" t="s">
        <v>1164</v>
      </c>
      <c r="E96" s="47" t="s">
        <v>612</v>
      </c>
      <c r="F96" s="47" t="s">
        <v>613</v>
      </c>
      <c r="G96" s="47" t="s">
        <v>614</v>
      </c>
      <c r="H96" s="47" t="s">
        <v>357</v>
      </c>
      <c r="I96" s="47" t="s">
        <v>358</v>
      </c>
      <c r="J96" s="47" t="str">
        <f>=IFERROR(VLOOKUP(H96&amp;I96,Table_Fonctions!A:G,6,FALSE),"")</f>
        <v>0</v>
      </c>
      <c r="K96" s="47" t="s">
        <v>1110</v>
      </c>
      <c r="L96" s="47" t="str">
        <f>=IFERROR(VLOOKUP(H96&amp;I96,Table_Fonctions!A:G,7,FALSE),K96)</f>
        <v/>
      </c>
      <c r="M96" s="47" t="str">
        <f>=IF(OR(LEFT(D96, 3)="TJ ", LEFT(D96, 4)="CPH "), "OUI", "NON")</f>
        <v/>
      </c>
      <c r="N96" s="47" t="s">
        <v>573</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0.2418</v>
      </c>
      <c r="BN96" s="47">
        <v>0</v>
      </c>
      <c r="BO96" s="47">
        <v>0</v>
      </c>
      <c r="BP96" s="47">
        <v>0</v>
      </c>
      <c r="BQ96" s="47">
        <v>0</v>
      </c>
      <c r="BR96" s="47">
        <v>0</v>
      </c>
      <c r="BS96" s="47">
        <v>0</v>
      </c>
      <c r="BT96" s="47">
        <v>0.0165</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0.5</v>
      </c>
      <c r="CL96" s="47">
        <v>0</v>
      </c>
      <c r="CM96" s="47">
        <v>0</v>
      </c>
      <c r="CN96" s="47">
        <v>0</v>
      </c>
      <c r="CO96" s="47">
        <v>0</v>
      </c>
      <c r="CP96" s="47">
        <v>0</v>
      </c>
      <c r="CQ96" s="47">
        <v>0</v>
      </c>
      <c r="CR96" s="47">
        <v>0</v>
      </c>
      <c r="CS96" s="47">
        <v>0</v>
      </c>
      <c r="CT96" s="47">
        <v>0</v>
      </c>
      <c r="CU96" s="47">
        <v>0</v>
      </c>
      <c r="CV96" s="47">
        <v>0.2418</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v>0</v>
      </c>
      <c r="DZ96" s="47"/>
      <c r="EA96" s="47">
        <v>1</v>
      </c>
      <c r="ZZ96" t="s">
        <v>1062</v>
      </c>
    </row>
    <row r="97" spans="1:702" x14ac:dyDescent="0.25">
      <c r="A97" s="47" t="s">
        <v>615</v>
      </c>
      <c r="B97" s="47" t="s">
        <v>151</v>
      </c>
      <c r="C97" s="47" t="s">
        <v>155</v>
      </c>
      <c r="D97" s="47" t="s">
        <v>1165</v>
      </c>
      <c r="E97" s="47" t="s">
        <v>616</v>
      </c>
      <c r="F97" s="47" t="s">
        <v>617</v>
      </c>
      <c r="G97" s="47" t="s">
        <v>618</v>
      </c>
      <c r="H97" s="47" t="s">
        <v>357</v>
      </c>
      <c r="I97" s="47" t="s">
        <v>398</v>
      </c>
      <c r="J97" s="47" t="str">
        <f>=IFERROR(VLOOKUP(H97&amp;I97,Table_Fonctions!A:G,6,FALSE),"")</f>
        <v>0</v>
      </c>
      <c r="K97" s="47" t="s">
        <v>1110</v>
      </c>
      <c r="L97" s="47" t="str">
        <f>=IFERROR(VLOOKUP(H97&amp;I97,Table_Fonctions!A:G,7,FALSE),K97)</f>
        <v/>
      </c>
      <c r="M97" s="47" t="str">
        <f>=IF(OR(LEFT(D97, 3)="TJ ", LEFT(D97, 4)="CPH "), "OUI", "NON")</f>
        <v/>
      </c>
      <c r="N97" s="47" t="s">
        <v>619</v>
      </c>
      <c r="O97" s="47"/>
      <c r="P97" s="47">
        <v>1</v>
      </c>
      <c r="Q97" s="47">
        <v>0</v>
      </c>
      <c r="R97" s="47">
        <v>1</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c r="DU97" s="47">
        <v>0</v>
      </c>
      <c r="DV97" s="47">
        <v>0</v>
      </c>
      <c r="DW97" s="47">
        <v>0</v>
      </c>
      <c r="DX97" s="47">
        <v>0</v>
      </c>
      <c r="DY97" s="47">
        <v>0</v>
      </c>
      <c r="DZ97" s="47"/>
      <c r="EA97" s="47">
        <v>1</v>
      </c>
      <c r="ZZ97" t="s">
        <v>1062</v>
      </c>
    </row>
    <row r="98" spans="1:702" x14ac:dyDescent="0.25">
      <c r="A98" s="47" t="s">
        <v>620</v>
      </c>
      <c r="B98" s="47" t="s">
        <v>151</v>
      </c>
      <c r="C98" s="47" t="s">
        <v>155</v>
      </c>
      <c r="D98" s="47" t="s">
        <v>1135</v>
      </c>
      <c r="E98" s="47" t="s">
        <v>621</v>
      </c>
      <c r="F98" s="47" t="s">
        <v>622</v>
      </c>
      <c r="G98" s="47" t="s">
        <v>623</v>
      </c>
      <c r="H98" s="47" t="s">
        <v>357</v>
      </c>
      <c r="I98" s="47" t="s">
        <v>358</v>
      </c>
      <c r="J98" s="47" t="str">
        <f>=IFERROR(VLOOKUP(H98&amp;I98,Table_Fonctions!A:G,6,FALSE),"")</f>
        <v>0</v>
      </c>
      <c r="K98" s="47" t="s">
        <v>1110</v>
      </c>
      <c r="L98" s="47" t="str">
        <f>=IFERROR(VLOOKUP(H98&amp;I98,Table_Fonctions!A:G,7,FALSE),K98)</f>
        <v/>
      </c>
      <c r="M98" s="47" t="str">
        <f>=IF(OR(LEFT(D98, 3)="TJ ", LEFT(D98, 4)="CPH "), "OUI", "NON")</f>
        <v/>
      </c>
      <c r="N98" s="47" t="s">
        <v>624</v>
      </c>
      <c r="O98" s="47"/>
      <c r="P98" s="47">
        <v>1</v>
      </c>
      <c r="Q98" s="47">
        <v>1</v>
      </c>
      <c r="R98" s="47">
        <v>0</v>
      </c>
      <c r="S98" s="47">
        <f>=ROUND(BQ98-(BR98+BS98),3)</f>
      </c>
      <c r="T98" s="47">
        <f>=ROUND(CK98-(CL98+CM98+CN98+CO98+CP98),3)</f>
      </c>
      <c r="U98" s="47">
        <v>0</v>
      </c>
      <c r="V98" s="47">
        <v>0</v>
      </c>
      <c r="W98" s="47">
        <v>0</v>
      </c>
      <c r="X98" s="47">
        <v>0</v>
      </c>
      <c r="Y98" s="47">
        <v>0</v>
      </c>
      <c r="Z98" s="47">
        <v>1</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0.0115</v>
      </c>
      <c r="DV98" s="47">
        <v>0</v>
      </c>
      <c r="DW98" s="47">
        <v>0</v>
      </c>
      <c r="DX98" s="47">
        <v>0</v>
      </c>
      <c r="DY98" s="47">
        <v>0.0115</v>
      </c>
      <c r="DZ98" s="47"/>
      <c r="EA98" s="47">
        <v>1</v>
      </c>
      <c r="ZZ98" t="s">
        <v>1062</v>
      </c>
    </row>
    <row r="99" spans="1:702" x14ac:dyDescent="0.25">
      <c r="A99" s="47" t="s">
        <v>625</v>
      </c>
      <c r="B99" s="47" t="s">
        <v>151</v>
      </c>
      <c r="C99" s="47" t="s">
        <v>155</v>
      </c>
      <c r="D99" s="47" t="s">
        <v>1166</v>
      </c>
      <c r="E99" s="47" t="s">
        <v>626</v>
      </c>
      <c r="F99" s="47" t="s">
        <v>627</v>
      </c>
      <c r="G99" s="47" t="s">
        <v>628</v>
      </c>
      <c r="H99" s="47" t="s">
        <v>357</v>
      </c>
      <c r="I99" s="47" t="s">
        <v>557</v>
      </c>
      <c r="J99" s="47" t="str">
        <f>=IFERROR(VLOOKUP(H99&amp;I99,Table_Fonctions!A:G,6,FALSE),"")</f>
        <v>0</v>
      </c>
      <c r="K99" s="47" t="s">
        <v>1114</v>
      </c>
      <c r="L99" s="47" t="str">
        <f>=IFERROR(VLOOKUP(H99&amp;I99,Table_Fonctions!A:G,7,FALSE),K99)</f>
        <v/>
      </c>
      <c r="M99" s="47" t="str">
        <f>=IF(OR(LEFT(D99, 3)="TJ ", LEFT(D99, 4)="CPH "), "OUI", "NON")</f>
        <v/>
      </c>
      <c r="N99" s="47" t="s">
        <v>624</v>
      </c>
      <c r="O99" s="47" t="s">
        <v>629</v>
      </c>
      <c r="P99" s="47">
        <v>0.4904</v>
      </c>
      <c r="Q99" s="47">
        <v>0.4904</v>
      </c>
      <c r="R99" s="47">
        <v>0</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0.4904</v>
      </c>
      <c r="AK99" s="47">
        <v>0.3276</v>
      </c>
      <c r="AL99" s="47">
        <v>0</v>
      </c>
      <c r="AM99" s="47">
        <v>0</v>
      </c>
      <c r="AN99" s="47">
        <v>0</v>
      </c>
      <c r="AO99" s="47">
        <v>0.1628</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v>0</v>
      </c>
      <c r="DZ99" s="47"/>
      <c r="EA99" s="47">
        <v>0.4904</v>
      </c>
      <c r="ZZ99" t="s">
        <v>1062</v>
      </c>
    </row>
    <row r="100" spans="1:702" x14ac:dyDescent="0.25">
      <c r="A100" s="47" t="s">
        <v>630</v>
      </c>
      <c r="B100" s="47" t="s">
        <v>151</v>
      </c>
      <c r="C100" s="47" t="s">
        <v>155</v>
      </c>
      <c r="D100" s="47" t="s">
        <v>1167</v>
      </c>
      <c r="E100" s="47" t="s">
        <v>631</v>
      </c>
      <c r="F100" s="47" t="s">
        <v>632</v>
      </c>
      <c r="G100" s="47" t="s">
        <v>633</v>
      </c>
      <c r="H100" s="47" t="s">
        <v>357</v>
      </c>
      <c r="I100" s="47" t="s">
        <v>388</v>
      </c>
      <c r="J100" s="47" t="str">
        <f>=IFERROR(VLOOKUP(H100&amp;I100,Table_Fonctions!A:G,6,FALSE),"")</f>
        <v>0</v>
      </c>
      <c r="K100" s="47" t="s">
        <v>1110</v>
      </c>
      <c r="L100" s="47" t="str">
        <f>=IFERROR(VLOOKUP(H100&amp;I100,Table_Fonctions!A:G,7,FALSE),K100)</f>
        <v/>
      </c>
      <c r="M100" s="47" t="str">
        <f>=IF(OR(LEFT(D100, 3)="TJ ", LEFT(D100, 4)="CPH "), "OUI", "NON")</f>
        <v/>
      </c>
      <c r="N100" s="47" t="s">
        <v>634</v>
      </c>
      <c r="O100" s="47"/>
      <c r="P100" s="47">
        <v>0.2529</v>
      </c>
      <c r="Q100" s="47">
        <v>0</v>
      </c>
      <c r="R100" s="47">
        <v>0.2529</v>
      </c>
      <c r="S100" s="47">
        <f>=ROUND(BQ100-(BR100+BS100),3)</f>
      </c>
      <c r="T100" s="47">
        <f>=ROUND(CK100-(CL100+CM100+CN100+CO100+CP100),3)</f>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v>0</v>
      </c>
      <c r="DZ100" s="47"/>
      <c r="EA100" s="47">
        <v>0.2529</v>
      </c>
      <c r="ZZ100" t="s">
        <v>1062</v>
      </c>
    </row>
    <row r="101" spans="1:702" x14ac:dyDescent="0.25">
      <c r="A101" s="47" t="s">
        <v>635</v>
      </c>
      <c r="B101" s="47" t="s">
        <v>151</v>
      </c>
      <c r="C101" s="47" t="s">
        <v>155</v>
      </c>
      <c r="D101" s="47" t="s">
        <v>1168</v>
      </c>
      <c r="E101" s="47" t="s">
        <v>636</v>
      </c>
      <c r="F101" s="47" t="s">
        <v>637</v>
      </c>
      <c r="G101" s="47" t="s">
        <v>638</v>
      </c>
      <c r="H101" s="47" t="s">
        <v>357</v>
      </c>
      <c r="I101" s="47" t="s">
        <v>388</v>
      </c>
      <c r="J101" s="47" t="str">
        <f>=IFERROR(VLOOKUP(H101&amp;I101,Table_Fonctions!A:G,6,FALSE),"")</f>
        <v>0</v>
      </c>
      <c r="K101" s="47" t="s">
        <v>1110</v>
      </c>
      <c r="L101" s="47" t="str">
        <f>=IFERROR(VLOOKUP(H101&amp;I101,Table_Fonctions!A:G,7,FALSE),K101)</f>
        <v/>
      </c>
      <c r="M101" s="47" t="str">
        <f>=IF(OR(LEFT(D101, 3)="TJ ", LEFT(D101, 4)="CPH "), "OUI", "NON")</f>
        <v/>
      </c>
      <c r="N101" s="47" t="s">
        <v>208</v>
      </c>
      <c r="O101" s="47" t="s">
        <v>639</v>
      </c>
      <c r="P101" s="47">
        <v>1</v>
      </c>
      <c r="Q101" s="47">
        <v>1</v>
      </c>
      <c r="R101" s="47">
        <v>0</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1</v>
      </c>
      <c r="CZ101" s="47">
        <v>0</v>
      </c>
      <c r="DA101" s="47">
        <v>0</v>
      </c>
      <c r="DB101" s="47">
        <v>0</v>
      </c>
      <c r="DC101" s="47">
        <v>0</v>
      </c>
      <c r="DD101" s="47">
        <v>0</v>
      </c>
      <c r="DE101" s="47">
        <v>0</v>
      </c>
      <c r="DF101" s="47">
        <v>0</v>
      </c>
      <c r="DG101" s="47">
        <v>0</v>
      </c>
      <c r="DH101" s="47">
        <v>0</v>
      </c>
      <c r="DI101" s="47">
        <v>1</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v>0</v>
      </c>
      <c r="DZ101" s="47"/>
      <c r="EA101" s="47">
        <v>1</v>
      </c>
      <c r="ZZ101" t="s">
        <v>1062</v>
      </c>
    </row>
    <row r="102" spans="1:702" x14ac:dyDescent="0.25">
      <c r="A102" s="47" t="s">
        <v>640</v>
      </c>
      <c r="B102" s="47" t="s">
        <v>151</v>
      </c>
      <c r="C102" s="47" t="s">
        <v>155</v>
      </c>
      <c r="D102" s="47" t="s">
        <v>1169</v>
      </c>
      <c r="E102" s="47" t="s">
        <v>641</v>
      </c>
      <c r="F102" s="47" t="s">
        <v>642</v>
      </c>
      <c r="G102" s="47" t="s">
        <v>643</v>
      </c>
      <c r="H102" s="47" t="s">
        <v>357</v>
      </c>
      <c r="I102" s="47" t="s">
        <v>388</v>
      </c>
      <c r="J102" s="47" t="str">
        <f>=IFERROR(VLOOKUP(H102&amp;I102,Table_Fonctions!A:G,6,FALSE),"")</f>
        <v>0</v>
      </c>
      <c r="K102" s="47" t="s">
        <v>1110</v>
      </c>
      <c r="L102" s="47" t="str">
        <f>=IFERROR(VLOOKUP(H102&amp;I102,Table_Fonctions!A:G,7,FALSE),K102)</f>
        <v/>
      </c>
      <c r="M102" s="47" t="str">
        <f>=IF(OR(LEFT(D102, 3)="TJ ", LEFT(D102, 4)="CPH "), "OUI", "NON")</f>
        <v/>
      </c>
      <c r="N102" s="47" t="s">
        <v>644</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1</v>
      </c>
      <c r="CZ102" s="47">
        <v>0</v>
      </c>
      <c r="DA102" s="47">
        <v>0</v>
      </c>
      <c r="DB102" s="47">
        <v>0</v>
      </c>
      <c r="DC102" s="47">
        <v>0</v>
      </c>
      <c r="DD102" s="47">
        <v>0</v>
      </c>
      <c r="DE102" s="47">
        <v>0</v>
      </c>
      <c r="DF102" s="47">
        <v>0</v>
      </c>
      <c r="DG102" s="47">
        <v>1</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v>0</v>
      </c>
      <c r="DZ102" s="47"/>
      <c r="EA102" s="47">
        <v>1</v>
      </c>
      <c r="ZZ102" t="s">
        <v>1062</v>
      </c>
    </row>
    <row r="103" spans="1:702" x14ac:dyDescent="0.25">
      <c r="A103" s="47" t="s">
        <v>645</v>
      </c>
      <c r="B103" s="47" t="s">
        <v>151</v>
      </c>
      <c r="C103" s="47" t="s">
        <v>155</v>
      </c>
      <c r="D103" s="47" t="s">
        <v>1170</v>
      </c>
      <c r="E103" s="47" t="s">
        <v>646</v>
      </c>
      <c r="F103" s="47" t="s">
        <v>647</v>
      </c>
      <c r="G103" s="47" t="s">
        <v>648</v>
      </c>
      <c r="H103" s="47" t="s">
        <v>357</v>
      </c>
      <c r="I103" s="47" t="s">
        <v>358</v>
      </c>
      <c r="J103" s="47" t="str">
        <f>=IFERROR(VLOOKUP(H103&amp;I103,Table_Fonctions!A:G,6,FALSE),"")</f>
        <v>0</v>
      </c>
      <c r="K103" s="47" t="s">
        <v>1110</v>
      </c>
      <c r="L103" s="47" t="str">
        <f>=IFERROR(VLOOKUP(H103&amp;I103,Table_Fonctions!A:G,7,FALSE),K103)</f>
        <v/>
      </c>
      <c r="M103" s="47" t="str">
        <f>=IF(OR(LEFT(D103, 3)="TJ ", LEFT(D103, 4)="CPH "), "OUI", "NON")</f>
        <v/>
      </c>
      <c r="N103" s="47" t="s">
        <v>649</v>
      </c>
      <c r="O103" s="47"/>
      <c r="P103" s="47">
        <v>0.8</v>
      </c>
      <c r="Q103" s="47">
        <v>0</v>
      </c>
      <c r="R103" s="47">
        <v>0.8</v>
      </c>
      <c r="S103" s="47">
        <f>=ROUND(BQ103-(BR103+BS103),3)</f>
      </c>
      <c r="T103" s="47">
        <f>=ROUND(CK103-(CL103+CM103+CN103+CO103+CP103),3)</f>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v>0</v>
      </c>
      <c r="DZ103" s="47"/>
      <c r="EA103" s="47">
        <v>0.8</v>
      </c>
      <c r="ZZ103" t="s">
        <v>1062</v>
      </c>
    </row>
    <row r="104" spans="1:702" x14ac:dyDescent="0.25">
      <c r="A104" s="47" t="s">
        <v>650</v>
      </c>
      <c r="B104" s="47" t="s">
        <v>151</v>
      </c>
      <c r="C104" s="47" t="s">
        <v>155</v>
      </c>
      <c r="D104" s="47" t="s">
        <v>1171</v>
      </c>
      <c r="E104" s="47" t="s">
        <v>651</v>
      </c>
      <c r="F104" s="47" t="s">
        <v>652</v>
      </c>
      <c r="G104" s="47" t="s">
        <v>653</v>
      </c>
      <c r="H104" s="47" t="s">
        <v>357</v>
      </c>
      <c r="I104" s="47" t="s">
        <v>388</v>
      </c>
      <c r="J104" s="47" t="str">
        <f>=IFERROR(VLOOKUP(H104&amp;I104,Table_Fonctions!A:G,6,FALSE),"")</f>
        <v>0</v>
      </c>
      <c r="K104" s="47" t="s">
        <v>1110</v>
      </c>
      <c r="L104" s="47" t="str">
        <f>=IFERROR(VLOOKUP(H104&amp;I104,Table_Fonctions!A:G,7,FALSE),K104)</f>
        <v/>
      </c>
      <c r="M104" s="47" t="str">
        <f>=IF(OR(LEFT(D104, 3)="TJ ", LEFT(D104, 4)="CPH "), "OUI", "NON")</f>
        <v/>
      </c>
      <c r="N104" s="47" t="s">
        <v>417</v>
      </c>
      <c r="O104" s="47"/>
      <c r="P104" s="47">
        <v>1</v>
      </c>
      <c r="Q104" s="47">
        <v>0</v>
      </c>
      <c r="R104" s="47">
        <v>1</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v>
      </c>
      <c r="DV104" s="47">
        <v>0</v>
      </c>
      <c r="DW104" s="47">
        <v>0</v>
      </c>
      <c r="DX104" s="47">
        <v>0</v>
      </c>
      <c r="DY104" s="47">
        <v>0</v>
      </c>
      <c r="DZ104" s="47"/>
      <c r="EA104" s="47">
        <v>1</v>
      </c>
      <c r="ZZ104" t="s">
        <v>1062</v>
      </c>
    </row>
    <row r="105" spans="1:702" x14ac:dyDescent="0.25">
      <c r="A105" s="47" t="s">
        <v>654</v>
      </c>
      <c r="B105" s="47" t="s">
        <v>151</v>
      </c>
      <c r="C105" s="47" t="s">
        <v>155</v>
      </c>
      <c r="D105" s="47" t="s">
        <v>1172</v>
      </c>
      <c r="E105" s="47" t="s">
        <v>655</v>
      </c>
      <c r="F105" s="47" t="s">
        <v>656</v>
      </c>
      <c r="G105" s="47" t="s">
        <v>657</v>
      </c>
      <c r="H105" s="47" t="s">
        <v>357</v>
      </c>
      <c r="I105" s="47" t="s">
        <v>358</v>
      </c>
      <c r="J105" s="47" t="str">
        <f>=IFERROR(VLOOKUP(H105&amp;I105,Table_Fonctions!A:G,6,FALSE),"")</f>
        <v>0</v>
      </c>
      <c r="K105" s="47" t="s">
        <v>1110</v>
      </c>
      <c r="L105" s="47" t="str">
        <f>=IFERROR(VLOOKUP(H105&amp;I105,Table_Fonctions!A:G,7,FALSE),K105)</f>
        <v/>
      </c>
      <c r="M105" s="47" t="str">
        <f>=IF(OR(LEFT(D105, 3)="TJ ", LEFT(D105, 4)="CPH "), "OUI", "NON")</f>
        <v/>
      </c>
      <c r="N105" s="47" t="s">
        <v>658</v>
      </c>
      <c r="O105" s="47"/>
      <c r="P105" s="47">
        <v>1</v>
      </c>
      <c r="Q105" s="47">
        <v>0</v>
      </c>
      <c r="R105" s="47">
        <v>1</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c r="DS105" s="47">
        <v>0</v>
      </c>
      <c r="DT105" s="47">
        <v>0</v>
      </c>
      <c r="DU105" s="47">
        <v>0</v>
      </c>
      <c r="DV105" s="47">
        <v>0</v>
      </c>
      <c r="DW105" s="47">
        <v>0</v>
      </c>
      <c r="DX105" s="47">
        <v>0</v>
      </c>
      <c r="DY105" s="47">
        <v>0</v>
      </c>
      <c r="DZ105" s="47"/>
      <c r="EA105" s="47">
        <v>1</v>
      </c>
      <c r="ZZ105" t="s">
        <v>1062</v>
      </c>
    </row>
    <row r="106" spans="1:702" x14ac:dyDescent="0.25">
      <c r="A106" s="47" t="s">
        <v>659</v>
      </c>
      <c r="B106" s="47" t="s">
        <v>151</v>
      </c>
      <c r="C106" s="47" t="s">
        <v>155</v>
      </c>
      <c r="D106" s="47" t="s">
        <v>1173</v>
      </c>
      <c r="E106" s="47" t="s">
        <v>660</v>
      </c>
      <c r="F106" s="47" t="s">
        <v>661</v>
      </c>
      <c r="G106" s="47" t="s">
        <v>662</v>
      </c>
      <c r="H106" s="47" t="s">
        <v>357</v>
      </c>
      <c r="I106" s="47" t="s">
        <v>388</v>
      </c>
      <c r="J106" s="47" t="str">
        <f>=IFERROR(VLOOKUP(H106&amp;I106,Table_Fonctions!A:G,6,FALSE),"")</f>
        <v>0</v>
      </c>
      <c r="K106" s="47" t="s">
        <v>1110</v>
      </c>
      <c r="L106" s="47" t="str">
        <f>=IFERROR(VLOOKUP(H106&amp;I106,Table_Fonctions!A:G,7,FALSE),K106)</f>
        <v/>
      </c>
      <c r="M106" s="47" t="str">
        <f>=IF(OR(LEFT(D106, 3)="TJ ", LEFT(D106, 4)="CPH "), "OUI", "NON")</f>
        <v/>
      </c>
      <c r="N106" s="47" t="s">
        <v>663</v>
      </c>
      <c r="O106" s="47"/>
      <c r="P106" s="47">
        <v>1</v>
      </c>
      <c r="Q106" s="47">
        <v>0</v>
      </c>
      <c r="R106" s="47">
        <v>1</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v>
      </c>
      <c r="BN106" s="47">
        <v>0</v>
      </c>
      <c r="BO106" s="47">
        <v>0</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v>0</v>
      </c>
      <c r="DZ106" s="47"/>
      <c r="EA106" s="47">
        <v>1</v>
      </c>
      <c r="ZZ106" t="s">
        <v>1062</v>
      </c>
    </row>
    <row r="107" spans="1:702" x14ac:dyDescent="0.25">
      <c r="A107" s="47" t="s">
        <v>664</v>
      </c>
      <c r="B107" s="47" t="s">
        <v>151</v>
      </c>
      <c r="C107" s="47" t="s">
        <v>155</v>
      </c>
      <c r="D107" s="47" t="s">
        <v>1174</v>
      </c>
      <c r="E107" s="47" t="s">
        <v>665</v>
      </c>
      <c r="F107" s="47" t="s">
        <v>666</v>
      </c>
      <c r="G107" s="47" t="s">
        <v>667</v>
      </c>
      <c r="H107" s="47" t="s">
        <v>357</v>
      </c>
      <c r="I107" s="47" t="s">
        <v>398</v>
      </c>
      <c r="J107" s="47" t="str">
        <f>=IFERROR(VLOOKUP(H107&amp;I107,Table_Fonctions!A:G,6,FALSE),"")</f>
        <v>0</v>
      </c>
      <c r="K107" s="47" t="s">
        <v>1110</v>
      </c>
      <c r="L107" s="47" t="str">
        <f>=IFERROR(VLOOKUP(H107&amp;I107,Table_Fonctions!A:G,7,FALSE),K107)</f>
        <v/>
      </c>
      <c r="M107" s="47" t="str">
        <f>=IF(OR(LEFT(D107, 3)="TJ ", LEFT(D107, 4)="CPH "), "OUI", "NON")</f>
        <v/>
      </c>
      <c r="N107" s="47" t="s">
        <v>208</v>
      </c>
      <c r="O107" s="47"/>
      <c r="P107" s="47">
        <v>1</v>
      </c>
      <c r="Q107" s="47">
        <v>1</v>
      </c>
      <c r="R107" s="47">
        <v>0</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1</v>
      </c>
      <c r="CZ107" s="47">
        <v>1</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v>0</v>
      </c>
      <c r="DZ107" s="47"/>
      <c r="EA107" s="47">
        <v>1</v>
      </c>
      <c r="ZZ107" t="s">
        <v>1062</v>
      </c>
    </row>
    <row r="108" spans="1:702" x14ac:dyDescent="0.25">
      <c r="A108" s="47" t="s">
        <v>668</v>
      </c>
      <c r="B108" s="47" t="s">
        <v>151</v>
      </c>
      <c r="C108" s="47" t="s">
        <v>155</v>
      </c>
      <c r="D108" s="47" t="s">
        <v>1175</v>
      </c>
      <c r="E108" s="47" t="s">
        <v>669</v>
      </c>
      <c r="F108" s="47" t="s">
        <v>670</v>
      </c>
      <c r="G108" s="47" t="s">
        <v>671</v>
      </c>
      <c r="H108" s="47" t="s">
        <v>357</v>
      </c>
      <c r="I108" s="47" t="s">
        <v>1160</v>
      </c>
      <c r="J108" s="47" t="str">
        <f>=IFERROR(VLOOKUP(H108&amp;I108,Table_Fonctions!A:G,6,FALSE),"")</f>
        <v>0</v>
      </c>
      <c r="K108" s="47" t="s">
        <v>1161</v>
      </c>
      <c r="L108" s="47" t="str">
        <f>=IFERROR(VLOOKUP(H108&amp;I108,Table_Fonctions!A:G,7,FALSE),K108)</f>
        <v/>
      </c>
      <c r="M108" s="47" t="str">
        <f>=IF(OR(LEFT(D108, 3)="TJ ", LEFT(D108, 4)="CPH "), "OUI", "NON")</f>
        <v/>
      </c>
      <c r="N108" s="47" t="s">
        <v>672</v>
      </c>
      <c r="O108" s="47" t="s">
        <v>639</v>
      </c>
      <c r="P108" s="47">
        <v>0.1648</v>
      </c>
      <c r="Q108" s="47">
        <v>0.1648</v>
      </c>
      <c r="R108" s="47">
        <v>0</v>
      </c>
      <c r="S108" s="47">
        <f>=ROUND(BQ108-(BR108+BS108),3)</f>
      </c>
      <c r="T108" s="47">
        <f>=ROUND(CK108-(CL108+CM108+CN108+CO108+CP108),3)</f>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0.0824</v>
      </c>
      <c r="BN108" s="47">
        <v>0</v>
      </c>
      <c r="BO108" s="47">
        <v>0.033</v>
      </c>
      <c r="BP108" s="47">
        <v>0.0494</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0.0659</v>
      </c>
      <c r="CW108" s="47">
        <v>0.0659</v>
      </c>
      <c r="CX108" s="47">
        <v>0</v>
      </c>
      <c r="CY108" s="47">
        <v>0.0165</v>
      </c>
      <c r="CZ108" s="47">
        <v>0</v>
      </c>
      <c r="DA108" s="47">
        <v>0</v>
      </c>
      <c r="DB108" s="47">
        <v>0</v>
      </c>
      <c r="DC108" s="47">
        <v>0.0165</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v>
      </c>
      <c r="DV108" s="47">
        <v>0</v>
      </c>
      <c r="DW108" s="47">
        <v>0</v>
      </c>
      <c r="DX108" s="47">
        <v>0</v>
      </c>
      <c r="DY108" s="47">
        <v>0</v>
      </c>
      <c r="DZ108" s="47"/>
      <c r="EA108" s="47">
        <v>0.1648</v>
      </c>
      <c r="ZZ108" t="s">
        <v>1062</v>
      </c>
    </row>
    <row r="109" spans="1:702" x14ac:dyDescent="0.25">
      <c r="A109" s="47" t="s">
        <v>673</v>
      </c>
      <c r="B109" s="47" t="s">
        <v>151</v>
      </c>
      <c r="C109" s="47" t="s">
        <v>155</v>
      </c>
      <c r="D109" s="47" t="s">
        <v>1176</v>
      </c>
      <c r="E109" s="47" t="s">
        <v>674</v>
      </c>
      <c r="F109" s="47" t="s">
        <v>675</v>
      </c>
      <c r="G109" s="47" t="s">
        <v>676</v>
      </c>
      <c r="H109" s="47" t="s">
        <v>357</v>
      </c>
      <c r="I109" s="47" t="s">
        <v>358</v>
      </c>
      <c r="J109" s="47" t="str">
        <f>=IFERROR(VLOOKUP(H109&amp;I109,Table_Fonctions!A:G,6,FALSE),"")</f>
        <v>0</v>
      </c>
      <c r="K109" s="47" t="s">
        <v>1110</v>
      </c>
      <c r="L109" s="47" t="str">
        <f>=IFERROR(VLOOKUP(H109&amp;I109,Table_Fonctions!A:G,7,FALSE),K109)</f>
        <v/>
      </c>
      <c r="M109" s="47" t="str">
        <f>=IF(OR(LEFT(D109, 3)="TJ ", LEFT(D109, 4)="CPH "), "OUI", "NON")</f>
        <v/>
      </c>
      <c r="N109" s="47" t="s">
        <v>533</v>
      </c>
      <c r="O109" s="47"/>
      <c r="P109" s="47">
        <v>1</v>
      </c>
      <c r="Q109" s="47">
        <v>1</v>
      </c>
      <c r="R109" s="47">
        <v>0</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0</v>
      </c>
      <c r="AO109" s="47">
        <v>0</v>
      </c>
      <c r="AP109" s="47">
        <v>0</v>
      </c>
      <c r="AQ109" s="47">
        <v>0</v>
      </c>
      <c r="AR109" s="47">
        <v>0</v>
      </c>
      <c r="AS109" s="47">
        <v>1</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v>0</v>
      </c>
      <c r="DZ109" s="47"/>
      <c r="EA109" s="47">
        <v>1</v>
      </c>
      <c r="ZZ109" t="s">
        <v>1062</v>
      </c>
    </row>
    <row r="110" spans="1:702" x14ac:dyDescent="0.25">
      <c r="A110" s="47" t="s">
        <v>677</v>
      </c>
      <c r="B110" s="47" t="s">
        <v>151</v>
      </c>
      <c r="C110" s="47" t="s">
        <v>155</v>
      </c>
      <c r="D110" s="47" t="s">
        <v>1177</v>
      </c>
      <c r="E110" s="47" t="s">
        <v>678</v>
      </c>
      <c r="F110" s="47" t="s">
        <v>679</v>
      </c>
      <c r="G110" s="47" t="s">
        <v>680</v>
      </c>
      <c r="H110" s="47" t="s">
        <v>357</v>
      </c>
      <c r="I110" s="47" t="s">
        <v>358</v>
      </c>
      <c r="J110" s="47" t="str">
        <f>=IFERROR(VLOOKUP(H110&amp;I110,Table_Fonctions!A:G,6,FALSE),"")</f>
        <v>0</v>
      </c>
      <c r="K110" s="47" t="s">
        <v>1110</v>
      </c>
      <c r="L110" s="47" t="str">
        <f>=IFERROR(VLOOKUP(H110&amp;I110,Table_Fonctions!A:G,7,FALSE),K110)</f>
        <v/>
      </c>
      <c r="M110" s="47" t="str">
        <f>=IF(OR(LEFT(D110, 3)="TJ ", LEFT(D110, 4)="CPH "), "OUI", "NON")</f>
        <v/>
      </c>
      <c r="N110" s="47" t="s">
        <v>681</v>
      </c>
      <c r="O110" s="47"/>
      <c r="P110" s="47">
        <v>0.8989</v>
      </c>
      <c r="Q110" s="47">
        <v>0.8989</v>
      </c>
      <c r="R110" s="47">
        <v>0</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0.8989</v>
      </c>
      <c r="CZ110" s="47">
        <v>0</v>
      </c>
      <c r="DA110" s="47">
        <v>0</v>
      </c>
      <c r="DB110" s="47">
        <v>0</v>
      </c>
      <c r="DC110" s="47">
        <v>0</v>
      </c>
      <c r="DD110" s="47">
        <v>0</v>
      </c>
      <c r="DE110" s="47">
        <v>0</v>
      </c>
      <c r="DF110" s="47">
        <v>0</v>
      </c>
      <c r="DG110" s="47">
        <v>0</v>
      </c>
      <c r="DH110" s="47">
        <v>0</v>
      </c>
      <c r="DI110" s="47">
        <v>0</v>
      </c>
      <c r="DJ110" s="47">
        <v>0.8989</v>
      </c>
      <c r="DK110" s="47">
        <v>0</v>
      </c>
      <c r="DL110" s="47">
        <v>0</v>
      </c>
      <c r="DM110" s="47">
        <v>0</v>
      </c>
      <c r="DN110" s="47">
        <v>0</v>
      </c>
      <c r="DO110" s="47">
        <v>0</v>
      </c>
      <c r="DP110" s="47">
        <v>0</v>
      </c>
      <c r="DQ110" s="47">
        <v>0</v>
      </c>
      <c r="DR110" s="47">
        <v>0</v>
      </c>
      <c r="DS110" s="47">
        <v>0</v>
      </c>
      <c r="DT110" s="47">
        <v>0</v>
      </c>
      <c r="DU110" s="47">
        <v>0</v>
      </c>
      <c r="DV110" s="47">
        <v>0.4559</v>
      </c>
      <c r="DW110" s="47">
        <v>0</v>
      </c>
      <c r="DX110" s="47">
        <v>0</v>
      </c>
      <c r="DY110" s="47">
        <v>0.4559</v>
      </c>
      <c r="DZ110" s="47"/>
      <c r="EA110" s="47">
        <v>0.8989</v>
      </c>
      <c r="ZZ110" t="s">
        <v>1062</v>
      </c>
    </row>
    <row r="111" spans="1:702" x14ac:dyDescent="0.25">
      <c r="A111" s="47" t="s">
        <v>682</v>
      </c>
      <c r="B111" s="47" t="s">
        <v>151</v>
      </c>
      <c r="C111" s="47" t="s">
        <v>155</v>
      </c>
      <c r="D111" s="47" t="s">
        <v>1141</v>
      </c>
      <c r="E111" s="47" t="s">
        <v>683</v>
      </c>
      <c r="F111" s="47" t="s">
        <v>684</v>
      </c>
      <c r="G111" s="47" t="s">
        <v>685</v>
      </c>
      <c r="H111" s="47" t="s">
        <v>357</v>
      </c>
      <c r="I111" s="47" t="s">
        <v>388</v>
      </c>
      <c r="J111" s="47" t="str">
        <f>=IFERROR(VLOOKUP(H111&amp;I111,Table_Fonctions!A:G,6,FALSE),"")</f>
        <v>0</v>
      </c>
      <c r="K111" s="47" t="s">
        <v>1110</v>
      </c>
      <c r="L111" s="47" t="str">
        <f>=IFERROR(VLOOKUP(H111&amp;I111,Table_Fonctions!A:G,7,FALSE),K111)</f>
        <v/>
      </c>
      <c r="M111" s="47" t="str">
        <f>=IF(OR(LEFT(D111, 3)="TJ ", LEFT(D111, 4)="CPH "), "OUI", "NON")</f>
        <v/>
      </c>
      <c r="N111" s="47" t="s">
        <v>686</v>
      </c>
      <c r="O111" s="47"/>
      <c r="P111" s="47">
        <v>1</v>
      </c>
      <c r="Q111" s="47">
        <v>1</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1</v>
      </c>
      <c r="BR111" s="47">
        <v>0</v>
      </c>
      <c r="BS111" s="47">
        <v>1</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0</v>
      </c>
      <c r="CZ111" s="47">
        <v>0</v>
      </c>
      <c r="DA111" s="47">
        <v>0</v>
      </c>
      <c r="DB111" s="47">
        <v>0</v>
      </c>
      <c r="DC111" s="47">
        <v>0</v>
      </c>
      <c r="DD111" s="47">
        <v>0</v>
      </c>
      <c r="DE111" s="47">
        <v>0</v>
      </c>
      <c r="DF111" s="47">
        <v>0</v>
      </c>
      <c r="DG111" s="47">
        <v>0</v>
      </c>
      <c r="DH111" s="47">
        <v>0</v>
      </c>
      <c r="DI111" s="47">
        <v>0</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v>0</v>
      </c>
      <c r="DZ111" s="47"/>
      <c r="EA111" s="47">
        <v>1</v>
      </c>
      <c r="ZZ111" t="s">
        <v>1062</v>
      </c>
    </row>
    <row r="112" spans="1:702" x14ac:dyDescent="0.25">
      <c r="A112" s="47" t="s">
        <v>687</v>
      </c>
      <c r="B112" s="47" t="s">
        <v>151</v>
      </c>
      <c r="C112" s="47" t="s">
        <v>155</v>
      </c>
      <c r="D112" s="47" t="s">
        <v>1178</v>
      </c>
      <c r="E112" s="47" t="s">
        <v>688</v>
      </c>
      <c r="F112" s="47" t="s">
        <v>689</v>
      </c>
      <c r="G112" s="47" t="s">
        <v>690</v>
      </c>
      <c r="H112" s="47" t="s">
        <v>357</v>
      </c>
      <c r="I112" s="47" t="s">
        <v>691</v>
      </c>
      <c r="J112" s="47" t="str">
        <f>=IFERROR(VLOOKUP(H112&amp;I112,Table_Fonctions!A:G,6,FALSE),"")</f>
        <v>0</v>
      </c>
      <c r="K112" s="47" t="s">
        <v>1110</v>
      </c>
      <c r="L112" s="47" t="str">
        <f>=IFERROR(VLOOKUP(H112&amp;I112,Table_Fonctions!A:G,7,FALSE),K112)</f>
        <v/>
      </c>
      <c r="M112" s="47" t="str">
        <f>=IF(OR(LEFT(D112, 3)="TJ ", LEFT(D112, 4)="CPH "), "OUI", "NON")</f>
        <v/>
      </c>
      <c r="N112" s="47" t="s">
        <v>176</v>
      </c>
      <c r="O112" s="47"/>
      <c r="P112" s="47">
        <v>1</v>
      </c>
      <c r="Q112" s="47">
        <v>1</v>
      </c>
      <c r="R112" s="47">
        <v>0</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1</v>
      </c>
      <c r="CZ112" s="47">
        <v>0</v>
      </c>
      <c r="DA112" s="47">
        <v>0</v>
      </c>
      <c r="DB112" s="47">
        <v>0</v>
      </c>
      <c r="DC112" s="47">
        <v>1</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v>0</v>
      </c>
      <c r="DZ112" s="47"/>
      <c r="EA112" s="47">
        <v>1</v>
      </c>
      <c r="ZZ112" t="s">
        <v>1062</v>
      </c>
    </row>
    <row r="113" spans="1:702" x14ac:dyDescent="0.25">
      <c r="A113" s="47" t="s">
        <v>692</v>
      </c>
      <c r="B113" s="47" t="s">
        <v>151</v>
      </c>
      <c r="C113" s="47" t="s">
        <v>155</v>
      </c>
      <c r="D113" s="47" t="s">
        <v>1179</v>
      </c>
      <c r="E113" s="47" t="s">
        <v>693</v>
      </c>
      <c r="F113" s="47" t="s">
        <v>694</v>
      </c>
      <c r="G113" s="47" t="s">
        <v>695</v>
      </c>
      <c r="H113" s="47" t="s">
        <v>357</v>
      </c>
      <c r="I113" s="47" t="s">
        <v>388</v>
      </c>
      <c r="J113" s="47" t="str">
        <f>=IFERROR(VLOOKUP(H113&amp;I113,Table_Fonctions!A:G,6,FALSE),"")</f>
        <v>0</v>
      </c>
      <c r="K113" s="47" t="s">
        <v>1110</v>
      </c>
      <c r="L113" s="47" t="str">
        <f>=IFERROR(VLOOKUP(H113&amp;I113,Table_Fonctions!A:G,7,FALSE),K113)</f>
        <v/>
      </c>
      <c r="M113" s="47" t="str">
        <f>=IF(OR(LEFT(D113, 3)="TJ ", LEFT(D113, 4)="CPH "), "OUI", "NON")</f>
        <v/>
      </c>
      <c r="N113" s="47" t="s">
        <v>696</v>
      </c>
      <c r="O113" s="47"/>
      <c r="P113" s="47">
        <v>1</v>
      </c>
      <c r="Q113" s="47">
        <v>0</v>
      </c>
      <c r="R113" s="47">
        <v>1</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v>0</v>
      </c>
      <c r="DZ113" s="47"/>
      <c r="EA113" s="47">
        <v>1</v>
      </c>
      <c r="ZZ113" t="s">
        <v>1062</v>
      </c>
    </row>
    <row r="114" spans="1:702" x14ac:dyDescent="0.25">
      <c r="A114" s="47" t="s">
        <v>697</v>
      </c>
      <c r="B114" s="47" t="s">
        <v>151</v>
      </c>
      <c r="C114" s="47" t="s">
        <v>155</v>
      </c>
      <c r="D114" s="47" t="s">
        <v>1180</v>
      </c>
      <c r="E114" s="47" t="s">
        <v>698</v>
      </c>
      <c r="F114" s="47" t="s">
        <v>699</v>
      </c>
      <c r="G114" s="47" t="s">
        <v>700</v>
      </c>
      <c r="H114" s="47" t="s">
        <v>357</v>
      </c>
      <c r="I114" s="47" t="s">
        <v>358</v>
      </c>
      <c r="J114" s="47" t="str">
        <f>=IFERROR(VLOOKUP(H114&amp;I114,Table_Fonctions!A:G,6,FALSE),"")</f>
        <v>0</v>
      </c>
      <c r="K114" s="47" t="s">
        <v>1110</v>
      </c>
      <c r="L114" s="47" t="str">
        <f>=IFERROR(VLOOKUP(H114&amp;I114,Table_Fonctions!A:G,7,FALSE),K114)</f>
        <v/>
      </c>
      <c r="M114" s="47" t="str">
        <f>=IF(OR(LEFT(D114, 3)="TJ ", LEFT(D114, 4)="CPH "), "OUI", "NON")</f>
        <v/>
      </c>
      <c r="N114" s="47" t="s">
        <v>363</v>
      </c>
      <c r="O114" s="47"/>
      <c r="P114" s="47">
        <v>1</v>
      </c>
      <c r="Q114" s="47">
        <v>0</v>
      </c>
      <c r="R114" s="47">
        <v>1</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v>0</v>
      </c>
      <c r="DZ114" s="47"/>
      <c r="EA114" s="47">
        <v>1</v>
      </c>
      <c r="ZZ114" t="s">
        <v>1062</v>
      </c>
    </row>
    <row r="115" spans="1:702" x14ac:dyDescent="0.25">
      <c r="A115" s="47" t="s">
        <v>701</v>
      </c>
      <c r="B115" s="47" t="s">
        <v>151</v>
      </c>
      <c r="C115" s="47" t="s">
        <v>155</v>
      </c>
      <c r="D115" s="47" t="s">
        <v>1181</v>
      </c>
      <c r="E115" s="47" t="s">
        <v>702</v>
      </c>
      <c r="F115" s="47" t="s">
        <v>703</v>
      </c>
      <c r="G115" s="47" t="s">
        <v>704</v>
      </c>
      <c r="H115" s="47" t="s">
        <v>357</v>
      </c>
      <c r="I115" s="47" t="s">
        <v>358</v>
      </c>
      <c r="J115" s="47" t="str">
        <f>=IFERROR(VLOOKUP(H115&amp;I115,Table_Fonctions!A:G,6,FALSE),"")</f>
        <v>0</v>
      </c>
      <c r="K115" s="47" t="s">
        <v>1110</v>
      </c>
      <c r="L115" s="47" t="str">
        <f>=IFERROR(VLOOKUP(H115&amp;I115,Table_Fonctions!A:G,7,FALSE),K115)</f>
        <v/>
      </c>
      <c r="M115" s="47" t="str">
        <f>=IF(OR(LEFT(D115, 3)="TJ ", LEFT(D115, 4)="CPH "), "OUI", "NON")</f>
        <v/>
      </c>
      <c r="N115" s="47" t="s">
        <v>558</v>
      </c>
      <c r="O115" s="47"/>
      <c r="P115" s="47">
        <v>1</v>
      </c>
      <c r="Q115" s="47">
        <v>0</v>
      </c>
      <c r="R115" s="47">
        <v>1</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v>0</v>
      </c>
      <c r="DZ115" s="47"/>
      <c r="EA115" s="47">
        <v>1</v>
      </c>
      <c r="ZZ115" t="s">
        <v>1062</v>
      </c>
    </row>
    <row r="116" spans="1:702" x14ac:dyDescent="0.25">
      <c r="A116" s="47" t="s">
        <v>705</v>
      </c>
      <c r="B116" s="47" t="s">
        <v>151</v>
      </c>
      <c r="C116" s="47" t="s">
        <v>155</v>
      </c>
      <c r="D116" s="47" t="s">
        <v>1182</v>
      </c>
      <c r="E116" s="47" t="s">
        <v>706</v>
      </c>
      <c r="F116" s="47" t="s">
        <v>707</v>
      </c>
      <c r="G116" s="47" t="s">
        <v>708</v>
      </c>
      <c r="H116" s="47" t="s">
        <v>357</v>
      </c>
      <c r="I116" s="47" t="s">
        <v>398</v>
      </c>
      <c r="J116" s="47" t="str">
        <f>=IFERROR(VLOOKUP(H116&amp;I116,Table_Fonctions!A:G,6,FALSE),"")</f>
        <v>0</v>
      </c>
      <c r="K116" s="47" t="s">
        <v>1110</v>
      </c>
      <c r="L116" s="47" t="str">
        <f>=IFERROR(VLOOKUP(H116&amp;I116,Table_Fonctions!A:G,7,FALSE),K116)</f>
        <v/>
      </c>
      <c r="M116" s="47" t="str">
        <f>=IF(OR(LEFT(D116, 3)="TJ ", LEFT(D116, 4)="CPH "), "OUI", "NON")</f>
        <v/>
      </c>
      <c r="N116" s="47" t="s">
        <v>176</v>
      </c>
      <c r="O116" s="47"/>
      <c r="P116" s="47">
        <v>1</v>
      </c>
      <c r="Q116" s="47">
        <v>0</v>
      </c>
      <c r="R116" s="47">
        <v>1</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v>0</v>
      </c>
      <c r="DZ116" s="47"/>
      <c r="EA116" s="47">
        <v>1</v>
      </c>
      <c r="ZZ116" t="s">
        <v>1062</v>
      </c>
    </row>
    <row r="117" spans="1:702" x14ac:dyDescent="0.25">
      <c r="A117" s="47" t="s">
        <v>709</v>
      </c>
      <c r="B117" s="47" t="s">
        <v>151</v>
      </c>
      <c r="C117" s="47" t="s">
        <v>155</v>
      </c>
      <c r="D117" s="47" t="s">
        <v>1183</v>
      </c>
      <c r="E117" s="47" t="s">
        <v>710</v>
      </c>
      <c r="F117" s="47" t="s">
        <v>711</v>
      </c>
      <c r="G117" s="47" t="s">
        <v>712</v>
      </c>
      <c r="H117" s="47" t="s">
        <v>357</v>
      </c>
      <c r="I117" s="47" t="s">
        <v>358</v>
      </c>
      <c r="J117" s="47" t="str">
        <f>=IFERROR(VLOOKUP(H117&amp;I117,Table_Fonctions!A:G,6,FALSE),"")</f>
        <v>0</v>
      </c>
      <c r="K117" s="47" t="s">
        <v>1110</v>
      </c>
      <c r="L117" s="47" t="str">
        <f>=IFERROR(VLOOKUP(H117&amp;I117,Table_Fonctions!A:G,7,FALSE),K117)</f>
        <v/>
      </c>
      <c r="M117" s="47" t="str">
        <f>=IF(OR(LEFT(D117, 3)="TJ ", LEFT(D117, 4)="CPH "), "OUI", "NON")</f>
        <v/>
      </c>
      <c r="N117" s="47" t="s">
        <v>713</v>
      </c>
      <c r="O117" s="47"/>
      <c r="P117" s="47">
        <v>1</v>
      </c>
      <c r="Q117" s="47">
        <v>0</v>
      </c>
      <c r="R117" s="47">
        <v>1</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v>0</v>
      </c>
      <c r="DZ117" s="47"/>
      <c r="EA117" s="47">
        <v>1</v>
      </c>
      <c r="ZZ117" t="s">
        <v>1062</v>
      </c>
    </row>
    <row r="118" spans="1:702" x14ac:dyDescent="0.25">
      <c r="A118" s="47" t="s">
        <v>714</v>
      </c>
      <c r="B118" s="47" t="s">
        <v>151</v>
      </c>
      <c r="C118" s="47" t="s">
        <v>155</v>
      </c>
      <c r="D118" s="47" t="s">
        <v>1184</v>
      </c>
      <c r="E118" s="47" t="s">
        <v>715</v>
      </c>
      <c r="F118" s="47" t="s">
        <v>716</v>
      </c>
      <c r="G118" s="47" t="s">
        <v>717</v>
      </c>
      <c r="H118" s="47" t="s">
        <v>357</v>
      </c>
      <c r="I118" s="47" t="s">
        <v>358</v>
      </c>
      <c r="J118" s="47" t="str">
        <f>=IFERROR(VLOOKUP(H118&amp;I118,Table_Fonctions!A:G,6,FALSE),"")</f>
        <v>0</v>
      </c>
      <c r="K118" s="47" t="s">
        <v>1110</v>
      </c>
      <c r="L118" s="47" t="str">
        <f>=IFERROR(VLOOKUP(H118&amp;I118,Table_Fonctions!A:G,7,FALSE),K118)</f>
        <v/>
      </c>
      <c r="M118" s="47" t="str">
        <f>=IF(OR(LEFT(D118, 3)="TJ ", LEFT(D118, 4)="CPH "), "OUI", "NON")</f>
        <v/>
      </c>
      <c r="N118" s="47" t="s">
        <v>498</v>
      </c>
      <c r="O118" s="47"/>
      <c r="P118" s="47">
        <v>0.9</v>
      </c>
      <c r="Q118" s="47">
        <v>0.9</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0.9</v>
      </c>
      <c r="CR118" s="47">
        <v>0</v>
      </c>
      <c r="CS118" s="47">
        <v>0</v>
      </c>
      <c r="CT118" s="47">
        <v>0</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v>0</v>
      </c>
      <c r="DZ118" s="47"/>
      <c r="EA118" s="47">
        <v>0.9</v>
      </c>
      <c r="ZZ118" t="s">
        <v>1062</v>
      </c>
    </row>
    <row r="119" spans="1:702" x14ac:dyDescent="0.25">
      <c r="A119" s="47" t="s">
        <v>718</v>
      </c>
      <c r="B119" s="47" t="s">
        <v>151</v>
      </c>
      <c r="C119" s="47" t="s">
        <v>155</v>
      </c>
      <c r="D119" s="47" t="s">
        <v>1185</v>
      </c>
      <c r="E119" s="47" t="s">
        <v>719</v>
      </c>
      <c r="F119" s="47" t="s">
        <v>720</v>
      </c>
      <c r="G119" s="47" t="s">
        <v>721</v>
      </c>
      <c r="H119" s="47" t="s">
        <v>357</v>
      </c>
      <c r="I119" s="47" t="s">
        <v>563</v>
      </c>
      <c r="J119" s="47" t="str">
        <f>=IFERROR(VLOOKUP(H119&amp;I119,Table_Fonctions!A:G,6,FALSE),"")</f>
        <v>0</v>
      </c>
      <c r="K119" s="47" t="s">
        <v>1110</v>
      </c>
      <c r="L119" s="47" t="str">
        <f>=IFERROR(VLOOKUP(H119&amp;I119,Table_Fonctions!A:G,7,FALSE),K119)</f>
        <v/>
      </c>
      <c r="M119" s="47" t="str">
        <f>=IF(OR(LEFT(D119, 3)="TJ ", LEFT(D119, 4)="CPH "), "OUI", "NON")</f>
        <v/>
      </c>
      <c r="N119" s="47" t="s">
        <v>658</v>
      </c>
      <c r="O119" s="47"/>
      <c r="P119" s="47">
        <v>0.6674</v>
      </c>
      <c r="Q119" s="47">
        <v>0.6674</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0.6674</v>
      </c>
      <c r="AK119" s="47">
        <v>0.6674</v>
      </c>
      <c r="AL119" s="47">
        <v>0</v>
      </c>
      <c r="AM119" s="47">
        <v>0</v>
      </c>
      <c r="AN119" s="47">
        <v>0</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v>0</v>
      </c>
      <c r="DZ119" s="47"/>
      <c r="EA119" s="47">
        <v>0.6674</v>
      </c>
      <c r="ZZ119" t="s">
        <v>1062</v>
      </c>
    </row>
    <row r="120" spans="1:702" x14ac:dyDescent="0.25">
      <c r="A120" s="47" t="s">
        <v>722</v>
      </c>
      <c r="B120" s="47" t="s">
        <v>151</v>
      </c>
      <c r="C120" s="47" t="s">
        <v>155</v>
      </c>
      <c r="D120" s="47" t="s">
        <v>1186</v>
      </c>
      <c r="E120" s="47" t="s">
        <v>723</v>
      </c>
      <c r="F120" s="47" t="s">
        <v>724</v>
      </c>
      <c r="G120" s="47" t="s">
        <v>725</v>
      </c>
      <c r="H120" s="47" t="s">
        <v>357</v>
      </c>
      <c r="I120" s="47" t="s">
        <v>358</v>
      </c>
      <c r="J120" s="47" t="str">
        <f>=IFERROR(VLOOKUP(H120&amp;I120,Table_Fonctions!A:G,6,FALSE),"")</f>
        <v>0</v>
      </c>
      <c r="K120" s="47" t="s">
        <v>1110</v>
      </c>
      <c r="L120" s="47" t="str">
        <f>=IFERROR(VLOOKUP(H120&amp;I120,Table_Fonctions!A:G,7,FALSE),K120)</f>
        <v/>
      </c>
      <c r="M120" s="47" t="str">
        <f>=IF(OR(LEFT(D120, 3)="TJ ", LEFT(D120, 4)="CPH "), "OUI", "NON")</f>
        <v/>
      </c>
      <c r="N120" s="47" t="s">
        <v>432</v>
      </c>
      <c r="O120" s="47"/>
      <c r="P120" s="47">
        <v>0.8</v>
      </c>
      <c r="Q120" s="47">
        <v>0.8</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0.8</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v>
      </c>
      <c r="CZ120" s="47">
        <v>0</v>
      </c>
      <c r="DA120" s="47">
        <v>0</v>
      </c>
      <c r="DB120" s="47">
        <v>0</v>
      </c>
      <c r="DC120" s="47">
        <v>0</v>
      </c>
      <c r="DD120" s="47">
        <v>0</v>
      </c>
      <c r="DE120" s="47">
        <v>0</v>
      </c>
      <c r="DF120" s="47">
        <v>0</v>
      </c>
      <c r="DG120" s="47">
        <v>0</v>
      </c>
      <c r="DH120" s="47">
        <v>0</v>
      </c>
      <c r="DI120" s="47">
        <v>0</v>
      </c>
      <c r="DJ120" s="47">
        <v>0</v>
      </c>
      <c r="DK120" s="47">
        <v>0</v>
      </c>
      <c r="DL120" s="47">
        <v>0</v>
      </c>
      <c r="DM120" s="47">
        <v>0</v>
      </c>
      <c r="DN120" s="47">
        <v>0</v>
      </c>
      <c r="DO120" s="47">
        <v>0</v>
      </c>
      <c r="DP120" s="47">
        <v>0</v>
      </c>
      <c r="DQ120" s="47">
        <v>0</v>
      </c>
      <c r="DR120" s="47">
        <v>0</v>
      </c>
      <c r="DS120" s="47">
        <v>0</v>
      </c>
      <c r="DT120" s="47">
        <v>0</v>
      </c>
      <c r="DU120" s="47">
        <v>0</v>
      </c>
      <c r="DV120" s="47">
        <v>0</v>
      </c>
      <c r="DW120" s="47">
        <v>0</v>
      </c>
      <c r="DX120" s="47">
        <v>0</v>
      </c>
      <c r="DY120" s="47">
        <v>0</v>
      </c>
      <c r="DZ120" s="47"/>
      <c r="EA120" s="47">
        <v>0.8</v>
      </c>
      <c r="ZZ120" t="s">
        <v>1062</v>
      </c>
    </row>
    <row r="121" spans="1:702" x14ac:dyDescent="0.25">
      <c r="A121" s="47" t="s">
        <v>726</v>
      </c>
      <c r="B121" s="47" t="s">
        <v>151</v>
      </c>
      <c r="C121" s="47" t="s">
        <v>155</v>
      </c>
      <c r="D121" s="47" t="s">
        <v>1187</v>
      </c>
      <c r="E121" s="47" t="s">
        <v>727</v>
      </c>
      <c r="F121" s="47" t="s">
        <v>728</v>
      </c>
      <c r="G121" s="47" t="s">
        <v>729</v>
      </c>
      <c r="H121" s="47" t="s">
        <v>357</v>
      </c>
      <c r="I121" s="47" t="s">
        <v>388</v>
      </c>
      <c r="J121" s="47" t="str">
        <f>=IFERROR(VLOOKUP(H121&amp;I121,Table_Fonctions!A:G,6,FALSE),"")</f>
        <v>0</v>
      </c>
      <c r="K121" s="47" t="s">
        <v>1110</v>
      </c>
      <c r="L121" s="47" t="str">
        <f>=IFERROR(VLOOKUP(H121&amp;I121,Table_Fonctions!A:G,7,FALSE),K121)</f>
        <v/>
      </c>
      <c r="M121" s="47" t="str">
        <f>=IF(OR(LEFT(D121, 3)="TJ ", LEFT(D121, 4)="CPH "), "OUI", "NON")</f>
        <v/>
      </c>
      <c r="N121" s="47" t="s">
        <v>730</v>
      </c>
      <c r="O121" s="47"/>
      <c r="P121" s="47">
        <v>1</v>
      </c>
      <c r="Q121" s="47">
        <v>1</v>
      </c>
      <c r="R121" s="47">
        <v>0</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1</v>
      </c>
      <c r="CZ121" s="47">
        <v>1</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1</v>
      </c>
      <c r="DV121" s="47">
        <v>0</v>
      </c>
      <c r="DW121" s="47">
        <v>0</v>
      </c>
      <c r="DX121" s="47">
        <v>0</v>
      </c>
      <c r="DY121" s="47">
        <v>1</v>
      </c>
      <c r="DZ121" s="47"/>
      <c r="EA121" s="47">
        <v>1</v>
      </c>
      <c r="ZZ121" t="s">
        <v>1062</v>
      </c>
    </row>
    <row r="122" spans="1:702" x14ac:dyDescent="0.25">
      <c r="A122" s="47" t="s">
        <v>731</v>
      </c>
      <c r="B122" s="47" t="s">
        <v>151</v>
      </c>
      <c r="C122" s="47" t="s">
        <v>155</v>
      </c>
      <c r="D122" s="47" t="s">
        <v>1188</v>
      </c>
      <c r="E122" s="47" t="s">
        <v>732</v>
      </c>
      <c r="F122" s="47" t="s">
        <v>733</v>
      </c>
      <c r="G122" s="47" t="s">
        <v>734</v>
      </c>
      <c r="H122" s="47" t="s">
        <v>357</v>
      </c>
      <c r="I122" s="47" t="s">
        <v>358</v>
      </c>
      <c r="J122" s="47" t="str">
        <f>=IFERROR(VLOOKUP(H122&amp;I122,Table_Fonctions!A:G,6,FALSE),"")</f>
        <v>0</v>
      </c>
      <c r="K122" s="47" t="s">
        <v>1110</v>
      </c>
      <c r="L122" s="47" t="str">
        <f>=IFERROR(VLOOKUP(H122&amp;I122,Table_Fonctions!A:G,7,FALSE),K122)</f>
        <v/>
      </c>
      <c r="M122" s="47" t="str">
        <f>=IF(OR(LEFT(D122, 3)="TJ ", LEFT(D122, 4)="CPH "), "OUI", "NON")</f>
        <v/>
      </c>
      <c r="N122" s="47" t="s">
        <v>363</v>
      </c>
      <c r="O122" s="47"/>
      <c r="P122" s="47">
        <v>1</v>
      </c>
      <c r="Q122" s="47">
        <v>0</v>
      </c>
      <c r="R122" s="47">
        <v>1</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v>0</v>
      </c>
      <c r="DZ122" s="47"/>
      <c r="EA122" s="47">
        <v>1</v>
      </c>
      <c r="ZZ122" t="s">
        <v>1062</v>
      </c>
    </row>
    <row r="123" spans="1:702" x14ac:dyDescent="0.25">
      <c r="A123" s="47" t="s">
        <v>735</v>
      </c>
      <c r="B123" s="47" t="s">
        <v>151</v>
      </c>
      <c r="C123" s="47" t="s">
        <v>155</v>
      </c>
      <c r="D123" s="47" t="s">
        <v>1189</v>
      </c>
      <c r="E123" s="47" t="s">
        <v>736</v>
      </c>
      <c r="F123" s="47" t="s">
        <v>737</v>
      </c>
      <c r="G123" s="47" t="s">
        <v>738</v>
      </c>
      <c r="H123" s="47" t="s">
        <v>357</v>
      </c>
      <c r="I123" s="47" t="s">
        <v>358</v>
      </c>
      <c r="J123" s="47" t="str">
        <f>=IFERROR(VLOOKUP(H123&amp;I123,Table_Fonctions!A:G,6,FALSE),"")</f>
        <v>0</v>
      </c>
      <c r="K123" s="47" t="s">
        <v>1110</v>
      </c>
      <c r="L123" s="47" t="str">
        <f>=IFERROR(VLOOKUP(H123&amp;I123,Table_Fonctions!A:G,7,FALSE),K123)</f>
        <v/>
      </c>
      <c r="M123" s="47" t="str">
        <f>=IF(OR(LEFT(D123, 3)="TJ ", LEFT(D123, 4)="CPH "), "OUI", "NON")</f>
        <v/>
      </c>
      <c r="N123" s="47" t="s">
        <v>208</v>
      </c>
      <c r="O123" s="47"/>
      <c r="P123" s="47">
        <v>0.8</v>
      </c>
      <c r="Q123" s="47">
        <v>0.0832</v>
      </c>
      <c r="R123" s="47">
        <v>0.7168</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0.0832</v>
      </c>
      <c r="CZ123" s="47">
        <v>0</v>
      </c>
      <c r="DA123" s="47">
        <v>0.0032</v>
      </c>
      <c r="DB123" s="47">
        <v>0</v>
      </c>
      <c r="DC123" s="47">
        <v>0</v>
      </c>
      <c r="DD123" s="47">
        <v>0</v>
      </c>
      <c r="DE123" s="47">
        <v>0.08</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v>0</v>
      </c>
      <c r="DZ123" s="47"/>
      <c r="EA123" s="47">
        <v>0.8</v>
      </c>
      <c r="ZZ123" t="s">
        <v>1062</v>
      </c>
    </row>
    <row r="124" spans="1:702" x14ac:dyDescent="0.25">
      <c r="A124" s="47" t="s">
        <v>739</v>
      </c>
      <c r="B124" s="47" t="s">
        <v>151</v>
      </c>
      <c r="C124" s="47" t="s">
        <v>155</v>
      </c>
      <c r="D124" s="47" t="s">
        <v>1190</v>
      </c>
      <c r="E124" s="47" t="s">
        <v>740</v>
      </c>
      <c r="F124" s="47" t="s">
        <v>741</v>
      </c>
      <c r="G124" s="47" t="s">
        <v>742</v>
      </c>
      <c r="H124" s="47" t="s">
        <v>357</v>
      </c>
      <c r="I124" s="47" t="s">
        <v>358</v>
      </c>
      <c r="J124" s="47" t="str">
        <f>=IFERROR(VLOOKUP(H124&amp;I124,Table_Fonctions!A:G,6,FALSE),"")</f>
        <v>0</v>
      </c>
      <c r="K124" s="47" t="s">
        <v>1110</v>
      </c>
      <c r="L124" s="47" t="str">
        <f>=IFERROR(VLOOKUP(H124&amp;I124,Table_Fonctions!A:G,7,FALSE),K124)</f>
        <v/>
      </c>
      <c r="M124" s="47" t="str">
        <f>=IF(OR(LEFT(D124, 3)="TJ ", LEFT(D124, 4)="CPH "), "OUI", "NON")</f>
        <v/>
      </c>
      <c r="N124" s="47" t="s">
        <v>743</v>
      </c>
      <c r="O124" s="47"/>
      <c r="P124" s="47">
        <v>1</v>
      </c>
      <c r="Q124" s="47">
        <v>0</v>
      </c>
      <c r="R124" s="47">
        <v>1</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v>0</v>
      </c>
      <c r="DZ124" s="47"/>
      <c r="EA124" s="47">
        <v>1</v>
      </c>
      <c r="ZZ124" t="s">
        <v>1062</v>
      </c>
    </row>
    <row r="125" spans="1:702" x14ac:dyDescent="0.25">
      <c r="A125" s="47" t="s">
        <v>744</v>
      </c>
      <c r="B125" s="47" t="s">
        <v>151</v>
      </c>
      <c r="C125" s="47" t="s">
        <v>155</v>
      </c>
      <c r="D125" s="47" t="s">
        <v>1191</v>
      </c>
      <c r="E125" s="47" t="s">
        <v>745</v>
      </c>
      <c r="F125" s="47" t="s">
        <v>746</v>
      </c>
      <c r="G125" s="47" t="s">
        <v>747</v>
      </c>
      <c r="H125" s="47" t="s">
        <v>357</v>
      </c>
      <c r="I125" s="47" t="s">
        <v>358</v>
      </c>
      <c r="J125" s="47" t="str">
        <f>=IFERROR(VLOOKUP(H125&amp;I125,Table_Fonctions!A:G,6,FALSE),"")</f>
        <v>0</v>
      </c>
      <c r="K125" s="47" t="s">
        <v>1110</v>
      </c>
      <c r="L125" s="47" t="str">
        <f>=IFERROR(VLOOKUP(H125&amp;I125,Table_Fonctions!A:G,7,FALSE),K125)</f>
        <v/>
      </c>
      <c r="M125" s="47" t="str">
        <f>=IF(OR(LEFT(D125, 3)="TJ ", LEFT(D125, 4)="CPH "), "OUI", "NON")</f>
        <v/>
      </c>
      <c r="N125" s="47" t="s">
        <v>578</v>
      </c>
      <c r="O125" s="47"/>
      <c r="P125" s="47">
        <v>1</v>
      </c>
      <c r="Q125" s="47">
        <v>1</v>
      </c>
      <c r="R125" s="47">
        <v>0</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0.5966</v>
      </c>
      <c r="AK125" s="47">
        <v>0</v>
      </c>
      <c r="AL125" s="47">
        <v>0.1657</v>
      </c>
      <c r="AM125" s="47">
        <v>0</v>
      </c>
      <c r="AN125" s="47">
        <v>0</v>
      </c>
      <c r="AO125" s="47">
        <v>0</v>
      </c>
      <c r="AP125" s="47">
        <v>0.0994</v>
      </c>
      <c r="AQ125" s="47">
        <v>0</v>
      </c>
      <c r="AR125" s="47">
        <v>0.3314</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0.3034</v>
      </c>
      <c r="CR125" s="47">
        <v>0</v>
      </c>
      <c r="CS125" s="47">
        <v>0</v>
      </c>
      <c r="CT125" s="47">
        <v>0</v>
      </c>
      <c r="CU125" s="47">
        <v>0</v>
      </c>
      <c r="CV125" s="47">
        <v>0</v>
      </c>
      <c r="CW125" s="47">
        <v>0</v>
      </c>
      <c r="CX125" s="47">
        <v>0</v>
      </c>
      <c r="CY125" s="47">
        <v>0.1</v>
      </c>
      <c r="CZ125" s="47">
        <v>0.1</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v>0</v>
      </c>
      <c r="DZ125" s="47"/>
      <c r="EA125" s="47">
        <v>1</v>
      </c>
      <c r="ZZ125" t="s">
        <v>1062</v>
      </c>
    </row>
    <row r="126" spans="1:702" x14ac:dyDescent="0.25">
      <c r="A126" s="47" t="s">
        <v>748</v>
      </c>
      <c r="B126" s="47" t="s">
        <v>151</v>
      </c>
      <c r="C126" s="47" t="s">
        <v>155</v>
      </c>
      <c r="D126" s="47" t="s">
        <v>1104</v>
      </c>
      <c r="E126" s="47" t="s">
        <v>749</v>
      </c>
      <c r="F126" s="47" t="s">
        <v>750</v>
      </c>
      <c r="G126" s="47" t="s">
        <v>751</v>
      </c>
      <c r="H126" s="47" t="s">
        <v>357</v>
      </c>
      <c r="I126" s="47" t="s">
        <v>358</v>
      </c>
      <c r="J126" s="47" t="str">
        <f>=IFERROR(VLOOKUP(H126&amp;I126,Table_Fonctions!A:G,6,FALSE),"")</f>
        <v>0</v>
      </c>
      <c r="K126" s="47" t="s">
        <v>1110</v>
      </c>
      <c r="L126" s="47" t="str">
        <f>=IFERROR(VLOOKUP(H126&amp;I126,Table_Fonctions!A:G,7,FALSE),K126)</f>
        <v/>
      </c>
      <c r="M126" s="47" t="str">
        <f>=IF(OR(LEFT(D126, 3)="TJ ", LEFT(D126, 4)="CPH "), "OUI", "NON")</f>
        <v/>
      </c>
      <c r="N126" s="47" t="s">
        <v>752</v>
      </c>
      <c r="O126" s="47"/>
      <c r="P126" s="47">
        <v>0.1686</v>
      </c>
      <c r="Q126" s="47">
        <v>0.1686</v>
      </c>
      <c r="R126" s="47">
        <v>0</v>
      </c>
      <c r="S126" s="47">
        <f>=ROUND(BQ126-(BR126+BS126),3)</f>
      </c>
      <c r="T126" s="47">
        <f>=ROUND(CK126-(CL126+CM126+CN126+CO126+CP126),3)</f>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0.1686</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v>0</v>
      </c>
      <c r="DZ126" s="47"/>
      <c r="EA126" s="47">
        <v>0.1686</v>
      </c>
      <c r="ZZ126" t="s">
        <v>1062</v>
      </c>
    </row>
    <row r="127" spans="1:702" x14ac:dyDescent="0.25">
      <c r="A127" s="47" t="s">
        <v>753</v>
      </c>
      <c r="B127" s="47" t="s">
        <v>151</v>
      </c>
      <c r="C127" s="47" t="s">
        <v>155</v>
      </c>
      <c r="D127" s="47" t="s">
        <v>1192</v>
      </c>
      <c r="E127" s="47" t="s">
        <v>754</v>
      </c>
      <c r="F127" s="47" t="s">
        <v>755</v>
      </c>
      <c r="G127" s="47" t="s">
        <v>756</v>
      </c>
      <c r="H127" s="47" t="s">
        <v>357</v>
      </c>
      <c r="I127" s="47" t="s">
        <v>1193</v>
      </c>
      <c r="J127" s="47" t="str">
        <f>=IFERROR(VLOOKUP(H127&amp;I127,Table_Fonctions!A:G,6,FALSE),"")</f>
        <v>0</v>
      </c>
      <c r="K127" s="47" t="s">
        <v>1161</v>
      </c>
      <c r="L127" s="47" t="str">
        <f>=IFERROR(VLOOKUP(H127&amp;I127,Table_Fonctions!A:G,7,FALSE),K127)</f>
        <v/>
      </c>
      <c r="M127" s="47" t="str">
        <f>=IF(OR(LEFT(D127, 3)="TJ ", LEFT(D127, 4)="CPH "), "OUI", "NON")</f>
        <v/>
      </c>
      <c r="N127" s="47" t="s">
        <v>758</v>
      </c>
      <c r="O127" s="47" t="s">
        <v>759</v>
      </c>
      <c r="P127" s="47">
        <v>0.1648</v>
      </c>
      <c r="Q127" s="47">
        <v>0.1648</v>
      </c>
      <c r="R127" s="47">
        <v>0</v>
      </c>
      <c r="S127" s="47">
        <f>=ROUND(BQ127-(BR127+BS127),3)</f>
      </c>
      <c r="T127" s="47">
        <f>=ROUND(CK127-(CL127+CM127+CN127+CO127+CP127),3)</f>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0.1071</v>
      </c>
      <c r="AK127" s="47">
        <v>0</v>
      </c>
      <c r="AL127" s="47">
        <v>0.1071</v>
      </c>
      <c r="AM127" s="47">
        <v>0</v>
      </c>
      <c r="AN127" s="47">
        <v>0</v>
      </c>
      <c r="AO127" s="47">
        <v>0</v>
      </c>
      <c r="AP127" s="47">
        <v>0</v>
      </c>
      <c r="AQ127" s="47">
        <v>0</v>
      </c>
      <c r="AR127" s="47">
        <v>0</v>
      </c>
      <c r="AS127" s="47">
        <v>0.0577</v>
      </c>
      <c r="AT127" s="47">
        <v>0.0577</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v>0</v>
      </c>
      <c r="DZ127" s="47"/>
      <c r="EA127" s="47">
        <v>0.1648</v>
      </c>
      <c r="ZZ127" t="s">
        <v>1062</v>
      </c>
    </row>
    <row r="128" spans="1:702" x14ac:dyDescent="0.25">
      <c r="A128" s="47" t="s">
        <v>760</v>
      </c>
      <c r="B128" s="47" t="s">
        <v>151</v>
      </c>
      <c r="C128" s="47" t="s">
        <v>155</v>
      </c>
      <c r="D128" s="47" t="s">
        <v>1194</v>
      </c>
      <c r="E128" s="47" t="s">
        <v>761</v>
      </c>
      <c r="F128" s="47" t="s">
        <v>762</v>
      </c>
      <c r="G128" s="47" t="s">
        <v>763</v>
      </c>
      <c r="H128" s="47" t="s">
        <v>357</v>
      </c>
      <c r="I128" s="47" t="s">
        <v>764</v>
      </c>
      <c r="J128" s="47" t="str">
        <f>=IFERROR(VLOOKUP(H128&amp;I128,Table_Fonctions!A:G,6,FALSE),"")</f>
        <v>0</v>
      </c>
      <c r="K128" s="47" t="s">
        <v>1110</v>
      </c>
      <c r="L128" s="47" t="str">
        <f>=IFERROR(VLOOKUP(H128&amp;I128,Table_Fonctions!A:G,7,FALSE),K128)</f>
        <v/>
      </c>
      <c r="M128" s="47" t="str">
        <f>=IF(OR(LEFT(D128, 3)="TJ ", LEFT(D128, 4)="CPH "), "OUI", "NON")</f>
        <v/>
      </c>
      <c r="N128" s="47" t="s">
        <v>765</v>
      </c>
      <c r="O128" s="47"/>
      <c r="P128" s="47">
        <v>1</v>
      </c>
      <c r="Q128" s="47">
        <v>1</v>
      </c>
      <c r="R128" s="47">
        <v>0</v>
      </c>
      <c r="S128" s="47">
        <f>=ROUND(BQ128-(BR128+BS128),3)</f>
      </c>
      <c r="T128" s="47">
        <f>=ROUND(CK128-(CL128+CM128+CN128+CO128+CP128),3)</f>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v>
      </c>
      <c r="CU128" s="47">
        <v>0</v>
      </c>
      <c r="CV128" s="47">
        <v>0</v>
      </c>
      <c r="CW128" s="47">
        <v>0</v>
      </c>
      <c r="CX128" s="47">
        <v>0</v>
      </c>
      <c r="CY128" s="47">
        <v>1</v>
      </c>
      <c r="CZ128" s="47">
        <v>0.9847</v>
      </c>
      <c r="DA128" s="47">
        <v>0.0153</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0.0115</v>
      </c>
      <c r="DV128" s="47">
        <v>0</v>
      </c>
      <c r="DW128" s="47">
        <v>0</v>
      </c>
      <c r="DX128" s="47">
        <v>0</v>
      </c>
      <c r="DY128" s="47">
        <v>0.0115</v>
      </c>
      <c r="DZ128" s="47"/>
      <c r="EA128" s="47">
        <v>1</v>
      </c>
      <c r="ZZ128" t="s">
        <v>1062</v>
      </c>
    </row>
    <row r="129" spans="1:702" x14ac:dyDescent="0.25">
      <c r="A129" s="47" t="s">
        <v>766</v>
      </c>
      <c r="B129" s="47" t="s">
        <v>151</v>
      </c>
      <c r="C129" s="47" t="s">
        <v>155</v>
      </c>
      <c r="D129" s="47" t="s">
        <v>1195</v>
      </c>
      <c r="E129" s="47" t="s">
        <v>767</v>
      </c>
      <c r="F129" s="47" t="s">
        <v>768</v>
      </c>
      <c r="G129" s="47" t="s">
        <v>769</v>
      </c>
      <c r="H129" s="47" t="s">
        <v>357</v>
      </c>
      <c r="I129" s="47" t="s">
        <v>398</v>
      </c>
      <c r="J129" s="47" t="str">
        <f>=IFERROR(VLOOKUP(H129&amp;I129,Table_Fonctions!A:G,6,FALSE),"")</f>
        <v>0</v>
      </c>
      <c r="K129" s="47" t="s">
        <v>1110</v>
      </c>
      <c r="L129" s="47" t="str">
        <f>=IFERROR(VLOOKUP(H129&amp;I129,Table_Fonctions!A:G,7,FALSE),K129)</f>
        <v/>
      </c>
      <c r="M129" s="47" t="str">
        <f>=IF(OR(LEFT(D129, 3)="TJ ", LEFT(D129, 4)="CPH "), "OUI", "NON")</f>
        <v/>
      </c>
      <c r="N129" s="47" t="s">
        <v>770</v>
      </c>
      <c r="O129" s="47"/>
      <c r="P129" s="47">
        <v>1</v>
      </c>
      <c r="Q129" s="47">
        <v>1</v>
      </c>
      <c r="R129" s="47">
        <v>0</v>
      </c>
      <c r="S129" s="47">
        <f>=ROUND(BQ129-(BR129+BS129),3)</f>
      </c>
      <c r="T129" s="47">
        <f>=ROUND(CK129-(CL129+CM129+CN129+CO129+CP129),3)</f>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1</v>
      </c>
      <c r="CZ129" s="47">
        <v>1</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v>0</v>
      </c>
      <c r="DZ129" s="47"/>
      <c r="EA129" s="47">
        <v>1</v>
      </c>
      <c r="ZZ129" t="s">
        <v>1062</v>
      </c>
    </row>
    <row r="130" spans="1:702" x14ac:dyDescent="0.25">
      <c r="A130" s="47" t="s">
        <v>771</v>
      </c>
      <c r="B130" s="47" t="s">
        <v>151</v>
      </c>
      <c r="C130" s="47" t="s">
        <v>155</v>
      </c>
      <c r="D130" s="47" t="s">
        <v>1196</v>
      </c>
      <c r="E130" s="47" t="s">
        <v>772</v>
      </c>
      <c r="F130" s="47" t="s">
        <v>773</v>
      </c>
      <c r="G130" s="47" t="s">
        <v>774</v>
      </c>
      <c r="H130" s="47" t="s">
        <v>357</v>
      </c>
      <c r="I130" s="47" t="s">
        <v>388</v>
      </c>
      <c r="J130" s="47" t="str">
        <f>=IFERROR(VLOOKUP(H130&amp;I130,Table_Fonctions!A:G,6,FALSE),"")</f>
        <v>0</v>
      </c>
      <c r="K130" s="47" t="s">
        <v>1110</v>
      </c>
      <c r="L130" s="47" t="str">
        <f>=IFERROR(VLOOKUP(H130&amp;I130,Table_Fonctions!A:G,7,FALSE),K130)</f>
        <v/>
      </c>
      <c r="M130" s="47" t="str">
        <f>=IF(OR(LEFT(D130, 3)="TJ ", LEFT(D130, 4)="CPH "), "OUI", "NON")</f>
        <v/>
      </c>
      <c r="N130" s="47" t="s">
        <v>775</v>
      </c>
      <c r="O130" s="47"/>
      <c r="P130" s="47">
        <v>1</v>
      </c>
      <c r="Q130" s="47">
        <v>0</v>
      </c>
      <c r="R130" s="47">
        <v>1</v>
      </c>
      <c r="S130" s="47">
        <f>=ROUND(BQ130-(BR130+BS130),3)</f>
      </c>
      <c r="T130" s="47">
        <f>=ROUND(CK130-(CL130+CM130+CN130+CO130+CP130),3)</f>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v>0</v>
      </c>
      <c r="DZ130" s="47"/>
      <c r="EA130" s="47">
        <v>1</v>
      </c>
      <c r="ZZ130" t="s">
        <v>1062</v>
      </c>
    </row>
    <row r="131" spans="1:702" x14ac:dyDescent="0.25">
      <c r="A131" s="47" t="s">
        <v>776</v>
      </c>
      <c r="B131" s="47" t="s">
        <v>151</v>
      </c>
      <c r="C131" s="47" t="s">
        <v>155</v>
      </c>
      <c r="D131" s="47" t="s">
        <v>1197</v>
      </c>
      <c r="E131" s="47" t="s">
        <v>777</v>
      </c>
      <c r="F131" s="47" t="s">
        <v>778</v>
      </c>
      <c r="G131" s="47" t="s">
        <v>779</v>
      </c>
      <c r="H131" s="47" t="s">
        <v>357</v>
      </c>
      <c r="I131" s="47" t="s">
        <v>358</v>
      </c>
      <c r="J131" s="47" t="str">
        <f>=IFERROR(VLOOKUP(H131&amp;I131,Table_Fonctions!A:G,6,FALSE),"")</f>
        <v>0</v>
      </c>
      <c r="K131" s="47" t="s">
        <v>1110</v>
      </c>
      <c r="L131" s="47" t="str">
        <f>=IFERROR(VLOOKUP(H131&amp;I131,Table_Fonctions!A:G,7,FALSE),K131)</f>
        <v/>
      </c>
      <c r="M131" s="47" t="str">
        <f>=IF(OR(LEFT(D131, 3)="TJ ", LEFT(D131, 4)="CPH "), "OUI", "NON")</f>
        <v/>
      </c>
      <c r="N131" s="47" t="s">
        <v>780</v>
      </c>
      <c r="O131" s="47"/>
      <c r="P131" s="47">
        <v>1</v>
      </c>
      <c r="Q131" s="47">
        <v>0</v>
      </c>
      <c r="R131" s="47">
        <v>1</v>
      </c>
      <c r="S131" s="47">
        <f>=ROUND(BQ131-(BR131+BS131),3)</f>
      </c>
      <c r="T131" s="47">
        <f>=ROUND(CK131-(CL131+CM131+CN131+CO131+CP131),3)</f>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0</v>
      </c>
      <c r="DV131" s="47">
        <v>0</v>
      </c>
      <c r="DW131" s="47">
        <v>0</v>
      </c>
      <c r="DX131" s="47">
        <v>0</v>
      </c>
      <c r="DY131" s="47">
        <v>0</v>
      </c>
      <c r="DZ131" s="47"/>
      <c r="EA131" s="47">
        <v>1</v>
      </c>
      <c r="ZZ131" t="s">
        <v>1062</v>
      </c>
    </row>
    <row r="132" spans="1:702" x14ac:dyDescent="0.25">
      <c r="A132" s="47" t="s">
        <v>781</v>
      </c>
      <c r="B132" s="47" t="s">
        <v>151</v>
      </c>
      <c r="C132" s="47" t="s">
        <v>155</v>
      </c>
      <c r="D132" s="47" t="s">
        <v>1198</v>
      </c>
      <c r="E132" s="47" t="s">
        <v>782</v>
      </c>
      <c r="F132" s="47" t="s">
        <v>783</v>
      </c>
      <c r="G132" s="47" t="s">
        <v>784</v>
      </c>
      <c r="H132" s="47" t="s">
        <v>357</v>
      </c>
      <c r="I132" s="47" t="s">
        <v>388</v>
      </c>
      <c r="J132" s="47" t="str">
        <f>=IFERROR(VLOOKUP(H132&amp;I132,Table_Fonctions!A:G,6,FALSE),"")</f>
        <v>0</v>
      </c>
      <c r="K132" s="47" t="s">
        <v>1110</v>
      </c>
      <c r="L132" s="47" t="str">
        <f>=IFERROR(VLOOKUP(H132&amp;I132,Table_Fonctions!A:G,7,FALSE),K132)</f>
        <v/>
      </c>
      <c r="M132" s="47" t="str">
        <f>=IF(OR(LEFT(D132, 3)="TJ ", LEFT(D132, 4)="CPH "), "OUI", "NON")</f>
        <v/>
      </c>
      <c r="N132" s="47" t="s">
        <v>785</v>
      </c>
      <c r="O132" s="47"/>
      <c r="P132" s="47">
        <v>1</v>
      </c>
      <c r="Q132" s="47">
        <v>0</v>
      </c>
      <c r="R132" s="47">
        <v>1</v>
      </c>
      <c r="S132" s="47">
        <f>=ROUND(BQ132-(BR132+BS132),3)</f>
      </c>
      <c r="T132" s="47">
        <f>=ROUND(CK132-(CL132+CM132+CN132+CO132+CP132),3)</f>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v>0</v>
      </c>
      <c r="DZ132" s="47"/>
      <c r="EA132" s="47">
        <v>1</v>
      </c>
      <c r="ZZ132" t="s">
        <v>1062</v>
      </c>
    </row>
    <row r="133" spans="1:702" x14ac:dyDescent="0.25">
      <c r="A133" s="47" t="s">
        <v>786</v>
      </c>
      <c r="B133" s="47" t="s">
        <v>151</v>
      </c>
      <c r="C133" s="47" t="s">
        <v>155</v>
      </c>
      <c r="D133" s="47" t="s">
        <v>1199</v>
      </c>
      <c r="E133" s="47" t="s">
        <v>787</v>
      </c>
      <c r="F133" s="47" t="s">
        <v>788</v>
      </c>
      <c r="G133" s="47" t="s">
        <v>789</v>
      </c>
      <c r="H133" s="47" t="s">
        <v>357</v>
      </c>
      <c r="I133" s="47" t="s">
        <v>358</v>
      </c>
      <c r="J133" s="47" t="str">
        <f>=IFERROR(VLOOKUP(H133&amp;I133,Table_Fonctions!A:G,6,FALSE),"")</f>
        <v>0</v>
      </c>
      <c r="K133" s="47" t="s">
        <v>1110</v>
      </c>
      <c r="L133" s="47" t="str">
        <f>=IFERROR(VLOOKUP(H133&amp;I133,Table_Fonctions!A:G,7,FALSE),K133)</f>
        <v/>
      </c>
      <c r="M133" s="47" t="str">
        <f>=IF(OR(LEFT(D133, 3)="TJ ", LEFT(D133, 4)="CPH "), "OUI", "NON")</f>
        <v/>
      </c>
      <c r="N133" s="47" t="s">
        <v>510</v>
      </c>
      <c r="O133" s="47"/>
      <c r="P133" s="47">
        <v>1</v>
      </c>
      <c r="Q133" s="47">
        <v>0</v>
      </c>
      <c r="R133" s="47">
        <v>1</v>
      </c>
      <c r="S133" s="47">
        <f>=ROUND(BQ133-(BR133+BS133),3)</f>
      </c>
      <c r="T133" s="47">
        <f>=ROUND(CK133-(CL133+CM133+CN133+CO133+CP133),3)</f>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v>0</v>
      </c>
      <c r="DZ133" s="47"/>
      <c r="EA133" s="47">
        <v>1</v>
      </c>
      <c r="ZZ133" t="s">
        <v>1062</v>
      </c>
    </row>
    <row r="134" spans="1:702" x14ac:dyDescent="0.25">
      <c r="A134" s="47" t="s">
        <v>790</v>
      </c>
      <c r="B134" s="47" t="s">
        <v>151</v>
      </c>
      <c r="C134" s="47" t="s">
        <v>155</v>
      </c>
      <c r="D134" s="47" t="s">
        <v>1117</v>
      </c>
      <c r="E134" s="47" t="s">
        <v>791</v>
      </c>
      <c r="F134" s="47" t="s">
        <v>792</v>
      </c>
      <c r="G134" s="47" t="s">
        <v>793</v>
      </c>
      <c r="H134" s="47" t="s">
        <v>357</v>
      </c>
      <c r="I134" s="47" t="s">
        <v>691</v>
      </c>
      <c r="J134" s="47" t="str">
        <f>=IFERROR(VLOOKUP(H134&amp;I134,Table_Fonctions!A:G,6,FALSE),"")</f>
        <v>0</v>
      </c>
      <c r="K134" s="47" t="s">
        <v>1110</v>
      </c>
      <c r="L134" s="47" t="str">
        <f>=IFERROR(VLOOKUP(H134&amp;I134,Table_Fonctions!A:G,7,FALSE),K134)</f>
        <v/>
      </c>
      <c r="M134" s="47" t="str">
        <f>=IF(OR(LEFT(D134, 3)="TJ ", LEFT(D134, 4)="CPH "), "OUI", "NON")</f>
        <v/>
      </c>
      <c r="N134" s="47" t="s">
        <v>743</v>
      </c>
      <c r="O134" s="47"/>
      <c r="P134" s="47">
        <v>1</v>
      </c>
      <c r="Q134" s="47">
        <v>1</v>
      </c>
      <c r="R134" s="47">
        <v>0</v>
      </c>
      <c r="S134" s="47">
        <f>=ROUND(BQ134-(BR134+BS134),3)</f>
      </c>
      <c r="T134" s="47">
        <f>=ROUND(CK134-(CL134+CM134+CN134+CO134+CP134),3)</f>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1</v>
      </c>
      <c r="CZ134" s="47">
        <v>1</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v>
      </c>
      <c r="DX134" s="47">
        <v>0.069</v>
      </c>
      <c r="DY134" s="47">
        <v>0.069</v>
      </c>
      <c r="DZ134" s="47"/>
      <c r="EA134" s="47">
        <v>1</v>
      </c>
      <c r="ZZ134" t="s">
        <v>1062</v>
      </c>
    </row>
    <row r="135" spans="1:702" x14ac:dyDescent="0.25">
      <c r="A135" s="47" t="s">
        <v>794</v>
      </c>
      <c r="B135" s="47" t="s">
        <v>151</v>
      </c>
      <c r="C135" s="47" t="s">
        <v>155</v>
      </c>
      <c r="D135" s="47" t="s">
        <v>1200</v>
      </c>
      <c r="E135" s="47" t="s">
        <v>795</v>
      </c>
      <c r="F135" s="47" t="s">
        <v>796</v>
      </c>
      <c r="G135" s="47" t="s">
        <v>797</v>
      </c>
      <c r="H135" s="47" t="s">
        <v>357</v>
      </c>
      <c r="I135" s="47" t="s">
        <v>388</v>
      </c>
      <c r="J135" s="47" t="str">
        <f>=IFERROR(VLOOKUP(H135&amp;I135,Table_Fonctions!A:G,6,FALSE),"")</f>
        <v>0</v>
      </c>
      <c r="K135" s="47" t="s">
        <v>1110</v>
      </c>
      <c r="L135" s="47" t="str">
        <f>=IFERROR(VLOOKUP(H135&amp;I135,Table_Fonctions!A:G,7,FALSE),K135)</f>
        <v/>
      </c>
      <c r="M135" s="47" t="str">
        <f>=IF(OR(LEFT(D135, 3)="TJ ", LEFT(D135, 4)="CPH "), "OUI", "NON")</f>
        <v/>
      </c>
      <c r="N135" s="47" t="s">
        <v>798</v>
      </c>
      <c r="O135" s="47"/>
      <c r="P135" s="47">
        <v>1</v>
      </c>
      <c r="Q135" s="47">
        <v>0</v>
      </c>
      <c r="R135" s="47">
        <v>1</v>
      </c>
      <c r="S135" s="47">
        <f>=ROUND(BQ135-(BR135+BS135),3)</f>
      </c>
      <c r="T135" s="47">
        <f>=ROUND(CK135-(CL135+CM135+CN135+CO135+CP135),3)</f>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v>0</v>
      </c>
      <c r="DZ135" s="47"/>
      <c r="EA135" s="47">
        <v>1</v>
      </c>
      <c r="ZZ135" t="s">
        <v>1062</v>
      </c>
    </row>
    <row r="136" spans="1:702" x14ac:dyDescent="0.25">
      <c r="A136" s="47" t="s">
        <v>799</v>
      </c>
      <c r="B136" s="47" t="s">
        <v>151</v>
      </c>
      <c r="C136" s="47" t="s">
        <v>155</v>
      </c>
      <c r="D136" s="47" t="s">
        <v>1187</v>
      </c>
      <c r="E136" s="47" t="s">
        <v>800</v>
      </c>
      <c r="F136" s="47" t="s">
        <v>801</v>
      </c>
      <c r="G136" s="47" t="s">
        <v>802</v>
      </c>
      <c r="H136" s="47" t="s">
        <v>357</v>
      </c>
      <c r="I136" s="47" t="s">
        <v>691</v>
      </c>
      <c r="J136" s="47" t="str">
        <f>=IFERROR(VLOOKUP(H136&amp;I136,Table_Fonctions!A:G,6,FALSE),"")</f>
        <v>0</v>
      </c>
      <c r="K136" s="47" t="s">
        <v>1110</v>
      </c>
      <c r="L136" s="47" t="str">
        <f>=IFERROR(VLOOKUP(H136&amp;I136,Table_Fonctions!A:G,7,FALSE),K136)</f>
        <v/>
      </c>
      <c r="M136" s="47" t="str">
        <f>=IF(OR(LEFT(D136, 3)="TJ ", LEFT(D136, 4)="CPH "), "OUI", "NON")</f>
        <v/>
      </c>
      <c r="N136" s="47" t="s">
        <v>803</v>
      </c>
      <c r="O136" s="47"/>
      <c r="P136" s="47">
        <v>1</v>
      </c>
      <c r="Q136" s="47">
        <v>1</v>
      </c>
      <c r="R136" s="47">
        <v>0</v>
      </c>
      <c r="S136" s="47">
        <f>=ROUND(BQ136-(BR136+BS136),3)</f>
      </c>
      <c r="T136" s="47">
        <f>=ROUND(CK136-(CL136+CM136+CN136+CO136+CP136),3)</f>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0</v>
      </c>
      <c r="AO136" s="47">
        <v>0</v>
      </c>
      <c r="AP136" s="47">
        <v>0</v>
      </c>
      <c r="AQ136" s="47">
        <v>0</v>
      </c>
      <c r="AR136" s="47">
        <v>0</v>
      </c>
      <c r="AS136" s="47">
        <v>1</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v>0</v>
      </c>
      <c r="DZ136" s="47"/>
      <c r="EA136" s="47">
        <v>1</v>
      </c>
      <c r="ZZ136" t="s">
        <v>1062</v>
      </c>
    </row>
    <row r="137" spans="1:702" x14ac:dyDescent="0.25">
      <c r="A137" s="47" t="s">
        <v>804</v>
      </c>
      <c r="B137" s="47" t="s">
        <v>151</v>
      </c>
      <c r="C137" s="47" t="s">
        <v>155</v>
      </c>
      <c r="D137" s="47" t="s">
        <v>1201</v>
      </c>
      <c r="E137" s="47" t="s">
        <v>805</v>
      </c>
      <c r="F137" s="47" t="s">
        <v>806</v>
      </c>
      <c r="G137" s="47" t="s">
        <v>807</v>
      </c>
      <c r="H137" s="47" t="s">
        <v>357</v>
      </c>
      <c r="I137" s="47" t="s">
        <v>358</v>
      </c>
      <c r="J137" s="47" t="str">
        <f>=IFERROR(VLOOKUP(H137&amp;I137,Table_Fonctions!A:G,6,FALSE),"")</f>
        <v>0</v>
      </c>
      <c r="K137" s="47" t="s">
        <v>1110</v>
      </c>
      <c r="L137" s="47" t="str">
        <f>=IFERROR(VLOOKUP(H137&amp;I137,Table_Fonctions!A:G,7,FALSE),K137)</f>
        <v/>
      </c>
      <c r="M137" s="47" t="str">
        <f>=IF(OR(LEFT(D137, 3)="TJ ", LEFT(D137, 4)="CPH "), "OUI", "NON")</f>
        <v/>
      </c>
      <c r="N137" s="47" t="s">
        <v>808</v>
      </c>
      <c r="O137" s="47"/>
      <c r="P137" s="47">
        <v>0</v>
      </c>
      <c r="Q137" s="47">
        <v>0</v>
      </c>
      <c r="R137" s="47">
        <v>0</v>
      </c>
      <c r="S137" s="47">
        <f>=ROUND(BQ137-(BR137+BS137),3)</f>
      </c>
      <c r="T137" s="47">
        <f>=ROUND(CK137-(CL137+CM137+CN137+CO137+CP137),3)</f>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0.5</v>
      </c>
      <c r="DL137" s="47">
        <v>0</v>
      </c>
      <c r="DM137" s="47">
        <v>0</v>
      </c>
      <c r="DN137" s="47">
        <v>0</v>
      </c>
      <c r="DO137" s="47">
        <v>0</v>
      </c>
      <c r="DP137" s="47">
        <v>0</v>
      </c>
      <c r="DQ137" s="47">
        <v>0</v>
      </c>
      <c r="DR137" s="47">
        <v>0.5</v>
      </c>
      <c r="DS137" s="47">
        <v>0</v>
      </c>
      <c r="DT137" s="47">
        <v>0</v>
      </c>
      <c r="DU137" s="47">
        <v>0</v>
      </c>
      <c r="DV137" s="47">
        <v>0</v>
      </c>
      <c r="DW137" s="47">
        <v>0</v>
      </c>
      <c r="DX137" s="47">
        <v>0</v>
      </c>
      <c r="DY137" s="47">
        <v>0</v>
      </c>
      <c r="DZ137" s="47"/>
      <c r="EA137" s="47">
        <v>0.5</v>
      </c>
      <c r="ZZ137" t="s">
        <v>1062</v>
      </c>
    </row>
    <row r="138" spans="1:702" x14ac:dyDescent="0.25">
      <c r="A138" s="47" t="s">
        <v>809</v>
      </c>
      <c r="B138" s="47" t="s">
        <v>151</v>
      </c>
      <c r="C138" s="47" t="s">
        <v>155</v>
      </c>
      <c r="D138" s="47" t="s">
        <v>1202</v>
      </c>
      <c r="E138" s="47" t="s">
        <v>810</v>
      </c>
      <c r="F138" s="47" t="s">
        <v>811</v>
      </c>
      <c r="G138" s="47" t="s">
        <v>812</v>
      </c>
      <c r="H138" s="47" t="s">
        <v>357</v>
      </c>
      <c r="I138" s="47" t="s">
        <v>358</v>
      </c>
      <c r="J138" s="47" t="str">
        <f>=IFERROR(VLOOKUP(H138&amp;I138,Table_Fonctions!A:G,6,FALSE),"")</f>
        <v>0</v>
      </c>
      <c r="K138" s="47" t="s">
        <v>1110</v>
      </c>
      <c r="L138" s="47" t="str">
        <f>=IFERROR(VLOOKUP(H138&amp;I138,Table_Fonctions!A:G,7,FALSE),K138)</f>
        <v/>
      </c>
      <c r="M138" s="47" t="str">
        <f>=IF(OR(LEFT(D138, 3)="TJ ", LEFT(D138, 4)="CPH "), "OUI", "NON")</f>
        <v/>
      </c>
      <c r="N138" s="47" t="s">
        <v>813</v>
      </c>
      <c r="O138" s="47"/>
      <c r="P138" s="47">
        <v>1</v>
      </c>
      <c r="Q138" s="47">
        <v>1</v>
      </c>
      <c r="R138" s="47">
        <v>0</v>
      </c>
      <c r="S138" s="47">
        <f>=ROUND(BQ138-(BR138+BS138),3)</f>
      </c>
      <c r="T138" s="47">
        <f>=ROUND(CK138-(CL138+CM138+CN138+CO138+CP138),3)</f>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1</v>
      </c>
      <c r="CZ138" s="47">
        <v>0</v>
      </c>
      <c r="DA138" s="47">
        <v>0</v>
      </c>
      <c r="DB138" s="47">
        <v>0</v>
      </c>
      <c r="DC138" s="47">
        <v>0</v>
      </c>
      <c r="DD138" s="47">
        <v>0</v>
      </c>
      <c r="DE138" s="47">
        <v>1</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v>
      </c>
      <c r="DV138" s="47">
        <v>0</v>
      </c>
      <c r="DW138" s="47">
        <v>0</v>
      </c>
      <c r="DX138" s="47">
        <v>0</v>
      </c>
      <c r="DY138" s="47">
        <v>0</v>
      </c>
      <c r="DZ138" s="47"/>
      <c r="EA138" s="47">
        <v>1</v>
      </c>
      <c r="ZZ138" t="s">
        <v>1062</v>
      </c>
    </row>
    <row r="139" spans="1:702" x14ac:dyDescent="0.25">
      <c r="A139" s="47" t="s">
        <v>814</v>
      </c>
      <c r="B139" s="47" t="s">
        <v>151</v>
      </c>
      <c r="C139" s="47" t="s">
        <v>155</v>
      </c>
      <c r="D139" s="47" t="s">
        <v>1203</v>
      </c>
      <c r="E139" s="47" t="s">
        <v>815</v>
      </c>
      <c r="F139" s="47" t="s">
        <v>816</v>
      </c>
      <c r="G139" s="47" t="s">
        <v>817</v>
      </c>
      <c r="H139" s="47" t="s">
        <v>357</v>
      </c>
      <c r="I139" s="47" t="s">
        <v>388</v>
      </c>
      <c r="J139" s="47" t="str">
        <f>=IFERROR(VLOOKUP(H139&amp;I139,Table_Fonctions!A:G,6,FALSE),"")</f>
        <v>0</v>
      </c>
      <c r="K139" s="47" t="s">
        <v>1110</v>
      </c>
      <c r="L139" s="47" t="str">
        <f>=IFERROR(VLOOKUP(H139&amp;I139,Table_Fonctions!A:G,7,FALSE),K139)</f>
        <v/>
      </c>
      <c r="M139" s="47" t="str">
        <f>=IF(OR(LEFT(D139, 3)="TJ ", LEFT(D139, 4)="CPH "), "OUI", "NON")</f>
        <v/>
      </c>
      <c r="N139" s="47" t="s">
        <v>818</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1</v>
      </c>
      <c r="CZ139" s="47">
        <v>0</v>
      </c>
      <c r="DA139" s="47">
        <v>0</v>
      </c>
      <c r="DB139" s="47">
        <v>0</v>
      </c>
      <c r="DC139" s="47">
        <v>0</v>
      </c>
      <c r="DD139" s="47">
        <v>0</v>
      </c>
      <c r="DE139" s="47">
        <v>0</v>
      </c>
      <c r="DF139" s="47">
        <v>0</v>
      </c>
      <c r="DG139" s="47">
        <v>0</v>
      </c>
      <c r="DH139" s="47">
        <v>0</v>
      </c>
      <c r="DI139" s="47">
        <v>0</v>
      </c>
      <c r="DJ139" s="47">
        <v>1</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v>0</v>
      </c>
      <c r="DZ139" s="47"/>
      <c r="EA139" s="47">
        <v>1</v>
      </c>
      <c r="ZZ139" t="s">
        <v>1062</v>
      </c>
    </row>
    <row r="140" spans="1:702" x14ac:dyDescent="0.25">
      <c r="A140" s="47" t="s">
        <v>819</v>
      </c>
      <c r="B140" s="47" t="s">
        <v>151</v>
      </c>
      <c r="C140" s="47" t="s">
        <v>155</v>
      </c>
      <c r="D140" s="47" t="s">
        <v>1204</v>
      </c>
      <c r="E140" s="47" t="s">
        <v>820</v>
      </c>
      <c r="F140" s="47" t="s">
        <v>821</v>
      </c>
      <c r="G140" s="47" t="s">
        <v>822</v>
      </c>
      <c r="H140" s="47" t="s">
        <v>357</v>
      </c>
      <c r="I140" s="47" t="s">
        <v>358</v>
      </c>
      <c r="J140" s="47" t="str">
        <f>=IFERROR(VLOOKUP(H140&amp;I140,Table_Fonctions!A:G,6,FALSE),"")</f>
        <v>0</v>
      </c>
      <c r="K140" s="47" t="s">
        <v>1110</v>
      </c>
      <c r="L140" s="47" t="str">
        <f>=IFERROR(VLOOKUP(H140&amp;I140,Table_Fonctions!A:G,7,FALSE),K140)</f>
        <v/>
      </c>
      <c r="M140" s="47" t="str">
        <f>=IF(OR(LEFT(D140, 3)="TJ ", LEFT(D140, 4)="CPH "), "OUI", "NON")</f>
        <v/>
      </c>
      <c r="N140" s="47" t="s">
        <v>823</v>
      </c>
      <c r="O140" s="47"/>
      <c r="P140" s="47">
        <v>1</v>
      </c>
      <c r="Q140" s="47">
        <v>0</v>
      </c>
      <c r="R140" s="47">
        <v>1</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v>0</v>
      </c>
      <c r="DZ140" s="47"/>
      <c r="EA140" s="47">
        <v>1</v>
      </c>
      <c r="ZZ140" t="s">
        <v>1062</v>
      </c>
    </row>
    <row r="141" spans="1:702" x14ac:dyDescent="0.25">
      <c r="A141" s="47" t="s">
        <v>824</v>
      </c>
      <c r="B141" s="47" t="s">
        <v>151</v>
      </c>
      <c r="C141" s="47" t="s">
        <v>155</v>
      </c>
      <c r="D141" s="47" t="s">
        <v>1205</v>
      </c>
      <c r="E141" s="47" t="s">
        <v>825</v>
      </c>
      <c r="F141" s="47" t="s">
        <v>826</v>
      </c>
      <c r="G141" s="47" t="s">
        <v>827</v>
      </c>
      <c r="H141" s="47" t="s">
        <v>357</v>
      </c>
      <c r="I141" s="47" t="s">
        <v>398</v>
      </c>
      <c r="J141" s="47" t="str">
        <f>=IFERROR(VLOOKUP(H141&amp;I141,Table_Fonctions!A:G,6,FALSE),"")</f>
        <v>0</v>
      </c>
      <c r="K141" s="47" t="s">
        <v>1110</v>
      </c>
      <c r="L141" s="47" t="str">
        <f>=IFERROR(VLOOKUP(H141&amp;I141,Table_Fonctions!A:G,7,FALSE),K141)</f>
        <v/>
      </c>
      <c r="M141" s="47" t="str">
        <f>=IF(OR(LEFT(D141, 3)="TJ ", LEFT(D141, 4)="CPH "), "OUI", "NON")</f>
        <v/>
      </c>
      <c r="N141" s="47" t="s">
        <v>176</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v>0</v>
      </c>
      <c r="DZ141" s="47"/>
      <c r="EA141" s="47">
        <v>1</v>
      </c>
      <c r="ZZ141" t="s">
        <v>1062</v>
      </c>
    </row>
    <row r="142" spans="1:702" x14ac:dyDescent="0.25">
      <c r="A142" s="47" t="s">
        <v>828</v>
      </c>
      <c r="B142" s="47" t="s">
        <v>151</v>
      </c>
      <c r="C142" s="47" t="s">
        <v>155</v>
      </c>
      <c r="D142" s="47" t="s">
        <v>1192</v>
      </c>
      <c r="E142" s="47" t="s">
        <v>829</v>
      </c>
      <c r="F142" s="47" t="s">
        <v>830</v>
      </c>
      <c r="G142" s="47" t="s">
        <v>756</v>
      </c>
      <c r="H142" s="47" t="s">
        <v>357</v>
      </c>
      <c r="I142" s="47" t="s">
        <v>388</v>
      </c>
      <c r="J142" s="47" t="str">
        <f>=IFERROR(VLOOKUP(H142&amp;I142,Table_Fonctions!A:G,6,FALSE),"")</f>
        <v>0</v>
      </c>
      <c r="K142" s="47" t="s">
        <v>1110</v>
      </c>
      <c r="L142" s="47" t="str">
        <f>=IFERROR(VLOOKUP(H142&amp;I142,Table_Fonctions!A:G,7,FALSE),K142)</f>
        <v/>
      </c>
      <c r="M142" s="47" t="str">
        <f>=IF(OR(LEFT(D142, 3)="TJ ", LEFT(D142, 4)="CPH "), "OUI", "NON")</f>
        <v/>
      </c>
      <c r="N142" s="47" t="s">
        <v>208</v>
      </c>
      <c r="O142" s="47"/>
      <c r="P142" s="47">
        <v>1</v>
      </c>
      <c r="Q142" s="47">
        <v>1</v>
      </c>
      <c r="R142" s="47">
        <v>0</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1</v>
      </c>
      <c r="CZ142" s="47">
        <v>0</v>
      </c>
      <c r="DA142" s="47">
        <v>0</v>
      </c>
      <c r="DB142" s="47">
        <v>0</v>
      </c>
      <c r="DC142" s="47">
        <v>0</v>
      </c>
      <c r="DD142" s="47">
        <v>0</v>
      </c>
      <c r="DE142" s="47">
        <v>1</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v>0</v>
      </c>
      <c r="DZ142" s="47"/>
      <c r="EA142" s="47">
        <v>1</v>
      </c>
      <c r="ZZ142" t="s">
        <v>1062</v>
      </c>
    </row>
    <row r="143" spans="1:702" x14ac:dyDescent="0.25">
      <c r="A143" s="47" t="s">
        <v>831</v>
      </c>
      <c r="B143" s="47" t="s">
        <v>151</v>
      </c>
      <c r="C143" s="47" t="s">
        <v>155</v>
      </c>
      <c r="D143" s="47" t="s">
        <v>1206</v>
      </c>
      <c r="E143" s="47" t="s">
        <v>832</v>
      </c>
      <c r="F143" s="47" t="s">
        <v>833</v>
      </c>
      <c r="G143" s="47" t="s">
        <v>834</v>
      </c>
      <c r="H143" s="47" t="s">
        <v>357</v>
      </c>
      <c r="I143" s="47" t="s">
        <v>358</v>
      </c>
      <c r="J143" s="47" t="str">
        <f>=IFERROR(VLOOKUP(H143&amp;I143,Table_Fonctions!A:G,6,FALSE),"")</f>
        <v>0</v>
      </c>
      <c r="K143" s="47" t="s">
        <v>1110</v>
      </c>
      <c r="L143" s="47" t="str">
        <f>=IFERROR(VLOOKUP(H143&amp;I143,Table_Fonctions!A:G,7,FALSE),K143)</f>
        <v/>
      </c>
      <c r="M143" s="47" t="str">
        <f>=IF(OR(LEFT(D143, 3)="TJ ", LEFT(D143, 4)="CPH "), "OUI", "NON")</f>
        <v/>
      </c>
      <c r="N143" s="47" t="s">
        <v>452</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v>0</v>
      </c>
      <c r="DZ143" s="47"/>
      <c r="EA143" s="47">
        <v>1</v>
      </c>
      <c r="ZZ143" t="s">
        <v>1062</v>
      </c>
    </row>
    <row r="144" spans="1:702" x14ac:dyDescent="0.25">
      <c r="A144" s="47" t="s">
        <v>835</v>
      </c>
      <c r="B144" s="47" t="s">
        <v>151</v>
      </c>
      <c r="C144" s="47" t="s">
        <v>155</v>
      </c>
      <c r="D144" s="47" t="s">
        <v>1083</v>
      </c>
      <c r="E144" s="47" t="s">
        <v>836</v>
      </c>
      <c r="F144" s="47" t="s">
        <v>837</v>
      </c>
      <c r="G144" s="47" t="s">
        <v>241</v>
      </c>
      <c r="H144" s="47" t="s">
        <v>357</v>
      </c>
      <c r="I144" s="47" t="s">
        <v>398</v>
      </c>
      <c r="J144" s="47" t="str">
        <f>=IFERROR(VLOOKUP(H144&amp;I144,Table_Fonctions!A:G,6,FALSE),"")</f>
        <v>0</v>
      </c>
      <c r="K144" s="47" t="s">
        <v>1110</v>
      </c>
      <c r="L144" s="47" t="str">
        <f>=IFERROR(VLOOKUP(H144&amp;I144,Table_Fonctions!A:G,7,FALSE),K144)</f>
        <v/>
      </c>
      <c r="M144" s="47" t="str">
        <f>=IF(OR(LEFT(D144, 3)="TJ ", LEFT(D144, 4)="CPH "), "OUI", "NON")</f>
        <v/>
      </c>
      <c r="N144" s="47" t="s">
        <v>838</v>
      </c>
      <c r="O144" s="47"/>
      <c r="P144" s="47">
        <v>1</v>
      </c>
      <c r="Q144" s="47">
        <v>1</v>
      </c>
      <c r="R144" s="47">
        <v>0</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1</v>
      </c>
      <c r="CZ144" s="47">
        <v>1</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v>
      </c>
      <c r="DY144" s="47">
        <v>0</v>
      </c>
      <c r="DZ144" s="47"/>
      <c r="EA144" s="47">
        <v>1</v>
      </c>
      <c r="ZZ144" t="s">
        <v>1062</v>
      </c>
    </row>
    <row r="145" spans="1:702" x14ac:dyDescent="0.25">
      <c r="A145" s="47" t="s">
        <v>839</v>
      </c>
      <c r="B145" s="47" t="s">
        <v>151</v>
      </c>
      <c r="C145" s="47" t="s">
        <v>155</v>
      </c>
      <c r="D145" s="47" t="s">
        <v>1207</v>
      </c>
      <c r="E145" s="47" t="s">
        <v>840</v>
      </c>
      <c r="F145" s="47" t="s">
        <v>841</v>
      </c>
      <c r="G145" s="47" t="s">
        <v>842</v>
      </c>
      <c r="H145" s="47" t="s">
        <v>357</v>
      </c>
      <c r="I145" s="47" t="s">
        <v>388</v>
      </c>
      <c r="J145" s="47" t="str">
        <f>=IFERROR(VLOOKUP(H145&amp;I145,Table_Fonctions!A:G,6,FALSE),"")</f>
        <v>0</v>
      </c>
      <c r="K145" s="47" t="s">
        <v>1110</v>
      </c>
      <c r="L145" s="47" t="str">
        <f>=IFERROR(VLOOKUP(H145&amp;I145,Table_Fonctions!A:G,7,FALSE),K145)</f>
        <v/>
      </c>
      <c r="M145" s="47" t="str">
        <f>=IF(OR(LEFT(D145, 3)="TJ ", LEFT(D145, 4)="CPH "), "OUI", "NON")</f>
        <v/>
      </c>
      <c r="N145" s="47" t="s">
        <v>843</v>
      </c>
      <c r="O145" s="47"/>
      <c r="P145" s="47">
        <v>0.8391</v>
      </c>
      <c r="Q145" s="47">
        <v>0.8391</v>
      </c>
      <c r="R145" s="47">
        <v>0</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0.8391</v>
      </c>
      <c r="CZ145" s="47">
        <v>0.8391</v>
      </c>
      <c r="DA145" s="47">
        <v>0</v>
      </c>
      <c r="DB145" s="47">
        <v>0</v>
      </c>
      <c r="DC145" s="47">
        <v>0</v>
      </c>
      <c r="DD145" s="47">
        <v>0</v>
      </c>
      <c r="DE145" s="47">
        <v>0</v>
      </c>
      <c r="DF145" s="47">
        <v>0</v>
      </c>
      <c r="DG145" s="47">
        <v>0</v>
      </c>
      <c r="DH145" s="47">
        <v>0</v>
      </c>
      <c r="DI145" s="47">
        <v>0</v>
      </c>
      <c r="DJ145" s="47">
        <v>0</v>
      </c>
      <c r="DK145" s="47">
        <v>0.1398</v>
      </c>
      <c r="DL145" s="47">
        <v>0</v>
      </c>
      <c r="DM145" s="47">
        <v>0</v>
      </c>
      <c r="DN145" s="47">
        <v>0.1398</v>
      </c>
      <c r="DO145" s="47">
        <v>0</v>
      </c>
      <c r="DP145" s="47">
        <v>0</v>
      </c>
      <c r="DQ145" s="47">
        <v>0</v>
      </c>
      <c r="DR145" s="47">
        <v>0</v>
      </c>
      <c r="DS145" s="47">
        <v>0</v>
      </c>
      <c r="DT145" s="47">
        <v>0</v>
      </c>
      <c r="DU145" s="47">
        <v>0.6992</v>
      </c>
      <c r="DV145" s="47">
        <v>0</v>
      </c>
      <c r="DW145" s="47">
        <v>0</v>
      </c>
      <c r="DX145" s="47">
        <v>0</v>
      </c>
      <c r="DY145" s="47">
        <v>0.6992</v>
      </c>
      <c r="DZ145" s="47"/>
      <c r="EA145" s="47">
        <v>0.9789</v>
      </c>
      <c r="ZZ145" t="s">
        <v>1062</v>
      </c>
    </row>
    <row r="146" spans="1:702" x14ac:dyDescent="0.25">
      <c r="A146" s="47" t="s">
        <v>844</v>
      </c>
      <c r="B146" s="47" t="s">
        <v>151</v>
      </c>
      <c r="C146" s="47" t="s">
        <v>155</v>
      </c>
      <c r="D146" s="47" t="s">
        <v>1208</v>
      </c>
      <c r="E146" s="47" t="s">
        <v>845</v>
      </c>
      <c r="F146" s="47" t="s">
        <v>846</v>
      </c>
      <c r="G146" s="47" t="s">
        <v>847</v>
      </c>
      <c r="H146" s="47" t="s">
        <v>357</v>
      </c>
      <c r="I146" s="47" t="s">
        <v>487</v>
      </c>
      <c r="J146" s="47" t="str">
        <f>=IFERROR(VLOOKUP(H146&amp;I146,Table_Fonctions!A:G,6,FALSE),"")</f>
        <v>0</v>
      </c>
      <c r="K146" s="47" t="s">
        <v>1114</v>
      </c>
      <c r="L146" s="47" t="str">
        <f>=IFERROR(VLOOKUP(H146&amp;I146,Table_Fonctions!A:G,7,FALSE),K146)</f>
        <v/>
      </c>
      <c r="M146" s="47" t="str">
        <f>=IF(OR(LEFT(D146, 3)="TJ ", LEFT(D146, 4)="CPH "), "OUI", "NON")</f>
        <v/>
      </c>
      <c r="N146" s="47" t="s">
        <v>848</v>
      </c>
      <c r="O146" s="47"/>
      <c r="P146" s="47">
        <v>0.8352</v>
      </c>
      <c r="Q146" s="47">
        <v>0</v>
      </c>
      <c r="R146" s="47">
        <v>0.8352</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v>0</v>
      </c>
      <c r="DZ146" s="47"/>
      <c r="EA146" s="47">
        <v>0.8352</v>
      </c>
      <c r="ZZ146" t="s">
        <v>1062</v>
      </c>
    </row>
    <row r="147" spans="1:702" x14ac:dyDescent="0.25">
      <c r="A147" s="47" t="s">
        <v>849</v>
      </c>
      <c r="B147" s="47" t="s">
        <v>151</v>
      </c>
      <c r="C147" s="47" t="s">
        <v>155</v>
      </c>
      <c r="D147" s="47" t="s">
        <v>1209</v>
      </c>
      <c r="E147" s="47" t="s">
        <v>850</v>
      </c>
      <c r="F147" s="47" t="s">
        <v>851</v>
      </c>
      <c r="G147" s="47" t="s">
        <v>852</v>
      </c>
      <c r="H147" s="47" t="s">
        <v>357</v>
      </c>
      <c r="I147" s="47" t="s">
        <v>358</v>
      </c>
      <c r="J147" s="47" t="str">
        <f>=IFERROR(VLOOKUP(H147&amp;I147,Table_Fonctions!A:G,6,FALSE),"")</f>
        <v>0</v>
      </c>
      <c r="K147" s="47" t="s">
        <v>1110</v>
      </c>
      <c r="L147" s="47" t="str">
        <f>=IFERROR(VLOOKUP(H147&amp;I147,Table_Fonctions!A:G,7,FALSE),K147)</f>
        <v/>
      </c>
      <c r="M147" s="47" t="str">
        <f>=IF(OR(LEFT(D147, 3)="TJ ", LEFT(D147, 4)="CPH "), "OUI", "NON")</f>
        <v/>
      </c>
      <c r="N147" s="47" t="s">
        <v>578</v>
      </c>
      <c r="O147" s="47"/>
      <c r="P147" s="47">
        <v>1</v>
      </c>
      <c r="Q147" s="47">
        <v>0</v>
      </c>
      <c r="R147" s="47">
        <v>1</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c r="DS147" s="47">
        <v>0</v>
      </c>
      <c r="DT147" s="47">
        <v>0</v>
      </c>
      <c r="DU147" s="47">
        <v>0</v>
      </c>
      <c r="DV147" s="47">
        <v>0</v>
      </c>
      <c r="DW147" s="47">
        <v>0</v>
      </c>
      <c r="DX147" s="47">
        <v>0</v>
      </c>
      <c r="DY147" s="47">
        <v>0</v>
      </c>
      <c r="DZ147" s="47"/>
      <c r="EA147" s="47">
        <v>1</v>
      </c>
      <c r="ZZ147" t="s">
        <v>1062</v>
      </c>
    </row>
    <row r="148" spans="1:702" x14ac:dyDescent="0.25">
      <c r="A148" s="47" t="s">
        <v>853</v>
      </c>
      <c r="B148" s="47" t="s">
        <v>151</v>
      </c>
      <c r="C148" s="47" t="s">
        <v>155</v>
      </c>
      <c r="D148" s="47" t="s">
        <v>1210</v>
      </c>
      <c r="E148" s="47" t="s">
        <v>854</v>
      </c>
      <c r="F148" s="47" t="s">
        <v>855</v>
      </c>
      <c r="G148" s="47" t="s">
        <v>856</v>
      </c>
      <c r="H148" s="47" t="s">
        <v>357</v>
      </c>
      <c r="I148" s="47" t="s">
        <v>358</v>
      </c>
      <c r="J148" s="47" t="str">
        <f>=IFERROR(VLOOKUP(H148&amp;I148,Table_Fonctions!A:G,6,FALSE),"")</f>
        <v>0</v>
      </c>
      <c r="K148" s="47" t="s">
        <v>1110</v>
      </c>
      <c r="L148" s="47" t="str">
        <f>=IFERROR(VLOOKUP(H148&amp;I148,Table_Fonctions!A:G,7,FALSE),K148)</f>
        <v/>
      </c>
      <c r="M148" s="47" t="str">
        <f>=IF(OR(LEFT(D148, 3)="TJ ", LEFT(D148, 4)="CPH "), "OUI", "NON")</f>
        <v/>
      </c>
      <c r="N148" s="47" t="s">
        <v>377</v>
      </c>
      <c r="O148" s="47"/>
      <c r="P148" s="47">
        <v>1</v>
      </c>
      <c r="Q148" s="47">
        <v>0</v>
      </c>
      <c r="R148" s="47">
        <v>1</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v>0</v>
      </c>
      <c r="DZ148" s="47"/>
      <c r="EA148" s="47">
        <v>1</v>
      </c>
      <c r="ZZ148" t="s">
        <v>1062</v>
      </c>
    </row>
    <row r="149" spans="1:702" x14ac:dyDescent="0.25">
      <c r="A149" s="47" t="s">
        <v>857</v>
      </c>
      <c r="B149" s="47" t="s">
        <v>151</v>
      </c>
      <c r="C149" s="47" t="s">
        <v>155</v>
      </c>
      <c r="D149" s="47" t="s">
        <v>1211</v>
      </c>
      <c r="E149" s="47" t="s">
        <v>858</v>
      </c>
      <c r="F149" s="47" t="s">
        <v>859</v>
      </c>
      <c r="G149" s="47" t="s">
        <v>860</v>
      </c>
      <c r="H149" s="47" t="s">
        <v>357</v>
      </c>
      <c r="I149" s="47" t="s">
        <v>358</v>
      </c>
      <c r="J149" s="47" t="str">
        <f>=IFERROR(VLOOKUP(H149&amp;I149,Table_Fonctions!A:G,6,FALSE),"")</f>
        <v>0</v>
      </c>
      <c r="K149" s="47" t="s">
        <v>1110</v>
      </c>
      <c r="L149" s="47" t="str">
        <f>=IFERROR(VLOOKUP(H149&amp;I149,Table_Fonctions!A:G,7,FALSE),K149)</f>
        <v/>
      </c>
      <c r="M149" s="47" t="str">
        <f>=IF(OR(LEFT(D149, 3)="TJ ", LEFT(D149, 4)="CPH "), "OUI", "NON")</f>
        <v/>
      </c>
      <c r="N149" s="47" t="s">
        <v>533</v>
      </c>
      <c r="O149" s="47"/>
      <c r="P149" s="47">
        <v>0.8</v>
      </c>
      <c r="Q149" s="47">
        <v>0.8</v>
      </c>
      <c r="R149" s="47">
        <v>0</v>
      </c>
      <c r="S149" s="47">
        <f>=ROUND(BQ149-(BR149+BS149),3)</f>
      </c>
      <c r="T149" s="47">
        <f>=ROUND(CK149-(CL149+CM149+CN149+CO149+CP149),3)</f>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0.8</v>
      </c>
      <c r="AK149" s="47">
        <v>0</v>
      </c>
      <c r="AL149" s="47">
        <v>0</v>
      </c>
      <c r="AM149" s="47">
        <v>0</v>
      </c>
      <c r="AN149" s="47">
        <v>0</v>
      </c>
      <c r="AO149" s="47">
        <v>0</v>
      </c>
      <c r="AP149" s="47">
        <v>0.8</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0</v>
      </c>
      <c r="CZ149" s="47">
        <v>0</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v>0</v>
      </c>
      <c r="DZ149" s="47"/>
      <c r="EA149" s="47">
        <v>0.8</v>
      </c>
      <c r="ZZ149" t="s">
        <v>1062</v>
      </c>
    </row>
    <row r="150" spans="1:702" x14ac:dyDescent="0.25">
      <c r="A150" s="47" t="s">
        <v>861</v>
      </c>
      <c r="B150" s="47" t="s">
        <v>151</v>
      </c>
      <c r="C150" s="47" t="s">
        <v>155</v>
      </c>
      <c r="D150" s="47" t="s">
        <v>1212</v>
      </c>
      <c r="E150" s="47" t="s">
        <v>862</v>
      </c>
      <c r="F150" s="47" t="s">
        <v>863</v>
      </c>
      <c r="G150" s="47" t="s">
        <v>864</v>
      </c>
      <c r="H150" s="47" t="s">
        <v>357</v>
      </c>
      <c r="I150" s="47" t="s">
        <v>388</v>
      </c>
      <c r="J150" s="47" t="str">
        <f>=IFERROR(VLOOKUP(H150&amp;I150,Table_Fonctions!A:G,6,FALSE),"")</f>
        <v>0</v>
      </c>
      <c r="K150" s="47" t="s">
        <v>1110</v>
      </c>
      <c r="L150" s="47" t="str">
        <f>=IFERROR(VLOOKUP(H150&amp;I150,Table_Fonctions!A:G,7,FALSE),K150)</f>
        <v/>
      </c>
      <c r="M150" s="47" t="str">
        <f>=IF(OR(LEFT(D150, 3)="TJ ", LEFT(D150, 4)="CPH "), "OUI", "NON")</f>
        <v/>
      </c>
      <c r="N150" s="47" t="s">
        <v>865</v>
      </c>
      <c r="O150" s="47"/>
      <c r="P150" s="47">
        <v>1</v>
      </c>
      <c r="Q150" s="47">
        <v>1</v>
      </c>
      <c r="R150" s="47">
        <v>0</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1</v>
      </c>
      <c r="CZ150" s="47">
        <v>0</v>
      </c>
      <c r="DA150" s="47">
        <v>0</v>
      </c>
      <c r="DB150" s="47">
        <v>0</v>
      </c>
      <c r="DC150" s="47">
        <v>0</v>
      </c>
      <c r="DD150" s="47">
        <v>0</v>
      </c>
      <c r="DE150" s="47">
        <v>0</v>
      </c>
      <c r="DF150" s="47">
        <v>0</v>
      </c>
      <c r="DG150" s="47">
        <v>0</v>
      </c>
      <c r="DH150" s="47">
        <v>0</v>
      </c>
      <c r="DI150" s="47">
        <v>0</v>
      </c>
      <c r="DJ150" s="47">
        <v>1</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v>0</v>
      </c>
      <c r="DZ150" s="47"/>
      <c r="EA150" s="47">
        <v>1</v>
      </c>
      <c r="ZZ150" t="s">
        <v>1062</v>
      </c>
    </row>
    <row r="151" spans="1:702" x14ac:dyDescent="0.25">
      <c r="A151" s="47" t="s">
        <v>866</v>
      </c>
      <c r="B151" s="47" t="s">
        <v>151</v>
      </c>
      <c r="C151" s="47" t="s">
        <v>155</v>
      </c>
      <c r="D151" s="47" t="s">
        <v>1213</v>
      </c>
      <c r="E151" s="47" t="s">
        <v>867</v>
      </c>
      <c r="F151" s="47" t="s">
        <v>868</v>
      </c>
      <c r="G151" s="47" t="s">
        <v>869</v>
      </c>
      <c r="H151" s="47" t="s">
        <v>357</v>
      </c>
      <c r="I151" s="47" t="s">
        <v>358</v>
      </c>
      <c r="J151" s="47" t="str">
        <f>=IFERROR(VLOOKUP(H151&amp;I151,Table_Fonctions!A:G,6,FALSE),"")</f>
        <v>0</v>
      </c>
      <c r="K151" s="47" t="s">
        <v>1110</v>
      </c>
      <c r="L151" s="47" t="str">
        <f>=IFERROR(VLOOKUP(H151&amp;I151,Table_Fonctions!A:G,7,FALSE),K151)</f>
        <v/>
      </c>
      <c r="M151" s="47" t="str">
        <f>=IF(OR(LEFT(D151, 3)="TJ ", LEFT(D151, 4)="CPH "), "OUI", "NON")</f>
        <v/>
      </c>
      <c r="N151" s="47" t="s">
        <v>870</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v>0</v>
      </c>
      <c r="DZ151" s="47"/>
      <c r="EA151" s="47">
        <v>1</v>
      </c>
      <c r="ZZ151" t="s">
        <v>1062</v>
      </c>
    </row>
    <row r="152" spans="1:702" x14ac:dyDescent="0.25">
      <c r="A152" s="47" t="s">
        <v>871</v>
      </c>
      <c r="B152" s="47" t="s">
        <v>151</v>
      </c>
      <c r="C152" s="47" t="s">
        <v>155</v>
      </c>
      <c r="D152" s="47" t="s">
        <v>1214</v>
      </c>
      <c r="E152" s="47" t="s">
        <v>872</v>
      </c>
      <c r="F152" s="47" t="s">
        <v>873</v>
      </c>
      <c r="G152" s="47" t="s">
        <v>874</v>
      </c>
      <c r="H152" s="47" t="s">
        <v>357</v>
      </c>
      <c r="I152" s="47" t="s">
        <v>358</v>
      </c>
      <c r="J152" s="47" t="str">
        <f>=IFERROR(VLOOKUP(H152&amp;I152,Table_Fonctions!A:G,6,FALSE),"")</f>
        <v>0</v>
      </c>
      <c r="K152" s="47" t="s">
        <v>1110</v>
      </c>
      <c r="L152" s="47" t="str">
        <f>=IFERROR(VLOOKUP(H152&amp;I152,Table_Fonctions!A:G,7,FALSE),K152)</f>
        <v/>
      </c>
      <c r="M152" s="47" t="str">
        <f>=IF(OR(LEFT(D152, 3)="TJ ", LEFT(D152, 4)="CPH "), "OUI", "NON")</f>
        <v/>
      </c>
      <c r="N152" s="47" t="s">
        <v>875</v>
      </c>
      <c r="O152" s="47"/>
      <c r="P152" s="47">
        <v>1</v>
      </c>
      <c r="Q152" s="47">
        <v>1</v>
      </c>
      <c r="R152" s="47">
        <v>0</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1</v>
      </c>
      <c r="CZ152" s="47">
        <v>0.1</v>
      </c>
      <c r="DA152" s="47">
        <v>0</v>
      </c>
      <c r="DB152" s="47">
        <v>0</v>
      </c>
      <c r="DC152" s="47">
        <v>0</v>
      </c>
      <c r="DD152" s="47">
        <v>0</v>
      </c>
      <c r="DE152" s="47">
        <v>0</v>
      </c>
      <c r="DF152" s="47">
        <v>0</v>
      </c>
      <c r="DG152" s="47">
        <v>0.9</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v>0</v>
      </c>
      <c r="DZ152" s="47"/>
      <c r="EA152" s="47">
        <v>1</v>
      </c>
      <c r="ZZ152" t="s">
        <v>1062</v>
      </c>
    </row>
    <row r="153" spans="1:702" x14ac:dyDescent="0.25">
      <c r="A153" s="47" t="s">
        <v>876</v>
      </c>
      <c r="B153" s="47" t="s">
        <v>151</v>
      </c>
      <c r="C153" s="47" t="s">
        <v>155</v>
      </c>
      <c r="D153" s="47" t="s">
        <v>1215</v>
      </c>
      <c r="E153" s="47" t="s">
        <v>877</v>
      </c>
      <c r="F153" s="47" t="s">
        <v>878</v>
      </c>
      <c r="G153" s="47" t="s">
        <v>879</v>
      </c>
      <c r="H153" s="47" t="s">
        <v>357</v>
      </c>
      <c r="I153" s="47" t="s">
        <v>388</v>
      </c>
      <c r="J153" s="47" t="str">
        <f>=IFERROR(VLOOKUP(H153&amp;I153,Table_Fonctions!A:G,6,FALSE),"")</f>
        <v>0</v>
      </c>
      <c r="K153" s="47" t="s">
        <v>1110</v>
      </c>
      <c r="L153" s="47" t="str">
        <f>=IFERROR(VLOOKUP(H153&amp;I153,Table_Fonctions!A:G,7,FALSE),K153)</f>
        <v/>
      </c>
      <c r="M153" s="47" t="str">
        <f>=IF(OR(LEFT(D153, 3)="TJ ", LEFT(D153, 4)="CPH "), "OUI", "NON")</f>
        <v/>
      </c>
      <c r="N153" s="47" t="s">
        <v>880</v>
      </c>
      <c r="O153" s="47"/>
      <c r="P153" s="47">
        <v>1</v>
      </c>
      <c r="Q153" s="47">
        <v>0</v>
      </c>
      <c r="R153" s="47">
        <v>1</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v>0</v>
      </c>
      <c r="DZ153" s="47"/>
      <c r="EA153" s="47">
        <v>1</v>
      </c>
      <c r="ZZ153" t="s">
        <v>1062</v>
      </c>
    </row>
    <row r="154" spans="1:702" x14ac:dyDescent="0.25">
      <c r="A154" s="47" t="s">
        <v>881</v>
      </c>
      <c r="B154" s="47" t="s">
        <v>151</v>
      </c>
      <c r="C154" s="47" t="s">
        <v>155</v>
      </c>
      <c r="D154" s="47" t="s">
        <v>1216</v>
      </c>
      <c r="E154" s="47" t="s">
        <v>882</v>
      </c>
      <c r="F154" s="47" t="s">
        <v>883</v>
      </c>
      <c r="G154" s="47" t="s">
        <v>884</v>
      </c>
      <c r="H154" s="47" t="s">
        <v>357</v>
      </c>
      <c r="I154" s="47" t="s">
        <v>358</v>
      </c>
      <c r="J154" s="47" t="str">
        <f>=IFERROR(VLOOKUP(H154&amp;I154,Table_Fonctions!A:G,6,FALSE),"")</f>
        <v>0</v>
      </c>
      <c r="K154" s="47" t="s">
        <v>1110</v>
      </c>
      <c r="L154" s="47" t="str">
        <f>=IFERROR(VLOOKUP(H154&amp;I154,Table_Fonctions!A:G,7,FALSE),K154)</f>
        <v/>
      </c>
      <c r="M154" s="47" t="str">
        <f>=IF(OR(LEFT(D154, 3)="TJ ", LEFT(D154, 4)="CPH "), "OUI", "NON")</f>
        <v/>
      </c>
      <c r="N154" s="47" t="s">
        <v>573</v>
      </c>
      <c r="O154" s="47"/>
      <c r="P154" s="47">
        <v>1</v>
      </c>
      <c r="Q154" s="47">
        <v>0</v>
      </c>
      <c r="R154" s="47">
        <v>1</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v>0</v>
      </c>
      <c r="DZ154" s="47"/>
      <c r="EA154" s="47">
        <v>1</v>
      </c>
      <c r="ZZ154" t="s">
        <v>1062</v>
      </c>
    </row>
    <row r="155" spans="1:702" x14ac:dyDescent="0.25">
      <c r="A155" s="47" t="s">
        <v>885</v>
      </c>
      <c r="B155" s="47" t="s">
        <v>151</v>
      </c>
      <c r="C155" s="47" t="s">
        <v>155</v>
      </c>
      <c r="D155" s="47" t="s">
        <v>1217</v>
      </c>
      <c r="E155" s="47" t="s">
        <v>886</v>
      </c>
      <c r="F155" s="47" t="s">
        <v>887</v>
      </c>
      <c r="G155" s="47" t="s">
        <v>888</v>
      </c>
      <c r="H155" s="47" t="s">
        <v>357</v>
      </c>
      <c r="I155" s="47" t="s">
        <v>388</v>
      </c>
      <c r="J155" s="47" t="str">
        <f>=IFERROR(VLOOKUP(H155&amp;I155,Table_Fonctions!A:G,6,FALSE),"")</f>
        <v>0</v>
      </c>
      <c r="K155" s="47" t="s">
        <v>1110</v>
      </c>
      <c r="L155" s="47" t="str">
        <f>=IFERROR(VLOOKUP(H155&amp;I155,Table_Fonctions!A:G,7,FALSE),K155)</f>
        <v/>
      </c>
      <c r="M155" s="47" t="str">
        <f>=IF(OR(LEFT(D155, 3)="TJ ", LEFT(D155, 4)="CPH "), "OUI", "NON")</f>
        <v/>
      </c>
      <c r="N155" s="47" t="s">
        <v>875</v>
      </c>
      <c r="O155" s="47"/>
      <c r="P155" s="47">
        <v>1</v>
      </c>
      <c r="Q155" s="47">
        <v>0</v>
      </c>
      <c r="R155" s="47">
        <v>1</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c r="DS155" s="47">
        <v>0</v>
      </c>
      <c r="DT155" s="47">
        <v>0</v>
      </c>
      <c r="DU155" s="47">
        <v>0</v>
      </c>
      <c r="DV155" s="47">
        <v>0</v>
      </c>
      <c r="DW155" s="47">
        <v>0</v>
      </c>
      <c r="DX155" s="47">
        <v>0</v>
      </c>
      <c r="DY155" s="47">
        <v>0</v>
      </c>
      <c r="DZ155" s="47"/>
      <c r="EA155" s="47">
        <v>1</v>
      </c>
      <c r="ZZ155" t="s">
        <v>1062</v>
      </c>
    </row>
    <row r="156" spans="1:702" x14ac:dyDescent="0.25">
      <c r="A156" s="47" t="s">
        <v>889</v>
      </c>
      <c r="B156" s="47" t="s">
        <v>151</v>
      </c>
      <c r="C156" s="47" t="s">
        <v>155</v>
      </c>
      <c r="D156" s="47" t="s">
        <v>1218</v>
      </c>
      <c r="E156" s="47" t="s">
        <v>890</v>
      </c>
      <c r="F156" s="47" t="s">
        <v>891</v>
      </c>
      <c r="G156" s="47" t="s">
        <v>892</v>
      </c>
      <c r="H156" s="47" t="s">
        <v>357</v>
      </c>
      <c r="I156" s="47" t="s">
        <v>358</v>
      </c>
      <c r="J156" s="47" t="str">
        <f>=IFERROR(VLOOKUP(H156&amp;I156,Table_Fonctions!A:G,6,FALSE),"")</f>
        <v>0</v>
      </c>
      <c r="K156" s="47" t="s">
        <v>1110</v>
      </c>
      <c r="L156" s="47" t="str">
        <f>=IFERROR(VLOOKUP(H156&amp;I156,Table_Fonctions!A:G,7,FALSE),K156)</f>
        <v/>
      </c>
      <c r="M156" s="47" t="str">
        <f>=IF(OR(LEFT(D156, 3)="TJ ", LEFT(D156, 4)="CPH "), "OUI", "NON")</f>
        <v/>
      </c>
      <c r="N156" s="47" t="s">
        <v>893</v>
      </c>
      <c r="O156" s="47"/>
      <c r="P156" s="47">
        <v>1</v>
      </c>
      <c r="Q156" s="47">
        <v>1</v>
      </c>
      <c r="R156" s="47">
        <v>0</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1</v>
      </c>
      <c r="BR156" s="47">
        <v>0.5</v>
      </c>
      <c r="BS156" s="47">
        <v>0.5</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c r="DU156" s="47">
        <v>0</v>
      </c>
      <c r="DV156" s="47">
        <v>0</v>
      </c>
      <c r="DW156" s="47">
        <v>0</v>
      </c>
      <c r="DX156" s="47">
        <v>0</v>
      </c>
      <c r="DY156" s="47">
        <v>0</v>
      </c>
      <c r="DZ156" s="47"/>
      <c r="EA156" s="47">
        <v>1</v>
      </c>
      <c r="ZZ156" t="s">
        <v>1062</v>
      </c>
    </row>
    <row r="157" spans="1:702" x14ac:dyDescent="0.25">
      <c r="A157" s="47" t="s">
        <v>894</v>
      </c>
      <c r="B157" s="47" t="s">
        <v>151</v>
      </c>
      <c r="C157" s="47" t="s">
        <v>155</v>
      </c>
      <c r="D157" s="47" t="s">
        <v>1219</v>
      </c>
      <c r="E157" s="47" t="s">
        <v>895</v>
      </c>
      <c r="F157" s="47" t="s">
        <v>896</v>
      </c>
      <c r="G157" s="47" t="s">
        <v>897</v>
      </c>
      <c r="H157" s="47" t="s">
        <v>357</v>
      </c>
      <c r="I157" s="47" t="s">
        <v>358</v>
      </c>
      <c r="J157" s="47" t="str">
        <f>=IFERROR(VLOOKUP(H157&amp;I157,Table_Fonctions!A:G,6,FALSE),"")</f>
        <v>0</v>
      </c>
      <c r="K157" s="47" t="s">
        <v>1110</v>
      </c>
      <c r="L157" s="47" t="str">
        <f>=IFERROR(VLOOKUP(H157&amp;I157,Table_Fonctions!A:G,7,FALSE),K157)</f>
        <v/>
      </c>
      <c r="M157" s="47" t="str">
        <f>=IF(OR(LEFT(D157, 3)="TJ ", LEFT(D157, 4)="CPH "), "OUI", "NON")</f>
        <v/>
      </c>
      <c r="N157" s="47" t="s">
        <v>898</v>
      </c>
      <c r="O157" s="47"/>
      <c r="P157" s="47">
        <v>0.8</v>
      </c>
      <c r="Q157" s="47">
        <v>0.8</v>
      </c>
      <c r="R157" s="47">
        <v>0</v>
      </c>
      <c r="S157" s="47">
        <f>=ROUND(BQ157-(BR157+BS157),3)</f>
      </c>
      <c r="T157" s="47">
        <f>=ROUND(CK157-(CL157+CM157+CN157+CO157+CP157),3)</f>
      </c>
      <c r="U157" s="47">
        <v>0.4785</v>
      </c>
      <c r="V157" s="47">
        <v>0.4</v>
      </c>
      <c r="W157" s="47">
        <v>0</v>
      </c>
      <c r="X157" s="47">
        <v>0</v>
      </c>
      <c r="Y157" s="47">
        <v>0.0785</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0.3215</v>
      </c>
      <c r="CZ157" s="47">
        <v>0.08</v>
      </c>
      <c r="DA157" s="47">
        <v>0</v>
      </c>
      <c r="DB157" s="47">
        <v>0</v>
      </c>
      <c r="DC157" s="47">
        <v>0</v>
      </c>
      <c r="DD157" s="47">
        <v>0</v>
      </c>
      <c r="DE157" s="47">
        <v>0.2415</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v>0</v>
      </c>
      <c r="DZ157" s="47"/>
      <c r="EA157" s="47">
        <v>0.8</v>
      </c>
      <c r="ZZ157" t="s">
        <v>1062</v>
      </c>
    </row>
    <row r="158" spans="1:702" x14ac:dyDescent="0.25">
      <c r="A158" s="47" t="s">
        <v>899</v>
      </c>
      <c r="B158" s="47" t="s">
        <v>151</v>
      </c>
      <c r="C158" s="47" t="s">
        <v>155</v>
      </c>
      <c r="D158" s="47" t="s">
        <v>1143</v>
      </c>
      <c r="E158" s="47" t="s">
        <v>900</v>
      </c>
      <c r="F158" s="47" t="s">
        <v>901</v>
      </c>
      <c r="G158" s="47" t="s">
        <v>902</v>
      </c>
      <c r="H158" s="47" t="s">
        <v>357</v>
      </c>
      <c r="I158" s="47" t="s">
        <v>358</v>
      </c>
      <c r="J158" s="47" t="str">
        <f>=IFERROR(VLOOKUP(H158&amp;I158,Table_Fonctions!A:G,6,FALSE),"")</f>
        <v>0</v>
      </c>
      <c r="K158" s="47" t="s">
        <v>1110</v>
      </c>
      <c r="L158" s="47" t="str">
        <f>=IFERROR(VLOOKUP(H158&amp;I158,Table_Fonctions!A:G,7,FALSE),K158)</f>
        <v/>
      </c>
      <c r="M158" s="47" t="str">
        <f>=IF(OR(LEFT(D158, 3)="TJ ", LEFT(D158, 4)="CPH "), "OUI", "NON")</f>
        <v/>
      </c>
      <c r="N158" s="47" t="s">
        <v>533</v>
      </c>
      <c r="O158" s="47"/>
      <c r="P158" s="47">
        <v>1</v>
      </c>
      <c r="Q158" s="47">
        <v>1</v>
      </c>
      <c r="R158" s="47">
        <v>0</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1</v>
      </c>
      <c r="CZ158" s="47">
        <v>0</v>
      </c>
      <c r="DA158" s="47">
        <v>0</v>
      </c>
      <c r="DB158" s="47">
        <v>0</v>
      </c>
      <c r="DC158" s="47">
        <v>1</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v>0</v>
      </c>
      <c r="DZ158" s="47"/>
      <c r="EA158" s="47">
        <v>1</v>
      </c>
      <c r="ZZ158" t="s">
        <v>1062</v>
      </c>
    </row>
    <row r="159" spans="1:702" x14ac:dyDescent="0.25">
      <c r="A159" s="47" t="s">
        <v>903</v>
      </c>
      <c r="B159" s="47" t="s">
        <v>151</v>
      </c>
      <c r="C159" s="47" t="s">
        <v>155</v>
      </c>
      <c r="D159" s="47" t="s">
        <v>1220</v>
      </c>
      <c r="E159" s="47" t="s">
        <v>904</v>
      </c>
      <c r="F159" s="47" t="s">
        <v>905</v>
      </c>
      <c r="G159" s="47" t="s">
        <v>906</v>
      </c>
      <c r="H159" s="47" t="s">
        <v>357</v>
      </c>
      <c r="I159" s="47" t="s">
        <v>1193</v>
      </c>
      <c r="J159" s="47" t="str">
        <f>=IFERROR(VLOOKUP(H159&amp;I159,Table_Fonctions!A:G,6,FALSE),"")</f>
        <v>0</v>
      </c>
      <c r="K159" s="47" t="s">
        <v>1161</v>
      </c>
      <c r="L159" s="47" t="str">
        <f>=IFERROR(VLOOKUP(H159&amp;I159,Table_Fonctions!A:G,7,FALSE),K159)</f>
        <v/>
      </c>
      <c r="M159" s="47" t="str">
        <f>=IF(OR(LEFT(D159, 3)="TJ ", LEFT(D159, 4)="CPH "), "OUI", "NON")</f>
        <v/>
      </c>
      <c r="N159" s="47" t="s">
        <v>634</v>
      </c>
      <c r="O159" s="47" t="s">
        <v>170</v>
      </c>
      <c r="P159" s="47">
        <v>0.1764</v>
      </c>
      <c r="Q159" s="47">
        <v>0.1764</v>
      </c>
      <c r="R159" s="47">
        <v>0</v>
      </c>
      <c r="S159" s="47">
        <f>=ROUND(BQ159-(BR159+BS159),3)</f>
      </c>
      <c r="T159" s="47">
        <f>=ROUND(CK159-(CL159+CM159+CN159+CO159+CP159),3)</f>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0.1764</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0.0006</v>
      </c>
      <c r="DL159" s="47">
        <v>0</v>
      </c>
      <c r="DM159" s="47">
        <v>0</v>
      </c>
      <c r="DN159" s="47">
        <v>0</v>
      </c>
      <c r="DO159" s="47">
        <v>0</v>
      </c>
      <c r="DP159" s="47">
        <v>0</v>
      </c>
      <c r="DQ159" s="47">
        <v>0</v>
      </c>
      <c r="DR159" s="47">
        <v>0.0006</v>
      </c>
      <c r="DS159" s="47">
        <v>0</v>
      </c>
      <c r="DT159" s="47">
        <v>0</v>
      </c>
      <c r="DU159" s="47">
        <v>0</v>
      </c>
      <c r="DV159" s="47">
        <v>0</v>
      </c>
      <c r="DW159" s="47">
        <v>0</v>
      </c>
      <c r="DX159" s="47">
        <v>0</v>
      </c>
      <c r="DY159" s="47">
        <v>0</v>
      </c>
      <c r="DZ159" s="47"/>
      <c r="EA159" s="47">
        <v>0.177</v>
      </c>
      <c r="ZZ159" t="s">
        <v>1062</v>
      </c>
    </row>
    <row r="160" spans="1:702" x14ac:dyDescent="0.25">
      <c r="A160" s="47" t="s">
        <v>907</v>
      </c>
      <c r="B160" s="47" t="s">
        <v>151</v>
      </c>
      <c r="C160" s="47" t="s">
        <v>155</v>
      </c>
      <c r="D160" s="47" t="s">
        <v>1221</v>
      </c>
      <c r="E160" s="47" t="s">
        <v>908</v>
      </c>
      <c r="F160" s="47" t="s">
        <v>909</v>
      </c>
      <c r="G160" s="47" t="s">
        <v>910</v>
      </c>
      <c r="H160" s="47" t="s">
        <v>357</v>
      </c>
      <c r="I160" s="47" t="s">
        <v>503</v>
      </c>
      <c r="J160" s="47" t="str">
        <f>=IFERROR(VLOOKUP(H160&amp;I160,Table_Fonctions!A:G,6,FALSE),"")</f>
        <v>0</v>
      </c>
      <c r="K160" s="47" t="s">
        <v>1114</v>
      </c>
      <c r="L160" s="47" t="str">
        <f>=IFERROR(VLOOKUP(H160&amp;I160,Table_Fonctions!A:G,7,FALSE),K160)</f>
        <v/>
      </c>
      <c r="M160" s="47" t="str">
        <f>=IF(OR(LEFT(D160, 3)="TJ ", LEFT(D160, 4)="CPH "), "OUI", "NON")</f>
        <v/>
      </c>
      <c r="N160" s="47" t="s">
        <v>911</v>
      </c>
      <c r="O160" s="47" t="s">
        <v>912</v>
      </c>
      <c r="P160" s="47">
        <v>0.4176</v>
      </c>
      <c r="Q160" s="47">
        <v>0.4176</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0.4176</v>
      </c>
      <c r="AK160" s="47">
        <v>0</v>
      </c>
      <c r="AL160" s="47">
        <v>0</v>
      </c>
      <c r="AM160" s="47">
        <v>0</v>
      </c>
      <c r="AN160" s="47">
        <v>0</v>
      </c>
      <c r="AO160" s="47">
        <v>0</v>
      </c>
      <c r="AP160" s="47">
        <v>0.4176</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v>0</v>
      </c>
      <c r="DZ160" s="47"/>
      <c r="EA160" s="47">
        <v>0.4176</v>
      </c>
      <c r="ZZ160" t="s">
        <v>1062</v>
      </c>
    </row>
    <row r="161" spans="1:702" x14ac:dyDescent="0.25">
      <c r="A161" s="47" t="s">
        <v>913</v>
      </c>
      <c r="B161" s="47" t="s">
        <v>151</v>
      </c>
      <c r="C161" s="47" t="s">
        <v>155</v>
      </c>
      <c r="D161" s="47" t="s">
        <v>1222</v>
      </c>
      <c r="E161" s="47" t="s">
        <v>914</v>
      </c>
      <c r="F161" s="47" t="s">
        <v>915</v>
      </c>
      <c r="G161" s="47" t="s">
        <v>916</v>
      </c>
      <c r="H161" s="47" t="s">
        <v>357</v>
      </c>
      <c r="I161" s="47" t="s">
        <v>358</v>
      </c>
      <c r="J161" s="47" t="str">
        <f>=IFERROR(VLOOKUP(H161&amp;I161,Table_Fonctions!A:G,6,FALSE),"")</f>
        <v>0</v>
      </c>
      <c r="K161" s="47" t="s">
        <v>1110</v>
      </c>
      <c r="L161" s="47" t="str">
        <f>=IFERROR(VLOOKUP(H161&amp;I161,Table_Fonctions!A:G,7,FALSE),K161)</f>
        <v/>
      </c>
      <c r="M161" s="47" t="str">
        <f>=IF(OR(LEFT(D161, 3)="TJ ", LEFT(D161, 4)="CPH "), "OUI", "NON")</f>
        <v/>
      </c>
      <c r="N161" s="47" t="s">
        <v>818</v>
      </c>
      <c r="O161" s="47"/>
      <c r="P161" s="47">
        <v>1</v>
      </c>
      <c r="Q161" s="47">
        <v>1</v>
      </c>
      <c r="R161" s="47">
        <v>0</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0.3</v>
      </c>
      <c r="BU161" s="47">
        <v>0</v>
      </c>
      <c r="BV161" s="47">
        <v>0</v>
      </c>
      <c r="BW161" s="47">
        <v>0</v>
      </c>
      <c r="BX161" s="47">
        <v>0</v>
      </c>
      <c r="BY161" s="47">
        <v>0</v>
      </c>
      <c r="BZ161" s="47">
        <v>0.3</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0.7</v>
      </c>
      <c r="CZ161" s="47">
        <v>0</v>
      </c>
      <c r="DA161" s="47">
        <v>0</v>
      </c>
      <c r="DB161" s="47">
        <v>0</v>
      </c>
      <c r="DC161" s="47">
        <v>0</v>
      </c>
      <c r="DD161" s="47">
        <v>0</v>
      </c>
      <c r="DE161" s="47">
        <v>0</v>
      </c>
      <c r="DF161" s="47">
        <v>0</v>
      </c>
      <c r="DG161" s="47">
        <v>0</v>
      </c>
      <c r="DH161" s="47">
        <v>0</v>
      </c>
      <c r="DI161" s="47">
        <v>0</v>
      </c>
      <c r="DJ161" s="47">
        <v>0.7</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v>0</v>
      </c>
      <c r="DZ161" s="47"/>
      <c r="EA161" s="47">
        <v>1</v>
      </c>
      <c r="ZZ161" t="s">
        <v>1062</v>
      </c>
    </row>
    <row r="162" spans="1:702" x14ac:dyDescent="0.25">
      <c r="A162" s="47" t="s">
        <v>917</v>
      </c>
      <c r="B162" s="47" t="s">
        <v>151</v>
      </c>
      <c r="C162" s="47" t="s">
        <v>155</v>
      </c>
      <c r="D162" s="47" t="s">
        <v>1223</v>
      </c>
      <c r="E162" s="47" t="s">
        <v>918</v>
      </c>
      <c r="F162" s="47" t="s">
        <v>919</v>
      </c>
      <c r="G162" s="47" t="s">
        <v>920</v>
      </c>
      <c r="H162" s="47" t="s">
        <v>357</v>
      </c>
      <c r="I162" s="47" t="s">
        <v>358</v>
      </c>
      <c r="J162" s="47" t="str">
        <f>=IFERROR(VLOOKUP(H162&amp;I162,Table_Fonctions!A:G,6,FALSE),"")</f>
        <v>0</v>
      </c>
      <c r="K162" s="47" t="s">
        <v>1110</v>
      </c>
      <c r="L162" s="47" t="str">
        <f>=IFERROR(VLOOKUP(H162&amp;I162,Table_Fonctions!A:G,7,FALSE),K162)</f>
        <v/>
      </c>
      <c r="M162" s="47" t="str">
        <f>=IF(OR(LEFT(D162, 3)="TJ ", LEFT(D162, 4)="CPH "), "OUI", "NON")</f>
        <v/>
      </c>
      <c r="N162" s="47" t="s">
        <v>377</v>
      </c>
      <c r="O162" s="47"/>
      <c r="P162" s="47">
        <v>1</v>
      </c>
      <c r="Q162" s="47">
        <v>0</v>
      </c>
      <c r="R162" s="47">
        <v>1</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v>0</v>
      </c>
      <c r="DZ162" s="47"/>
      <c r="EA162" s="47">
        <v>1</v>
      </c>
      <c r="ZZ162" t="s">
        <v>1062</v>
      </c>
    </row>
    <row r="163" spans="1:702" x14ac:dyDescent="0.25">
      <c r="A163" s="47" t="s">
        <v>921</v>
      </c>
      <c r="B163" s="47" t="s">
        <v>151</v>
      </c>
      <c r="C163" s="47" t="s">
        <v>155</v>
      </c>
      <c r="D163" s="47" t="s">
        <v>1224</v>
      </c>
      <c r="E163" s="47" t="s">
        <v>922</v>
      </c>
      <c r="F163" s="47" t="s">
        <v>923</v>
      </c>
      <c r="G163" s="47" t="s">
        <v>924</v>
      </c>
      <c r="H163" s="47" t="s">
        <v>357</v>
      </c>
      <c r="I163" s="47" t="s">
        <v>388</v>
      </c>
      <c r="J163" s="47" t="str">
        <f>=IFERROR(VLOOKUP(H163&amp;I163,Table_Fonctions!A:G,6,FALSE),"")</f>
        <v>0</v>
      </c>
      <c r="K163" s="47" t="s">
        <v>1110</v>
      </c>
      <c r="L163" s="47" t="str">
        <f>=IFERROR(VLOOKUP(H163&amp;I163,Table_Fonctions!A:G,7,FALSE),K163)</f>
        <v/>
      </c>
      <c r="M163" s="47" t="str">
        <f>=IF(OR(LEFT(D163, 3)="TJ ", LEFT(D163, 4)="CPH "), "OUI", "NON")</f>
        <v/>
      </c>
      <c r="N163" s="47" t="s">
        <v>573</v>
      </c>
      <c r="O163" s="47"/>
      <c r="P163" s="47">
        <v>1</v>
      </c>
      <c r="Q163" s="47">
        <v>1</v>
      </c>
      <c r="R163" s="47">
        <v>0</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1</v>
      </c>
      <c r="BR163" s="47">
        <v>1</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v>
      </c>
      <c r="DX163" s="47">
        <v>0.0881</v>
      </c>
      <c r="DY163" s="47">
        <v>0.0881</v>
      </c>
      <c r="DZ163" s="47"/>
      <c r="EA163" s="47">
        <v>1</v>
      </c>
      <c r="ZZ163" t="s">
        <v>1062</v>
      </c>
    </row>
    <row r="164" spans="1:702" x14ac:dyDescent="0.25">
      <c r="A164" s="47" t="s">
        <v>925</v>
      </c>
      <c r="B164" s="47" t="s">
        <v>151</v>
      </c>
      <c r="C164" s="47" t="s">
        <v>155</v>
      </c>
      <c r="D164" s="47" t="s">
        <v>1225</v>
      </c>
      <c r="E164" s="47" t="s">
        <v>926</v>
      </c>
      <c r="F164" s="47" t="s">
        <v>927</v>
      </c>
      <c r="G164" s="47" t="s">
        <v>928</v>
      </c>
      <c r="H164" s="47" t="s">
        <v>357</v>
      </c>
      <c r="I164" s="47" t="s">
        <v>358</v>
      </c>
      <c r="J164" s="47" t="str">
        <f>=IFERROR(VLOOKUP(H164&amp;I164,Table_Fonctions!A:G,6,FALSE),"")</f>
        <v>0</v>
      </c>
      <c r="K164" s="47" t="s">
        <v>1110</v>
      </c>
      <c r="L164" s="47" t="str">
        <f>=IFERROR(VLOOKUP(H164&amp;I164,Table_Fonctions!A:G,7,FALSE),K164)</f>
        <v/>
      </c>
      <c r="M164" s="47" t="str">
        <f>=IF(OR(LEFT(D164, 3)="TJ ", LEFT(D164, 4)="CPH "), "OUI", "NON")</f>
        <v/>
      </c>
      <c r="N164" s="47" t="s">
        <v>472</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v>0</v>
      </c>
      <c r="DZ164" s="47"/>
      <c r="EA164" s="47">
        <v>1</v>
      </c>
      <c r="ZZ164" t="s">
        <v>1062</v>
      </c>
    </row>
    <row r="165" spans="1:702" x14ac:dyDescent="0.25">
      <c r="A165" s="47" t="s">
        <v>929</v>
      </c>
      <c r="B165" s="47" t="s">
        <v>151</v>
      </c>
      <c r="C165" s="47" t="s">
        <v>155</v>
      </c>
      <c r="D165" s="47" t="s">
        <v>1226</v>
      </c>
      <c r="E165" s="47" t="s">
        <v>930</v>
      </c>
      <c r="F165" s="47" t="s">
        <v>931</v>
      </c>
      <c r="G165" s="47" t="s">
        <v>932</v>
      </c>
      <c r="H165" s="47" t="s">
        <v>357</v>
      </c>
      <c r="I165" s="47" t="s">
        <v>388</v>
      </c>
      <c r="J165" s="47" t="str">
        <f>=IFERROR(VLOOKUP(H165&amp;I165,Table_Fonctions!A:G,6,FALSE),"")</f>
        <v>0</v>
      </c>
      <c r="K165" s="47" t="s">
        <v>1110</v>
      </c>
      <c r="L165" s="47" t="str">
        <f>=IFERROR(VLOOKUP(H165&amp;I165,Table_Fonctions!A:G,7,FALSE),K165)</f>
        <v/>
      </c>
      <c r="M165" s="47" t="str">
        <f>=IF(OR(LEFT(D165, 3)="TJ ", LEFT(D165, 4)="CPH "), "OUI", "NON")</f>
        <v/>
      </c>
      <c r="N165" s="47" t="s">
        <v>377</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v>0</v>
      </c>
      <c r="DZ165" s="47"/>
      <c r="EA165" s="47">
        <v>1</v>
      </c>
      <c r="ZZ165" t="s">
        <v>1062</v>
      </c>
    </row>
    <row r="166" spans="1:702" x14ac:dyDescent="0.25">
      <c r="A166" s="47" t="s">
        <v>933</v>
      </c>
      <c r="B166" s="47" t="s">
        <v>151</v>
      </c>
      <c r="C166" s="47" t="s">
        <v>155</v>
      </c>
      <c r="D166" s="47" t="s">
        <v>1117</v>
      </c>
      <c r="E166" s="47" t="s">
        <v>934</v>
      </c>
      <c r="F166" s="47" t="s">
        <v>935</v>
      </c>
      <c r="G166" s="47" t="s">
        <v>936</v>
      </c>
      <c r="H166" s="47" t="s">
        <v>357</v>
      </c>
      <c r="I166" s="47" t="s">
        <v>388</v>
      </c>
      <c r="J166" s="47" t="str">
        <f>=IFERROR(VLOOKUP(H166&amp;I166,Table_Fonctions!A:G,6,FALSE),"")</f>
        <v>0</v>
      </c>
      <c r="K166" s="47" t="s">
        <v>1110</v>
      </c>
      <c r="L166" s="47" t="str">
        <f>=IFERROR(VLOOKUP(H166&amp;I166,Table_Fonctions!A:G,7,FALSE),K166)</f>
        <v/>
      </c>
      <c r="M166" s="47" t="str">
        <f>=IF(OR(LEFT(D166, 3)="TJ ", LEFT(D166, 4)="CPH "), "OUI", "NON")</f>
        <v/>
      </c>
      <c r="N166" s="47" t="s">
        <v>937</v>
      </c>
      <c r="O166" s="47"/>
      <c r="P166" s="47">
        <v>0.9</v>
      </c>
      <c r="Q166" s="47">
        <v>0</v>
      </c>
      <c r="R166" s="47">
        <v>0.9</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v>0</v>
      </c>
      <c r="DZ166" s="47"/>
      <c r="EA166" s="47">
        <v>0.9</v>
      </c>
      <c r="ZZ166" t="s">
        <v>1062</v>
      </c>
    </row>
    <row r="167" spans="1:702" x14ac:dyDescent="0.25">
      <c r="A167" s="47" t="s">
        <v>938</v>
      </c>
      <c r="B167" s="47" t="s">
        <v>151</v>
      </c>
      <c r="C167" s="47" t="s">
        <v>155</v>
      </c>
      <c r="D167" s="47" t="s">
        <v>1227</v>
      </c>
      <c r="E167" s="47" t="s">
        <v>939</v>
      </c>
      <c r="F167" s="47" t="s">
        <v>940</v>
      </c>
      <c r="G167" s="47" t="s">
        <v>941</v>
      </c>
      <c r="H167" s="47" t="s">
        <v>942</v>
      </c>
      <c r="I167" s="47" t="s">
        <v>1228</v>
      </c>
      <c r="J167" s="47" t="str">
        <f>=IFERROR(VLOOKUP(H167&amp;I167,Table_Fonctions!A:G,6,FALSE),"")</f>
        <v>0</v>
      </c>
      <c r="K167" s="47" t="s">
        <v>1114</v>
      </c>
      <c r="L167" s="47" t="str">
        <f>=IFERROR(VLOOKUP(H167&amp;I167,Table_Fonctions!A:G,7,FALSE),K167)</f>
        <v/>
      </c>
      <c r="M167" s="47" t="str">
        <f>=IF(OR(LEFT(D167, 3)="TJ ", LEFT(D167, 4)="CPH "), "OUI", "NON")</f>
        <v/>
      </c>
      <c r="N167" s="47" t="s">
        <v>944</v>
      </c>
      <c r="O167" s="47"/>
      <c r="P167" s="47">
        <v>0.4103</v>
      </c>
      <c r="Q167" s="47">
        <v>0.4103</v>
      </c>
      <c r="R167" s="47">
        <v>0</v>
      </c>
      <c r="S167" s="47">
        <f>=ROUND(BQ167-(BR167+BS167),3)</f>
      </c>
      <c r="T167" s="47">
        <f>=ROUND(CK167-(CL167+CM167+CN167+CO167+CP167),3)</f>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0.3488</v>
      </c>
      <c r="BU167" s="47">
        <v>0</v>
      </c>
      <c r="BV167" s="47">
        <v>0.1231</v>
      </c>
      <c r="BW167" s="47">
        <v>0</v>
      </c>
      <c r="BX167" s="47">
        <v>0</v>
      </c>
      <c r="BY167" s="47">
        <v>0</v>
      </c>
      <c r="BZ167" s="47">
        <v>0</v>
      </c>
      <c r="CA167" s="47">
        <v>0</v>
      </c>
      <c r="CB167" s="47">
        <v>0.041</v>
      </c>
      <c r="CC167" s="47">
        <v>0.1641</v>
      </c>
      <c r="CD167" s="47">
        <v>0</v>
      </c>
      <c r="CE167" s="47">
        <v>0</v>
      </c>
      <c r="CF167" s="47">
        <v>0.0205</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0.0616</v>
      </c>
      <c r="CZ167" s="47">
        <v>0.0616</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v>0</v>
      </c>
      <c r="DZ167" s="47"/>
      <c r="EA167" s="47">
        <v>0.4103</v>
      </c>
      <c r="ZZ167" t="s">
        <v>1062</v>
      </c>
    </row>
    <row r="168" spans="1:702" x14ac:dyDescent="0.25">
      <c r="A168" s="47" t="s">
        <v>945</v>
      </c>
      <c r="B168" s="47" t="s">
        <v>151</v>
      </c>
      <c r="C168" s="47" t="s">
        <v>155</v>
      </c>
      <c r="D168" s="47" t="s">
        <v>1229</v>
      </c>
      <c r="E168" s="47" t="s">
        <v>946</v>
      </c>
      <c r="F168" s="47" t="s">
        <v>947</v>
      </c>
      <c r="G168" s="47" t="s">
        <v>948</v>
      </c>
      <c r="H168" s="47" t="s">
        <v>942</v>
      </c>
      <c r="I168" s="47" t="s">
        <v>1228</v>
      </c>
      <c r="J168" s="47" t="str">
        <f>=IFERROR(VLOOKUP(H168&amp;I168,Table_Fonctions!A:G,6,FALSE),"")</f>
        <v>0</v>
      </c>
      <c r="K168" s="47" t="s">
        <v>1114</v>
      </c>
      <c r="L168" s="47" t="str">
        <f>=IFERROR(VLOOKUP(H168&amp;I168,Table_Fonctions!A:G,7,FALSE),K168)</f>
        <v/>
      </c>
      <c r="M168" s="47" t="str">
        <f>=IF(OR(LEFT(D168, 3)="TJ ", LEFT(D168, 4)="CPH "), "OUI", "NON")</f>
        <v/>
      </c>
      <c r="N168" s="47" t="s">
        <v>176</v>
      </c>
      <c r="O168" s="47"/>
      <c r="P168" s="47">
        <v>1</v>
      </c>
      <c r="Q168" s="47">
        <v>0</v>
      </c>
      <c r="R168" s="47">
        <v>1</v>
      </c>
      <c r="S168" s="47">
        <f>=ROUND(BQ168-(BR168+BS168),3)</f>
      </c>
      <c r="T168" s="47">
        <f>=ROUND(CK168-(CL168+CM168+CN168+CO168+CP168),3)</f>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v>0</v>
      </c>
      <c r="DZ168" s="47"/>
      <c r="EA168" s="47">
        <v>1</v>
      </c>
      <c r="ZZ168" t="s">
        <v>1062</v>
      </c>
    </row>
    <row r="169" spans="1:702" x14ac:dyDescent="0.25">
      <c r="A169" s="47" t="s">
        <v>949</v>
      </c>
      <c r="B169" s="47" t="s">
        <v>151</v>
      </c>
      <c r="C169" s="47" t="s">
        <v>155</v>
      </c>
      <c r="D169" s="47" t="s">
        <v>1230</v>
      </c>
      <c r="E169" s="47" t="s">
        <v>950</v>
      </c>
      <c r="F169" s="47" t="s">
        <v>951</v>
      </c>
      <c r="G169" s="47" t="s">
        <v>952</v>
      </c>
      <c r="H169" s="47" t="s">
        <v>942</v>
      </c>
      <c r="I169" s="47" t="s">
        <v>1228</v>
      </c>
      <c r="J169" s="47" t="str">
        <f>=IFERROR(VLOOKUP(H169&amp;I169,Table_Fonctions!A:G,6,FALSE),"")</f>
        <v>0</v>
      </c>
      <c r="K169" s="47" t="s">
        <v>1114</v>
      </c>
      <c r="L169" s="47" t="str">
        <f>=IFERROR(VLOOKUP(H169&amp;I169,Table_Fonctions!A:G,7,FALSE),K169)</f>
        <v/>
      </c>
      <c r="M169" s="47" t="str">
        <f>=IF(OR(LEFT(D169, 3)="TJ ", LEFT(D169, 4)="CPH "), "OUI", "NON")</f>
        <v/>
      </c>
      <c r="N169" s="47" t="s">
        <v>953</v>
      </c>
      <c r="O169" s="47"/>
      <c r="P169" s="47">
        <v>1</v>
      </c>
      <c r="Q169" s="47">
        <v>1</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1</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0.65</v>
      </c>
      <c r="BJ169" s="47">
        <v>0.25</v>
      </c>
      <c r="BK169" s="47">
        <v>0</v>
      </c>
      <c r="BL169" s="47">
        <v>0.1</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c r="DS169" s="47">
        <v>0</v>
      </c>
      <c r="DT169" s="47">
        <v>0</v>
      </c>
      <c r="DU169" s="47">
        <v>0</v>
      </c>
      <c r="DV169" s="47">
        <v>0</v>
      </c>
      <c r="DW169" s="47">
        <v>0</v>
      </c>
      <c r="DX169" s="47">
        <v>0</v>
      </c>
      <c r="DY169" s="47">
        <v>0</v>
      </c>
      <c r="DZ169" s="47"/>
      <c r="EA169" s="47">
        <v>1</v>
      </c>
      <c r="ZZ169" t="s">
        <v>1062</v>
      </c>
    </row>
    <row r="170" spans="1:702" x14ac:dyDescent="0.25">
      <c r="A170" s="47" t="s">
        <v>954</v>
      </c>
      <c r="B170" s="47" t="s">
        <v>151</v>
      </c>
      <c r="C170" s="47" t="s">
        <v>155</v>
      </c>
      <c r="D170" s="47" t="s">
        <v>1167</v>
      </c>
      <c r="E170" s="47" t="s">
        <v>955</v>
      </c>
      <c r="F170" s="47" t="s">
        <v>956</v>
      </c>
      <c r="G170" s="47" t="s">
        <v>633</v>
      </c>
      <c r="H170" s="47" t="s">
        <v>942</v>
      </c>
      <c r="I170" s="47" t="s">
        <v>957</v>
      </c>
      <c r="J170" s="47" t="str">
        <f>=IFERROR(VLOOKUP(H170&amp;I170,Table_Fonctions!A:G,6,FALSE),"")</f>
        <v>0</v>
      </c>
      <c r="K170" s="47" t="s">
        <v>1114</v>
      </c>
      <c r="L170" s="47" t="str">
        <f>=IFERROR(VLOOKUP(H170&amp;I170,Table_Fonctions!A:G,7,FALSE),K170)</f>
        <v/>
      </c>
      <c r="M170" s="47" t="str">
        <f>=IF(OR(LEFT(D170, 3)="TJ ", LEFT(D170, 4)="CPH "), "OUI", "NON")</f>
        <v/>
      </c>
      <c r="N170" s="47" t="s">
        <v>596</v>
      </c>
      <c r="O170" s="47" t="s">
        <v>170</v>
      </c>
      <c r="P170" s="47">
        <v>0.4</v>
      </c>
      <c r="Q170" s="47">
        <v>0.4</v>
      </c>
      <c r="R170" s="47">
        <v>0</v>
      </c>
      <c r="S170" s="47">
        <f>=ROUND(BQ170-(BR170+BS170),3)</f>
      </c>
      <c r="T170" s="47">
        <f>=ROUND(CK170-(CL170+CM170+CN170+CO170+CP170),3)</f>
      </c>
      <c r="U170" s="47">
        <v>0</v>
      </c>
      <c r="V170" s="47">
        <v>0</v>
      </c>
      <c r="W170" s="47">
        <v>0</v>
      </c>
      <c r="X170" s="47">
        <v>0</v>
      </c>
      <c r="Y170" s="47">
        <v>0</v>
      </c>
      <c r="Z170" s="47">
        <v>0.4</v>
      </c>
      <c r="AA170" s="47">
        <v>0</v>
      </c>
      <c r="AB170" s="47">
        <v>0.2</v>
      </c>
      <c r="AC170" s="47">
        <v>0</v>
      </c>
      <c r="AD170" s="47">
        <v>0</v>
      </c>
      <c r="AE170" s="47">
        <v>0.2</v>
      </c>
      <c r="AF170" s="47">
        <v>0</v>
      </c>
      <c r="AG170" s="47">
        <v>0</v>
      </c>
      <c r="AH170" s="47">
        <v>0</v>
      </c>
      <c r="AI170" s="47">
        <v>0</v>
      </c>
      <c r="AJ170" s="47">
        <v>0</v>
      </c>
      <c r="AK170" s="47">
        <v>0</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v>0</v>
      </c>
      <c r="DZ170" s="47"/>
      <c r="EA170" s="47">
        <v>0.4</v>
      </c>
      <c r="ZZ170" t="s">
        <v>1062</v>
      </c>
    </row>
    <row r="171" spans="1:702" x14ac:dyDescent="0.25">
      <c r="A171" s="47" t="s">
        <v>958</v>
      </c>
      <c r="B171" s="47" t="s">
        <v>151</v>
      </c>
      <c r="C171" s="47" t="s">
        <v>155</v>
      </c>
      <c r="D171" s="47" t="s">
        <v>1231</v>
      </c>
      <c r="E171" s="47" t="s">
        <v>959</v>
      </c>
      <c r="F171" s="47" t="s">
        <v>960</v>
      </c>
      <c r="G171" s="47" t="s">
        <v>961</v>
      </c>
      <c r="H171" s="47" t="s">
        <v>942</v>
      </c>
      <c r="I171" s="47" t="s">
        <v>1228</v>
      </c>
      <c r="J171" s="47" t="str">
        <f>=IFERROR(VLOOKUP(H171&amp;I171,Table_Fonctions!A:G,6,FALSE),"")</f>
        <v>0</v>
      </c>
      <c r="K171" s="47" t="s">
        <v>1114</v>
      </c>
      <c r="L171" s="47" t="str">
        <f>=IFERROR(VLOOKUP(H171&amp;I171,Table_Fonctions!A:G,7,FALSE),K171)</f>
        <v/>
      </c>
      <c r="M171" s="47" t="str">
        <f>=IF(OR(LEFT(D171, 3)="TJ ", LEFT(D171, 4)="CPH "), "OUI", "NON")</f>
        <v/>
      </c>
      <c r="N171" s="47" t="s">
        <v>962</v>
      </c>
      <c r="O171" s="47" t="s">
        <v>963</v>
      </c>
      <c r="P171" s="47">
        <v>0.3425</v>
      </c>
      <c r="Q171" s="47">
        <v>0.3425</v>
      </c>
      <c r="R171" s="47">
        <v>0</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0.3425</v>
      </c>
      <c r="BU171" s="47">
        <v>0.1918</v>
      </c>
      <c r="BV171" s="47">
        <v>0</v>
      </c>
      <c r="BW171" s="47">
        <v>0</v>
      </c>
      <c r="BX171" s="47">
        <v>0</v>
      </c>
      <c r="BY171" s="47">
        <v>0</v>
      </c>
      <c r="BZ171" s="47">
        <v>0</v>
      </c>
      <c r="CA171" s="47">
        <v>0</v>
      </c>
      <c r="CB171" s="47">
        <v>0.0685</v>
      </c>
      <c r="CC171" s="47">
        <v>0.0137</v>
      </c>
      <c r="CD171" s="47">
        <v>0</v>
      </c>
      <c r="CE171" s="47">
        <v>0</v>
      </c>
      <c r="CF171" s="47">
        <v>0.0685</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v>
      </c>
      <c r="DG171" s="47">
        <v>0</v>
      </c>
      <c r="DH171" s="47">
        <v>0</v>
      </c>
      <c r="DI171" s="47">
        <v>0</v>
      </c>
      <c r="DJ171" s="47">
        <v>0</v>
      </c>
      <c r="DK171" s="47">
        <v>0.2529</v>
      </c>
      <c r="DL171" s="47">
        <v>0</v>
      </c>
      <c r="DM171" s="47">
        <v>0.2529</v>
      </c>
      <c r="DN171" s="47">
        <v>0</v>
      </c>
      <c r="DO171" s="47">
        <v>0</v>
      </c>
      <c r="DP171" s="47">
        <v>0</v>
      </c>
      <c r="DQ171" s="47">
        <v>0</v>
      </c>
      <c r="DR171" s="47">
        <v>0</v>
      </c>
      <c r="DS171" s="47">
        <v>0</v>
      </c>
      <c r="DT171" s="47">
        <v>0</v>
      </c>
      <c r="DU171" s="47">
        <v>0</v>
      </c>
      <c r="DV171" s="47">
        <v>0</v>
      </c>
      <c r="DW171" s="47">
        <v>0</v>
      </c>
      <c r="DX171" s="47">
        <v>0</v>
      </c>
      <c r="DY171" s="47">
        <v>0</v>
      </c>
      <c r="DZ171" s="47"/>
      <c r="EA171" s="47">
        <v>0.5954</v>
      </c>
      <c r="ZZ171" t="s">
        <v>1062</v>
      </c>
    </row>
    <row r="172" spans="1:702" x14ac:dyDescent="0.25">
      <c r="A172" s="47" t="s">
        <v>964</v>
      </c>
      <c r="B172" s="47" t="s">
        <v>151</v>
      </c>
      <c r="C172" s="47" t="s">
        <v>155</v>
      </c>
      <c r="D172" s="47" t="s">
        <v>1232</v>
      </c>
      <c r="E172" s="47" t="s">
        <v>965</v>
      </c>
      <c r="F172" s="47" t="s">
        <v>966</v>
      </c>
      <c r="G172" s="47" t="s">
        <v>967</v>
      </c>
      <c r="H172" s="47" t="s">
        <v>942</v>
      </c>
      <c r="I172" s="47" t="s">
        <v>1228</v>
      </c>
      <c r="J172" s="47" t="str">
        <f>=IFERROR(VLOOKUP(H172&amp;I172,Table_Fonctions!A:G,6,FALSE),"")</f>
        <v>0</v>
      </c>
      <c r="K172" s="47" t="s">
        <v>1114</v>
      </c>
      <c r="L172" s="47" t="str">
        <f>=IFERROR(VLOOKUP(H172&amp;I172,Table_Fonctions!A:G,7,FALSE),K172)</f>
        <v/>
      </c>
      <c r="M172" s="47" t="str">
        <f>=IF(OR(LEFT(D172, 3)="TJ ", LEFT(D172, 4)="CPH "), "OUI", "NON")</f>
        <v/>
      </c>
      <c r="N172" s="47" t="s">
        <v>208</v>
      </c>
      <c r="O172" s="47" t="s">
        <v>912</v>
      </c>
      <c r="P172" s="47">
        <v>0.6628</v>
      </c>
      <c r="Q172" s="47">
        <v>0.6628</v>
      </c>
      <c r="R172" s="47">
        <v>0</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0.6628</v>
      </c>
      <c r="CZ172" s="47">
        <v>0.6628</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v>0</v>
      </c>
      <c r="DZ172" s="47"/>
      <c r="EA172" s="47">
        <v>0.6628</v>
      </c>
      <c r="ZZ172" t="s">
        <v>1062</v>
      </c>
    </row>
    <row r="173" spans="1:702" x14ac:dyDescent="0.25">
      <c r="A173" s="47" t="s">
        <v>968</v>
      </c>
      <c r="B173" s="47" t="s">
        <v>151</v>
      </c>
      <c r="C173" s="47" t="s">
        <v>155</v>
      </c>
      <c r="D173" s="47" t="s">
        <v>1233</v>
      </c>
      <c r="E173" s="47" t="s">
        <v>969</v>
      </c>
      <c r="F173" s="47" t="s">
        <v>970</v>
      </c>
      <c r="G173" s="47" t="s">
        <v>971</v>
      </c>
      <c r="H173" s="47" t="s">
        <v>942</v>
      </c>
      <c r="I173" s="47" t="s">
        <v>1234</v>
      </c>
      <c r="J173" s="47" t="str">
        <f>=IFERROR(VLOOKUP(H173&amp;I173,Table_Fonctions!A:G,6,FALSE),"")</f>
        <v>0</v>
      </c>
      <c r="K173" s="47" t="s">
        <v>1114</v>
      </c>
      <c r="L173" s="47" t="str">
        <f>=IFERROR(VLOOKUP(H173&amp;I173,Table_Fonctions!A:G,7,FALSE),K173)</f>
        <v/>
      </c>
      <c r="M173" s="47" t="str">
        <f>=IF(OR(LEFT(D173, 3)="TJ ", LEFT(D173, 4)="CPH "), "OUI", "NON")</f>
        <v/>
      </c>
      <c r="N173" s="47" t="s">
        <v>377</v>
      </c>
      <c r="O173" s="47"/>
      <c r="P173" s="47">
        <v>1</v>
      </c>
      <c r="Q173" s="47">
        <v>1</v>
      </c>
      <c r="R173" s="47">
        <v>0</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0.98</v>
      </c>
      <c r="CL173" s="47">
        <v>0</v>
      </c>
      <c r="CM173" s="47">
        <v>0</v>
      </c>
      <c r="CN173" s="47">
        <v>0</v>
      </c>
      <c r="CO173" s="47">
        <v>0.98</v>
      </c>
      <c r="CP173" s="47">
        <v>0</v>
      </c>
      <c r="CQ173" s="47">
        <v>0</v>
      </c>
      <c r="CR173" s="47">
        <v>0</v>
      </c>
      <c r="CS173" s="47">
        <v>0</v>
      </c>
      <c r="CT173" s="47">
        <v>0</v>
      </c>
      <c r="CU173" s="47">
        <v>0</v>
      </c>
      <c r="CV173" s="47">
        <v>0</v>
      </c>
      <c r="CW173" s="47">
        <v>0</v>
      </c>
      <c r="CX173" s="47">
        <v>0</v>
      </c>
      <c r="CY173" s="47">
        <v>0.02</v>
      </c>
      <c r="CZ173" s="47">
        <v>0.02</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v>
      </c>
      <c r="DY173" s="47">
        <v>0</v>
      </c>
      <c r="DZ173" s="47"/>
      <c r="EA173" s="47">
        <v>1</v>
      </c>
      <c r="ZZ173" t="s">
        <v>1062</v>
      </c>
    </row>
    <row r="174" spans="1:702" x14ac:dyDescent="0.25">
      <c r="A174" s="47" t="s">
        <v>973</v>
      </c>
      <c r="B174" s="47" t="s">
        <v>151</v>
      </c>
      <c r="C174" s="47" t="s">
        <v>155</v>
      </c>
      <c r="D174" s="47" t="s">
        <v>1235</v>
      </c>
      <c r="E174" s="47" t="s">
        <v>974</v>
      </c>
      <c r="F174" s="47" t="s">
        <v>975</v>
      </c>
      <c r="G174" s="47" t="s">
        <v>976</v>
      </c>
      <c r="H174" s="47" t="s">
        <v>942</v>
      </c>
      <c r="I174" s="47" t="s">
        <v>1234</v>
      </c>
      <c r="J174" s="47" t="str">
        <f>=IFERROR(VLOOKUP(H174&amp;I174,Table_Fonctions!A:G,6,FALSE),"")</f>
        <v>0</v>
      </c>
      <c r="K174" s="47" t="s">
        <v>1114</v>
      </c>
      <c r="L174" s="47" t="str">
        <f>=IFERROR(VLOOKUP(H174&amp;I174,Table_Fonctions!A:G,7,FALSE),K174)</f>
        <v/>
      </c>
      <c r="M174" s="47" t="str">
        <f>=IF(OR(LEFT(D174, 3)="TJ ", LEFT(D174, 4)="CPH "), "OUI", "NON")</f>
        <v/>
      </c>
      <c r="N174" s="47" t="s">
        <v>377</v>
      </c>
      <c r="O174" s="47"/>
      <c r="P174" s="47">
        <v>1</v>
      </c>
      <c r="Q174" s="47">
        <v>1</v>
      </c>
      <c r="R174" s="47">
        <v>0</v>
      </c>
      <c r="S174" s="47">
        <f>=ROUND(BQ174-(BR174+BS174),3)</f>
      </c>
      <c r="T174" s="47">
        <f>=ROUND(CK174-(CL174+CM174+CN174+CO174+CP174),3)</f>
      </c>
      <c r="U174" s="47">
        <v>0.3</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0.7</v>
      </c>
      <c r="AT174" s="47">
        <v>0</v>
      </c>
      <c r="AU174" s="47">
        <v>0</v>
      </c>
      <c r="AV174" s="47">
        <v>0</v>
      </c>
      <c r="AW174" s="47">
        <v>0.3</v>
      </c>
      <c r="AX174" s="47">
        <v>0</v>
      </c>
      <c r="AY174" s="47">
        <v>0</v>
      </c>
      <c r="AZ174" s="47">
        <v>0</v>
      </c>
      <c r="BA174" s="47">
        <v>0</v>
      </c>
      <c r="BB174" s="47">
        <v>0</v>
      </c>
      <c r="BC174" s="47">
        <v>0</v>
      </c>
      <c r="BD174" s="47">
        <v>0</v>
      </c>
      <c r="BE174" s="47">
        <v>0</v>
      </c>
      <c r="BF174" s="47">
        <v>0</v>
      </c>
      <c r="BG174" s="47">
        <v>0</v>
      </c>
      <c r="BH174" s="47">
        <v>0</v>
      </c>
      <c r="BI174" s="47">
        <v>0</v>
      </c>
      <c r="BJ174" s="47">
        <v>0</v>
      </c>
      <c r="BK174" s="47">
        <v>0.4</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0.0575</v>
      </c>
      <c r="DV174" s="47">
        <v>0</v>
      </c>
      <c r="DW174" s="47">
        <v>0</v>
      </c>
      <c r="DX174" s="47">
        <v>0</v>
      </c>
      <c r="DY174" s="47">
        <v>0.0575</v>
      </c>
      <c r="DZ174" s="47"/>
      <c r="EA174" s="47">
        <v>1</v>
      </c>
      <c r="ZZ174" t="s">
        <v>1062</v>
      </c>
    </row>
    <row r="175" spans="1:702" x14ac:dyDescent="0.25">
      <c r="A175" s="47" t="s">
        <v>977</v>
      </c>
      <c r="B175" s="47" t="s">
        <v>151</v>
      </c>
      <c r="C175" s="47" t="s">
        <v>155</v>
      </c>
      <c r="D175" s="47" t="s">
        <v>1236</v>
      </c>
      <c r="E175" s="47" t="s">
        <v>978</v>
      </c>
      <c r="F175" s="47" t="s">
        <v>979</v>
      </c>
      <c r="G175" s="47" t="s">
        <v>980</v>
      </c>
      <c r="H175" s="47" t="s">
        <v>942</v>
      </c>
      <c r="I175" s="47" t="s">
        <v>1228</v>
      </c>
      <c r="J175" s="47" t="str">
        <f>=IFERROR(VLOOKUP(H175&amp;I175,Table_Fonctions!A:G,6,FALSE),"")</f>
        <v>0</v>
      </c>
      <c r="K175" s="47" t="s">
        <v>1114</v>
      </c>
      <c r="L175" s="47" t="str">
        <f>=IFERROR(VLOOKUP(H175&amp;I175,Table_Fonctions!A:G,7,FALSE),K175)</f>
        <v/>
      </c>
      <c r="M175" s="47" t="str">
        <f>=IF(OR(LEFT(D175, 3)="TJ ", LEFT(D175, 4)="CPH "), "OUI", "NON")</f>
        <v/>
      </c>
      <c r="N175" s="47" t="s">
        <v>848</v>
      </c>
      <c r="O175" s="47"/>
      <c r="P175" s="47">
        <v>0.8352</v>
      </c>
      <c r="Q175" s="47">
        <v>0.8352</v>
      </c>
      <c r="R175" s="47">
        <v>0</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0.7935</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0.7935</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0.0418</v>
      </c>
      <c r="CZ175" s="47">
        <v>0.0418</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v>0</v>
      </c>
      <c r="DZ175" s="47"/>
      <c r="EA175" s="47">
        <v>0.8352</v>
      </c>
      <c r="ZZ175" t="s">
        <v>1062</v>
      </c>
    </row>
    <row r="176" spans="1:702" x14ac:dyDescent="0.25">
      <c r="A176" s="47" t="s">
        <v>981</v>
      </c>
      <c r="B176" s="47" t="s">
        <v>151</v>
      </c>
      <c r="C176" s="47" t="s">
        <v>155</v>
      </c>
      <c r="D176" s="47" t="s">
        <v>1237</v>
      </c>
      <c r="E176" s="47" t="s">
        <v>982</v>
      </c>
      <c r="F176" s="47" t="s">
        <v>983</v>
      </c>
      <c r="G176" s="47" t="s">
        <v>984</v>
      </c>
      <c r="H176" s="47" t="s">
        <v>942</v>
      </c>
      <c r="I176" s="47" t="s">
        <v>1234</v>
      </c>
      <c r="J176" s="47" t="str">
        <f>=IFERROR(VLOOKUP(H176&amp;I176,Table_Fonctions!A:G,6,FALSE),"")</f>
        <v>0</v>
      </c>
      <c r="K176" s="47" t="s">
        <v>1114</v>
      </c>
      <c r="L176" s="47" t="str">
        <f>=IFERROR(VLOOKUP(H176&amp;I176,Table_Fonctions!A:G,7,FALSE),K176)</f>
        <v/>
      </c>
      <c r="M176" s="47" t="str">
        <f>=IF(OR(LEFT(D176, 3)="TJ ", LEFT(D176, 4)="CPH "), "OUI", "NON")</f>
        <v/>
      </c>
      <c r="N176" s="47" t="s">
        <v>558</v>
      </c>
      <c r="O176" s="47"/>
      <c r="P176" s="47">
        <v>1</v>
      </c>
      <c r="Q176" s="47">
        <v>1</v>
      </c>
      <c r="R176" s="47">
        <v>0</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1</v>
      </c>
      <c r="CZ176" s="47">
        <v>0</v>
      </c>
      <c r="DA176" s="47">
        <v>0</v>
      </c>
      <c r="DB176" s="47">
        <v>0</v>
      </c>
      <c r="DC176" s="47">
        <v>0</v>
      </c>
      <c r="DD176" s="47">
        <v>0</v>
      </c>
      <c r="DE176" s="47">
        <v>0</v>
      </c>
      <c r="DF176" s="47">
        <v>0</v>
      </c>
      <c r="DG176" s="47">
        <v>0</v>
      </c>
      <c r="DH176" s="47">
        <v>0</v>
      </c>
      <c r="DI176" s="47">
        <v>0</v>
      </c>
      <c r="DJ176" s="47">
        <v>1</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v>0</v>
      </c>
      <c r="DZ176" s="47"/>
      <c r="EA176" s="47">
        <v>1</v>
      </c>
      <c r="ZZ176" t="s">
        <v>1062</v>
      </c>
    </row>
    <row r="177" spans="1:702" x14ac:dyDescent="0.25">
      <c r="A177" s="47" t="s">
        <v>985</v>
      </c>
      <c r="B177" s="47" t="s">
        <v>151</v>
      </c>
      <c r="C177" s="47" t="s">
        <v>155</v>
      </c>
      <c r="D177" s="47" t="s">
        <v>1238</v>
      </c>
      <c r="E177" s="47" t="s">
        <v>986</v>
      </c>
      <c r="F177" s="47" t="s">
        <v>987</v>
      </c>
      <c r="G177" s="47" t="s">
        <v>988</v>
      </c>
      <c r="H177" s="47" t="s">
        <v>942</v>
      </c>
      <c r="I177" s="47" t="s">
        <v>1228</v>
      </c>
      <c r="J177" s="47" t="str">
        <f>=IFERROR(VLOOKUP(H177&amp;I177,Table_Fonctions!A:G,6,FALSE),"")</f>
        <v>0</v>
      </c>
      <c r="K177" s="47" t="s">
        <v>1114</v>
      </c>
      <c r="L177" s="47" t="str">
        <f>=IFERROR(VLOOKUP(H177&amp;I177,Table_Fonctions!A:G,7,FALSE),K177)</f>
        <v/>
      </c>
      <c r="M177" s="47" t="str">
        <f>=IF(OR(LEFT(D177, 3)="TJ ", LEFT(D177, 4)="CPH "), "OUI", "NON")</f>
        <v/>
      </c>
      <c r="N177" s="47" t="s">
        <v>176</v>
      </c>
      <c r="O177" s="47"/>
      <c r="P177" s="47">
        <v>1</v>
      </c>
      <c r="Q177" s="47">
        <v>1</v>
      </c>
      <c r="R177" s="47">
        <v>0</v>
      </c>
      <c r="S177" s="47">
        <f>=ROUND(BQ177-(BR177+BS177),3)</f>
      </c>
      <c r="T177" s="47">
        <f>=ROUND(CK177-(CL177+CM177+CN177+CO177+CP177),3)</f>
      </c>
      <c r="U177" s="47">
        <v>0.5</v>
      </c>
      <c r="V177" s="47">
        <v>0</v>
      </c>
      <c r="W177" s="47">
        <v>0.5</v>
      </c>
      <c r="X177" s="47">
        <v>0</v>
      </c>
      <c r="Y177" s="47">
        <v>0</v>
      </c>
      <c r="Z177" s="47">
        <v>0</v>
      </c>
      <c r="AA177" s="47">
        <v>0</v>
      </c>
      <c r="AB177" s="47">
        <v>0</v>
      </c>
      <c r="AC177" s="47">
        <v>0</v>
      </c>
      <c r="AD177" s="47">
        <v>0</v>
      </c>
      <c r="AE177" s="47">
        <v>0</v>
      </c>
      <c r="AF177" s="47">
        <v>0</v>
      </c>
      <c r="AG177" s="47">
        <v>0</v>
      </c>
      <c r="AH177" s="47">
        <v>0</v>
      </c>
      <c r="AI177" s="47">
        <v>0</v>
      </c>
      <c r="AJ177" s="47">
        <v>0.5</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v>0</v>
      </c>
      <c r="DZ177" s="47"/>
      <c r="EA177" s="47">
        <v>1</v>
      </c>
      <c r="ZZ177" t="s">
        <v>1062</v>
      </c>
    </row>
    <row r="178" spans="1:702" x14ac:dyDescent="0.25">
      <c r="A178" s="47" t="s">
        <v>989</v>
      </c>
      <c r="B178" s="47" t="s">
        <v>151</v>
      </c>
      <c r="C178" s="47" t="s">
        <v>155</v>
      </c>
      <c r="D178" s="47" t="s">
        <v>1239</v>
      </c>
      <c r="E178" s="47" t="s">
        <v>990</v>
      </c>
      <c r="F178" s="47" t="s">
        <v>991</v>
      </c>
      <c r="G178" s="47" t="s">
        <v>992</v>
      </c>
      <c r="H178" s="47" t="s">
        <v>942</v>
      </c>
      <c r="I178" s="47" t="s">
        <v>1228</v>
      </c>
      <c r="J178" s="47" t="str">
        <f>=IFERROR(VLOOKUP(H178&amp;I178,Table_Fonctions!A:G,6,FALSE),"")</f>
        <v>0</v>
      </c>
      <c r="K178" s="47" t="s">
        <v>1114</v>
      </c>
      <c r="L178" s="47" t="str">
        <f>=IFERROR(VLOOKUP(H178&amp;I178,Table_Fonctions!A:G,7,FALSE),K178)</f>
        <v/>
      </c>
      <c r="M178" s="47" t="str">
        <f>=IF(OR(LEFT(D178, 3)="TJ ", LEFT(D178, 4)="CPH "), "OUI", "NON")</f>
        <v/>
      </c>
      <c r="N178" s="47" t="s">
        <v>993</v>
      </c>
      <c r="O178" s="47"/>
      <c r="P178" s="47">
        <v>1</v>
      </c>
      <c r="Q178" s="47">
        <v>1</v>
      </c>
      <c r="R178" s="47">
        <v>0</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1</v>
      </c>
      <c r="CZ178" s="47">
        <v>0</v>
      </c>
      <c r="DA178" s="47">
        <v>0</v>
      </c>
      <c r="DB178" s="47">
        <v>0</v>
      </c>
      <c r="DC178" s="47">
        <v>0</v>
      </c>
      <c r="DD178" s="47">
        <v>0</v>
      </c>
      <c r="DE178" s="47">
        <v>0</v>
      </c>
      <c r="DF178" s="47">
        <v>0</v>
      </c>
      <c r="DG178" s="47">
        <v>0</v>
      </c>
      <c r="DH178" s="47">
        <v>0</v>
      </c>
      <c r="DI178" s="47">
        <v>0</v>
      </c>
      <c r="DJ178" s="47">
        <v>1</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v>0</v>
      </c>
      <c r="DZ178" s="47"/>
      <c r="EA178" s="47">
        <v>1</v>
      </c>
      <c r="ZZ178" t="s">
        <v>1062</v>
      </c>
    </row>
    <row r="179" spans="1:702" x14ac:dyDescent="0.25">
      <c r="A179" s="47" t="s">
        <v>994</v>
      </c>
      <c r="B179" s="47" t="s">
        <v>151</v>
      </c>
      <c r="C179" s="47" t="s">
        <v>155</v>
      </c>
      <c r="D179" s="47" t="s">
        <v>1082</v>
      </c>
      <c r="E179" s="47" t="s">
        <v>995</v>
      </c>
      <c r="F179" s="47" t="s">
        <v>996</v>
      </c>
      <c r="G179" s="47" t="s">
        <v>237</v>
      </c>
      <c r="H179" s="47" t="s">
        <v>942</v>
      </c>
      <c r="I179" s="47" t="s">
        <v>1234</v>
      </c>
      <c r="J179" s="47" t="str">
        <f>=IFERROR(VLOOKUP(H179&amp;I179,Table_Fonctions!A:G,6,FALSE),"")</f>
        <v>0</v>
      </c>
      <c r="K179" s="47" t="s">
        <v>1114</v>
      </c>
      <c r="L179" s="47" t="str">
        <f>=IFERROR(VLOOKUP(H179&amp;I179,Table_Fonctions!A:G,7,FALSE),K179)</f>
        <v/>
      </c>
      <c r="M179" s="47" t="str">
        <f>=IF(OR(LEFT(D179, 3)="TJ ", LEFT(D179, 4)="CPH "), "OUI", "NON")</f>
        <v/>
      </c>
      <c r="N179" s="47" t="s">
        <v>176</v>
      </c>
      <c r="O179" s="47" t="s">
        <v>997</v>
      </c>
      <c r="P179" s="47">
        <v>0.0996</v>
      </c>
      <c r="Q179" s="47">
        <v>0.0996</v>
      </c>
      <c r="R179" s="47">
        <v>0</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0.0996</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0</v>
      </c>
      <c r="DY179" s="47">
        <v>0</v>
      </c>
      <c r="DZ179" s="47"/>
      <c r="EA179" s="47">
        <v>0.0996</v>
      </c>
      <c r="ZZ179" t="s">
        <v>1062</v>
      </c>
    </row>
    <row r="180" spans="1:702" x14ac:dyDescent="0.25">
      <c r="A180" s="47" t="s">
        <v>998</v>
      </c>
      <c r="B180" s="47" t="s">
        <v>151</v>
      </c>
      <c r="C180" s="47" t="s">
        <v>155</v>
      </c>
      <c r="D180" s="47" t="s">
        <v>1240</v>
      </c>
      <c r="E180" s="47" t="s">
        <v>999</v>
      </c>
      <c r="F180" s="47" t="s">
        <v>1000</v>
      </c>
      <c r="G180" s="47" t="s">
        <v>1001</v>
      </c>
      <c r="H180" s="47" t="s">
        <v>942</v>
      </c>
      <c r="I180" s="47" t="s">
        <v>1228</v>
      </c>
      <c r="J180" s="47" t="str">
        <f>=IFERROR(VLOOKUP(H180&amp;I180,Table_Fonctions!A:G,6,FALSE),"")</f>
        <v>0</v>
      </c>
      <c r="K180" s="47" t="s">
        <v>1114</v>
      </c>
      <c r="L180" s="47" t="str">
        <f>=IFERROR(VLOOKUP(H180&amp;I180,Table_Fonctions!A:G,7,FALSE),K180)</f>
        <v/>
      </c>
      <c r="M180" s="47" t="str">
        <f>=IF(OR(LEFT(D180, 3)="TJ ", LEFT(D180, 4)="CPH "), "OUI", "NON")</f>
        <v/>
      </c>
      <c r="N180" s="47" t="s">
        <v>1002</v>
      </c>
      <c r="O180" s="47"/>
      <c r="P180" s="47">
        <v>1</v>
      </c>
      <c r="Q180" s="47">
        <v>1</v>
      </c>
      <c r="R180" s="47">
        <v>0</v>
      </c>
      <c r="S180" s="47">
        <f>=ROUND(BQ180-(BR180+BS180),3)</f>
      </c>
      <c r="T180" s="47">
        <f>=ROUND(CK180-(CL180+CM180+CN180+CO180+CP180),3)</f>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1</v>
      </c>
      <c r="CZ180" s="47">
        <v>0.346</v>
      </c>
      <c r="DA180" s="47">
        <v>0.024</v>
      </c>
      <c r="DB180" s="47">
        <v>0</v>
      </c>
      <c r="DC180" s="47">
        <v>0</v>
      </c>
      <c r="DD180" s="47">
        <v>0</v>
      </c>
      <c r="DE180" s="47">
        <v>0</v>
      </c>
      <c r="DF180" s="47">
        <v>0</v>
      </c>
      <c r="DG180" s="47">
        <v>0</v>
      </c>
      <c r="DH180" s="47">
        <v>0</v>
      </c>
      <c r="DI180" s="47">
        <v>0</v>
      </c>
      <c r="DJ180" s="47">
        <v>0.63</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v>0</v>
      </c>
      <c r="DZ180" s="47"/>
      <c r="EA180" s="47">
        <v>1</v>
      </c>
      <c r="ZZ180" t="s">
        <v>1062</v>
      </c>
    </row>
    <row r="181" spans="1:702" x14ac:dyDescent="0.25">
      <c r="A181" s="47" t="s">
        <v>1003</v>
      </c>
      <c r="B181" s="47" t="s">
        <v>151</v>
      </c>
      <c r="C181" s="47" t="s">
        <v>155</v>
      </c>
      <c r="D181" s="47" t="s">
        <v>1241</v>
      </c>
      <c r="E181" s="47" t="s">
        <v>1004</v>
      </c>
      <c r="F181" s="47" t="s">
        <v>1005</v>
      </c>
      <c r="G181" s="47" t="s">
        <v>1006</v>
      </c>
      <c r="H181" s="47" t="s">
        <v>942</v>
      </c>
      <c r="I181" s="47" t="s">
        <v>1228</v>
      </c>
      <c r="J181" s="47" t="str">
        <f>=IFERROR(VLOOKUP(H181&amp;I181,Table_Fonctions!A:G,6,FALSE),"")</f>
        <v>0</v>
      </c>
      <c r="K181" s="47" t="s">
        <v>1114</v>
      </c>
      <c r="L181" s="47" t="str">
        <f>=IFERROR(VLOOKUP(H181&amp;I181,Table_Fonctions!A:G,7,FALSE),K181)</f>
        <v/>
      </c>
      <c r="M181" s="47" t="str">
        <f>=IF(OR(LEFT(D181, 3)="TJ ", LEFT(D181, 4)="CPH "), "OUI", "NON")</f>
        <v/>
      </c>
      <c r="N181" s="47" t="s">
        <v>1007</v>
      </c>
      <c r="O181" s="47"/>
      <c r="P181" s="47">
        <v>1</v>
      </c>
      <c r="Q181" s="47">
        <v>1</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0.2734</v>
      </c>
      <c r="AK181" s="47">
        <v>0</v>
      </c>
      <c r="AL181" s="47">
        <v>0</v>
      </c>
      <c r="AM181" s="47">
        <v>0.0598</v>
      </c>
      <c r="AN181" s="47">
        <v>0</v>
      </c>
      <c r="AO181" s="47">
        <v>0.1987</v>
      </c>
      <c r="AP181" s="47">
        <v>0</v>
      </c>
      <c r="AQ181" s="47">
        <v>0</v>
      </c>
      <c r="AR181" s="47">
        <v>0.0149</v>
      </c>
      <c r="AS181" s="47">
        <v>0.3695</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0.2021</v>
      </c>
      <c r="BI181" s="47">
        <v>0</v>
      </c>
      <c r="BJ181" s="47">
        <v>0</v>
      </c>
      <c r="BK181" s="47">
        <v>0.1482</v>
      </c>
      <c r="BL181" s="47">
        <v>0.0192</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0.357</v>
      </c>
      <c r="CZ181" s="47">
        <v>0.357</v>
      </c>
      <c r="DA181" s="47">
        <v>0</v>
      </c>
      <c r="DB181" s="47">
        <v>0</v>
      </c>
      <c r="DC181" s="47">
        <v>0</v>
      </c>
      <c r="DD181" s="47">
        <v>0</v>
      </c>
      <c r="DE181" s="47">
        <v>0</v>
      </c>
      <c r="DF181" s="47">
        <v>0</v>
      </c>
      <c r="DG181" s="47">
        <v>0</v>
      </c>
      <c r="DH181" s="47">
        <v>0</v>
      </c>
      <c r="DI181" s="47">
        <v>0</v>
      </c>
      <c r="DJ181" s="47">
        <v>0</v>
      </c>
      <c r="DK181" s="47">
        <v>0</v>
      </c>
      <c r="DL181" s="47">
        <v>0</v>
      </c>
      <c r="DM181" s="47">
        <v>0</v>
      </c>
      <c r="DN181" s="47">
        <v>0</v>
      </c>
      <c r="DO181" s="47">
        <v>0</v>
      </c>
      <c r="DP181" s="47">
        <v>0</v>
      </c>
      <c r="DQ181" s="47">
        <v>0</v>
      </c>
      <c r="DR181" s="47">
        <v>0</v>
      </c>
      <c r="DS181" s="47">
        <v>0</v>
      </c>
      <c r="DT181" s="47">
        <v>0</v>
      </c>
      <c r="DU181" s="47">
        <v>0</v>
      </c>
      <c r="DV181" s="47">
        <v>0.0008</v>
      </c>
      <c r="DW181" s="47">
        <v>0</v>
      </c>
      <c r="DX181" s="47">
        <v>0</v>
      </c>
      <c r="DY181" s="47">
        <v>0.0008</v>
      </c>
      <c r="DZ181" s="47"/>
      <c r="EA181" s="47">
        <v>1</v>
      </c>
      <c r="ZZ181" t="s">
        <v>1062</v>
      </c>
    </row>
    <row r="182" spans="1:702" x14ac:dyDescent="0.25">
      <c r="A182" s="47" t="s">
        <v>1008</v>
      </c>
      <c r="B182" s="47" t="s">
        <v>151</v>
      </c>
      <c r="C182" s="47" t="s">
        <v>155</v>
      </c>
      <c r="D182" s="47" t="s">
        <v>1242</v>
      </c>
      <c r="E182" s="47" t="s">
        <v>1009</v>
      </c>
      <c r="F182" s="47" t="s">
        <v>1010</v>
      </c>
      <c r="G182" s="47" t="s">
        <v>1011</v>
      </c>
      <c r="H182" s="47" t="s">
        <v>942</v>
      </c>
      <c r="I182" s="47" t="s">
        <v>1228</v>
      </c>
      <c r="J182" s="47" t="str">
        <f>=IFERROR(VLOOKUP(H182&amp;I182,Table_Fonctions!A:G,6,FALSE),"")</f>
        <v>0</v>
      </c>
      <c r="K182" s="47" t="s">
        <v>1114</v>
      </c>
      <c r="L182" s="47" t="str">
        <f>=IFERROR(VLOOKUP(H182&amp;I182,Table_Fonctions!A:G,7,FALSE),K182)</f>
        <v/>
      </c>
      <c r="M182" s="47" t="str">
        <f>=IF(OR(LEFT(D182, 3)="TJ ", LEFT(D182, 4)="CPH "), "OUI", "NON")</f>
        <v/>
      </c>
      <c r="N182" s="47" t="s">
        <v>1012</v>
      </c>
      <c r="O182" s="47"/>
      <c r="P182" s="47">
        <v>0.5862</v>
      </c>
      <c r="Q182" s="47">
        <v>0.5862</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0.1641</v>
      </c>
      <c r="CL182" s="47">
        <v>0.1641</v>
      </c>
      <c r="CM182" s="47">
        <v>0</v>
      </c>
      <c r="CN182" s="47">
        <v>0</v>
      </c>
      <c r="CO182" s="47">
        <v>0</v>
      </c>
      <c r="CP182" s="47">
        <v>0</v>
      </c>
      <c r="CQ182" s="47">
        <v>0</v>
      </c>
      <c r="CR182" s="47">
        <v>0</v>
      </c>
      <c r="CS182" s="47">
        <v>0</v>
      </c>
      <c r="CT182" s="47">
        <v>0</v>
      </c>
      <c r="CU182" s="47">
        <v>0</v>
      </c>
      <c r="CV182" s="47">
        <v>0.3634</v>
      </c>
      <c r="CW182" s="47">
        <v>0</v>
      </c>
      <c r="CX182" s="47">
        <v>0</v>
      </c>
      <c r="CY182" s="47">
        <v>0.0586</v>
      </c>
      <c r="CZ182" s="47">
        <v>0.0586</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v>0</v>
      </c>
      <c r="DZ182" s="47"/>
      <c r="EA182" s="47">
        <v>0.5862</v>
      </c>
      <c r="ZZ182" t="s">
        <v>1062</v>
      </c>
    </row>
    <row r="183" spans="1:702" x14ac:dyDescent="0.25">
      <c r="A183" s="47" t="s">
        <v>1013</v>
      </c>
      <c r="B183" s="47" t="s">
        <v>151</v>
      </c>
      <c r="C183" s="47" t="s">
        <v>155</v>
      </c>
      <c r="D183" s="47" t="s">
        <v>1174</v>
      </c>
      <c r="E183" s="47" t="s">
        <v>1014</v>
      </c>
      <c r="F183" s="47" t="s">
        <v>1015</v>
      </c>
      <c r="G183" s="47" t="s">
        <v>667</v>
      </c>
      <c r="H183" s="47" t="s">
        <v>942</v>
      </c>
      <c r="I183" s="47" t="s">
        <v>1228</v>
      </c>
      <c r="J183" s="47" t="str">
        <f>=IFERROR(VLOOKUP(H183&amp;I183,Table_Fonctions!A:G,6,FALSE),"")</f>
        <v>0</v>
      </c>
      <c r="K183" s="47" t="s">
        <v>1114</v>
      </c>
      <c r="L183" s="47" t="str">
        <f>=IFERROR(VLOOKUP(H183&amp;I183,Table_Fonctions!A:G,7,FALSE),K183)</f>
        <v/>
      </c>
      <c r="M183" s="47" t="str">
        <f>=IF(OR(LEFT(D183, 3)="TJ ", LEFT(D183, 4)="CPH "), "OUI", "NON")</f>
        <v/>
      </c>
      <c r="N183" s="47" t="s">
        <v>1016</v>
      </c>
      <c r="O183" s="47"/>
      <c r="P183" s="47">
        <v>1</v>
      </c>
      <c r="Q183" s="47">
        <v>1</v>
      </c>
      <c r="R183" s="47">
        <v>0</v>
      </c>
      <c r="S183" s="47">
        <f>=ROUND(BQ183-(BR183+BS183),3)</f>
      </c>
      <c r="T183" s="47">
        <f>=ROUND(CK183-(CL183+CM183+CN183+CO183+CP183),3)</f>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0.5</v>
      </c>
      <c r="AK183" s="47">
        <v>0</v>
      </c>
      <c r="AL183" s="47">
        <v>0</v>
      </c>
      <c r="AM183" s="47">
        <v>0</v>
      </c>
      <c r="AN183" s="47">
        <v>0</v>
      </c>
      <c r="AO183" s="47">
        <v>0</v>
      </c>
      <c r="AP183" s="47">
        <v>0</v>
      </c>
      <c r="AQ183" s="47">
        <v>0</v>
      </c>
      <c r="AR183" s="47">
        <v>0</v>
      </c>
      <c r="AS183" s="47">
        <v>0.5</v>
      </c>
      <c r="AT183" s="47">
        <v>0</v>
      </c>
      <c r="AU183" s="47">
        <v>0</v>
      </c>
      <c r="AV183" s="47">
        <v>0</v>
      </c>
      <c r="AW183" s="47">
        <v>0</v>
      </c>
      <c r="AX183" s="47">
        <v>0</v>
      </c>
      <c r="AY183" s="47">
        <v>0</v>
      </c>
      <c r="AZ183" s="47">
        <v>0</v>
      </c>
      <c r="BA183" s="47">
        <v>0.5</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v>0</v>
      </c>
      <c r="DZ183" s="47"/>
      <c r="EA183" s="47">
        <v>1</v>
      </c>
      <c r="ZZ183" t="s">
        <v>1062</v>
      </c>
    </row>
    <row r="184" spans="1:702" x14ac:dyDescent="0.25">
      <c r="A184" s="47" t="s">
        <v>1017</v>
      </c>
      <c r="B184" s="47" t="s">
        <v>151</v>
      </c>
      <c r="C184" s="47" t="s">
        <v>155</v>
      </c>
      <c r="D184" s="47" t="s">
        <v>1243</v>
      </c>
      <c r="E184" s="47" t="s">
        <v>1018</v>
      </c>
      <c r="F184" s="47" t="s">
        <v>1019</v>
      </c>
      <c r="G184" s="47" t="s">
        <v>1020</v>
      </c>
      <c r="H184" s="47" t="s">
        <v>942</v>
      </c>
      <c r="I184" s="47" t="s">
        <v>1228</v>
      </c>
      <c r="J184" s="47" t="str">
        <f>=IFERROR(VLOOKUP(H184&amp;I184,Table_Fonctions!A:G,6,FALSE),"")</f>
        <v>0</v>
      </c>
      <c r="K184" s="47" t="s">
        <v>1114</v>
      </c>
      <c r="L184" s="47" t="str">
        <f>=IFERROR(VLOOKUP(H184&amp;I184,Table_Fonctions!A:G,7,FALSE),K184)</f>
        <v/>
      </c>
      <c r="M184" s="47" t="str">
        <f>=IF(OR(LEFT(D184, 3)="TJ ", LEFT(D184, 4)="CPH "), "OUI", "NON")</f>
        <v/>
      </c>
      <c r="N184" s="47" t="s">
        <v>1021</v>
      </c>
      <c r="O184" s="47"/>
      <c r="P184" s="47">
        <v>1</v>
      </c>
      <c r="Q184" s="47">
        <v>1</v>
      </c>
      <c r="R184" s="47">
        <v>0</v>
      </c>
      <c r="S184" s="47">
        <f>=ROUND(BQ184-(BR184+BS184),3)</f>
      </c>
      <c r="T184" s="47">
        <f>=ROUND(CK184-(CL184+CM184+CN184+CO184+CP184),3)</f>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0.99</v>
      </c>
      <c r="AT184" s="47">
        <v>0</v>
      </c>
      <c r="AU184" s="47">
        <v>0</v>
      </c>
      <c r="AV184" s="47">
        <v>0</v>
      </c>
      <c r="AW184" s="47">
        <v>0</v>
      </c>
      <c r="AX184" s="47">
        <v>0</v>
      </c>
      <c r="AY184" s="47">
        <v>0</v>
      </c>
      <c r="AZ184" s="47">
        <v>0</v>
      </c>
      <c r="BA184" s="47">
        <v>0</v>
      </c>
      <c r="BB184" s="47">
        <v>0</v>
      </c>
      <c r="BC184" s="47">
        <v>0</v>
      </c>
      <c r="BD184" s="47">
        <v>0</v>
      </c>
      <c r="BE184" s="47">
        <v>0.99</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0.01</v>
      </c>
      <c r="CZ184" s="47">
        <v>0.01</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c r="DU184" s="47">
        <v>0</v>
      </c>
      <c r="DV184" s="47">
        <v>0</v>
      </c>
      <c r="DW184" s="47">
        <v>0</v>
      </c>
      <c r="DX184" s="47">
        <v>0</v>
      </c>
      <c r="DY184" s="47">
        <v>0</v>
      </c>
      <c r="DZ184" s="47"/>
      <c r="EA184" s="47">
        <v>1</v>
      </c>
      <c r="ZZ184" t="s">
        <v>1062</v>
      </c>
    </row>
    <row r="185" spans="1:702" x14ac:dyDescent="0.25">
      <c r="A185" s="47" t="s">
        <v>1022</v>
      </c>
      <c r="B185" s="47" t="s">
        <v>151</v>
      </c>
      <c r="C185" s="47" t="s">
        <v>155</v>
      </c>
      <c r="D185" s="47" t="s">
        <v>1067</v>
      </c>
      <c r="E185" s="47" t="s">
        <v>1023</v>
      </c>
      <c r="F185" s="47" t="s">
        <v>1024</v>
      </c>
      <c r="G185" s="47" t="s">
        <v>167</v>
      </c>
      <c r="H185" s="47" t="s">
        <v>942</v>
      </c>
      <c r="I185" s="47" t="s">
        <v>1234</v>
      </c>
      <c r="J185" s="47" t="str">
        <f>=IFERROR(VLOOKUP(H185&amp;I185,Table_Fonctions!A:G,6,FALSE),"")</f>
        <v>0</v>
      </c>
      <c r="K185" s="47" t="s">
        <v>1114</v>
      </c>
      <c r="L185" s="47" t="str">
        <f>=IFERROR(VLOOKUP(H185&amp;I185,Table_Fonctions!A:G,7,FALSE),K185)</f>
        <v/>
      </c>
      <c r="M185" s="47" t="str">
        <f>=IF(OR(LEFT(D185, 3)="TJ ", LEFT(D185, 4)="CPH "), "OUI", "NON")</f>
        <v/>
      </c>
      <c r="N185" s="47" t="s">
        <v>1007</v>
      </c>
      <c r="O185" s="47" t="s">
        <v>1025</v>
      </c>
      <c r="P185" s="47">
        <v>0.2452</v>
      </c>
      <c r="Q185" s="47">
        <v>0</v>
      </c>
      <c r="R185" s="47">
        <v>0.2452</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v>0</v>
      </c>
      <c r="DZ185" s="47"/>
      <c r="EA185" s="47">
        <v>0.2452</v>
      </c>
      <c r="ZZ185" t="s">
        <v>1062</v>
      </c>
    </row>
    <row r="186" spans="1:702" x14ac:dyDescent="0.25">
      <c r="A186" s="47" t="s">
        <v>1026</v>
      </c>
      <c r="B186" s="47" t="s">
        <v>151</v>
      </c>
      <c r="C186" s="47" t="s">
        <v>155</v>
      </c>
      <c r="D186" s="47" t="s">
        <v>1244</v>
      </c>
      <c r="E186" s="47" t="s">
        <v>1027</v>
      </c>
      <c r="F186" s="47" t="s">
        <v>1028</v>
      </c>
      <c r="G186" s="47" t="s">
        <v>1029</v>
      </c>
      <c r="H186" s="47" t="s">
        <v>942</v>
      </c>
      <c r="I186" s="47" t="s">
        <v>1228</v>
      </c>
      <c r="J186" s="47" t="str">
        <f>=IFERROR(VLOOKUP(H186&amp;I186,Table_Fonctions!A:G,6,FALSE),"")</f>
        <v>0</v>
      </c>
      <c r="K186" s="47" t="s">
        <v>1114</v>
      </c>
      <c r="L186" s="47" t="str">
        <f>=IFERROR(VLOOKUP(H186&amp;I186,Table_Fonctions!A:G,7,FALSE),K186)</f>
        <v/>
      </c>
      <c r="M186" s="47" t="str">
        <f>=IF(OR(LEFT(D186, 3)="TJ ", LEFT(D186, 4)="CPH "), "OUI", "NON")</f>
        <v/>
      </c>
      <c r="N186" s="47" t="s">
        <v>1030</v>
      </c>
      <c r="O186" s="47"/>
      <c r="P186" s="47">
        <v>1</v>
      </c>
      <c r="Q186" s="47">
        <v>1</v>
      </c>
      <c r="R186" s="47">
        <v>0</v>
      </c>
      <c r="S186" s="47">
        <f>=ROUND(BQ186-(BR186+BS186),3)</f>
      </c>
      <c r="T186" s="47">
        <f>=ROUND(CK186-(CL186+CM186+CN186+CO186+CP186),3)</f>
      </c>
      <c r="U186" s="47">
        <v>0</v>
      </c>
      <c r="V186" s="47">
        <v>0</v>
      </c>
      <c r="W186" s="47">
        <v>0</v>
      </c>
      <c r="X186" s="47">
        <v>0</v>
      </c>
      <c r="Y186" s="47">
        <v>0</v>
      </c>
      <c r="Z186" s="47">
        <v>0.25</v>
      </c>
      <c r="AA186" s="47">
        <v>0.25</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0.75</v>
      </c>
      <c r="AT186" s="47">
        <v>0</v>
      </c>
      <c r="AU186" s="47">
        <v>0</v>
      </c>
      <c r="AV186" s="47">
        <v>0</v>
      </c>
      <c r="AW186" s="47">
        <v>0</v>
      </c>
      <c r="AX186" s="47">
        <v>0</v>
      </c>
      <c r="AY186" s="47">
        <v>0</v>
      </c>
      <c r="AZ186" s="47">
        <v>0</v>
      </c>
      <c r="BA186" s="47">
        <v>0.5</v>
      </c>
      <c r="BB186" s="47">
        <v>0</v>
      </c>
      <c r="BC186" s="47">
        <v>0</v>
      </c>
      <c r="BD186" s="47">
        <v>0</v>
      </c>
      <c r="BE186" s="47">
        <v>0</v>
      </c>
      <c r="BF186" s="47">
        <v>0</v>
      </c>
      <c r="BG186" s="47">
        <v>0</v>
      </c>
      <c r="BH186" s="47">
        <v>0</v>
      </c>
      <c r="BI186" s="47">
        <v>0</v>
      </c>
      <c r="BJ186" s="47">
        <v>0</v>
      </c>
      <c r="BK186" s="47">
        <v>0.25</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v>0</v>
      </c>
      <c r="DZ186" s="47"/>
      <c r="EA186" s="47">
        <v>1</v>
      </c>
      <c r="ZZ186" t="s">
        <v>1062</v>
      </c>
    </row>
    <row r="187" spans="1:702" x14ac:dyDescent="0.25">
      <c r="A187" s="47" t="s">
        <v>1031</v>
      </c>
      <c r="B187" s="47" t="s">
        <v>151</v>
      </c>
      <c r="C187" s="47" t="s">
        <v>155</v>
      </c>
      <c r="D187" s="47" t="s">
        <v>1245</v>
      </c>
      <c r="E187" s="47" t="s">
        <v>1032</v>
      </c>
      <c r="F187" s="47" t="s">
        <v>1033</v>
      </c>
      <c r="G187" s="47" t="s">
        <v>1034</v>
      </c>
      <c r="H187" s="47" t="s">
        <v>942</v>
      </c>
      <c r="I187" s="47" t="s">
        <v>1035</v>
      </c>
      <c r="J187" s="47" t="str">
        <f>=IFERROR(VLOOKUP(H187&amp;I187,Table_Fonctions!A:G,6,FALSE),"")</f>
        <v>0</v>
      </c>
      <c r="K187" s="47" t="s">
        <v>1114</v>
      </c>
      <c r="L187" s="47" t="str">
        <f>=IFERROR(VLOOKUP(H187&amp;I187,Table_Fonctions!A:G,7,FALSE),K187)</f>
        <v/>
      </c>
      <c r="M187" s="47" t="str">
        <f>=IF(OR(LEFT(D187, 3)="TJ ", LEFT(D187, 4)="CPH "), "OUI", "NON")</f>
        <v/>
      </c>
      <c r="N187" s="47" t="s">
        <v>1036</v>
      </c>
      <c r="O187" s="47"/>
      <c r="P187" s="47">
        <v>1</v>
      </c>
      <c r="Q187" s="47">
        <v>0</v>
      </c>
      <c r="R187" s="47">
        <v>1</v>
      </c>
      <c r="S187" s="47">
        <f>=ROUND(BQ187-(BR187+BS187),3)</f>
      </c>
      <c r="T187" s="47">
        <f>=ROUND(CK187-(CL187+CM187+CN187+CO187+CP187),3)</f>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v>0</v>
      </c>
      <c r="DZ187" s="47"/>
      <c r="EA187" s="47">
        <v>1</v>
      </c>
      <c r="ZZ187" t="s">
        <v>1062</v>
      </c>
    </row>
    <row r="188" spans="1:702" x14ac:dyDescent="0.25">
      <c r="A188" s="47" t="s">
        <v>1037</v>
      </c>
      <c r="B188" s="47" t="s">
        <v>151</v>
      </c>
      <c r="C188" s="47" t="s">
        <v>155</v>
      </c>
      <c r="D188" s="47" t="s">
        <v>1246</v>
      </c>
      <c r="E188" s="47" t="s">
        <v>1038</v>
      </c>
      <c r="F188" s="47" t="s">
        <v>1039</v>
      </c>
      <c r="G188" s="47" t="s">
        <v>1040</v>
      </c>
      <c r="H188" s="47" t="s">
        <v>942</v>
      </c>
      <c r="I188" s="47" t="s">
        <v>957</v>
      </c>
      <c r="J188" s="47" t="str">
        <f>=IFERROR(VLOOKUP(H188&amp;I188,Table_Fonctions!A:G,6,FALSE),"")</f>
        <v>0</v>
      </c>
      <c r="K188" s="47" t="s">
        <v>1114</v>
      </c>
      <c r="L188" s="47" t="str">
        <f>=IFERROR(VLOOKUP(H188&amp;I188,Table_Fonctions!A:G,7,FALSE),K188)</f>
        <v/>
      </c>
      <c r="M188" s="47" t="str">
        <f>=IF(OR(LEFT(D188, 3)="TJ ", LEFT(D188, 4)="CPH "), "OUI", "NON")</f>
        <v/>
      </c>
      <c r="N188" s="47" t="s">
        <v>848</v>
      </c>
      <c r="O188" s="47"/>
      <c r="P188" s="47">
        <v>0.8352</v>
      </c>
      <c r="Q188" s="47">
        <v>0.8352</v>
      </c>
      <c r="R188" s="47">
        <v>0</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0.8352</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v>0</v>
      </c>
      <c r="DZ188" s="47"/>
      <c r="EA188" s="47">
        <v>0.8352</v>
      </c>
      <c r="ZZ188" t="s">
        <v>1062</v>
      </c>
    </row>
    <row r="189" spans="1:702" x14ac:dyDescent="0.25">
      <c r="A189" s="47" t="s">
        <v>1041</v>
      </c>
      <c r="B189" s="47" t="s">
        <v>151</v>
      </c>
      <c r="C189" s="47" t="s">
        <v>155</v>
      </c>
      <c r="D189" s="47" t="s">
        <v>1247</v>
      </c>
      <c r="E189" s="47" t="s">
        <v>1042</v>
      </c>
      <c r="F189" s="47" t="s">
        <v>1043</v>
      </c>
      <c r="G189" s="47" t="s">
        <v>1044</v>
      </c>
      <c r="H189" s="47" t="s">
        <v>942</v>
      </c>
      <c r="I189" s="47" t="s">
        <v>1228</v>
      </c>
      <c r="J189" s="47" t="str">
        <f>=IFERROR(VLOOKUP(H189&amp;I189,Table_Fonctions!A:G,6,FALSE),"")</f>
        <v>0</v>
      </c>
      <c r="K189" s="47" t="s">
        <v>1114</v>
      </c>
      <c r="L189" s="47" t="str">
        <f>=IFERROR(VLOOKUP(H189&amp;I189,Table_Fonctions!A:G,7,FALSE),K189)</f>
        <v/>
      </c>
      <c r="M189" s="47" t="str">
        <f>=IF(OR(LEFT(D189, 3)="TJ ", LEFT(D189, 4)="CPH "), "OUI", "NON")</f>
        <v/>
      </c>
      <c r="N189" s="47" t="s">
        <v>1045</v>
      </c>
      <c r="O189" s="47"/>
      <c r="P189" s="47">
        <v>1</v>
      </c>
      <c r="Q189" s="47">
        <v>1</v>
      </c>
      <c r="R189" s="47">
        <v>0</v>
      </c>
      <c r="S189" s="47">
        <f>=ROUND(BQ189-(BR189+BS189),3)</f>
      </c>
      <c r="T189" s="47">
        <f>=ROUND(CK189-(CL189+CM189+CN189+CO189+CP189),3)</f>
      </c>
      <c r="U189" s="47">
        <v>0</v>
      </c>
      <c r="V189" s="47">
        <v>0</v>
      </c>
      <c r="W189" s="47">
        <v>0</v>
      </c>
      <c r="X189" s="47">
        <v>0</v>
      </c>
      <c r="Y189" s="47">
        <v>0</v>
      </c>
      <c r="Z189" s="47">
        <v>1</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0.0728</v>
      </c>
      <c r="DV189" s="47">
        <v>0.3065</v>
      </c>
      <c r="DW189" s="47">
        <v>0</v>
      </c>
      <c r="DX189" s="47">
        <v>0.1073</v>
      </c>
      <c r="DY189" s="47">
        <v>0.4866</v>
      </c>
      <c r="DZ189" s="47"/>
      <c r="EA189" s="47">
        <v>1</v>
      </c>
      <c r="ZZ189" t="s">
        <v>1062</v>
      </c>
    </row>
    <row r="190" spans="1:702" x14ac:dyDescent="0.25">
      <c r="A190" s="47" t="s">
        <v>1046</v>
      </c>
      <c r="B190" s="47" t="s">
        <v>151</v>
      </c>
      <c r="C190" s="47" t="s">
        <v>155</v>
      </c>
      <c r="D190" s="47" t="s">
        <v>1106</v>
      </c>
      <c r="E190" s="47" t="s">
        <v>1047</v>
      </c>
      <c r="F190" s="47" t="s">
        <v>1048</v>
      </c>
      <c r="G190" s="47" t="s">
        <v>343</v>
      </c>
      <c r="H190" s="47" t="s">
        <v>942</v>
      </c>
      <c r="I190" s="47" t="s">
        <v>1228</v>
      </c>
      <c r="J190" s="47" t="str">
        <f>=IFERROR(VLOOKUP(H190&amp;I190,Table_Fonctions!A:G,6,FALSE),"")</f>
        <v>0</v>
      </c>
      <c r="K190" s="47" t="s">
        <v>1114</v>
      </c>
      <c r="L190" s="47" t="str">
        <f>=IFERROR(VLOOKUP(H190&amp;I190,Table_Fonctions!A:G,7,FALSE),K190)</f>
        <v/>
      </c>
      <c r="M190" s="47" t="str">
        <f>=IF(OR(LEFT(D190, 3)="TJ ", LEFT(D190, 4)="CPH "), "OUI", "NON")</f>
        <v/>
      </c>
      <c r="N190" s="47" t="s">
        <v>1049</v>
      </c>
      <c r="O190" s="47"/>
      <c r="P190" s="47">
        <v>0.0881</v>
      </c>
      <c r="Q190" s="47">
        <v>0.0881</v>
      </c>
      <c r="R190" s="47">
        <v>0</v>
      </c>
      <c r="S190" s="47">
        <f>=ROUND(BQ190-(BR190+BS190),3)</f>
      </c>
      <c r="T190" s="47">
        <f>=ROUND(CK190-(CL190+CM190+CN190+CO190+CP190),3)</f>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0.0881</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v>0</v>
      </c>
      <c r="DZ190" s="47"/>
      <c r="EA190" s="47">
        <v>0.0881</v>
      </c>
      <c r="ZZ190" t="s">
        <v>1062</v>
      </c>
    </row>
    <row r="191" spans="1:157" x14ac:dyDescent="0.25">
      <c r="B191" s="48"/>
      <c r="D191" s="52"/>
      <c r="I191" s="52"/>
      <c r="FA191" s="1"/>
    </row>
  </sheetData>
  <sheetProtection sheet="1" autoFilter="0"/>
  <autoFilter ref="A2:EA2"/>
  <mergeCells count="1">
    <mergeCell ref="D1:Q1"/>
  </mergeCells>
  <conditionalFormatting sqref="A3:EA191 A2:EA2 A1:G1 I1:EY1">
    <cfRule type="expression" dxfId="0" priority="1">
      <formula>OR(AND(OR($R1&lt;&gt;0,$S1&lt;&gt;0,$T1&lt;&gt;0,ISBLANK($P1)),ROW()&gt;2,$A1&lt;&gt;""),LEFT($I1,3)="JA ")</formula>
    </cfRule>
  </conditionalFormatting>
  <dataValidations count="22">
    <dataValidation type="list" allowBlank="1" showInputMessage="1" showErrorMessage="1" error="Veuillez selectionner une valeur dans le menu déroulant" sqref="D10:D190">
      <formula1>"TJ TEST"</formula1>
    </dataValidation>
    <dataValidation type="list" allowBlank="1" showInputMessage="1" showErrorMessage="1" error="Veuillez selectionner une valeur dans le menu déroulant" sqref="D3:D190">
      <formula1>"TJ TEST"</formula1>
    </dataValidation>
    <dataValidation type="list" allowBlank="1" sqref="I108">
      <formula1>"A PLACÉ ADDITIONNEL,A PLACÉ SUBSTITUTION"</formula1>
    </dataValidation>
    <dataValidation type="list" allowBlank="1" sqref="I127">
      <formula1>"B PLACÉ ADDITIONNEL,B PLACÉ SUBSTITUTION"</formula1>
    </dataValidation>
    <dataValidation type="list" allowBlank="1" sqref="I159">
      <formula1>"B PLACÉ ADDITIONNEL,B PLACÉ SUBSTITUTION"</formula1>
    </dataValidation>
    <dataValidation type="list" allowBlank="1" sqref="I167:I169">
      <formula1>"Att. J Siège autres,Att. J Siege Assises,Att. J Siege CCD,Att. J Parquet,Att. J JAP,Att. J JE,Att. J JI,Att. J JLD PÉNAL"</formula1>
    </dataValidation>
    <dataValidation type="list" allowBlank="1" sqref="I171:I172">
      <formula1>"Att. J Siège autres,Att. J Siege Assises,Att. J Siege CCD,Att. J Parquet,Att. J JAP,Att. J JE,Att. J JI,Att. J JLD PÉNAL"</formula1>
    </dataValidation>
    <dataValidation type="list" allowBlank="1" sqref="I173:I174">
      <formula1>"JA Siège autres,JA Social,JA Parquet,JA JAP,JA JE,JA JI,JA JLD"</formula1>
    </dataValidation>
    <dataValidation type="list" allowBlank="1" sqref="I175">
      <formula1>"Att. J Siège autres,Att. J Siege Assises,Att. J Siege CCD,Att. J Parquet,Att. J JAP,Att. J JE,Att. J JI,Att. J JLD PÉNAL"</formula1>
    </dataValidation>
    <dataValidation type="list" allowBlank="1" sqref="I176">
      <formula1>"JA Siège autres,JA Social,JA Parquet,JA JAP,JA JE,JA JI,JA JLD"</formula1>
    </dataValidation>
    <dataValidation type="list" allowBlank="1" sqref="I177:I178">
      <formula1>"Att. J Siège autres,Att. J Siege Assises,Att. J Siege CCD,Att. J Parquet,Att. J JAP,Att. J JE,Att. J JI,Att. J JLD PÉNAL"</formula1>
    </dataValidation>
    <dataValidation type="list" allowBlank="1" sqref="I179">
      <formula1>"JA Siège autres,JA Social,JA Parquet,JA JAP,JA JE,JA JI,JA JLD"</formula1>
    </dataValidation>
    <dataValidation type="list" allowBlank="1" sqref="I180:I184">
      <formula1>"Att. J Siège autres,Att. J Siege Assises,Att. J Siege CCD,Att. J Parquet,Att. J JAP,Att. J JE,Att. J JI,Att. J JLD PÉNAL"</formula1>
    </dataValidation>
    <dataValidation type="list" allowBlank="1" sqref="I185">
      <formula1>"JA Siège autres,JA Social,JA Parquet,JA JAP,JA JE,JA JI,JA JLD"</formula1>
    </dataValidation>
    <dataValidation type="list" allowBlank="1" sqref="I186">
      <formula1>"Att. J Siège autres,Att. J Siege Assises,Att. J Siege CCD,Att. J Parquet,Att. J JAP,Att. J JE,Att. J JI,Att. J JLD PÉNAL"</formula1>
    </dataValidation>
    <dataValidation type="list" allowBlank="1" sqref="I189:I190">
      <formula1>"Att. J Siège autres,Att. J Siege Assises,Att. J Siege CCD,Att. J Parquet,Att. J JAP,Att. J JE,Att. J JI,Att. J JLD PÉNAL"</formula1>
    </dataValidation>
    <dataValidation type="list" allowBlank="1" sqref="I29">
      <formula1>"J. PLACÉ ADDITIONNEL,J. PLACÉ SUBSTITUTION"</formula1>
    </dataValidation>
    <dataValidation type="list" allowBlank="1" sqref="I32">
      <formula1>"VP PLACÉ ADDITIONNEL,VP PLACÉ SUBSTITUTION"</formula1>
    </dataValidation>
    <dataValidation type="list" allowBlank="1" sqref="I34">
      <formula1>"J. PLACÉ ADDITIONNEL,J. PLACÉ SUBSTITUTION"</formula1>
    </dataValidation>
    <dataValidation type="list" allowBlank="1" sqref="I46">
      <formula1>"CONT A JP Siège,CONT A JP Parquet"</formula1>
    </dataValidation>
    <dataValidation type="list" allowBlank="1" sqref="I5">
      <formula1>"J. PLACÉ ADDITIONNEL,J. PLACÉ SUBSTITUTION"</formula1>
    </dataValidation>
    <dataValidation type="list" allowBlank="1" sqref="I93">
      <formula1>"A PLACÉ ADDITIONNEL,A PLACÉ SUBSTITUTION"</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7"/>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1248</v>
      </c>
      <c r="B1" s="42"/>
      <c r="C1" s="53" t="s">
        <v>1249</v>
      </c>
      <c r="D1" s="53"/>
      <c r="E1" s="43"/>
      <c r="F1" s="43"/>
      <c r="G1" s="43"/>
      <c r="H1" s="43"/>
      <c r="I1" s="44"/>
      <c r="J1" s="44"/>
      <c r="K1" s="43"/>
      <c r="L1" s="43"/>
      <c r="M1" s="43"/>
      <c r="N1" s="43"/>
      <c r="O1" s="43"/>
      <c r="P1" s="43"/>
      <c r="Q1" s="43"/>
      <c r="R1" s="43"/>
      <c r="S1" s="43"/>
      <c r="T1" s="43"/>
      <c r="U1" s="43"/>
      <c r="V1" s="43"/>
      <c r="W1" s="40"/>
    </row>
    <row r="2" ht="42" customHeight="1" spans="1:3" x14ac:dyDescent="0.25">
      <c r="A2" s="54" t="s">
        <v>1250</v>
      </c>
      <c r="B2" s="55" t="s">
        <v>1251</v>
      </c>
    </row>
    <row r="3" ht="30" customHeight="1" spans="1:4" x14ac:dyDescent="0.25">
      <c r="A3" s="56" t="s">
        <v>151</v>
      </c>
      <c r="B3" s="57">
        <f>VLOOKUP(A3,#REF!,2,FALSE)</f>
      </c>
      <c r="D3" s="58" t="s">
        <v>1252</v>
      </c>
    </row>
    <row r="4" ht="19" customHeight="1" spans="1:24" x14ac:dyDescent="0.25">
      <c r="B4" s="59"/>
      <c r="C4" s="60"/>
      <c r="D4" s="60"/>
      <c r="E4" s="60"/>
      <c r="F4" s="60"/>
      <c r="G4" s="61" t="s">
        <v>1253</v>
      </c>
      <c r="H4" s="61"/>
      <c r="I4" s="61"/>
      <c r="J4" s="61"/>
      <c r="K4" s="61"/>
      <c r="L4" s="61"/>
      <c r="M4" s="61"/>
      <c r="N4" s="62" t="s">
        <v>1254</v>
      </c>
      <c r="O4" s="62"/>
      <c r="P4" s="62"/>
      <c r="Q4" s="62"/>
      <c r="R4" s="62"/>
      <c r="S4" s="62"/>
      <c r="T4" s="62"/>
      <c r="U4" s="61" t="s">
        <v>1255</v>
      </c>
      <c r="V4" s="61"/>
      <c r="W4" s="63"/>
    </row>
    <row r="5" ht="48" customHeight="1" spans="1:23" x14ac:dyDescent="0.25">
      <c r="C5" s="3"/>
      <c r="D5" s="3"/>
      <c r="E5" s="2"/>
      <c r="F5" s="2"/>
      <c r="G5" s="64" t="s">
        <v>1256</v>
      </c>
      <c r="H5" s="65" t="s">
        <v>1257</v>
      </c>
      <c r="I5" s="66" t="s">
        <v>1258</v>
      </c>
      <c r="J5" s="66" t="s">
        <v>1259</v>
      </c>
      <c r="K5" s="66" t="s">
        <v>1260</v>
      </c>
      <c r="L5" s="64" t="s">
        <v>1261</v>
      </c>
      <c r="M5" s="67" t="s">
        <v>1257</v>
      </c>
      <c r="N5" s="66" t="s">
        <v>1262</v>
      </c>
      <c r="O5" s="65" t="s">
        <v>1257</v>
      </c>
      <c r="P5" s="66" t="s">
        <v>1263</v>
      </c>
      <c r="Q5" s="66" t="s">
        <v>1264</v>
      </c>
      <c r="R5" s="66" t="s">
        <v>1260</v>
      </c>
      <c r="S5" s="64" t="s">
        <v>1265</v>
      </c>
      <c r="T5" s="65" t="s">
        <v>1257</v>
      </c>
      <c r="U5" s="64" t="s">
        <v>1260</v>
      </c>
      <c r="V5" s="67" t="s">
        <v>1257</v>
      </c>
    </row>
    <row r="6" ht="16" customHeight="1" spans="1:23" x14ac:dyDescent="0.25">
      <c r="A6" s="40"/>
      <c r="C6" s="68"/>
      <c r="D6" s="68"/>
      <c r="E6" s="69" t="s">
        <v>1053</v>
      </c>
      <c r="F6" s="70" t="s">
        <v>1053</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1054</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1058</v>
      </c>
      <c r="D102" s="68" t="s">
        <v>1058</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143</v>
      </c>
      <c r="F103" s="70" t="s">
        <v>143</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144</v>
      </c>
      <c r="F104" s="70" t="s">
        <v>144</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145</v>
      </c>
      <c r="F105" s="70" t="s">
        <v>145</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146</v>
      </c>
      <c r="F106" s="70" t="s">
        <v>146</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147</v>
      </c>
      <c r="F107" s="70" t="s">
        <v>147</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148</v>
      </c>
      <c r="F108" s="70" t="s">
        <v>148</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149</v>
      </c>
      <c r="F109" s="70" t="s">
        <v>149</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1059</v>
      </c>
      <c r="F110" s="70" t="s">
        <v>1059</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t="s">
        <v>1061</v>
      </c>
      <c r="D111" s="68" t="s">
        <v>1266</v>
      </c>
      <c r="E111" s="69"/>
      <c r="F111" s="70"/>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1060</v>
      </c>
      <c r="F112" s="70" t="s">
        <v>1060</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c r="D113" s="68"/>
      <c r="E113" s="69" t="s">
        <v>138</v>
      </c>
      <c r="F113" s="70" t="s">
        <v>138</v>
      </c>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c r="D114" s="68"/>
      <c r="E114" s="69" t="s">
        <v>139</v>
      </c>
      <c r="F114" s="70" t="s">
        <v>139</v>
      </c>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140</v>
      </c>
      <c r="F115" s="70" t="s">
        <v>140</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ht="16" customHeight="1" spans="1:23" x14ac:dyDescent="0.25">
      <c r="A116" s="40"/>
      <c r="C116" s="68"/>
      <c r="D116" s="68"/>
      <c r="E116" s="69" t="s">
        <v>142</v>
      </c>
      <c r="F116" s="70" t="s">
        <v>142</v>
      </c>
      <c r="G116" s="71">
        <f>SUMIFS(
INDEX('ETPT Format DDG'!$A:$ZZ,,IFERROR(MATCH(E116,'ETPT Format DDG'!$2:$2,0),MATCH(C116,'ETPT Format DDG'!$2:$2,0))),
INDEX( 'ETPT Format DDG'!$A:$ZZ,,MATCH("Fonction agrégat",'ETPT Format DDG'!2:2,0)),"M-TIT",
INDEX( 'ETPT Format DDG'!$A:$ZZ,,MATCH("Juridiction",'ETPT Format DDG'!2:2,0)),$A$3)</f>
      </c>
      <c r="H116" s="72">
        <f>IF(AND(OR(LEFT(C116,3)="12.",LEFT(E116,3)="12.",LEFT(E116,5)="CET &gt;",IFERROR(G116/$G$6,"")=0),NOT(AND(LEFT(E116,4)="12.8",IFERROR(G116/$G$6,"")&lt;&gt;0)),NOT(AND(LEFT(E116,5)="12.31",IFERROR(G116/$G$6,"")&lt;&gt;0)),NOT(AND(LEFT(E116,5)="12.32",IFERROR(G116/$G$6,"")&lt;&gt;0))),"", IFERROR(G116/$G$6,""))</f>
      </c>
      <c r="I116" s="73">
        <f>SUMIFS(
INDEX('ETPT Format DDG'!$A:$ZZ,,IFERROR(MATCH(E116,'ETPT Format DDG'!$2:$2,0),MATCH(C116,'ETPT Format DDG'!$2:$2,0))),
INDEX( 'ETPT Format DDG'!$A:$ZZ,,MATCH("Fonction agrégat",'ETPT Format DDG'!2:2,0)),"M-PLAC-ADD",
INDEX( 'ETPT Format DDG'!$A:$ZZ,,MATCH("Juridiction",'ETPT Format DDG'!2:2,0)),$A$3)</f>
      </c>
      <c r="J116" s="73">
        <f>SUMIFS(
INDEX('ETPT Format DDG'!$A:$ZZ,,IFERROR(MATCH(E116,'ETPT Format DDG'!$2:$2,0),MATCH(C116,'ETPT Format DDG'!$2:$2,0))),
INDEX( 'ETPT Format DDG'!$A:$ZZ,,MATCH("Fonction agrégat",'ETPT Format DDG'!2:2,0)),"M-PLAC-SUB",
INDEX( 'ETPT Format DDG'!$A:$ZZ,,MATCH("Juridiction",'ETPT Format DDG'!2:2,0)),$A$3)</f>
      </c>
      <c r="K116" s="73">
        <f>SUMIFS(
INDEX('ETPT Format DDG'!$A:$ZZ,,IFERROR(MATCH(E116,'ETPT Format DDG'!$2:$2,0),MATCH(C116,'ETPT Format DDG'!$2:$2,0))),
INDEX( 'ETPT Format DDG'!$A:$ZZ,,MATCH("Fonction agrégat",'ETPT Format DDG'!2:2,0)),"M-CONT",
INDEX( 'ETPT Format DDG'!$A:$ZZ,,MATCH("Juridiction",'ETPT Format DDG'!2:2,0)),$A$3,
INDEX( 'ETPT Format DDG'!$A:$ZZ,,MATCH("Catégorie",'ETPT Format DDG'!2:2,0)),"Magistrat")</f>
      </c>
      <c r="L116" s="71">
        <f>SUMIFS(
INDEX('ETPT Format DDG'!$A:$ZZ,,IFERROR(MATCH(E116,'ETPT Format DDG'!$2:$2,0),MATCH(C116,'ETPT Format DDG'!$2:$2,0))),
INDEX( 'ETPT Format DDG'!$A:$ZZ,,MATCH("Juridiction",'ETPT Format DDG'!2:2,0)),$A$3,
INDEX( 'ETPT Format DDG'!$A:$ZZ,,MATCH("Catégorie",'ETPT Format DDG'!2:2,0)),"Magistrat")</f>
      </c>
      <c r="M116" s="74">
        <f>IF(AND(OR(LEFT(C116,3)="12.",LEFT(E116,3)="12.",LEFT(E116,5)="CET &gt;", IFERROR(L116/$L$6,"")=0),NOT(AND(LEFT(E116,4)="12.8",IFERROR(G116/$G$6,"")&lt;&gt;0)),NOT(AND(LEFT(E116,5)="12.31",IFERROR(L116/$G$6,"")&lt;&gt;0)),NOT(AND(LEFT(E116,5)="12.32",IFERROR(L116/$G$6,"")&lt;&gt;0))),"", IFERROR(L116/$L$6,""))</f>
      </c>
      <c r="N116" s="73">
        <f>SUMIFS(
INDEX('ETPT Format DDG'!$A:$ZZ,,IFERROR(MATCH(E116,'ETPT Format DDG'!$2:$2,0),MATCH(C116,'ETPT Format DDG'!$2:$2,0))),
INDEX( 'ETPT Format DDG'!$A:$ZZ,,MATCH("Fonction agrégat",'ETPT Format DDG'!2:2,0)),"F-TIT",
INDEX( 'ETPT Format DDG'!$A:$ZZ,,MATCH("Juridiction",'ETPT Format DDG'!2:2,0)),$A$3)</f>
      </c>
      <c r="O116" s="72">
        <f>IF(AND(OR(LEFT(C116,3)="12.",LEFT(E116,3)="12.",LEFT(E116,5)="CET &gt;",IFERROR(N116/$N$6,"")=0),NOT(AND(LEFT(E116,4)="12.8",IFERROR(G116/$G$6,"")&lt;&gt;0)),NOT(AND(LEFT(E116,5)="12.31",IFERROR(N116/$G$6,"")&lt;&gt;0)),NOT(AND(LEFT(E116,5)="12.32",IFERROR(N116/$G$6,"")&lt;&gt;0))),"",IFERROR(N116/$N$6,""))</f>
      </c>
      <c r="P116" s="73">
        <f>SUMIFS(
INDEX('ETPT Format DDG'!$A:$FB,,IFERROR(MATCH(E116,'ETPT Format DDG'!$2:$2,0),MATCH(C116,'ETPT Format DDG'!$2:$2,0))),
INDEX( 'ETPT Format DDG'!$A:$ZZ,,MATCH("Fonction agrégat",'ETPT Format DDG'!2:2,0)),"F-PLAC-ADD",
INDEX( 'ETPT Format DDG'!$A:$ZZ,,MATCH("Juridiction",'ETPT Format DDG'!2:2,0)),$A$3)</f>
      </c>
      <c r="Q116" s="73">
        <f>SUMIFS(
INDEX('ETPT Format DDG'!$A:$FB,,IFERROR(MATCH(E116,'ETPT Format DDG'!$2:$2,0),MATCH(C116,'ETPT Format DDG'!$2:$2,0))),
INDEX( 'ETPT Format DDG'!$A:$ZZ,,MATCH("Fonction agrégat",'ETPT Format DDG'!2:2,0)),"F-PLAC-SUB",
INDEX( 'ETPT Format DDG'!$A:$ZZ,,MATCH("Juridiction",'ETPT Format DDG'!2:2,0)),$A$3)</f>
      </c>
      <c r="R116" s="73">
        <f>SUMIFS(
INDEX('ETPT Format DDG'!$A:$FB,,IFERROR(MATCH(E116,'ETPT Format DDG'!$2:$2,0),MATCH(C116,'ETPT Format DDG'!$2:$2,0))),
INDEX( 'ETPT Format DDG'!$A:$ZZ,,MATCH("Fonction agrégat",'ETPT Format DDG'!2:2,0)),"C",
'ETPT Format DDG'!$H:$H,"Greffe",
INDEX( 'ETPT Format DDG'!$A:$ZZ,,MATCH("Juridiction",'ETPT Format DDG'!2:2,0)),$A$3)</f>
      </c>
      <c r="S116" s="71">
        <f>SUMIFS(
INDEX('ETPT Format DDG'!$A:$FB,,IFERROR(MATCH(E116,'ETPT Format DDG'!$2:$2,0),MATCH(C116,'ETPT Format DDG'!$2:$2,0))),
INDEX( 'ETPT Format DDG'!$A:$ZZ,,MATCH("Catégorie",'ETPT Format DDG'!2:2,0)),"Greffe",
INDEX( 'ETPT Format DDG'!$A:$ZZ,,MATCH("Juridiction",'ETPT Format DDG'!2:2,0)),$A$3)</f>
      </c>
      <c r="T116" s="72">
        <f>IF(AND(OR(LEFT(C116,3)="12.",LEFT(E116,3)="12.",LEFT(E116,5)="CET &gt;",IFERROR(S116/$S$6,"")=0),NOT(AND(LEFT(E116,4)="12.8",IFERROR(G116/$G$6,"")&lt;&gt;0)),NOT(AND(LEFT(E116,5)="12.31",IFERROR(S116/$G$6,"")&lt;&gt;0)),NOT(AND(LEFT(E116,5)="12.32",IFERROR(S116/$G$6,"")&lt;&gt;0))),"", IFERROR(S116/$S$6,""))</f>
      </c>
      <c r="U116" s="71">
        <f>SUMIFS(
INDEX('ETPT Format DDG'!$A:$FB,,IFERROR(MATCH(E116,'ETPT Format DDG'!$2:$2,0),MATCH(C116,'ETPT Format DDG'!$2:$2,0))),
INDEX( 'ETPT Format DDG'!$A:$ZZ,,MATCH("Fonction agrégat",'ETPT Format DDG'!2:2,0)),"C",
INDEX( 'ETPT Format DDG'!$A:$ZZ,,MATCH("Juridiction",'ETPT Format DDG'!2:2,0)),$A$3,
INDEX( 'ETPT Format DDG'!$A:$ZZ,,MATCH("Catégorie",'ETPT Format DDG'!2:2,0)),"Autour du magistrat")</f>
      </c>
      <c r="V116" s="74">
        <f>IF(AND(OR(LEFT(C116,3)="12.",LEFT(E116,3)="12.",LEFT(E116,5)="CET &gt;",IFERROR(U116/$U$6,"")=0),NOT(AND(LEFT(E116,4)="12.8",IFERROR(G116/$G$6,"")&lt;&gt;0)),NOT(AND(LEFT(E116,5)="12.31",IFERROR(U116/$G$6,"")&lt;&gt;0)),NOT(AND(LEFT(E116,5)="12.32",IFERROR(U116/$G$6,"")&lt;&gt;0))),"", IFERROR(U116/$U$6,""))</f>
      </c>
    </row>
    <row r="117" spans="1:23" x14ac:dyDescent="0.25">
      <c r="G117" s="75"/>
      <c r="H117" s="75"/>
      <c r="I117" s="75"/>
      <c r="J117" s="75"/>
      <c r="K117" s="75"/>
      <c r="L117" s="75"/>
      <c r="M117" s="75"/>
      <c r="N117" s="75"/>
      <c r="O117" s="75"/>
      <c r="P117" s="75"/>
      <c r="Q117" s="75"/>
      <c r="R117" s="75"/>
      <c r="S117" s="75"/>
      <c r="T117" s="75"/>
      <c r="U117" s="75"/>
      <c r="V117"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"TJ TEST"</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2286</v>
      </c>
      <c r="B1" s="229" t="s">
        <v>151</v>
      </c>
      <c r="D1" s="230" t="s">
        <v>2287</v>
      </c>
      <c r="G1" s="230" t="s">
        <v>2288</v>
      </c>
      <c r="I1" s="231" t="s">
        <v>2289</v>
      </c>
      <c r="J1" s="229" t="s">
        <v>151</v>
      </c>
      <c r="M1" s="3" t="s">
        <v>2290</v>
      </c>
    </row>
    <row r="2" ht="16" customHeight="1" spans="13:13" x14ac:dyDescent="0.25">
      <c r="M2" s="3" t="s">
        <v>2290</v>
      </c>
    </row>
    <row r="3" ht="16" customHeight="1" spans="2:13" x14ac:dyDescent="0.25">
      <c r="B3" s="232"/>
      <c r="E3" s="232"/>
      <c r="H3" s="233"/>
      <c r="M3" s="3" t="s">
        <v>2290</v>
      </c>
    </row>
    <row r="4" ht="16" customHeight="1" spans="2:13" x14ac:dyDescent="0.25">
      <c r="B4" s="232"/>
      <c r="E4" s="232"/>
      <c r="H4" s="233"/>
      <c r="M4" s="3" t="s">
        <v>2290</v>
      </c>
    </row>
    <row r="5" ht="16" customHeight="1" spans="2:13" x14ac:dyDescent="0.25">
      <c r="B5" s="232"/>
      <c r="E5" s="232"/>
      <c r="H5" s="233"/>
      <c r="M5" s="3" t="s">
        <v>2290</v>
      </c>
    </row>
    <row r="6" ht="16" customHeight="1" spans="8:13" x14ac:dyDescent="0.25">
      <c r="H6" s="233"/>
      <c r="M6" s="3" t="s">
        <v>2290</v>
      </c>
    </row>
    <row r="7" ht="16" customHeight="1" spans="8:13" x14ac:dyDescent="0.25">
      <c r="H7" s="233"/>
      <c r="M7" s="3" t="s">
        <v>2290</v>
      </c>
    </row>
    <row r="8" ht="16" customHeight="1" spans="8:13" x14ac:dyDescent="0.25">
      <c r="H8" s="233"/>
      <c r="M8" s="3" t="s">
        <v>2290</v>
      </c>
    </row>
    <row r="9" ht="16" customHeight="1" spans="13:13" x14ac:dyDescent="0.25">
      <c r="M9" s="3" t="s">
        <v>2290</v>
      </c>
    </row>
    <row r="10" ht="16" customHeight="1" spans="13:13" x14ac:dyDescent="0.25">
      <c r="M10" s="3" t="s">
        <v>2290</v>
      </c>
    </row>
    <row r="11" ht="16" customHeight="1" spans="13:13" x14ac:dyDescent="0.25">
      <c r="M11" s="3" t="s">
        <v>2290</v>
      </c>
    </row>
    <row r="12" ht="16" customHeight="1" spans="13:13" x14ac:dyDescent="0.25">
      <c r="M12" s="3" t="s">
        <v>2290</v>
      </c>
    </row>
    <row r="13" ht="16" customHeight="1" spans="13:13" x14ac:dyDescent="0.25">
      <c r="M13" s="3" t="s">
        <v>2290</v>
      </c>
    </row>
    <row r="14" ht="16" customHeight="1" spans="13:13" x14ac:dyDescent="0.25">
      <c r="M14" s="3" t="s">
        <v>2290</v>
      </c>
    </row>
    <row r="15" ht="16" customHeight="1" spans="13:13" x14ac:dyDescent="0.25">
      <c r="M15" s="3" t="s">
        <v>2290</v>
      </c>
    </row>
    <row r="16" ht="16" customHeight="1" spans="13:13" x14ac:dyDescent="0.25">
      <c r="M16" s="3" t="s">
        <v>2290</v>
      </c>
    </row>
    <row r="17" ht="16" customHeight="1" spans="13:13" x14ac:dyDescent="0.25">
      <c r="M17" s="3" t="s">
        <v>2290</v>
      </c>
    </row>
    <row r="18" ht="16" customHeight="1" spans="13:13" x14ac:dyDescent="0.25">
      <c r="M18" s="3" t="s">
        <v>2290</v>
      </c>
    </row>
    <row r="19" ht="16" customHeight="1" spans="13:13" x14ac:dyDescent="0.25">
      <c r="M19" s="3" t="s">
        <v>2290</v>
      </c>
    </row>
    <row r="20" ht="16" customHeight="1" spans="13:13" x14ac:dyDescent="0.25">
      <c r="M20" s="3" t="s">
        <v>2290</v>
      </c>
    </row>
    <row r="21" ht="16" customHeight="1" spans="13:13" x14ac:dyDescent="0.25">
      <c r="M21" s="3" t="s">
        <v>2290</v>
      </c>
    </row>
    <row r="22" ht="16" customHeight="1" spans="13:13" x14ac:dyDescent="0.25">
      <c r="M22" s="3" t="s">
        <v>2290</v>
      </c>
    </row>
    <row r="23" ht="16" customHeight="1" spans="13:13" x14ac:dyDescent="0.25">
      <c r="M23" s="3" t="s">
        <v>2290</v>
      </c>
    </row>
    <row r="24" ht="16" customHeight="1" spans="13:13" x14ac:dyDescent="0.25">
      <c r="M24" s="3" t="s">
        <v>2290</v>
      </c>
    </row>
    <row r="25" ht="16" customHeight="1" spans="13:13" x14ac:dyDescent="0.25">
      <c r="M25" s="3" t="s">
        <v>2290</v>
      </c>
    </row>
    <row r="26" ht="16" customHeight="1" spans="13:13" x14ac:dyDescent="0.25">
      <c r="M26" s="3" t="s">
        <v>2290</v>
      </c>
    </row>
    <row r="27" ht="16" customHeight="1" spans="13:13" x14ac:dyDescent="0.25">
      <c r="M27" s="3" t="s">
        <v>2290</v>
      </c>
    </row>
    <row r="28" ht="16" customHeight="1" spans="13:13" x14ac:dyDescent="0.25">
      <c r="M28" s="3" t="s">
        <v>2290</v>
      </c>
    </row>
    <row r="29" ht="16" customHeight="1" spans="13:13" x14ac:dyDescent="0.25">
      <c r="M29" s="3" t="s">
        <v>2290</v>
      </c>
    </row>
    <row r="30" ht="16" customHeight="1" spans="13:13" x14ac:dyDescent="0.25">
      <c r="M30" s="1" t="s">
        <v>2291</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6"/>
  <sheetViews>
    <sheetView workbookViewId="0" zoomScale="100" zoomScaleNormal="80">
      <selection activeCell="D3" sqref="D3"/>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1267</v>
      </c>
      <c r="B1" s="77" t="s">
        <v>33</v>
      </c>
      <c r="C1" s="77" t="s">
        <v>1268</v>
      </c>
      <c r="D1" s="77" t="s">
        <v>1269</v>
      </c>
      <c r="E1" s="77" t="s">
        <v>1251</v>
      </c>
      <c r="F1" s="77" t="s">
        <v>1270</v>
      </c>
      <c r="G1" s="77" t="s">
        <v>1271</v>
      </c>
    </row>
    <row r="2" ht="32" customHeight="1" spans="1:8" x14ac:dyDescent="0.25">
      <c r="A2" s="3" t="s">
        <v>1272</v>
      </c>
      <c r="B2" s="3" t="s">
        <v>161</v>
      </c>
      <c r="C2" s="3" t="s">
        <v>1273</v>
      </c>
      <c r="D2" s="78" t="s">
        <v>1274</v>
      </c>
      <c r="E2" s="3" t="s">
        <v>1275</v>
      </c>
      <c r="F2" s="78" t="s">
        <v>1276</v>
      </c>
      <c r="G2" s="78" t="s">
        <v>1066</v>
      </c>
    </row>
    <row r="3" ht="32" customHeight="1" spans="1:8" x14ac:dyDescent="0.25">
      <c r="A3" s="3" t="s">
        <v>1277</v>
      </c>
      <c r="B3" s="3" t="s">
        <v>161</v>
      </c>
      <c r="C3" s="3" t="s">
        <v>1278</v>
      </c>
      <c r="D3" s="78" t="s">
        <v>1274</v>
      </c>
      <c r="E3" s="3" t="s">
        <v>330</v>
      </c>
      <c r="F3" s="78" t="s">
        <v>1276</v>
      </c>
      <c r="G3" s="78" t="s">
        <v>1066</v>
      </c>
    </row>
    <row r="4" ht="32" customHeight="1" spans="1:8" x14ac:dyDescent="0.25">
      <c r="A4" s="3" t="s">
        <v>1279</v>
      </c>
      <c r="B4" s="3" t="s">
        <v>161</v>
      </c>
      <c r="C4" s="3" t="s">
        <v>1280</v>
      </c>
      <c r="D4" s="78" t="s">
        <v>1274</v>
      </c>
      <c r="E4" s="3" t="s">
        <v>197</v>
      </c>
      <c r="F4" s="78" t="s">
        <v>1276</v>
      </c>
      <c r="G4" s="78" t="s">
        <v>1066</v>
      </c>
    </row>
    <row r="5" ht="32" customHeight="1" spans="1:8" x14ac:dyDescent="0.25">
      <c r="A5" s="3" t="s">
        <v>1281</v>
      </c>
      <c r="B5" s="3" t="s">
        <v>161</v>
      </c>
      <c r="C5" s="3" t="s">
        <v>1282</v>
      </c>
      <c r="D5" s="78" t="s">
        <v>1274</v>
      </c>
      <c r="E5" s="3" t="s">
        <v>1283</v>
      </c>
      <c r="F5" s="78" t="s">
        <v>1284</v>
      </c>
      <c r="G5" s="78" t="s">
        <v>1066</v>
      </c>
    </row>
    <row r="6" ht="32" customHeight="1" spans="1:8" x14ac:dyDescent="0.25">
      <c r="A6" s="3" t="s">
        <v>1285</v>
      </c>
      <c r="B6" s="3" t="s">
        <v>161</v>
      </c>
      <c r="C6" s="3" t="s">
        <v>1286</v>
      </c>
      <c r="D6" s="78" t="s">
        <v>1274</v>
      </c>
      <c r="E6" s="3" t="s">
        <v>1287</v>
      </c>
      <c r="F6" s="78" t="s">
        <v>1284</v>
      </c>
      <c r="G6" s="78" t="s">
        <v>1066</v>
      </c>
    </row>
    <row r="7" ht="32" customHeight="1" spans="1:8" x14ac:dyDescent="0.25">
      <c r="A7" s="3" t="s">
        <v>1288</v>
      </c>
      <c r="B7" s="3" t="s">
        <v>161</v>
      </c>
      <c r="C7" s="3" t="s">
        <v>1289</v>
      </c>
      <c r="D7" s="78" t="s">
        <v>1274</v>
      </c>
      <c r="E7" s="3" t="s">
        <v>1290</v>
      </c>
      <c r="F7" s="78" t="s">
        <v>1284</v>
      </c>
      <c r="G7" s="78" t="s">
        <v>1066</v>
      </c>
    </row>
    <row r="8" ht="32" customHeight="1" spans="1:8" x14ac:dyDescent="0.25">
      <c r="A8" s="3" t="s">
        <v>1291</v>
      </c>
      <c r="B8" s="3" t="s">
        <v>161</v>
      </c>
      <c r="C8" s="3" t="s">
        <v>1292</v>
      </c>
      <c r="D8" s="78" t="s">
        <v>1274</v>
      </c>
      <c r="E8" s="3" t="s">
        <v>1293</v>
      </c>
      <c r="F8" s="78" t="s">
        <v>1276</v>
      </c>
      <c r="G8" s="78" t="s">
        <v>1066</v>
      </c>
    </row>
    <row r="9" ht="32" customHeight="1" spans="1:8" x14ac:dyDescent="0.25">
      <c r="A9" s="3" t="s">
        <v>1294</v>
      </c>
      <c r="B9" s="3" t="s">
        <v>161</v>
      </c>
      <c r="C9" s="3" t="s">
        <v>1295</v>
      </c>
      <c r="D9" s="78" t="s">
        <v>1274</v>
      </c>
      <c r="E9" s="3" t="s">
        <v>1296</v>
      </c>
      <c r="F9" s="78" t="s">
        <v>1284</v>
      </c>
      <c r="G9" s="78" t="s">
        <v>1066</v>
      </c>
    </row>
    <row r="10" ht="32" customHeight="1" spans="1:8" x14ac:dyDescent="0.25">
      <c r="A10" s="3" t="s">
        <v>1297</v>
      </c>
      <c r="B10" s="3" t="s">
        <v>161</v>
      </c>
      <c r="C10" s="3" t="s">
        <v>1298</v>
      </c>
      <c r="D10" s="78" t="s">
        <v>1274</v>
      </c>
      <c r="E10" s="3" t="s">
        <v>1299</v>
      </c>
      <c r="F10" s="78" t="s">
        <v>1284</v>
      </c>
      <c r="G10" s="78" t="s">
        <v>1066</v>
      </c>
    </row>
    <row r="11" ht="32" customHeight="1" spans="1:8" x14ac:dyDescent="0.25">
      <c r="A11" s="3" t="s">
        <v>1300</v>
      </c>
      <c r="B11" s="3" t="s">
        <v>161</v>
      </c>
      <c r="C11" s="3" t="s">
        <v>1301</v>
      </c>
      <c r="D11" s="78" t="s">
        <v>1274</v>
      </c>
      <c r="E11" s="3" t="s">
        <v>162</v>
      </c>
      <c r="F11" s="78" t="s">
        <v>1276</v>
      </c>
      <c r="G11" s="78" t="s">
        <v>1066</v>
      </c>
    </row>
    <row r="12" ht="32" customHeight="1" spans="1:8" x14ac:dyDescent="0.25">
      <c r="A12" s="3" t="s">
        <v>1302</v>
      </c>
      <c r="B12" s="3" t="s">
        <v>161</v>
      </c>
      <c r="C12" s="3" t="s">
        <v>1303</v>
      </c>
      <c r="D12" s="78" t="s">
        <v>1274</v>
      </c>
      <c r="E12" s="3" t="s">
        <v>242</v>
      </c>
      <c r="F12" s="78" t="s">
        <v>1284</v>
      </c>
      <c r="G12" s="78" t="s">
        <v>1066</v>
      </c>
    </row>
    <row r="13" ht="32" customHeight="1" spans="1:8" x14ac:dyDescent="0.25">
      <c r="A13" s="3" t="s">
        <v>1304</v>
      </c>
      <c r="B13" s="3" t="s">
        <v>161</v>
      </c>
      <c r="C13" s="3" t="s">
        <v>1305</v>
      </c>
      <c r="D13" s="78" t="s">
        <v>1274</v>
      </c>
      <c r="E13" s="3" t="s">
        <v>218</v>
      </c>
      <c r="F13" s="78" t="s">
        <v>1284</v>
      </c>
      <c r="G13" s="78" t="s">
        <v>1066</v>
      </c>
    </row>
    <row r="14" ht="32" customHeight="1" spans="1:8" x14ac:dyDescent="0.25">
      <c r="A14" s="3" t="s">
        <v>1306</v>
      </c>
      <c r="B14" s="3" t="s">
        <v>161</v>
      </c>
      <c r="C14" s="3" t="s">
        <v>1307</v>
      </c>
      <c r="D14" s="78" t="s">
        <v>1274</v>
      </c>
      <c r="E14" s="3" t="s">
        <v>262</v>
      </c>
      <c r="F14" s="78" t="s">
        <v>1284</v>
      </c>
      <c r="G14" s="78" t="s">
        <v>1066</v>
      </c>
    </row>
    <row r="15" ht="32" customHeight="1" spans="1:8" x14ac:dyDescent="0.25">
      <c r="A15" s="3" t="s">
        <v>1308</v>
      </c>
      <c r="B15" s="3" t="s">
        <v>161</v>
      </c>
      <c r="C15" s="3" t="s">
        <v>1309</v>
      </c>
      <c r="D15" s="78" t="s">
        <v>1274</v>
      </c>
      <c r="E15" s="3" t="s">
        <v>175</v>
      </c>
      <c r="F15" s="78" t="s">
        <v>1284</v>
      </c>
      <c r="G15" s="78" t="s">
        <v>1066</v>
      </c>
    </row>
    <row r="16" ht="32" customHeight="1" spans="1:8" x14ac:dyDescent="0.25">
      <c r="A16" s="3" t="s">
        <v>1310</v>
      </c>
      <c r="B16" s="3" t="s">
        <v>161</v>
      </c>
      <c r="C16" s="3" t="s">
        <v>1311</v>
      </c>
      <c r="D16" s="78" t="s">
        <v>1274</v>
      </c>
      <c r="E16" s="3" t="s">
        <v>181</v>
      </c>
      <c r="F16" s="78" t="s">
        <v>1284</v>
      </c>
      <c r="G16" s="78" t="s">
        <v>1066</v>
      </c>
    </row>
    <row r="17" ht="32" customHeight="1" spans="1:8" x14ac:dyDescent="0.25">
      <c r="A17" s="3" t="s">
        <v>1312</v>
      </c>
      <c r="B17" s="3" t="s">
        <v>161</v>
      </c>
      <c r="C17" s="3" t="s">
        <v>1313</v>
      </c>
      <c r="D17" s="78" t="s">
        <v>1274</v>
      </c>
      <c r="E17" s="3" t="s">
        <v>207</v>
      </c>
      <c r="F17" s="78" t="s">
        <v>1276</v>
      </c>
      <c r="G17" s="78" t="s">
        <v>1066</v>
      </c>
    </row>
    <row r="18" ht="32" customHeight="1" spans="1:8" x14ac:dyDescent="0.25">
      <c r="A18" s="3" t="s">
        <v>1314</v>
      </c>
      <c r="B18" s="3" t="s">
        <v>161</v>
      </c>
      <c r="C18" s="3" t="s">
        <v>1315</v>
      </c>
      <c r="D18" s="78" t="s">
        <v>1274</v>
      </c>
      <c r="E18" s="3" t="s">
        <v>251</v>
      </c>
      <c r="F18" s="78" t="s">
        <v>1284</v>
      </c>
      <c r="G18" s="78" t="s">
        <v>1066</v>
      </c>
    </row>
    <row r="19" ht="32" customHeight="1" spans="1:8" x14ac:dyDescent="0.25">
      <c r="A19" s="3" t="s">
        <v>1316</v>
      </c>
      <c r="B19" s="3" t="s">
        <v>161</v>
      </c>
      <c r="C19" s="3" t="s">
        <v>1317</v>
      </c>
      <c r="D19" s="78" t="s">
        <v>1274</v>
      </c>
      <c r="E19" s="3" t="s">
        <v>256</v>
      </c>
      <c r="F19" s="78" t="s">
        <v>1284</v>
      </c>
      <c r="G19" s="78" t="s">
        <v>1066</v>
      </c>
    </row>
    <row r="20" ht="32" customHeight="1" spans="1:8" x14ac:dyDescent="0.25">
      <c r="A20" s="3" t="s">
        <v>1318</v>
      </c>
      <c r="B20" s="3" t="s">
        <v>161</v>
      </c>
      <c r="C20" s="3" t="s">
        <v>1319</v>
      </c>
      <c r="D20" s="78" t="s">
        <v>1274</v>
      </c>
      <c r="E20" s="3" t="s">
        <v>187</v>
      </c>
      <c r="F20" s="78" t="s">
        <v>1284</v>
      </c>
      <c r="G20" s="78" t="s">
        <v>1066</v>
      </c>
    </row>
    <row r="21" ht="32" customHeight="1" spans="1:8" x14ac:dyDescent="0.25">
      <c r="A21" s="3" t="s">
        <v>1320</v>
      </c>
      <c r="B21" s="3" t="s">
        <v>161</v>
      </c>
      <c r="C21" s="3" t="s">
        <v>1321</v>
      </c>
      <c r="D21" s="78" t="s">
        <v>1274</v>
      </c>
      <c r="E21" s="3" t="s">
        <v>192</v>
      </c>
      <c r="F21" s="78" t="s">
        <v>1284</v>
      </c>
      <c r="G21" s="78" t="s">
        <v>1066</v>
      </c>
    </row>
    <row r="22" ht="32" customHeight="1" spans="1:8" x14ac:dyDescent="0.25">
      <c r="A22" s="3" t="s">
        <v>1322</v>
      </c>
      <c r="B22" s="3" t="s">
        <v>161</v>
      </c>
      <c r="C22" s="3" t="s">
        <v>1323</v>
      </c>
      <c r="D22" s="78" t="s">
        <v>1324</v>
      </c>
      <c r="E22" s="3" t="s">
        <v>302</v>
      </c>
      <c r="F22" s="78"/>
      <c r="G22" s="78" t="s">
        <v>1069</v>
      </c>
    </row>
    <row r="23" ht="32" customHeight="1" spans="1:8" x14ac:dyDescent="0.25">
      <c r="A23" s="3" t="s">
        <v>1325</v>
      </c>
      <c r="B23" s="3" t="s">
        <v>161</v>
      </c>
      <c r="C23" s="3" t="s">
        <v>1326</v>
      </c>
      <c r="D23" s="78" t="s">
        <v>1324</v>
      </c>
      <c r="E23" s="3" t="s">
        <v>1097</v>
      </c>
      <c r="F23" s="78" t="s">
        <v>1327</v>
      </c>
      <c r="G23" s="78" t="s">
        <v>1069</v>
      </c>
    </row>
    <row r="24" ht="32" customHeight="1" spans="1:8" x14ac:dyDescent="0.25">
      <c r="A24" s="3" t="s">
        <v>1328</v>
      </c>
      <c r="B24" s="3" t="s">
        <v>161</v>
      </c>
      <c r="C24" s="3" t="s">
        <v>1329</v>
      </c>
      <c r="D24" s="78" t="s">
        <v>1324</v>
      </c>
      <c r="E24" s="3" t="s">
        <v>1330</v>
      </c>
      <c r="F24" s="78" t="s">
        <v>1331</v>
      </c>
      <c r="G24" s="78" t="s">
        <v>1332</v>
      </c>
    </row>
    <row r="25" ht="32" customHeight="1" spans="1:8" x14ac:dyDescent="0.25">
      <c r="A25" s="3" t="s">
        <v>1333</v>
      </c>
      <c r="B25" s="3" t="s">
        <v>161</v>
      </c>
      <c r="C25" s="3" t="s">
        <v>1334</v>
      </c>
      <c r="D25" s="78" t="s">
        <v>1324</v>
      </c>
      <c r="E25" s="3" t="s">
        <v>168</v>
      </c>
      <c r="F25" s="78"/>
      <c r="G25" s="78" t="s">
        <v>1069</v>
      </c>
    </row>
    <row r="26" ht="32" customHeight="1" spans="1:8" x14ac:dyDescent="0.25">
      <c r="A26" s="3" t="s">
        <v>1335</v>
      </c>
      <c r="B26" s="3" t="s">
        <v>161</v>
      </c>
      <c r="C26" s="3" t="s">
        <v>1336</v>
      </c>
      <c r="D26" s="78" t="s">
        <v>1324</v>
      </c>
      <c r="E26" s="3" t="s">
        <v>1068</v>
      </c>
      <c r="F26" s="78" t="s">
        <v>1327</v>
      </c>
      <c r="G26" s="78" t="s">
        <v>1069</v>
      </c>
    </row>
    <row r="27" ht="32" customHeight="1" spans="1:8" x14ac:dyDescent="0.25">
      <c r="A27" s="3" t="s">
        <v>1337</v>
      </c>
      <c r="B27" s="3" t="s">
        <v>161</v>
      </c>
      <c r="C27" s="3" t="s">
        <v>1338</v>
      </c>
      <c r="D27" s="78" t="s">
        <v>1324</v>
      </c>
      <c r="E27" s="3" t="s">
        <v>1339</v>
      </c>
      <c r="F27" s="78" t="s">
        <v>1331</v>
      </c>
      <c r="G27" s="78" t="s">
        <v>1332</v>
      </c>
    </row>
    <row r="28" ht="32" customHeight="1" spans="1:8" x14ac:dyDescent="0.25">
      <c r="A28" s="3" t="s">
        <v>1340</v>
      </c>
      <c r="B28" s="3" t="s">
        <v>161</v>
      </c>
      <c r="C28" s="3" t="s">
        <v>1341</v>
      </c>
      <c r="D28" s="78" t="s">
        <v>1342</v>
      </c>
      <c r="E28" s="3" t="s">
        <v>1343</v>
      </c>
      <c r="F28" s="78" t="s">
        <v>1062</v>
      </c>
      <c r="G28" s="78" t="s">
        <v>1344</v>
      </c>
    </row>
    <row r="29" ht="32" customHeight="1" spans="1:8" x14ac:dyDescent="0.25">
      <c r="A29" s="3" t="s">
        <v>1345</v>
      </c>
      <c r="B29" s="3" t="s">
        <v>161</v>
      </c>
      <c r="C29" s="3" t="s">
        <v>1346</v>
      </c>
      <c r="D29" s="78" t="s">
        <v>1342</v>
      </c>
      <c r="E29" s="3" t="s">
        <v>1347</v>
      </c>
      <c r="F29" s="78" t="s">
        <v>1062</v>
      </c>
      <c r="G29" s="78" t="s">
        <v>1344</v>
      </c>
    </row>
    <row r="30" ht="32" customHeight="1" spans="1:8" x14ac:dyDescent="0.25">
      <c r="A30" s="3" t="s">
        <v>1348</v>
      </c>
      <c r="B30" s="3" t="s">
        <v>161</v>
      </c>
      <c r="C30" s="3" t="s">
        <v>1349</v>
      </c>
      <c r="D30" s="78" t="s">
        <v>1342</v>
      </c>
      <c r="E30" s="3" t="s">
        <v>1350</v>
      </c>
      <c r="F30" s="78" t="s">
        <v>1062</v>
      </c>
      <c r="G30" s="78" t="s">
        <v>1344</v>
      </c>
    </row>
    <row r="31" ht="32" customHeight="1" spans="1:8" x14ac:dyDescent="0.25">
      <c r="A31" s="3" t="s">
        <v>1351</v>
      </c>
      <c r="B31" s="3" t="s">
        <v>161</v>
      </c>
      <c r="C31" s="3" t="s">
        <v>1352</v>
      </c>
      <c r="D31" s="78" t="s">
        <v>1342</v>
      </c>
      <c r="E31" s="3" t="s">
        <v>1353</v>
      </c>
      <c r="F31" s="78" t="s">
        <v>1062</v>
      </c>
      <c r="G31" s="78" t="s">
        <v>1344</v>
      </c>
    </row>
    <row r="32" ht="32" customHeight="1" spans="1:8" x14ac:dyDescent="0.25">
      <c r="A32" s="3" t="s">
        <v>1354</v>
      </c>
      <c r="B32" s="3" t="s">
        <v>357</v>
      </c>
      <c r="C32" s="3" t="s">
        <v>1355</v>
      </c>
      <c r="D32" s="78" t="s">
        <v>1274</v>
      </c>
      <c r="E32" s="3" t="s">
        <v>1355</v>
      </c>
      <c r="F32" s="78" t="s">
        <v>1356</v>
      </c>
      <c r="G32" s="78" t="s">
        <v>1110</v>
      </c>
    </row>
    <row r="33" ht="32" customHeight="1" spans="1:8" x14ac:dyDescent="0.25">
      <c r="A33" s="3" t="s">
        <v>1357</v>
      </c>
      <c r="B33" s="3" t="s">
        <v>357</v>
      </c>
      <c r="C33" s="3" t="s">
        <v>1358</v>
      </c>
      <c r="D33" s="78" t="s">
        <v>1274</v>
      </c>
      <c r="E33" s="3" t="s">
        <v>1358</v>
      </c>
      <c r="F33" s="78" t="s">
        <v>1356</v>
      </c>
      <c r="G33" s="78" t="s">
        <v>1110</v>
      </c>
    </row>
    <row r="34" ht="32" customHeight="1" spans="1:8" x14ac:dyDescent="0.25">
      <c r="A34" s="3" t="s">
        <v>1359</v>
      </c>
      <c r="B34" s="3" t="s">
        <v>357</v>
      </c>
      <c r="C34" s="3" t="s">
        <v>1360</v>
      </c>
      <c r="D34" s="78" t="s">
        <v>1274</v>
      </c>
      <c r="E34" s="3" t="s">
        <v>1361</v>
      </c>
      <c r="F34" s="78" t="s">
        <v>1356</v>
      </c>
      <c r="G34" s="78" t="s">
        <v>1110</v>
      </c>
    </row>
    <row r="35" ht="32" customHeight="1" spans="1:8" x14ac:dyDescent="0.25">
      <c r="A35" s="3" t="s">
        <v>1362</v>
      </c>
      <c r="B35" s="3" t="s">
        <v>357</v>
      </c>
      <c r="C35" s="3" t="s">
        <v>398</v>
      </c>
      <c r="D35" s="78" t="s">
        <v>1274</v>
      </c>
      <c r="E35" s="3" t="s">
        <v>398</v>
      </c>
      <c r="F35" s="78" t="s">
        <v>1356</v>
      </c>
      <c r="G35" s="78" t="s">
        <v>1110</v>
      </c>
    </row>
    <row r="36" ht="32" customHeight="1" spans="1:8" x14ac:dyDescent="0.25">
      <c r="A36" s="3" t="s">
        <v>1363</v>
      </c>
      <c r="B36" s="3" t="s">
        <v>357</v>
      </c>
      <c r="C36" s="3" t="s">
        <v>563</v>
      </c>
      <c r="D36" s="78" t="s">
        <v>1274</v>
      </c>
      <c r="E36" s="3" t="s">
        <v>563</v>
      </c>
      <c r="F36" s="78" t="s">
        <v>1356</v>
      </c>
      <c r="G36" s="78" t="s">
        <v>1110</v>
      </c>
    </row>
    <row r="37" ht="32" customHeight="1" spans="1:8" x14ac:dyDescent="0.25">
      <c r="A37" s="3" t="s">
        <v>1364</v>
      </c>
      <c r="B37" s="3" t="s">
        <v>357</v>
      </c>
      <c r="C37" s="3" t="s">
        <v>1365</v>
      </c>
      <c r="D37" s="78" t="s">
        <v>1274</v>
      </c>
      <c r="E37" s="3" t="s">
        <v>358</v>
      </c>
      <c r="F37" s="78" t="s">
        <v>1356</v>
      </c>
      <c r="G37" s="78" t="s">
        <v>1110</v>
      </c>
    </row>
    <row r="38" ht="32" customHeight="1" spans="1:8" x14ac:dyDescent="0.25">
      <c r="A38" s="3" t="s">
        <v>1366</v>
      </c>
      <c r="B38" s="3" t="s">
        <v>357</v>
      </c>
      <c r="C38" s="3" t="s">
        <v>1160</v>
      </c>
      <c r="D38" s="78" t="s">
        <v>1324</v>
      </c>
      <c r="E38" s="3" t="s">
        <v>1160</v>
      </c>
      <c r="F38" s="78" t="s">
        <v>1367</v>
      </c>
      <c r="G38" s="78" t="s">
        <v>1161</v>
      </c>
    </row>
    <row r="39" ht="32" customHeight="1" spans="1:8" x14ac:dyDescent="0.25">
      <c r="A39" s="3" t="s">
        <v>1368</v>
      </c>
      <c r="B39" s="3" t="s">
        <v>357</v>
      </c>
      <c r="C39" s="3" t="s">
        <v>1369</v>
      </c>
      <c r="D39" s="78" t="s">
        <v>1324</v>
      </c>
      <c r="E39" s="3" t="s">
        <v>1369</v>
      </c>
      <c r="F39" s="78" t="s">
        <v>1370</v>
      </c>
      <c r="G39" s="78" t="s">
        <v>1371</v>
      </c>
    </row>
    <row r="40" ht="32" customHeight="1" spans="1:8" x14ac:dyDescent="0.25">
      <c r="A40" s="3" t="s">
        <v>1372</v>
      </c>
      <c r="B40" s="3" t="s">
        <v>357</v>
      </c>
      <c r="C40" s="3" t="s">
        <v>691</v>
      </c>
      <c r="D40" s="78" t="s">
        <v>1274</v>
      </c>
      <c r="E40" s="3" t="s">
        <v>691</v>
      </c>
      <c r="F40" s="78" t="s">
        <v>1356</v>
      </c>
      <c r="G40" s="78" t="s">
        <v>1110</v>
      </c>
    </row>
    <row r="41" ht="32" customHeight="1" spans="1:8" x14ac:dyDescent="0.25">
      <c r="A41" s="3" t="s">
        <v>1373</v>
      </c>
      <c r="B41" s="3" t="s">
        <v>357</v>
      </c>
      <c r="C41" s="3" t="s">
        <v>1374</v>
      </c>
      <c r="D41" s="78" t="s">
        <v>1324</v>
      </c>
      <c r="E41" s="3" t="s">
        <v>1375</v>
      </c>
      <c r="F41" s="78" t="s">
        <v>1367</v>
      </c>
      <c r="G41" s="78" t="s">
        <v>1161</v>
      </c>
    </row>
    <row r="42" ht="32" customHeight="1" spans="1:8" x14ac:dyDescent="0.25">
      <c r="A42" s="3" t="s">
        <v>1376</v>
      </c>
      <c r="B42" s="3" t="s">
        <v>357</v>
      </c>
      <c r="C42" s="3" t="s">
        <v>1377</v>
      </c>
      <c r="D42" s="78" t="s">
        <v>1324</v>
      </c>
      <c r="E42" s="3" t="s">
        <v>1378</v>
      </c>
      <c r="F42" s="78" t="s">
        <v>1370</v>
      </c>
      <c r="G42" s="78" t="s">
        <v>1371</v>
      </c>
    </row>
    <row r="43" ht="32" customHeight="1" spans="1:8" x14ac:dyDescent="0.25">
      <c r="A43" s="3" t="s">
        <v>1379</v>
      </c>
      <c r="B43" s="3" t="s">
        <v>357</v>
      </c>
      <c r="C43" s="3" t="s">
        <v>388</v>
      </c>
      <c r="D43" s="78" t="s">
        <v>1274</v>
      </c>
      <c r="E43" s="3" t="s">
        <v>388</v>
      </c>
      <c r="F43" s="78" t="s">
        <v>1356</v>
      </c>
      <c r="G43" s="78" t="s">
        <v>1110</v>
      </c>
    </row>
    <row r="44" ht="32" customHeight="1" spans="1:8" x14ac:dyDescent="0.25">
      <c r="A44" s="3" t="s">
        <v>1380</v>
      </c>
      <c r="B44" s="3" t="s">
        <v>357</v>
      </c>
      <c r="C44" s="3" t="s">
        <v>1193</v>
      </c>
      <c r="D44" s="78" t="s">
        <v>1324</v>
      </c>
      <c r="E44" s="3" t="s">
        <v>1193</v>
      </c>
      <c r="F44" s="78" t="s">
        <v>1367</v>
      </c>
      <c r="G44" s="78" t="s">
        <v>1161</v>
      </c>
    </row>
    <row r="45" ht="32" customHeight="1" spans="1:8" x14ac:dyDescent="0.25">
      <c r="A45" s="3" t="s">
        <v>1381</v>
      </c>
      <c r="B45" s="3" t="s">
        <v>357</v>
      </c>
      <c r="C45" s="3" t="s">
        <v>1382</v>
      </c>
      <c r="D45" s="78" t="s">
        <v>1324</v>
      </c>
      <c r="E45" s="3" t="s">
        <v>1382</v>
      </c>
      <c r="F45" s="78" t="s">
        <v>1370</v>
      </c>
      <c r="G45" s="78" t="s">
        <v>1371</v>
      </c>
    </row>
    <row r="46" ht="32" customHeight="1" spans="1:8" x14ac:dyDescent="0.25">
      <c r="A46" s="3" t="s">
        <v>1383</v>
      </c>
      <c r="B46" s="3" t="s">
        <v>357</v>
      </c>
      <c r="C46" s="3" t="s">
        <v>764</v>
      </c>
      <c r="D46" s="78" t="s">
        <v>1274</v>
      </c>
      <c r="E46" s="3" t="s">
        <v>764</v>
      </c>
      <c r="F46" s="78" t="s">
        <v>1384</v>
      </c>
      <c r="G46" s="78" t="s">
        <v>1110</v>
      </c>
    </row>
    <row r="47" ht="32" customHeight="1" spans="1:8" x14ac:dyDescent="0.25">
      <c r="A47" s="3" t="s">
        <v>1385</v>
      </c>
      <c r="B47" s="3" t="s">
        <v>357</v>
      </c>
      <c r="C47" s="3" t="s">
        <v>1386</v>
      </c>
      <c r="D47" s="78" t="s">
        <v>1324</v>
      </c>
      <c r="E47" s="3" t="s">
        <v>1386</v>
      </c>
      <c r="F47" s="78" t="s">
        <v>1367</v>
      </c>
      <c r="G47" s="78" t="s">
        <v>1161</v>
      </c>
    </row>
    <row r="48" ht="32" customHeight="1" spans="1:8" x14ac:dyDescent="0.25">
      <c r="A48" s="3" t="s">
        <v>1387</v>
      </c>
      <c r="B48" s="3" t="s">
        <v>357</v>
      </c>
      <c r="C48" s="3" t="s">
        <v>1388</v>
      </c>
      <c r="D48" s="78" t="s">
        <v>1324</v>
      </c>
      <c r="E48" s="3" t="s">
        <v>1388</v>
      </c>
      <c r="F48" s="78" t="s">
        <v>1370</v>
      </c>
      <c r="G48" s="78" t="s">
        <v>1371</v>
      </c>
    </row>
    <row r="49" ht="32" customHeight="1" spans="1:8" x14ac:dyDescent="0.25">
      <c r="A49" s="3" t="s">
        <v>1389</v>
      </c>
      <c r="B49" s="3" t="s">
        <v>357</v>
      </c>
      <c r="C49" s="3" t="s">
        <v>1390</v>
      </c>
      <c r="D49" s="78" t="s">
        <v>1324</v>
      </c>
      <c r="E49" s="3" t="s">
        <v>1390</v>
      </c>
      <c r="F49" s="78" t="s">
        <v>1062</v>
      </c>
      <c r="G49" s="78" t="s">
        <v>1161</v>
      </c>
    </row>
    <row r="50" ht="32" customHeight="1" spans="1:8" x14ac:dyDescent="0.25">
      <c r="A50" s="3" t="s">
        <v>1391</v>
      </c>
      <c r="B50" s="3" t="s">
        <v>357</v>
      </c>
      <c r="C50" s="3" t="s">
        <v>1392</v>
      </c>
      <c r="D50" s="78" t="s">
        <v>1324</v>
      </c>
      <c r="E50" s="3" t="s">
        <v>1392</v>
      </c>
      <c r="F50" s="78" t="s">
        <v>1367</v>
      </c>
      <c r="G50" s="78" t="s">
        <v>1161</v>
      </c>
    </row>
    <row r="51" ht="32" customHeight="1" spans="1:8" x14ac:dyDescent="0.25">
      <c r="A51" s="3" t="s">
        <v>1393</v>
      </c>
      <c r="B51" s="3" t="s">
        <v>357</v>
      </c>
      <c r="C51" s="3" t="s">
        <v>1394</v>
      </c>
      <c r="D51" s="78" t="s">
        <v>1324</v>
      </c>
      <c r="E51" s="3" t="s">
        <v>1394</v>
      </c>
      <c r="F51" s="78" t="s">
        <v>1370</v>
      </c>
      <c r="G51" s="78" t="s">
        <v>1371</v>
      </c>
    </row>
    <row r="52" ht="32" customHeight="1" spans="1:8" x14ac:dyDescent="0.25">
      <c r="A52" s="3" t="s">
        <v>1395</v>
      </c>
      <c r="B52" s="3" t="s">
        <v>357</v>
      </c>
      <c r="C52" s="3" t="s">
        <v>601</v>
      </c>
      <c r="D52" s="78" t="s">
        <v>1324</v>
      </c>
      <c r="E52" s="3" t="s">
        <v>601</v>
      </c>
      <c r="F52" s="78"/>
      <c r="G52" s="78" t="s">
        <v>1161</v>
      </c>
    </row>
    <row r="53" ht="32" customHeight="1" spans="1:8" x14ac:dyDescent="0.25">
      <c r="A53" s="3" t="s">
        <v>1396</v>
      </c>
      <c r="B53" s="3" t="s">
        <v>357</v>
      </c>
      <c r="C53" s="3" t="s">
        <v>1397</v>
      </c>
      <c r="D53" s="78" t="s">
        <v>1324</v>
      </c>
      <c r="E53" s="3" t="s">
        <v>1397</v>
      </c>
      <c r="F53" s="78" t="s">
        <v>1398</v>
      </c>
      <c r="G53" s="78" t="s">
        <v>1161</v>
      </c>
    </row>
    <row r="54" ht="32" customHeight="1" spans="1:8" x14ac:dyDescent="0.25">
      <c r="A54" s="3" t="s">
        <v>1399</v>
      </c>
      <c r="B54" s="3" t="s">
        <v>357</v>
      </c>
      <c r="C54" s="3" t="s">
        <v>1400</v>
      </c>
      <c r="D54" s="78" t="s">
        <v>1324</v>
      </c>
      <c r="E54" s="3" t="s">
        <v>1400</v>
      </c>
      <c r="F54" s="78" t="s">
        <v>1401</v>
      </c>
      <c r="G54" s="78" t="s">
        <v>1371</v>
      </c>
    </row>
    <row r="55" ht="32" customHeight="1" spans="1:8" x14ac:dyDescent="0.25">
      <c r="A55" s="3" t="s">
        <v>1402</v>
      </c>
      <c r="B55" s="3" t="s">
        <v>357</v>
      </c>
      <c r="C55" s="3" t="s">
        <v>1403</v>
      </c>
      <c r="D55" s="78" t="s">
        <v>1324</v>
      </c>
      <c r="E55" s="3" t="s">
        <v>1404</v>
      </c>
      <c r="F55" s="78"/>
      <c r="G55" s="78" t="s">
        <v>1161</v>
      </c>
    </row>
    <row r="56" ht="32" customHeight="1" spans="1:8" x14ac:dyDescent="0.25">
      <c r="A56" s="3" t="s">
        <v>1405</v>
      </c>
      <c r="B56" s="3" t="s">
        <v>357</v>
      </c>
      <c r="C56" s="3" t="s">
        <v>757</v>
      </c>
      <c r="D56" s="78" t="s">
        <v>1324</v>
      </c>
      <c r="E56" s="3" t="s">
        <v>757</v>
      </c>
      <c r="F56" s="78"/>
      <c r="G56" s="78" t="s">
        <v>1161</v>
      </c>
    </row>
    <row r="57" ht="32" customHeight="1" spans="1:8" x14ac:dyDescent="0.25">
      <c r="A57" s="3" t="s">
        <v>1406</v>
      </c>
      <c r="B57" s="3" t="s">
        <v>357</v>
      </c>
      <c r="C57" s="3" t="s">
        <v>1407</v>
      </c>
      <c r="D57" s="78" t="s">
        <v>1342</v>
      </c>
      <c r="E57" s="3" t="s">
        <v>1408</v>
      </c>
      <c r="F57" s="78" t="s">
        <v>1356</v>
      </c>
      <c r="G57" s="78" t="s">
        <v>1114</v>
      </c>
    </row>
    <row r="58" ht="32" customHeight="1" spans="1:8" x14ac:dyDescent="0.25">
      <c r="A58" s="3" t="s">
        <v>1409</v>
      </c>
      <c r="B58" s="3" t="s">
        <v>357</v>
      </c>
      <c r="C58" s="3" t="s">
        <v>1407</v>
      </c>
      <c r="D58" s="78" t="s">
        <v>1342</v>
      </c>
      <c r="E58" s="3" t="s">
        <v>1410</v>
      </c>
      <c r="F58" s="78" t="s">
        <v>1410</v>
      </c>
      <c r="G58" s="78" t="s">
        <v>1114</v>
      </c>
    </row>
    <row r="59" ht="32" customHeight="1" spans="1:8" x14ac:dyDescent="0.25">
      <c r="A59" s="3" t="s">
        <v>1411</v>
      </c>
      <c r="B59" s="3" t="s">
        <v>357</v>
      </c>
      <c r="C59" s="3" t="s">
        <v>1407</v>
      </c>
      <c r="D59" s="78" t="s">
        <v>1342</v>
      </c>
      <c r="E59" s="3" t="s">
        <v>1412</v>
      </c>
      <c r="F59" s="78" t="s">
        <v>1412</v>
      </c>
      <c r="G59" s="78" t="s">
        <v>1114</v>
      </c>
    </row>
    <row r="60" ht="32" customHeight="1" spans="1:8" x14ac:dyDescent="0.25">
      <c r="A60" s="3" t="s">
        <v>1413</v>
      </c>
      <c r="B60" s="3" t="s">
        <v>357</v>
      </c>
      <c r="C60" s="3" t="s">
        <v>1414</v>
      </c>
      <c r="D60" s="78" t="s">
        <v>1324</v>
      </c>
      <c r="E60" s="3" t="s">
        <v>1414</v>
      </c>
      <c r="F60" s="78"/>
      <c r="G60" s="78" t="s">
        <v>1161</v>
      </c>
    </row>
    <row r="61" ht="32" customHeight="1" spans="1:8" x14ac:dyDescent="0.25">
      <c r="A61" s="3" t="s">
        <v>1415</v>
      </c>
      <c r="B61" s="3" t="s">
        <v>357</v>
      </c>
      <c r="C61" s="3" t="s">
        <v>1416</v>
      </c>
      <c r="D61" s="78" t="s">
        <v>1324</v>
      </c>
      <c r="E61" s="3" t="s">
        <v>1416</v>
      </c>
      <c r="F61" s="78"/>
      <c r="G61" s="78" t="s">
        <v>1161</v>
      </c>
    </row>
    <row r="62" ht="32" customHeight="1" spans="1:8" x14ac:dyDescent="0.25">
      <c r="A62" s="3" t="s">
        <v>1417</v>
      </c>
      <c r="B62" s="3" t="s">
        <v>357</v>
      </c>
      <c r="C62" s="3" t="s">
        <v>1418</v>
      </c>
      <c r="D62" s="78" t="s">
        <v>1342</v>
      </c>
      <c r="E62" s="3" t="s">
        <v>1419</v>
      </c>
      <c r="F62" s="78" t="s">
        <v>1062</v>
      </c>
      <c r="G62" s="78" t="s">
        <v>1114</v>
      </c>
    </row>
    <row r="63" ht="32" customHeight="1" spans="1:8" x14ac:dyDescent="0.25">
      <c r="A63" s="3" t="s">
        <v>1420</v>
      </c>
      <c r="B63" s="3" t="s">
        <v>357</v>
      </c>
      <c r="C63" s="3" t="s">
        <v>1407</v>
      </c>
      <c r="D63" s="78" t="s">
        <v>1342</v>
      </c>
      <c r="E63" s="3" t="s">
        <v>1421</v>
      </c>
      <c r="F63" s="78" t="s">
        <v>1062</v>
      </c>
      <c r="G63" s="78" t="s">
        <v>1114</v>
      </c>
    </row>
    <row r="64" ht="32" customHeight="1" spans="1:8" x14ac:dyDescent="0.25">
      <c r="A64" s="3" t="s">
        <v>1422</v>
      </c>
      <c r="B64" s="3" t="s">
        <v>357</v>
      </c>
      <c r="C64" s="3" t="s">
        <v>1423</v>
      </c>
      <c r="D64" s="78" t="s">
        <v>1342</v>
      </c>
      <c r="E64" s="3" t="s">
        <v>1424</v>
      </c>
      <c r="F64" s="78" t="s">
        <v>1356</v>
      </c>
      <c r="G64" s="78" t="s">
        <v>1114</v>
      </c>
    </row>
    <row r="65" ht="32" customHeight="1" spans="1:8" x14ac:dyDescent="0.25">
      <c r="A65" s="3" t="s">
        <v>1425</v>
      </c>
      <c r="B65" s="3" t="s">
        <v>357</v>
      </c>
      <c r="C65" s="3" t="s">
        <v>1426</v>
      </c>
      <c r="D65" s="78" t="s">
        <v>1342</v>
      </c>
      <c r="E65" s="3" t="s">
        <v>1427</v>
      </c>
      <c r="F65" s="78" t="s">
        <v>1427</v>
      </c>
      <c r="G65" s="78" t="s">
        <v>1114</v>
      </c>
    </row>
    <row r="66" ht="32" customHeight="1" spans="1:8" x14ac:dyDescent="0.25">
      <c r="A66" s="3" t="s">
        <v>1428</v>
      </c>
      <c r="B66" s="3" t="s">
        <v>357</v>
      </c>
      <c r="C66" s="3" t="s">
        <v>1426</v>
      </c>
      <c r="D66" s="78" t="s">
        <v>1342</v>
      </c>
      <c r="E66" s="3" t="s">
        <v>1113</v>
      </c>
      <c r="F66" s="78" t="s">
        <v>1113</v>
      </c>
      <c r="G66" s="78" t="s">
        <v>1114</v>
      </c>
    </row>
    <row r="67" ht="32" customHeight="1" spans="1:8" x14ac:dyDescent="0.25">
      <c r="A67" s="3" t="s">
        <v>1429</v>
      </c>
      <c r="B67" s="3" t="s">
        <v>357</v>
      </c>
      <c r="C67" s="3" t="s">
        <v>1430</v>
      </c>
      <c r="D67" s="78" t="s">
        <v>1342</v>
      </c>
      <c r="E67" s="3" t="s">
        <v>1431</v>
      </c>
      <c r="F67" s="78" t="s">
        <v>1356</v>
      </c>
      <c r="G67" s="78" t="s">
        <v>1114</v>
      </c>
    </row>
    <row r="68" ht="32" customHeight="1" spans="1:8" x14ac:dyDescent="0.25">
      <c r="A68" s="3" t="s">
        <v>1432</v>
      </c>
      <c r="B68" s="3" t="s">
        <v>357</v>
      </c>
      <c r="C68" s="3" t="s">
        <v>1433</v>
      </c>
      <c r="D68" s="78" t="s">
        <v>1342</v>
      </c>
      <c r="E68" s="3" t="s">
        <v>557</v>
      </c>
      <c r="F68" s="78" t="s">
        <v>1356</v>
      </c>
      <c r="G68" s="78" t="s">
        <v>1114</v>
      </c>
    </row>
    <row r="69" ht="32" customHeight="1" spans="1:8" x14ac:dyDescent="0.25">
      <c r="A69" s="3" t="s">
        <v>1434</v>
      </c>
      <c r="B69" s="3" t="s">
        <v>357</v>
      </c>
      <c r="C69" s="3" t="s">
        <v>1435</v>
      </c>
      <c r="D69" s="78" t="s">
        <v>1342</v>
      </c>
      <c r="E69" s="3" t="s">
        <v>1436</v>
      </c>
      <c r="F69" s="78" t="s">
        <v>1384</v>
      </c>
      <c r="G69" s="78" t="s">
        <v>1114</v>
      </c>
    </row>
    <row r="70" ht="32" customHeight="1" spans="1:8" x14ac:dyDescent="0.25">
      <c r="A70" s="3" t="s">
        <v>1437</v>
      </c>
      <c r="B70" s="3" t="s">
        <v>357</v>
      </c>
      <c r="C70" s="3" t="s">
        <v>1438</v>
      </c>
      <c r="D70" s="78" t="s">
        <v>1342</v>
      </c>
      <c r="E70" s="3" t="s">
        <v>503</v>
      </c>
      <c r="F70" s="78" t="s">
        <v>1062</v>
      </c>
      <c r="G70" s="78" t="s">
        <v>1114</v>
      </c>
    </row>
    <row r="71" ht="32" customHeight="1" spans="1:8" x14ac:dyDescent="0.25">
      <c r="A71" s="3" t="s">
        <v>1439</v>
      </c>
      <c r="B71" s="3" t="s">
        <v>357</v>
      </c>
      <c r="C71" s="3" t="s">
        <v>1426</v>
      </c>
      <c r="D71" s="78" t="s">
        <v>1342</v>
      </c>
      <c r="E71" s="3" t="s">
        <v>368</v>
      </c>
      <c r="F71" s="78" t="s">
        <v>1062</v>
      </c>
      <c r="G71" s="78" t="s">
        <v>1114</v>
      </c>
    </row>
    <row r="72" ht="32" customHeight="1" spans="1:8" x14ac:dyDescent="0.25">
      <c r="A72" s="3" t="s">
        <v>1440</v>
      </c>
      <c r="B72" s="3" t="s">
        <v>357</v>
      </c>
      <c r="C72" s="3" t="s">
        <v>1441</v>
      </c>
      <c r="D72" s="78" t="s">
        <v>1342</v>
      </c>
      <c r="E72" s="3" t="s">
        <v>487</v>
      </c>
      <c r="F72" s="78" t="s">
        <v>1356</v>
      </c>
      <c r="G72" s="78" t="s">
        <v>1114</v>
      </c>
    </row>
    <row r="73" ht="32" customHeight="1" spans="1:8" x14ac:dyDescent="0.25">
      <c r="A73" s="3" t="s">
        <v>1442</v>
      </c>
      <c r="B73" s="3" t="s">
        <v>357</v>
      </c>
      <c r="C73" s="3" t="s">
        <v>1443</v>
      </c>
      <c r="D73" s="78" t="s">
        <v>1342</v>
      </c>
      <c r="E73" s="3" t="s">
        <v>1035</v>
      </c>
      <c r="F73" s="78" t="s">
        <v>1356</v>
      </c>
      <c r="G73" s="78" t="s">
        <v>1114</v>
      </c>
    </row>
    <row r="74" ht="32" customHeight="1" spans="1:8" x14ac:dyDescent="0.25">
      <c r="A74" s="3" t="s">
        <v>1444</v>
      </c>
      <c r="B74" s="3" t="s">
        <v>942</v>
      </c>
      <c r="C74" s="3" t="s">
        <v>1360</v>
      </c>
      <c r="D74" s="78" t="s">
        <v>1342</v>
      </c>
      <c r="E74" s="3" t="s">
        <v>1361</v>
      </c>
      <c r="F74" s="78" t="s">
        <v>1356</v>
      </c>
      <c r="G74" s="78" t="s">
        <v>1114</v>
      </c>
    </row>
    <row r="75" ht="32" customHeight="1" spans="1:8" x14ac:dyDescent="0.25">
      <c r="A75" s="3" t="s">
        <v>1445</v>
      </c>
      <c r="B75" s="3" t="s">
        <v>942</v>
      </c>
      <c r="C75" s="3" t="s">
        <v>1446</v>
      </c>
      <c r="D75" s="78" t="s">
        <v>1342</v>
      </c>
      <c r="E75" s="3" t="s">
        <v>1447</v>
      </c>
      <c r="F75" s="78" t="s">
        <v>1448</v>
      </c>
      <c r="G75" s="78" t="s">
        <v>1114</v>
      </c>
    </row>
    <row r="76" ht="32" customHeight="1" spans="1:8" x14ac:dyDescent="0.25">
      <c r="A76" s="3" t="s">
        <v>1449</v>
      </c>
      <c r="B76" s="3" t="s">
        <v>942</v>
      </c>
      <c r="C76" s="3" t="s">
        <v>1450</v>
      </c>
      <c r="D76" s="78" t="s">
        <v>1342</v>
      </c>
      <c r="E76" s="3" t="s">
        <v>1451</v>
      </c>
      <c r="F76" s="78" t="s">
        <v>1452</v>
      </c>
      <c r="G76" s="78" t="s">
        <v>1114</v>
      </c>
    </row>
    <row r="77" ht="32" customHeight="1" spans="1:8" x14ac:dyDescent="0.25">
      <c r="A77" s="3" t="s">
        <v>1453</v>
      </c>
      <c r="B77" s="3" t="s">
        <v>942</v>
      </c>
      <c r="C77" s="3" t="s">
        <v>1454</v>
      </c>
      <c r="D77" s="78" t="s">
        <v>1342</v>
      </c>
      <c r="E77" s="3" t="s">
        <v>1455</v>
      </c>
      <c r="F77" s="78" t="s">
        <v>1456</v>
      </c>
      <c r="G77" s="78" t="s">
        <v>1114</v>
      </c>
    </row>
    <row r="78" ht="32" customHeight="1" spans="1:8" x14ac:dyDescent="0.25">
      <c r="A78" s="3" t="s">
        <v>1457</v>
      </c>
      <c r="B78" s="3" t="s">
        <v>942</v>
      </c>
      <c r="C78" s="3" t="s">
        <v>1458</v>
      </c>
      <c r="D78" s="78" t="s">
        <v>1342</v>
      </c>
      <c r="E78" s="3" t="s">
        <v>1459</v>
      </c>
      <c r="F78" s="78" t="s">
        <v>1460</v>
      </c>
      <c r="G78" s="78" t="s">
        <v>1114</v>
      </c>
    </row>
    <row r="79" ht="32" customHeight="1" spans="1:8" x14ac:dyDescent="0.25">
      <c r="A79" s="3" t="s">
        <v>1461</v>
      </c>
      <c r="B79" s="3" t="s">
        <v>942</v>
      </c>
      <c r="C79" s="3" t="s">
        <v>1462</v>
      </c>
      <c r="D79" s="78" t="s">
        <v>1342</v>
      </c>
      <c r="E79" s="3" t="s">
        <v>1463</v>
      </c>
      <c r="F79" s="78" t="s">
        <v>1464</v>
      </c>
      <c r="G79" s="78" t="s">
        <v>1114</v>
      </c>
    </row>
    <row r="80" ht="32" customHeight="1" spans="1:8" x14ac:dyDescent="0.25">
      <c r="A80" s="3" t="s">
        <v>1465</v>
      </c>
      <c r="B80" s="3" t="s">
        <v>942</v>
      </c>
      <c r="C80" s="3" t="s">
        <v>1466</v>
      </c>
      <c r="D80" s="78" t="s">
        <v>1342</v>
      </c>
      <c r="E80" s="3" t="s">
        <v>1467</v>
      </c>
      <c r="F80" s="78" t="s">
        <v>1468</v>
      </c>
      <c r="G80" s="78" t="s">
        <v>1114</v>
      </c>
    </row>
    <row r="81" ht="32" customHeight="1" spans="1:8" x14ac:dyDescent="0.25">
      <c r="A81" s="3" t="s">
        <v>1469</v>
      </c>
      <c r="B81" s="3" t="s">
        <v>942</v>
      </c>
      <c r="C81" s="3" t="s">
        <v>1470</v>
      </c>
      <c r="D81" s="78" t="s">
        <v>1342</v>
      </c>
      <c r="E81" s="3" t="s">
        <v>1471</v>
      </c>
      <c r="F81" s="78" t="s">
        <v>1472</v>
      </c>
      <c r="G81" s="78" t="s">
        <v>1114</v>
      </c>
    </row>
    <row r="82" ht="32" customHeight="1" spans="1:8" x14ac:dyDescent="0.25">
      <c r="A82" s="3" t="s">
        <v>1473</v>
      </c>
      <c r="B82" s="3" t="s">
        <v>942</v>
      </c>
      <c r="C82" s="3" t="s">
        <v>1474</v>
      </c>
      <c r="D82" s="78" t="s">
        <v>1342</v>
      </c>
      <c r="E82" s="3" t="s">
        <v>1228</v>
      </c>
      <c r="F82" s="78" t="s">
        <v>1475</v>
      </c>
      <c r="G82" s="78" t="s">
        <v>1114</v>
      </c>
    </row>
    <row r="83" ht="32" customHeight="1" spans="1:8" x14ac:dyDescent="0.25">
      <c r="A83" s="3" t="s">
        <v>1476</v>
      </c>
      <c r="B83" s="3" t="s">
        <v>942</v>
      </c>
      <c r="C83" s="3" t="s">
        <v>1477</v>
      </c>
      <c r="D83" s="78" t="s">
        <v>1342</v>
      </c>
      <c r="E83" s="3" t="s">
        <v>1478</v>
      </c>
      <c r="F83" s="78" t="s">
        <v>1479</v>
      </c>
      <c r="G83" s="78" t="s">
        <v>1114</v>
      </c>
    </row>
    <row r="84" ht="32" customHeight="1" spans="1:8" x14ac:dyDescent="0.25">
      <c r="A84" s="3" t="s">
        <v>1480</v>
      </c>
      <c r="B84" s="3" t="s">
        <v>942</v>
      </c>
      <c r="C84" s="3" t="s">
        <v>1481</v>
      </c>
      <c r="D84" s="78" t="s">
        <v>1342</v>
      </c>
      <c r="E84" s="3" t="s">
        <v>1482</v>
      </c>
      <c r="F84" s="78" t="s">
        <v>1356</v>
      </c>
      <c r="G84" s="78" t="s">
        <v>1114</v>
      </c>
    </row>
    <row r="85" ht="32" customHeight="1" spans="1:8" x14ac:dyDescent="0.25">
      <c r="A85" s="3" t="s">
        <v>1483</v>
      </c>
      <c r="B85" s="3" t="s">
        <v>942</v>
      </c>
      <c r="C85" s="3" t="s">
        <v>1484</v>
      </c>
      <c r="D85" s="78" t="s">
        <v>1342</v>
      </c>
      <c r="E85" s="3" t="s">
        <v>1485</v>
      </c>
      <c r="F85" s="78" t="s">
        <v>1062</v>
      </c>
      <c r="G85" s="78" t="s">
        <v>1114</v>
      </c>
    </row>
    <row r="86" ht="32" customHeight="1" spans="1:8" x14ac:dyDescent="0.25">
      <c r="A86" s="3" t="s">
        <v>1486</v>
      </c>
      <c r="B86" s="3" t="s">
        <v>942</v>
      </c>
      <c r="C86" s="3" t="s">
        <v>1487</v>
      </c>
      <c r="D86" s="78" t="s">
        <v>1342</v>
      </c>
      <c r="E86" s="3" t="s">
        <v>1488</v>
      </c>
      <c r="F86" s="78" t="s">
        <v>1448</v>
      </c>
      <c r="G86" s="78" t="s">
        <v>1114</v>
      </c>
    </row>
    <row r="87" ht="32" customHeight="1" spans="1:8" x14ac:dyDescent="0.25">
      <c r="A87" s="3" t="s">
        <v>1489</v>
      </c>
      <c r="B87" s="3" t="s">
        <v>942</v>
      </c>
      <c r="C87" s="3" t="s">
        <v>1490</v>
      </c>
      <c r="D87" s="78" t="s">
        <v>1342</v>
      </c>
      <c r="E87" s="3" t="s">
        <v>1491</v>
      </c>
      <c r="F87" s="78" t="s">
        <v>1452</v>
      </c>
      <c r="G87" s="78" t="s">
        <v>1114</v>
      </c>
    </row>
    <row r="88" ht="32" customHeight="1" spans="1:8" x14ac:dyDescent="0.25">
      <c r="A88" s="3" t="s">
        <v>1492</v>
      </c>
      <c r="B88" s="3" t="s">
        <v>942</v>
      </c>
      <c r="C88" s="3" t="s">
        <v>1493</v>
      </c>
      <c r="D88" s="78" t="s">
        <v>1342</v>
      </c>
      <c r="E88" s="3" t="s">
        <v>1494</v>
      </c>
      <c r="F88" s="78" t="s">
        <v>1456</v>
      </c>
      <c r="G88" s="78" t="s">
        <v>1114</v>
      </c>
    </row>
    <row r="89" ht="32" customHeight="1" spans="1:8" x14ac:dyDescent="0.25">
      <c r="A89" s="3" t="s">
        <v>1495</v>
      </c>
      <c r="B89" s="3" t="s">
        <v>942</v>
      </c>
      <c r="C89" s="3" t="s">
        <v>1496</v>
      </c>
      <c r="D89" s="78" t="s">
        <v>1342</v>
      </c>
      <c r="E89" s="3" t="s">
        <v>1497</v>
      </c>
      <c r="F89" s="78" t="s">
        <v>1498</v>
      </c>
      <c r="G89" s="78" t="s">
        <v>1114</v>
      </c>
    </row>
    <row r="90" ht="32" customHeight="1" spans="1:8" x14ac:dyDescent="0.25">
      <c r="A90" s="3" t="s">
        <v>1499</v>
      </c>
      <c r="B90" s="3" t="s">
        <v>942</v>
      </c>
      <c r="C90" s="3" t="s">
        <v>1500</v>
      </c>
      <c r="D90" s="78" t="s">
        <v>1342</v>
      </c>
      <c r="E90" s="3" t="s">
        <v>1501</v>
      </c>
      <c r="F90" s="78" t="s">
        <v>1464</v>
      </c>
      <c r="G90" s="78" t="s">
        <v>1114</v>
      </c>
    </row>
    <row r="91" ht="32" customHeight="1" spans="1:8" x14ac:dyDescent="0.25">
      <c r="A91" s="3" t="s">
        <v>1502</v>
      </c>
      <c r="B91" s="3" t="s">
        <v>942</v>
      </c>
      <c r="C91" s="3" t="s">
        <v>1503</v>
      </c>
      <c r="D91" s="78" t="s">
        <v>1342</v>
      </c>
      <c r="E91" s="3" t="s">
        <v>1234</v>
      </c>
      <c r="F91" s="78" t="s">
        <v>1475</v>
      </c>
      <c r="G91" s="78" t="s">
        <v>1114</v>
      </c>
    </row>
    <row r="92" ht="32" customHeight="1" spans="1:8" x14ac:dyDescent="0.25">
      <c r="A92" s="3" t="s">
        <v>1504</v>
      </c>
      <c r="B92" s="3" t="s">
        <v>942</v>
      </c>
      <c r="C92" s="3" t="s">
        <v>1505</v>
      </c>
      <c r="D92" s="78" t="s">
        <v>1342</v>
      </c>
      <c r="E92" s="3" t="s">
        <v>1506</v>
      </c>
      <c r="F92" s="78" t="s">
        <v>1479</v>
      </c>
      <c r="G92" s="78" t="s">
        <v>1114</v>
      </c>
    </row>
    <row r="93" ht="32" customHeight="1" spans="1:8" x14ac:dyDescent="0.25">
      <c r="A93" s="3" t="s">
        <v>1507</v>
      </c>
      <c r="B93" s="3" t="s">
        <v>942</v>
      </c>
      <c r="C93" s="3" t="s">
        <v>1508</v>
      </c>
      <c r="D93" s="78" t="s">
        <v>1342</v>
      </c>
      <c r="E93" s="3" t="s">
        <v>943</v>
      </c>
      <c r="F93" s="78" t="s">
        <v>1062</v>
      </c>
      <c r="G93" s="78" t="s">
        <v>1114</v>
      </c>
    </row>
    <row r="94" ht="32" customHeight="1" spans="1:8" x14ac:dyDescent="0.25">
      <c r="A94" s="3" t="s">
        <v>1509</v>
      </c>
      <c r="B94" s="3" t="s">
        <v>942</v>
      </c>
      <c r="C94" s="3" t="s">
        <v>1426</v>
      </c>
      <c r="D94" s="78" t="s">
        <v>1342</v>
      </c>
      <c r="E94" s="3" t="s">
        <v>1427</v>
      </c>
      <c r="F94" s="78" t="s">
        <v>1427</v>
      </c>
      <c r="G94" s="78" t="s">
        <v>1114</v>
      </c>
    </row>
    <row r="95" ht="32" customHeight="1" spans="1:8" x14ac:dyDescent="0.25">
      <c r="A95" s="3" t="s">
        <v>1510</v>
      </c>
      <c r="B95" s="3" t="s">
        <v>942</v>
      </c>
      <c r="C95" s="3" t="s">
        <v>1426</v>
      </c>
      <c r="D95" s="78" t="s">
        <v>1342</v>
      </c>
      <c r="E95" s="3" t="s">
        <v>1113</v>
      </c>
      <c r="F95" s="78" t="s">
        <v>1113</v>
      </c>
      <c r="G95" s="78" t="s">
        <v>1114</v>
      </c>
    </row>
    <row r="96" ht="32" customHeight="1" spans="1:8" x14ac:dyDescent="0.25">
      <c r="A96" s="3" t="s">
        <v>1511</v>
      </c>
      <c r="B96" s="3" t="s">
        <v>942</v>
      </c>
      <c r="C96" s="3" t="s">
        <v>1512</v>
      </c>
      <c r="D96" s="78" t="s">
        <v>1342</v>
      </c>
      <c r="E96" s="3" t="s">
        <v>972</v>
      </c>
      <c r="F96" s="78"/>
      <c r="G96" s="78" t="s">
        <v>1114</v>
      </c>
    </row>
    <row r="97" ht="32" customHeight="1" spans="1:8" x14ac:dyDescent="0.25">
      <c r="A97" s="3" t="s">
        <v>1513</v>
      </c>
      <c r="B97" s="3" t="s">
        <v>942</v>
      </c>
      <c r="C97" s="3" t="s">
        <v>1514</v>
      </c>
      <c r="D97" s="78" t="s">
        <v>1342</v>
      </c>
      <c r="E97" s="3" t="s">
        <v>957</v>
      </c>
      <c r="F97" s="78" t="s">
        <v>1062</v>
      </c>
      <c r="G97" s="78" t="s">
        <v>1114</v>
      </c>
    </row>
    <row r="98" ht="32" customHeight="1" spans="1:8" x14ac:dyDescent="0.25">
      <c r="A98" s="3" t="s">
        <v>1515</v>
      </c>
      <c r="B98" s="3" t="s">
        <v>942</v>
      </c>
      <c r="C98" s="3" t="s">
        <v>1426</v>
      </c>
      <c r="D98" s="78" t="s">
        <v>1342</v>
      </c>
      <c r="E98" s="3" t="s">
        <v>368</v>
      </c>
      <c r="F98" s="78" t="s">
        <v>1062</v>
      </c>
      <c r="G98" s="78" t="s">
        <v>1114</v>
      </c>
    </row>
    <row r="99" ht="32" customHeight="1" spans="1:8" x14ac:dyDescent="0.25">
      <c r="A99" s="3" t="s">
        <v>1516</v>
      </c>
      <c r="B99" s="3" t="s">
        <v>942</v>
      </c>
      <c r="C99" s="3" t="s">
        <v>1441</v>
      </c>
      <c r="D99" s="78" t="s">
        <v>1342</v>
      </c>
      <c r="E99" s="3" t="s">
        <v>487</v>
      </c>
      <c r="F99" s="78" t="s">
        <v>1356</v>
      </c>
      <c r="G99" s="78" t="s">
        <v>1114</v>
      </c>
    </row>
    <row r="100" ht="32" customHeight="1" spans="1:8" x14ac:dyDescent="0.25">
      <c r="A100" s="3" t="s">
        <v>1517</v>
      </c>
      <c r="B100" s="3" t="s">
        <v>942</v>
      </c>
      <c r="C100" s="3" t="s">
        <v>1443</v>
      </c>
      <c r="D100" s="78" t="s">
        <v>1342</v>
      </c>
      <c r="E100" s="3" t="s">
        <v>1035</v>
      </c>
      <c r="F100" s="78" t="s">
        <v>1356</v>
      </c>
      <c r="G100" s="78" t="s">
        <v>1114</v>
      </c>
    </row>
    <row r="101" ht="32" customHeight="1" spans="1:8" x14ac:dyDescent="0.25">
      <c r="A101" s="3" t="s">
        <v>1518</v>
      </c>
      <c r="B101" s="3" t="s">
        <v>942</v>
      </c>
      <c r="C101" s="3" t="s">
        <v>1519</v>
      </c>
      <c r="D101" s="78" t="s">
        <v>1342</v>
      </c>
      <c r="E101" s="3" t="s">
        <v>1520</v>
      </c>
      <c r="F101" s="78" t="s">
        <v>1062</v>
      </c>
      <c r="G101" s="78" t="s">
        <v>1114</v>
      </c>
    </row>
    <row r="102" spans="1:8" x14ac:dyDescent="0.25">
      <c r="A102" s="3"/>
      <c r="B102" s="3"/>
      <c r="C102" s="3"/>
      <c r="D102" s="3"/>
      <c r="E102" s="3"/>
      <c r="F102" s="3"/>
      <c r="G102" s="3"/>
    </row>
    <row r="140" ht="15.75" customHeight="1" x14ac:dyDescent="0.25"/>
    <row r="141" ht="15.75" customHeight="1" x14ac:dyDescent="0.25"/>
    <row r="142" ht="15.75" customHeight="1" x14ac:dyDescent="0.25"/>
    <row r="143" ht="15.75" customHeight="1" x14ac:dyDescent="0.25"/>
    <row r="144" ht="15.75" customHeight="1" x14ac:dyDescent="0.25"/>
    <row r="155" ht="15.75" customHeight="1" x14ac:dyDescent="0.25"/>
    <row r="156" ht="15.75" customHeight="1" x14ac:dyDescent="0.25"/>
    <row r="157" ht="15.75" customHeight="1" spans="1:8" s="79" customFormat="1" x14ac:dyDescent="0.25">
      <c r="A157" s="79"/>
      <c r="B157" s="3"/>
      <c r="C157" s="3"/>
      <c r="D157" s="3"/>
      <c r="E157" s="3"/>
      <c r="F157" s="3"/>
      <c r="G157" s="3"/>
      <c r="H157" s="3"/>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J27"/>
  <sheetViews>
    <sheetView workbookViewId="0" zoomScale="100" zoomScaleNormal="100">
      <pane xSplit="5" ySplit="1" topLeftCell="G14" activePane="bottomRight" state="frozen"/>
      <selection pane="bottomRight" activeCell="V15" sqref="V15"/>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9" width="9.33203125" style="190" customWidth="1"/>
    <col min="30" max="30" width="11.6640625" style="190" customWidth="1"/>
    <col min="31" max="38" width="9.33203125" style="190" customWidth="1"/>
    <col min="39" max="39" width="7.83203125" style="190" customWidth="1"/>
    <col min="40" max="40" width="8.6640625" style="190" customWidth="1"/>
    <col min="41" max="43" width="9.33203125" style="190" customWidth="1"/>
    <col min="44" max="44" width="10.83203125" style="190" customWidth="1"/>
    <col min="45" max="49" width="9.33203125" style="190" customWidth="1"/>
    <col min="50" max="50" width="15.5" style="190" customWidth="1"/>
    <col min="51" max="51" width="16.5" style="190" customWidth="1"/>
    <col min="52" max="52" width="9.33203125" style="190" customWidth="1"/>
    <col min="53" max="62" width="9.33203125" style="190" hidden="1" customWidth="1"/>
    <col min="63" max="63" width="4" style="190" customWidth="1"/>
    <col min="64" max="16384" width="10.83203125" style="190" customWidth="1"/>
  </cols>
  <sheetData>
    <row r="1" ht="12" customHeight="1" spans="1:41" s="235" customFormat="1" x14ac:dyDescent="0.25">
      <c r="A1" s="236"/>
      <c r="B1" s="237" t="s">
        <v>2060</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ht="12" customHeight="1" spans="1:62" s="235" customFormat="1" x14ac:dyDescent="0.25">
      <c r="A2" s="240"/>
      <c r="B2" s="240"/>
      <c r="C2" s="240"/>
      <c r="D2" s="240"/>
      <c r="E2" s="240"/>
      <c r="F2" s="240"/>
      <c r="G2" s="241" t="s">
        <v>2065</v>
      </c>
      <c r="H2" s="241" t="s">
        <v>2065</v>
      </c>
      <c r="I2" s="241" t="s">
        <v>2065</v>
      </c>
      <c r="J2" s="241" t="s">
        <v>2065</v>
      </c>
      <c r="K2" s="241" t="s">
        <v>2065</v>
      </c>
      <c r="L2" s="241" t="s">
        <v>2065</v>
      </c>
      <c r="M2" s="241" t="s">
        <v>2065</v>
      </c>
      <c r="N2" s="241" t="s">
        <v>2065</v>
      </c>
      <c r="O2" s="241" t="s">
        <v>2065</v>
      </c>
      <c r="P2" s="242" t="s">
        <v>2066</v>
      </c>
      <c r="Q2" s="241" t="s">
        <v>2067</v>
      </c>
      <c r="R2" s="241" t="s">
        <v>2067</v>
      </c>
      <c r="S2" s="241" t="s">
        <v>2067</v>
      </c>
      <c r="T2" s="241" t="s">
        <v>2067</v>
      </c>
      <c r="U2" s="241" t="s">
        <v>2067</v>
      </c>
      <c r="V2" s="241" t="s">
        <v>2067</v>
      </c>
      <c r="W2" s="241" t="s">
        <v>2067</v>
      </c>
      <c r="X2" s="241" t="s">
        <v>2067</v>
      </c>
      <c r="Y2" s="241" t="s">
        <v>2067</v>
      </c>
      <c r="Z2" s="241" t="s">
        <v>2067</v>
      </c>
      <c r="AA2" s="241" t="s">
        <v>2067</v>
      </c>
      <c r="AB2" s="241" t="s">
        <v>2067</v>
      </c>
      <c r="AC2" s="241" t="s">
        <v>2067</v>
      </c>
      <c r="AD2" s="241" t="s">
        <v>2067</v>
      </c>
      <c r="AE2" s="242" t="s">
        <v>2068</v>
      </c>
      <c r="AF2" s="241" t="s">
        <v>2069</v>
      </c>
      <c r="AG2" s="241" t="s">
        <v>2069</v>
      </c>
      <c r="AH2" s="241" t="s">
        <v>2069</v>
      </c>
      <c r="AI2" s="241" t="s">
        <v>2069</v>
      </c>
      <c r="AJ2" s="241" t="s">
        <v>2069</v>
      </c>
      <c r="AK2" s="241" t="s">
        <v>2069</v>
      </c>
      <c r="AL2" s="241" t="s">
        <v>2069</v>
      </c>
      <c r="AM2" s="241" t="s">
        <v>2069</v>
      </c>
      <c r="AN2" s="241" t="s">
        <v>2069</v>
      </c>
      <c r="AO2" s="243" t="s">
        <v>2070</v>
      </c>
      <c r="BA2" s="244"/>
      <c r="BB2" s="244"/>
      <c r="BC2" s="244"/>
      <c r="BD2" s="244"/>
      <c r="BE2" s="244"/>
      <c r="BF2" s="244"/>
      <c r="BG2" s="244"/>
      <c r="BH2" s="244"/>
      <c r="BI2" s="244"/>
      <c r="BJ2" s="205"/>
    </row>
    <row r="3" ht="36" customHeight="1" spans="1:62" s="235" customFormat="1" x14ac:dyDescent="0.25">
      <c r="A3" s="240"/>
      <c r="B3" s="240"/>
      <c r="C3" s="240"/>
      <c r="D3" s="240"/>
      <c r="E3" s="240"/>
      <c r="F3" s="240"/>
      <c r="G3" s="241" t="s">
        <v>2085</v>
      </c>
      <c r="H3" s="241" t="s">
        <v>2086</v>
      </c>
      <c r="I3" s="241" t="s">
        <v>2087</v>
      </c>
      <c r="J3" s="241" t="s">
        <v>2088</v>
      </c>
      <c r="K3" s="241" t="s">
        <v>2089</v>
      </c>
      <c r="L3" s="241" t="s">
        <v>2090</v>
      </c>
      <c r="M3" s="241" t="s">
        <v>192</v>
      </c>
      <c r="N3" s="241" t="s">
        <v>256</v>
      </c>
      <c r="O3" s="241" t="s">
        <v>2091</v>
      </c>
      <c r="P3" s="242"/>
      <c r="Q3" s="241" t="s">
        <v>2092</v>
      </c>
      <c r="R3" s="241" t="s">
        <v>2093</v>
      </c>
      <c r="S3" s="241" t="s">
        <v>2094</v>
      </c>
      <c r="T3" s="241" t="s">
        <v>2095</v>
      </c>
      <c r="U3" s="241" t="s">
        <v>2096</v>
      </c>
      <c r="V3" s="241" t="s">
        <v>2097</v>
      </c>
      <c r="W3" s="241" t="s">
        <v>2098</v>
      </c>
      <c r="X3" s="241" t="s">
        <v>2099</v>
      </c>
      <c r="Y3" s="241" t="s">
        <v>2100</v>
      </c>
      <c r="Z3" s="241" t="s">
        <v>2101</v>
      </c>
      <c r="AA3" s="241" t="s">
        <v>2102</v>
      </c>
      <c r="AB3" s="241" t="s">
        <v>2103</v>
      </c>
      <c r="AC3" s="245" t="s">
        <v>2292</v>
      </c>
      <c r="AD3" s="241" t="s">
        <v>2104</v>
      </c>
      <c r="AE3" s="242"/>
      <c r="AF3" s="241" t="s">
        <v>2105</v>
      </c>
      <c r="AG3" s="241" t="s">
        <v>2106</v>
      </c>
      <c r="AH3" s="241" t="s">
        <v>2107</v>
      </c>
      <c r="AI3" s="241" t="s">
        <v>2108</v>
      </c>
      <c r="AJ3" s="241" t="s">
        <v>2109</v>
      </c>
      <c r="AK3" s="241" t="s">
        <v>2110</v>
      </c>
      <c r="AL3" s="241" t="s">
        <v>2111</v>
      </c>
      <c r="AM3" s="241" t="s">
        <v>2112</v>
      </c>
      <c r="AN3" s="241" t="s">
        <v>2113</v>
      </c>
      <c r="AO3" s="246"/>
      <c r="BA3" s="244"/>
      <c r="BB3" s="244"/>
      <c r="BC3" s="244"/>
      <c r="BD3" s="244"/>
      <c r="BE3" s="244"/>
      <c r="BF3" s="244"/>
      <c r="BG3" s="244"/>
      <c r="BH3" s="244"/>
      <c r="BI3" s="244"/>
      <c r="BJ3" s="205"/>
    </row>
    <row r="4" ht="60" customHeight="1" spans="1:62" s="235" customFormat="1" x14ac:dyDescent="0.25">
      <c r="A4" s="247"/>
      <c r="B4" s="248" t="s">
        <v>2114</v>
      </c>
      <c r="C4" s="248" t="s">
        <v>2115</v>
      </c>
      <c r="D4" s="248" t="s">
        <v>37</v>
      </c>
      <c r="E4" s="248" t="s">
        <v>2116</v>
      </c>
      <c r="F4" s="248" t="s">
        <v>2117</v>
      </c>
      <c r="G4" s="241" t="s">
        <v>2133</v>
      </c>
      <c r="H4" s="241" t="s">
        <v>2134</v>
      </c>
      <c r="I4" s="241" t="s">
        <v>2135</v>
      </c>
      <c r="J4" s="241" t="s">
        <v>2136</v>
      </c>
      <c r="K4" s="241" t="s">
        <v>2137</v>
      </c>
      <c r="L4" s="241" t="s">
        <v>2138</v>
      </c>
      <c r="M4" s="241" t="s">
        <v>192</v>
      </c>
      <c r="N4" s="241" t="s">
        <v>2139</v>
      </c>
      <c r="O4" s="241" t="s">
        <v>2293</v>
      </c>
      <c r="P4" s="242"/>
      <c r="Q4" s="241" t="s">
        <v>2141</v>
      </c>
      <c r="R4" s="241" t="s">
        <v>2142</v>
      </c>
      <c r="S4" s="241" t="s">
        <v>2143</v>
      </c>
      <c r="T4" s="241" t="s">
        <v>2144</v>
      </c>
      <c r="U4" s="241" t="s">
        <v>2145</v>
      </c>
      <c r="V4" s="241" t="s">
        <v>2146</v>
      </c>
      <c r="W4" s="241" t="s">
        <v>2147</v>
      </c>
      <c r="X4" s="241" t="s">
        <v>2148</v>
      </c>
      <c r="Y4" s="241" t="s">
        <v>2149</v>
      </c>
      <c r="Z4" s="241" t="s">
        <v>2150</v>
      </c>
      <c r="AA4" s="241" t="s">
        <v>2151</v>
      </c>
      <c r="AB4" s="241" t="s">
        <v>2152</v>
      </c>
      <c r="AC4" s="245" t="s">
        <v>2292</v>
      </c>
      <c r="AD4" s="241" t="s">
        <v>2154</v>
      </c>
      <c r="AE4" s="242"/>
      <c r="AF4" s="241" t="s">
        <v>2155</v>
      </c>
      <c r="AG4" s="241" t="s">
        <v>2156</v>
      </c>
      <c r="AH4" s="241" t="s">
        <v>2157</v>
      </c>
      <c r="AI4" s="241" t="s">
        <v>2158</v>
      </c>
      <c r="AJ4" s="241" t="s">
        <v>2159</v>
      </c>
      <c r="AK4" s="241" t="s">
        <v>2160</v>
      </c>
      <c r="AL4" s="241" t="s">
        <v>2161</v>
      </c>
      <c r="AM4" s="241" t="s">
        <v>2162</v>
      </c>
      <c r="AN4" s="241" t="s">
        <v>2163</v>
      </c>
      <c r="AO4" s="249"/>
      <c r="BA4" s="244"/>
      <c r="BB4" s="244"/>
      <c r="BC4" s="244"/>
      <c r="BD4" s="244"/>
      <c r="BE4" s="244"/>
      <c r="BF4" s="244"/>
      <c r="BG4" s="244"/>
      <c r="BH4" s="244"/>
      <c r="BI4" s="244"/>
      <c r="BJ4" s="205"/>
    </row>
    <row r="5" ht="293" customHeight="1" spans="1:62" s="235" customFormat="1" x14ac:dyDescent="0.25">
      <c r="A5" s="250" t="s">
        <v>2164</v>
      </c>
      <c r="B5" s="251"/>
      <c r="C5" s="251"/>
      <c r="D5" s="252"/>
      <c r="E5" s="252" t="s">
        <v>2165</v>
      </c>
      <c r="F5" s="252" t="s">
        <v>2166</v>
      </c>
      <c r="G5" s="253" t="s">
        <v>2294</v>
      </c>
      <c r="H5" s="253" t="s">
        <v>2295</v>
      </c>
      <c r="I5" s="254"/>
      <c r="J5" s="254"/>
      <c r="K5" s="254"/>
      <c r="L5" s="254"/>
      <c r="M5" s="253"/>
      <c r="N5" s="253" t="s">
        <v>2296</v>
      </c>
      <c r="O5" s="253"/>
      <c r="P5" s="255">
        <f>SUMIF($G$2:O$2,O$2,$G5:O5)</f>
        <v>0</v>
      </c>
      <c r="Q5" s="254"/>
      <c r="R5" s="254"/>
      <c r="S5" s="254"/>
      <c r="T5" s="254"/>
      <c r="U5" s="254"/>
      <c r="V5" s="254"/>
      <c r="W5" s="253" t="s">
        <v>2297</v>
      </c>
      <c r="X5" s="253" t="s">
        <v>2298</v>
      </c>
      <c r="Y5" s="253" t="s">
        <v>2299</v>
      </c>
      <c r="Z5" s="253" t="s">
        <v>2300</v>
      </c>
      <c r="AA5" s="253" t="s">
        <v>2301</v>
      </c>
      <c r="AB5" s="253" t="s">
        <v>2302</v>
      </c>
      <c r="AC5" s="253" t="s">
        <v>2303</v>
      </c>
      <c r="AD5" s="253" t="s">
        <v>2304</v>
      </c>
      <c r="AE5" s="256">
        <f>SUMIF($G$2:AD$2,Y$2,$G5:AD5)</f>
        <v>0</v>
      </c>
      <c r="AF5" s="257"/>
      <c r="AG5" s="257"/>
      <c r="AH5" s="258"/>
      <c r="AI5" s="258"/>
      <c r="AJ5" s="258"/>
      <c r="AK5" s="258"/>
      <c r="AL5" s="258"/>
      <c r="AM5" s="258"/>
      <c r="AN5" s="257"/>
      <c r="AO5" s="256">
        <f>SUMIF($G$2:AN$2,AN$2,$G5:AN5)</f>
        <v>0</v>
      </c>
      <c r="BA5" s="259"/>
      <c r="BB5" s="259"/>
      <c r="BC5" s="260"/>
      <c r="BD5" s="260"/>
      <c r="BE5" s="260"/>
      <c r="BF5" s="260"/>
      <c r="BG5" s="260"/>
      <c r="BH5" s="260"/>
      <c r="BI5" s="259"/>
      <c r="BJ5" s="261"/>
    </row>
    <row r="6" ht="409.6" customHeight="1" spans="1:62" s="235" customFormat="1" x14ac:dyDescent="0.25">
      <c r="A6" s="250" t="s">
        <v>2164</v>
      </c>
      <c r="B6" s="251"/>
      <c r="C6" s="251"/>
      <c r="D6" s="252"/>
      <c r="E6" s="252" t="s">
        <v>2167</v>
      </c>
      <c r="F6" s="252" t="s">
        <v>2168</v>
      </c>
      <c r="G6" s="254"/>
      <c r="H6" s="254"/>
      <c r="I6" s="253" t="s">
        <v>2305</v>
      </c>
      <c r="J6" s="253" t="s">
        <v>2306</v>
      </c>
      <c r="K6" s="253" t="s">
        <v>2307</v>
      </c>
      <c r="L6" s="253" t="s">
        <v>2308</v>
      </c>
      <c r="M6" s="253" t="s">
        <v>2309</v>
      </c>
      <c r="N6" s="253" t="s">
        <v>2310</v>
      </c>
      <c r="O6" s="253" t="s">
        <v>2311</v>
      </c>
      <c r="P6" s="255">
        <f>SUMIF($G$2:O$2,O$2,$G6:O6)</f>
        <v>0</v>
      </c>
      <c r="Q6" s="253" t="s">
        <v>2312</v>
      </c>
      <c r="R6" s="253" t="s">
        <v>2313</v>
      </c>
      <c r="S6" s="253" t="s">
        <v>2314</v>
      </c>
      <c r="T6" s="253" t="s">
        <v>2315</v>
      </c>
      <c r="U6" s="253" t="s">
        <v>2316</v>
      </c>
      <c r="V6" s="253" t="s">
        <v>2317</v>
      </c>
      <c r="W6" s="254"/>
      <c r="X6" s="254"/>
      <c r="Y6" s="254"/>
      <c r="Z6" s="254"/>
      <c r="AA6" s="254"/>
      <c r="AB6" s="253" t="s">
        <v>2318</v>
      </c>
      <c r="AC6" s="253"/>
      <c r="AD6" s="253" t="s">
        <v>2319</v>
      </c>
      <c r="AE6" s="256">
        <f>SUMIF($G$2:AD$2,Y$2,$G6:AD6)</f>
        <v>0</v>
      </c>
      <c r="AF6" s="257"/>
      <c r="AG6" s="258"/>
      <c r="AH6" s="258"/>
      <c r="AI6" s="258"/>
      <c r="AJ6" s="258"/>
      <c r="AK6" s="258"/>
      <c r="AL6" s="258"/>
      <c r="AM6" s="258"/>
      <c r="AN6" s="257"/>
      <c r="AO6" s="256">
        <f>SUMIF($G$2:AN$2,AN$2,$G6:AN6)</f>
        <v>0</v>
      </c>
      <c r="BA6" s="259"/>
      <c r="BB6" s="260"/>
      <c r="BC6" s="260"/>
      <c r="BD6" s="260"/>
      <c r="BE6" s="260"/>
      <c r="BF6" s="260"/>
      <c r="BG6" s="260"/>
      <c r="BH6" s="260"/>
      <c r="BI6" s="259"/>
      <c r="BJ6" s="261"/>
    </row>
    <row r="7" ht="48" customHeight="1" spans="1:62" s="235" customFormat="1" x14ac:dyDescent="0.25">
      <c r="A7" s="250" t="s">
        <v>2164</v>
      </c>
      <c r="B7" s="251"/>
      <c r="C7" s="251"/>
      <c r="D7" s="252"/>
      <c r="E7" s="252" t="s">
        <v>2170</v>
      </c>
      <c r="F7" s="252" t="s">
        <v>2171</v>
      </c>
      <c r="G7" s="254"/>
      <c r="H7" s="253" t="s">
        <v>2320</v>
      </c>
      <c r="I7" s="253" t="s">
        <v>2321</v>
      </c>
      <c r="J7" s="254"/>
      <c r="K7" s="254"/>
      <c r="L7" s="254"/>
      <c r="M7" s="253" t="s">
        <v>2322</v>
      </c>
      <c r="N7" s="253" t="s">
        <v>2323</v>
      </c>
      <c r="O7" s="253" t="s">
        <v>2324</v>
      </c>
      <c r="P7" s="255">
        <f>SUMIF($G$2:O$2,O$2,$G7:O7)</f>
        <v>0</v>
      </c>
      <c r="Q7" s="254"/>
      <c r="R7" s="254"/>
      <c r="S7" s="254"/>
      <c r="T7" s="254"/>
      <c r="U7" s="254"/>
      <c r="V7" s="254"/>
      <c r="W7" s="254"/>
      <c r="X7" s="254"/>
      <c r="Y7" s="254"/>
      <c r="Z7" s="254"/>
      <c r="AA7" s="254"/>
      <c r="AB7" s="254"/>
      <c r="AC7" s="254"/>
      <c r="AD7" s="253" t="s">
        <v>2325</v>
      </c>
      <c r="AE7" s="256">
        <f>SUMIF($G$2:AD$2,Y$2,$G7:AD7)</f>
        <v>0</v>
      </c>
      <c r="AF7" s="257"/>
      <c r="AG7" s="257"/>
      <c r="AH7" s="257"/>
      <c r="AI7" s="257"/>
      <c r="AJ7" s="257"/>
      <c r="AK7" s="257"/>
      <c r="AL7" s="257"/>
      <c r="AM7" s="257"/>
      <c r="AN7" s="262"/>
      <c r="AO7" s="256">
        <f>SUMIF($G$2:AN$2,AN$2,$G7:AN7)</f>
        <v>0</v>
      </c>
      <c r="BA7" s="259"/>
      <c r="BB7" s="259"/>
      <c r="BC7" s="259"/>
      <c r="BD7" s="259"/>
      <c r="BE7" s="259"/>
      <c r="BF7" s="259"/>
      <c r="BG7" s="259"/>
      <c r="BH7" s="259"/>
      <c r="BI7" s="263"/>
      <c r="BJ7" s="261"/>
    </row>
    <row r="8" ht="63" customHeight="1" spans="1:62" s="235" customFormat="1" x14ac:dyDescent="0.25">
      <c r="A8" s="250" t="s">
        <v>2164</v>
      </c>
      <c r="B8" s="251"/>
      <c r="C8" s="251"/>
      <c r="D8" s="252"/>
      <c r="E8" s="252" t="s">
        <v>2174</v>
      </c>
      <c r="F8" s="252" t="s">
        <v>2175</v>
      </c>
      <c r="G8" s="264"/>
      <c r="H8" s="253" t="s">
        <v>2326</v>
      </c>
      <c r="I8" s="253" t="s">
        <v>2327</v>
      </c>
      <c r="J8" s="264"/>
      <c r="K8" s="264"/>
      <c r="L8" s="264"/>
      <c r="M8" s="253" t="s">
        <v>2328</v>
      </c>
      <c r="N8" s="253" t="s">
        <v>2329</v>
      </c>
      <c r="O8" s="253" t="s">
        <v>2330</v>
      </c>
      <c r="P8" s="255">
        <f>SUMIF($G$2:O$2,O$2,$G8:O8)</f>
        <v>0</v>
      </c>
      <c r="Q8" s="254"/>
      <c r="R8" s="254"/>
      <c r="S8" s="254"/>
      <c r="T8" s="254"/>
      <c r="U8" s="254"/>
      <c r="V8" s="254"/>
      <c r="W8" s="254"/>
      <c r="X8" s="254"/>
      <c r="Y8" s="254"/>
      <c r="Z8" s="254"/>
      <c r="AA8" s="254"/>
      <c r="AB8" s="254"/>
      <c r="AC8" s="254"/>
      <c r="AD8" s="253" t="s">
        <v>2331</v>
      </c>
      <c r="AE8" s="256">
        <f>SUMIF($G$2:AD$2,Y$2,$G8:AD8)</f>
        <v>0</v>
      </c>
      <c r="AF8" s="257"/>
      <c r="AG8" s="257"/>
      <c r="AH8" s="257"/>
      <c r="AI8" s="257"/>
      <c r="AJ8" s="257"/>
      <c r="AK8" s="257"/>
      <c r="AL8" s="257"/>
      <c r="AM8" s="257"/>
      <c r="AN8" s="257"/>
      <c r="AO8" s="256">
        <f>SUMIF($G$2:AN$2,AN$2,$G8:AN8)</f>
        <v>0</v>
      </c>
      <c r="BA8" s="259"/>
      <c r="BB8" s="259"/>
      <c r="BC8" s="259"/>
      <c r="BD8" s="259"/>
      <c r="BE8" s="259"/>
      <c r="BF8" s="259"/>
      <c r="BG8" s="259"/>
      <c r="BH8" s="259"/>
      <c r="BI8" s="259"/>
      <c r="BJ8" s="261"/>
    </row>
    <row r="9" ht="156" customHeight="1" spans="1:62" s="235" customFormat="1" x14ac:dyDescent="0.25">
      <c r="A9" s="250" t="s">
        <v>2164</v>
      </c>
      <c r="B9" s="251"/>
      <c r="C9" s="251"/>
      <c r="D9" s="252"/>
      <c r="E9" s="252" t="s">
        <v>2176</v>
      </c>
      <c r="F9" s="252" t="s">
        <v>2177</v>
      </c>
      <c r="G9" s="265"/>
      <c r="H9" s="253" t="s">
        <v>2332</v>
      </c>
      <c r="I9" s="253" t="s">
        <v>2333</v>
      </c>
      <c r="J9" s="266"/>
      <c r="K9" s="266"/>
      <c r="L9" s="266"/>
      <c r="M9" s="253" t="s">
        <v>2334</v>
      </c>
      <c r="N9" s="253" t="s">
        <v>2335</v>
      </c>
      <c r="O9" s="253" t="s">
        <v>2336</v>
      </c>
      <c r="P9" s="267">
        <f>SUMIF($G$2:O$2,O$2,$G9:O9)</f>
        <v>0</v>
      </c>
      <c r="Q9" s="254"/>
      <c r="R9" s="254"/>
      <c r="S9" s="254"/>
      <c r="T9" s="254"/>
      <c r="U9" s="254"/>
      <c r="V9" s="254"/>
      <c r="W9" s="254"/>
      <c r="X9" s="254"/>
      <c r="Y9" s="254"/>
      <c r="Z9" s="254"/>
      <c r="AA9" s="254"/>
      <c r="AB9" s="254"/>
      <c r="AC9" s="254"/>
      <c r="AD9" s="253" t="s">
        <v>2337</v>
      </c>
      <c r="AE9" s="256">
        <f>SUMIF($G$2:AD$2,Y$2,$G9:AD9)</f>
        <v>0</v>
      </c>
      <c r="AF9" s="257"/>
      <c r="AG9" s="257"/>
      <c r="AH9" s="257"/>
      <c r="AI9" s="257"/>
      <c r="AJ9" s="257"/>
      <c r="AK9" s="257"/>
      <c r="AL9" s="257"/>
      <c r="AM9" s="257"/>
      <c r="AN9" s="257"/>
      <c r="AO9" s="256">
        <f>SUMIF($G$2:AN$2,AN$2,$G9:AN9)</f>
        <v>0</v>
      </c>
      <c r="BA9" s="259"/>
      <c r="BB9" s="259"/>
      <c r="BC9" s="259"/>
      <c r="BD9" s="259"/>
      <c r="BE9" s="259"/>
      <c r="BF9" s="259"/>
      <c r="BG9" s="259"/>
      <c r="BH9" s="259"/>
      <c r="BI9" s="259"/>
      <c r="BJ9" s="261"/>
    </row>
    <row r="10" ht="72" customHeight="1" spans="1:62" s="235" customFormat="1" x14ac:dyDescent="0.25">
      <c r="A10" s="250" t="s">
        <v>2164</v>
      </c>
      <c r="B10" s="251"/>
      <c r="C10" s="251"/>
      <c r="D10" s="252"/>
      <c r="E10" s="252" t="s">
        <v>2178</v>
      </c>
      <c r="F10" s="252" t="s">
        <v>2179</v>
      </c>
      <c r="G10" s="265"/>
      <c r="H10" s="253" t="s">
        <v>2338</v>
      </c>
      <c r="I10" s="253" t="s">
        <v>2339</v>
      </c>
      <c r="J10" s="266"/>
      <c r="K10" s="266"/>
      <c r="L10" s="266"/>
      <c r="M10" s="253" t="s">
        <v>2340</v>
      </c>
      <c r="N10" s="253" t="s">
        <v>2341</v>
      </c>
      <c r="O10" s="253" t="s">
        <v>2342</v>
      </c>
      <c r="P10" s="267">
        <f>SUMIF($G$2:O$2,O$2,$G10:O10)</f>
        <v>0</v>
      </c>
      <c r="Q10" s="254"/>
      <c r="R10" s="254"/>
      <c r="S10" s="254"/>
      <c r="T10" s="254"/>
      <c r="U10" s="254"/>
      <c r="V10" s="254"/>
      <c r="W10" s="254"/>
      <c r="X10" s="254"/>
      <c r="Y10" s="254"/>
      <c r="Z10" s="254"/>
      <c r="AA10" s="254"/>
      <c r="AB10" s="254"/>
      <c r="AC10" s="254"/>
      <c r="AD10" s="253" t="s">
        <v>2343</v>
      </c>
      <c r="AE10" s="256">
        <f>SUMIF($G$2:AD$2,Y$2,$G10:AD10)</f>
        <v>0</v>
      </c>
      <c r="AF10" s="257"/>
      <c r="AG10" s="257"/>
      <c r="AH10" s="257"/>
      <c r="AI10" s="257"/>
      <c r="AJ10" s="257"/>
      <c r="AK10" s="257"/>
      <c r="AL10" s="257"/>
      <c r="AM10" s="257"/>
      <c r="AN10" s="257"/>
      <c r="AO10" s="256">
        <f>SUMIF($G$2:AN$2,AN$2,$G10:AN10)</f>
        <v>0</v>
      </c>
      <c r="BA10" s="259"/>
      <c r="BB10" s="259"/>
      <c r="BC10" s="259"/>
      <c r="BD10" s="259"/>
      <c r="BE10" s="259"/>
      <c r="BF10" s="259"/>
      <c r="BG10" s="259"/>
      <c r="BH10" s="259"/>
      <c r="BI10" s="259"/>
      <c r="BJ10" s="261"/>
    </row>
    <row r="11" ht="72" customHeight="1" spans="1:62" s="235" customFormat="1" x14ac:dyDescent="0.25">
      <c r="A11" s="250" t="s">
        <v>2164</v>
      </c>
      <c r="B11" s="251"/>
      <c r="C11" s="251"/>
      <c r="D11" s="252"/>
      <c r="E11" s="252" t="s">
        <v>2180</v>
      </c>
      <c r="F11" s="252" t="s">
        <v>2181</v>
      </c>
      <c r="G11" s="265"/>
      <c r="H11" s="253" t="s">
        <v>2344</v>
      </c>
      <c r="I11" s="253" t="s">
        <v>2345</v>
      </c>
      <c r="J11" s="266"/>
      <c r="K11" s="266"/>
      <c r="L11" s="266"/>
      <c r="M11" s="253" t="s">
        <v>2346</v>
      </c>
      <c r="N11" s="253" t="s">
        <v>2347</v>
      </c>
      <c r="O11" s="253" t="s">
        <v>2348</v>
      </c>
      <c r="P11" s="267">
        <f>SUMIF($G$2:O$2,O$2,$G11:O11)</f>
        <v>0</v>
      </c>
      <c r="Q11" s="254"/>
      <c r="R11" s="254"/>
      <c r="S11" s="254"/>
      <c r="T11" s="254"/>
      <c r="U11" s="254"/>
      <c r="V11" s="254"/>
      <c r="W11" s="254"/>
      <c r="X11" s="254"/>
      <c r="Y11" s="254"/>
      <c r="Z11" s="254"/>
      <c r="AA11" s="254"/>
      <c r="AB11" s="254"/>
      <c r="AC11" s="254"/>
      <c r="AD11" s="253" t="s">
        <v>2349</v>
      </c>
      <c r="AE11" s="256">
        <f>SUMIF($G$2:AD$2,Y$2,$G11:AD11)</f>
        <v>0</v>
      </c>
      <c r="AF11" s="257"/>
      <c r="AG11" s="257"/>
      <c r="AH11" s="257"/>
      <c r="AI11" s="257"/>
      <c r="AJ11" s="257"/>
      <c r="AK11" s="257"/>
      <c r="AL11" s="257"/>
      <c r="AM11" s="257"/>
      <c r="AN11" s="257"/>
      <c r="AO11" s="256">
        <f>SUMIF($G$2:AN$2,AN$2,$G11:AN11)</f>
        <v>0</v>
      </c>
      <c r="BA11" s="259"/>
      <c r="BB11" s="259"/>
      <c r="BC11" s="259"/>
      <c r="BD11" s="259"/>
      <c r="BE11" s="259"/>
      <c r="BF11" s="259"/>
      <c r="BG11" s="259"/>
      <c r="BH11" s="259"/>
      <c r="BI11" s="259"/>
      <c r="BJ11" s="261"/>
    </row>
    <row r="12" ht="72" customHeight="1" spans="1:62" s="235" customFormat="1" x14ac:dyDescent="0.25">
      <c r="A12" s="250" t="s">
        <v>2164</v>
      </c>
      <c r="B12" s="251"/>
      <c r="C12" s="251"/>
      <c r="D12" s="252"/>
      <c r="E12" s="252" t="s">
        <v>2182</v>
      </c>
      <c r="F12" s="252" t="s">
        <v>2183</v>
      </c>
      <c r="G12" s="265"/>
      <c r="H12" s="253" t="s">
        <v>2350</v>
      </c>
      <c r="I12" s="253" t="s">
        <v>2351</v>
      </c>
      <c r="J12" s="266"/>
      <c r="K12" s="266"/>
      <c r="L12" s="266"/>
      <c r="M12" s="253" t="s">
        <v>2352</v>
      </c>
      <c r="N12" s="253" t="s">
        <v>2353</v>
      </c>
      <c r="O12" s="253" t="s">
        <v>2354</v>
      </c>
      <c r="P12" s="267">
        <f>SUMIF($G$2:O$2,O$2,$G12:O12)</f>
        <v>0</v>
      </c>
      <c r="Q12" s="254"/>
      <c r="R12" s="254"/>
      <c r="S12" s="254"/>
      <c r="T12" s="254"/>
      <c r="U12" s="254"/>
      <c r="V12" s="254"/>
      <c r="W12" s="254"/>
      <c r="X12" s="254"/>
      <c r="Y12" s="254"/>
      <c r="Z12" s="254"/>
      <c r="AA12" s="254"/>
      <c r="AB12" s="254"/>
      <c r="AC12" s="254"/>
      <c r="AD12" s="253" t="s">
        <v>2355</v>
      </c>
      <c r="AE12" s="256">
        <f>SUMIF($G$2:AD$2,Y$2,$G12:AD12)</f>
        <v>0</v>
      </c>
      <c r="AF12" s="257"/>
      <c r="AG12" s="257"/>
      <c r="AH12" s="257"/>
      <c r="AI12" s="257"/>
      <c r="AJ12" s="257"/>
      <c r="AK12" s="257"/>
      <c r="AL12" s="257"/>
      <c r="AM12" s="257"/>
      <c r="AN12" s="257"/>
      <c r="AO12" s="256">
        <f>SUMIF($G$2:AN$2,AN$2,$G12:AN12)</f>
        <v>0</v>
      </c>
      <c r="BA12" s="259"/>
      <c r="BB12" s="259"/>
      <c r="BC12" s="259"/>
      <c r="BD12" s="259"/>
      <c r="BE12" s="259"/>
      <c r="BF12" s="259"/>
      <c r="BG12" s="259"/>
      <c r="BH12" s="259"/>
      <c r="BI12" s="259"/>
      <c r="BJ12" s="261"/>
    </row>
    <row r="13" ht="79" customHeight="1" spans="1:62" s="235" customFormat="1" x14ac:dyDescent="0.25">
      <c r="A13" s="250" t="s">
        <v>2164</v>
      </c>
      <c r="B13" s="251"/>
      <c r="C13" s="251"/>
      <c r="D13" s="252"/>
      <c r="E13" s="252" t="s">
        <v>2184</v>
      </c>
      <c r="F13" s="252" t="s">
        <v>2185</v>
      </c>
      <c r="G13" s="268"/>
      <c r="H13" s="253" t="s">
        <v>2356</v>
      </c>
      <c r="I13" s="253" t="s">
        <v>2357</v>
      </c>
      <c r="J13" s="266"/>
      <c r="K13" s="266"/>
      <c r="L13" s="266"/>
      <c r="M13" s="253" t="s">
        <v>2358</v>
      </c>
      <c r="N13" s="253" t="s">
        <v>2359</v>
      </c>
      <c r="O13" s="253" t="s">
        <v>2360</v>
      </c>
      <c r="P13" s="255">
        <f>SUMIF($G$2:O$2,O$2,$G13:O13)</f>
        <v>0</v>
      </c>
      <c r="Q13" s="254"/>
      <c r="R13" s="254"/>
      <c r="S13" s="254"/>
      <c r="T13" s="254"/>
      <c r="U13" s="254"/>
      <c r="V13" s="254"/>
      <c r="W13" s="254"/>
      <c r="X13" s="254"/>
      <c r="Y13" s="254"/>
      <c r="Z13" s="254"/>
      <c r="AA13" s="254"/>
      <c r="AB13" s="253" t="s">
        <v>2361</v>
      </c>
      <c r="AC13" s="253"/>
      <c r="AD13" s="253" t="s">
        <v>2362</v>
      </c>
      <c r="AE13" s="256">
        <f>SUMIF($G$2:AD$2,Y$2,$G13:AD13)</f>
        <v>0</v>
      </c>
      <c r="AF13" s="257"/>
      <c r="AG13" s="257"/>
      <c r="AH13" s="257"/>
      <c r="AI13" s="257"/>
      <c r="AJ13" s="257"/>
      <c r="AK13" s="257"/>
      <c r="AL13" s="257"/>
      <c r="AM13" s="257"/>
      <c r="AN13" s="257"/>
      <c r="AO13" s="256">
        <f>SUMIF($G$2:AN$2,AN$2,$G13:AN13)</f>
        <v>0</v>
      </c>
      <c r="BA13" s="259"/>
      <c r="BB13" s="259"/>
      <c r="BC13" s="259"/>
      <c r="BD13" s="259"/>
      <c r="BE13" s="259"/>
      <c r="BF13" s="259"/>
      <c r="BG13" s="259"/>
      <c r="BH13" s="259"/>
      <c r="BI13" s="259"/>
      <c r="BJ13" s="261"/>
    </row>
    <row r="14" ht="245" customHeight="1" spans="1:62" s="235" customFormat="1" x14ac:dyDescent="0.25">
      <c r="A14" s="250" t="s">
        <v>2164</v>
      </c>
      <c r="B14" s="251"/>
      <c r="C14" s="251"/>
      <c r="D14" s="252"/>
      <c r="E14" s="252" t="s">
        <v>2186</v>
      </c>
      <c r="F14" s="252" t="s">
        <v>2187</v>
      </c>
      <c r="G14" s="253" t="s">
        <v>2363</v>
      </c>
      <c r="H14" s="253" t="s">
        <v>2364</v>
      </c>
      <c r="I14" s="253" t="s">
        <v>2365</v>
      </c>
      <c r="J14" s="253" t="s">
        <v>2366</v>
      </c>
      <c r="K14" s="253" t="s">
        <v>2367</v>
      </c>
      <c r="L14" s="253" t="s">
        <v>2368</v>
      </c>
      <c r="M14" s="253" t="s">
        <v>2369</v>
      </c>
      <c r="N14" s="253" t="s">
        <v>2370</v>
      </c>
      <c r="O14" s="253" t="s">
        <v>2371</v>
      </c>
      <c r="P14" s="255">
        <f>SUMIF($G$2:O$2,O$2,$G14:O14)</f>
        <v>0</v>
      </c>
      <c r="Q14" s="253" t="s">
        <v>2372</v>
      </c>
      <c r="R14" s="253" t="s">
        <v>2373</v>
      </c>
      <c r="S14" s="253" t="s">
        <v>2374</v>
      </c>
      <c r="T14" s="253" t="s">
        <v>2375</v>
      </c>
      <c r="U14" s="253" t="s">
        <v>2376</v>
      </c>
      <c r="V14" s="253" t="s">
        <v>2377</v>
      </c>
      <c r="W14" s="253" t="s">
        <v>2378</v>
      </c>
      <c r="X14" s="253" t="s">
        <v>2379</v>
      </c>
      <c r="Y14" s="253" t="s">
        <v>2380</v>
      </c>
      <c r="Z14" s="253" t="s">
        <v>2381</v>
      </c>
      <c r="AA14" s="253" t="s">
        <v>2382</v>
      </c>
      <c r="AB14" s="254"/>
      <c r="AC14" s="253" t="s">
        <v>2383</v>
      </c>
      <c r="AD14" s="253" t="s">
        <v>2384</v>
      </c>
      <c r="AE14" s="256">
        <f>SUMIF($G$2:AD$2,Y$2,$G14:AD14)</f>
        <v>0</v>
      </c>
      <c r="AF14" s="257"/>
      <c r="AG14" s="257"/>
      <c r="AH14" s="257"/>
      <c r="AI14" s="257"/>
      <c r="AJ14" s="257"/>
      <c r="AK14" s="257"/>
      <c r="AL14" s="257"/>
      <c r="AM14" s="257"/>
      <c r="AN14" s="257"/>
      <c r="AO14" s="256">
        <f>SUMIF($G$2:AN$2,AN$2,$G14:AN14)</f>
        <v>0</v>
      </c>
      <c r="BA14" s="259"/>
      <c r="BB14" s="259"/>
      <c r="BC14" s="259"/>
      <c r="BD14" s="259"/>
      <c r="BE14" s="259"/>
      <c r="BF14" s="259"/>
      <c r="BG14" s="259"/>
      <c r="BH14" s="259"/>
      <c r="BI14" s="259"/>
      <c r="BJ14" s="261"/>
    </row>
    <row r="15" ht="236" customHeight="1" spans="1:62" s="235" customFormat="1" x14ac:dyDescent="0.25">
      <c r="A15" s="250" t="s">
        <v>2164</v>
      </c>
      <c r="B15" s="251"/>
      <c r="C15" s="251"/>
      <c r="D15" s="252"/>
      <c r="E15" s="252" t="s">
        <v>2188</v>
      </c>
      <c r="F15" s="252" t="s">
        <v>2189</v>
      </c>
      <c r="G15" s="253" t="s">
        <v>2385</v>
      </c>
      <c r="H15" s="253" t="s">
        <v>2386</v>
      </c>
      <c r="I15" s="253" t="s">
        <v>2387</v>
      </c>
      <c r="J15" s="253" t="s">
        <v>2388</v>
      </c>
      <c r="K15" s="253" t="s">
        <v>2389</v>
      </c>
      <c r="L15" s="253" t="s">
        <v>2390</v>
      </c>
      <c r="M15" s="253" t="s">
        <v>2391</v>
      </c>
      <c r="N15" s="253" t="s">
        <v>2392</v>
      </c>
      <c r="O15" s="253" t="s">
        <v>2393</v>
      </c>
      <c r="P15" s="255">
        <f>SUMIF($G$2:O$2,O$2,$G15:O15)</f>
        <v>0</v>
      </c>
      <c r="Q15" s="253" t="s">
        <v>2394</v>
      </c>
      <c r="R15" s="253" t="s">
        <v>2395</v>
      </c>
      <c r="S15" s="253" t="s">
        <v>2396</v>
      </c>
      <c r="T15" s="253" t="s">
        <v>2397</v>
      </c>
      <c r="U15" s="253" t="s">
        <v>2398</v>
      </c>
      <c r="V15" s="253" t="s">
        <v>2399</v>
      </c>
      <c r="W15" s="253" t="s">
        <v>2400</v>
      </c>
      <c r="X15" s="253" t="s">
        <v>2401</v>
      </c>
      <c r="Y15" s="253" t="s">
        <v>2402</v>
      </c>
      <c r="Z15" s="253" t="s">
        <v>2403</v>
      </c>
      <c r="AA15" s="253" t="s">
        <v>2404</v>
      </c>
      <c r="AB15" s="254"/>
      <c r="AC15" s="253" t="s">
        <v>2405</v>
      </c>
      <c r="AD15" s="253" t="s">
        <v>2406</v>
      </c>
      <c r="AE15" s="256">
        <f>SUMIF($G$2:AD$2,Y$2,$G15:AD15)</f>
        <v>0</v>
      </c>
      <c r="AF15" s="257"/>
      <c r="AG15" s="257"/>
      <c r="AH15" s="257"/>
      <c r="AI15" s="257"/>
      <c r="AJ15" s="257"/>
      <c r="AK15" s="257"/>
      <c r="AL15" s="257"/>
      <c r="AM15" s="257"/>
      <c r="AN15" s="257"/>
      <c r="AO15" s="256">
        <f>SUMIF($G$2:AN$2,AN$2,$G15:AN15)</f>
        <v>0</v>
      </c>
      <c r="BA15" s="259"/>
      <c r="BB15" s="259"/>
      <c r="BC15" s="259"/>
      <c r="BD15" s="259"/>
      <c r="BE15" s="259"/>
      <c r="BF15" s="259"/>
      <c r="BG15" s="259"/>
      <c r="BH15" s="259"/>
      <c r="BI15" s="259"/>
      <c r="BJ15" s="261"/>
    </row>
    <row r="16" ht="12" customHeight="1" spans="1:62" s="235" customFormat="1" x14ac:dyDescent="0.25">
      <c r="A16" s="250"/>
      <c r="B16" s="269"/>
      <c r="C16" s="269"/>
      <c r="D16" s="270"/>
      <c r="E16" s="270"/>
      <c r="F16" s="271" t="s">
        <v>2190</v>
      </c>
      <c r="G16" s="256">
        <f>SUMIF($C$5:$C15,$C15,G$5:G15)</f>
        <v>0</v>
      </c>
      <c r="H16" s="256">
        <f>SUMIF($C$5:$C15,$C15,H$5:H15)</f>
        <v>0</v>
      </c>
      <c r="I16" s="256">
        <f>SUMIF($C$5:$C15,$C15,I$5:I15)</f>
        <v>0</v>
      </c>
      <c r="J16" s="256">
        <f>SUMIF($C$5:$C15,$C15,J$5:J15)</f>
        <v>0</v>
      </c>
      <c r="K16" s="256">
        <f>SUMIF($C$5:$C15,$C15,K$5:K15)</f>
        <v>0</v>
      </c>
      <c r="L16" s="256">
        <f>SUMIF($C$5:$C15,$C15,L$5:L15)</f>
        <v>0</v>
      </c>
      <c r="M16" s="256">
        <f>SUMIF($C$5:$C15,$C15,M$5:M15)</f>
        <v>0</v>
      </c>
      <c r="N16" s="256">
        <f>SUMIF($C$5:$C15,$C15,N$5:N15)</f>
        <v>0</v>
      </c>
      <c r="O16" s="256">
        <f>SUMIF($C$5:$C15,$C15,O$5:O15)</f>
        <v>0</v>
      </c>
      <c r="P16" s="256">
        <f>SUMIF($C$5:$C15,$C15,P$5:P15)</f>
        <v>0</v>
      </c>
      <c r="Q16" s="256">
        <f>SUMIF($C$5:$C15,$C15,Q$5:Q15)</f>
        <v>0</v>
      </c>
      <c r="R16" s="256">
        <f>SUMIF($C$5:$C15,$C15,R$5:R15)</f>
        <v>0</v>
      </c>
      <c r="S16" s="256">
        <f>SUMIF($C$5:$C15,$C15,S$5:S15)</f>
        <v>0</v>
      </c>
      <c r="T16" s="256">
        <f>SUMIF($C$5:$C15,$C15,T$5:T15)</f>
        <v>0</v>
      </c>
      <c r="U16" s="256">
        <f>SUMIF($C$5:$C15,$C15,U$5:U15)</f>
        <v>0</v>
      </c>
      <c r="V16" s="256">
        <f>SUMIF($C$5:$C15,$C15,V$5:V15)</f>
        <v>0</v>
      </c>
      <c r="W16" s="256">
        <f>SUMIF($C$5:$C15,$C15,W$5:W15)</f>
        <v>0</v>
      </c>
      <c r="X16" s="256">
        <f>SUMIF($C$5:$C15,$C15,X$5:X15)</f>
        <v>0</v>
      </c>
      <c r="Y16" s="256">
        <f>SUMIF($C$5:$C15,$C15,Y$5:Y15)</f>
        <v>0</v>
      </c>
      <c r="Z16" s="256">
        <f>SUMIF($C$5:$C15,$C15,Z$5:Z15)</f>
        <v>0</v>
      </c>
      <c r="AA16" s="256">
        <f>SUMIF($C$5:$C15,$C15,AA$5:AA15)</f>
        <v>0</v>
      </c>
      <c r="AB16" s="256">
        <f>SUMIF($C$5:$C15,$C15,AB$5:AB15)</f>
        <v>0</v>
      </c>
      <c r="AC16" s="256"/>
      <c r="AD16" s="256">
        <f>SUMIF($C$5:$C15,$C15,AD$5:AD15)</f>
        <v>0</v>
      </c>
      <c r="AE16" s="256">
        <f>SUMIF($C$5:$C15,$C15,AE$5:AE15)</f>
        <v>0</v>
      </c>
      <c r="AF16" s="256">
        <f>SUMIF($C$5:$C15,$C15,AF$5:AF15)</f>
        <v>0</v>
      </c>
      <c r="AG16" s="256">
        <f>SUMIF($C$5:$C15,$C15,AG$5:AG15)</f>
        <v>0</v>
      </c>
      <c r="AH16" s="256">
        <f>SUMIF($C$5:$C15,$C15,AH$5:AH15)</f>
        <v>0</v>
      </c>
      <c r="AI16" s="256">
        <f>SUMIF($C$5:$C15,$C15,AI$5:AI15)</f>
        <v>0</v>
      </c>
      <c r="AJ16" s="256">
        <f>SUMIF($C$5:$C15,$C15,AJ$5:AJ15)</f>
        <v>0</v>
      </c>
      <c r="AK16" s="256">
        <f>SUMIF($C$5:$C15,$C15,AK$5:AK15)</f>
        <v>0</v>
      </c>
      <c r="AL16" s="256">
        <f>SUMIF($C$5:$C15,$C15,AL$5:AL15)</f>
        <v>0</v>
      </c>
      <c r="AM16" s="256">
        <f>SUMIF($C$5:$C15,$C15,AM$5:AM15)</f>
        <v>0</v>
      </c>
      <c r="AN16" s="256">
        <f>SUMIF($C$5:$C15,$C15,AN$5:AN15)</f>
        <v>0</v>
      </c>
      <c r="AO16" s="256">
        <f>SUMIF($C$5:$C15,$C15,AO$5:AO15)</f>
        <v>0</v>
      </c>
      <c r="BA16" s="272"/>
      <c r="BB16" s="272"/>
      <c r="BC16" s="272"/>
      <c r="BD16" s="272"/>
      <c r="BE16" s="272"/>
      <c r="BF16" s="272"/>
      <c r="BG16" s="272"/>
      <c r="BH16" s="272"/>
      <c r="BI16" s="272"/>
      <c r="BJ16" s="261"/>
    </row>
    <row r="17" ht="16" customHeight="1" spans="1:52"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235"/>
      <c r="AS17" s="235"/>
      <c r="AT17" s="235"/>
      <c r="AU17" s="235"/>
      <c r="AV17" s="235"/>
      <c r="AW17" s="235"/>
      <c r="AX17" s="235"/>
      <c r="AY17" s="235"/>
      <c r="AZ17" s="235"/>
    </row>
    <row r="18" ht="16" customHeight="1" spans="1:43"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row>
    <row r="19" ht="180" customHeight="1" spans="1:43"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3" t="s">
        <v>2194</v>
      </c>
      <c r="AC19" s="273"/>
      <c r="AD19" s="253" t="s">
        <v>2407</v>
      </c>
      <c r="AE19" s="190"/>
      <c r="AF19" s="190"/>
      <c r="AG19" s="190"/>
      <c r="AH19" s="190"/>
      <c r="AI19" s="190"/>
      <c r="AJ19" s="190"/>
      <c r="AK19" s="190"/>
      <c r="AL19" s="190"/>
      <c r="AM19" s="190"/>
      <c r="AN19" s="190"/>
      <c r="AO19" s="190"/>
      <c r="AP19" s="190"/>
      <c r="AQ19" s="190"/>
    </row>
    <row r="20" spans="1:43"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row>
    <row r="21" spans="1:43"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row>
    <row r="22" spans="1:43"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row>
    <row r="23" spans="1:43"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row>
    <row r="24" spans="1:43"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row>
    <row r="25" spans="1:43"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row>
    <row r="26" spans="1:43"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row>
    <row r="27" spans="1:43"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row>
  </sheetData>
  <mergeCells count="5">
    <mergeCell ref="B1:F1"/>
    <mergeCell ref="P2:P4"/>
    <mergeCell ref="AE2:AE4"/>
    <mergeCell ref="AO2:AO4"/>
    <mergeCell ref="BJ2:BJ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30" zoomScaleNormal="130">
      <pane xSplit="3" ySplit="1" topLeftCell="P4" activePane="bottomRight" state="frozen"/>
      <selection pane="bottomRight" activeCell="V15" sqref="V1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8" width="9.33203125" style="91" customWidth="1"/>
    <col min="59" max="59" width="4" style="91" customWidth="1"/>
    <col min="60" max="16384" width="11" style="91" customWidth="1"/>
  </cols>
  <sheetData>
    <row r="1" ht="23.5" customHeight="1" spans="1:16384" s="92" customFormat="1" x14ac:dyDescent="0.25">
      <c r="A1" s="92"/>
      <c r="B1" s="93" t="s">
        <v>2060</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8" s="92" customFormat="1" x14ac:dyDescent="0.25">
      <c r="A2" s="94"/>
      <c r="B2" s="94"/>
      <c r="C2" s="94"/>
      <c r="D2" s="94"/>
      <c r="E2" s="94"/>
      <c r="F2" s="94"/>
      <c r="G2" s="95" t="s">
        <v>2061</v>
      </c>
      <c r="H2" s="96" t="s">
        <v>2062</v>
      </c>
      <c r="I2" s="97" t="s">
        <v>2063</v>
      </c>
      <c r="J2" s="97" t="s">
        <v>2063</v>
      </c>
      <c r="K2" s="97" t="s">
        <v>2063</v>
      </c>
      <c r="L2" s="97" t="s">
        <v>2063</v>
      </c>
      <c r="M2" s="97" t="s">
        <v>2063</v>
      </c>
      <c r="N2" s="97" t="s">
        <v>2063</v>
      </c>
      <c r="O2" s="97" t="s">
        <v>2063</v>
      </c>
      <c r="P2" s="97" t="s">
        <v>2063</v>
      </c>
      <c r="Q2" s="97" t="s">
        <v>2063</v>
      </c>
      <c r="R2" s="97" t="s">
        <v>2063</v>
      </c>
      <c r="S2" s="97" t="s">
        <v>2063</v>
      </c>
      <c r="T2" s="97" t="s">
        <v>2063</v>
      </c>
      <c r="U2" s="97" t="s">
        <v>2063</v>
      </c>
      <c r="V2" s="97" t="s">
        <v>2063</v>
      </c>
      <c r="W2" s="96" t="s">
        <v>2064</v>
      </c>
      <c r="X2" s="98" t="s">
        <v>2065</v>
      </c>
      <c r="Y2" s="98" t="s">
        <v>2065</v>
      </c>
      <c r="Z2" s="98" t="s">
        <v>2065</v>
      </c>
      <c r="AA2" s="98" t="s">
        <v>2065</v>
      </c>
      <c r="AB2" s="98" t="s">
        <v>2065</v>
      </c>
      <c r="AC2" s="98" t="s">
        <v>2065</v>
      </c>
      <c r="AD2" s="98" t="s">
        <v>2065</v>
      </c>
      <c r="AE2" s="98" t="s">
        <v>2065</v>
      </c>
      <c r="AF2" s="98" t="s">
        <v>2065</v>
      </c>
      <c r="AG2" s="96" t="s">
        <v>2066</v>
      </c>
      <c r="AH2" s="98" t="s">
        <v>2067</v>
      </c>
      <c r="AI2" s="98" t="s">
        <v>2067</v>
      </c>
      <c r="AJ2" s="98" t="s">
        <v>2067</v>
      </c>
      <c r="AK2" s="98" t="s">
        <v>2067</v>
      </c>
      <c r="AL2" s="98" t="s">
        <v>2067</v>
      </c>
      <c r="AM2" s="98" t="s">
        <v>2067</v>
      </c>
      <c r="AN2" s="98" t="s">
        <v>2067</v>
      </c>
      <c r="AO2" s="98" t="s">
        <v>2067</v>
      </c>
      <c r="AP2" s="98" t="s">
        <v>2067</v>
      </c>
      <c r="AQ2" s="98" t="s">
        <v>2067</v>
      </c>
      <c r="AR2" s="98" t="s">
        <v>2067</v>
      </c>
      <c r="AS2" s="98" t="s">
        <v>2067</v>
      </c>
      <c r="AT2" s="98" t="s">
        <v>2067</v>
      </c>
      <c r="AU2" s="98" t="s">
        <v>2067</v>
      </c>
      <c r="AV2" s="96" t="s">
        <v>2068</v>
      </c>
      <c r="AW2" s="99" t="s">
        <v>2069</v>
      </c>
      <c r="AX2" s="99" t="s">
        <v>2069</v>
      </c>
      <c r="AY2" s="99" t="s">
        <v>2069</v>
      </c>
      <c r="AZ2" s="99" t="s">
        <v>2069</v>
      </c>
      <c r="BA2" s="99" t="s">
        <v>2069</v>
      </c>
      <c r="BB2" s="99" t="s">
        <v>2069</v>
      </c>
      <c r="BC2" s="99" t="s">
        <v>2069</v>
      </c>
      <c r="BD2" s="99" t="s">
        <v>2069</v>
      </c>
      <c r="BE2" s="99" t="s">
        <v>2069</v>
      </c>
      <c r="BF2" s="96" t="s">
        <v>2070</v>
      </c>
    </row>
    <row r="3" ht="26" customHeight="1" hidden="1" spans="1:58" s="92" customFormat="1" x14ac:dyDescent="0.25">
      <c r="A3" s="94"/>
      <c r="B3" s="94"/>
      <c r="C3" s="94"/>
      <c r="D3" s="94"/>
      <c r="E3" s="94"/>
      <c r="F3" s="94"/>
      <c r="G3" s="95" t="s">
        <v>2071</v>
      </c>
      <c r="H3" s="96"/>
      <c r="I3" s="97" t="s">
        <v>2072</v>
      </c>
      <c r="J3" s="97" t="s">
        <v>2073</v>
      </c>
      <c r="K3" s="97" t="s">
        <v>2074</v>
      </c>
      <c r="L3" s="97" t="s">
        <v>2075</v>
      </c>
      <c r="M3" s="97" t="s">
        <v>2076</v>
      </c>
      <c r="N3" s="97" t="s">
        <v>2077</v>
      </c>
      <c r="O3" s="97" t="s">
        <v>2078</v>
      </c>
      <c r="P3" s="97" t="s">
        <v>2079</v>
      </c>
      <c r="Q3" s="97" t="s">
        <v>2080</v>
      </c>
      <c r="R3" s="97"/>
      <c r="S3" s="97" t="s">
        <v>2081</v>
      </c>
      <c r="T3" s="97" t="s">
        <v>2082</v>
      </c>
      <c r="U3" s="97" t="s">
        <v>2083</v>
      </c>
      <c r="V3" s="97" t="s">
        <v>2084</v>
      </c>
      <c r="W3" s="96"/>
      <c r="X3" s="98" t="s">
        <v>2085</v>
      </c>
      <c r="Y3" s="98" t="s">
        <v>2086</v>
      </c>
      <c r="Z3" s="98" t="s">
        <v>2087</v>
      </c>
      <c r="AA3" s="98" t="s">
        <v>2088</v>
      </c>
      <c r="AB3" s="98" t="s">
        <v>2089</v>
      </c>
      <c r="AC3" s="98" t="s">
        <v>2090</v>
      </c>
      <c r="AD3" s="98" t="s">
        <v>192</v>
      </c>
      <c r="AE3" s="98" t="s">
        <v>256</v>
      </c>
      <c r="AF3" s="98" t="s">
        <v>2091</v>
      </c>
      <c r="AG3" s="96"/>
      <c r="AH3" s="98" t="s">
        <v>2092</v>
      </c>
      <c r="AI3" s="98" t="s">
        <v>2093</v>
      </c>
      <c r="AJ3" s="98" t="s">
        <v>2094</v>
      </c>
      <c r="AK3" s="98" t="s">
        <v>2095</v>
      </c>
      <c r="AL3" s="98" t="s">
        <v>2096</v>
      </c>
      <c r="AM3" s="98" t="s">
        <v>2097</v>
      </c>
      <c r="AN3" s="98" t="s">
        <v>2098</v>
      </c>
      <c r="AO3" s="98" t="s">
        <v>2099</v>
      </c>
      <c r="AP3" s="98" t="s">
        <v>2100</v>
      </c>
      <c r="AQ3" s="98" t="s">
        <v>2101</v>
      </c>
      <c r="AR3" s="98" t="s">
        <v>2102</v>
      </c>
      <c r="AS3" s="98" t="s">
        <v>2103</v>
      </c>
      <c r="AT3" s="98"/>
      <c r="AU3" s="98" t="s">
        <v>2104</v>
      </c>
      <c r="AV3" s="96"/>
      <c r="AW3" s="99" t="s">
        <v>2105</v>
      </c>
      <c r="AX3" s="99" t="s">
        <v>2106</v>
      </c>
      <c r="AY3" s="99" t="s">
        <v>2107</v>
      </c>
      <c r="AZ3" s="99" t="s">
        <v>2108</v>
      </c>
      <c r="BA3" s="99" t="s">
        <v>2109</v>
      </c>
      <c r="BB3" s="99" t="s">
        <v>2110</v>
      </c>
      <c r="BC3" s="99" t="s">
        <v>2111</v>
      </c>
      <c r="BD3" s="99" t="s">
        <v>2112</v>
      </c>
      <c r="BE3" s="99" t="s">
        <v>2113</v>
      </c>
      <c r="BF3" s="96"/>
    </row>
    <row r="4" ht="72" customHeight="1" spans="1:58" s="92" customFormat="1" x14ac:dyDescent="0.25">
      <c r="A4" s="100"/>
      <c r="B4" s="101" t="s">
        <v>2114</v>
      </c>
      <c r="C4" s="101" t="s">
        <v>2115</v>
      </c>
      <c r="D4" s="101" t="s">
        <v>37</v>
      </c>
      <c r="E4" s="101" t="s">
        <v>2116</v>
      </c>
      <c r="F4" s="101" t="s">
        <v>2117</v>
      </c>
      <c r="G4" s="95" t="s">
        <v>2118</v>
      </c>
      <c r="H4" s="96"/>
      <c r="I4" s="97" t="s">
        <v>2119</v>
      </c>
      <c r="J4" s="97" t="s">
        <v>2120</v>
      </c>
      <c r="K4" s="97" t="s">
        <v>2121</v>
      </c>
      <c r="L4" s="97" t="s">
        <v>2122</v>
      </c>
      <c r="M4" s="97" t="s">
        <v>2123</v>
      </c>
      <c r="N4" s="97" t="s">
        <v>2124</v>
      </c>
      <c r="O4" s="97" t="s">
        <v>2125</v>
      </c>
      <c r="P4" s="97" t="s">
        <v>2126</v>
      </c>
      <c r="Q4" s="97" t="s">
        <v>2127</v>
      </c>
      <c r="R4" s="97" t="s">
        <v>2128</v>
      </c>
      <c r="S4" s="97" t="s">
        <v>2129</v>
      </c>
      <c r="T4" s="97" t="s">
        <v>2130</v>
      </c>
      <c r="U4" s="97" t="s">
        <v>2131</v>
      </c>
      <c r="V4" s="97" t="s">
        <v>2132</v>
      </c>
      <c r="W4" s="96"/>
      <c r="X4" s="98" t="s">
        <v>2133</v>
      </c>
      <c r="Y4" s="98" t="s">
        <v>2134</v>
      </c>
      <c r="Z4" s="98" t="s">
        <v>2135</v>
      </c>
      <c r="AA4" s="98" t="s">
        <v>2136</v>
      </c>
      <c r="AB4" s="98" t="s">
        <v>2137</v>
      </c>
      <c r="AC4" s="98" t="s">
        <v>2138</v>
      </c>
      <c r="AD4" s="98" t="s">
        <v>192</v>
      </c>
      <c r="AE4" s="98" t="s">
        <v>2139</v>
      </c>
      <c r="AF4" s="98" t="s">
        <v>2140</v>
      </c>
      <c r="AG4" s="96"/>
      <c r="AH4" s="98" t="s">
        <v>2141</v>
      </c>
      <c r="AI4" s="98" t="s">
        <v>2142</v>
      </c>
      <c r="AJ4" s="98" t="s">
        <v>2143</v>
      </c>
      <c r="AK4" s="98" t="s">
        <v>2144</v>
      </c>
      <c r="AL4" s="98" t="s">
        <v>2145</v>
      </c>
      <c r="AM4" s="98" t="s">
        <v>2146</v>
      </c>
      <c r="AN4" s="98" t="s">
        <v>2147</v>
      </c>
      <c r="AO4" s="98" t="s">
        <v>2148</v>
      </c>
      <c r="AP4" s="98" t="s">
        <v>2149</v>
      </c>
      <c r="AQ4" s="98" t="s">
        <v>2150</v>
      </c>
      <c r="AR4" s="98" t="s">
        <v>2151</v>
      </c>
      <c r="AS4" s="98" t="s">
        <v>2152</v>
      </c>
      <c r="AT4" s="98" t="s">
        <v>2153</v>
      </c>
      <c r="AU4" s="98" t="s">
        <v>2154</v>
      </c>
      <c r="AV4" s="96"/>
      <c r="AW4" s="99" t="s">
        <v>2155</v>
      </c>
      <c r="AX4" s="99" t="s">
        <v>2156</v>
      </c>
      <c r="AY4" s="99" t="s">
        <v>2157</v>
      </c>
      <c r="AZ4" s="99" t="s">
        <v>2158</v>
      </c>
      <c r="BA4" s="99" t="s">
        <v>2159</v>
      </c>
      <c r="BB4" s="99" t="s">
        <v>2160</v>
      </c>
      <c r="BC4" s="99" t="s">
        <v>2161</v>
      </c>
      <c r="BD4" s="99" t="s">
        <v>2162</v>
      </c>
      <c r="BE4" s="99" t="s">
        <v>2163</v>
      </c>
      <c r="BF4" s="96"/>
    </row>
    <row r="5" ht="11" customHeight="1" spans="1:58" s="92" customFormat="1" x14ac:dyDescent="0.25">
      <c r="A5" s="102" t="s">
        <v>2164</v>
      </c>
      <c r="B5" s="103"/>
      <c r="C5" s="103"/>
      <c r="D5" s="104">
        <f>IF(ETPT_TJ_DDG!$D$5="","",ETPT_TJ_DDG!$D$5)</f>
      </c>
      <c r="E5" s="103" t="s">
        <v>2165</v>
      </c>
      <c r="F5" s="103" t="s">
        <v>2166</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 t="array" ref="AT5">SUM(SUMIFS(
INDEX( 'ETPT Format DDG'!$A:$ZZ,,MATCH("5. TOTAL JLD CIVIL",'ETPT Format DDG'!2:2,0)),
INDEX( 'ETPT Format DDG'!$A:$ZZ,,MATCH("Fonction recodée",'ETPT Format DDG'!2:2,0)),{"Magistrat SIEGE S";"Magistrat SIEGE NS"}))</f>
        <v>#N/A</v>
      </c>
      <c r="AU5" s="110"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109">
        <f>_xlfn.AGGREGATE(9,6,AH5:AU5)</f>
        <v>0</v>
      </c>
      <c r="AW5" s="113"/>
      <c r="AX5" s="113"/>
      <c r="AY5" s="114"/>
      <c r="AZ5" s="114"/>
      <c r="BA5" s="114"/>
      <c r="BB5" s="114"/>
      <c r="BC5" s="114"/>
      <c r="BD5" s="114"/>
      <c r="BE5" s="113"/>
      <c r="BF5" s="109">
        <f>SUM(AW5:BE5)</f>
        <v>0</v>
      </c>
    </row>
    <row r="6" ht="12" customHeight="1" spans="1:58" s="92" customFormat="1" x14ac:dyDescent="0.25">
      <c r="A6" s="102" t="s">
        <v>2164</v>
      </c>
      <c r="B6" s="103"/>
      <c r="C6" s="103"/>
      <c r="D6" s="115">
        <f t="shared" ref="D6:D15" si="0">$D$5</f>
      </c>
      <c r="E6" s="103" t="s">
        <v>2167</v>
      </c>
      <c r="F6" s="103" t="s">
        <v>2168</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2169</v>
      </c>
      <c r="V6" s="119"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10"/>
      <c r="AU6" s="120"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109">
        <f t="shared" ref="AV6:AV15" si="3">_xlfn.AGGREGATE(9,6,AH6:AU6)</f>
        <v>0</v>
      </c>
      <c r="AW6" s="113"/>
      <c r="AX6" s="113"/>
      <c r="AY6" s="113"/>
      <c r="AZ6" s="113"/>
      <c r="BA6" s="113"/>
      <c r="BB6" s="113"/>
      <c r="BC6" s="113"/>
      <c r="BD6" s="114"/>
      <c r="BE6" s="113"/>
      <c r="BF6" s="109">
        <f>SUM(AW6:BE6)</f>
        <v>0</v>
      </c>
    </row>
    <row r="7" ht="14.25" customHeight="1" spans="1:58" s="92" customFormat="1" x14ac:dyDescent="0.25">
      <c r="A7" s="102" t="s">
        <v>2164</v>
      </c>
      <c r="B7" s="103"/>
      <c r="C7" s="103"/>
      <c r="D7" s="115">
        <f t="shared" si="0"/>
      </c>
      <c r="E7" s="103" t="s">
        <v>2170</v>
      </c>
      <c r="F7" s="103" t="s">
        <v>2171</v>
      </c>
      <c r="G7" s="121"/>
      <c r="H7" s="106">
        <f t="shared" si="1"/>
        <v>0</v>
      </c>
      <c r="I7" s="122"/>
      <c r="J7" s="122"/>
      <c r="K7" s="122"/>
      <c r="L7" s="122"/>
      <c r="M7" s="122"/>
      <c r="N7" s="122"/>
      <c r="O7" s="122"/>
      <c r="P7" s="122"/>
      <c r="Q7" s="123" t="s">
        <v>2172</v>
      </c>
      <c r="R7" s="123" t="s">
        <v>2173</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22"/>
      <c r="AU7" s="111" t="e">
        <f>SUM(SUMIFS(
INDEX( 'ETPT Format DDG'!$A:$ZZ,,MATCH("11.5. CSM",'ETPT Format DDG'!2:2,0)),
INDEX( 'ETPT Format DDG'!$A:$ZZ,,MATCH("Fonction recodée",'ETPT Format DDG'!2:2,0)),"Magistrat SIEGE NS",
INDEX( 'ETPT Format DDG'!$A:$ZZ,,MATCH("TJCPH",'ETPT Format DDG'!2:2,0)),"OUI"))</f>
        <v>#N/A</v>
      </c>
      <c r="AV7" s="109">
        <f t="shared" si="3"/>
        <v>0</v>
      </c>
      <c r="AW7" s="113"/>
      <c r="AX7" s="113"/>
      <c r="AY7" s="113"/>
      <c r="AZ7" s="113"/>
      <c r="BA7" s="113"/>
      <c r="BB7" s="113"/>
      <c r="BC7" s="113"/>
      <c r="BD7" s="113"/>
      <c r="BE7" s="113"/>
      <c r="BF7" s="109">
        <f t="shared" ref="BF7:BF15" si="5">SUM(AW7:BE7)</f>
        <v>0</v>
      </c>
    </row>
    <row r="8" ht="14.25" customHeight="1" spans="1:58" s="92" customFormat="1" x14ac:dyDescent="0.25">
      <c r="A8" s="102" t="s">
        <v>2164</v>
      </c>
      <c r="B8" s="103"/>
      <c r="C8" s="103"/>
      <c r="D8" s="115">
        <f t="shared" si="0"/>
      </c>
      <c r="E8" s="103" t="s">
        <v>2174</v>
      </c>
      <c r="F8" s="103" t="s">
        <v>2175</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22"/>
      <c r="AU8" s="111" t="e">
        <f>SUM(SUMIFS(
INDEX( 'ETPT Format DDG'!$A:$ZZ,,MATCH("11.51. ACCUEIL DU JUSTICIABLE (DONT SAUJ)",'ETPT Format DDG'!2:2,0)),
INDEX( 'ETPT Format DDG'!$A:$ZZ,,MATCH("Fonction recodée",'ETPT Format DDG'!2:2,0)),"Magistrat SIEGE NS",
INDEX( 'ETPT Format DDG'!$A:$ZZ,,MATCH("TJCPH",'ETPT Format DDG'!2:2,0)),"OUI"))</f>
        <v>#N/A</v>
      </c>
      <c r="AV8" s="109">
        <f t="shared" si="3"/>
        <v>0</v>
      </c>
      <c r="AW8" s="113"/>
      <c r="AX8" s="113"/>
      <c r="AY8" s="113"/>
      <c r="AZ8" s="113"/>
      <c r="BA8" s="113"/>
      <c r="BB8" s="113"/>
      <c r="BC8" s="113"/>
      <c r="BD8" s="113"/>
      <c r="BE8" s="113"/>
      <c r="BF8" s="109">
        <f t="shared" si="5"/>
        <v>0</v>
      </c>
    </row>
    <row r="9" ht="14.25" customHeight="1" spans="1:58" s="92" customFormat="1" x14ac:dyDescent="0.25">
      <c r="A9" s="102" t="s">
        <v>2164</v>
      </c>
      <c r="B9" s="103"/>
      <c r="C9" s="103"/>
      <c r="D9" s="115">
        <f t="shared" si="0"/>
      </c>
      <c r="E9" s="103" t="s">
        <v>2176</v>
      </c>
      <c r="F9" s="103" t="s">
        <v>2177</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22"/>
      <c r="AU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109">
        <f t="shared" si="3"/>
        <v>0</v>
      </c>
      <c r="AW9" s="113"/>
      <c r="AX9" s="113"/>
      <c r="AY9" s="113"/>
      <c r="AZ9" s="113"/>
      <c r="BA9" s="113"/>
      <c r="BB9" s="113"/>
      <c r="BC9" s="113"/>
      <c r="BD9" s="113"/>
      <c r="BE9" s="113"/>
      <c r="BF9" s="109">
        <f t="shared" si="5"/>
        <v>0</v>
      </c>
    </row>
    <row r="10" ht="14.25" customHeight="1" spans="1:58" s="92" customFormat="1" x14ac:dyDescent="0.25">
      <c r="A10" s="102" t="s">
        <v>2164</v>
      </c>
      <c r="B10" s="103"/>
      <c r="C10" s="103"/>
      <c r="D10" s="115">
        <f t="shared" si="0"/>
      </c>
      <c r="E10" s="103" t="s">
        <v>2178</v>
      </c>
      <c r="F10" s="103" t="s">
        <v>2179</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22"/>
      <c r="AU10" s="111" t="e">
        <f>SUM(SUMIFS(
INDEX( 'ETPT Format DDG'!$A:$ZZ,,MATCH("11.3. FORMATIONS DISPENSÉES",'ETPT Format DDG'!2:2,0)),
INDEX( 'ETPT Format DDG'!$A:$ZZ,,MATCH("Fonction recodée",'ETPT Format DDG'!2:2,0)),"Magistrat SIEGE NS",
INDEX( 'ETPT Format DDG'!$A:$ZZ,,MATCH("TJCPH",'ETPT Format DDG'!2:2,0)),"OUI"))</f>
        <v>#N/A</v>
      </c>
      <c r="AV10" s="109">
        <f>_xlfn.AGGREGATE(9,6,AH10:AU10)</f>
        <v>0</v>
      </c>
      <c r="AW10" s="113"/>
      <c r="AX10" s="113"/>
      <c r="AY10" s="113"/>
      <c r="AZ10" s="113"/>
      <c r="BA10" s="113"/>
      <c r="BB10" s="113"/>
      <c r="BC10" s="113"/>
      <c r="BD10" s="113"/>
      <c r="BE10" s="113"/>
      <c r="BF10" s="109">
        <f t="shared" si="5"/>
        <v>0</v>
      </c>
    </row>
    <row r="11" ht="14.25" customHeight="1" spans="1:58" s="92" customFormat="1" x14ac:dyDescent="0.25">
      <c r="A11" s="102" t="s">
        <v>2164</v>
      </c>
      <c r="B11" s="103"/>
      <c r="C11" s="103"/>
      <c r="D11" s="115">
        <f t="shared" si="0"/>
      </c>
      <c r="E11" s="103" t="s">
        <v>2180</v>
      </c>
      <c r="F11" s="103" t="s">
        <v>2181</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22"/>
      <c r="AU11" s="111" t="e">
        <f>SUM(SUMIFS(
INDEX( 'ETPT Format DDG'!$A:$ZZ,,MATCH("11.4. ACCÈS AU DROIT ET À LA JUSTICE",'ETPT Format DDG'!2:2,0)),
INDEX( 'ETPT Format DDG'!$A:$ZZ,,MATCH("Fonction recodée",'ETPT Format DDG'!2:2,0)),"Magistrat SIEGE NS",
INDEX( 'ETPT Format DDG'!$A:$ZZ,,MATCH("TJCPH",'ETPT Format DDG'!2:2,0)),"OUI"))</f>
        <v>#N/A</v>
      </c>
      <c r="AV11" s="109">
        <f t="shared" si="3"/>
        <v>0</v>
      </c>
      <c r="AW11" s="113"/>
      <c r="AX11" s="113"/>
      <c r="AY11" s="113"/>
      <c r="AZ11" s="113"/>
      <c r="BA11" s="113"/>
      <c r="BB11" s="113"/>
      <c r="BC11" s="113"/>
      <c r="BD11" s="113"/>
      <c r="BE11" s="113"/>
      <c r="BF11" s="109">
        <f t="shared" si="5"/>
        <v>0</v>
      </c>
    </row>
    <row r="12" ht="14.25" customHeight="1" spans="1:58" s="92" customFormat="1" x14ac:dyDescent="0.25">
      <c r="A12" s="102" t="s">
        <v>2164</v>
      </c>
      <c r="B12" s="103"/>
      <c r="C12" s="103"/>
      <c r="D12" s="115">
        <f t="shared" si="0"/>
      </c>
      <c r="E12" s="103" t="s">
        <v>2182</v>
      </c>
      <c r="F12" s="103" t="s">
        <v>2183</v>
      </c>
      <c r="G12" s="105"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22"/>
      <c r="AU12" s="111"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109">
        <f t="shared" si="3"/>
        <v>0</v>
      </c>
      <c r="AW12" s="113"/>
      <c r="AX12" s="113"/>
      <c r="AY12" s="113"/>
      <c r="AZ12" s="113"/>
      <c r="BA12" s="113"/>
      <c r="BB12" s="113"/>
      <c r="BC12" s="113"/>
      <c r="BD12" s="113"/>
      <c r="BE12" s="113"/>
      <c r="BF12" s="109">
        <f t="shared" si="5"/>
        <v>0</v>
      </c>
    </row>
    <row r="13" ht="14.25" customHeight="1" spans="1:58" s="92" customFormat="1" x14ac:dyDescent="0.25">
      <c r="A13" s="102" t="s">
        <v>2164</v>
      </c>
      <c r="B13" s="103"/>
      <c r="C13" s="103"/>
      <c r="D13" s="115">
        <f t="shared" si="0"/>
      </c>
      <c r="E13" s="103" t="s">
        <v>2184</v>
      </c>
      <c r="F13" s="103" t="s">
        <v>2185</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c r="AU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109">
        <f t="shared" si="3"/>
        <v>0</v>
      </c>
      <c r="AW13" s="113"/>
      <c r="AX13" s="113"/>
      <c r="AY13" s="113"/>
      <c r="AZ13" s="113"/>
      <c r="BA13" s="113"/>
      <c r="BB13" s="113"/>
      <c r="BC13" s="113"/>
      <c r="BD13" s="113"/>
      <c r="BE13" s="113"/>
      <c r="BF13" s="109">
        <f t="shared" si="5"/>
        <v>0</v>
      </c>
    </row>
    <row r="14" ht="14.25" customHeight="1" spans="1:58" s="92" customFormat="1" x14ac:dyDescent="0.25">
      <c r="A14" s="102" t="s">
        <v>2164</v>
      </c>
      <c r="B14" s="103"/>
      <c r="C14" s="103"/>
      <c r="D14" s="115">
        <f t="shared" si="0"/>
      </c>
      <c r="E14" s="103" t="s">
        <v>2186</v>
      </c>
      <c r="F14" s="103" t="s">
        <v>2187</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26" t="e">
        <f>SUM(SUMIFS(
INDEX( 'ETPT A-JUST'!$A:$ZZ,,MATCH("5. TOTAL JLD CIVIL",'ETPT A-JUST'!2:2,0)),
INDEX( 'ETPT A-JUST'!$A:$ZZ,,MATCH("Fonction recodée",'ETPT A-JUST'!2:2,0)),"Magistrat placé ADD"))</f>
        <v>#N/A</v>
      </c>
      <c r="AU14" s="116"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109">
        <f t="shared" si="3"/>
        <v>0</v>
      </c>
      <c r="AW14" s="113"/>
      <c r="AX14" s="113"/>
      <c r="AY14" s="113"/>
      <c r="AZ14" s="113"/>
      <c r="BA14" s="113"/>
      <c r="BB14" s="113"/>
      <c r="BC14" s="113"/>
      <c r="BD14" s="113"/>
      <c r="BE14" s="113"/>
      <c r="BF14" s="109">
        <f t="shared" si="5"/>
        <v>0</v>
      </c>
    </row>
    <row r="15" ht="14.25" customHeight="1" spans="1:58" s="92" customFormat="1" x14ac:dyDescent="0.25">
      <c r="A15" s="102" t="s">
        <v>2164</v>
      </c>
      <c r="B15" s="103"/>
      <c r="C15" s="103"/>
      <c r="D15" s="115">
        <f t="shared" si="0"/>
      </c>
      <c r="E15" s="103" t="s">
        <v>2188</v>
      </c>
      <c r="F15" s="103" t="s">
        <v>2189</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26" t="e">
        <f>SUM(SUMIFS(
INDEX( 'ETPT A-JUST'!$A:$ZZ,,MATCH("5. TOTAL JLD CIVIL",'ETPT A-JUST'!2:2,0)),
INDEX( 'ETPT A-JUST'!$A:$ZZ,,MATCH("Fonction recodée",'ETPT A-JUST'!2:2,0)),"Magistrat placé SUB"))</f>
        <v>#N/A</v>
      </c>
      <c r="AU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109">
        <f t="shared" si="3"/>
        <v>0</v>
      </c>
      <c r="AW15" s="113"/>
      <c r="AX15" s="113"/>
      <c r="AY15" s="113"/>
      <c r="AZ15" s="113"/>
      <c r="BA15" s="113"/>
      <c r="BB15" s="113"/>
      <c r="BC15" s="113"/>
      <c r="BD15" s="113"/>
      <c r="BE15" s="113"/>
      <c r="BF15" s="109">
        <f t="shared" si="5"/>
        <v>0</v>
      </c>
    </row>
    <row r="16" ht="14.25" customHeight="1" spans="1:58" s="92" customFormat="1" x14ac:dyDescent="0.25">
      <c r="A16" s="102"/>
      <c r="B16" s="127"/>
      <c r="C16" s="127"/>
      <c r="D16" s="127"/>
      <c r="E16" s="127"/>
      <c r="F16" s="128" t="s">
        <v>2190</v>
      </c>
      <c r="G16" s="129">
        <f>_xlfn.AGGREGATE(9,6,G5:G15)</f>
        <v>0</v>
      </c>
      <c r="H16" s="129">
        <f>_xlfn.AGGREGATE(9,6,H5:H15)</f>
        <v>0</v>
      </c>
      <c r="I16" s="129">
        <f t="shared" ref="I16:AV16" si="6">_xlfn.AGGREGATE(9,6,I5:I15)</f>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2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29">
        <f t="shared" si="6"/>
        <v>0</v>
      </c>
      <c r="AH16" s="129">
        <f t="shared" si="6"/>
        <v>0</v>
      </c>
      <c r="AI16" s="129">
        <f t="shared" si="6"/>
        <v>0</v>
      </c>
      <c r="AJ16" s="129">
        <f t="shared" si="6"/>
        <v>0</v>
      </c>
      <c r="AK16" s="129">
        <f t="shared" si="6"/>
        <v>0</v>
      </c>
      <c r="AL16" s="129">
        <f t="shared" si="6"/>
        <v>0</v>
      </c>
      <c r="AM16" s="129">
        <f t="shared" si="6"/>
        <v>0</v>
      </c>
      <c r="AN16" s="129">
        <f t="shared" si="6"/>
        <v>0</v>
      </c>
      <c r="AO16" s="129">
        <f t="shared" si="6"/>
        <v>0</v>
      </c>
      <c r="AP16" s="129">
        <f t="shared" si="6"/>
        <v>0</v>
      </c>
      <c r="AQ16" s="129">
        <f t="shared" si="6"/>
        <v>0</v>
      </c>
      <c r="AR16" s="129">
        <f t="shared" si="6"/>
        <v>0</v>
      </c>
      <c r="AS16" s="129">
        <f t="shared" si="6"/>
        <v>0</v>
      </c>
      <c r="AT16" s="129">
        <f t="shared" si="6"/>
        <v>0</v>
      </c>
      <c r="AU16" s="129">
        <f t="shared" si="6"/>
        <v>0</v>
      </c>
      <c r="AV16" s="129">
        <f t="shared" si="6"/>
        <v>0</v>
      </c>
      <c r="AW16" s="129">
        <f t="shared" ref="AW16:BF16" si="7">SUM(AW5:AW15)</f>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9" customHeight="1" spans="1:58" s="92" customFormat="1" x14ac:dyDescent="0.25">
      <c r="A17" s="130"/>
      <c r="B17" s="131"/>
      <c r="C17" s="131"/>
      <c r="D17" s="131"/>
      <c r="E17" s="131"/>
      <c r="F17" s="132"/>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c r="AV17" s="133"/>
      <c r="AW17" s="133"/>
      <c r="AX17" s="133"/>
      <c r="AY17" s="133"/>
      <c r="AZ17" s="133"/>
      <c r="BA17" s="133"/>
      <c r="BB17" s="133"/>
      <c r="BC17" s="133"/>
      <c r="BD17" s="133"/>
      <c r="BE17" s="133"/>
      <c r="BF17" s="133"/>
    </row>
    <row r="18" spans="23:48" x14ac:dyDescent="0.25">
      <c r="W18" s="134"/>
      <c r="AV18" s="134"/>
    </row>
    <row r="19" spans="4:48" x14ac:dyDescent="0.25">
      <c r="D19" s="135" t="s">
        <v>2191</v>
      </c>
      <c r="AV19" s="136"/>
    </row>
    <row r="20" ht="28" customHeight="1" spans="6:48" x14ac:dyDescent="0.25">
      <c r="F20" s="137" t="s">
        <v>2192</v>
      </c>
      <c r="G20" s="138" t="e">
        <f t="array" ref="G20">SUM(SUMIFS(
INDEX( 'ETPT A-JUST'!$A:$ZZ,,MATCH("12. TOTAL INDISPONIBILITÉ",'ETPT A-JUST'!2:2,0)),
INDEX( 'ETPT A-JUST'!$A:$ZZ,,MATCH("Fonction recodée",'ETPT A-JUST'!2:2,0)),{"Fonctionnaire CTECH placé ADD";"Fonctionnaire CTECH placé SUB"},
INDEX( 'ETPT A-JUST'!$A:$ZZ,,MATCH("TJCPH",'ETPT A-JUST'!2:2,0)),"OUI"))</f>
        <v>#N/A</v>
      </c>
      <c r="H20" s="139"/>
      <c r="I20" s="139"/>
      <c r="J20" s="139"/>
      <c r="K20" s="139"/>
      <c r="L20" s="139"/>
      <c r="M20" s="139"/>
      <c r="N20" s="139"/>
      <c r="O20" s="139"/>
      <c r="P20" s="139"/>
      <c r="Q20" s="139"/>
      <c r="R20" s="139"/>
      <c r="S20" s="139"/>
      <c r="T20" s="139"/>
      <c r="U20" s="140" t="s">
        <v>2193</v>
      </c>
      <c r="V20" s="138" t="e">
        <f t="array" ref="V20">SUM(SUMIFS(
INDEX( 'ETPT A-JUST'!$A:$ZZ,,MATCH("12. TOTAL INDISPONIBILITÉ",'ETPT A-JUST'!2:2,0)),
INDEX( 'ETPT A-JUST'!$A:$ZZ,,MATCH("Fonction recodée",'ETPT A-JUST'!2:2,0)),{"Fonctionnaire A-B-CBUR placé ADD";"Fonctionnaire A-B-CBUR placé SUB"},
INDEX( 'ETPT A-JUST'!$A:$ZZ,,MATCH("TJCPH",'ETPT A-JUST'!2:2,0)),"OUI"))</f>
        <v>#N/A</v>
      </c>
      <c r="W20" s="141"/>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40" t="s">
        <v>2194</v>
      </c>
      <c r="AT20" s="140"/>
      <c r="AU20" s="138" t="e">
        <f t="array" ref="AU20">SUM(SUMIFS(
INDEX( 'ETPT A-JUST'!$A:$ZZ,,MATCH("12. TOTAL INDISPONIBILITÉ",'ETPT A-JUST'!2:2,0)),
INDEX( 'ETPT A-JUST'!$A:$ZZ,,MATCH("Fonction recodée",'ETPT A-JUST'!2:2,0)),{"Magistrat placé ADD";"Magistrat placé SUB"},
INDEX( 'ETPT A-JUST'!$A:$ZZ,,MATCH("TJCPH",'ETPT A-JUST'!2:2,0)),"OUI"))</f>
        <v>#N/A</v>
      </c>
      <c r="AV20" s="136"/>
    </row>
    <row r="21" spans="23:47" x14ac:dyDescent="0.25">
      <c r="W21" s="136"/>
      <c r="AU21" s="136"/>
    </row>
    <row r="22" spans="29:29" x14ac:dyDescent="0.25">
      <c r="AC22" s="136"/>
    </row>
    <row r="24" spans="22:22" x14ac:dyDescent="0.25">
      <c r="V24" s="136"/>
    </row>
  </sheetData>
  <mergeCells count="6">
    <mergeCell ref="B1:I1"/>
    <mergeCell ref="H2:H4"/>
    <mergeCell ref="W2:W4"/>
    <mergeCell ref="AG2:AG4"/>
    <mergeCell ref="AV2:AV4"/>
    <mergeCell ref="BF2:BF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2" t="s">
        <v>2195</v>
      </c>
      <c r="B1" s="142"/>
      <c r="C1" s="142"/>
      <c r="D1" s="142"/>
      <c r="E1" s="142"/>
      <c r="F1" s="142"/>
      <c r="G1" s="142"/>
      <c r="H1" s="142"/>
      <c r="I1" s="92"/>
      <c r="J1" s="92"/>
      <c r="K1" s="92"/>
      <c r="L1" s="92"/>
      <c r="M1" s="92"/>
      <c r="N1" s="92"/>
      <c r="O1" s="143"/>
      <c r="P1" s="143"/>
      <c r="Q1" s="92"/>
      <c r="R1" s="92"/>
      <c r="S1" s="92"/>
      <c r="T1" s="92"/>
      <c r="U1" s="92"/>
      <c r="V1" s="92"/>
      <c r="W1" s="92"/>
      <c r="X1" s="92"/>
      <c r="Y1" s="92"/>
      <c r="Z1" s="143"/>
      <c r="AA1" s="143"/>
      <c r="AB1" s="92"/>
      <c r="AC1" s="92"/>
      <c r="AD1" s="92"/>
      <c r="AE1" s="92"/>
      <c r="AF1" s="92"/>
      <c r="AG1" s="92"/>
    </row>
    <row r="2" spans="1:33" x14ac:dyDescent="0.25">
      <c r="A2" s="94"/>
      <c r="B2" s="94"/>
      <c r="C2" s="94"/>
      <c r="D2" s="94"/>
      <c r="E2" s="94"/>
      <c r="F2" s="94"/>
      <c r="G2" s="95" t="s">
        <v>2061</v>
      </c>
      <c r="H2" s="96" t="s">
        <v>2062</v>
      </c>
      <c r="I2" s="95" t="s">
        <v>2063</v>
      </c>
      <c r="J2" s="95" t="s">
        <v>2063</v>
      </c>
      <c r="K2" s="95" t="s">
        <v>2063</v>
      </c>
      <c r="L2" s="95" t="s">
        <v>2063</v>
      </c>
      <c r="M2" s="95" t="s">
        <v>2063</v>
      </c>
      <c r="N2" s="95" t="s">
        <v>2063</v>
      </c>
      <c r="O2" s="144" t="s">
        <v>2063</v>
      </c>
      <c r="P2" s="144" t="s">
        <v>2063</v>
      </c>
      <c r="Q2" s="95" t="s">
        <v>2063</v>
      </c>
      <c r="R2" s="95" t="s">
        <v>2063</v>
      </c>
      <c r="S2" s="96" t="s">
        <v>2064</v>
      </c>
      <c r="T2" s="95" t="s">
        <v>2065</v>
      </c>
      <c r="U2" s="95" t="s">
        <v>2065</v>
      </c>
      <c r="V2" s="95" t="s">
        <v>2065</v>
      </c>
      <c r="W2" s="95" t="s">
        <v>2065</v>
      </c>
      <c r="X2" s="95" t="s">
        <v>2065</v>
      </c>
      <c r="Y2" s="95" t="s">
        <v>2065</v>
      </c>
      <c r="Z2" s="144" t="s">
        <v>2065</v>
      </c>
      <c r="AA2" s="144" t="s">
        <v>2065</v>
      </c>
      <c r="AB2" s="95" t="s">
        <v>2065</v>
      </c>
      <c r="AC2" s="96" t="s">
        <v>2196</v>
      </c>
      <c r="AD2" s="95" t="s">
        <v>2197</v>
      </c>
      <c r="AE2" s="95" t="s">
        <v>2197</v>
      </c>
      <c r="AF2" s="95" t="s">
        <v>2197</v>
      </c>
      <c r="AG2" s="96" t="s">
        <v>2198</v>
      </c>
    </row>
    <row r="3" ht="36" customHeight="1" spans="1:33" x14ac:dyDescent="0.25">
      <c r="A3" s="94"/>
      <c r="B3" s="94"/>
      <c r="C3" s="94"/>
      <c r="D3" s="94"/>
      <c r="E3" s="94"/>
      <c r="F3" s="94"/>
      <c r="G3" s="95" t="s">
        <v>2071</v>
      </c>
      <c r="H3" s="96"/>
      <c r="I3" s="95" t="s">
        <v>2199</v>
      </c>
      <c r="J3" s="95" t="s">
        <v>2200</v>
      </c>
      <c r="K3" s="95" t="s">
        <v>2201</v>
      </c>
      <c r="L3" s="95" t="s">
        <v>2202</v>
      </c>
      <c r="M3" s="95" t="s">
        <v>2203</v>
      </c>
      <c r="N3" s="95" t="s">
        <v>2204</v>
      </c>
      <c r="O3" s="144" t="s">
        <v>2205</v>
      </c>
      <c r="P3" s="144" t="s">
        <v>2206</v>
      </c>
      <c r="Q3" s="95" t="s">
        <v>2207</v>
      </c>
      <c r="R3" s="95" t="s">
        <v>2084</v>
      </c>
      <c r="S3" s="96"/>
      <c r="T3" s="95" t="s">
        <v>2208</v>
      </c>
      <c r="U3" s="95" t="s">
        <v>2209</v>
      </c>
      <c r="V3" s="95" t="s">
        <v>2210</v>
      </c>
      <c r="W3" s="95" t="s">
        <v>2211</v>
      </c>
      <c r="X3" s="95" t="s">
        <v>2212</v>
      </c>
      <c r="Y3" s="95" t="s">
        <v>2213</v>
      </c>
      <c r="Z3" s="144" t="s">
        <v>2214</v>
      </c>
      <c r="AA3" s="144" t="s">
        <v>2215</v>
      </c>
      <c r="AB3" s="95" t="s">
        <v>2216</v>
      </c>
      <c r="AC3" s="96"/>
      <c r="AD3" s="95" t="s">
        <v>2217</v>
      </c>
      <c r="AE3" s="95" t="s">
        <v>2098</v>
      </c>
      <c r="AF3" s="95" t="s">
        <v>2104</v>
      </c>
      <c r="AG3" s="96"/>
    </row>
    <row r="4" ht="60" customHeight="1" spans="1:33" x14ac:dyDescent="0.25">
      <c r="A4" s="94"/>
      <c r="B4" s="101" t="s">
        <v>2114</v>
      </c>
      <c r="C4" s="101" t="s">
        <v>2115</v>
      </c>
      <c r="D4" s="101" t="s">
        <v>37</v>
      </c>
      <c r="E4" s="101" t="s">
        <v>2116</v>
      </c>
      <c r="F4" s="101" t="s">
        <v>2117</v>
      </c>
      <c r="G4" s="95" t="s">
        <v>2118</v>
      </c>
      <c r="H4" s="96"/>
      <c r="I4" s="95" t="s">
        <v>2218</v>
      </c>
      <c r="J4" s="95" t="s">
        <v>2219</v>
      </c>
      <c r="K4" s="95" t="s">
        <v>2220</v>
      </c>
      <c r="L4" s="95" t="s">
        <v>2221</v>
      </c>
      <c r="M4" s="95" t="s">
        <v>2222</v>
      </c>
      <c r="N4" s="95" t="s">
        <v>2223</v>
      </c>
      <c r="O4" s="144" t="s">
        <v>2224</v>
      </c>
      <c r="P4" s="144" t="s">
        <v>2225</v>
      </c>
      <c r="Q4" s="95" t="s">
        <v>2226</v>
      </c>
      <c r="R4" s="95" t="s">
        <v>2132</v>
      </c>
      <c r="S4" s="96"/>
      <c r="T4" s="95" t="s">
        <v>2227</v>
      </c>
      <c r="U4" s="95" t="s">
        <v>2228</v>
      </c>
      <c r="V4" s="95" t="s">
        <v>2229</v>
      </c>
      <c r="W4" s="95" t="s">
        <v>2230</v>
      </c>
      <c r="X4" s="95" t="s">
        <v>2231</v>
      </c>
      <c r="Y4" s="95" t="s">
        <v>2232</v>
      </c>
      <c r="Z4" s="144" t="s">
        <v>2233</v>
      </c>
      <c r="AA4" s="144" t="s">
        <v>2234</v>
      </c>
      <c r="AB4" s="95" t="s">
        <v>2235</v>
      </c>
      <c r="AC4" s="96"/>
      <c r="AD4" s="95" t="s">
        <v>2236</v>
      </c>
      <c r="AE4" s="95" t="s">
        <v>2147</v>
      </c>
      <c r="AF4" s="95" t="s">
        <v>2154</v>
      </c>
      <c r="AG4" s="96"/>
    </row>
    <row r="5" spans="1:33" x14ac:dyDescent="0.25">
      <c r="A5" s="145" t="s">
        <v>2237</v>
      </c>
      <c r="B5" s="115"/>
      <c r="C5" s="115"/>
      <c r="D5" s="104">
        <f>ETPT_TPRX_DDG!$D$5</f>
        <v>0</v>
      </c>
      <c r="E5" s="115" t="s">
        <v>2165</v>
      </c>
      <c r="F5" s="115" t="s">
        <v>2166</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6">
        <f>_xlfn.AGGREGATE(9,6,G5)</f>
        <v>0</v>
      </c>
      <c r="I5" s="147"/>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8"/>
      <c r="N5" s="148"/>
      <c r="O5" s="125"/>
      <c r="P5" s="125"/>
      <c r="Q5" s="149"/>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6">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50"/>
      <c r="Y5" s="150"/>
      <c r="Z5" s="125"/>
      <c r="AA5" s="125"/>
      <c r="AB5" s="150"/>
      <c r="AC5" s="146">
        <f>_xlfn.AGGREGATE(9,6,T5:AB5)</f>
        <v>0</v>
      </c>
      <c r="AD5" s="150"/>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6">
        <f>_xlfn.AGGREGATE(9,6,AD5:AF5)</f>
        <v>0</v>
      </c>
    </row>
    <row r="6" spans="1:33" x14ac:dyDescent="0.25">
      <c r="A6" s="151" t="s">
        <v>2237</v>
      </c>
      <c r="B6" s="152"/>
      <c r="C6" s="152"/>
      <c r="D6" s="152">
        <f t="shared" ref="D6:D15" si="0">$D$5</f>
        <v>0</v>
      </c>
      <c r="E6" s="152" t="s">
        <v>2167</v>
      </c>
      <c r="F6" s="152" t="s">
        <v>2168</v>
      </c>
      <c r="G6" s="153"/>
      <c r="H6" s="146">
        <f t="shared" ref="H6:H15" si="1">_xlfn.AGGREGATE(9,6,G6)</f>
        <v>0</v>
      </c>
      <c r="I6" s="154"/>
      <c r="J6" s="125"/>
      <c r="K6" s="125"/>
      <c r="L6" s="125"/>
      <c r="M6" s="125"/>
      <c r="N6" s="153"/>
      <c r="O6" s="150"/>
      <c r="P6" s="150"/>
      <c r="Q6" s="150"/>
      <c r="R6" s="148"/>
      <c r="S6" s="146">
        <f t="shared" ref="S6:S14" si="2">_xlfn.AGGREGATE(9,6,I6:R6)</f>
        <v>0</v>
      </c>
      <c r="T6" s="125"/>
      <c r="U6" s="125"/>
      <c r="V6" s="125"/>
      <c r="W6" s="125"/>
      <c r="X6" s="125"/>
      <c r="Y6" s="125"/>
      <c r="Z6" s="150"/>
      <c r="AA6" s="150"/>
      <c r="AB6" s="150"/>
      <c r="AC6" s="146">
        <f t="shared" ref="AC6:AC15" si="3">_xlfn.AGGREGATE(9,6,T6:AB6)</f>
        <v>0</v>
      </c>
      <c r="AD6" s="150"/>
      <c r="AE6" s="125"/>
      <c r="AF6" s="125"/>
      <c r="AG6" s="146">
        <f t="shared" ref="AG6:AG14" si="4">_xlfn.AGGREGATE(9,6,AD6:AF6)</f>
        <v>0</v>
      </c>
    </row>
    <row r="7" spans="1:33" x14ac:dyDescent="0.25">
      <c r="A7" s="145" t="s">
        <v>2237</v>
      </c>
      <c r="B7" s="115"/>
      <c r="C7" s="115"/>
      <c r="D7" s="115">
        <f t="shared" si="0"/>
        <v>0</v>
      </c>
      <c r="E7" s="115" t="s">
        <v>2170</v>
      </c>
      <c r="F7" s="115" t="s">
        <v>2171</v>
      </c>
      <c r="G7" s="153"/>
      <c r="H7" s="146">
        <f t="shared" si="1"/>
        <v>0</v>
      </c>
      <c r="I7" s="147"/>
      <c r="J7" s="122"/>
      <c r="K7" s="122"/>
      <c r="L7" s="122"/>
      <c r="M7" s="122"/>
      <c r="N7" s="124"/>
      <c r="O7" s="125"/>
      <c r="P7" s="125"/>
      <c r="Q7" s="122"/>
      <c r="R7" s="122"/>
      <c r="S7" s="146">
        <f t="shared" si="2"/>
        <v>0</v>
      </c>
      <c r="T7" s="122"/>
      <c r="U7" s="122"/>
      <c r="V7" s="122"/>
      <c r="W7" s="122"/>
      <c r="X7" s="125"/>
      <c r="Y7" s="125"/>
      <c r="Z7" s="125"/>
      <c r="AA7" s="125"/>
      <c r="AB7" s="125"/>
      <c r="AC7" s="146">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6">
        <f t="shared" si="4"/>
        <v>0</v>
      </c>
    </row>
    <row r="8" spans="1:33" x14ac:dyDescent="0.25">
      <c r="A8" s="145" t="s">
        <v>2237</v>
      </c>
      <c r="B8" s="115"/>
      <c r="C8" s="115"/>
      <c r="D8" s="115">
        <f t="shared" si="0"/>
        <v>0</v>
      </c>
      <c r="E8" s="115" t="s">
        <v>2174</v>
      </c>
      <c r="F8" s="115" t="s">
        <v>2175</v>
      </c>
      <c r="G8" s="119" t="e">
        <f>SUM(SUMIFS(
INDEX( 'ETPT Format DDG'!$A:$ZZ,,MATCH("11.51. ACCUEIL DU JUSTICIABLE (DONT SAUJ)",'ETPT Format DDG'!2:2,0)),
INDEX( 'ETPT Format DDG'!$A:$ZZ,,MATCH("Fonction recodée",'ETPT Format DDG'!2:2,0)),"Fonctionnaire CTECH",
INDEX( 'ETPT Format DDG'!$A:$ZZ,,MATCH("Juridiction",'ETPT Format DDG'!2:2,0)),$D$5))</f>
        <v>#N/A</v>
      </c>
      <c r="H8" s="146">
        <f t="shared" si="1"/>
        <v>0</v>
      </c>
      <c r="I8" s="147"/>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6">
        <f t="shared" si="2"/>
        <v>0</v>
      </c>
      <c r="T8" s="122"/>
      <c r="U8" s="122"/>
      <c r="V8" s="122"/>
      <c r="W8" s="122"/>
      <c r="X8" s="125"/>
      <c r="Y8" s="125"/>
      <c r="Z8" s="125"/>
      <c r="AA8" s="125"/>
      <c r="AB8" s="125"/>
      <c r="AC8" s="146">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6">
        <f t="shared" si="4"/>
        <v>0</v>
      </c>
    </row>
    <row r="9" spans="1:33" x14ac:dyDescent="0.25">
      <c r="A9" s="145" t="s">
        <v>2237</v>
      </c>
      <c r="B9" s="115"/>
      <c r="C9" s="115"/>
      <c r="D9" s="115">
        <f t="shared" si="0"/>
        <v>0</v>
      </c>
      <c r="E9" s="115" t="s">
        <v>2176</v>
      </c>
      <c r="F9" s="115" t="s">
        <v>2177</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6">
        <f t="shared" si="1"/>
        <v>0</v>
      </c>
      <c r="I9" s="147"/>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6">
        <f t="shared" si="2"/>
        <v>0</v>
      </c>
      <c r="T9" s="122"/>
      <c r="U9" s="122"/>
      <c r="V9" s="122"/>
      <c r="W9" s="122"/>
      <c r="X9" s="125"/>
      <c r="Y9" s="125"/>
      <c r="Z9" s="125"/>
      <c r="AA9" s="125"/>
      <c r="AB9" s="125"/>
      <c r="AC9" s="146">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6">
        <f t="shared" si="4"/>
        <v>0</v>
      </c>
    </row>
    <row r="10" spans="1:33" x14ac:dyDescent="0.25">
      <c r="A10" s="145" t="s">
        <v>2237</v>
      </c>
      <c r="B10" s="115"/>
      <c r="C10" s="115"/>
      <c r="D10" s="115">
        <f t="shared" si="0"/>
        <v>0</v>
      </c>
      <c r="E10" s="115" t="s">
        <v>2178</v>
      </c>
      <c r="F10" s="115" t="s">
        <v>2179</v>
      </c>
      <c r="G10" s="119" t="e">
        <f>SUM(SUMIFS(
INDEX( 'ETPT Format DDG'!$A:$ZZ,,MATCH("11.3. FORMATIONS DISPENSÉES",'ETPT Format DDG'!2:2,0)),
INDEX( 'ETPT Format DDG'!$A:$ZZ,,MATCH("Fonction recodée",'ETPT Format DDG'!2:2,0)),"Fonctionnaire CTECH",
INDEX( 'ETPT Format DDG'!$A:$ZZ,,MATCH("Juridiction",'ETPT Format DDG'!2:2,0)),$D$5))</f>
        <v>#N/A</v>
      </c>
      <c r="H10" s="146">
        <f t="shared" si="1"/>
        <v>0</v>
      </c>
      <c r="I10" s="147"/>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6">
        <f t="shared" si="2"/>
        <v>0</v>
      </c>
      <c r="T10" s="122"/>
      <c r="U10" s="122"/>
      <c r="V10" s="122"/>
      <c r="W10" s="122"/>
      <c r="X10" s="125"/>
      <c r="Y10" s="125"/>
      <c r="Z10" s="125"/>
      <c r="AA10" s="125"/>
      <c r="AB10" s="125"/>
      <c r="AC10" s="146">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6">
        <f t="shared" si="4"/>
        <v>0</v>
      </c>
    </row>
    <row r="11" spans="1:33" x14ac:dyDescent="0.25">
      <c r="A11" s="145" t="s">
        <v>2237</v>
      </c>
      <c r="B11" s="115"/>
      <c r="C11" s="115"/>
      <c r="D11" s="115">
        <f t="shared" si="0"/>
        <v>0</v>
      </c>
      <c r="E11" s="115" t="s">
        <v>2180</v>
      </c>
      <c r="F11" s="115" t="s">
        <v>2181</v>
      </c>
      <c r="G11" s="119" t="e">
        <f>SUM(SUMIFS(
INDEX( 'ETPT Format DDG'!$A:$ZZ,,MATCH("11.4. ACCÈS AU DROIT ET À LA JUSTICE",'ETPT Format DDG'!2:2,0)),
INDEX( 'ETPT Format DDG'!$A:$ZZ,,MATCH("Fonction recodée",'ETPT Format DDG'!2:2,0)),"Fonctionnaire CTECH",
INDEX( 'ETPT Format DDG'!$A:$ZZ,,MATCH("Juridiction",'ETPT Format DDG'!2:2,0)),$D$5))</f>
        <v>#N/A</v>
      </c>
      <c r="H11" s="146">
        <f t="shared" si="1"/>
        <v>0</v>
      </c>
      <c r="I11" s="147"/>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6">
        <f t="shared" si="2"/>
        <v>0</v>
      </c>
      <c r="T11" s="122"/>
      <c r="U11" s="122"/>
      <c r="V11" s="122"/>
      <c r="W11" s="122"/>
      <c r="X11" s="125"/>
      <c r="Y11" s="125"/>
      <c r="Z11" s="125"/>
      <c r="AA11" s="125"/>
      <c r="AB11" s="125"/>
      <c r="AC11" s="146">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6">
        <f t="shared" si="4"/>
        <v>0</v>
      </c>
    </row>
    <row r="12" spans="1:33" x14ac:dyDescent="0.25">
      <c r="A12" s="145" t="s">
        <v>2237</v>
      </c>
      <c r="B12" s="115"/>
      <c r="C12" s="115"/>
      <c r="D12" s="115">
        <f t="shared" si="0"/>
        <v>0</v>
      </c>
      <c r="E12" s="115" t="s">
        <v>2182</v>
      </c>
      <c r="F12" s="115" t="s">
        <v>2183</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6">
        <f t="shared" si="1"/>
        <v>0</v>
      </c>
      <c r="I12" s="147"/>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6">
        <f t="shared" si="2"/>
        <v>0</v>
      </c>
      <c r="T12" s="122"/>
      <c r="U12" s="122"/>
      <c r="V12" s="122"/>
      <c r="W12" s="122"/>
      <c r="X12" s="125"/>
      <c r="Y12" s="125"/>
      <c r="Z12" s="125"/>
      <c r="AA12" s="125"/>
      <c r="AB12" s="125"/>
      <c r="AC12" s="146">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6">
        <f t="shared" si="4"/>
        <v>0</v>
      </c>
    </row>
    <row r="13" spans="1:33" x14ac:dyDescent="0.25">
      <c r="A13" s="145" t="s">
        <v>2237</v>
      </c>
      <c r="B13" s="115"/>
      <c r="C13" s="115"/>
      <c r="D13" s="115">
        <f t="shared" si="0"/>
        <v>0</v>
      </c>
      <c r="E13" s="115" t="s">
        <v>2184</v>
      </c>
      <c r="F13" s="115" t="s">
        <v>2185</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6">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6">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6">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6">
        <f t="shared" si="4"/>
        <v>0</v>
      </c>
    </row>
    <row r="14" spans="1:33" x14ac:dyDescent="0.25">
      <c r="A14" s="145" t="s">
        <v>2237</v>
      </c>
      <c r="B14" s="115"/>
      <c r="C14" s="115"/>
      <c r="D14" s="115">
        <f t="shared" si="0"/>
        <v>0</v>
      </c>
      <c r="E14" s="115" t="s">
        <v>2186</v>
      </c>
      <c r="F14" s="115" t="s">
        <v>2187</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6">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6">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6">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6">
        <f t="shared" si="4"/>
        <v>0</v>
      </c>
    </row>
    <row r="15" spans="1:33" x14ac:dyDescent="0.25">
      <c r="A15" s="145" t="s">
        <v>2237</v>
      </c>
      <c r="B15" s="115"/>
      <c r="C15" s="115"/>
      <c r="D15" s="115">
        <f t="shared" si="0"/>
        <v>0</v>
      </c>
      <c r="E15" s="115" t="s">
        <v>2188</v>
      </c>
      <c r="F15" s="115" t="s">
        <v>2189</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6">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6">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6">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6">
        <f>_xlfn.AGGREGATE(9,6,AD15:AF15)</f>
        <v>0</v>
      </c>
    </row>
    <row r="16" spans="1:33" x14ac:dyDescent="0.25">
      <c r="A16" s="145"/>
      <c r="B16" s="155"/>
      <c r="C16" s="155"/>
      <c r="D16" s="155"/>
      <c r="E16" s="155"/>
      <c r="F16" s="156" t="s">
        <v>2190</v>
      </c>
      <c r="G16" s="146">
        <f>_xlfn.AGGREGATE(9,6,G5:G15)</f>
        <v>0</v>
      </c>
      <c r="H16" s="146">
        <f t="shared" ref="H16:AG16" si="5">_xlfn.AGGREGATE(9,6,H5:H15)</f>
        <v>0</v>
      </c>
      <c r="I16" s="146">
        <f t="shared" si="5"/>
        <v>0</v>
      </c>
      <c r="J16" s="146">
        <f t="shared" si="5"/>
        <v>0</v>
      </c>
      <c r="K16" s="146">
        <f t="shared" si="5"/>
        <v>0</v>
      </c>
      <c r="L16" s="146">
        <f t="shared" si="5"/>
        <v>0</v>
      </c>
      <c r="M16" s="146">
        <f t="shared" si="5"/>
        <v>0</v>
      </c>
      <c r="N16" s="146">
        <f t="shared" si="5"/>
        <v>0</v>
      </c>
      <c r="O16" s="146">
        <f t="shared" si="5"/>
        <v>0</v>
      </c>
      <c r="P16" s="146">
        <f t="shared" si="5"/>
        <v>0</v>
      </c>
      <c r="Q16" s="146">
        <f t="shared" si="5"/>
        <v>0</v>
      </c>
      <c r="R16" s="146">
        <f t="shared" si="5"/>
        <v>0</v>
      </c>
      <c r="S16" s="146">
        <f t="shared" si="5"/>
        <v>0</v>
      </c>
      <c r="T16" s="146">
        <f t="shared" si="5"/>
        <v>0</v>
      </c>
      <c r="U16" s="146">
        <f t="shared" si="5"/>
        <v>0</v>
      </c>
      <c r="V16" s="146">
        <f t="shared" si="5"/>
        <v>0</v>
      </c>
      <c r="W16" s="146">
        <f t="shared" si="5"/>
        <v>0</v>
      </c>
      <c r="X16" s="146">
        <f t="shared" si="5"/>
        <v>0</v>
      </c>
      <c r="Y16" s="146">
        <f t="shared" si="5"/>
        <v>0</v>
      </c>
      <c r="Z16" s="146">
        <f t="shared" si="5"/>
        <v>0</v>
      </c>
      <c r="AA16" s="146">
        <f t="shared" si="5"/>
        <v>0</v>
      </c>
      <c r="AB16" s="146">
        <f t="shared" si="5"/>
        <v>0</v>
      </c>
      <c r="AC16" s="146">
        <f>_xlfn.AGGREGATE(9,6,AC5:AC15)</f>
        <v>0</v>
      </c>
      <c r="AD16" s="146">
        <f>_xlfn.AGGREGATE(9,6,AD5:AD15)</f>
        <v>0</v>
      </c>
      <c r="AE16" s="146">
        <f t="shared" si="5"/>
        <v>0</v>
      </c>
      <c r="AF16" s="146">
        <f t="shared" si="5"/>
        <v>0</v>
      </c>
      <c r="AG16" s="146">
        <f t="shared" si="5"/>
        <v>0</v>
      </c>
    </row>
    <row r="17" spans="19:19" x14ac:dyDescent="0.25">
      <c r="S17" s="134"/>
    </row>
    <row r="18" ht="24" customHeight="1" spans="6:32" s="157" customFormat="1" x14ac:dyDescent="0.25">
      <c r="F18" s="158" t="s">
        <v>2192</v>
      </c>
      <c r="G18" s="138" t="e">
        <f t="array" ref="G18">SUM(SUMIFS(
INDEX( 'ETPT A-JUST'!$A:$ZZ,,MATCH("12. TOTAL INDISPONIBILITÉ",'ETPT A-JUST'!2:2,0)),
INDEX( 'ETPT A-JUST'!$A:$ZZ,,MATCH("Fonction recodée",'ETPT A-JUST'!2:2,0)),{"Fonctionnaire CTECH placé ADD";"Fonctionnaire CTECH placé SUB"},
INDEX( 'ETPT A-JUST'!$A:$ZZ,,MATCH("Juridiction",'ETPT A-JUST'!2:2,0)),$D$5))</f>
        <v>#N/A</v>
      </c>
      <c r="Q18" s="140" t="s">
        <v>2193</v>
      </c>
      <c r="R18" s="138" t="e">
        <f t="array" ref="R18">SUM(SUMIFS(
INDEX( 'ETPT A-JUST'!$A:$ZZ,,MATCH("12. TOTAL INDISPONIBILITÉ",'ETPT A-JUST'!2:2,0)),
INDEX( 'ETPT A-JUST'!$A:$ZZ,,MATCH("Fonction recodée",'ETPT A-JUST'!2:2,0)),{"Fonctionnaire A-B-CBUR placé ADD";"Fonctionnaire A-B-CBUR placé SUB"},
INDEX( 'ETPT A-JUST'!$A:$ZZ,,MATCH("Juridiction",'ETPT A-JUST'!2:2,0)),$D$5))</f>
        <v>#N/A</v>
      </c>
      <c r="S18" s="159"/>
      <c r="AD18" s="140"/>
      <c r="AE18" s="140" t="s">
        <v>2194</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5" t="s">
        <v>2191</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60"/>
      <c r="D1" s="160" t="s">
        <v>2238</v>
      </c>
      <c r="E1" s="160"/>
      <c r="F1" s="160"/>
      <c r="G1" s="92"/>
      <c r="H1" s="92"/>
      <c r="I1" s="92"/>
      <c r="J1" s="92"/>
    </row>
    <row r="2" spans="1:10" x14ac:dyDescent="0.25">
      <c r="A2" s="161"/>
      <c r="B2" s="162"/>
      <c r="C2" s="162"/>
      <c r="D2" s="162"/>
      <c r="E2" s="162"/>
      <c r="F2" s="162"/>
      <c r="G2" s="95" t="s">
        <v>2063</v>
      </c>
      <c r="H2" s="96" t="s">
        <v>2064</v>
      </c>
      <c r="I2" s="95" t="s">
        <v>2239</v>
      </c>
      <c r="J2" s="96" t="s">
        <v>2240</v>
      </c>
    </row>
    <row r="3" ht="36" customHeight="1" spans="1:10" x14ac:dyDescent="0.25">
      <c r="A3" s="161"/>
      <c r="B3" s="162"/>
      <c r="C3" s="162"/>
      <c r="D3" s="162"/>
      <c r="E3" s="162"/>
      <c r="F3" s="162"/>
      <c r="G3" s="95" t="s">
        <v>2084</v>
      </c>
      <c r="H3" s="96"/>
      <c r="I3" s="95" t="s">
        <v>2241</v>
      </c>
      <c r="J3" s="96"/>
    </row>
    <row r="4" ht="36" customHeight="1" spans="1:10" s="163" customFormat="1" x14ac:dyDescent="0.25">
      <c r="A4" s="164"/>
      <c r="B4" s="165" t="s">
        <v>2114</v>
      </c>
      <c r="C4" s="165" t="s">
        <v>2115</v>
      </c>
      <c r="D4" s="165" t="s">
        <v>37</v>
      </c>
      <c r="E4" s="165" t="s">
        <v>2116</v>
      </c>
      <c r="F4" s="165" t="s">
        <v>2117</v>
      </c>
      <c r="G4" s="95" t="s">
        <v>2132</v>
      </c>
      <c r="H4" s="96"/>
      <c r="I4" s="95" t="s">
        <v>2242</v>
      </c>
      <c r="J4" s="96"/>
    </row>
    <row r="5" ht="11" customHeight="1" spans="1:10" s="163" customFormat="1" x14ac:dyDescent="0.25">
      <c r="A5" s="166" t="s">
        <v>2243</v>
      </c>
      <c r="B5" s="167"/>
      <c r="C5" s="167"/>
      <c r="D5" s="168">
        <f>ETPT_CPH_DDG!$D$5</f>
        <v>0</v>
      </c>
      <c r="E5" s="167" t="s">
        <v>2165</v>
      </c>
      <c r="F5" s="167" t="s">
        <v>2166</v>
      </c>
      <c r="G5" s="169" t="e">
        <f>SUM(SUMIFS(
INDEX( 'ETPT Format DDG'!$A:$ZZ,,MATCH("11.7. FONCTIONNAIRES AFFECTÉS AU CPH",'ETPT Format DDG'!2:2,0)),
INDEX( 'ETPT Format DDG'!$A:$ZZ,,MATCH("Fonction recodée",'ETPT Format DDG'!2:2,0)),"Fonctionnaire A-B-CBUR",
INDEX( 'ETPT Format DDG'!$A:$ZZ,,MATCH("Juridiction",'ETPT Format DDG'!2:2,0)),$D$5))</f>
        <v>#N/A</v>
      </c>
      <c r="H5" s="170">
        <f>_xlfn.AGGREGATE(9,6,G5)</f>
        <v>0</v>
      </c>
      <c r="I5" s="171"/>
      <c r="J5" s="170">
        <f>_xlfn.AGGREGATE(9,6,I5)</f>
        <v>0</v>
      </c>
    </row>
    <row r="6" ht="11" customHeight="1" spans="1:10" s="163" customFormat="1" x14ac:dyDescent="0.25">
      <c r="A6" s="166" t="s">
        <v>2243</v>
      </c>
      <c r="B6" s="167"/>
      <c r="C6" s="167"/>
      <c r="D6" s="115">
        <f t="shared" ref="D6:D13" si="0">$D$5</f>
        <v>0</v>
      </c>
      <c r="E6" s="167" t="s">
        <v>2174</v>
      </c>
      <c r="F6" s="167" t="s">
        <v>2175</v>
      </c>
      <c r="G6" s="172"/>
      <c r="H6" s="170">
        <f t="shared" ref="H6:H13" si="1">_xlfn.AGGREGATE(9,6,G6)</f>
        <v>0</v>
      </c>
      <c r="I6" s="171"/>
      <c r="J6" s="170">
        <f t="shared" ref="J6:J13" si="2">_xlfn.AGGREGATE(9,6,I6)</f>
        <v>0</v>
      </c>
    </row>
    <row r="7" ht="11" customHeight="1" spans="1:10" s="163" customFormat="1" x14ac:dyDescent="0.25">
      <c r="A7" s="166" t="s">
        <v>2243</v>
      </c>
      <c r="B7" s="167"/>
      <c r="C7" s="167"/>
      <c r="D7" s="115">
        <f t="shared" si="0"/>
        <v>0</v>
      </c>
      <c r="E7" s="167" t="s">
        <v>2176</v>
      </c>
      <c r="F7" s="167" t="s">
        <v>2177</v>
      </c>
      <c r="G7" s="172"/>
      <c r="H7" s="170">
        <f t="shared" si="1"/>
        <v>0</v>
      </c>
      <c r="I7" s="173"/>
      <c r="J7" s="170">
        <f t="shared" si="2"/>
        <v>0</v>
      </c>
    </row>
    <row r="8" ht="11" customHeight="1" spans="1:10" s="163" customFormat="1" x14ac:dyDescent="0.25">
      <c r="A8" s="166" t="s">
        <v>2243</v>
      </c>
      <c r="B8" s="167"/>
      <c r="C8" s="167"/>
      <c r="D8" s="115">
        <f t="shared" si="0"/>
        <v>0</v>
      </c>
      <c r="E8" s="167" t="s">
        <v>2178</v>
      </c>
      <c r="F8" s="167" t="s">
        <v>2179</v>
      </c>
      <c r="G8" s="172"/>
      <c r="H8" s="170">
        <f t="shared" si="1"/>
        <v>0</v>
      </c>
      <c r="I8" s="171"/>
      <c r="J8" s="170">
        <f t="shared" si="2"/>
        <v>0</v>
      </c>
    </row>
    <row r="9" ht="11" customHeight="1" spans="1:10" s="163" customFormat="1" x14ac:dyDescent="0.25">
      <c r="A9" s="166" t="s">
        <v>2243</v>
      </c>
      <c r="B9" s="167"/>
      <c r="C9" s="167"/>
      <c r="D9" s="115">
        <f t="shared" si="0"/>
        <v>0</v>
      </c>
      <c r="E9" s="167" t="s">
        <v>2180</v>
      </c>
      <c r="F9" s="167" t="s">
        <v>2181</v>
      </c>
      <c r="G9" s="172"/>
      <c r="H9" s="170">
        <f t="shared" si="1"/>
        <v>0</v>
      </c>
      <c r="I9" s="173"/>
      <c r="J9" s="170">
        <f t="shared" si="2"/>
        <v>0</v>
      </c>
    </row>
    <row r="10" ht="11" customHeight="1" spans="1:10" s="163" customFormat="1" x14ac:dyDescent="0.25">
      <c r="A10" s="166" t="s">
        <v>2243</v>
      </c>
      <c r="B10" s="167"/>
      <c r="C10" s="167"/>
      <c r="D10" s="115">
        <f t="shared" si="0"/>
        <v>0</v>
      </c>
      <c r="E10" s="167" t="s">
        <v>2182</v>
      </c>
      <c r="F10" s="167" t="s">
        <v>2183</v>
      </c>
      <c r="G10" s="172"/>
      <c r="H10" s="170">
        <f t="shared" si="1"/>
        <v>0</v>
      </c>
      <c r="I10" s="171"/>
      <c r="J10" s="170">
        <f t="shared" si="2"/>
        <v>0</v>
      </c>
    </row>
    <row r="11" ht="11" customHeight="1" spans="1:10" s="163" customFormat="1" x14ac:dyDescent="0.25">
      <c r="A11" s="166" t="s">
        <v>2243</v>
      </c>
      <c r="B11" s="167"/>
      <c r="C11" s="167"/>
      <c r="D11" s="115">
        <f t="shared" si="0"/>
        <v>0</v>
      </c>
      <c r="E11" s="167" t="s">
        <v>2184</v>
      </c>
      <c r="F11" s="167" t="s">
        <v>2185</v>
      </c>
      <c r="G11" s="172"/>
      <c r="H11" s="170">
        <f t="shared" si="1"/>
        <v>0</v>
      </c>
      <c r="I11" s="173"/>
      <c r="J11" s="170">
        <f t="shared" si="2"/>
        <v>0</v>
      </c>
    </row>
    <row r="12" ht="11" customHeight="1" spans="1:10" s="163" customFormat="1" x14ac:dyDescent="0.25">
      <c r="A12" s="166" t="s">
        <v>2243</v>
      </c>
      <c r="B12" s="167"/>
      <c r="C12" s="167"/>
      <c r="D12" s="115">
        <f t="shared" si="0"/>
        <v>0</v>
      </c>
      <c r="E12" s="167" t="s">
        <v>2186</v>
      </c>
      <c r="F12" s="167" t="s">
        <v>2187</v>
      </c>
      <c r="G12" s="169" t="e">
        <f>SUM(SUMIFS(
INDEX( 'ETPT A-JUST'!$A:$ZZ,,MATCH("11.7. FONCTIONNAIRES AFFECTÉS AU CPH",'ETPT A-JUST'!2:2,0)),
INDEX( 'ETPT A-JUST'!$A:$ZZ,,MATCH("Fonction recodée",'ETPT A-JUST'!2:2,0)),"Fonctionnaire A-B-CBUR placé ADD",
INDEX( 'ETPT A-JUST'!$A:$ZZ,,MATCH("Juridiction",'ETPT A-JUST'!2:2,0)),$D$5))</f>
        <v>#N/A</v>
      </c>
      <c r="H12" s="170">
        <f t="shared" si="1"/>
        <v>0</v>
      </c>
      <c r="I12" s="154"/>
      <c r="J12" s="170">
        <f t="shared" si="2"/>
        <v>0</v>
      </c>
    </row>
    <row r="13" ht="11" customHeight="1" spans="1:10" s="163" customFormat="1" x14ac:dyDescent="0.25">
      <c r="A13" s="166" t="s">
        <v>2243</v>
      </c>
      <c r="B13" s="167"/>
      <c r="C13" s="167"/>
      <c r="D13" s="115">
        <f t="shared" si="0"/>
        <v>0</v>
      </c>
      <c r="E13" s="167" t="s">
        <v>2188</v>
      </c>
      <c r="F13" s="167" t="s">
        <v>2189</v>
      </c>
      <c r="G13" s="169" t="e">
        <f>SUM(SUMIFS(
INDEX( 'ETPT A-JUST'!$A:$ZZ,,MATCH("11.7. FONCTIONNAIRES AFFECTÉS AU CPH",'ETPT A-JUST'!2:2,0)),
INDEX( 'ETPT A-JUST'!$A:$ZZ,,MATCH("Fonction recodée",'ETPT A-JUST'!2:2,0)),"Fonctionnaire A-B-CBUR placé SUB",
INDEX( 'ETPT A-JUST'!$A:$ZZ,,MATCH("Juridiction",'ETPT A-JUST'!2:2,0)),$D$5))</f>
        <v>#N/A</v>
      </c>
      <c r="H13" s="170">
        <f t="shared" si="1"/>
        <v>0</v>
      </c>
      <c r="I13" s="154"/>
      <c r="J13" s="170">
        <f t="shared" si="2"/>
        <v>0</v>
      </c>
    </row>
    <row r="14" ht="11" customHeight="1" spans="1:10" s="163" customFormat="1" x14ac:dyDescent="0.25">
      <c r="A14" s="174"/>
      <c r="B14" s="115"/>
      <c r="C14" s="115"/>
      <c r="D14" s="115"/>
      <c r="E14" s="155"/>
      <c r="F14" s="175" t="s">
        <v>2190</v>
      </c>
      <c r="G14" s="170">
        <f>_xlfn.AGGREGATE(9,6,G5:G13)</f>
        <v>0</v>
      </c>
      <c r="H14" s="170">
        <f t="shared" ref="H14:I14" si="3">_xlfn.AGGREGATE(9,6,H5:H13)</f>
        <v>0</v>
      </c>
      <c r="I14" s="170">
        <f t="shared" si="3"/>
        <v>0</v>
      </c>
      <c r="J14" s="170">
        <f>_xlfn.AGGREGATE(9,6,J5:J13)</f>
        <v>0</v>
      </c>
    </row>
    <row r="17" spans="4:4" x14ac:dyDescent="0.25">
      <c r="D17" s="135"/>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F22"/>
  <sheetViews>
    <sheetView workbookViewId="0" showGridLines="0" zoomScale="100" zoomScaleNormal="100">
      <selection activeCell="Q14" sqref="Q14"/>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3" width="9.33203125" style="91" customWidth="1"/>
    <col min="54" max="54" width="10.6640625" style="91" customWidth="1"/>
    <col min="55" max="58" width="9.33203125" style="91" customWidth="1"/>
    <col min="59" max="59" width="4" style="91" customWidth="1"/>
    <col min="60" max="16384" width="11" style="91" customWidth="1"/>
  </cols>
  <sheetData>
    <row r="1" ht="80" customHeight="1" spans="1:58" s="40" customFormat="1" x14ac:dyDescent="0.25">
      <c r="A1" s="41" t="s">
        <v>2244</v>
      </c>
      <c r="B1" s="42"/>
      <c r="C1" s="42"/>
      <c r="D1" s="41" t="s">
        <v>2269</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row>
    <row r="2" ht="12.75" customHeight="1" hidden="1" spans="1:58" s="92" customFormat="1" x14ac:dyDescent="0.25">
      <c r="A2" s="94"/>
      <c r="B2" s="94"/>
      <c r="C2" s="94"/>
      <c r="D2" s="192"/>
      <c r="E2" s="192"/>
      <c r="F2" s="192"/>
      <c r="G2" s="95" t="s">
        <v>2061</v>
      </c>
      <c r="H2" s="96" t="s">
        <v>2062</v>
      </c>
      <c r="I2" s="97" t="s">
        <v>2063</v>
      </c>
      <c r="J2" s="97" t="s">
        <v>2063</v>
      </c>
      <c r="K2" s="97" t="s">
        <v>2063</v>
      </c>
      <c r="L2" s="97" t="s">
        <v>2063</v>
      </c>
      <c r="M2" s="97" t="s">
        <v>2063</v>
      </c>
      <c r="N2" s="97" t="s">
        <v>2063</v>
      </c>
      <c r="O2" s="97" t="s">
        <v>2063</v>
      </c>
      <c r="P2" s="97" t="s">
        <v>2063</v>
      </c>
      <c r="Q2" s="97" t="s">
        <v>2063</v>
      </c>
      <c r="R2" s="97" t="s">
        <v>2063</v>
      </c>
      <c r="S2" s="97" t="s">
        <v>2063</v>
      </c>
      <c r="T2" s="97" t="s">
        <v>2063</v>
      </c>
      <c r="U2" s="97" t="s">
        <v>2063</v>
      </c>
      <c r="V2" s="97" t="s">
        <v>2063</v>
      </c>
      <c r="W2" s="96" t="s">
        <v>2064</v>
      </c>
      <c r="X2" s="98" t="s">
        <v>2065</v>
      </c>
      <c r="Y2" s="98" t="s">
        <v>2065</v>
      </c>
      <c r="Z2" s="98" t="s">
        <v>2065</v>
      </c>
      <c r="AA2" s="98" t="s">
        <v>2065</v>
      </c>
      <c r="AB2" s="98" t="s">
        <v>2065</v>
      </c>
      <c r="AC2" s="98" t="s">
        <v>2065</v>
      </c>
      <c r="AD2" s="98" t="s">
        <v>2065</v>
      </c>
      <c r="AE2" s="98" t="s">
        <v>2065</v>
      </c>
      <c r="AF2" s="98" t="s">
        <v>2065</v>
      </c>
      <c r="AG2" s="96" t="s">
        <v>2066</v>
      </c>
      <c r="AH2" s="98" t="s">
        <v>2067</v>
      </c>
      <c r="AI2" s="98" t="s">
        <v>2067</v>
      </c>
      <c r="AJ2" s="98" t="s">
        <v>2067</v>
      </c>
      <c r="AK2" s="98" t="s">
        <v>2067</v>
      </c>
      <c r="AL2" s="98" t="s">
        <v>2067</v>
      </c>
      <c r="AM2" s="98" t="s">
        <v>2067</v>
      </c>
      <c r="AN2" s="98" t="s">
        <v>2067</v>
      </c>
      <c r="AO2" s="98" t="s">
        <v>2067</v>
      </c>
      <c r="AP2" s="98" t="s">
        <v>2067</v>
      </c>
      <c r="AQ2" s="98" t="s">
        <v>2067</v>
      </c>
      <c r="AR2" s="98" t="s">
        <v>2067</v>
      </c>
      <c r="AS2" s="98" t="s">
        <v>2067</v>
      </c>
      <c r="AT2" s="98"/>
      <c r="AU2" s="98" t="s">
        <v>2067</v>
      </c>
      <c r="AV2" s="96" t="s">
        <v>2068</v>
      </c>
      <c r="AW2" s="99" t="s">
        <v>2069</v>
      </c>
      <c r="AX2" s="99" t="s">
        <v>2069</v>
      </c>
      <c r="AY2" s="99" t="s">
        <v>2069</v>
      </c>
      <c r="AZ2" s="99" t="s">
        <v>2069</v>
      </c>
      <c r="BA2" s="99" t="s">
        <v>2069</v>
      </c>
      <c r="BB2" s="99" t="s">
        <v>2069</v>
      </c>
      <c r="BC2" s="99" t="s">
        <v>2069</v>
      </c>
      <c r="BD2" s="99" t="s">
        <v>2069</v>
      </c>
      <c r="BE2" s="99" t="s">
        <v>2069</v>
      </c>
      <c r="BF2" s="96" t="s">
        <v>2070</v>
      </c>
    </row>
    <row r="3" ht="26" customHeight="1" hidden="1" spans="1:58" s="92" customFormat="1" x14ac:dyDescent="0.25">
      <c r="A3" s="94"/>
      <c r="B3" s="94"/>
      <c r="C3" s="94"/>
      <c r="D3" s="94"/>
      <c r="E3" s="94"/>
      <c r="F3" s="94"/>
      <c r="G3" s="95" t="s">
        <v>2071</v>
      </c>
      <c r="H3" s="96"/>
      <c r="I3" s="97" t="s">
        <v>2072</v>
      </c>
      <c r="J3" s="97" t="s">
        <v>2073</v>
      </c>
      <c r="K3" s="97" t="s">
        <v>2074</v>
      </c>
      <c r="L3" s="97" t="s">
        <v>2075</v>
      </c>
      <c r="M3" s="97" t="s">
        <v>2076</v>
      </c>
      <c r="N3" s="97" t="s">
        <v>2077</v>
      </c>
      <c r="O3" s="97" t="s">
        <v>2078</v>
      </c>
      <c r="P3" s="97" t="s">
        <v>2079</v>
      </c>
      <c r="Q3" s="97" t="s">
        <v>2080</v>
      </c>
      <c r="R3" s="97"/>
      <c r="S3" s="97" t="s">
        <v>2081</v>
      </c>
      <c r="T3" s="97" t="s">
        <v>2082</v>
      </c>
      <c r="U3" s="97" t="s">
        <v>2083</v>
      </c>
      <c r="V3" s="97" t="s">
        <v>2084</v>
      </c>
      <c r="W3" s="96"/>
      <c r="X3" s="98" t="s">
        <v>2085</v>
      </c>
      <c r="Y3" s="98" t="s">
        <v>2086</v>
      </c>
      <c r="Z3" s="98" t="s">
        <v>2087</v>
      </c>
      <c r="AA3" s="98" t="s">
        <v>2088</v>
      </c>
      <c r="AB3" s="98" t="s">
        <v>2089</v>
      </c>
      <c r="AC3" s="98" t="s">
        <v>2090</v>
      </c>
      <c r="AD3" s="98" t="s">
        <v>192</v>
      </c>
      <c r="AE3" s="98" t="s">
        <v>256</v>
      </c>
      <c r="AF3" s="98" t="s">
        <v>2091</v>
      </c>
      <c r="AG3" s="96"/>
      <c r="AH3" s="98" t="s">
        <v>2092</v>
      </c>
      <c r="AI3" s="98" t="s">
        <v>2093</v>
      </c>
      <c r="AJ3" s="98" t="s">
        <v>2094</v>
      </c>
      <c r="AK3" s="98" t="s">
        <v>2095</v>
      </c>
      <c r="AL3" s="98" t="s">
        <v>2096</v>
      </c>
      <c r="AM3" s="98" t="s">
        <v>2097</v>
      </c>
      <c r="AN3" s="98" t="s">
        <v>2098</v>
      </c>
      <c r="AO3" s="98" t="s">
        <v>2099</v>
      </c>
      <c r="AP3" s="98" t="s">
        <v>2100</v>
      </c>
      <c r="AQ3" s="98" t="s">
        <v>2101</v>
      </c>
      <c r="AR3" s="98" t="s">
        <v>2102</v>
      </c>
      <c r="AS3" s="98" t="s">
        <v>2103</v>
      </c>
      <c r="AT3" s="98"/>
      <c r="AU3" s="98" t="s">
        <v>2104</v>
      </c>
      <c r="AV3" s="96"/>
      <c r="AW3" s="99" t="s">
        <v>2105</v>
      </c>
      <c r="AX3" s="99" t="s">
        <v>2106</v>
      </c>
      <c r="AY3" s="99" t="s">
        <v>2107</v>
      </c>
      <c r="AZ3" s="99" t="s">
        <v>2108</v>
      </c>
      <c r="BA3" s="99" t="s">
        <v>2109</v>
      </c>
      <c r="BB3" s="99" t="s">
        <v>2110</v>
      </c>
      <c r="BC3" s="99" t="s">
        <v>2111</v>
      </c>
      <c r="BD3" s="99" t="s">
        <v>2112</v>
      </c>
      <c r="BE3" s="99" t="s">
        <v>2113</v>
      </c>
      <c r="BF3" s="96"/>
    </row>
    <row r="4" ht="72" customHeight="1" spans="1:58" s="92" customFormat="1" x14ac:dyDescent="0.25">
      <c r="A4" s="100"/>
      <c r="B4" s="101" t="s">
        <v>2114</v>
      </c>
      <c r="C4" s="101" t="s">
        <v>2115</v>
      </c>
      <c r="D4" s="101" t="s">
        <v>37</v>
      </c>
      <c r="E4" s="101" t="s">
        <v>2116</v>
      </c>
      <c r="F4" s="101" t="s">
        <v>2117</v>
      </c>
      <c r="G4" s="95" t="s">
        <v>2118</v>
      </c>
      <c r="H4" s="96"/>
      <c r="I4" s="97" t="s">
        <v>2119</v>
      </c>
      <c r="J4" s="97" t="s">
        <v>2120</v>
      </c>
      <c r="K4" s="97" t="s">
        <v>2270</v>
      </c>
      <c r="L4" s="97" t="s">
        <v>2122</v>
      </c>
      <c r="M4" s="97" t="s">
        <v>2123</v>
      </c>
      <c r="N4" s="97" t="s">
        <v>2124</v>
      </c>
      <c r="O4" s="97" t="s">
        <v>2125</v>
      </c>
      <c r="P4" s="97" t="s">
        <v>2126</v>
      </c>
      <c r="Q4" s="97" t="s">
        <v>2127</v>
      </c>
      <c r="R4" s="97" t="s">
        <v>2128</v>
      </c>
      <c r="S4" s="97" t="s">
        <v>2129</v>
      </c>
      <c r="T4" s="97" t="s">
        <v>2130</v>
      </c>
      <c r="U4" s="97" t="s">
        <v>2131</v>
      </c>
      <c r="V4" s="97" t="s">
        <v>2132</v>
      </c>
      <c r="W4" s="96"/>
      <c r="X4" s="98" t="s">
        <v>2133</v>
      </c>
      <c r="Y4" s="98" t="s">
        <v>2134</v>
      </c>
      <c r="Z4" s="98" t="s">
        <v>2135</v>
      </c>
      <c r="AA4" s="98" t="s">
        <v>2136</v>
      </c>
      <c r="AB4" s="98" t="s">
        <v>2137</v>
      </c>
      <c r="AC4" s="98" t="s">
        <v>2138</v>
      </c>
      <c r="AD4" s="98" t="s">
        <v>192</v>
      </c>
      <c r="AE4" s="98" t="s">
        <v>2139</v>
      </c>
      <c r="AF4" s="98" t="s">
        <v>2140</v>
      </c>
      <c r="AG4" s="96"/>
      <c r="AH4" s="98" t="s">
        <v>2271</v>
      </c>
      <c r="AI4" s="98" t="s">
        <v>2142</v>
      </c>
      <c r="AJ4" s="98" t="s">
        <v>2143</v>
      </c>
      <c r="AK4" s="98" t="s">
        <v>2144</v>
      </c>
      <c r="AL4" s="98" t="s">
        <v>2145</v>
      </c>
      <c r="AM4" s="98" t="s">
        <v>2146</v>
      </c>
      <c r="AN4" s="98" t="s">
        <v>2147</v>
      </c>
      <c r="AO4" s="98" t="s">
        <v>2148</v>
      </c>
      <c r="AP4" s="98" t="s">
        <v>2149</v>
      </c>
      <c r="AQ4" s="98" t="s">
        <v>2150</v>
      </c>
      <c r="AR4" s="98" t="s">
        <v>2151</v>
      </c>
      <c r="AS4" s="98" t="s">
        <v>2152</v>
      </c>
      <c r="AT4" s="98" t="s">
        <v>2153</v>
      </c>
      <c r="AU4" s="98" t="s">
        <v>2154</v>
      </c>
      <c r="AV4" s="96"/>
      <c r="AW4" s="99" t="s">
        <v>2155</v>
      </c>
      <c r="AX4" s="99" t="s">
        <v>2156</v>
      </c>
      <c r="AY4" s="99" t="s">
        <v>2272</v>
      </c>
      <c r="AZ4" s="99" t="s">
        <v>2273</v>
      </c>
      <c r="BA4" s="99" t="s">
        <v>2274</v>
      </c>
      <c r="BB4" s="99" t="s">
        <v>2275</v>
      </c>
      <c r="BC4" s="99" t="s">
        <v>2161</v>
      </c>
      <c r="BD4" s="99" t="s">
        <v>2162</v>
      </c>
      <c r="BE4" s="99" t="s">
        <v>2163</v>
      </c>
      <c r="BF4" s="96"/>
    </row>
    <row r="5" ht="15" customHeight="1" spans="1:58" s="92" customFormat="1" x14ac:dyDescent="0.25">
      <c r="A5" s="102" t="s">
        <v>2164</v>
      </c>
      <c r="B5" s="103"/>
      <c r="C5" s="103"/>
      <c r="D5" s="193" t="s">
        <v>151</v>
      </c>
      <c r="E5" s="103" t="s">
        <v>2165</v>
      </c>
      <c r="F5" s="103" t="s">
        <v>2166</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94">
        <f>IF(ISBLANK(ETPT_TJ_DDG!$D$5),"",IF(ISERROR(ETPT_TJ!AU5),"",IF(ETPT_TJ!AU5=0,"",ETPT_TJ!AU5)))</f>
      </c>
      <c r="AV5" s="109">
        <f t="shared" ref="AV5:AV15" si="3">SUM(AH5:AU5)</f>
        <v>0</v>
      </c>
      <c r="AW5" s="113"/>
      <c r="AX5" s="113"/>
      <c r="AY5" s="114"/>
      <c r="AZ5" s="114"/>
      <c r="BA5" s="114"/>
      <c r="BB5" s="114"/>
      <c r="BC5" s="114"/>
      <c r="BD5" s="114"/>
      <c r="BE5" s="113"/>
      <c r="BF5" s="109">
        <f t="shared" ref="BF5:BF15" si="4">SUM(AW5:BE5)</f>
        <v>0</v>
      </c>
    </row>
    <row r="6" ht="12" customHeight="1" spans="1:58" s="92" customFormat="1" x14ac:dyDescent="0.25">
      <c r="A6" s="102" t="s">
        <v>2164</v>
      </c>
      <c r="B6" s="103"/>
      <c r="C6" s="103"/>
      <c r="D6" s="195">
        <f t="shared" ref="D6:D15" si="5">IF(ISBLANK($D$5),"",$D$5)</f>
      </c>
      <c r="E6" s="103" t="s">
        <v>2167</v>
      </c>
      <c r="F6" s="103" t="s">
        <v>2168</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94">
        <f>IF(ISBLANK(ETPT_TJ_DDG!$D$5),"",IF(ISERROR(ETPT_TJ!AU6),"",IF(ETPT_TJ!AU6=0,"",ETPT_TJ!AU6)))</f>
      </c>
      <c r="AV6" s="109">
        <f t="shared" si="3"/>
        <v>0</v>
      </c>
      <c r="AW6" s="113"/>
      <c r="AX6" s="113"/>
      <c r="AY6" s="113"/>
      <c r="AZ6" s="113"/>
      <c r="BA6" s="113"/>
      <c r="BB6" s="113"/>
      <c r="BC6" s="113"/>
      <c r="BD6" s="114"/>
      <c r="BE6" s="113"/>
      <c r="BF6" s="109">
        <f t="shared" si="4"/>
        <v>0</v>
      </c>
    </row>
    <row r="7" ht="14.25" customHeight="1" spans="1:58" s="92" customFormat="1" x14ac:dyDescent="0.25">
      <c r="A7" s="102" t="s">
        <v>2164</v>
      </c>
      <c r="B7" s="103"/>
      <c r="C7" s="103"/>
      <c r="D7" s="195">
        <f t="shared" si="5"/>
      </c>
      <c r="E7" s="103" t="s">
        <v>2170</v>
      </c>
      <c r="F7" s="103" t="s">
        <v>2171</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94">
        <f>IF(ISBLANK(ETPT_TJ_DDG!$D$5),"",IF(ISERROR(ETPT_TJ!AU7),"",IF(ETPT_TJ!AU7=0,"",ETPT_TJ!AU7)))</f>
      </c>
      <c r="AV7" s="109">
        <f t="shared" si="3"/>
        <v>0</v>
      </c>
      <c r="AW7" s="113"/>
      <c r="AX7" s="113"/>
      <c r="AY7" s="113"/>
      <c r="AZ7" s="113"/>
      <c r="BA7" s="113"/>
      <c r="BB7" s="113"/>
      <c r="BC7" s="113"/>
      <c r="BD7" s="113"/>
      <c r="BE7" s="113"/>
      <c r="BF7" s="109">
        <f t="shared" si="4"/>
        <v>0</v>
      </c>
    </row>
    <row r="8" ht="14.25" customHeight="1" spans="1:58" s="92" customFormat="1" x14ac:dyDescent="0.25">
      <c r="A8" s="102" t="s">
        <v>2164</v>
      </c>
      <c r="B8" s="103"/>
      <c r="C8" s="103"/>
      <c r="D8" s="195">
        <f t="shared" si="5"/>
      </c>
      <c r="E8" s="103" t="s">
        <v>2174</v>
      </c>
      <c r="F8" s="103" t="s">
        <v>2175</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94">
        <f>IF(ISBLANK(ETPT_TJ_DDG!$D$5),"",IF(ISERROR(ETPT_TJ!AU8),"",IF(ETPT_TJ!AU8=0,"",ETPT_TJ!AU8)))</f>
      </c>
      <c r="AV8" s="109">
        <f t="shared" si="3"/>
        <v>0</v>
      </c>
      <c r="AW8" s="113"/>
      <c r="AX8" s="113"/>
      <c r="AY8" s="113"/>
      <c r="AZ8" s="113"/>
      <c r="BA8" s="113"/>
      <c r="BB8" s="113"/>
      <c r="BC8" s="113"/>
      <c r="BD8" s="113"/>
      <c r="BE8" s="113"/>
      <c r="BF8" s="109">
        <f t="shared" si="4"/>
        <v>0</v>
      </c>
    </row>
    <row r="9" ht="14.25" customHeight="1" spans="1:58" s="92" customFormat="1" x14ac:dyDescent="0.25">
      <c r="A9" s="102" t="s">
        <v>2164</v>
      </c>
      <c r="B9" s="103"/>
      <c r="C9" s="103"/>
      <c r="D9" s="195">
        <f t="shared" si="5"/>
      </c>
      <c r="E9" s="103" t="s">
        <v>2176</v>
      </c>
      <c r="F9" s="103" t="s">
        <v>2177</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94">
        <f>IF(ISBLANK(ETPT_TJ_DDG!$D$5),"",IF(ISERROR(ETPT_TJ!AU9),"",IF(ETPT_TJ!AU9=0,"",ETPT_TJ!AU9)))</f>
      </c>
      <c r="AV9" s="109">
        <f t="shared" si="3"/>
        <v>0</v>
      </c>
      <c r="AW9" s="113"/>
      <c r="AX9" s="113"/>
      <c r="AY9" s="113"/>
      <c r="AZ9" s="113"/>
      <c r="BA9" s="113"/>
      <c r="BB9" s="113"/>
      <c r="BC9" s="113"/>
      <c r="BD9" s="113"/>
      <c r="BE9" s="113"/>
      <c r="BF9" s="109">
        <f t="shared" si="4"/>
        <v>0</v>
      </c>
    </row>
    <row r="10" ht="14.25" customHeight="1" spans="1:58" s="92" customFormat="1" x14ac:dyDescent="0.25">
      <c r="A10" s="102" t="s">
        <v>2164</v>
      </c>
      <c r="B10" s="103"/>
      <c r="C10" s="103"/>
      <c r="D10" s="195">
        <f t="shared" si="5"/>
      </c>
      <c r="E10" s="103" t="s">
        <v>2178</v>
      </c>
      <c r="F10" s="103" t="s">
        <v>2179</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94">
        <f>IF(ISBLANK(ETPT_TJ_DDG!$D$5),"",IF(ISERROR(ETPT_TJ!AU10),"",IF(ETPT_TJ!AU10=0,"",ETPT_TJ!AU10)))</f>
      </c>
      <c r="AV10" s="109">
        <f t="shared" si="3"/>
        <v>0</v>
      </c>
      <c r="AW10" s="113"/>
      <c r="AX10" s="113"/>
      <c r="AY10" s="113"/>
      <c r="AZ10" s="113"/>
      <c r="BA10" s="113"/>
      <c r="BB10" s="113"/>
      <c r="BC10" s="113"/>
      <c r="BD10" s="113"/>
      <c r="BE10" s="113"/>
      <c r="BF10" s="109">
        <f t="shared" si="4"/>
        <v>0</v>
      </c>
    </row>
    <row r="11" ht="14.25" customHeight="1" spans="1:58" s="92" customFormat="1" x14ac:dyDescent="0.25">
      <c r="A11" s="102" t="s">
        <v>2164</v>
      </c>
      <c r="B11" s="103"/>
      <c r="C11" s="103"/>
      <c r="D11" s="195">
        <f t="shared" si="5"/>
      </c>
      <c r="E11" s="103" t="s">
        <v>2180</v>
      </c>
      <c r="F11" s="103" t="s">
        <v>2181</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94">
        <f>IF(ISBLANK(ETPT_TJ_DDG!$D$5),"",IF(ISERROR(ETPT_TJ!AU11),"",IF(ETPT_TJ!AU11=0,"",ETPT_TJ!AU11)))</f>
      </c>
      <c r="AV11" s="109">
        <f t="shared" si="3"/>
        <v>0</v>
      </c>
      <c r="AW11" s="113"/>
      <c r="AX11" s="113"/>
      <c r="AY11" s="113"/>
      <c r="AZ11" s="113"/>
      <c r="BA11" s="113"/>
      <c r="BB11" s="113"/>
      <c r="BC11" s="113"/>
      <c r="BD11" s="113"/>
      <c r="BE11" s="113"/>
      <c r="BF11" s="109">
        <f t="shared" si="4"/>
        <v>0</v>
      </c>
    </row>
    <row r="12" ht="14.25" customHeight="1" spans="1:58" s="92" customFormat="1" x14ac:dyDescent="0.25">
      <c r="A12" s="102" t="s">
        <v>2164</v>
      </c>
      <c r="B12" s="103"/>
      <c r="C12" s="103"/>
      <c r="D12" s="195">
        <f t="shared" si="5"/>
      </c>
      <c r="E12" s="103" t="s">
        <v>2182</v>
      </c>
      <c r="F12" s="103" t="s">
        <v>2183</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94">
        <f>IF(ISBLANK(ETPT_TJ_DDG!$D$5),"",IF(ISERROR(ETPT_TJ!AU12),"",IF(ETPT_TJ!AU12=0,"",ETPT_TJ!AU12)))</f>
      </c>
      <c r="AV12" s="109">
        <f t="shared" si="3"/>
        <v>0</v>
      </c>
      <c r="AW12" s="113"/>
      <c r="AX12" s="113"/>
      <c r="AY12" s="113"/>
      <c r="AZ12" s="113"/>
      <c r="BA12" s="113"/>
      <c r="BB12" s="113"/>
      <c r="BC12" s="113"/>
      <c r="BD12" s="113"/>
      <c r="BE12" s="113"/>
      <c r="BF12" s="109">
        <f t="shared" si="4"/>
        <v>0</v>
      </c>
    </row>
    <row r="13" ht="14.25" customHeight="1" spans="1:58" s="92" customFormat="1" x14ac:dyDescent="0.25">
      <c r="A13" s="102" t="s">
        <v>2164</v>
      </c>
      <c r="B13" s="103"/>
      <c r="C13" s="103"/>
      <c r="D13" s="195">
        <f t="shared" si="5"/>
      </c>
      <c r="E13" s="103" t="s">
        <v>2184</v>
      </c>
      <c r="F13" s="103" t="s">
        <v>2185</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94">
        <f>IF(ISBLANK(ETPT_TJ_DDG!$D$5),"",IF(ISERROR(ETPT_TJ!AU13),"",IF(ETPT_TJ!AU13=0,"",ETPT_TJ!AU13)))</f>
      </c>
      <c r="AV13" s="109">
        <f t="shared" si="3"/>
        <v>0</v>
      </c>
      <c r="AW13" s="113"/>
      <c r="AX13" s="113"/>
      <c r="AY13" s="113"/>
      <c r="AZ13" s="113"/>
      <c r="BA13" s="113"/>
      <c r="BB13" s="113"/>
      <c r="BC13" s="113"/>
      <c r="BD13" s="113"/>
      <c r="BE13" s="113"/>
      <c r="BF13" s="109">
        <f t="shared" si="4"/>
        <v>0</v>
      </c>
    </row>
    <row r="14" ht="14.25" customHeight="1" spans="1:58" s="92" customFormat="1" x14ac:dyDescent="0.25">
      <c r="A14" s="102" t="s">
        <v>2164</v>
      </c>
      <c r="B14" s="103"/>
      <c r="C14" s="103"/>
      <c r="D14" s="195">
        <f t="shared" si="5"/>
      </c>
      <c r="E14" s="103" t="s">
        <v>2186</v>
      </c>
      <c r="F14" s="103" t="s">
        <v>2187</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94">
        <f>IF(ISBLANK(ETPT_TJ_DDG!$D$5),"",IF(ISERROR(ETPT_TJ!AU14),"",IF(ETPT_TJ!AU14=0,"",ETPT_TJ!AU14)))</f>
      </c>
      <c r="AV14" s="109">
        <f t="shared" si="3"/>
        <v>0</v>
      </c>
      <c r="AW14" s="113"/>
      <c r="AX14" s="113"/>
      <c r="AY14" s="113"/>
      <c r="AZ14" s="113"/>
      <c r="BA14" s="113"/>
      <c r="BB14" s="113"/>
      <c r="BC14" s="113"/>
      <c r="BD14" s="113"/>
      <c r="BE14" s="113"/>
      <c r="BF14" s="109">
        <f t="shared" si="4"/>
        <v>0</v>
      </c>
    </row>
    <row r="15" ht="14.25" customHeight="1" spans="1:58" s="92" customFormat="1" x14ac:dyDescent="0.25">
      <c r="A15" s="102" t="s">
        <v>2164</v>
      </c>
      <c r="B15" s="103"/>
      <c r="C15" s="103"/>
      <c r="D15" s="195">
        <f t="shared" si="5"/>
      </c>
      <c r="E15" s="103" t="s">
        <v>2188</v>
      </c>
      <c r="F15" s="103" t="s">
        <v>2189</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94">
        <f>IF(ISBLANK(ETPT_TJ_DDG!$D$5),"",IF(ISERROR(ETPT_TJ!AU15),"",IF(ETPT_TJ!AU15=0,"",ETPT_TJ!AU15)))</f>
      </c>
      <c r="AV15" s="109">
        <f t="shared" si="3"/>
        <v>0</v>
      </c>
      <c r="AW15" s="113"/>
      <c r="AX15" s="113"/>
      <c r="AY15" s="113"/>
      <c r="AZ15" s="113"/>
      <c r="BA15" s="113"/>
      <c r="BB15" s="113"/>
      <c r="BC15" s="113"/>
      <c r="BD15" s="113"/>
      <c r="BE15" s="113"/>
      <c r="BF15" s="109">
        <f t="shared" si="4"/>
        <v>0</v>
      </c>
    </row>
    <row r="16" ht="14.25" customHeight="1" spans="1:58" s="92" customFormat="1" x14ac:dyDescent="0.25">
      <c r="A16" s="102"/>
      <c r="B16" s="127"/>
      <c r="C16" s="127"/>
      <c r="D16" s="127"/>
      <c r="E16" s="127"/>
      <c r="F16" s="128" t="s">
        <v>2190</v>
      </c>
      <c r="G16" s="129">
        <f t="shared" ref="G16:AG16" si="6">SUM(G5:G15)</f>
        <v>0</v>
      </c>
      <c r="H16" s="109">
        <f t="shared" si="6"/>
        <v>0</v>
      </c>
      <c r="I16" s="129">
        <f t="shared" si="6"/>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0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09">
        <f t="shared" si="6"/>
        <v>0</v>
      </c>
      <c r="AH16" s="129">
        <f t="shared" ref="AH16:BF16" si="7">SUM(AH5:AH15)</f>
        <v>0</v>
      </c>
      <c r="AI16" s="129">
        <f t="shared" si="7"/>
        <v>0</v>
      </c>
      <c r="AJ16" s="129">
        <f t="shared" si="7"/>
        <v>0</v>
      </c>
      <c r="AK16" s="129">
        <f t="shared" si="7"/>
        <v>0</v>
      </c>
      <c r="AL16" s="129">
        <f t="shared" si="7"/>
        <v>0</v>
      </c>
      <c r="AM16" s="129">
        <f t="shared" si="7"/>
        <v>0</v>
      </c>
      <c r="AN16" s="129">
        <f t="shared" si="7"/>
        <v>0</v>
      </c>
      <c r="AO16" s="129">
        <f t="shared" si="7"/>
        <v>0</v>
      </c>
      <c r="AP16" s="129">
        <f t="shared" si="7"/>
        <v>0</v>
      </c>
      <c r="AQ16" s="129">
        <f t="shared" si="7"/>
        <v>0</v>
      </c>
      <c r="AR16" s="129">
        <f t="shared" si="7"/>
        <v>0</v>
      </c>
      <c r="AS16" s="129">
        <f t="shared" si="7"/>
        <v>0</v>
      </c>
      <c r="AT16" s="129">
        <f t="shared" si="7"/>
        <v>0</v>
      </c>
      <c r="AU16" s="129">
        <f t="shared" si="7"/>
        <v>0</v>
      </c>
      <c r="AV16" s="109">
        <f t="shared" si="7"/>
        <v>0</v>
      </c>
      <c r="AW16" s="129">
        <f t="shared" si="7"/>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15" customHeight="1" spans="4:58"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2"/>
      <c r="AV17" s="196"/>
      <c r="AW17" s="192"/>
      <c r="AX17" s="192"/>
      <c r="AY17" s="192"/>
      <c r="AZ17" s="192"/>
      <c r="BA17" s="192"/>
      <c r="BB17" s="192"/>
      <c r="BC17" s="192"/>
      <c r="BD17" s="192"/>
      <c r="BE17" s="192"/>
      <c r="BF17" s="192"/>
    </row>
    <row r="18" hidden="1" spans="4:58"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7">
        <f>AV16+AG16-AV14-AG14-AV13-AV12-AG13-AG12</f>
        <v>0</v>
      </c>
      <c r="AW18" s="192"/>
      <c r="AX18" s="192"/>
      <c r="AY18" s="192"/>
      <c r="AZ18" s="192"/>
      <c r="BA18" s="192"/>
      <c r="BB18" s="192"/>
      <c r="BC18" s="192"/>
      <c r="BD18" s="192"/>
      <c r="BE18" s="192"/>
      <c r="BF18" s="192"/>
    </row>
    <row r="19" spans="4:58"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c r="BF19" s="192"/>
    </row>
    <row r="20" ht="24" customHeight="1" spans="4:58" x14ac:dyDescent="0.25">
      <c r="D20" s="192"/>
      <c r="E20" s="192"/>
      <c r="F20" s="198" t="s">
        <v>2192</v>
      </c>
      <c r="G20" s="199">
        <f>IF(ISBLANK(ETPT_TJ_DDG!$D$5),"",IF(ISERROR(ETPT_TJ!G20),"",IF(ETPT_TJ!G20=0,"",ETPT_TJ!G20)))</f>
      </c>
      <c r="H20" s="192"/>
      <c r="I20" s="192"/>
      <c r="J20" s="192"/>
      <c r="K20" s="192"/>
      <c r="L20" s="192"/>
      <c r="M20" s="192"/>
      <c r="N20" s="192"/>
      <c r="O20" s="192"/>
      <c r="P20" s="192"/>
      <c r="Q20" s="192"/>
      <c r="R20" s="192"/>
      <c r="S20" s="192"/>
      <c r="T20" s="192"/>
      <c r="U20" s="200" t="s">
        <v>2193</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2194</v>
      </c>
      <c r="AT20" s="200"/>
      <c r="AU20" s="199">
        <f>IF(ISBLANK(ETPT_TJ_DDG!$D$5),"",IF(ISERROR(ETPT_TJ!AU20),"",IF(ETPT_TJ!AU20=0,"",ETPT_TJ!AU20)))</f>
      </c>
      <c r="AV20" s="192"/>
      <c r="AW20" s="192"/>
      <c r="AX20" s="192"/>
      <c r="AY20" s="192"/>
      <c r="AZ20" s="192"/>
      <c r="BA20" s="192"/>
      <c r="BB20" s="192"/>
      <c r="BC20" s="192"/>
      <c r="BD20" s="192"/>
      <c r="BE20" s="192"/>
      <c r="BF20" s="192"/>
    </row>
    <row r="21" ht="17" customHeight="1" spans="5:5" x14ac:dyDescent="0.25">
      <c r="E21" s="135"/>
    </row>
    <row r="22" ht="69" customHeight="1" spans="5:24" x14ac:dyDescent="0.25">
      <c r="E22" s="202" t="s">
        <v>2276</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V2:AV4"/>
    <mergeCell ref="BF2:BF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K5" sqref="K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2244</v>
      </c>
      <c r="B1" s="42"/>
      <c r="C1" s="42"/>
      <c r="D1" s="41" t="s">
        <v>2277</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8" t="s">
        <v>2118</v>
      </c>
      <c r="H2" s="205" t="s">
        <v>2062</v>
      </c>
      <c r="I2" s="178" t="s">
        <v>2218</v>
      </c>
      <c r="J2" s="178" t="s">
        <v>2219</v>
      </c>
      <c r="K2" s="178" t="s">
        <v>2220</v>
      </c>
      <c r="L2" s="178" t="s">
        <v>2221</v>
      </c>
      <c r="M2" s="178" t="s">
        <v>2222</v>
      </c>
      <c r="N2" s="178" t="s">
        <v>2223</v>
      </c>
      <c r="O2" s="178" t="s">
        <v>2224</v>
      </c>
      <c r="P2" s="178" t="s">
        <v>2225</v>
      </c>
      <c r="Q2" s="178" t="s">
        <v>2226</v>
      </c>
      <c r="R2" s="178" t="s">
        <v>2278</v>
      </c>
      <c r="S2" s="205" t="s">
        <v>2064</v>
      </c>
      <c r="T2" s="178" t="s">
        <v>2227</v>
      </c>
      <c r="U2" s="178" t="s">
        <v>2228</v>
      </c>
      <c r="V2" s="178" t="s">
        <v>2279</v>
      </c>
      <c r="W2" s="178" t="s">
        <v>2230</v>
      </c>
      <c r="X2" s="178" t="s">
        <v>2231</v>
      </c>
      <c r="Y2" s="178" t="s">
        <v>2232</v>
      </c>
      <c r="Z2" s="178" t="s">
        <v>2233</v>
      </c>
      <c r="AA2" s="178" t="s">
        <v>2234</v>
      </c>
      <c r="AB2" s="178" t="s">
        <v>2235</v>
      </c>
      <c r="AC2" s="205" t="s">
        <v>2196</v>
      </c>
      <c r="AD2" s="178" t="s">
        <v>2280</v>
      </c>
      <c r="AE2" s="178" t="s">
        <v>2147</v>
      </c>
      <c r="AF2" s="178" t="s">
        <v>2154</v>
      </c>
      <c r="AG2" s="205" t="s">
        <v>2198</v>
      </c>
    </row>
    <row r="3" ht="36" customHeight="1" hidden="1" spans="1:33" x14ac:dyDescent="0.25">
      <c r="A3" s="94"/>
      <c r="B3" s="94"/>
      <c r="C3" s="94"/>
      <c r="D3" s="192"/>
      <c r="E3" s="192"/>
      <c r="F3" s="192"/>
      <c r="G3" s="178" t="s">
        <v>2118</v>
      </c>
      <c r="H3" s="205" t="s">
        <v>2062</v>
      </c>
      <c r="I3" s="178" t="s">
        <v>2218</v>
      </c>
      <c r="J3" s="178" t="s">
        <v>2219</v>
      </c>
      <c r="K3" s="178" t="s">
        <v>2220</v>
      </c>
      <c r="L3" s="178" t="s">
        <v>2221</v>
      </c>
      <c r="M3" s="178" t="s">
        <v>2222</v>
      </c>
      <c r="N3" s="178" t="s">
        <v>2223</v>
      </c>
      <c r="O3" s="178" t="s">
        <v>2224</v>
      </c>
      <c r="P3" s="178" t="s">
        <v>2225</v>
      </c>
      <c r="Q3" s="178" t="s">
        <v>2226</v>
      </c>
      <c r="R3" s="178" t="s">
        <v>2278</v>
      </c>
      <c r="S3" s="205" t="s">
        <v>2064</v>
      </c>
      <c r="T3" s="178" t="s">
        <v>2227</v>
      </c>
      <c r="U3" s="178" t="s">
        <v>2228</v>
      </c>
      <c r="V3" s="178" t="s">
        <v>2279</v>
      </c>
      <c r="W3" s="178" t="s">
        <v>2230</v>
      </c>
      <c r="X3" s="178" t="s">
        <v>2231</v>
      </c>
      <c r="Y3" s="178" t="s">
        <v>2232</v>
      </c>
      <c r="Z3" s="178" t="s">
        <v>2233</v>
      </c>
      <c r="AA3" s="178" t="s">
        <v>2234</v>
      </c>
      <c r="AB3" s="178" t="s">
        <v>2235</v>
      </c>
      <c r="AC3" s="205" t="s">
        <v>2196</v>
      </c>
      <c r="AD3" s="178" t="s">
        <v>2280</v>
      </c>
      <c r="AE3" s="178" t="s">
        <v>2147</v>
      </c>
      <c r="AF3" s="178" t="s">
        <v>2154</v>
      </c>
      <c r="AG3" s="205" t="s">
        <v>2198</v>
      </c>
    </row>
    <row r="4" ht="60" customHeight="1" spans="1:33" x14ac:dyDescent="0.25">
      <c r="A4" s="94"/>
      <c r="B4" s="101" t="s">
        <v>2114</v>
      </c>
      <c r="C4" s="101" t="s">
        <v>2115</v>
      </c>
      <c r="D4" s="101" t="s">
        <v>37</v>
      </c>
      <c r="E4" s="101" t="s">
        <v>2116</v>
      </c>
      <c r="F4" s="101" t="s">
        <v>2117</v>
      </c>
      <c r="G4" s="178" t="s">
        <v>2118</v>
      </c>
      <c r="H4" s="205" t="s">
        <v>2062</v>
      </c>
      <c r="I4" s="178" t="s">
        <v>2218</v>
      </c>
      <c r="J4" s="178" t="s">
        <v>2219</v>
      </c>
      <c r="K4" s="178" t="s">
        <v>2220</v>
      </c>
      <c r="L4" s="178" t="s">
        <v>2221</v>
      </c>
      <c r="M4" s="178" t="s">
        <v>2222</v>
      </c>
      <c r="N4" s="178" t="s">
        <v>2223</v>
      </c>
      <c r="O4" s="178" t="s">
        <v>2224</v>
      </c>
      <c r="P4" s="178" t="s">
        <v>2225</v>
      </c>
      <c r="Q4" s="178" t="s">
        <v>2226</v>
      </c>
      <c r="R4" s="178" t="s">
        <v>2278</v>
      </c>
      <c r="S4" s="205" t="s">
        <v>2064</v>
      </c>
      <c r="T4" s="178" t="s">
        <v>2227</v>
      </c>
      <c r="U4" s="178" t="s">
        <v>2228</v>
      </c>
      <c r="V4" s="178" t="s">
        <v>2279</v>
      </c>
      <c r="W4" s="178" t="s">
        <v>2230</v>
      </c>
      <c r="X4" s="178" t="s">
        <v>2231</v>
      </c>
      <c r="Y4" s="178" t="s">
        <v>2232</v>
      </c>
      <c r="Z4" s="178" t="s">
        <v>2233</v>
      </c>
      <c r="AA4" s="178" t="s">
        <v>2234</v>
      </c>
      <c r="AB4" s="178" t="s">
        <v>2235</v>
      </c>
      <c r="AC4" s="205" t="s">
        <v>2196</v>
      </c>
      <c r="AD4" s="178" t="s">
        <v>2280</v>
      </c>
      <c r="AE4" s="178" t="s">
        <v>2147</v>
      </c>
      <c r="AF4" s="178" t="s">
        <v>2154</v>
      </c>
      <c r="AG4" s="205" t="s">
        <v>2198</v>
      </c>
    </row>
    <row r="5" spans="1:33" x14ac:dyDescent="0.25">
      <c r="A5" s="145" t="s">
        <v>2237</v>
      </c>
      <c r="B5" s="115"/>
      <c r="C5" s="115"/>
      <c r="D5" s="206" t="s">
        <v>1062</v>
      </c>
      <c r="E5" s="115" t="s">
        <v>2165</v>
      </c>
      <c r="F5" s="207" t="s">
        <v>2166</v>
      </c>
      <c r="G5" s="153">
        <f>IF(ISBLANK(ETPT_TPRX_DDG!$D$5),"",IF(ISERROR(ETPT_TPRX!G5),"",IF(ETPT_TPRX!G5=0,"",ETPT_TPRX!G5)))</f>
      </c>
      <c r="H5" s="146">
        <f t="shared" ref="H5:H15" si="0">SUM(G5)</f>
        <v>0</v>
      </c>
      <c r="I5" s="153">
        <f>IF(ISBLANK(ETPT_TPRX_DDG!$D$5),"",IF(ISERROR(ETPT_TPRX!I5),"",IF(ETPT_TPRX!I5=0,"",ETPT_TPRX!I5)))</f>
      </c>
      <c r="J5" s="153">
        <f>IF(ISBLANK(ETPT_TPRX_DDG!$D$5),"",IF(ISERROR(ETPT_TPRX!J5),"",IF(ETPT_TPRX!J5=0,"",ETPT_TPRX!J5)))</f>
      </c>
      <c r="K5" s="153">
        <f>IF(ISBLANK(ETPT_TPRX_DDG!$D$5),"",IF(ISERROR(ETPT_TPRX!K5),"",IF(ETPT_TPRX!K5=0,"",ETPT_TPRX!K5)))</f>
      </c>
      <c r="L5" s="153">
        <f>IF(ISBLANK(ETPT_TPRX_DDG!$D$5),"",IF(ISERROR(ETPT_TPRX!L5),"",IF(ETPT_TPRX!L5=0,"",ETPT_TPRX!L5)))</f>
      </c>
      <c r="M5" s="153">
        <f>IF(ISBLANK(ETPT_TPRX_DDG!$D$5),"",IF(ISERROR(ETPT_TPRX!M5),"",IF(ETPT_TPRX!M5=0,"",ETPT_TPRX!M5)))</f>
      </c>
      <c r="N5" s="153">
        <f>IF(ISBLANK(ETPT_TPRX_DDG!$D$5),"",IF(ISERROR(ETPT_TPRX!N5),"",IF(ETPT_TPRX!N5=0,"",ETPT_TPRX!N5)))</f>
      </c>
      <c r="O5" s="153">
        <f>IF(ISBLANK(ETPT_TPRX_DDG!$D$5),"",IF(ISERROR(ETPT_TPRX!O5),"",IF(ETPT_TPRX!O5=0,"",ETPT_TPRX!O5)))</f>
      </c>
      <c r="P5" s="153">
        <f>IF(ISBLANK(ETPT_TPRX_DDG!$D$5),"",IF(ISERROR(ETPT_TPRX!P5),"",IF(ETPT_TPRX!P5=0,"",ETPT_TPRX!P5)))</f>
      </c>
      <c r="Q5" s="153">
        <f>IF(ISBLANK(ETPT_TPRX_DDG!$D$5),"",IF(ISERROR(ETPT_TPRX!Q5),"",IF(ETPT_TPRX!Q5=0,"",ETPT_TPRX!Q5)))</f>
      </c>
      <c r="R5" s="153">
        <f>IF(ISBLANK(ETPT_TPRX_DDG!$D$5),"",IF(ISERROR(ETPT_TPRX!R5),"",IF(ETPT_TPRX!R5=0,"",ETPT_TPRX!R5)))</f>
      </c>
      <c r="S5" s="146">
        <f t="shared" ref="S5:S15" si="1">SUM(I5:R5)</f>
        <v>0</v>
      </c>
      <c r="T5" s="153">
        <f>IF(ISBLANK(ETPT_TPRX_DDG!$D$5),"",IF(ISERROR(ETPT_TPRX!T5),"",IF(ETPT_TPRX!T5=0,"",ETPT_TPRX!T5)))</f>
      </c>
      <c r="U5" s="153">
        <f>IF(ISBLANK(ETPT_TPRX_DDG!$D$5),"",IF(ISERROR(ETPT_TPRX!U5),"",IF(ETPT_TPRX!U5=0,"",ETPT_TPRX!U5)))</f>
      </c>
      <c r="V5" s="153">
        <f>IF(ISBLANK(ETPT_TPRX_DDG!$D$5),"",IF(ISERROR(ETPT_TPRX!V5),"",IF(ETPT_TPRX!V5=0,"",ETPT_TPRX!V5)))</f>
      </c>
      <c r="W5" s="153">
        <f>IF(ISBLANK(ETPT_TPRX_DDG!$D$5),"",IF(ISERROR(ETPT_TPRX!W5),"",IF(ETPT_TPRX!W5=0,"",ETPT_TPRX!W5)))</f>
      </c>
      <c r="X5" s="153">
        <f>IF(ISBLANK(ETPT_TPRX_DDG!$D$5),"",IF(ISERROR(ETPT_TPRX!X5),"",IF(ETPT_TPRX!X5=0,"",ETPT_TPRX!X5)))</f>
      </c>
      <c r="Y5" s="153">
        <f>IF(ISBLANK(ETPT_TPRX_DDG!$D$5),"",IF(ISERROR(ETPT_TPRX!Y5),"",IF(ETPT_TPRX!Y5=0,"",ETPT_TPRX!Y5)))</f>
      </c>
      <c r="Z5" s="153">
        <f>IF(ISBLANK(ETPT_TPRX_DDG!$D$5),"",IF(ISERROR(ETPT_TPRX!Z5),"",IF(ETPT_TPRX!Z5=0,"",ETPT_TPRX!Z5)))</f>
      </c>
      <c r="AA5" s="153">
        <f>IF(ISBLANK(ETPT_TPRX_DDG!$D$5),"",IF(ISERROR(ETPT_TPRX!AA5),"",IF(ETPT_TPRX!AA5=0,"",ETPT_TPRX!AA5)))</f>
      </c>
      <c r="AB5" s="153">
        <f>IF(ISBLANK(ETPT_TPRX_DDG!$D$5),"",IF(ISERROR(ETPT_TPRX!AB5),"",IF(ETPT_TPRX!AB5=0,"",ETPT_TPRX!AB5)))</f>
      </c>
      <c r="AC5" s="146">
        <f t="shared" ref="AC5:AC15" si="2">SUM(T5:AB5)</f>
        <v>0</v>
      </c>
      <c r="AD5" s="153">
        <f>IF(ISBLANK(ETPT_TPRX_DDG!$D$5),"",IF(ISERROR(ETPT_TPRX!AD5),"",IF(ETPT_TPRX!AD5=0,"",ETPT_TPRX!AD5)))</f>
      </c>
      <c r="AE5" s="153">
        <f>IF(ISBLANK(ETPT_TPRX_DDG!$D$5),"",IF(ISERROR(ETPT_TPRX!AE5),"",IF(ETPT_TPRX!AE5=0,"",ETPT_TPRX!AE5)))</f>
      </c>
      <c r="AF5" s="153">
        <f>IF(ISBLANK(ETPT_TPRX_DDG!$D$5),"",IF(ISERROR(ETPT_TPRX!AF5),"",IF(ETPT_TPRX!AF5=0,"",ETPT_TPRX!AF5)))</f>
      </c>
      <c r="AG5" s="146">
        <f t="shared" ref="AG5:AG15" si="3">SUM(AD5:AF5)</f>
        <v>0</v>
      </c>
    </row>
    <row r="6" spans="1:33" x14ac:dyDescent="0.25">
      <c r="A6" s="145" t="s">
        <v>2237</v>
      </c>
      <c r="B6" s="115"/>
      <c r="C6" s="115"/>
      <c r="D6" s="115">
        <f t="shared" ref="D6:D15" si="4">IF(ISBLANK($D$5),"",$D$5)</f>
      </c>
      <c r="E6" s="115" t="s">
        <v>2167</v>
      </c>
      <c r="F6" s="207" t="s">
        <v>2168</v>
      </c>
      <c r="G6" s="153">
        <f>IF(ISBLANK(ETPT_TPRX_DDG!$D$5),"",IF(ISERROR(ETPT_TPRX!G6),"",IF(ETPT_TPRX!G6=0,"",ETPT_TPRX!G6)))</f>
      </c>
      <c r="H6" s="146">
        <f t="shared" si="0"/>
        <v>0</v>
      </c>
      <c r="I6" s="153">
        <f>IF(ISBLANK(ETPT_TPRX_DDG!$D$5),"",IF(ISERROR(ETPT_TPRX!I6),"",IF(ETPT_TPRX!I6=0,"",ETPT_TPRX!I6)))</f>
      </c>
      <c r="J6" s="153">
        <f>IF(ISBLANK(ETPT_TPRX_DDG!$D$5),"",IF(ISERROR(ETPT_TPRX!J6),"",IF(ETPT_TPRX!J6=0,"",ETPT_TPRX!J6)))</f>
      </c>
      <c r="K6" s="153">
        <f>IF(ISBLANK(ETPT_TPRX_DDG!$D$5),"",IF(ISERROR(ETPT_TPRX!K6),"",IF(ETPT_TPRX!K6=0,"",ETPT_TPRX!K6)))</f>
      </c>
      <c r="L6" s="153">
        <f>IF(ISBLANK(ETPT_TPRX_DDG!$D$5),"",IF(ISERROR(ETPT_TPRX!L6),"",IF(ETPT_TPRX!L6=0,"",ETPT_TPRX!L6)))</f>
      </c>
      <c r="M6" s="153">
        <f>IF(ISBLANK(ETPT_TPRX_DDG!$D$5),"",IF(ISERROR(ETPT_TPRX!M6),"",IF(ETPT_TPRX!M6=0,"",ETPT_TPRX!M6)))</f>
      </c>
      <c r="N6" s="153">
        <f>IF(ISBLANK(ETPT_TPRX_DDG!$D$5),"",IF(ISERROR(ETPT_TPRX!N6),"",IF(ETPT_TPRX!N6=0,"",ETPT_TPRX!N6)))</f>
      </c>
      <c r="O6" s="153">
        <f>IF(ISBLANK(ETPT_TPRX_DDG!$D$5),"",IF(ISERROR(ETPT_TPRX!O6),"",IF(ETPT_TPRX!O6=0,"",ETPT_TPRX!O6)))</f>
      </c>
      <c r="P6" s="153">
        <f>IF(ISBLANK(ETPT_TPRX_DDG!$D$5),"",IF(ISERROR(ETPT_TPRX!P6),"",IF(ETPT_TPRX!P6=0,"",ETPT_TPRX!P6)))</f>
      </c>
      <c r="Q6" s="153">
        <f>IF(ISBLANK(ETPT_TPRX_DDG!$D$5),"",IF(ISERROR(ETPT_TPRX!Q6),"",IF(ETPT_TPRX!Q6=0,"",ETPT_TPRX!Q6)))</f>
      </c>
      <c r="R6" s="153">
        <f>IF(ISBLANK(ETPT_TPRX_DDG!$D$5),"",IF(ISERROR(ETPT_TPRX!R6),"",IF(ETPT_TPRX!R6=0,"",ETPT_TPRX!R6)))</f>
      </c>
      <c r="S6" s="146">
        <f t="shared" si="1"/>
        <v>0</v>
      </c>
      <c r="T6" s="153">
        <f>IF(ISBLANK(ETPT_TPRX_DDG!$D$5),"",IF(ISERROR(ETPT_TPRX!T6),"",IF(ETPT_TPRX!T6=0,"",ETPT_TPRX!T6)))</f>
      </c>
      <c r="U6" s="153">
        <f>IF(ISBLANK(ETPT_TPRX_DDG!$D$5),"",IF(ISERROR(ETPT_TPRX!U6),"",IF(ETPT_TPRX!U6=0,"",ETPT_TPRX!U6)))</f>
      </c>
      <c r="V6" s="153">
        <f>IF(ISBLANK(ETPT_TPRX_DDG!$D$5),"",IF(ISERROR(ETPT_TPRX!V6),"",IF(ETPT_TPRX!V6=0,"",ETPT_TPRX!V6)))</f>
      </c>
      <c r="W6" s="153">
        <f>IF(ISBLANK(ETPT_TPRX_DDG!$D$5),"",IF(ISERROR(ETPT_TPRX!W6),"",IF(ETPT_TPRX!W6=0,"",ETPT_TPRX!W6)))</f>
      </c>
      <c r="X6" s="153">
        <f>IF(ISBLANK(ETPT_TPRX_DDG!$D$5),"",IF(ISERROR(ETPT_TPRX!X6),"",IF(ETPT_TPRX!X6=0,"",ETPT_TPRX!X6)))</f>
      </c>
      <c r="Y6" s="153">
        <f>IF(ISBLANK(ETPT_TPRX_DDG!$D$5),"",IF(ISERROR(ETPT_TPRX!Y6),"",IF(ETPT_TPRX!Y6=0,"",ETPT_TPRX!Y6)))</f>
      </c>
      <c r="Z6" s="153">
        <f>IF(ISBLANK(ETPT_TPRX_DDG!$D$5),"",IF(ISERROR(ETPT_TPRX!Z6),"",IF(ETPT_TPRX!Z6=0,"",ETPT_TPRX!Z6)))</f>
      </c>
      <c r="AA6" s="153">
        <f>IF(ISBLANK(ETPT_TPRX_DDG!$D$5),"",IF(ISERROR(ETPT_TPRX!AA6),"",IF(ETPT_TPRX!AA6=0,"",ETPT_TPRX!AA6)))</f>
      </c>
      <c r="AB6" s="153">
        <f>IF(ISBLANK(ETPT_TPRX_DDG!$D$5),"",IF(ISERROR(ETPT_TPRX!AB6),"",IF(ETPT_TPRX!AB6=0,"",ETPT_TPRX!AB6)))</f>
      </c>
      <c r="AC6" s="146">
        <f t="shared" si="2"/>
        <v>0</v>
      </c>
      <c r="AD6" s="153">
        <f>IF(ISBLANK(ETPT_TPRX_DDG!$D$5),"",IF(ISERROR(ETPT_TPRX!AD6),"",IF(ETPT_TPRX!AD6=0,"",ETPT_TPRX!AD6)))</f>
      </c>
      <c r="AE6" s="153">
        <f>IF(ISBLANK(ETPT_TPRX_DDG!$D$5),"",IF(ISERROR(ETPT_TPRX!AE6),"",IF(ETPT_TPRX!AE6=0,"",ETPT_TPRX!AE6)))</f>
      </c>
      <c r="AF6" s="153">
        <f>IF(ISBLANK(ETPT_TPRX_DDG!$D$5),"",IF(ISERROR(ETPT_TPRX!AF6),"",IF(ETPT_TPRX!AF6=0,"",ETPT_TPRX!AF6)))</f>
      </c>
      <c r="AG6" s="146">
        <f t="shared" si="3"/>
        <v>0</v>
      </c>
    </row>
    <row r="7" spans="1:33" x14ac:dyDescent="0.25">
      <c r="A7" s="145" t="s">
        <v>2237</v>
      </c>
      <c r="B7" s="115"/>
      <c r="C7" s="115"/>
      <c r="D7" s="115">
        <f t="shared" si="4"/>
      </c>
      <c r="E7" s="115" t="s">
        <v>2170</v>
      </c>
      <c r="F7" s="207" t="s">
        <v>2171</v>
      </c>
      <c r="G7" s="153">
        <f>IF(ISBLANK(ETPT_TPRX_DDG!$D$5),"",IF(ISERROR(ETPT_TPRX!G7),"",IF(ETPT_TPRX!G7=0,"",ETPT_TPRX!G7)))</f>
      </c>
      <c r="H7" s="146">
        <f t="shared" si="0"/>
        <v>0</v>
      </c>
      <c r="I7" s="153">
        <f>IF(ISBLANK(ETPT_TPRX_DDG!$D$5),"",IF(ISERROR(ETPT_TPRX!I7),"",IF(ETPT_TPRX!I7=0,"",ETPT_TPRX!I7)))</f>
      </c>
      <c r="J7" s="153">
        <f>IF(ISBLANK(ETPT_TPRX_DDG!$D$5),"",IF(ISERROR(ETPT_TPRX!J7),"",IF(ETPT_TPRX!J7=0,"",ETPT_TPRX!J7)))</f>
      </c>
      <c r="K7" s="153">
        <f>IF(ISBLANK(ETPT_TPRX_DDG!$D$5),"",IF(ISERROR(ETPT_TPRX!K7),"",IF(ETPT_TPRX!K7=0,"",ETPT_TPRX!K7)))</f>
      </c>
      <c r="L7" s="153">
        <f>IF(ISBLANK(ETPT_TPRX_DDG!$D$5),"",IF(ISERROR(ETPT_TPRX!L7),"",IF(ETPT_TPRX!L7=0,"",ETPT_TPRX!L7)))</f>
      </c>
      <c r="M7" s="153">
        <f>IF(ISBLANK(ETPT_TPRX_DDG!$D$5),"",IF(ISERROR(ETPT_TPRX!M7),"",IF(ETPT_TPRX!M7=0,"",ETPT_TPRX!M7)))</f>
      </c>
      <c r="N7" s="153">
        <f>IF(ISBLANK(ETPT_TPRX_DDG!$D$5),"",IF(ISERROR(ETPT_TPRX!N7),"",IF(ETPT_TPRX!N7=0,"",ETPT_TPRX!N7)))</f>
      </c>
      <c r="O7" s="153">
        <f>IF(ISBLANK(ETPT_TPRX_DDG!$D$5),"",IF(ISERROR(ETPT_TPRX!O7),"",IF(ETPT_TPRX!O7=0,"",ETPT_TPRX!O7)))</f>
      </c>
      <c r="P7" s="153">
        <f>IF(ISBLANK(ETPT_TPRX_DDG!$D$5),"",IF(ISERROR(ETPT_TPRX!P7),"",IF(ETPT_TPRX!P7=0,"",ETPT_TPRX!P7)))</f>
      </c>
      <c r="Q7" s="153">
        <f>IF(ISBLANK(ETPT_TPRX_DDG!$D$5),"",IF(ISERROR(ETPT_TPRX!Q7),"",IF(ETPT_TPRX!Q7=0,"",ETPT_TPRX!Q7)))</f>
      </c>
      <c r="R7" s="153">
        <f>IF(ISBLANK(ETPT_TPRX_DDG!$D$5),"",IF(ISERROR(ETPT_TPRX!R7),"",IF(ETPT_TPRX!R7=0,"",ETPT_TPRX!R7)))</f>
      </c>
      <c r="S7" s="146">
        <f t="shared" si="1"/>
        <v>0</v>
      </c>
      <c r="T7" s="153">
        <f>IF(ISBLANK(ETPT_TPRX_DDG!$D$5),"",IF(ISERROR(ETPT_TPRX!T7),"",IF(ETPT_TPRX!T7=0,"",ETPT_TPRX!T7)))</f>
      </c>
      <c r="U7" s="153">
        <f>IF(ISBLANK(ETPT_TPRX_DDG!$D$5),"",IF(ISERROR(ETPT_TPRX!U7),"",IF(ETPT_TPRX!U7=0,"",ETPT_TPRX!U7)))</f>
      </c>
      <c r="V7" s="153">
        <f>IF(ISBLANK(ETPT_TPRX_DDG!$D$5),"",IF(ISERROR(ETPT_TPRX!V7),"",IF(ETPT_TPRX!V7=0,"",ETPT_TPRX!V7)))</f>
      </c>
      <c r="W7" s="153">
        <f>IF(ISBLANK(ETPT_TPRX_DDG!$D$5),"",IF(ISERROR(ETPT_TPRX!W7),"",IF(ETPT_TPRX!W7=0,"",ETPT_TPRX!W7)))</f>
      </c>
      <c r="X7" s="153">
        <f>IF(ISBLANK(ETPT_TPRX_DDG!$D$5),"",IF(ISERROR(ETPT_TPRX!X7),"",IF(ETPT_TPRX!X7=0,"",ETPT_TPRX!X7)))</f>
      </c>
      <c r="Y7" s="153">
        <f>IF(ISBLANK(ETPT_TPRX_DDG!$D$5),"",IF(ISERROR(ETPT_TPRX!Y7),"",IF(ETPT_TPRX!Y7=0,"",ETPT_TPRX!Y7)))</f>
      </c>
      <c r="Z7" s="153">
        <f>IF(ISBLANK(ETPT_TPRX_DDG!$D$5),"",IF(ISERROR(ETPT_TPRX!Z7),"",IF(ETPT_TPRX!Z7=0,"",ETPT_TPRX!Z7)))</f>
      </c>
      <c r="AA7" s="153">
        <f>IF(ISBLANK(ETPT_TPRX_DDG!$D$5),"",IF(ISERROR(ETPT_TPRX!AA7),"",IF(ETPT_TPRX!AA7=0,"",ETPT_TPRX!AA7)))</f>
      </c>
      <c r="AB7" s="153">
        <f>IF(ISBLANK(ETPT_TPRX_DDG!$D$5),"",IF(ISERROR(ETPT_TPRX!AB7),"",IF(ETPT_TPRX!AB7=0,"",ETPT_TPRX!AB7)))</f>
      </c>
      <c r="AC7" s="146">
        <f t="shared" si="2"/>
        <v>0</v>
      </c>
      <c r="AD7" s="153">
        <f>IF(ISBLANK(ETPT_TPRX_DDG!$D$5),"",IF(ISERROR(ETPT_TPRX!AD7),"",IF(ETPT_TPRX!AD7=0,"",ETPT_TPRX!AD7)))</f>
      </c>
      <c r="AE7" s="153">
        <f>IF(ISBLANK(ETPT_TPRX_DDG!$D$5),"",IF(ISERROR(ETPT_TPRX!AE7),"",IF(ETPT_TPRX!AE7=0,"",ETPT_TPRX!AE7)))</f>
      </c>
      <c r="AF7" s="153">
        <f>IF(ISBLANK(ETPT_TPRX_DDG!$D$5),"",IF(ISERROR(ETPT_TPRX!AF7),"",IF(ETPT_TPRX!AF7=0,"",ETPT_TPRX!AF7)))</f>
      </c>
      <c r="AG7" s="146">
        <f t="shared" si="3"/>
        <v>0</v>
      </c>
    </row>
    <row r="8" spans="1:33" x14ac:dyDescent="0.25">
      <c r="A8" s="145" t="s">
        <v>2237</v>
      </c>
      <c r="B8" s="115"/>
      <c r="C8" s="115"/>
      <c r="D8" s="115">
        <f t="shared" si="4"/>
      </c>
      <c r="E8" s="115" t="s">
        <v>2174</v>
      </c>
      <c r="F8" s="207" t="s">
        <v>2175</v>
      </c>
      <c r="G8" s="153">
        <f>IF(ISBLANK(ETPT_TPRX_DDG!$D$5),"",IF(ISERROR(ETPT_TPRX!G8),"",IF(ETPT_TPRX!G8=0,"",ETPT_TPRX!G8)))</f>
      </c>
      <c r="H8" s="146">
        <f t="shared" si="0"/>
        <v>0</v>
      </c>
      <c r="I8" s="153">
        <f>IF(ISBLANK(ETPT_TPRX_DDG!$D$5),"",IF(ISERROR(ETPT_TPRX!I8),"",IF(ETPT_TPRX!I8=0,"",ETPT_TPRX!I8)))</f>
      </c>
      <c r="J8" s="153">
        <f>IF(ISBLANK(ETPT_TPRX_DDG!$D$5),"",IF(ISERROR(ETPT_TPRX!J8),"",IF(ETPT_TPRX!J8=0,"",ETPT_TPRX!J8)))</f>
      </c>
      <c r="K8" s="153">
        <f>IF(ISBLANK(ETPT_TPRX_DDG!$D$5),"",IF(ISERROR(ETPT_TPRX!K8),"",IF(ETPT_TPRX!K8=0,"",ETPT_TPRX!K8)))</f>
      </c>
      <c r="L8" s="153">
        <f>IF(ISBLANK(ETPT_TPRX_DDG!$D$5),"",IF(ISERROR(ETPT_TPRX!L8),"",IF(ETPT_TPRX!L8=0,"",ETPT_TPRX!L8)))</f>
      </c>
      <c r="M8" s="153">
        <f>IF(ISBLANK(ETPT_TPRX_DDG!$D$5),"",IF(ISERROR(ETPT_TPRX!M8),"",IF(ETPT_TPRX!M8=0,"",ETPT_TPRX!M8)))</f>
      </c>
      <c r="N8" s="153">
        <f>IF(ISBLANK(ETPT_TPRX_DDG!$D$5),"",IF(ISERROR(ETPT_TPRX!N8),"",IF(ETPT_TPRX!N8=0,"",ETPT_TPRX!N8)))</f>
      </c>
      <c r="O8" s="153">
        <f>IF(ISBLANK(ETPT_TPRX_DDG!$D$5),"",IF(ISERROR(ETPT_TPRX!O8),"",IF(ETPT_TPRX!O8=0,"",ETPT_TPRX!O8)))</f>
      </c>
      <c r="P8" s="153">
        <f>IF(ISBLANK(ETPT_TPRX_DDG!$D$5),"",IF(ISERROR(ETPT_TPRX!P8),"",IF(ETPT_TPRX!P8=0,"",ETPT_TPRX!P8)))</f>
      </c>
      <c r="Q8" s="153">
        <f>IF(ISBLANK(ETPT_TPRX_DDG!$D$5),"",IF(ISERROR(ETPT_TPRX!Q8),"",IF(ETPT_TPRX!Q8=0,"",ETPT_TPRX!Q8)))</f>
      </c>
      <c r="R8" s="153">
        <f>IF(ISBLANK(ETPT_TPRX_DDG!$D$5),"",IF(ISERROR(ETPT_TPRX!R8),"",IF(ETPT_TPRX!R8=0,"",ETPT_TPRX!R8)))</f>
      </c>
      <c r="S8" s="146">
        <f t="shared" si="1"/>
        <v>0</v>
      </c>
      <c r="T8" s="153">
        <f>IF(ISBLANK(ETPT_TPRX_DDG!$D$5),"",IF(ISERROR(ETPT_TPRX!T8),"",IF(ETPT_TPRX!T8=0,"",ETPT_TPRX!T8)))</f>
      </c>
      <c r="U8" s="153">
        <f>IF(ISBLANK(ETPT_TPRX_DDG!$D$5),"",IF(ISERROR(ETPT_TPRX!U8),"",IF(ETPT_TPRX!U8=0,"",ETPT_TPRX!U8)))</f>
      </c>
      <c r="V8" s="153">
        <f>IF(ISBLANK(ETPT_TPRX_DDG!$D$5),"",IF(ISERROR(ETPT_TPRX!V8),"",IF(ETPT_TPRX!V8=0,"",ETPT_TPRX!V8)))</f>
      </c>
      <c r="W8" s="153">
        <f>IF(ISBLANK(ETPT_TPRX_DDG!$D$5),"",IF(ISERROR(ETPT_TPRX!W8),"",IF(ETPT_TPRX!W8=0,"",ETPT_TPRX!W8)))</f>
      </c>
      <c r="X8" s="153">
        <f>IF(ISBLANK(ETPT_TPRX_DDG!$D$5),"",IF(ISERROR(ETPT_TPRX!X8),"",IF(ETPT_TPRX!X8=0,"",ETPT_TPRX!X8)))</f>
      </c>
      <c r="Y8" s="153">
        <f>IF(ISBLANK(ETPT_TPRX_DDG!$D$5),"",IF(ISERROR(ETPT_TPRX!Y8),"",IF(ETPT_TPRX!Y8=0,"",ETPT_TPRX!Y8)))</f>
      </c>
      <c r="Z8" s="153">
        <f>IF(ISBLANK(ETPT_TPRX_DDG!$D$5),"",IF(ISERROR(ETPT_TPRX!Z8),"",IF(ETPT_TPRX!Z8=0,"",ETPT_TPRX!Z8)))</f>
      </c>
      <c r="AA8" s="153">
        <f>IF(ISBLANK(ETPT_TPRX_DDG!$D$5),"",IF(ISERROR(ETPT_TPRX!AA8),"",IF(ETPT_TPRX!AA8=0,"",ETPT_TPRX!AA8)))</f>
      </c>
      <c r="AB8" s="153">
        <f>IF(ISBLANK(ETPT_TPRX_DDG!$D$5),"",IF(ISERROR(ETPT_TPRX!AB8),"",IF(ETPT_TPRX!AB8=0,"",ETPT_TPRX!AB8)))</f>
      </c>
      <c r="AC8" s="146">
        <f t="shared" si="2"/>
        <v>0</v>
      </c>
      <c r="AD8" s="153">
        <f>IF(ISBLANK(ETPT_TPRX_DDG!$D$5),"",IF(ISERROR(ETPT_TPRX!AD8),"",IF(ETPT_TPRX!AD8=0,"",ETPT_TPRX!AD8)))</f>
      </c>
      <c r="AE8" s="153">
        <f>IF(ISBLANK(ETPT_TPRX_DDG!$D$5),"",IF(ISERROR(ETPT_TPRX!AE8),"",IF(ETPT_TPRX!AE8=0,"",ETPT_TPRX!AE8)))</f>
      </c>
      <c r="AF8" s="153">
        <f>IF(ISBLANK(ETPT_TPRX_DDG!$D$5),"",IF(ISERROR(ETPT_TPRX!AF8),"",IF(ETPT_TPRX!AF8=0,"",ETPT_TPRX!AF8)))</f>
      </c>
      <c r="AG8" s="146">
        <f t="shared" si="3"/>
        <v>0</v>
      </c>
    </row>
    <row r="9" spans="1:33" x14ac:dyDescent="0.25">
      <c r="A9" s="145" t="s">
        <v>2237</v>
      </c>
      <c r="B9" s="115"/>
      <c r="C9" s="115"/>
      <c r="D9" s="115">
        <f t="shared" si="4"/>
      </c>
      <c r="E9" s="115" t="s">
        <v>2176</v>
      </c>
      <c r="F9" s="207" t="s">
        <v>2177</v>
      </c>
      <c r="G9" s="153">
        <f>IF(ISBLANK(ETPT_TPRX_DDG!$D$5),"",IF(ISERROR(ETPT_TPRX!G9),"",IF(ETPT_TPRX!G9=0,"",ETPT_TPRX!G9)))</f>
      </c>
      <c r="H9" s="146">
        <f t="shared" si="0"/>
        <v>0</v>
      </c>
      <c r="I9" s="153">
        <f>IF(ISBLANK(ETPT_TPRX_DDG!$D$5),"",IF(ISERROR(ETPT_TPRX!I9),"",IF(ETPT_TPRX!I9=0,"",ETPT_TPRX!I9)))</f>
      </c>
      <c r="J9" s="153">
        <f>IF(ISBLANK(ETPT_TPRX_DDG!$D$5),"",IF(ISERROR(ETPT_TPRX!J9),"",IF(ETPT_TPRX!J9=0,"",ETPT_TPRX!J9)))</f>
      </c>
      <c r="K9" s="153">
        <f>IF(ISBLANK(ETPT_TPRX_DDG!$D$5),"",IF(ISERROR(ETPT_TPRX!K9),"",IF(ETPT_TPRX!K9=0,"",ETPT_TPRX!K9)))</f>
      </c>
      <c r="L9" s="153">
        <f>IF(ISBLANK(ETPT_TPRX_DDG!$D$5),"",IF(ISERROR(ETPT_TPRX!L9),"",IF(ETPT_TPRX!L9=0,"",ETPT_TPRX!L9)))</f>
      </c>
      <c r="M9" s="153">
        <f>IF(ISBLANK(ETPT_TPRX_DDG!$D$5),"",IF(ISERROR(ETPT_TPRX!M9),"",IF(ETPT_TPRX!M9=0,"",ETPT_TPRX!M9)))</f>
      </c>
      <c r="N9" s="153">
        <f>IF(ISBLANK(ETPT_TPRX_DDG!$D$5),"",IF(ISERROR(ETPT_TPRX!N9),"",IF(ETPT_TPRX!N9=0,"",ETPT_TPRX!N9)))</f>
      </c>
      <c r="O9" s="153">
        <f>IF(ISBLANK(ETPT_TPRX_DDG!$D$5),"",IF(ISERROR(ETPT_TPRX!O9),"",IF(ETPT_TPRX!O9=0,"",ETPT_TPRX!O9)))</f>
      </c>
      <c r="P9" s="153">
        <f>IF(ISBLANK(ETPT_TPRX_DDG!$D$5),"",IF(ISERROR(ETPT_TPRX!P9),"",IF(ETPT_TPRX!P9=0,"",ETPT_TPRX!P9)))</f>
      </c>
      <c r="Q9" s="153">
        <f>IF(ISBLANK(ETPT_TPRX_DDG!$D$5),"",IF(ISERROR(ETPT_TPRX!Q9),"",IF(ETPT_TPRX!Q9=0,"",ETPT_TPRX!Q9)))</f>
      </c>
      <c r="R9" s="153">
        <f>IF(ISBLANK(ETPT_TPRX_DDG!$D$5),"",IF(ISERROR(ETPT_TPRX!R9),"",IF(ETPT_TPRX!R9=0,"",ETPT_TPRX!R9)))</f>
      </c>
      <c r="S9" s="146">
        <f t="shared" si="1"/>
        <v>0</v>
      </c>
      <c r="T9" s="153">
        <f>IF(ISBLANK(ETPT_TPRX_DDG!$D$5),"",IF(ISERROR(ETPT_TPRX!T9),"",IF(ETPT_TPRX!T9=0,"",ETPT_TPRX!T9)))</f>
      </c>
      <c r="U9" s="153">
        <f>IF(ISBLANK(ETPT_TPRX_DDG!$D$5),"",IF(ISERROR(ETPT_TPRX!U9),"",IF(ETPT_TPRX!U9=0,"",ETPT_TPRX!U9)))</f>
      </c>
      <c r="V9" s="153">
        <f>IF(ISBLANK(ETPT_TPRX_DDG!$D$5),"",IF(ISERROR(ETPT_TPRX!V9),"",IF(ETPT_TPRX!V9=0,"",ETPT_TPRX!V9)))</f>
      </c>
      <c r="W9" s="153">
        <f>IF(ISBLANK(ETPT_TPRX_DDG!$D$5),"",IF(ISERROR(ETPT_TPRX!W9),"",IF(ETPT_TPRX!W9=0,"",ETPT_TPRX!W9)))</f>
      </c>
      <c r="X9" s="153">
        <f>IF(ISBLANK(ETPT_TPRX_DDG!$D$5),"",IF(ISERROR(ETPT_TPRX!X9),"",IF(ETPT_TPRX!X9=0,"",ETPT_TPRX!X9)))</f>
      </c>
      <c r="Y9" s="153">
        <f>IF(ISBLANK(ETPT_TPRX_DDG!$D$5),"",IF(ISERROR(ETPT_TPRX!Y9),"",IF(ETPT_TPRX!Y9=0,"",ETPT_TPRX!Y9)))</f>
      </c>
      <c r="Z9" s="153">
        <f>IF(ISBLANK(ETPT_TPRX_DDG!$D$5),"",IF(ISERROR(ETPT_TPRX!Z9),"",IF(ETPT_TPRX!Z9=0,"",ETPT_TPRX!Z9)))</f>
      </c>
      <c r="AA9" s="153">
        <f>IF(ISBLANK(ETPT_TPRX_DDG!$D$5),"",IF(ISERROR(ETPT_TPRX!AA9),"",IF(ETPT_TPRX!AA9=0,"",ETPT_TPRX!AA9)))</f>
      </c>
      <c r="AB9" s="153">
        <f>IF(ISBLANK(ETPT_TPRX_DDG!$D$5),"",IF(ISERROR(ETPT_TPRX!AB9),"",IF(ETPT_TPRX!AB9=0,"",ETPT_TPRX!AB9)))</f>
      </c>
      <c r="AC9" s="146">
        <f t="shared" si="2"/>
        <v>0</v>
      </c>
      <c r="AD9" s="153">
        <f>IF(ISBLANK(ETPT_TPRX_DDG!$D$5),"",IF(ISERROR(ETPT_TPRX!AD9),"",IF(ETPT_TPRX!AD9=0,"",ETPT_TPRX!AD9)))</f>
      </c>
      <c r="AE9" s="153">
        <f>IF(ISBLANK(ETPT_TPRX_DDG!$D$5),"",IF(ISERROR(ETPT_TPRX!AE9),"",IF(ETPT_TPRX!AE9=0,"",ETPT_TPRX!AE9)))</f>
      </c>
      <c r="AF9" s="153">
        <f>IF(ISBLANK(ETPT_TPRX_DDG!$D$5),"",IF(ISERROR(ETPT_TPRX!AF9),"",IF(ETPT_TPRX!AF9=0,"",ETPT_TPRX!AF9)))</f>
      </c>
      <c r="AG9" s="146">
        <f t="shared" si="3"/>
        <v>0</v>
      </c>
    </row>
    <row r="10" spans="1:33" x14ac:dyDescent="0.25">
      <c r="A10" s="145" t="s">
        <v>2237</v>
      </c>
      <c r="B10" s="115"/>
      <c r="C10" s="115"/>
      <c r="D10" s="115">
        <f t="shared" si="4"/>
      </c>
      <c r="E10" s="115" t="s">
        <v>2178</v>
      </c>
      <c r="F10" s="207" t="s">
        <v>2179</v>
      </c>
      <c r="G10" s="153">
        <f>IF(ISBLANK(ETPT_TPRX_DDG!$D$5),"",IF(ISERROR(ETPT_TPRX!G10),"",IF(ETPT_TPRX!G10=0,"",ETPT_TPRX!G10)))</f>
      </c>
      <c r="H10" s="146">
        <f t="shared" si="0"/>
        <v>0</v>
      </c>
      <c r="I10" s="153">
        <f>IF(ISBLANK(ETPT_TPRX_DDG!$D$5),"",IF(ISERROR(ETPT_TPRX!I10),"",IF(ETPT_TPRX!I10=0,"",ETPT_TPRX!I10)))</f>
      </c>
      <c r="J10" s="153">
        <f>IF(ISBLANK(ETPT_TPRX_DDG!$D$5),"",IF(ISERROR(ETPT_TPRX!J10),"",IF(ETPT_TPRX!J10=0,"",ETPT_TPRX!J10)))</f>
      </c>
      <c r="K10" s="153">
        <f>IF(ISBLANK(ETPT_TPRX_DDG!$D$5),"",IF(ISERROR(ETPT_TPRX!K10),"",IF(ETPT_TPRX!K10=0,"",ETPT_TPRX!K10)))</f>
      </c>
      <c r="L10" s="153">
        <f>IF(ISBLANK(ETPT_TPRX_DDG!$D$5),"",IF(ISERROR(ETPT_TPRX!L10),"",IF(ETPT_TPRX!L10=0,"",ETPT_TPRX!L10)))</f>
      </c>
      <c r="M10" s="153">
        <f>IF(ISBLANK(ETPT_TPRX_DDG!$D$5),"",IF(ISERROR(ETPT_TPRX!M10),"",IF(ETPT_TPRX!M10=0,"",ETPT_TPRX!M10)))</f>
      </c>
      <c r="N10" s="153">
        <f>IF(ISBLANK(ETPT_TPRX_DDG!$D$5),"",IF(ISERROR(ETPT_TPRX!N10),"",IF(ETPT_TPRX!N10=0,"",ETPT_TPRX!N10)))</f>
      </c>
      <c r="O10" s="153">
        <f>IF(ISBLANK(ETPT_TPRX_DDG!$D$5),"",IF(ISERROR(ETPT_TPRX!O10),"",IF(ETPT_TPRX!O10=0,"",ETPT_TPRX!O10)))</f>
      </c>
      <c r="P10" s="153">
        <f>IF(ISBLANK(ETPT_TPRX_DDG!$D$5),"",IF(ISERROR(ETPT_TPRX!P10),"",IF(ETPT_TPRX!P10=0,"",ETPT_TPRX!P10)))</f>
      </c>
      <c r="Q10" s="153">
        <f>IF(ISBLANK(ETPT_TPRX_DDG!$D$5),"",IF(ISERROR(ETPT_TPRX!Q10),"",IF(ETPT_TPRX!Q10=0,"",ETPT_TPRX!Q10)))</f>
      </c>
      <c r="R10" s="153">
        <f>IF(ISBLANK(ETPT_TPRX_DDG!$D$5),"",IF(ISERROR(ETPT_TPRX!R10),"",IF(ETPT_TPRX!R10=0,"",ETPT_TPRX!R10)))</f>
      </c>
      <c r="S10" s="146">
        <f t="shared" si="1"/>
        <v>0</v>
      </c>
      <c r="T10" s="153">
        <f>IF(ISBLANK(ETPT_TPRX_DDG!$D$5),"",IF(ISERROR(ETPT_TPRX!T10),"",IF(ETPT_TPRX!T10=0,"",ETPT_TPRX!T10)))</f>
      </c>
      <c r="U10" s="153">
        <f>IF(ISBLANK(ETPT_TPRX_DDG!$D$5),"",IF(ISERROR(ETPT_TPRX!U10),"",IF(ETPT_TPRX!U10=0,"",ETPT_TPRX!U10)))</f>
      </c>
      <c r="V10" s="153">
        <f>IF(ISBLANK(ETPT_TPRX_DDG!$D$5),"",IF(ISERROR(ETPT_TPRX!V10),"",IF(ETPT_TPRX!V10=0,"",ETPT_TPRX!V10)))</f>
      </c>
      <c r="W10" s="153">
        <f>IF(ISBLANK(ETPT_TPRX_DDG!$D$5),"",IF(ISERROR(ETPT_TPRX!W10),"",IF(ETPT_TPRX!W10=0,"",ETPT_TPRX!W10)))</f>
      </c>
      <c r="X10" s="153">
        <f>IF(ISBLANK(ETPT_TPRX_DDG!$D$5),"",IF(ISERROR(ETPT_TPRX!X10),"",IF(ETPT_TPRX!X10=0,"",ETPT_TPRX!X10)))</f>
      </c>
      <c r="Y10" s="153">
        <f>IF(ISBLANK(ETPT_TPRX_DDG!$D$5),"",IF(ISERROR(ETPT_TPRX!Y10),"",IF(ETPT_TPRX!Y10=0,"",ETPT_TPRX!Y10)))</f>
      </c>
      <c r="Z10" s="153">
        <f>IF(ISBLANK(ETPT_TPRX_DDG!$D$5),"",IF(ISERROR(ETPT_TPRX!Z10),"",IF(ETPT_TPRX!Z10=0,"",ETPT_TPRX!Z10)))</f>
      </c>
      <c r="AA10" s="153">
        <f>IF(ISBLANK(ETPT_TPRX_DDG!$D$5),"",IF(ISERROR(ETPT_TPRX!AA10),"",IF(ETPT_TPRX!AA10=0,"",ETPT_TPRX!AA10)))</f>
      </c>
      <c r="AB10" s="153">
        <f>IF(ISBLANK(ETPT_TPRX_DDG!$D$5),"",IF(ISERROR(ETPT_TPRX!AB10),"",IF(ETPT_TPRX!AB10=0,"",ETPT_TPRX!AB10)))</f>
      </c>
      <c r="AC10" s="146">
        <f t="shared" si="2"/>
        <v>0</v>
      </c>
      <c r="AD10" s="153">
        <f>IF(ISBLANK(ETPT_TPRX_DDG!$D$5),"",IF(ISERROR(ETPT_TPRX!AD10),"",IF(ETPT_TPRX!AD10=0,"",ETPT_TPRX!AD10)))</f>
      </c>
      <c r="AE10" s="153">
        <f>IF(ISBLANK(ETPT_TPRX_DDG!$D$5),"",IF(ISERROR(ETPT_TPRX!AE10),"",IF(ETPT_TPRX!AE10=0,"",ETPT_TPRX!AE10)))</f>
      </c>
      <c r="AF10" s="153">
        <f>IF(ISBLANK(ETPT_TPRX_DDG!$D$5),"",IF(ISERROR(ETPT_TPRX!AF10),"",IF(ETPT_TPRX!AF10=0,"",ETPT_TPRX!AF10)))</f>
      </c>
      <c r="AG10" s="146">
        <f t="shared" si="3"/>
        <v>0</v>
      </c>
    </row>
    <row r="11" spans="1:33" x14ac:dyDescent="0.25">
      <c r="A11" s="145" t="s">
        <v>2237</v>
      </c>
      <c r="B11" s="115"/>
      <c r="C11" s="115"/>
      <c r="D11" s="115">
        <f t="shared" si="4"/>
      </c>
      <c r="E11" s="115" t="s">
        <v>2180</v>
      </c>
      <c r="F11" s="207" t="s">
        <v>2181</v>
      </c>
      <c r="G11" s="153">
        <f>IF(ISBLANK(ETPT_TPRX_DDG!$D$5),"",IF(ISERROR(ETPT_TPRX!G11),"",IF(ETPT_TPRX!G11=0,"",ETPT_TPRX!G11)))</f>
      </c>
      <c r="H11" s="146">
        <f t="shared" si="0"/>
        <v>0</v>
      </c>
      <c r="I11" s="153">
        <f>IF(ISBLANK(ETPT_TPRX_DDG!$D$5),"",IF(ISERROR(ETPT_TPRX!I11),"",IF(ETPT_TPRX!I11=0,"",ETPT_TPRX!I11)))</f>
      </c>
      <c r="J11" s="153">
        <f>IF(ISBLANK(ETPT_TPRX_DDG!$D$5),"",IF(ISERROR(ETPT_TPRX!J11),"",IF(ETPT_TPRX!J11=0,"",ETPT_TPRX!J11)))</f>
      </c>
      <c r="K11" s="153">
        <f>IF(ISBLANK(ETPT_TPRX_DDG!$D$5),"",IF(ISERROR(ETPT_TPRX!K11),"",IF(ETPT_TPRX!K11=0,"",ETPT_TPRX!K11)))</f>
      </c>
      <c r="L11" s="153">
        <f>IF(ISBLANK(ETPT_TPRX_DDG!$D$5),"",IF(ISERROR(ETPT_TPRX!L11),"",IF(ETPT_TPRX!L11=0,"",ETPT_TPRX!L11)))</f>
      </c>
      <c r="M11" s="153">
        <f>IF(ISBLANK(ETPT_TPRX_DDG!$D$5),"",IF(ISERROR(ETPT_TPRX!M11),"",IF(ETPT_TPRX!M11=0,"",ETPT_TPRX!M11)))</f>
      </c>
      <c r="N11" s="153">
        <f>IF(ISBLANK(ETPT_TPRX_DDG!$D$5),"",IF(ISERROR(ETPT_TPRX!N11),"",IF(ETPT_TPRX!N11=0,"",ETPT_TPRX!N11)))</f>
      </c>
      <c r="O11" s="153">
        <f>IF(ISBLANK(ETPT_TPRX_DDG!$D$5),"",IF(ISERROR(ETPT_TPRX!O11),"",IF(ETPT_TPRX!O11=0,"",ETPT_TPRX!O11)))</f>
      </c>
      <c r="P11" s="153">
        <f>IF(ISBLANK(ETPT_TPRX_DDG!$D$5),"",IF(ISERROR(ETPT_TPRX!P11),"",IF(ETPT_TPRX!P11=0,"",ETPT_TPRX!P11)))</f>
      </c>
      <c r="Q11" s="153">
        <f>IF(ISBLANK(ETPT_TPRX_DDG!$D$5),"",IF(ISERROR(ETPT_TPRX!Q11),"",IF(ETPT_TPRX!Q11=0,"",ETPT_TPRX!Q11)))</f>
      </c>
      <c r="R11" s="153">
        <f>IF(ISBLANK(ETPT_TPRX_DDG!$D$5),"",IF(ISERROR(ETPT_TPRX!R11),"",IF(ETPT_TPRX!R11=0,"",ETPT_TPRX!R11)))</f>
      </c>
      <c r="S11" s="146">
        <f t="shared" si="1"/>
        <v>0</v>
      </c>
      <c r="T11" s="153">
        <f>IF(ISBLANK(ETPT_TPRX_DDG!$D$5),"",IF(ISERROR(ETPT_TPRX!T11),"",IF(ETPT_TPRX!T11=0,"",ETPT_TPRX!T11)))</f>
      </c>
      <c r="U11" s="153">
        <f>IF(ISBLANK(ETPT_TPRX_DDG!$D$5),"",IF(ISERROR(ETPT_TPRX!U11),"",IF(ETPT_TPRX!U11=0,"",ETPT_TPRX!U11)))</f>
      </c>
      <c r="V11" s="153">
        <f>IF(ISBLANK(ETPT_TPRX_DDG!$D$5),"",IF(ISERROR(ETPT_TPRX!V11),"",IF(ETPT_TPRX!V11=0,"",ETPT_TPRX!V11)))</f>
      </c>
      <c r="W11" s="153">
        <f>IF(ISBLANK(ETPT_TPRX_DDG!$D$5),"",IF(ISERROR(ETPT_TPRX!W11),"",IF(ETPT_TPRX!W11=0,"",ETPT_TPRX!W11)))</f>
      </c>
      <c r="X11" s="153">
        <f>IF(ISBLANK(ETPT_TPRX_DDG!$D$5),"",IF(ISERROR(ETPT_TPRX!X11),"",IF(ETPT_TPRX!X11=0,"",ETPT_TPRX!X11)))</f>
      </c>
      <c r="Y11" s="153">
        <f>IF(ISBLANK(ETPT_TPRX_DDG!$D$5),"",IF(ISERROR(ETPT_TPRX!Y11),"",IF(ETPT_TPRX!Y11=0,"",ETPT_TPRX!Y11)))</f>
      </c>
      <c r="Z11" s="153">
        <f>IF(ISBLANK(ETPT_TPRX_DDG!$D$5),"",IF(ISERROR(ETPT_TPRX!Z11),"",IF(ETPT_TPRX!Z11=0,"",ETPT_TPRX!Z11)))</f>
      </c>
      <c r="AA11" s="153">
        <f>IF(ISBLANK(ETPT_TPRX_DDG!$D$5),"",IF(ISERROR(ETPT_TPRX!AA11),"",IF(ETPT_TPRX!AA11=0,"",ETPT_TPRX!AA11)))</f>
      </c>
      <c r="AB11" s="153">
        <f>IF(ISBLANK(ETPT_TPRX_DDG!$D$5),"",IF(ISERROR(ETPT_TPRX!AB11),"",IF(ETPT_TPRX!AB11=0,"",ETPT_TPRX!AB11)))</f>
      </c>
      <c r="AC11" s="146">
        <f t="shared" si="2"/>
        <v>0</v>
      </c>
      <c r="AD11" s="153">
        <f>IF(ISBLANK(ETPT_TPRX_DDG!$D$5),"",IF(ISERROR(ETPT_TPRX!AD11),"",IF(ETPT_TPRX!AD11=0,"",ETPT_TPRX!AD11)))</f>
      </c>
      <c r="AE11" s="153">
        <f>IF(ISBLANK(ETPT_TPRX_DDG!$D$5),"",IF(ISERROR(ETPT_TPRX!AE11),"",IF(ETPT_TPRX!AE11=0,"",ETPT_TPRX!AE11)))</f>
      </c>
      <c r="AF11" s="153">
        <f>IF(ISBLANK(ETPT_TPRX_DDG!$D$5),"",IF(ISERROR(ETPT_TPRX!AF11),"",IF(ETPT_TPRX!AF11=0,"",ETPT_TPRX!AF11)))</f>
      </c>
      <c r="AG11" s="146">
        <f t="shared" si="3"/>
        <v>0</v>
      </c>
    </row>
    <row r="12" spans="1:33" x14ac:dyDescent="0.25">
      <c r="A12" s="145" t="s">
        <v>2237</v>
      </c>
      <c r="B12" s="115"/>
      <c r="C12" s="115"/>
      <c r="D12" s="115">
        <f t="shared" si="4"/>
      </c>
      <c r="E12" s="115" t="s">
        <v>2182</v>
      </c>
      <c r="F12" s="207" t="s">
        <v>2183</v>
      </c>
      <c r="G12" s="153">
        <f>IF(ISBLANK(ETPT_TPRX_DDG!$D$5),"",IF(ISERROR(ETPT_TPRX!G12),"",IF(ETPT_TPRX!G12=0,"",ETPT_TPRX!G12)))</f>
      </c>
      <c r="H12" s="146">
        <f t="shared" si="0"/>
        <v>0</v>
      </c>
      <c r="I12" s="153">
        <f>IF(ISBLANK(ETPT_TPRX_DDG!$D$5),"",IF(ISERROR(ETPT_TPRX!I12),"",IF(ETPT_TPRX!I12=0,"",ETPT_TPRX!I12)))</f>
      </c>
      <c r="J12" s="153">
        <f>IF(ISBLANK(ETPT_TPRX_DDG!$D$5),"",IF(ISERROR(ETPT_TPRX!J12),"",IF(ETPT_TPRX!J12=0,"",ETPT_TPRX!J12)))</f>
      </c>
      <c r="K12" s="153">
        <f>IF(ISBLANK(ETPT_TPRX_DDG!$D$5),"",IF(ISERROR(ETPT_TPRX!K12),"",IF(ETPT_TPRX!K12=0,"",ETPT_TPRX!K12)))</f>
      </c>
      <c r="L12" s="153">
        <f>IF(ISBLANK(ETPT_TPRX_DDG!$D$5),"",IF(ISERROR(ETPT_TPRX!L12),"",IF(ETPT_TPRX!L12=0,"",ETPT_TPRX!L12)))</f>
      </c>
      <c r="M12" s="153">
        <f>IF(ISBLANK(ETPT_TPRX_DDG!$D$5),"",IF(ISERROR(ETPT_TPRX!M12),"",IF(ETPT_TPRX!M12=0,"",ETPT_TPRX!M12)))</f>
      </c>
      <c r="N12" s="153">
        <f>IF(ISBLANK(ETPT_TPRX_DDG!$D$5),"",IF(ISERROR(ETPT_TPRX!N12),"",IF(ETPT_TPRX!N12=0,"",ETPT_TPRX!N12)))</f>
      </c>
      <c r="O12" s="153">
        <f>IF(ISBLANK(ETPT_TPRX_DDG!$D$5),"",IF(ISERROR(ETPT_TPRX!O12),"",IF(ETPT_TPRX!O12=0,"",ETPT_TPRX!O12)))</f>
      </c>
      <c r="P12" s="153">
        <f>IF(ISBLANK(ETPT_TPRX_DDG!$D$5),"",IF(ISERROR(ETPT_TPRX!P12),"",IF(ETPT_TPRX!P12=0,"",ETPT_TPRX!P12)))</f>
      </c>
      <c r="Q12" s="153">
        <f>IF(ISBLANK(ETPT_TPRX_DDG!$D$5),"",IF(ISERROR(ETPT_TPRX!Q12),"",IF(ETPT_TPRX!Q12=0,"",ETPT_TPRX!Q12)))</f>
      </c>
      <c r="R12" s="153">
        <f>IF(ISBLANK(ETPT_TPRX_DDG!$D$5),"",IF(ISERROR(ETPT_TPRX!R12),"",IF(ETPT_TPRX!R12=0,"",ETPT_TPRX!R12)))</f>
      </c>
      <c r="S12" s="146">
        <f t="shared" si="1"/>
        <v>0</v>
      </c>
      <c r="T12" s="153">
        <f>IF(ISBLANK(ETPT_TPRX_DDG!$D$5),"",IF(ISERROR(ETPT_TPRX!T12),"",IF(ETPT_TPRX!T12=0,"",ETPT_TPRX!T12)))</f>
      </c>
      <c r="U12" s="153">
        <f>IF(ISBLANK(ETPT_TPRX_DDG!$D$5),"",IF(ISERROR(ETPT_TPRX!U12),"",IF(ETPT_TPRX!U12=0,"",ETPT_TPRX!U12)))</f>
      </c>
      <c r="V12" s="153">
        <f>IF(ISBLANK(ETPT_TPRX_DDG!$D$5),"",IF(ISERROR(ETPT_TPRX!V12),"",IF(ETPT_TPRX!V12=0,"",ETPT_TPRX!V12)))</f>
      </c>
      <c r="W12" s="153">
        <f>IF(ISBLANK(ETPT_TPRX_DDG!$D$5),"",IF(ISERROR(ETPT_TPRX!W12),"",IF(ETPT_TPRX!W12=0,"",ETPT_TPRX!W12)))</f>
      </c>
      <c r="X12" s="153">
        <f>IF(ISBLANK(ETPT_TPRX_DDG!$D$5),"",IF(ISERROR(ETPT_TPRX!X12),"",IF(ETPT_TPRX!X12=0,"",ETPT_TPRX!X12)))</f>
      </c>
      <c r="Y12" s="153">
        <f>IF(ISBLANK(ETPT_TPRX_DDG!$D$5),"",IF(ISERROR(ETPT_TPRX!Y12),"",IF(ETPT_TPRX!Y12=0,"",ETPT_TPRX!Y12)))</f>
      </c>
      <c r="Z12" s="153">
        <f>IF(ISBLANK(ETPT_TPRX_DDG!$D$5),"",IF(ISERROR(ETPT_TPRX!Z12),"",IF(ETPT_TPRX!Z12=0,"",ETPT_TPRX!Z12)))</f>
      </c>
      <c r="AA12" s="153">
        <f>IF(ISBLANK(ETPT_TPRX_DDG!$D$5),"",IF(ISERROR(ETPT_TPRX!AA12),"",IF(ETPT_TPRX!AA12=0,"",ETPT_TPRX!AA12)))</f>
      </c>
      <c r="AB12" s="153">
        <f>IF(ISBLANK(ETPT_TPRX_DDG!$D$5),"",IF(ISERROR(ETPT_TPRX!AB12),"",IF(ETPT_TPRX!AB12=0,"",ETPT_TPRX!AB12)))</f>
      </c>
      <c r="AC12" s="146">
        <f t="shared" si="2"/>
        <v>0</v>
      </c>
      <c r="AD12" s="153">
        <f>IF(ISBLANK(ETPT_TPRX_DDG!$D$5),"",IF(ISERROR(ETPT_TPRX!AD12),"",IF(ETPT_TPRX!AD12=0,"",ETPT_TPRX!AD12)))</f>
      </c>
      <c r="AE12" s="153">
        <f>IF(ISBLANK(ETPT_TPRX_DDG!$D$5),"",IF(ISERROR(ETPT_TPRX!AE12),"",IF(ETPT_TPRX!AE12=0,"",ETPT_TPRX!AE12)))</f>
      </c>
      <c r="AF12" s="153">
        <f>IF(ISBLANK(ETPT_TPRX_DDG!$D$5),"",IF(ISERROR(ETPT_TPRX!AF12),"",IF(ETPT_TPRX!AF12=0,"",ETPT_TPRX!AF12)))</f>
      </c>
      <c r="AG12" s="146">
        <f t="shared" si="3"/>
        <v>0</v>
      </c>
    </row>
    <row r="13" spans="1:33" x14ac:dyDescent="0.25">
      <c r="A13" s="145" t="s">
        <v>2237</v>
      </c>
      <c r="B13" s="115"/>
      <c r="C13" s="115"/>
      <c r="D13" s="115">
        <f t="shared" si="4"/>
      </c>
      <c r="E13" s="115" t="s">
        <v>2184</v>
      </c>
      <c r="F13" s="207" t="s">
        <v>2185</v>
      </c>
      <c r="G13" s="153">
        <f>IF(ISBLANK(ETPT_TPRX_DDG!$D$5),"",IF(ISERROR(ETPT_TPRX!G13),"",IF(ETPT_TPRX!G13=0,"",ETPT_TPRX!G13)))</f>
      </c>
      <c r="H13" s="146">
        <f t="shared" si="0"/>
        <v>0</v>
      </c>
      <c r="I13" s="153">
        <f>IF(ISBLANK(ETPT_TPRX_DDG!$D$5),"",IF(ISERROR(ETPT_TPRX!I13),"",IF(ETPT_TPRX!I13=0,"",ETPT_TPRX!I13)))</f>
      </c>
      <c r="J13" s="153">
        <f>IF(ISBLANK(ETPT_TPRX_DDG!$D$5),"",IF(ISERROR(ETPT_TPRX!J13),"",IF(ETPT_TPRX!J13=0,"",ETPT_TPRX!J13)))</f>
      </c>
      <c r="K13" s="153">
        <f>IF(ISBLANK(ETPT_TPRX_DDG!$D$5),"",IF(ISERROR(ETPT_TPRX!K13),"",IF(ETPT_TPRX!K13=0,"",ETPT_TPRX!K13)))</f>
      </c>
      <c r="L13" s="153">
        <f>IF(ISBLANK(ETPT_TPRX_DDG!$D$5),"",IF(ISERROR(ETPT_TPRX!L13),"",IF(ETPT_TPRX!L13=0,"",ETPT_TPRX!L13)))</f>
      </c>
      <c r="M13" s="153">
        <f>IF(ISBLANK(ETPT_TPRX_DDG!$D$5),"",IF(ISERROR(ETPT_TPRX!M13),"",IF(ETPT_TPRX!M13=0,"",ETPT_TPRX!M13)))</f>
      </c>
      <c r="N13" s="153">
        <f>IF(ISBLANK(ETPT_TPRX_DDG!$D$5),"",IF(ISERROR(ETPT_TPRX!N13),"",IF(ETPT_TPRX!N13=0,"",ETPT_TPRX!N13)))</f>
      </c>
      <c r="O13" s="153">
        <f>IF(ISBLANK(ETPT_TPRX_DDG!$D$5),"",IF(ISERROR(ETPT_TPRX!O13),"",IF(ETPT_TPRX!O13=0,"",ETPT_TPRX!O13)))</f>
      </c>
      <c r="P13" s="153">
        <f>IF(ISBLANK(ETPT_TPRX_DDG!$D$5),"",IF(ISERROR(ETPT_TPRX!P13),"",IF(ETPT_TPRX!P13=0,"",ETPT_TPRX!P13)))</f>
      </c>
      <c r="Q13" s="153">
        <f>IF(ISBLANK(ETPT_TPRX_DDG!$D$5),"",IF(ISERROR(ETPT_TPRX!Q13),"",IF(ETPT_TPRX!Q13=0,"",ETPT_TPRX!Q13)))</f>
      </c>
      <c r="R13" s="153">
        <f>IF(ISBLANK(ETPT_TPRX_DDG!$D$5),"",IF(ISERROR(ETPT_TPRX!R13),"",IF(ETPT_TPRX!R13=0,"",ETPT_TPRX!R13)))</f>
      </c>
      <c r="S13" s="146">
        <f t="shared" si="1"/>
        <v>0</v>
      </c>
      <c r="T13" s="153">
        <f>IF(ISBLANK(ETPT_TPRX_DDG!$D$5),"",IF(ISERROR(ETPT_TPRX!T13),"",IF(ETPT_TPRX!T13=0,"",ETPT_TPRX!T13)))</f>
      </c>
      <c r="U13" s="153">
        <f>IF(ISBLANK(ETPT_TPRX_DDG!$D$5),"",IF(ISERROR(ETPT_TPRX!U13),"",IF(ETPT_TPRX!U13=0,"",ETPT_TPRX!U13)))</f>
      </c>
      <c r="V13" s="153">
        <f>IF(ISBLANK(ETPT_TPRX_DDG!$D$5),"",IF(ISERROR(ETPT_TPRX!V13),"",IF(ETPT_TPRX!V13=0,"",ETPT_TPRX!V13)))</f>
      </c>
      <c r="W13" s="153">
        <f>IF(ISBLANK(ETPT_TPRX_DDG!$D$5),"",IF(ISERROR(ETPT_TPRX!W13),"",IF(ETPT_TPRX!W13=0,"",ETPT_TPRX!W13)))</f>
      </c>
      <c r="X13" s="153">
        <f>IF(ISBLANK(ETPT_TPRX_DDG!$D$5),"",IF(ISERROR(ETPT_TPRX!X13),"",IF(ETPT_TPRX!X13=0,"",ETPT_TPRX!X13)))</f>
      </c>
      <c r="Y13" s="153">
        <f>IF(ISBLANK(ETPT_TPRX_DDG!$D$5),"",IF(ISERROR(ETPT_TPRX!Y13),"",IF(ETPT_TPRX!Y13=0,"",ETPT_TPRX!Y13)))</f>
      </c>
      <c r="Z13" s="153">
        <f>IF(ISBLANK(ETPT_TPRX_DDG!$D$5),"",IF(ISERROR(ETPT_TPRX!Z13),"",IF(ETPT_TPRX!Z13=0,"",ETPT_TPRX!Z13)))</f>
      </c>
      <c r="AA13" s="153">
        <f>IF(ISBLANK(ETPT_TPRX_DDG!$D$5),"",IF(ISERROR(ETPT_TPRX!AA13),"",IF(ETPT_TPRX!AA13=0,"",ETPT_TPRX!AA13)))</f>
      </c>
      <c r="AB13" s="153">
        <f>IF(ISBLANK(ETPT_TPRX_DDG!$D$5),"",IF(ISERROR(ETPT_TPRX!AB13),"",IF(ETPT_TPRX!AB13=0,"",ETPT_TPRX!AB13)))</f>
      </c>
      <c r="AC13" s="146">
        <f t="shared" si="2"/>
        <v>0</v>
      </c>
      <c r="AD13" s="153">
        <f>IF(ISBLANK(ETPT_TPRX_DDG!$D$5),"",IF(ISERROR(ETPT_TPRX!AD13),"",IF(ETPT_TPRX!AD13=0,"",ETPT_TPRX!AD13)))</f>
      </c>
      <c r="AE13" s="153">
        <f>IF(ISBLANK(ETPT_TPRX_DDG!$D$5),"",IF(ISERROR(ETPT_TPRX!AE13),"",IF(ETPT_TPRX!AE13=0,"",ETPT_TPRX!AE13)))</f>
      </c>
      <c r="AF13" s="153">
        <f>IF(ISBLANK(ETPT_TPRX_DDG!$D$5),"",IF(ISERROR(ETPT_TPRX!AF13),"",IF(ETPT_TPRX!AF13=0,"",ETPT_TPRX!AF13)))</f>
      </c>
      <c r="AG13" s="146">
        <f t="shared" si="3"/>
        <v>0</v>
      </c>
    </row>
    <row r="14" spans="1:33" x14ac:dyDescent="0.25">
      <c r="A14" s="145" t="s">
        <v>2237</v>
      </c>
      <c r="B14" s="115"/>
      <c r="C14" s="115"/>
      <c r="D14" s="115">
        <f t="shared" si="4"/>
      </c>
      <c r="E14" s="115" t="s">
        <v>2186</v>
      </c>
      <c r="F14" s="207" t="s">
        <v>2187</v>
      </c>
      <c r="G14" s="153">
        <f>IF(ISBLANK(ETPT_TPRX_DDG!$D$5),"",IF(ISERROR(ETPT_TPRX!G14),"",IF(ETPT_TPRX!G14=0,"",ETPT_TPRX!G14)))</f>
      </c>
      <c r="H14" s="146">
        <f t="shared" si="0"/>
        <v>0</v>
      </c>
      <c r="I14" s="153">
        <f>IF(ISBLANK(ETPT_TPRX_DDG!$D$5),"",IF(ISERROR(ETPT_TPRX!I14),"",IF(ETPT_TPRX!I14=0,"",ETPT_TPRX!I14)))</f>
      </c>
      <c r="J14" s="153">
        <f>IF(ISBLANK(ETPT_TPRX_DDG!$D$5),"",IF(ISERROR(ETPT_TPRX!J14),"",IF(ETPT_TPRX!J14=0,"",ETPT_TPRX!J14)))</f>
      </c>
      <c r="K14" s="153">
        <f>IF(ISBLANK(ETPT_TPRX_DDG!$D$5),"",IF(ISERROR(ETPT_TPRX!K14),"",IF(ETPT_TPRX!K14=0,"",ETPT_TPRX!K14)))</f>
      </c>
      <c r="L14" s="153">
        <f>IF(ISBLANK(ETPT_TPRX_DDG!$D$5),"",IF(ISERROR(ETPT_TPRX!L14),"",IF(ETPT_TPRX!L14=0,"",ETPT_TPRX!L14)))</f>
      </c>
      <c r="M14" s="153">
        <f>IF(ISBLANK(ETPT_TPRX_DDG!$D$5),"",IF(ISERROR(ETPT_TPRX!M14),"",IF(ETPT_TPRX!M14=0,"",ETPT_TPRX!M14)))</f>
      </c>
      <c r="N14" s="153">
        <f>IF(ISBLANK(ETPT_TPRX_DDG!$D$5),"",IF(ISERROR(ETPT_TPRX!N14),"",IF(ETPT_TPRX!N14=0,"",ETPT_TPRX!N14)))</f>
      </c>
      <c r="O14" s="153">
        <f>IF(ISBLANK(ETPT_TPRX_DDG!$D$5),"",IF(ISERROR(ETPT_TPRX!O14),"",IF(ETPT_TPRX!O14=0,"",ETPT_TPRX!O14)))</f>
      </c>
      <c r="P14" s="153">
        <f>IF(ISBLANK(ETPT_TPRX_DDG!$D$5),"",IF(ISERROR(ETPT_TPRX!P14),"",IF(ETPT_TPRX!P14=0,"",ETPT_TPRX!P14)))</f>
      </c>
      <c r="Q14" s="153">
        <f>IF(ISBLANK(ETPT_TPRX_DDG!$D$5),"",IF(ISERROR(ETPT_TPRX!Q14),"",IF(ETPT_TPRX!Q14=0,"",ETPT_TPRX!Q14)))</f>
      </c>
      <c r="R14" s="153">
        <f>IF(ISBLANK(ETPT_TPRX_DDG!$D$5),"",IF(ISERROR(ETPT_TPRX!R14),"",IF(ETPT_TPRX!R14=0,"",ETPT_TPRX!R14)))</f>
      </c>
      <c r="S14" s="146">
        <f t="shared" si="1"/>
        <v>0</v>
      </c>
      <c r="T14" s="153">
        <f>IF(ISBLANK(ETPT_TPRX_DDG!$D$5),"",IF(ISERROR(ETPT_TPRX!T14),"",IF(ETPT_TPRX!T14=0,"",ETPT_TPRX!T14)))</f>
      </c>
      <c r="U14" s="153">
        <f>IF(ISBLANK(ETPT_TPRX_DDG!$D$5),"",IF(ISERROR(ETPT_TPRX!U14),"",IF(ETPT_TPRX!U14=0,"",ETPT_TPRX!U14)))</f>
      </c>
      <c r="V14" s="153">
        <f>IF(ISBLANK(ETPT_TPRX_DDG!$D$5),"",IF(ISERROR(ETPT_TPRX!V14),"",IF(ETPT_TPRX!V14=0,"",ETPT_TPRX!V14)))</f>
      </c>
      <c r="W14" s="153">
        <f>IF(ISBLANK(ETPT_TPRX_DDG!$D$5),"",IF(ISERROR(ETPT_TPRX!W14),"",IF(ETPT_TPRX!W14=0,"",ETPT_TPRX!W14)))</f>
      </c>
      <c r="X14" s="153">
        <f>IF(ISBLANK(ETPT_TPRX_DDG!$D$5),"",IF(ISERROR(ETPT_TPRX!X14),"",IF(ETPT_TPRX!X14=0,"",ETPT_TPRX!X14)))</f>
      </c>
      <c r="Y14" s="153">
        <f>IF(ISBLANK(ETPT_TPRX_DDG!$D$5),"",IF(ISERROR(ETPT_TPRX!Y14),"",IF(ETPT_TPRX!Y14=0,"",ETPT_TPRX!Y14)))</f>
      </c>
      <c r="Z14" s="153">
        <f>IF(ISBLANK(ETPT_TPRX_DDG!$D$5),"",IF(ISERROR(ETPT_TPRX!Z14),"",IF(ETPT_TPRX!Z14=0,"",ETPT_TPRX!Z14)))</f>
      </c>
      <c r="AA14" s="153">
        <f>IF(ISBLANK(ETPT_TPRX_DDG!$D$5),"",IF(ISERROR(ETPT_TPRX!AA14),"",IF(ETPT_TPRX!AA14=0,"",ETPT_TPRX!AA14)))</f>
      </c>
      <c r="AB14" s="153">
        <f>IF(ISBLANK(ETPT_TPRX_DDG!$D$5),"",IF(ISERROR(ETPT_TPRX!AB14),"",IF(ETPT_TPRX!AB14=0,"",ETPT_TPRX!AB14)))</f>
      </c>
      <c r="AC14" s="146">
        <f t="shared" si="2"/>
        <v>0</v>
      </c>
      <c r="AD14" s="153">
        <f>IF(ISBLANK(ETPT_TPRX_DDG!$D$5),"",IF(ISERROR(ETPT_TPRX!AD14),"",IF(ETPT_TPRX!AD14=0,"",ETPT_TPRX!AD14)))</f>
      </c>
      <c r="AE14" s="153">
        <f>IF(ISBLANK(ETPT_TPRX_DDG!$D$5),"",IF(ISERROR(ETPT_TPRX!AE14),"",IF(ETPT_TPRX!AE14=0,"",ETPT_TPRX!AE14)))</f>
      </c>
      <c r="AF14" s="153">
        <f>IF(ISBLANK(ETPT_TPRX_DDG!$D$5),"",IF(ISERROR(ETPT_TPRX!AF14),"",IF(ETPT_TPRX!AF14=0,"",ETPT_TPRX!AF14)))</f>
      </c>
      <c r="AG14" s="146">
        <f t="shared" si="3"/>
        <v>0</v>
      </c>
    </row>
    <row r="15" spans="1:33" x14ac:dyDescent="0.25">
      <c r="A15" s="145" t="s">
        <v>2237</v>
      </c>
      <c r="B15" s="115"/>
      <c r="C15" s="115"/>
      <c r="D15" s="115">
        <f t="shared" si="4"/>
      </c>
      <c r="E15" s="115" t="s">
        <v>2188</v>
      </c>
      <c r="F15" s="207" t="s">
        <v>2189</v>
      </c>
      <c r="G15" s="153">
        <f>IF(ISBLANK(ETPT_TPRX_DDG!$D$5),"",IF(ISERROR(ETPT_TPRX!G15),"",IF(ETPT_TPRX!G15=0,"",ETPT_TPRX!G15)))</f>
      </c>
      <c r="H15" s="146">
        <f t="shared" si="0"/>
        <v>0</v>
      </c>
      <c r="I15" s="153">
        <f>IF(ISBLANK(ETPT_TPRX_DDG!$D$5),"",IF(ISERROR(ETPT_TPRX!I15),"",IF(ETPT_TPRX!I15=0,"",ETPT_TPRX!I15)))</f>
      </c>
      <c r="J15" s="153">
        <f>IF(ISBLANK(ETPT_TPRX_DDG!$D$5),"",IF(ISERROR(ETPT_TPRX!J15),"",IF(ETPT_TPRX!J15=0,"",ETPT_TPRX!J15)))</f>
      </c>
      <c r="K15" s="153">
        <f>IF(ISBLANK(ETPT_TPRX_DDG!$D$5),"",IF(ISERROR(ETPT_TPRX!K15),"",IF(ETPT_TPRX!K15=0,"",ETPT_TPRX!K15)))</f>
      </c>
      <c r="L15" s="153">
        <f>IF(ISBLANK(ETPT_TPRX_DDG!$D$5),"",IF(ISERROR(ETPT_TPRX!L15),"",IF(ETPT_TPRX!L15=0,"",ETPT_TPRX!L15)))</f>
      </c>
      <c r="M15" s="153">
        <f>IF(ISBLANK(ETPT_TPRX_DDG!$D$5),"",IF(ISERROR(ETPT_TPRX!M15),"",IF(ETPT_TPRX!M15=0,"",ETPT_TPRX!M15)))</f>
      </c>
      <c r="N15" s="153">
        <f>IF(ISBLANK(ETPT_TPRX_DDG!$D$5),"",IF(ISERROR(ETPT_TPRX!N15),"",IF(ETPT_TPRX!N15=0,"",ETPT_TPRX!N15)))</f>
      </c>
      <c r="O15" s="153">
        <f>IF(ISBLANK(ETPT_TPRX_DDG!$D$5),"",IF(ISERROR(ETPT_TPRX!O15),"",IF(ETPT_TPRX!O15=0,"",ETPT_TPRX!O15)))</f>
      </c>
      <c r="P15" s="153">
        <f>IF(ISBLANK(ETPT_TPRX_DDG!$D$5),"",IF(ISERROR(ETPT_TPRX!P15),"",IF(ETPT_TPRX!P15=0,"",ETPT_TPRX!P15)))</f>
      </c>
      <c r="Q15" s="153">
        <f>IF(ISBLANK(ETPT_TPRX_DDG!$D$5),"",IF(ISERROR(ETPT_TPRX!Q15),"",IF(ETPT_TPRX!Q15=0,"",ETPT_TPRX!Q15)))</f>
      </c>
      <c r="R15" s="153">
        <f>IF(ISBLANK(ETPT_TPRX_DDG!$D$5),"",IF(ISERROR(ETPT_TPRX!R15),"",IF(ETPT_TPRX!R15=0,"",ETPT_TPRX!R15)))</f>
      </c>
      <c r="S15" s="146">
        <f t="shared" si="1"/>
        <v>0</v>
      </c>
      <c r="T15" s="153">
        <f>IF(ISBLANK(ETPT_TPRX_DDG!$D$5),"",IF(ISERROR(ETPT_TPRX!T15),"",IF(ETPT_TPRX!T15=0,"",ETPT_TPRX!T15)))</f>
      </c>
      <c r="U15" s="153">
        <f>IF(ISBLANK(ETPT_TPRX_DDG!$D$5),"",IF(ISERROR(ETPT_TPRX!U15),"",IF(ETPT_TPRX!U15=0,"",ETPT_TPRX!U15)))</f>
      </c>
      <c r="V15" s="153">
        <f>IF(ISBLANK(ETPT_TPRX_DDG!$D$5),"",IF(ISERROR(ETPT_TPRX!V15),"",IF(ETPT_TPRX!V15=0,"",ETPT_TPRX!V15)))</f>
      </c>
      <c r="W15" s="153">
        <f>IF(ISBLANK(ETPT_TPRX_DDG!$D$5),"",IF(ISERROR(ETPT_TPRX!W15),"",IF(ETPT_TPRX!W15=0,"",ETPT_TPRX!W15)))</f>
      </c>
      <c r="X15" s="153">
        <f>IF(ISBLANK(ETPT_TPRX_DDG!$D$5),"",IF(ISERROR(ETPT_TPRX!X15),"",IF(ETPT_TPRX!X15=0,"",ETPT_TPRX!X15)))</f>
      </c>
      <c r="Y15" s="153">
        <f>IF(ISBLANK(ETPT_TPRX_DDG!$D$5),"",IF(ISERROR(ETPT_TPRX!Y15),"",IF(ETPT_TPRX!Y15=0,"",ETPT_TPRX!Y15)))</f>
      </c>
      <c r="Z15" s="153">
        <f>IF(ISBLANK(ETPT_TPRX_DDG!$D$5),"",IF(ISERROR(ETPT_TPRX!Z15),"",IF(ETPT_TPRX!Z15=0,"",ETPT_TPRX!Z15)))</f>
      </c>
      <c r="AA15" s="153">
        <f>IF(ISBLANK(ETPT_TPRX_DDG!$D$5),"",IF(ISERROR(ETPT_TPRX!AA15),"",IF(ETPT_TPRX!AA15=0,"",ETPT_TPRX!AA15)))</f>
      </c>
      <c r="AB15" s="153">
        <f>IF(ISBLANK(ETPT_TPRX_DDG!$D$5),"",IF(ISERROR(ETPT_TPRX!AB15),"",IF(ETPT_TPRX!AB15=0,"",ETPT_TPRX!AB15)))</f>
      </c>
      <c r="AC15" s="146">
        <f t="shared" si="2"/>
        <v>0</v>
      </c>
      <c r="AD15" s="153">
        <f>IF(ISBLANK(ETPT_TPRX_DDG!$D$5),"",IF(ISERROR(ETPT_TPRX!AD15),"",IF(ETPT_TPRX!AD15=0,"",ETPT_TPRX!AD15)))</f>
      </c>
      <c r="AE15" s="153">
        <f>IF(ISBLANK(ETPT_TPRX_DDG!$D$5),"",IF(ISERROR(ETPT_TPRX!AE15),"",IF(ETPT_TPRX!AE15=0,"",ETPT_TPRX!AE15)))</f>
      </c>
      <c r="AF15" s="153">
        <f>IF(ISBLANK(ETPT_TPRX_DDG!$D$5),"",IF(ISERROR(ETPT_TPRX!AF15),"",IF(ETPT_TPRX!AF15=0,"",ETPT_TPRX!AF15)))</f>
      </c>
      <c r="AG15" s="146">
        <f t="shared" si="3"/>
        <v>0</v>
      </c>
    </row>
    <row r="16" spans="1:33" x14ac:dyDescent="0.25">
      <c r="A16" s="145"/>
      <c r="B16" s="155"/>
      <c r="C16" s="155"/>
      <c r="D16" s="155"/>
      <c r="E16" s="155"/>
      <c r="F16" s="208" t="s">
        <v>2190</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2192</v>
      </c>
      <c r="G18" s="199">
        <f>IF(ISBLANK(ETPT_TPRX_DDG!$D$5),"",IF(ISERROR(ETPT_TPRX!G18),"",IF(ETPT_TPRX!G18=0,"",ETPT_TPRX!G18)))</f>
      </c>
      <c r="H18" s="210"/>
      <c r="I18" s="210"/>
      <c r="J18" s="210"/>
      <c r="K18" s="210"/>
      <c r="L18" s="192"/>
      <c r="M18" s="192"/>
      <c r="N18" s="192"/>
      <c r="O18" s="192"/>
      <c r="P18" s="192"/>
      <c r="Q18" s="200" t="s">
        <v>2193</v>
      </c>
      <c r="R18" s="199">
        <f>IF(ISBLANK(ETPT_TPRX_DDG!$D$5),"",IF(ISERROR(ETPT_TPRX!R18),"",IF(ETPT_TPRX!R18=0,"",ETPT_TPRX!R18)))</f>
      </c>
      <c r="S18" s="192"/>
      <c r="T18" s="192"/>
      <c r="U18" s="192"/>
      <c r="V18" s="192"/>
      <c r="W18" s="192"/>
      <c r="X18" s="192"/>
      <c r="Y18" s="192"/>
      <c r="Z18" s="192"/>
      <c r="AA18" s="192"/>
      <c r="AB18" s="192"/>
      <c r="AC18" s="192"/>
      <c r="AD18" s="210"/>
      <c r="AE18" s="200" t="s">
        <v>2194</v>
      </c>
      <c r="AF18" s="199">
        <f>IF(ISBLANK(ETPT_TPRX_DDG!$D$5),"",IF(ISERROR(ETPT_TPRX!AF18),"",IF(ETPT_TPRX!AF18=0,"",ETPT_TPRX!AF18)))</f>
      </c>
      <c r="AG18" s="192"/>
    </row>
    <row r="20" spans="5:11" x14ac:dyDescent="0.25">
      <c r="E20" s="211" t="s">
        <v>2281</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2282</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1" sqref="D1"/>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2244</v>
      </c>
      <c r="B1" s="42"/>
      <c r="C1" s="42"/>
      <c r="D1" s="41" t="s">
        <v>2283</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3"/>
      <c r="B2" s="163"/>
      <c r="C2" s="163"/>
      <c r="D2" s="163"/>
      <c r="E2" s="163"/>
      <c r="F2" s="163"/>
      <c r="G2" s="95" t="s">
        <v>2063</v>
      </c>
      <c r="H2" s="96" t="s">
        <v>2064</v>
      </c>
    </row>
    <row r="3" ht="36" customHeight="1" hidden="1" spans="1:8" x14ac:dyDescent="0.25">
      <c r="A3" s="163"/>
      <c r="B3" s="163"/>
      <c r="C3" s="163"/>
      <c r="D3" s="163"/>
      <c r="E3" s="163"/>
      <c r="F3" s="163"/>
      <c r="G3" s="95" t="s">
        <v>2084</v>
      </c>
      <c r="H3" s="96"/>
    </row>
    <row r="4" ht="36" customHeight="1" spans="1:8" x14ac:dyDescent="0.25">
      <c r="A4" s="164"/>
      <c r="B4" s="165" t="s">
        <v>2114</v>
      </c>
      <c r="C4" s="165" t="s">
        <v>2115</v>
      </c>
      <c r="D4" s="165" t="s">
        <v>37</v>
      </c>
      <c r="E4" s="165" t="s">
        <v>2116</v>
      </c>
      <c r="F4" s="165" t="s">
        <v>2117</v>
      </c>
      <c r="G4" s="95" t="s">
        <v>2132</v>
      </c>
      <c r="H4" s="96"/>
    </row>
    <row r="5" spans="1:8" x14ac:dyDescent="0.25">
      <c r="A5" s="166" t="s">
        <v>2243</v>
      </c>
      <c r="B5" s="167"/>
      <c r="C5" s="167"/>
      <c r="D5" s="212" t="s">
        <v>151</v>
      </c>
      <c r="E5" s="167" t="s">
        <v>2165</v>
      </c>
      <c r="F5" s="184" t="s">
        <v>2166</v>
      </c>
      <c r="G5" s="154">
        <f>IF(ISBLANK(ETPT_CPH_DDG!$D$5),"",IF(ISERROR(ETPT_CPH!G5),"",IF(ETPT_CPH!G5=0,"",ETPT_CPH!G5)))</f>
      </c>
      <c r="H5" s="213">
        <f t="shared" ref="H5:H13" si="0">SUM(G5)</f>
        <v>0</v>
      </c>
    </row>
    <row r="6" spans="1:8" x14ac:dyDescent="0.25">
      <c r="A6" s="166" t="s">
        <v>2243</v>
      </c>
      <c r="B6" s="167"/>
      <c r="C6" s="167"/>
      <c r="D6" s="115">
        <f t="shared" ref="D6:D13" si="1">IF(ISBLANK($D$5),"",$D$5)</f>
      </c>
      <c r="E6" s="167" t="s">
        <v>2174</v>
      </c>
      <c r="F6" s="184" t="s">
        <v>2175</v>
      </c>
      <c r="G6" s="154">
        <f>IF(ISBLANK(ETPT_CPH_DDG!$D$5),"",IF(ISERROR(ETPT_CPH!G6),"",IF(ETPT_CPH!G6=0,"",ETPT_CPH!G6)))</f>
      </c>
      <c r="H6" s="213">
        <f t="shared" si="0"/>
        <v>0</v>
      </c>
    </row>
    <row r="7" spans="1:8" x14ac:dyDescent="0.25">
      <c r="A7" s="166" t="s">
        <v>2243</v>
      </c>
      <c r="B7" s="167"/>
      <c r="C7" s="167"/>
      <c r="D7" s="115">
        <f t="shared" si="1"/>
      </c>
      <c r="E7" s="167" t="s">
        <v>2176</v>
      </c>
      <c r="F7" s="184" t="s">
        <v>2177</v>
      </c>
      <c r="G7" s="154">
        <f>IF(ISBLANK(ETPT_CPH_DDG!$D$5),"",IF(ISERROR(ETPT_CPH!G7),"",IF(ETPT_CPH!G7=0,"",ETPT_CPH!G7)))</f>
      </c>
      <c r="H7" s="213">
        <f t="shared" si="0"/>
        <v>0</v>
      </c>
    </row>
    <row r="8" spans="1:8" x14ac:dyDescent="0.25">
      <c r="A8" s="166" t="s">
        <v>2243</v>
      </c>
      <c r="B8" s="167"/>
      <c r="C8" s="167"/>
      <c r="D8" s="115">
        <f t="shared" si="1"/>
      </c>
      <c r="E8" s="167" t="s">
        <v>2178</v>
      </c>
      <c r="F8" s="184" t="s">
        <v>2179</v>
      </c>
      <c r="G8" s="154">
        <f>IF(ISBLANK(ETPT_CPH_DDG!$D$5),"",IF(ISERROR(ETPT_CPH!G8),"",IF(ETPT_CPH!G8=0,"",ETPT_CPH!G8)))</f>
      </c>
      <c r="H8" s="213">
        <f t="shared" si="0"/>
        <v>0</v>
      </c>
    </row>
    <row r="9" spans="1:8" x14ac:dyDescent="0.25">
      <c r="A9" s="166" t="s">
        <v>2243</v>
      </c>
      <c r="B9" s="167"/>
      <c r="C9" s="167"/>
      <c r="D9" s="115">
        <f t="shared" si="1"/>
      </c>
      <c r="E9" s="167" t="s">
        <v>2180</v>
      </c>
      <c r="F9" s="184" t="s">
        <v>2181</v>
      </c>
      <c r="G9" s="154">
        <f>IF(ISBLANK(ETPT_CPH_DDG!$D$5),"",IF(ISERROR(ETPT_CPH!G9),"",IF(ETPT_CPH!G9=0,"",ETPT_CPH!G9)))</f>
      </c>
      <c r="H9" s="213">
        <f t="shared" si="0"/>
        <v>0</v>
      </c>
    </row>
    <row r="10" spans="1:8" x14ac:dyDescent="0.25">
      <c r="A10" s="166" t="s">
        <v>2243</v>
      </c>
      <c r="B10" s="167"/>
      <c r="C10" s="167"/>
      <c r="D10" s="115">
        <f t="shared" si="1"/>
      </c>
      <c r="E10" s="167" t="s">
        <v>2182</v>
      </c>
      <c r="F10" s="184" t="s">
        <v>2183</v>
      </c>
      <c r="G10" s="154">
        <f>IF(ISBLANK(ETPT_CPH_DDG!$D$5),"",IF(ISERROR(ETPT_CPH!G10),"",IF(ETPT_CPH!G10=0,"",ETPT_CPH!G10)))</f>
      </c>
      <c r="H10" s="213">
        <f t="shared" si="0"/>
        <v>0</v>
      </c>
    </row>
    <row r="11" spans="1:8" x14ac:dyDescent="0.25">
      <c r="A11" s="166" t="s">
        <v>2243</v>
      </c>
      <c r="B11" s="167"/>
      <c r="C11" s="167"/>
      <c r="D11" s="115">
        <f t="shared" si="1"/>
      </c>
      <c r="E11" s="167" t="s">
        <v>2184</v>
      </c>
      <c r="F11" s="184" t="s">
        <v>2185</v>
      </c>
      <c r="G11" s="154">
        <f>IF(ISBLANK(ETPT_CPH_DDG!$D$5),"",IF(ISERROR(ETPT_CPH!G11),"",IF(ETPT_CPH!G11=0,"",ETPT_CPH!G11)))</f>
      </c>
      <c r="H11" s="213">
        <f t="shared" si="0"/>
        <v>0</v>
      </c>
    </row>
    <row r="12" spans="1:8" x14ac:dyDescent="0.25">
      <c r="A12" s="166" t="s">
        <v>2243</v>
      </c>
      <c r="B12" s="167"/>
      <c r="C12" s="167"/>
      <c r="D12" s="115">
        <f t="shared" si="1"/>
      </c>
      <c r="E12" s="167" t="s">
        <v>2186</v>
      </c>
      <c r="F12" s="184" t="s">
        <v>2187</v>
      </c>
      <c r="G12" s="154">
        <f>IF(ISBLANK(ETPT_CPH_DDG!$D$5),"",IF(ISERROR(ETPT_CPH!G12),"",IF(ETPT_CPH!G12=0,"",ETPT_CPH!G12)))</f>
      </c>
      <c r="H12" s="213">
        <f t="shared" si="0"/>
        <v>0</v>
      </c>
    </row>
    <row r="13" spans="1:8" x14ac:dyDescent="0.25">
      <c r="A13" s="166" t="s">
        <v>2243</v>
      </c>
      <c r="B13" s="167"/>
      <c r="C13" s="167"/>
      <c r="D13" s="115">
        <f t="shared" si="1"/>
      </c>
      <c r="E13" s="167" t="s">
        <v>2188</v>
      </c>
      <c r="F13" s="184" t="s">
        <v>2189</v>
      </c>
      <c r="G13" s="154">
        <f>IF(ISBLANK(ETPT_CPH_DDG!$D$5),"",IF(ISERROR(ETPT_CPH!G13),"",IF(ETPT_CPH!G13=0,"",ETPT_CPH!G13)))</f>
      </c>
      <c r="H13" s="213">
        <f t="shared" si="0"/>
        <v>0</v>
      </c>
    </row>
    <row r="14" spans="1:8" x14ac:dyDescent="0.25">
      <c r="A14" s="174"/>
      <c r="B14" s="115"/>
      <c r="C14" s="115"/>
      <c r="D14" s="115"/>
      <c r="E14" s="155"/>
      <c r="F14" s="214" t="s">
        <v>2190</v>
      </c>
      <c r="G14" s="213">
        <f>SUM(G5:G13)</f>
        <v>0</v>
      </c>
      <c r="H14" s="213">
        <f>SUM(H5:H13)</f>
        <v>0</v>
      </c>
    </row>
    <row r="16" spans="5:10" x14ac:dyDescent="0.25">
      <c r="E16" s="211" t="s">
        <v>2281</v>
      </c>
      <c r="F16" s="1"/>
      <c r="G16" s="1"/>
      <c r="H16" s="1"/>
      <c r="I16" s="1"/>
      <c r="J16" s="1"/>
    </row>
    <row r="17" ht="17" customHeight="1" spans="4:10" x14ac:dyDescent="0.25">
      <c r="D17" s="211"/>
      <c r="F17" s="1"/>
      <c r="G17" s="1"/>
      <c r="H17" s="1"/>
      <c r="I17" s="1"/>
      <c r="J17" s="1"/>
    </row>
    <row r="18" ht="91" customHeight="1" spans="4:11" x14ac:dyDescent="0.25">
      <c r="D18" s="211"/>
      <c r="E18" s="202" t="s">
        <v>2284</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4" t="s">
        <v>2195</v>
      </c>
      <c r="B1" s="274"/>
      <c r="C1" s="274"/>
      <c r="D1" s="274"/>
      <c r="E1" s="274"/>
      <c r="F1" s="274"/>
      <c r="G1" s="275"/>
      <c r="H1" s="275"/>
      <c r="I1" s="275"/>
      <c r="J1" s="275"/>
      <c r="K1" s="275"/>
      <c r="L1" s="275"/>
      <c r="M1" s="275"/>
      <c r="N1" s="275"/>
      <c r="O1" s="275"/>
      <c r="P1" s="275"/>
      <c r="Q1" s="275"/>
      <c r="R1" s="275"/>
      <c r="S1" s="275"/>
      <c r="T1" s="275"/>
    </row>
    <row r="2" ht="15" customHeight="1" spans="1:20" x14ac:dyDescent="0.25">
      <c r="A2" s="276"/>
      <c r="B2" s="276"/>
      <c r="C2" s="276"/>
      <c r="D2" s="276"/>
      <c r="E2" s="276"/>
      <c r="F2" s="276"/>
      <c r="G2" s="144" t="s">
        <v>2065</v>
      </c>
      <c r="H2" s="144" t="s">
        <v>2065</v>
      </c>
      <c r="I2" s="144" t="s">
        <v>2065</v>
      </c>
      <c r="J2" s="144" t="s">
        <v>2065</v>
      </c>
      <c r="K2" s="144" t="s">
        <v>2065</v>
      </c>
      <c r="L2" s="144" t="s">
        <v>2065</v>
      </c>
      <c r="M2" s="144" t="s">
        <v>2065</v>
      </c>
      <c r="N2" s="144" t="s">
        <v>2065</v>
      </c>
      <c r="O2" s="144" t="s">
        <v>2065</v>
      </c>
      <c r="P2" s="277" t="s">
        <v>2196</v>
      </c>
      <c r="Q2" s="144" t="s">
        <v>2197</v>
      </c>
      <c r="R2" s="144" t="s">
        <v>2197</v>
      </c>
      <c r="S2" s="144" t="s">
        <v>2197</v>
      </c>
      <c r="T2" s="277" t="s">
        <v>2198</v>
      </c>
    </row>
    <row r="3" ht="24" customHeight="1" spans="1:20" x14ac:dyDescent="0.25">
      <c r="A3" s="276"/>
      <c r="B3" s="276"/>
      <c r="C3" s="276"/>
      <c r="D3" s="276"/>
      <c r="E3" s="276"/>
      <c r="F3" s="276"/>
      <c r="G3" s="144" t="s">
        <v>2208</v>
      </c>
      <c r="H3" s="144" t="s">
        <v>2209</v>
      </c>
      <c r="I3" s="144" t="s">
        <v>2210</v>
      </c>
      <c r="J3" s="144" t="s">
        <v>2211</v>
      </c>
      <c r="K3" s="144" t="s">
        <v>2212</v>
      </c>
      <c r="L3" s="144" t="s">
        <v>2213</v>
      </c>
      <c r="M3" s="144" t="s">
        <v>2214</v>
      </c>
      <c r="N3" s="144" t="s">
        <v>2215</v>
      </c>
      <c r="O3" s="144" t="s">
        <v>2216</v>
      </c>
      <c r="P3" s="277"/>
      <c r="Q3" s="144" t="s">
        <v>2217</v>
      </c>
      <c r="R3" s="144" t="s">
        <v>2098</v>
      </c>
      <c r="S3" s="144" t="s">
        <v>2104</v>
      </c>
      <c r="T3" s="277"/>
    </row>
    <row r="4" ht="60" customHeight="1" spans="1:20" x14ac:dyDescent="0.25">
      <c r="A4" s="276"/>
      <c r="B4" s="278" t="s">
        <v>2114</v>
      </c>
      <c r="C4" s="278" t="s">
        <v>2115</v>
      </c>
      <c r="D4" s="278" t="s">
        <v>37</v>
      </c>
      <c r="E4" s="278" t="s">
        <v>2116</v>
      </c>
      <c r="F4" s="278" t="s">
        <v>2117</v>
      </c>
      <c r="G4" s="144" t="s">
        <v>2227</v>
      </c>
      <c r="H4" s="144" t="s">
        <v>2228</v>
      </c>
      <c r="I4" s="144" t="s">
        <v>2229</v>
      </c>
      <c r="J4" s="144" t="s">
        <v>2230</v>
      </c>
      <c r="K4" s="144" t="s">
        <v>2231</v>
      </c>
      <c r="L4" s="144" t="s">
        <v>2232</v>
      </c>
      <c r="M4" s="144" t="s">
        <v>2233</v>
      </c>
      <c r="N4" s="144" t="s">
        <v>2234</v>
      </c>
      <c r="O4" s="144" t="s">
        <v>2235</v>
      </c>
      <c r="P4" s="277"/>
      <c r="Q4" s="144" t="s">
        <v>2236</v>
      </c>
      <c r="R4" s="144" t="s">
        <v>2147</v>
      </c>
      <c r="S4" s="144" t="s">
        <v>2154</v>
      </c>
      <c r="T4" s="277"/>
    </row>
    <row r="5" ht="204" customHeight="1" spans="1:20" x14ac:dyDescent="0.25">
      <c r="A5" s="279" t="s">
        <v>2237</v>
      </c>
      <c r="B5" s="280"/>
      <c r="C5" s="280"/>
      <c r="D5" s="280"/>
      <c r="E5" s="280" t="s">
        <v>2165</v>
      </c>
      <c r="F5" s="280" t="s">
        <v>2166</v>
      </c>
      <c r="G5" s="281"/>
      <c r="H5" s="253" t="s">
        <v>2408</v>
      </c>
      <c r="I5" s="253" t="s">
        <v>2409</v>
      </c>
      <c r="J5" s="253" t="s">
        <v>2410</v>
      </c>
      <c r="K5" s="282" t="s">
        <v>2411</v>
      </c>
      <c r="L5" s="282" t="s">
        <v>2411</v>
      </c>
      <c r="M5" s="282"/>
      <c r="N5" s="282"/>
      <c r="O5" s="282" t="s">
        <v>2412</v>
      </c>
      <c r="P5" s="283">
        <f t="shared" ref="P5:P15" si="0">SUM(G5:O5)</f>
        <v>0</v>
      </c>
      <c r="Q5" s="282" t="s">
        <v>2413</v>
      </c>
      <c r="R5" s="253" t="s">
        <v>2414</v>
      </c>
      <c r="S5" s="282" t="s">
        <v>2415</v>
      </c>
      <c r="T5" s="283">
        <f t="shared" ref="T5:T15" si="1">SUM(Q5:S5)</f>
        <v>0</v>
      </c>
    </row>
    <row r="6" ht="228" customHeight="1" spans="1:20" x14ac:dyDescent="0.25">
      <c r="A6" s="279" t="s">
        <v>2237</v>
      </c>
      <c r="B6" s="280"/>
      <c r="C6" s="280"/>
      <c r="D6" s="280"/>
      <c r="E6" s="280" t="s">
        <v>2167</v>
      </c>
      <c r="F6" s="280" t="s">
        <v>2168</v>
      </c>
      <c r="G6" s="281"/>
      <c r="H6" s="284"/>
      <c r="I6" s="284"/>
      <c r="J6" s="284"/>
      <c r="K6" s="284"/>
      <c r="L6" s="284"/>
      <c r="M6" s="282" t="s">
        <v>2416</v>
      </c>
      <c r="N6" s="282" t="s">
        <v>2417</v>
      </c>
      <c r="O6" s="282" t="s">
        <v>2412</v>
      </c>
      <c r="P6" s="283">
        <f t="shared" si="0"/>
        <v>0</v>
      </c>
      <c r="Q6" s="282" t="s">
        <v>2418</v>
      </c>
      <c r="R6" s="284"/>
      <c r="S6" s="282"/>
      <c r="T6" s="283">
        <f t="shared" si="1"/>
        <v>0</v>
      </c>
    </row>
    <row r="7" ht="108" customHeight="1" spans="1:20" x14ac:dyDescent="0.25">
      <c r="A7" s="279" t="s">
        <v>2237</v>
      </c>
      <c r="B7" s="280"/>
      <c r="C7" s="280"/>
      <c r="D7" s="280"/>
      <c r="E7" s="280" t="s">
        <v>2170</v>
      </c>
      <c r="F7" s="280" t="s">
        <v>2171</v>
      </c>
      <c r="G7" s="281"/>
      <c r="H7" s="284"/>
      <c r="I7" s="284"/>
      <c r="J7" s="284"/>
      <c r="K7" s="284"/>
      <c r="L7" s="284"/>
      <c r="M7" s="284"/>
      <c r="N7" s="285"/>
      <c r="O7" s="286"/>
      <c r="P7" s="283">
        <f>SUM(G7:O7)</f>
        <v>0</v>
      </c>
      <c r="Q7" s="284"/>
      <c r="R7" s="284"/>
      <c r="S7" s="253" t="s">
        <v>2419</v>
      </c>
      <c r="T7" s="283">
        <f>SUM(Q7:S7)</f>
        <v>0</v>
      </c>
    </row>
    <row r="8" ht="120" customHeight="1" spans="1:20" x14ac:dyDescent="0.25">
      <c r="A8" s="279" t="s">
        <v>2237</v>
      </c>
      <c r="B8" s="280"/>
      <c r="C8" s="280"/>
      <c r="D8" s="280"/>
      <c r="E8" s="280" t="s">
        <v>2174</v>
      </c>
      <c r="F8" s="280" t="s">
        <v>2175</v>
      </c>
      <c r="G8" s="281"/>
      <c r="H8" s="284"/>
      <c r="I8" s="284"/>
      <c r="J8" s="284"/>
      <c r="K8" s="284"/>
      <c r="L8" s="284"/>
      <c r="M8" s="284"/>
      <c r="N8" s="284"/>
      <c r="O8" s="284"/>
      <c r="P8" s="283">
        <f t="shared" si="0"/>
        <v>0</v>
      </c>
      <c r="Q8" s="284"/>
      <c r="R8" s="253"/>
      <c r="S8" s="253" t="s">
        <v>2420</v>
      </c>
      <c r="T8" s="283">
        <f>SUM(Q8:R8)</f>
        <v>0</v>
      </c>
    </row>
    <row r="9" ht="168" customHeight="1" spans="1:20" x14ac:dyDescent="0.25">
      <c r="A9" s="279" t="s">
        <v>2237</v>
      </c>
      <c r="B9" s="280"/>
      <c r="C9" s="280"/>
      <c r="D9" s="280"/>
      <c r="E9" s="280" t="s">
        <v>2176</v>
      </c>
      <c r="F9" s="280" t="s">
        <v>2177</v>
      </c>
      <c r="G9" s="281"/>
      <c r="H9" s="284"/>
      <c r="I9" s="284"/>
      <c r="J9" s="284"/>
      <c r="K9" s="284"/>
      <c r="L9" s="284"/>
      <c r="M9" s="284"/>
      <c r="N9" s="284"/>
      <c r="O9" s="284"/>
      <c r="P9" s="283">
        <f t="shared" si="0"/>
        <v>0</v>
      </c>
      <c r="Q9" s="284"/>
      <c r="R9" s="253"/>
      <c r="S9" s="253" t="s">
        <v>2421</v>
      </c>
      <c r="T9" s="283">
        <f>SUM(Q9:R9)</f>
        <v>0</v>
      </c>
    </row>
    <row r="10" ht="120" customHeight="1" spans="1:20" x14ac:dyDescent="0.25">
      <c r="A10" s="279" t="s">
        <v>2237</v>
      </c>
      <c r="B10" s="280"/>
      <c r="C10" s="280"/>
      <c r="D10" s="280"/>
      <c r="E10" s="280" t="s">
        <v>2178</v>
      </c>
      <c r="F10" s="280" t="s">
        <v>2179</v>
      </c>
      <c r="G10" s="281"/>
      <c r="H10" s="284"/>
      <c r="I10" s="284"/>
      <c r="J10" s="284"/>
      <c r="K10" s="284"/>
      <c r="L10" s="284"/>
      <c r="M10" s="284"/>
      <c r="N10" s="284"/>
      <c r="O10" s="284"/>
      <c r="P10" s="283">
        <f t="shared" si="0"/>
        <v>0</v>
      </c>
      <c r="Q10" s="284"/>
      <c r="R10" s="284"/>
      <c r="S10" s="253" t="s">
        <v>2422</v>
      </c>
      <c r="T10" s="283">
        <f t="shared" si="1"/>
        <v>0</v>
      </c>
    </row>
    <row r="11" ht="120" customHeight="1" spans="1:20" x14ac:dyDescent="0.25">
      <c r="A11" s="279" t="s">
        <v>2237</v>
      </c>
      <c r="B11" s="280"/>
      <c r="C11" s="280"/>
      <c r="D11" s="280"/>
      <c r="E11" s="280" t="s">
        <v>2180</v>
      </c>
      <c r="F11" s="280" t="s">
        <v>2181</v>
      </c>
      <c r="G11" s="281"/>
      <c r="H11" s="284"/>
      <c r="I11" s="284"/>
      <c r="J11" s="284"/>
      <c r="K11" s="284"/>
      <c r="L11" s="284"/>
      <c r="M11" s="284"/>
      <c r="N11" s="284"/>
      <c r="O11" s="284"/>
      <c r="P11" s="283">
        <f t="shared" si="0"/>
        <v>0</v>
      </c>
      <c r="Q11" s="284"/>
      <c r="R11" s="253"/>
      <c r="S11" s="253" t="s">
        <v>2423</v>
      </c>
      <c r="T11" s="283">
        <f>SUM(Q11:R11)</f>
        <v>0</v>
      </c>
    </row>
    <row r="12" ht="180" customHeight="1" spans="1:20" x14ac:dyDescent="0.25">
      <c r="A12" s="279" t="s">
        <v>2237</v>
      </c>
      <c r="B12" s="280"/>
      <c r="C12" s="280"/>
      <c r="D12" s="280"/>
      <c r="E12" s="280" t="s">
        <v>2182</v>
      </c>
      <c r="F12" s="280" t="s">
        <v>2183</v>
      </c>
      <c r="G12" s="281"/>
      <c r="H12" s="284"/>
      <c r="I12" s="284"/>
      <c r="J12" s="284"/>
      <c r="K12" s="284"/>
      <c r="L12" s="284"/>
      <c r="M12" s="284"/>
      <c r="N12" s="284"/>
      <c r="O12" s="284"/>
      <c r="P12" s="283">
        <f t="shared" si="0"/>
        <v>0</v>
      </c>
      <c r="Q12" s="284"/>
      <c r="R12" s="284"/>
      <c r="S12" s="253" t="s">
        <v>2424</v>
      </c>
      <c r="T12" s="283">
        <f t="shared" si="1"/>
        <v>0</v>
      </c>
    </row>
    <row r="13" ht="144" customHeight="1" spans="1:20" x14ac:dyDescent="0.25">
      <c r="A13" s="279" t="s">
        <v>2237</v>
      </c>
      <c r="B13" s="280"/>
      <c r="C13" s="280"/>
      <c r="D13" s="280"/>
      <c r="E13" s="280" t="s">
        <v>2184</v>
      </c>
      <c r="F13" s="280" t="s">
        <v>2185</v>
      </c>
      <c r="G13" s="287" t="s">
        <v>2425</v>
      </c>
      <c r="H13" s="284"/>
      <c r="I13" s="284"/>
      <c r="J13" s="284"/>
      <c r="K13" s="284"/>
      <c r="L13" s="284"/>
      <c r="M13" s="284"/>
      <c r="N13" s="284"/>
      <c r="O13" s="284"/>
      <c r="P13" s="283">
        <f t="shared" si="0"/>
        <v>0</v>
      </c>
      <c r="Q13" s="284"/>
      <c r="R13" s="284"/>
      <c r="S13" s="253" t="s">
        <v>2426</v>
      </c>
      <c r="T13" s="283">
        <f t="shared" si="1"/>
        <v>0</v>
      </c>
    </row>
    <row r="14" ht="240" customHeight="1" spans="1:20" x14ac:dyDescent="0.25">
      <c r="A14" s="279" t="s">
        <v>2237</v>
      </c>
      <c r="B14" s="280"/>
      <c r="C14" s="280"/>
      <c r="D14" s="280"/>
      <c r="E14" s="280" t="s">
        <v>2186</v>
      </c>
      <c r="F14" s="280" t="s">
        <v>2187</v>
      </c>
      <c r="G14" s="287" t="s">
        <v>2427</v>
      </c>
      <c r="H14" s="253" t="s">
        <v>2428</v>
      </c>
      <c r="I14" s="253" t="s">
        <v>2429</v>
      </c>
      <c r="J14" s="253" t="s">
        <v>2430</v>
      </c>
      <c r="K14" s="288"/>
      <c r="L14" s="288"/>
      <c r="M14" s="284"/>
      <c r="N14" s="284"/>
      <c r="O14" s="284"/>
      <c r="P14" s="283">
        <f t="shared" si="0"/>
        <v>0</v>
      </c>
      <c r="Q14" s="284"/>
      <c r="R14" s="253" t="s">
        <v>2431</v>
      </c>
      <c r="S14" s="253" t="s">
        <v>2432</v>
      </c>
      <c r="T14" s="283">
        <f t="shared" si="1"/>
        <v>0</v>
      </c>
    </row>
    <row r="15" ht="240" customHeight="1" spans="1:20" x14ac:dyDescent="0.25">
      <c r="A15" s="279" t="s">
        <v>2237</v>
      </c>
      <c r="B15" s="280"/>
      <c r="C15" s="280"/>
      <c r="D15" s="280"/>
      <c r="E15" s="280" t="s">
        <v>2188</v>
      </c>
      <c r="F15" s="280" t="s">
        <v>2189</v>
      </c>
      <c r="G15" s="287" t="s">
        <v>2433</v>
      </c>
      <c r="H15" s="253" t="s">
        <v>2434</v>
      </c>
      <c r="I15" s="253" t="s">
        <v>2435</v>
      </c>
      <c r="J15" s="253" t="s">
        <v>2436</v>
      </c>
      <c r="K15" s="288"/>
      <c r="L15" s="288"/>
      <c r="M15" s="284"/>
      <c r="N15" s="284"/>
      <c r="O15" s="284"/>
      <c r="P15" s="283">
        <f t="shared" si="0"/>
        <v>0</v>
      </c>
      <c r="Q15" s="284"/>
      <c r="R15" s="253" t="s">
        <v>2437</v>
      </c>
      <c r="S15" s="253" t="s">
        <v>2438</v>
      </c>
      <c r="T15" s="283">
        <f t="shared" si="1"/>
        <v>0</v>
      </c>
    </row>
    <row r="16" spans="1:20" x14ac:dyDescent="0.25">
      <c r="A16" s="279"/>
      <c r="B16" s="289"/>
      <c r="C16" s="289"/>
      <c r="D16" s="289"/>
      <c r="E16" s="289"/>
      <c r="F16" s="290" t="s">
        <v>2190</v>
      </c>
      <c r="G16" s="291">
        <f t="shared" ref="G16:T16" si="2">SUM(G5:G15)</f>
        <v>0</v>
      </c>
      <c r="H16" s="291">
        <f t="shared" si="2"/>
        <v>0</v>
      </c>
      <c r="I16" s="291">
        <f t="shared" si="2"/>
        <v>0</v>
      </c>
      <c r="J16" s="291">
        <f t="shared" si="2"/>
        <v>0</v>
      </c>
      <c r="K16" s="291">
        <f t="shared" si="2"/>
        <v>0</v>
      </c>
      <c r="L16" s="291">
        <f t="shared" si="2"/>
        <v>0</v>
      </c>
      <c r="M16" s="291">
        <f t="shared" si="2"/>
        <v>0</v>
      </c>
      <c r="N16" s="291">
        <f t="shared" si="2"/>
        <v>0</v>
      </c>
      <c r="O16" s="291">
        <f t="shared" si="2"/>
        <v>0</v>
      </c>
      <c r="P16" s="291">
        <f t="shared" si="2"/>
        <v>0</v>
      </c>
      <c r="Q16" s="291">
        <f t="shared" si="2"/>
        <v>0</v>
      </c>
      <c r="R16" s="291">
        <f t="shared" si="2"/>
        <v>0</v>
      </c>
      <c r="S16" s="291">
        <f t="shared" si="2"/>
        <v>0</v>
      </c>
      <c r="T16" s="291">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2"/>
      <c r="R19" s="273" t="s">
        <v>2194</v>
      </c>
      <c r="S19" s="253" t="s">
        <v>2407</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election activeCell="V15" sqref="V15"/>
    </sheetView>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3"/>
      <c r="B1" s="294" t="s">
        <v>2060</v>
      </c>
      <c r="C1" s="294"/>
      <c r="D1" s="294"/>
      <c r="E1" s="294"/>
      <c r="F1" s="294"/>
      <c r="G1" s="294"/>
      <c r="H1" s="294"/>
      <c r="I1" s="294"/>
      <c r="J1" s="295"/>
      <c r="K1" s="295"/>
      <c r="L1" s="295"/>
      <c r="M1" s="295"/>
      <c r="N1" s="295"/>
      <c r="O1" s="295"/>
      <c r="P1" s="295"/>
      <c r="Q1" s="295"/>
      <c r="R1" s="295"/>
      <c r="S1" s="295"/>
      <c r="T1" s="295"/>
      <c r="U1" s="295"/>
      <c r="V1" s="295"/>
      <c r="W1" s="295"/>
    </row>
    <row r="2" ht="28" customHeight="1" spans="1:23" x14ac:dyDescent="0.25">
      <c r="A2" s="296"/>
      <c r="B2" s="296"/>
      <c r="C2" s="296"/>
      <c r="D2" s="296"/>
      <c r="E2" s="296"/>
      <c r="F2" s="296"/>
      <c r="G2" s="297" t="s">
        <v>2061</v>
      </c>
      <c r="H2" s="298" t="s">
        <v>2062</v>
      </c>
      <c r="I2" s="297" t="s">
        <v>2063</v>
      </c>
      <c r="J2" s="297" t="s">
        <v>2063</v>
      </c>
      <c r="K2" s="297" t="s">
        <v>2063</v>
      </c>
      <c r="L2" s="297" t="s">
        <v>2063</v>
      </c>
      <c r="M2" s="297" t="s">
        <v>2063</v>
      </c>
      <c r="N2" s="297" t="s">
        <v>2063</v>
      </c>
      <c r="O2" s="297" t="s">
        <v>2063</v>
      </c>
      <c r="P2" s="297" t="s">
        <v>2063</v>
      </c>
      <c r="Q2" s="297" t="s">
        <v>2063</v>
      </c>
      <c r="R2" s="297" t="s">
        <v>2063</v>
      </c>
      <c r="S2" s="297" t="s">
        <v>2063</v>
      </c>
      <c r="T2" s="297" t="s">
        <v>2063</v>
      </c>
      <c r="U2" s="297" t="s">
        <v>2063</v>
      </c>
      <c r="V2" s="297" t="s">
        <v>2063</v>
      </c>
      <c r="W2" s="298" t="s">
        <v>2064</v>
      </c>
    </row>
    <row r="3" ht="56" customHeight="1" spans="1:23" x14ac:dyDescent="0.25">
      <c r="A3" s="296"/>
      <c r="B3" s="296"/>
      <c r="C3" s="296"/>
      <c r="D3" s="296"/>
      <c r="E3" s="296"/>
      <c r="F3" s="296"/>
      <c r="G3" s="297" t="s">
        <v>2071</v>
      </c>
      <c r="H3" s="298"/>
      <c r="I3" s="297" t="s">
        <v>2072</v>
      </c>
      <c r="J3" s="297" t="s">
        <v>2073</v>
      </c>
      <c r="K3" s="297" t="s">
        <v>2074</v>
      </c>
      <c r="L3" s="297" t="s">
        <v>2075</v>
      </c>
      <c r="M3" s="297" t="s">
        <v>2076</v>
      </c>
      <c r="N3" s="297" t="s">
        <v>2077</v>
      </c>
      <c r="O3" s="297" t="s">
        <v>2078</v>
      </c>
      <c r="P3" s="297" t="s">
        <v>2079</v>
      </c>
      <c r="Q3" s="297" t="s">
        <v>2080</v>
      </c>
      <c r="R3" s="297"/>
      <c r="S3" s="297" t="s">
        <v>2081</v>
      </c>
      <c r="T3" s="297" t="s">
        <v>2082</v>
      </c>
      <c r="U3" s="297" t="s">
        <v>2083</v>
      </c>
      <c r="V3" s="297" t="s">
        <v>2084</v>
      </c>
      <c r="W3" s="298"/>
    </row>
    <row r="4" ht="98" customHeight="1" spans="1:23" x14ac:dyDescent="0.25">
      <c r="A4" s="299"/>
      <c r="B4" s="300" t="s">
        <v>2114</v>
      </c>
      <c r="C4" s="300" t="s">
        <v>2115</v>
      </c>
      <c r="D4" s="300" t="s">
        <v>37</v>
      </c>
      <c r="E4" s="300" t="s">
        <v>2116</v>
      </c>
      <c r="F4" s="300" t="s">
        <v>2117</v>
      </c>
      <c r="G4" s="297" t="s">
        <v>2118</v>
      </c>
      <c r="H4" s="298"/>
      <c r="I4" s="297" t="s">
        <v>2119</v>
      </c>
      <c r="J4" s="301" t="s">
        <v>2120</v>
      </c>
      <c r="K4" s="297" t="s">
        <v>2121</v>
      </c>
      <c r="L4" s="297" t="s">
        <v>2122</v>
      </c>
      <c r="M4" s="297" t="s">
        <v>2123</v>
      </c>
      <c r="N4" s="297" t="s">
        <v>2124</v>
      </c>
      <c r="O4" s="297" t="s">
        <v>2125</v>
      </c>
      <c r="P4" s="297" t="s">
        <v>2126</v>
      </c>
      <c r="Q4" s="297" t="s">
        <v>2127</v>
      </c>
      <c r="R4" s="301" t="s">
        <v>2439</v>
      </c>
      <c r="S4" s="297" t="s">
        <v>2129</v>
      </c>
      <c r="T4" s="297" t="s">
        <v>2130</v>
      </c>
      <c r="U4" s="297" t="s">
        <v>2131</v>
      </c>
      <c r="V4" s="301" t="s">
        <v>2132</v>
      </c>
      <c r="W4" s="298"/>
    </row>
    <row r="5" ht="371" customHeight="1" spans="1:23" x14ac:dyDescent="0.25">
      <c r="A5" s="302" t="s">
        <v>2164</v>
      </c>
      <c r="B5" s="303"/>
      <c r="C5" s="303"/>
      <c r="D5" s="304"/>
      <c r="E5" s="304" t="s">
        <v>2165</v>
      </c>
      <c r="F5" s="304" t="s">
        <v>2166</v>
      </c>
      <c r="G5" s="305" t="s">
        <v>2440</v>
      </c>
      <c r="H5" s="306">
        <f>SUMIF($G$2:G$2,G$2,$G5:G5)</f>
        <v>0</v>
      </c>
      <c r="I5" s="305" t="s">
        <v>2441</v>
      </c>
      <c r="J5" s="307"/>
      <c r="K5" s="308"/>
      <c r="L5" s="308"/>
      <c r="M5" s="308"/>
      <c r="N5" s="308"/>
      <c r="O5" s="308"/>
      <c r="P5" s="305" t="s">
        <v>2442</v>
      </c>
      <c r="Q5" s="305" t="s">
        <v>2443</v>
      </c>
      <c r="R5" s="305" t="s">
        <v>2444</v>
      </c>
      <c r="S5" s="305" t="s">
        <v>2445</v>
      </c>
      <c r="T5" s="305" t="s">
        <v>2446</v>
      </c>
      <c r="U5" s="305" t="s">
        <v>2447</v>
      </c>
      <c r="V5" s="305" t="s">
        <v>2448</v>
      </c>
      <c r="W5" s="306">
        <f>SUMIF($G$2:V$2,V$2,$G5:V5)</f>
        <v>0</v>
      </c>
    </row>
    <row r="6" ht="409.6" customHeight="1" spans="1:23" x14ac:dyDescent="0.25">
      <c r="A6" s="302" t="s">
        <v>2164</v>
      </c>
      <c r="B6" s="303"/>
      <c r="C6" s="303"/>
      <c r="D6" s="304"/>
      <c r="E6" s="304" t="s">
        <v>2167</v>
      </c>
      <c r="F6" s="304" t="s">
        <v>2168</v>
      </c>
      <c r="G6" s="305" t="s">
        <v>2449</v>
      </c>
      <c r="H6" s="306">
        <f>SUMIF($G$2:G$2,G$2,$G6:G6)</f>
        <v>0</v>
      </c>
      <c r="I6" s="307"/>
      <c r="J6" s="305" t="s">
        <v>2450</v>
      </c>
      <c r="K6" s="305" t="s">
        <v>2451</v>
      </c>
      <c r="L6" s="305" t="s">
        <v>2452</v>
      </c>
      <c r="M6" s="305" t="s">
        <v>2453</v>
      </c>
      <c r="N6" s="305" t="s">
        <v>2454</v>
      </c>
      <c r="O6" s="305" t="s">
        <v>2455</v>
      </c>
      <c r="P6" s="308"/>
      <c r="Q6" s="308"/>
      <c r="R6" s="305" t="s">
        <v>2456</v>
      </c>
      <c r="S6" s="308"/>
      <c r="T6" s="308"/>
      <c r="U6" s="308"/>
      <c r="V6" s="309" t="s">
        <v>2457</v>
      </c>
      <c r="W6" s="306">
        <f>SUMIF($G$2:V$2,V$2,$G6:V6)</f>
        <v>0</v>
      </c>
    </row>
    <row r="7" spans="1:23" x14ac:dyDescent="0.25">
      <c r="A7" s="302" t="s">
        <v>2164</v>
      </c>
      <c r="B7" s="303"/>
      <c r="C7" s="303"/>
      <c r="D7" s="304"/>
      <c r="E7" s="304" t="s">
        <v>2170</v>
      </c>
      <c r="F7" s="304" t="s">
        <v>2171</v>
      </c>
      <c r="G7" s="310"/>
      <c r="H7" s="306">
        <f>SUMIF($G$2:G$2,G$2,$G7:G7)</f>
        <v>0</v>
      </c>
      <c r="I7" s="311"/>
      <c r="J7" s="311"/>
      <c r="K7" s="311"/>
      <c r="L7" s="311"/>
      <c r="M7" s="311"/>
      <c r="N7" s="311"/>
      <c r="O7" s="311"/>
      <c r="P7" s="311"/>
      <c r="Q7" s="311"/>
      <c r="R7" s="311"/>
      <c r="S7" s="311"/>
      <c r="T7" s="311"/>
      <c r="U7" s="311"/>
      <c r="V7" s="310"/>
      <c r="W7" s="306">
        <f>SUMIF($G$2:V$2,V$2,$G7:V7)</f>
        <v>0</v>
      </c>
    </row>
    <row r="8" ht="196" customHeight="1" spans="1:23" x14ac:dyDescent="0.25">
      <c r="A8" s="302" t="s">
        <v>2164</v>
      </c>
      <c r="B8" s="303"/>
      <c r="C8" s="303"/>
      <c r="D8" s="304"/>
      <c r="E8" s="304" t="s">
        <v>2174</v>
      </c>
      <c r="F8" s="304" t="s">
        <v>2175</v>
      </c>
      <c r="G8" s="305" t="s">
        <v>2458</v>
      </c>
      <c r="H8" s="306">
        <f>SUMIF($G$2:G$2,G$2,$G8:G8)</f>
        <v>0</v>
      </c>
      <c r="I8" s="311"/>
      <c r="J8" s="311"/>
      <c r="K8" s="311"/>
      <c r="L8" s="311"/>
      <c r="M8" s="311"/>
      <c r="N8" s="311"/>
      <c r="O8" s="311"/>
      <c r="P8" s="311"/>
      <c r="Q8" s="311"/>
      <c r="R8" s="311"/>
      <c r="S8" s="311"/>
      <c r="T8" s="311"/>
      <c r="U8" s="311"/>
      <c r="V8" s="305" t="s">
        <v>2459</v>
      </c>
      <c r="W8" s="306">
        <f>SUMIF($G$2:V$2,V$2,$G8:V8)</f>
        <v>0</v>
      </c>
    </row>
    <row r="9" ht="280" customHeight="1" spans="1:23" x14ac:dyDescent="0.25">
      <c r="A9" s="302" t="s">
        <v>2164</v>
      </c>
      <c r="B9" s="303"/>
      <c r="C9" s="303"/>
      <c r="D9" s="304"/>
      <c r="E9" s="304" t="s">
        <v>2176</v>
      </c>
      <c r="F9" s="304" t="s">
        <v>2177</v>
      </c>
      <c r="G9" s="305" t="s">
        <v>2460</v>
      </c>
      <c r="H9" s="306">
        <f>SUMIF($G$2:G$2,G$2,$G9:G9)</f>
        <v>0</v>
      </c>
      <c r="I9" s="311"/>
      <c r="J9" s="311"/>
      <c r="K9" s="311"/>
      <c r="L9" s="311"/>
      <c r="M9" s="311"/>
      <c r="N9" s="311"/>
      <c r="O9" s="311"/>
      <c r="P9" s="311"/>
      <c r="Q9" s="311"/>
      <c r="R9" s="311"/>
      <c r="S9" s="311"/>
      <c r="T9" s="311"/>
      <c r="U9" s="311"/>
      <c r="V9" s="305" t="s">
        <v>2461</v>
      </c>
      <c r="W9" s="306">
        <f>SUMIF($G$2:V$2,V$2,$G9:V9)</f>
        <v>0</v>
      </c>
    </row>
    <row r="10" ht="196" customHeight="1" spans="1:23" x14ac:dyDescent="0.25">
      <c r="A10" s="302" t="s">
        <v>2164</v>
      </c>
      <c r="B10" s="303"/>
      <c r="C10" s="303"/>
      <c r="D10" s="304"/>
      <c r="E10" s="304" t="s">
        <v>2178</v>
      </c>
      <c r="F10" s="304" t="s">
        <v>2179</v>
      </c>
      <c r="G10" s="305" t="s">
        <v>2462</v>
      </c>
      <c r="H10" s="306">
        <f>SUMIF($G$2:G$2,G$2,$G10:G10)</f>
        <v>0</v>
      </c>
      <c r="I10" s="311"/>
      <c r="J10" s="311"/>
      <c r="K10" s="311"/>
      <c r="L10" s="311"/>
      <c r="M10" s="311"/>
      <c r="N10" s="311"/>
      <c r="O10" s="311"/>
      <c r="P10" s="311"/>
      <c r="Q10" s="311"/>
      <c r="S10" s="311"/>
      <c r="T10" s="311"/>
      <c r="U10" s="311"/>
      <c r="V10" s="305" t="s">
        <v>2463</v>
      </c>
      <c r="W10" s="306">
        <f>SUMIF($G$2:V$2,V$2,$G10:V10)</f>
        <v>0</v>
      </c>
    </row>
    <row r="11" ht="196" customHeight="1" spans="1:23" x14ac:dyDescent="0.25">
      <c r="A11" s="302" t="s">
        <v>2164</v>
      </c>
      <c r="B11" s="303"/>
      <c r="C11" s="303"/>
      <c r="D11" s="304"/>
      <c r="E11" s="304" t="s">
        <v>2180</v>
      </c>
      <c r="F11" s="304" t="s">
        <v>2181</v>
      </c>
      <c r="G11" s="305" t="s">
        <v>2464</v>
      </c>
      <c r="H11" s="306">
        <f>SUMIF($G$2:G$2,G$2,$G11:G11)</f>
        <v>0</v>
      </c>
      <c r="I11" s="311"/>
      <c r="J11" s="311"/>
      <c r="K11" s="311"/>
      <c r="L11" s="311"/>
      <c r="M11" s="311"/>
      <c r="N11" s="311"/>
      <c r="O11" s="311"/>
      <c r="P11" s="311"/>
      <c r="Q11" s="311"/>
      <c r="R11" s="311"/>
      <c r="S11" s="311"/>
      <c r="T11" s="311"/>
      <c r="U11" s="311"/>
      <c r="V11" s="305" t="s">
        <v>2465</v>
      </c>
      <c r="W11" s="306">
        <f>SUMIF($G$2:V$2,V$2,$G11:V11)</f>
        <v>0</v>
      </c>
    </row>
    <row r="12" ht="266" customHeight="1" spans="1:23" x14ac:dyDescent="0.25">
      <c r="A12" s="302" t="s">
        <v>2164</v>
      </c>
      <c r="B12" s="303"/>
      <c r="C12" s="303"/>
      <c r="D12" s="304"/>
      <c r="E12" s="304" t="s">
        <v>2182</v>
      </c>
      <c r="F12" s="304" t="s">
        <v>2183</v>
      </c>
      <c r="G12" s="305" t="s">
        <v>2466</v>
      </c>
      <c r="H12" s="306">
        <f>SUMIF($G$2:G$2,G$2,$G12:G12)</f>
        <v>0</v>
      </c>
      <c r="I12" s="311"/>
      <c r="J12" s="311"/>
      <c r="K12" s="311"/>
      <c r="L12" s="311"/>
      <c r="M12" s="311"/>
      <c r="N12" s="311"/>
      <c r="O12" s="311"/>
      <c r="P12" s="311"/>
      <c r="Q12" s="311"/>
      <c r="R12" s="311"/>
      <c r="S12" s="311"/>
      <c r="T12" s="311"/>
      <c r="U12" s="311"/>
      <c r="V12" s="305" t="s">
        <v>2467</v>
      </c>
      <c r="W12" s="306">
        <f>SUMIF($G$2:V$2,V$2,$G12:V12)</f>
        <v>0</v>
      </c>
    </row>
    <row r="13" ht="238" customHeight="1" spans="1:23" x14ac:dyDescent="0.25">
      <c r="A13" s="302" t="s">
        <v>2164</v>
      </c>
      <c r="B13" s="303"/>
      <c r="C13" s="303"/>
      <c r="D13" s="304"/>
      <c r="E13" s="304" t="s">
        <v>2184</v>
      </c>
      <c r="F13" s="304" t="s">
        <v>2185</v>
      </c>
      <c r="G13" s="305" t="s">
        <v>2468</v>
      </c>
      <c r="H13" s="306">
        <f>SUMIF($G$2:G$2,G$2,$G13:G13)</f>
        <v>0</v>
      </c>
      <c r="I13" s="311"/>
      <c r="J13" s="311"/>
      <c r="K13" s="311"/>
      <c r="L13" s="311"/>
      <c r="M13" s="311"/>
      <c r="N13" s="311"/>
      <c r="O13" s="311"/>
      <c r="P13" s="311"/>
      <c r="Q13" s="311"/>
      <c r="R13" s="311"/>
      <c r="S13" s="311"/>
      <c r="T13" s="311"/>
      <c r="U13" s="311"/>
      <c r="V13" s="305" t="s">
        <v>2469</v>
      </c>
      <c r="W13" s="306">
        <f>SUMIF($G$2:V$2,V$2,$G13:V13)</f>
        <v>0</v>
      </c>
    </row>
    <row r="14" ht="409.6" customHeight="1" spans="1:23" x14ac:dyDescent="0.25">
      <c r="A14" s="302" t="s">
        <v>2164</v>
      </c>
      <c r="B14" s="303"/>
      <c r="C14" s="303"/>
      <c r="D14" s="304"/>
      <c r="E14" s="304" t="s">
        <v>2186</v>
      </c>
      <c r="F14" s="304" t="s">
        <v>2187</v>
      </c>
      <c r="G14" s="305" t="s">
        <v>2470</v>
      </c>
      <c r="H14" s="306">
        <f>SUMIF($G$2:G$2,G$2,$G14:G14)</f>
        <v>0</v>
      </c>
      <c r="I14" s="305" t="s">
        <v>2471</v>
      </c>
      <c r="J14" s="305" t="s">
        <v>2472</v>
      </c>
      <c r="K14" s="305" t="s">
        <v>2473</v>
      </c>
      <c r="L14" s="305" t="s">
        <v>2474</v>
      </c>
      <c r="M14" s="305" t="s">
        <v>2475</v>
      </c>
      <c r="N14" s="305" t="s">
        <v>2476</v>
      </c>
      <c r="O14" s="305" t="s">
        <v>2477</v>
      </c>
      <c r="P14" s="305" t="s">
        <v>2478</v>
      </c>
      <c r="Q14" s="305" t="s">
        <v>2479</v>
      </c>
      <c r="R14" s="312" t="s">
        <v>2480</v>
      </c>
      <c r="S14" s="305" t="s">
        <v>2481</v>
      </c>
      <c r="T14" s="305" t="s">
        <v>2482</v>
      </c>
      <c r="U14" s="305" t="s">
        <v>2483</v>
      </c>
      <c r="V14" s="305" t="s">
        <v>2484</v>
      </c>
      <c r="W14" s="306">
        <f>SUMIF($G$2:V$2,V$2,$G14:V14)</f>
        <v>0</v>
      </c>
    </row>
    <row r="15" ht="409.6" customHeight="1" spans="1:23" x14ac:dyDescent="0.25">
      <c r="A15" s="302" t="s">
        <v>2164</v>
      </c>
      <c r="B15" s="303"/>
      <c r="C15" s="303"/>
      <c r="D15" s="304"/>
      <c r="E15" s="304" t="s">
        <v>2188</v>
      </c>
      <c r="F15" s="304" t="s">
        <v>2189</v>
      </c>
      <c r="G15" s="305" t="s">
        <v>2485</v>
      </c>
      <c r="H15" s="306">
        <f>SUMIF($G$2:G$2,G$2,$G15:G15)</f>
        <v>0</v>
      </c>
      <c r="I15" s="305" t="s">
        <v>2486</v>
      </c>
      <c r="J15" s="305" t="s">
        <v>2487</v>
      </c>
      <c r="K15" s="305" t="s">
        <v>2488</v>
      </c>
      <c r="L15" s="305" t="s">
        <v>2489</v>
      </c>
      <c r="M15" s="305" t="s">
        <v>2490</v>
      </c>
      <c r="N15" s="305" t="s">
        <v>2491</v>
      </c>
      <c r="O15" s="305" t="s">
        <v>2492</v>
      </c>
      <c r="P15" s="305" t="s">
        <v>2493</v>
      </c>
      <c r="Q15" s="305" t="s">
        <v>2494</v>
      </c>
      <c r="R15" s="312" t="s">
        <v>2495</v>
      </c>
      <c r="S15" s="305" t="s">
        <v>2496</v>
      </c>
      <c r="T15" s="305" t="s">
        <v>2497</v>
      </c>
      <c r="U15" s="305" t="s">
        <v>2498</v>
      </c>
      <c r="V15" s="309" t="s">
        <v>2499</v>
      </c>
      <c r="W15" s="306">
        <f>SUMIF($G$2:V$2,V$2,$G15:V15)</f>
        <v>0</v>
      </c>
    </row>
    <row r="16" spans="1:23" x14ac:dyDescent="0.25">
      <c r="A16" s="302"/>
      <c r="B16" s="313"/>
      <c r="C16" s="313"/>
      <c r="D16" s="314"/>
      <c r="E16" s="314"/>
      <c r="F16" s="315" t="s">
        <v>2190</v>
      </c>
      <c r="G16" s="306">
        <f>SUMIF($C$5:$C15,$C15,G$5:G15)</f>
        <v>0</v>
      </c>
      <c r="H16" s="316">
        <f>SUMIF($C$5:$C15,$C15,H$5:H15)</f>
        <v>0</v>
      </c>
      <c r="I16" s="306">
        <f>SUMIF($C$5:$C15,$C15,I$5:I15)</f>
        <v>0</v>
      </c>
      <c r="J16" s="306">
        <f>SUMIF($C$5:$C15,$C15,J$5:J15)</f>
        <v>0</v>
      </c>
      <c r="K16" s="306">
        <f>SUMIF($C$5:$C15,$C15,K$5:K15)</f>
        <v>0</v>
      </c>
      <c r="L16" s="306">
        <f>SUMIF($C$5:$C15,$C15,L$5:L15)</f>
        <v>0</v>
      </c>
      <c r="M16" s="306">
        <f>SUMIF($C$5:$C15,$C15,M$5:M15)</f>
        <v>0</v>
      </c>
      <c r="N16" s="306">
        <f>SUMIF($C$5:$C15,$C15,N$5:N15)</f>
        <v>0</v>
      </c>
      <c r="O16" s="306">
        <f>SUMIF($C$5:$C15,$C15,O$5:O15)</f>
        <v>0</v>
      </c>
      <c r="P16" s="306">
        <f>SUMIF($C$5:$C15,$C15,P$5:P15)</f>
        <v>0</v>
      </c>
      <c r="Q16" s="306">
        <f>SUMIF($C$5:$C15,$C15,Q$5:Q15)</f>
        <v>0</v>
      </c>
      <c r="R16" s="306"/>
      <c r="S16" s="306">
        <f>SUMIF($C$5:$C15,$C15,S$5:S15)</f>
        <v>0</v>
      </c>
      <c r="T16" s="306">
        <f>SUMIF($C$5:$C15,$C15,T$5:T15)</f>
        <v>0</v>
      </c>
      <c r="U16" s="306">
        <f>SUMIF($C$5:$C15,$C15,U$5:U15)</f>
        <v>0</v>
      </c>
      <c r="V16" s="306">
        <f>SUMIF($C$5:$C15,$C15,V$5:V15)</f>
        <v>0</v>
      </c>
      <c r="W16" s="306">
        <f>SUMIF($C$5:$C15,$C15,W$5:W15)</f>
        <v>0</v>
      </c>
    </row>
    <row r="17" spans="1:23" x14ac:dyDescent="0.25">
      <c r="A17" s="317"/>
      <c r="B17" s="317"/>
      <c r="C17" s="317"/>
      <c r="D17" s="317"/>
      <c r="E17" s="317"/>
      <c r="F17" s="317"/>
      <c r="G17" s="318"/>
      <c r="H17" s="318"/>
      <c r="I17" s="318"/>
      <c r="J17" s="318"/>
      <c r="K17" s="318"/>
      <c r="L17" s="318"/>
      <c r="M17" s="318"/>
      <c r="N17" s="318"/>
      <c r="O17" s="318"/>
      <c r="P17" s="318"/>
      <c r="Q17" s="318"/>
      <c r="R17" s="318"/>
      <c r="S17" s="318"/>
      <c r="T17" s="318"/>
      <c r="U17" s="318"/>
      <c r="V17" s="318"/>
      <c r="W17" s="318"/>
    </row>
    <row r="18" spans="1:23" x14ac:dyDescent="0.25">
      <c r="A18" s="317"/>
      <c r="B18" s="317"/>
      <c r="C18" s="317"/>
      <c r="D18" s="317"/>
      <c r="E18" s="317"/>
      <c r="F18" s="317"/>
      <c r="G18" s="318"/>
      <c r="H18" s="318"/>
      <c r="I18" s="318"/>
      <c r="J18" s="318"/>
      <c r="K18" s="318"/>
      <c r="L18" s="318"/>
      <c r="M18" s="318"/>
      <c r="N18" s="318"/>
      <c r="O18" s="318"/>
      <c r="P18" s="318"/>
      <c r="Q18" s="318"/>
      <c r="R18" s="318"/>
      <c r="S18" s="318"/>
      <c r="T18" s="318"/>
      <c r="U18" s="318"/>
      <c r="V18" s="318"/>
      <c r="W18" s="318"/>
    </row>
    <row r="19" ht="345" customHeight="1" spans="1:23" x14ac:dyDescent="0.25">
      <c r="A19" s="317"/>
      <c r="B19" s="317"/>
      <c r="C19" s="317"/>
      <c r="D19" s="317"/>
      <c r="E19" s="317"/>
      <c r="F19" s="319" t="s">
        <v>2192</v>
      </c>
      <c r="G19" s="305" t="s">
        <v>2500</v>
      </c>
      <c r="H19" s="318"/>
      <c r="I19" s="318"/>
      <c r="J19" s="318"/>
      <c r="K19" s="318"/>
      <c r="L19" s="318"/>
      <c r="M19" s="318"/>
      <c r="N19" s="318"/>
      <c r="O19" s="318"/>
      <c r="P19" s="318"/>
      <c r="Q19" s="318"/>
      <c r="R19" s="318"/>
      <c r="S19" s="318"/>
      <c r="T19" s="318"/>
      <c r="U19" s="319" t="s">
        <v>2193</v>
      </c>
      <c r="V19" s="305" t="s">
        <v>2501</v>
      </c>
      <c r="W19" s="318"/>
    </row>
  </sheetData>
  <mergeCells count="3">
    <mergeCell ref="B1:I1"/>
    <mergeCell ref="H2:H4"/>
    <mergeCell ref="W2:W4"/>
  </mergeCells>
  <pageMargins left="0.7" right="0.7" top="0.75" bottom="0.75" header="0.3" footer="0.3"/>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20" t="s">
        <v>2195</v>
      </c>
      <c r="B1" s="320"/>
      <c r="C1" s="320"/>
      <c r="D1" s="320"/>
      <c r="E1" s="320"/>
      <c r="F1" s="320"/>
      <c r="G1" s="320"/>
      <c r="H1" s="320"/>
      <c r="I1" s="321"/>
      <c r="J1" s="321"/>
      <c r="K1" s="321"/>
      <c r="L1" s="321"/>
      <c r="M1" s="321"/>
      <c r="N1" s="321"/>
      <c r="O1" s="321"/>
      <c r="P1" s="321"/>
      <c r="Q1" s="321"/>
      <c r="R1" s="321"/>
      <c r="S1" s="321"/>
      <c r="T1" s="322"/>
      <c r="U1" s="322"/>
    </row>
    <row r="2" ht="28" customHeight="1" spans="1:19" x14ac:dyDescent="0.25">
      <c r="A2" s="320"/>
      <c r="B2" s="320"/>
      <c r="C2" s="320"/>
      <c r="D2" s="320"/>
      <c r="E2" s="320"/>
      <c r="F2" s="320"/>
      <c r="G2" s="323" t="s">
        <v>2061</v>
      </c>
      <c r="H2" s="324" t="s">
        <v>2062</v>
      </c>
      <c r="I2" s="323" t="s">
        <v>2063</v>
      </c>
      <c r="J2" s="323" t="s">
        <v>2063</v>
      </c>
      <c r="K2" s="323" t="s">
        <v>2063</v>
      </c>
      <c r="L2" s="323" t="s">
        <v>2063</v>
      </c>
      <c r="M2" s="323" t="s">
        <v>2063</v>
      </c>
      <c r="N2" s="323" t="s">
        <v>2063</v>
      </c>
      <c r="O2" s="323" t="s">
        <v>2063</v>
      </c>
      <c r="P2" s="323" t="s">
        <v>2063</v>
      </c>
      <c r="Q2" s="323" t="s">
        <v>2063</v>
      </c>
      <c r="R2" s="323" t="s">
        <v>2063</v>
      </c>
      <c r="S2" s="324" t="s">
        <v>2064</v>
      </c>
    </row>
    <row r="3" ht="56" customHeight="1" spans="1:19" x14ac:dyDescent="0.25">
      <c r="A3" s="320"/>
      <c r="B3" s="320"/>
      <c r="C3" s="320"/>
      <c r="D3" s="320"/>
      <c r="E3" s="320"/>
      <c r="F3" s="320"/>
      <c r="G3" s="323" t="s">
        <v>2071</v>
      </c>
      <c r="H3" s="324"/>
      <c r="I3" s="323" t="s">
        <v>2199</v>
      </c>
      <c r="J3" s="323" t="s">
        <v>2200</v>
      </c>
      <c r="K3" s="323" t="s">
        <v>2201</v>
      </c>
      <c r="L3" s="323" t="s">
        <v>2202</v>
      </c>
      <c r="M3" s="323" t="s">
        <v>2203</v>
      </c>
      <c r="N3" s="323" t="s">
        <v>2204</v>
      </c>
      <c r="O3" s="323" t="s">
        <v>2205</v>
      </c>
      <c r="P3" s="323" t="s">
        <v>2206</v>
      </c>
      <c r="Q3" s="323" t="s">
        <v>2207</v>
      </c>
      <c r="R3" s="323" t="s">
        <v>2084</v>
      </c>
      <c r="S3" s="324"/>
    </row>
    <row r="4" ht="112" customHeight="1" spans="1:19" x14ac:dyDescent="0.25">
      <c r="A4" s="320"/>
      <c r="B4" s="325" t="s">
        <v>2114</v>
      </c>
      <c r="C4" s="325" t="s">
        <v>2115</v>
      </c>
      <c r="D4" s="325" t="s">
        <v>37</v>
      </c>
      <c r="E4" s="325" t="s">
        <v>2116</v>
      </c>
      <c r="F4" s="325" t="s">
        <v>2117</v>
      </c>
      <c r="G4" s="323" t="s">
        <v>2118</v>
      </c>
      <c r="H4" s="324"/>
      <c r="I4" s="323" t="s">
        <v>2218</v>
      </c>
      <c r="J4" s="323" t="s">
        <v>2219</v>
      </c>
      <c r="K4" s="323" t="s">
        <v>2220</v>
      </c>
      <c r="L4" s="323" t="s">
        <v>2221</v>
      </c>
      <c r="M4" s="323" t="s">
        <v>2222</v>
      </c>
      <c r="N4" s="323" t="s">
        <v>2223</v>
      </c>
      <c r="O4" s="323" t="s">
        <v>2224</v>
      </c>
      <c r="P4" s="323" t="s">
        <v>2225</v>
      </c>
      <c r="Q4" s="323" t="s">
        <v>2226</v>
      </c>
      <c r="R4" s="323" t="s">
        <v>2132</v>
      </c>
      <c r="S4" s="324"/>
    </row>
    <row r="5" ht="409.6" customHeight="1" spans="1:19" x14ac:dyDescent="0.25">
      <c r="A5" s="326" t="s">
        <v>2237</v>
      </c>
      <c r="B5" s="327"/>
      <c r="C5" s="327"/>
      <c r="D5" s="327"/>
      <c r="E5" s="327" t="s">
        <v>2165</v>
      </c>
      <c r="F5" s="328" t="s">
        <v>2166</v>
      </c>
      <c r="G5" s="305" t="s">
        <v>2502</v>
      </c>
      <c r="H5" s="329">
        <f t="shared" ref="H5:H15" si="0">SUM(G5)</f>
        <v>0</v>
      </c>
      <c r="I5" s="330"/>
      <c r="J5" s="305" t="s">
        <v>2503</v>
      </c>
      <c r="K5" s="305" t="s">
        <v>2504</v>
      </c>
      <c r="L5" s="305" t="s">
        <v>2505</v>
      </c>
      <c r="M5" s="331" t="s">
        <v>2412</v>
      </c>
      <c r="N5" s="331" t="s">
        <v>2412</v>
      </c>
      <c r="O5" s="332"/>
      <c r="P5" s="332"/>
      <c r="Q5" s="331" t="s">
        <v>2412</v>
      </c>
      <c r="R5" s="305" t="s">
        <v>2506</v>
      </c>
      <c r="S5" s="329">
        <f t="shared" ref="S5:S15" si="1">SUM(I5:R5)</f>
        <v>0</v>
      </c>
    </row>
    <row r="6" ht="132" customHeight="1" spans="1:19" x14ac:dyDescent="0.25">
      <c r="A6" s="326" t="s">
        <v>2237</v>
      </c>
      <c r="B6" s="327"/>
      <c r="C6" s="327"/>
      <c r="D6" s="327"/>
      <c r="E6" s="327" t="s">
        <v>2167</v>
      </c>
      <c r="F6" s="328" t="s">
        <v>2168</v>
      </c>
      <c r="G6" s="333"/>
      <c r="H6" s="329">
        <f t="shared" si="0"/>
        <v>0</v>
      </c>
      <c r="I6" s="330"/>
      <c r="J6" s="334"/>
      <c r="K6" s="334"/>
      <c r="L6" s="334"/>
      <c r="M6" s="335"/>
      <c r="N6" s="336"/>
      <c r="O6" s="331" t="s">
        <v>2412</v>
      </c>
      <c r="P6" s="331" t="s">
        <v>2412</v>
      </c>
      <c r="Q6" s="331" t="s">
        <v>2412</v>
      </c>
      <c r="R6" s="282" t="s">
        <v>2412</v>
      </c>
      <c r="S6" s="329">
        <f t="shared" si="1"/>
        <v>0</v>
      </c>
    </row>
    <row r="7" ht="70" customHeight="1" spans="1:19" x14ac:dyDescent="0.25">
      <c r="A7" s="326" t="s">
        <v>2237</v>
      </c>
      <c r="B7" s="327"/>
      <c r="C7" s="327"/>
      <c r="D7" s="327"/>
      <c r="E7" s="327" t="s">
        <v>2170</v>
      </c>
      <c r="F7" s="328" t="s">
        <v>2171</v>
      </c>
      <c r="G7" s="333"/>
      <c r="H7" s="329">
        <f t="shared" si="0"/>
        <v>0</v>
      </c>
      <c r="I7" s="330"/>
      <c r="J7" s="334"/>
      <c r="K7" s="334"/>
      <c r="L7" s="334"/>
      <c r="M7" s="334"/>
      <c r="N7" s="333"/>
      <c r="O7" s="334"/>
      <c r="P7" s="334"/>
      <c r="Q7" s="334"/>
      <c r="R7" s="334"/>
      <c r="S7" s="329">
        <f t="shared" si="1"/>
        <v>0</v>
      </c>
    </row>
    <row r="8" ht="168" customHeight="1" spans="1:19" x14ac:dyDescent="0.25">
      <c r="A8" s="326" t="s">
        <v>2237</v>
      </c>
      <c r="B8" s="327"/>
      <c r="C8" s="327"/>
      <c r="D8" s="327"/>
      <c r="E8" s="327" t="s">
        <v>2174</v>
      </c>
      <c r="F8" s="328" t="s">
        <v>2175</v>
      </c>
      <c r="G8" s="305" t="s">
        <v>2507</v>
      </c>
      <c r="H8" s="329">
        <f t="shared" si="0"/>
        <v>0</v>
      </c>
      <c r="I8" s="330"/>
      <c r="J8" s="334"/>
      <c r="K8" s="334"/>
      <c r="L8" s="334"/>
      <c r="M8" s="334"/>
      <c r="N8" s="333"/>
      <c r="O8" s="334"/>
      <c r="P8" s="334"/>
      <c r="Q8" s="334"/>
      <c r="R8" s="305" t="s">
        <v>2508</v>
      </c>
      <c r="S8" s="329">
        <f t="shared" si="1"/>
        <v>0</v>
      </c>
    </row>
    <row r="9" ht="252" customHeight="1" spans="1:19" x14ac:dyDescent="0.25">
      <c r="A9" s="326" t="s">
        <v>2237</v>
      </c>
      <c r="B9" s="327"/>
      <c r="C9" s="327"/>
      <c r="D9" s="327"/>
      <c r="E9" s="327" t="s">
        <v>2176</v>
      </c>
      <c r="F9" s="328" t="s">
        <v>2177</v>
      </c>
      <c r="G9" s="305" t="s">
        <v>2509</v>
      </c>
      <c r="H9" s="329">
        <f t="shared" si="0"/>
        <v>0</v>
      </c>
      <c r="I9" s="330"/>
      <c r="J9" s="334"/>
      <c r="K9" s="334"/>
      <c r="L9" s="334"/>
      <c r="M9" s="334"/>
      <c r="N9" s="333"/>
      <c r="O9" s="334"/>
      <c r="P9" s="334"/>
      <c r="Q9" s="334"/>
      <c r="R9" s="305" t="s">
        <v>2510</v>
      </c>
      <c r="S9" s="329">
        <f t="shared" si="1"/>
        <v>0</v>
      </c>
    </row>
    <row r="10" ht="168" customHeight="1" spans="1:19" x14ac:dyDescent="0.25">
      <c r="A10" s="326" t="s">
        <v>2237</v>
      </c>
      <c r="B10" s="327"/>
      <c r="C10" s="327"/>
      <c r="D10" s="327"/>
      <c r="E10" s="327" t="s">
        <v>2178</v>
      </c>
      <c r="F10" s="328" t="s">
        <v>2179</v>
      </c>
      <c r="G10" s="305" t="s">
        <v>2511</v>
      </c>
      <c r="H10" s="329">
        <f>SUM(G10)</f>
        <v>0</v>
      </c>
      <c r="I10" s="330"/>
      <c r="J10" s="334"/>
      <c r="K10" s="334"/>
      <c r="L10" s="334"/>
      <c r="M10" s="334"/>
      <c r="N10" s="333"/>
      <c r="O10" s="334"/>
      <c r="P10" s="334"/>
      <c r="Q10" s="334"/>
      <c r="R10" s="305" t="s">
        <v>2512</v>
      </c>
      <c r="S10" s="329">
        <f t="shared" si="1"/>
        <v>0</v>
      </c>
    </row>
    <row r="11" ht="168" customHeight="1" spans="1:19" x14ac:dyDescent="0.25">
      <c r="A11" s="326" t="s">
        <v>2237</v>
      </c>
      <c r="B11" s="327"/>
      <c r="C11" s="327"/>
      <c r="D11" s="327"/>
      <c r="E11" s="327" t="s">
        <v>2180</v>
      </c>
      <c r="F11" s="328" t="s">
        <v>2181</v>
      </c>
      <c r="G11" s="305" t="s">
        <v>2513</v>
      </c>
      <c r="H11" s="329">
        <f>SUM(G11)</f>
        <v>0</v>
      </c>
      <c r="I11" s="330"/>
      <c r="J11" s="334"/>
      <c r="K11" s="334"/>
      <c r="L11" s="334"/>
      <c r="M11" s="334"/>
      <c r="N11" s="333"/>
      <c r="O11" s="334"/>
      <c r="P11" s="334"/>
      <c r="Q11" s="334"/>
      <c r="R11" s="305" t="s">
        <v>2514</v>
      </c>
      <c r="S11" s="329">
        <f t="shared" si="1"/>
        <v>0</v>
      </c>
    </row>
    <row r="12" ht="196" customHeight="1" spans="1:19" x14ac:dyDescent="0.25">
      <c r="A12" s="326" t="s">
        <v>2237</v>
      </c>
      <c r="B12" s="327"/>
      <c r="C12" s="327"/>
      <c r="D12" s="327"/>
      <c r="E12" s="327" t="s">
        <v>2182</v>
      </c>
      <c r="F12" s="328" t="s">
        <v>2183</v>
      </c>
      <c r="G12" s="305" t="s">
        <v>2515</v>
      </c>
      <c r="H12" s="329">
        <f t="shared" si="0"/>
        <v>0</v>
      </c>
      <c r="I12" s="330"/>
      <c r="J12" s="334"/>
      <c r="K12" s="334"/>
      <c r="L12" s="334"/>
      <c r="M12" s="334"/>
      <c r="N12" s="333"/>
      <c r="O12" s="334"/>
      <c r="P12" s="334"/>
      <c r="Q12" s="334"/>
      <c r="R12" s="305" t="s">
        <v>2516</v>
      </c>
      <c r="S12" s="329">
        <f t="shared" si="1"/>
        <v>0</v>
      </c>
    </row>
    <row r="13" ht="210" customHeight="1" spans="1:19" x14ac:dyDescent="0.25">
      <c r="A13" s="326" t="s">
        <v>2237</v>
      </c>
      <c r="B13" s="327"/>
      <c r="C13" s="327"/>
      <c r="D13" s="327"/>
      <c r="E13" s="327" t="s">
        <v>2184</v>
      </c>
      <c r="F13" s="328" t="s">
        <v>2185</v>
      </c>
      <c r="G13" s="305" t="s">
        <v>2517</v>
      </c>
      <c r="H13" s="329">
        <f t="shared" si="0"/>
        <v>0</v>
      </c>
      <c r="I13" s="305" t="s">
        <v>2518</v>
      </c>
      <c r="J13" s="334"/>
      <c r="K13" s="334"/>
      <c r="L13" s="334"/>
      <c r="M13" s="334"/>
      <c r="N13" s="333"/>
      <c r="O13" s="334"/>
      <c r="P13" s="334"/>
      <c r="Q13" s="334"/>
      <c r="R13" s="305" t="s">
        <v>2519</v>
      </c>
      <c r="S13" s="329">
        <f t="shared" si="1"/>
        <v>0</v>
      </c>
    </row>
    <row r="14" ht="409.6" customHeight="1" spans="1:19" x14ac:dyDescent="0.25">
      <c r="A14" s="326" t="s">
        <v>2237</v>
      </c>
      <c r="B14" s="327"/>
      <c r="C14" s="327"/>
      <c r="D14" s="327"/>
      <c r="E14" s="327" t="s">
        <v>2186</v>
      </c>
      <c r="F14" s="328" t="s">
        <v>2187</v>
      </c>
      <c r="G14" s="305" t="s">
        <v>2520</v>
      </c>
      <c r="H14" s="329">
        <f t="shared" si="0"/>
        <v>0</v>
      </c>
      <c r="I14" s="305" t="s">
        <v>2521</v>
      </c>
      <c r="J14" s="305" t="s">
        <v>2522</v>
      </c>
      <c r="K14" s="305" t="s">
        <v>2523</v>
      </c>
      <c r="L14" s="305" t="s">
        <v>2524</v>
      </c>
      <c r="M14" s="333"/>
      <c r="N14" s="333"/>
      <c r="O14" s="334"/>
      <c r="P14" s="334"/>
      <c r="Q14" s="334"/>
      <c r="R14" s="305" t="s">
        <v>2525</v>
      </c>
      <c r="S14" s="329">
        <f t="shared" si="1"/>
        <v>0</v>
      </c>
    </row>
    <row r="15" ht="409.6" customHeight="1" spans="1:19" x14ac:dyDescent="0.25">
      <c r="A15" s="326" t="s">
        <v>2237</v>
      </c>
      <c r="B15" s="327"/>
      <c r="C15" s="327"/>
      <c r="D15" s="327"/>
      <c r="E15" s="327" t="s">
        <v>2188</v>
      </c>
      <c r="F15" s="328" t="s">
        <v>2189</v>
      </c>
      <c r="G15" s="305" t="s">
        <v>2526</v>
      </c>
      <c r="H15" s="329">
        <f t="shared" si="0"/>
        <v>0</v>
      </c>
      <c r="I15" s="305" t="s">
        <v>2527</v>
      </c>
      <c r="J15" s="305" t="s">
        <v>2528</v>
      </c>
      <c r="K15" s="305" t="s">
        <v>2529</v>
      </c>
      <c r="L15" s="305" t="s">
        <v>2530</v>
      </c>
      <c r="M15" s="333"/>
      <c r="N15" s="333"/>
      <c r="O15" s="334"/>
      <c r="P15" s="334"/>
      <c r="Q15" s="334"/>
      <c r="R15" s="305" t="s">
        <v>2531</v>
      </c>
      <c r="S15" s="329">
        <f t="shared" si="1"/>
        <v>0</v>
      </c>
    </row>
    <row r="16" ht="28" customHeight="1" spans="1:19" x14ac:dyDescent="0.25">
      <c r="A16" s="326"/>
      <c r="B16" s="337"/>
      <c r="C16" s="337"/>
      <c r="D16" s="337"/>
      <c r="E16" s="337"/>
      <c r="F16" s="324" t="s">
        <v>2190</v>
      </c>
      <c r="G16" s="329">
        <f t="shared" ref="G16:S16" si="2">SUM(G5:G15)</f>
        <v>0</v>
      </c>
      <c r="H16" s="329">
        <f t="shared" si="2"/>
        <v>0</v>
      </c>
      <c r="I16" s="329">
        <f t="shared" si="2"/>
        <v>0</v>
      </c>
      <c r="J16" s="329">
        <f t="shared" si="2"/>
        <v>0</v>
      </c>
      <c r="K16" s="329">
        <f t="shared" si="2"/>
        <v>0</v>
      </c>
      <c r="L16" s="329">
        <f t="shared" si="2"/>
        <v>0</v>
      </c>
      <c r="M16" s="329">
        <f t="shared" si="2"/>
        <v>0</v>
      </c>
      <c r="N16" s="329">
        <f t="shared" si="2"/>
        <v>0</v>
      </c>
      <c r="O16" s="329">
        <f>SUM(O6:O15)</f>
        <v>0</v>
      </c>
      <c r="P16" s="329">
        <f>SUM(P6:P15)</f>
        <v>0</v>
      </c>
      <c r="Q16" s="329">
        <f t="shared" si="2"/>
        <v>0</v>
      </c>
      <c r="R16" s="329">
        <f>SUM(R5:R15)</f>
        <v>0</v>
      </c>
      <c r="S16" s="329">
        <f t="shared" si="2"/>
        <v>0</v>
      </c>
    </row>
    <row r="17" spans="1:19" x14ac:dyDescent="0.25">
      <c r="A17" s="338"/>
      <c r="B17" s="338"/>
      <c r="C17" s="338"/>
      <c r="D17" s="338"/>
      <c r="E17" s="338"/>
      <c r="F17" s="339"/>
      <c r="G17" s="338"/>
      <c r="H17" s="338"/>
      <c r="I17" s="338"/>
      <c r="J17" s="338"/>
      <c r="K17" s="338"/>
      <c r="L17" s="338"/>
      <c r="M17" s="338"/>
      <c r="N17" s="338"/>
      <c r="O17" s="338"/>
      <c r="P17" s="338"/>
      <c r="Q17" s="338"/>
      <c r="R17" s="338"/>
      <c r="S17" s="340"/>
    </row>
    <row r="18" spans="1:21" x14ac:dyDescent="0.25">
      <c r="A18" s="338"/>
      <c r="B18" s="338"/>
      <c r="C18" s="338"/>
      <c r="D18" s="338"/>
      <c r="E18" s="338"/>
      <c r="F18" s="339"/>
      <c r="G18" s="338"/>
      <c r="H18" s="338"/>
      <c r="I18" s="338"/>
      <c r="J18" s="338"/>
      <c r="K18" s="338"/>
      <c r="L18" s="338"/>
      <c r="M18" s="338"/>
      <c r="N18" s="338"/>
      <c r="O18" s="338"/>
      <c r="P18" s="338"/>
      <c r="Q18" s="338"/>
      <c r="R18" s="338"/>
      <c r="S18" s="341"/>
      <c r="T18" s="338"/>
      <c r="U18" s="338"/>
    </row>
    <row r="19" ht="345" customHeight="1" spans="1:21" x14ac:dyDescent="0.25">
      <c r="A19" s="342"/>
      <c r="B19" s="342"/>
      <c r="C19" s="342"/>
      <c r="D19" s="343"/>
      <c r="E19" s="342"/>
      <c r="F19" s="319" t="s">
        <v>2192</v>
      </c>
      <c r="G19" s="305" t="s">
        <v>2532</v>
      </c>
      <c r="H19" s="342"/>
      <c r="I19" s="342"/>
      <c r="J19" s="342"/>
      <c r="K19" s="342"/>
      <c r="L19" s="342"/>
      <c r="M19" s="342"/>
      <c r="N19" s="342"/>
      <c r="O19" s="342"/>
      <c r="P19" s="342"/>
      <c r="Q19" s="319" t="s">
        <v>2193</v>
      </c>
      <c r="R19" s="305" t="s">
        <v>2533</v>
      </c>
      <c r="S19" s="342"/>
      <c r="T19" s="342"/>
      <c r="U19" s="342"/>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60"/>
      <c r="E1" s="143"/>
      <c r="F1" s="91"/>
      <c r="G1" s="344"/>
      <c r="H1" s="91"/>
      <c r="I1" s="344" t="s">
        <v>2238</v>
      </c>
      <c r="J1" s="345"/>
      <c r="K1" s="143"/>
      <c r="L1" s="143"/>
      <c r="M1" s="92"/>
      <c r="N1" s="92"/>
    </row>
    <row r="2" ht="37" customHeight="1" spans="1:14" x14ac:dyDescent="0.25">
      <c r="A2" s="161"/>
      <c r="B2" s="162"/>
      <c r="C2" s="162"/>
      <c r="D2" s="162"/>
      <c r="E2" s="346"/>
      <c r="F2" s="347"/>
      <c r="G2" s="347"/>
      <c r="H2" s="347"/>
      <c r="I2" s="347"/>
      <c r="J2" s="347"/>
      <c r="K2" s="144" t="s">
        <v>2063</v>
      </c>
      <c r="L2" s="348" t="s">
        <v>2064</v>
      </c>
      <c r="M2" s="95" t="s">
        <v>2239</v>
      </c>
      <c r="N2" s="96" t="s">
        <v>2240</v>
      </c>
    </row>
    <row r="3" ht="37" customHeight="1" spans="1:14" x14ac:dyDescent="0.25">
      <c r="A3" s="161"/>
      <c r="B3" s="162"/>
      <c r="C3" s="162"/>
      <c r="D3" s="162"/>
      <c r="E3" s="346"/>
      <c r="F3" s="347"/>
      <c r="G3" s="347"/>
      <c r="H3" s="347"/>
      <c r="I3" s="347"/>
      <c r="J3" s="347"/>
      <c r="K3" s="144" t="s">
        <v>2084</v>
      </c>
      <c r="L3" s="348"/>
      <c r="M3" s="95" t="s">
        <v>2241</v>
      </c>
      <c r="N3" s="96"/>
    </row>
    <row r="4" ht="37" customHeight="1" spans="1:14" x14ac:dyDescent="0.25">
      <c r="A4" s="349"/>
      <c r="B4" s="165"/>
      <c r="C4" s="165"/>
      <c r="D4" s="165"/>
      <c r="E4" s="350"/>
      <c r="F4" s="351" t="s">
        <v>2114</v>
      </c>
      <c r="G4" s="351" t="s">
        <v>2115</v>
      </c>
      <c r="H4" s="351" t="s">
        <v>37</v>
      </c>
      <c r="I4" s="351" t="s">
        <v>2116</v>
      </c>
      <c r="J4" s="351" t="s">
        <v>2117</v>
      </c>
      <c r="K4" s="144" t="s">
        <v>2132</v>
      </c>
      <c r="L4" s="348"/>
      <c r="M4" s="95" t="s">
        <v>2242</v>
      </c>
      <c r="N4" s="96"/>
    </row>
    <row r="5" ht="37" customHeight="1" spans="1:14" x14ac:dyDescent="0.25">
      <c r="A5" s="166"/>
      <c r="B5" s="167"/>
      <c r="C5" s="167"/>
      <c r="D5" s="352"/>
      <c r="E5" s="353" t="s">
        <v>2243</v>
      </c>
      <c r="F5" s="352"/>
      <c r="G5" s="352"/>
      <c r="H5" s="352"/>
      <c r="I5" s="352" t="s">
        <v>2165</v>
      </c>
      <c r="J5" s="354" t="s">
        <v>2166</v>
      </c>
      <c r="K5" s="355" t="s">
        <v>2534</v>
      </c>
      <c r="L5" s="356">
        <f t="shared" ref="L5:L13" si="0">SUM(K5)</f>
        <v>0</v>
      </c>
      <c r="M5" s="357"/>
      <c r="N5" s="213">
        <f t="shared" ref="N5:N13" si="1">SUM(M5)</f>
        <v>0</v>
      </c>
    </row>
    <row r="6" ht="37" customHeight="1" spans="1:14" x14ac:dyDescent="0.25">
      <c r="A6" s="166"/>
      <c r="B6" s="167"/>
      <c r="C6" s="167"/>
      <c r="D6" s="152"/>
      <c r="E6" s="353" t="s">
        <v>2243</v>
      </c>
      <c r="F6" s="352"/>
      <c r="G6" s="352"/>
      <c r="H6" s="152"/>
      <c r="I6" s="352" t="s">
        <v>2174</v>
      </c>
      <c r="J6" s="354" t="s">
        <v>2175</v>
      </c>
      <c r="K6" s="358"/>
      <c r="L6" s="356">
        <f t="shared" si="0"/>
        <v>0</v>
      </c>
      <c r="M6" s="357"/>
      <c r="N6" s="213">
        <f t="shared" si="1"/>
        <v>0</v>
      </c>
    </row>
    <row r="7" ht="37" customHeight="1" spans="1:14" x14ac:dyDescent="0.25">
      <c r="A7" s="166"/>
      <c r="B7" s="167"/>
      <c r="C7" s="167"/>
      <c r="D7" s="152"/>
      <c r="E7" s="353" t="s">
        <v>2243</v>
      </c>
      <c r="F7" s="352"/>
      <c r="G7" s="352"/>
      <c r="H7" s="152"/>
      <c r="I7" s="352" t="s">
        <v>2176</v>
      </c>
      <c r="J7" s="354" t="s">
        <v>2177</v>
      </c>
      <c r="K7" s="358"/>
      <c r="L7" s="356">
        <f t="shared" si="0"/>
        <v>0</v>
      </c>
      <c r="M7" s="359"/>
      <c r="N7" s="213">
        <f t="shared" si="1"/>
        <v>0</v>
      </c>
    </row>
    <row r="8" ht="37" customHeight="1" spans="1:14" x14ac:dyDescent="0.25">
      <c r="A8" s="166"/>
      <c r="B8" s="167"/>
      <c r="C8" s="167"/>
      <c r="D8" s="152"/>
      <c r="E8" s="353" t="s">
        <v>2243</v>
      </c>
      <c r="F8" s="352"/>
      <c r="G8" s="352"/>
      <c r="H8" s="152"/>
      <c r="I8" s="352" t="s">
        <v>2178</v>
      </c>
      <c r="J8" s="354" t="s">
        <v>2179</v>
      </c>
      <c r="K8" s="358"/>
      <c r="L8" s="356">
        <f t="shared" si="0"/>
        <v>0</v>
      </c>
      <c r="M8" s="357"/>
      <c r="N8" s="213">
        <f t="shared" si="1"/>
        <v>0</v>
      </c>
    </row>
    <row r="9" ht="37" customHeight="1" spans="1:14" x14ac:dyDescent="0.25">
      <c r="A9" s="166"/>
      <c r="B9" s="167"/>
      <c r="C9" s="167"/>
      <c r="D9" s="152"/>
      <c r="E9" s="353" t="s">
        <v>2243</v>
      </c>
      <c r="F9" s="352"/>
      <c r="G9" s="352"/>
      <c r="H9" s="152"/>
      <c r="I9" s="352" t="s">
        <v>2180</v>
      </c>
      <c r="J9" s="354" t="s">
        <v>2181</v>
      </c>
      <c r="K9" s="358"/>
      <c r="L9" s="356">
        <f t="shared" si="0"/>
        <v>0</v>
      </c>
      <c r="M9" s="359"/>
      <c r="N9" s="213">
        <f t="shared" si="1"/>
        <v>0</v>
      </c>
    </row>
    <row r="10" ht="37" customHeight="1" spans="1:14" x14ac:dyDescent="0.25">
      <c r="A10" s="166"/>
      <c r="B10" s="167"/>
      <c r="C10" s="167"/>
      <c r="D10" s="152"/>
      <c r="E10" s="353" t="s">
        <v>2243</v>
      </c>
      <c r="F10" s="352"/>
      <c r="G10" s="352"/>
      <c r="H10" s="152"/>
      <c r="I10" s="352" t="s">
        <v>2182</v>
      </c>
      <c r="J10" s="354" t="s">
        <v>2183</v>
      </c>
      <c r="K10" s="358"/>
      <c r="L10" s="356">
        <f t="shared" si="0"/>
        <v>0</v>
      </c>
      <c r="M10" s="357"/>
      <c r="N10" s="213">
        <f t="shared" si="1"/>
        <v>0</v>
      </c>
    </row>
    <row r="11" ht="37" customHeight="1" spans="1:14" x14ac:dyDescent="0.25">
      <c r="A11" s="166"/>
      <c r="B11" s="167"/>
      <c r="C11" s="167"/>
      <c r="D11" s="152"/>
      <c r="E11" s="353" t="s">
        <v>2243</v>
      </c>
      <c r="F11" s="352"/>
      <c r="G11" s="352"/>
      <c r="H11" s="152"/>
      <c r="I11" s="352" t="s">
        <v>2184</v>
      </c>
      <c r="J11" s="354" t="s">
        <v>2185</v>
      </c>
      <c r="K11" s="358"/>
      <c r="L11" s="356">
        <f t="shared" si="0"/>
        <v>0</v>
      </c>
      <c r="M11" s="359"/>
      <c r="N11" s="213">
        <f t="shared" si="1"/>
        <v>0</v>
      </c>
    </row>
    <row r="12" ht="179" customHeight="1" spans="1:14" x14ac:dyDescent="0.25">
      <c r="A12" s="166"/>
      <c r="B12" s="167"/>
      <c r="C12" s="167"/>
      <c r="D12" s="152"/>
      <c r="E12" s="353" t="s">
        <v>2243</v>
      </c>
      <c r="F12" s="352"/>
      <c r="G12" s="352"/>
      <c r="H12" s="152"/>
      <c r="I12" s="352" t="s">
        <v>2186</v>
      </c>
      <c r="J12" s="354" t="s">
        <v>2187</v>
      </c>
      <c r="K12" s="355" t="s">
        <v>2535</v>
      </c>
      <c r="L12" s="356">
        <f t="shared" si="0"/>
        <v>0</v>
      </c>
      <c r="M12" s="194"/>
      <c r="N12" s="213">
        <f t="shared" si="1"/>
        <v>0</v>
      </c>
    </row>
    <row r="13" ht="167" customHeight="1" spans="1:14" x14ac:dyDescent="0.25">
      <c r="A13" s="166"/>
      <c r="B13" s="167"/>
      <c r="C13" s="167"/>
      <c r="D13" s="152"/>
      <c r="E13" s="353" t="s">
        <v>2243</v>
      </c>
      <c r="F13" s="352"/>
      <c r="G13" s="352"/>
      <c r="H13" s="152"/>
      <c r="I13" s="352" t="s">
        <v>2188</v>
      </c>
      <c r="J13" s="354" t="s">
        <v>2189</v>
      </c>
      <c r="K13" s="355" t="s">
        <v>2536</v>
      </c>
      <c r="L13" s="356">
        <f t="shared" si="0"/>
        <v>0</v>
      </c>
      <c r="M13" s="194"/>
      <c r="N13" s="213">
        <f t="shared" si="1"/>
        <v>0</v>
      </c>
    </row>
    <row r="14" ht="37" customHeight="1" spans="1:14" x14ac:dyDescent="0.25">
      <c r="A14" s="360"/>
      <c r="B14" s="361"/>
      <c r="C14" s="361"/>
      <c r="D14" s="361"/>
      <c r="E14" s="362"/>
      <c r="F14" s="363"/>
      <c r="G14" s="363"/>
      <c r="H14" s="363"/>
      <c r="I14" s="364"/>
      <c r="J14" s="365" t="s">
        <v>2190</v>
      </c>
      <c r="K14" s="356">
        <f>SUM(K5:K13)</f>
        <v>0</v>
      </c>
      <c r="L14" s="356">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5"/>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L145"/>
  <sheetViews>
    <sheetView workbookViewId="0" zoomScale="100" zoomScaleNormal="100">
      <selection activeCell="T5" sqref="T5"/>
    </sheetView>
  </sheetViews>
  <sheetFormatPr defaultRowHeight="15" outlineLevelRow="0" outlineLevelCol="0" x14ac:dyDescent="0.2"/>
  <cols>
    <col min="1" max="2" width="10.83203125" hidden="1" customWidth="1"/>
    <col min="3" max="3" width="9.83203125" customWidth="1"/>
    <col min="6" max="6" width="73.83203125" customWidth="1"/>
    <col min="7" max="7" width="13.33203125" customWidth="1"/>
    <col min="8" max="8" width="13.1640625" customWidth="1"/>
    <col min="9" max="18" width="13.33203125" customWidth="1"/>
  </cols>
  <sheetData>
    <row r="1" ht="80" customHeight="1" spans="1:64" s="40" customFormat="1" x14ac:dyDescent="0.25">
      <c r="A1" s="41" t="s">
        <v>2244</v>
      </c>
      <c r="B1" s="42"/>
      <c r="C1" s="42"/>
      <c r="D1" s="41" t="s">
        <v>2245</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row>
    <row r="2" ht="15" customHeight="1" hidden="1" spans="1:19" x14ac:dyDescent="0.25">
      <c r="A2" s="176"/>
      <c r="B2" s="177"/>
      <c r="C2" s="177"/>
      <c r="D2" s="177"/>
      <c r="E2" s="177"/>
      <c r="F2" s="177"/>
      <c r="G2" s="178" t="s">
        <v>2239</v>
      </c>
      <c r="H2" s="178" t="s">
        <v>2239</v>
      </c>
      <c r="I2" s="178" t="s">
        <v>2239</v>
      </c>
      <c r="J2" s="178"/>
      <c r="K2" s="178"/>
      <c r="L2" s="178" t="s">
        <v>2239</v>
      </c>
      <c r="M2" s="178"/>
      <c r="N2" s="178"/>
      <c r="O2" s="178" t="s">
        <v>2239</v>
      </c>
      <c r="P2" s="178" t="s">
        <v>2239</v>
      </c>
      <c r="Q2" s="178" t="s">
        <v>2239</v>
      </c>
      <c r="R2" s="178" t="s">
        <v>2239</v>
      </c>
      <c r="S2" s="179" t="s">
        <v>2246</v>
      </c>
    </row>
    <row r="3" ht="24" customHeight="1" hidden="1" spans="1:19" x14ac:dyDescent="0.25">
      <c r="A3" s="176"/>
      <c r="B3" s="177"/>
      <c r="C3" s="177"/>
      <c r="D3" s="177"/>
      <c r="E3" s="177"/>
      <c r="F3" s="177"/>
      <c r="G3" s="178" t="s">
        <v>2247</v>
      </c>
      <c r="H3" s="178" t="s">
        <v>2248</v>
      </c>
      <c r="I3" s="178" t="s">
        <v>2249</v>
      </c>
      <c r="J3" s="178"/>
      <c r="K3" s="178"/>
      <c r="L3" s="178" t="s">
        <v>2250</v>
      </c>
      <c r="M3" s="178"/>
      <c r="N3" s="178"/>
      <c r="O3" s="178" t="s">
        <v>2251</v>
      </c>
      <c r="P3" s="178" t="s">
        <v>2252</v>
      </c>
      <c r="Q3" s="178" t="s">
        <v>2253</v>
      </c>
      <c r="R3" s="178" t="s">
        <v>2254</v>
      </c>
      <c r="S3" s="179"/>
    </row>
    <row r="4" ht="36" customHeight="1" spans="1:19" x14ac:dyDescent="0.25">
      <c r="A4" s="180"/>
      <c r="B4" s="181" t="s">
        <v>2114</v>
      </c>
      <c r="C4" s="181" t="s">
        <v>2115</v>
      </c>
      <c r="D4" s="181" t="s">
        <v>37</v>
      </c>
      <c r="E4" s="181" t="s">
        <v>2255</v>
      </c>
      <c r="F4" s="182" t="s">
        <v>2117</v>
      </c>
      <c r="G4" s="178" t="s">
        <v>2256</v>
      </c>
      <c r="H4" s="178" t="s">
        <v>2257</v>
      </c>
      <c r="I4" s="178" t="s">
        <v>2258</v>
      </c>
      <c r="J4" s="178" t="s">
        <v>2259</v>
      </c>
      <c r="K4" s="178" t="s">
        <v>2260</v>
      </c>
      <c r="L4" s="178" t="s">
        <v>2261</v>
      </c>
      <c r="M4" s="178" t="s">
        <v>2262</v>
      </c>
      <c r="N4" s="178" t="s">
        <v>2263</v>
      </c>
      <c r="O4" s="178" t="s">
        <v>2264</v>
      </c>
      <c r="P4" s="178" t="s">
        <v>2265</v>
      </c>
      <c r="Q4" s="178" t="s">
        <v>2266</v>
      </c>
      <c r="R4" s="178" t="s">
        <v>2267</v>
      </c>
      <c r="S4" s="179"/>
    </row>
    <row r="5" spans="1:19" x14ac:dyDescent="0.25">
      <c r="A5" s="183" t="s">
        <v>2268</v>
      </c>
      <c r="B5" s="184"/>
      <c r="C5" s="184"/>
      <c r="D5" s="184">
        <f>ETPT_ATTJ_DDG!D5</f>
        <v>0</v>
      </c>
      <c r="E5" s="184" t="s">
        <v>2165</v>
      </c>
      <c r="F5" s="185" t="s">
        <v>2166</v>
      </c>
      <c r="G5" s="186"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6"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7" t="e">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187"/>
      <c r="K5" s="187"/>
      <c r="L5" s="187" t="e">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187"/>
      <c r="N5" s="187"/>
      <c r="O5" s="187"/>
      <c r="P5" s="187" t="e">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187"/>
      <c r="R5" s="187"/>
      <c r="S5" s="188">
        <f t="shared" ref="S5:S12" si="0">_xlfn.AGGREGATE(9,6,G5:R5)</f>
        <v>0</v>
      </c>
    </row>
    <row r="6" spans="1:19" x14ac:dyDescent="0.25">
      <c r="A6" s="183" t="s">
        <v>2268</v>
      </c>
      <c r="B6" s="184"/>
      <c r="C6" s="184"/>
      <c r="D6" s="184">
        <f>ETPT_ATTJ_DDG!D6</f>
        <v>0</v>
      </c>
      <c r="E6" s="184" t="s">
        <v>2167</v>
      </c>
      <c r="F6" s="185" t="s">
        <v>2168</v>
      </c>
      <c r="G6" s="186"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6"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7" t="e">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187" t="e">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187" t="e">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187" t="e">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187"/>
      <c r="N6" s="187"/>
      <c r="O6" s="187" t="e">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187" t="e">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187" t="e">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187" t="e">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188">
        <f t="shared" si="0"/>
        <v>0</v>
      </c>
    </row>
    <row r="7" spans="1:19" x14ac:dyDescent="0.25">
      <c r="A7" s="183" t="s">
        <v>2268</v>
      </c>
      <c r="B7" s="184"/>
      <c r="C7" s="184"/>
      <c r="D7" s="184">
        <f>ETPT_ATTJ_DDG!D7</f>
        <v>0</v>
      </c>
      <c r="E7" s="184" t="s">
        <v>2174</v>
      </c>
      <c r="F7" s="185" t="s">
        <v>2175</v>
      </c>
      <c r="G7" s="186"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6"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7" t="e">
        <f>SUM(SUMIFS(
INDEX( 'ETPT Format DDG'!$A:$ZZ,,MATCH("11.51. ACCUEIL DU JUSTICIABLE (DONT SAUJ)",'ETPT Format DDG'!2:2,0)),
INDEX( 'ETPT Format DDG'!$A:$ZZ,,MATCH("Fonction recodée",'ETPT Format DDG'!2:2,0)),"JA/AttJ Siège autres",
INDEX( 'ETPT Format DDG'!$A:$ZZ,,MATCH("Juridiction",'ETPT Format DDG'!2:2,0)),$D$5))</f>
        <v>#N/A</v>
      </c>
      <c r="J7" s="187" t="e">
        <f>SUM(SUMIFS(
INDEX( 'ETPT Format DDG'!$A:$ZZ,,MATCH("11.51. ACCUEIL DU JUSTICIABLE (DONT SAUJ)",'ETPT Format DDG'!2:2,0)),
INDEX( 'ETPT Format DDG'!$A:$ZZ,,MATCH("Fonction recodée",'ETPT Format DDG'!2:2,0)),"JA/AttJ Siege Assises",
INDEX( 'ETPT Format DDG'!$A:$ZZ,,MATCH("Juridiction",'ETPT Format DDG'!2:2,0)),$D$5))</f>
        <v>#N/A</v>
      </c>
      <c r="K7" s="187" t="e">
        <f>SUM(SUMIFS(
INDEX( 'ETPT Format DDG'!$A:$ZZ,,MATCH("11.51. ACCUEIL DU JUSTICIABLE (DONT SAUJ)",'ETPT Format DDG'!2:2,0)),
INDEX( 'ETPT Format DDG'!$A:$ZZ,,MATCH("Fonction recodée",'ETPT Format DDG'!2:2,0)),"JA/AttJ Siege CCD",
INDEX( 'ETPT Format DDG'!$A:$ZZ,,MATCH("Juridiction",'ETPT Format DDG'!2:2,0)),$D$5))</f>
        <v>#N/A</v>
      </c>
      <c r="L7" s="187" t="e">
        <f>SUM(SUMIFS(
INDEX( 'ETPT Format DDG'!$A:$ZZ,,MATCH("11.51. ACCUEIL DU JUSTICIABLE (DONT SAUJ)",'ETPT Format DDG'!2:2,0)),
INDEX( 'ETPT Format DDG'!$A:$ZZ,,MATCH("Fonction recodée",'ETPT Format DDG'!2:2,0)),"JA/AttJ Parquet",
INDEX( 'ETPT Format DDG'!$A:$ZZ,,MATCH("Juridiction",'ETPT Format DDG'!2:2,0)),$D$5))</f>
        <v>#N/A</v>
      </c>
      <c r="M7" s="187"/>
      <c r="N7" s="187"/>
      <c r="O7" s="187" t="e">
        <f>SUM(SUMIFS(
INDEX( 'ETPT Format DDG'!$A:$ZZ,,MATCH("11.51. ACCUEIL DU JUSTICIABLE (DONT SAUJ)",'ETPT Format DDG'!2:2,0)),
INDEX( 'ETPT Format DDG'!$A:$ZZ,,MATCH("Fonction recodée",'ETPT Format DDG'!2:2,0)),"JA/AttJ JAP",
INDEX( 'ETPT Format DDG'!$A:$ZZ,,MATCH("Juridiction",'ETPT Format DDG'!2:2,0)),$D$5))</f>
        <v>#N/A</v>
      </c>
      <c r="P7" s="187" t="e">
        <f>SUM(SUMIFS(
INDEX( 'ETPT Format DDG'!$A:$ZZ,,MATCH("11.51. ACCUEIL DU JUSTICIABLE (DONT SAUJ)",'ETPT Format DDG'!2:2,0)),
INDEX( 'ETPT Format DDG'!$A:$ZZ,,MATCH("Fonction recodée",'ETPT Format DDG'!2:2,0)),"JA/AttJ JE",
INDEX( 'ETPT Format DDG'!$A:$ZZ,,MATCH("Juridiction",'ETPT Format DDG'!2:2,0)),$D$5))</f>
        <v>#N/A</v>
      </c>
      <c r="Q7" s="187" t="e">
        <f>SUM(SUMIFS(
INDEX( 'ETPT Format DDG'!$A:$ZZ,,MATCH("11.51. ACCUEIL DU JUSTICIABLE (DONT SAUJ)",'ETPT Format DDG'!2:2,0)),
INDEX( 'ETPT Format DDG'!$A:$ZZ,,MATCH("Fonction recodée",'ETPT Format DDG'!2:2,0)),"JA/AttJ JI",
INDEX( 'ETPT Format DDG'!$A:$ZZ,,MATCH("Juridiction",'ETPT Format DDG'!2:2,0)),$D$5))</f>
        <v>#N/A</v>
      </c>
      <c r="R7" s="187" t="e">
        <f>SUM(SUMIFS(
INDEX( 'ETPT Format DDG'!$A:$ZZ,,MATCH("11.51. ACCUEIL DU JUSTICIABLE (DONT SAUJ)",'ETPT Format DDG'!2:2,0)),
INDEX( 'ETPT Format DDG'!$A:$ZZ,,MATCH("Fonction recodée",'ETPT Format DDG'!2:2,0)),"JA/AttJ JLD PÉNAL",
INDEX( 'ETPT Format DDG'!$A:$ZZ,,MATCH("Juridiction",'ETPT Format DDG'!2:2,0)),$D$5))</f>
        <v>#N/A</v>
      </c>
      <c r="S7" s="188">
        <f t="shared" si="0"/>
        <v>0</v>
      </c>
    </row>
    <row r="8" spans="1:19" x14ac:dyDescent="0.25">
      <c r="A8" s="183" t="s">
        <v>2268</v>
      </c>
      <c r="B8" s="184"/>
      <c r="C8" s="184"/>
      <c r="D8" s="184">
        <f>ETPT_ATTJ_DDG!D8</f>
        <v>0</v>
      </c>
      <c r="E8" s="184" t="s">
        <v>2176</v>
      </c>
      <c r="F8" s="185" t="s">
        <v>2177</v>
      </c>
      <c r="G8" s="186"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6"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187"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187"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187"/>
      <c r="N8" s="187"/>
      <c r="O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187"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188">
        <f t="shared" si="0"/>
        <v>0</v>
      </c>
    </row>
    <row r="9" spans="1:19" x14ac:dyDescent="0.25">
      <c r="A9" s="183" t="s">
        <v>2268</v>
      </c>
      <c r="B9" s="184"/>
      <c r="C9" s="184"/>
      <c r="D9" s="184">
        <f>ETPT_ATTJ_DDG!D9</f>
        <v>0</v>
      </c>
      <c r="E9" s="184" t="s">
        <v>2178</v>
      </c>
      <c r="F9" s="185" t="s">
        <v>2179</v>
      </c>
      <c r="G9" s="186" t="e">
        <f t="array" ref="G9">SUM(SUMIFS(
INDEX( 'ETPT Format DDG'!$A:$ZZ,,MATCH("11.3. FORMATIONS DISPENSÉES",'ETPT Format DDG'!2:2,0)),
INDEX( 'ETPT Format DDG'!$A:$ZZ,,MATCH("Fonction recodée",'ETPT Format DDG'!2:2,0)),{"CONT A JP Siège";"CONT A VIF Siège"},
INDEX( 'ETPT Format DDG'!$A:$ZZ,,MATCH("Juridiction",'ETPT Format DDG'!2:2,0)),$D$5))</f>
        <v>#N/A</v>
      </c>
      <c r="H9" s="186"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7" t="e">
        <f>SUM(SUMIFS(
INDEX( 'ETPT Format DDG'!$A:$ZZ,,MATCH("11.3. FORMATIONS DISPENSÉES",'ETPT Format DDG'!2:2,0)),
INDEX( 'ETPT Format DDG'!$A:$ZZ,,MATCH("Fonction recodée",'ETPT Format DDG'!2:2,0)),"JA/AttJ Siège autres",
INDEX( 'ETPT Format DDG'!$A:$ZZ,,MATCH("Juridiction",'ETPT Format DDG'!2:2,0)),$D$5))</f>
        <v>#N/A</v>
      </c>
      <c r="J9" s="187" t="e">
        <f>SUM(SUMIFS(
INDEX( 'ETPT Format DDG'!$A:$ZZ,,MATCH("11.3. FORMATIONS DISPENSÉES",'ETPT Format DDG'!2:2,0)),
INDEX( 'ETPT Format DDG'!$A:$ZZ,,MATCH("Fonction recodée",'ETPT Format DDG'!2:2,0)),"JA/AttJ Siege Assises",
INDEX( 'ETPT Format DDG'!$A:$ZZ,,MATCH("Juridiction",'ETPT Format DDG'!2:2,0)),$D$5))</f>
        <v>#N/A</v>
      </c>
      <c r="K9" s="187" t="e">
        <f>SUM(SUMIFS(
INDEX( 'ETPT Format DDG'!$A:$ZZ,,MATCH("11.3. FORMATIONS DISPENSÉES",'ETPT Format DDG'!2:2,0)),
INDEX( 'ETPT Format DDG'!$A:$ZZ,,MATCH("Fonction recodée",'ETPT Format DDG'!2:2,0)),"JA/AttJ Siege CCD",
INDEX( 'ETPT Format DDG'!$A:$ZZ,,MATCH("Juridiction",'ETPT Format DDG'!2:2,0)),$D$5))</f>
        <v>#N/A</v>
      </c>
      <c r="L9" s="187" t="e">
        <f>SUM(SUMIFS(
INDEX( 'ETPT Format DDG'!$A:$ZZ,,MATCH("11.3. FORMATIONS DISPENSÉES",'ETPT Format DDG'!2:2,0)),
INDEX( 'ETPT Format DDG'!$A:$ZZ,,MATCH("Fonction recodée",'ETPT Format DDG'!2:2,0)),"JA/AttJ Parquet",
INDEX( 'ETPT Format DDG'!$A:$ZZ,,MATCH("Juridiction",'ETPT Format DDG'!2:2,0)),$D$5))</f>
        <v>#N/A</v>
      </c>
      <c r="M9" s="187"/>
      <c r="N9" s="187"/>
      <c r="O9" s="187" t="e">
        <f>SUM(SUMIFS(
INDEX( 'ETPT Format DDG'!$A:$ZZ,,MATCH("11.3. FORMATIONS DISPENSÉES",'ETPT Format DDG'!2:2,0)),
INDEX( 'ETPT Format DDG'!$A:$ZZ,,MATCH("Fonction recodée",'ETPT Format DDG'!2:2,0)),"JA/AttJ JAP",
INDEX( 'ETPT Format DDG'!$A:$ZZ,,MATCH("Juridiction",'ETPT Format DDG'!2:2,0)),$D$5))</f>
        <v>#N/A</v>
      </c>
      <c r="P9" s="187" t="e">
        <f>SUM(SUMIFS(
INDEX( 'ETPT Format DDG'!$A:$ZZ,,MATCH("11.3. FORMATIONS DISPENSÉES",'ETPT Format DDG'!2:2,0)),
INDEX( 'ETPT Format DDG'!$A:$ZZ,,MATCH("Fonction recodée",'ETPT Format DDG'!2:2,0)),"JA/AttJ JE",
INDEX( 'ETPT Format DDG'!$A:$ZZ,,MATCH("Juridiction",'ETPT Format DDG'!2:2,0)),$D$5))</f>
        <v>#N/A</v>
      </c>
      <c r="Q9" s="187" t="e">
        <f>SUM(SUMIFS(
INDEX( 'ETPT Format DDG'!$A:$ZZ,,MATCH("11.3. FORMATIONS DISPENSÉES",'ETPT Format DDG'!2:2,0)),
INDEX( 'ETPT Format DDG'!$A:$ZZ,,MATCH("Fonction recodée",'ETPT Format DDG'!2:2,0)),"JA/AttJ JI",
INDEX( 'ETPT Format DDG'!$A:$ZZ,,MATCH("Juridiction",'ETPT Format DDG'!2:2,0)),$D$5))</f>
        <v>#N/A</v>
      </c>
      <c r="R9" s="187" t="e">
        <f>SUM(SUMIFS(
INDEX( 'ETPT Format DDG'!$A:$ZZ,,MATCH("11.3. FORMATIONS DISPENSÉES",'ETPT Format DDG'!2:2,0)),
INDEX( 'ETPT Format DDG'!$A:$ZZ,,MATCH("Fonction recodée",'ETPT Format DDG'!2:2,0)),"JA/AttJ JLD PÉNAL",
INDEX( 'ETPT Format DDG'!$A:$ZZ,,MATCH("Juridiction",'ETPT Format DDG'!2:2,0)),$D$5))</f>
        <v>#N/A</v>
      </c>
      <c r="S9" s="188">
        <f t="shared" si="0"/>
        <v>0</v>
      </c>
    </row>
    <row r="10" spans="1:19" x14ac:dyDescent="0.25">
      <c r="A10" s="183" t="s">
        <v>2268</v>
      </c>
      <c r="B10" s="184"/>
      <c r="C10" s="184"/>
      <c r="D10" s="184">
        <f>ETPT_ATTJ_DDG!D10</f>
        <v>0</v>
      </c>
      <c r="E10" s="184" t="s">
        <v>2180</v>
      </c>
      <c r="F10" s="185" t="s">
        <v>2181</v>
      </c>
      <c r="G10" s="186"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6"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7" t="e">
        <f>SUM(SUMIFS(
INDEX( 'ETPT Format DDG'!$A:$ZZ,,MATCH("11.4. ACCÈS AU DROIT ET À LA JUSTICE",'ETPT Format DDG'!2:2,0)),
INDEX( 'ETPT Format DDG'!$A:$ZZ,,MATCH("Fonction recodée",'ETPT Format DDG'!2:2,0)),"JA/AttJ Siège autres",
INDEX( 'ETPT Format DDG'!$A:$ZZ,,MATCH("Juridiction",'ETPT Format DDG'!2:2,0)),$D$5))</f>
        <v>#N/A</v>
      </c>
      <c r="J10" s="187" t="e">
        <f>SUM(SUMIFS(
INDEX( 'ETPT Format DDG'!$A:$ZZ,,MATCH("11.4. ACCÈS AU DROIT ET À LA JUSTICE",'ETPT Format DDG'!2:2,0)),
INDEX( 'ETPT Format DDG'!$A:$ZZ,,MATCH("Fonction recodée",'ETPT Format DDG'!2:2,0)),"JA/AttJ Siege Assises",
INDEX( 'ETPT Format DDG'!$A:$ZZ,,MATCH("Juridiction",'ETPT Format DDG'!2:2,0)),$D$5))</f>
        <v>#N/A</v>
      </c>
      <c r="K10" s="187" t="e">
        <f>SUM(SUMIFS(
INDEX( 'ETPT Format DDG'!$A:$ZZ,,MATCH("11.4. ACCÈS AU DROIT ET À LA JUSTICE",'ETPT Format DDG'!2:2,0)),
INDEX( 'ETPT Format DDG'!$A:$ZZ,,MATCH("Fonction recodée",'ETPT Format DDG'!2:2,0)),"JA/AttJ Siege CCD",
INDEX( 'ETPT Format DDG'!$A:$ZZ,,MATCH("Juridiction",'ETPT Format DDG'!2:2,0)),$D$5))</f>
        <v>#N/A</v>
      </c>
      <c r="L10" s="187" t="e">
        <f>SUM(SUMIFS(
INDEX( 'ETPT Format DDG'!$A:$ZZ,,MATCH("11.4. ACCÈS AU DROIT ET À LA JUSTICE",'ETPT Format DDG'!2:2,0)),
INDEX( 'ETPT Format DDG'!$A:$ZZ,,MATCH("Fonction recodée",'ETPT Format DDG'!2:2,0)),"JA/AttJ Parquet",
INDEX( 'ETPT Format DDG'!$A:$ZZ,,MATCH("Juridiction",'ETPT Format DDG'!2:2,0)),$D$5))</f>
        <v>#N/A</v>
      </c>
      <c r="M10" s="187"/>
      <c r="N10" s="187"/>
      <c r="O10" s="187" t="e">
        <f>SUM(SUMIFS(
INDEX( 'ETPT Format DDG'!$A:$ZZ,,MATCH("11.4. ACCÈS AU DROIT ET À LA JUSTICE",'ETPT Format DDG'!2:2,0)),
INDEX( 'ETPT Format DDG'!$A:$ZZ,,MATCH("Fonction recodée",'ETPT Format DDG'!2:2,0)),"JA/AttJ JAP",
INDEX( 'ETPT Format DDG'!$A:$ZZ,,MATCH("Juridiction",'ETPT Format DDG'!2:2,0)),$D$5))</f>
        <v>#N/A</v>
      </c>
      <c r="P10" s="187" t="e">
        <f>SUM(SUMIFS(
INDEX( 'ETPT Format DDG'!$A:$ZZ,,MATCH("11.4. ACCÈS AU DROIT ET À LA JUSTICE",'ETPT Format DDG'!2:2,0)),
INDEX( 'ETPT Format DDG'!$A:$ZZ,,MATCH("Fonction recodée",'ETPT Format DDG'!2:2,0)),"JA/AttJ JE",
INDEX( 'ETPT Format DDG'!$A:$ZZ,,MATCH("Juridiction",'ETPT Format DDG'!2:2,0)),$D$5))</f>
        <v>#N/A</v>
      </c>
      <c r="Q10" s="187" t="e">
        <f>SUM(SUMIFS(
INDEX( 'ETPT Format DDG'!$A:$ZZ,,MATCH("11.4. ACCÈS AU DROIT ET À LA JUSTICE",'ETPT Format DDG'!2:2,0)),
INDEX( 'ETPT Format DDG'!$A:$ZZ,,MATCH("Fonction recodée",'ETPT Format DDG'!2:2,0)),"JA/AttJ JI",
INDEX( 'ETPT Format DDG'!$A:$ZZ,,MATCH("Juridiction",'ETPT Format DDG'!2:2,0)),$D$5))</f>
        <v>#N/A</v>
      </c>
      <c r="R10" s="187" t="e">
        <f>SUM(SUMIFS(
INDEX( 'ETPT Format DDG'!$A:$ZZ,,MATCH("11.4. ACCÈS AU DROIT ET À LA JUSTICE",'ETPT Format DDG'!2:2,0)),
INDEX( 'ETPT Format DDG'!$A:$ZZ,,MATCH("Fonction recodée",'ETPT Format DDG'!2:2,0)),"JA/AttJ JLD PÉNAL",
INDEX( 'ETPT Format DDG'!$A:$ZZ,,MATCH("Juridiction",'ETPT Format DDG'!2:2,0)),$D$5))</f>
        <v>#N/A</v>
      </c>
      <c r="S10" s="188">
        <f t="shared" si="0"/>
        <v>0</v>
      </c>
    </row>
    <row r="11" spans="1:19" x14ac:dyDescent="0.25">
      <c r="A11" s="183" t="s">
        <v>2268</v>
      </c>
      <c r="B11" s="184"/>
      <c r="C11" s="184"/>
      <c r="D11" s="184">
        <f>ETPT_ATTJ_DDG!D11</f>
        <v>0</v>
      </c>
      <c r="E11" s="184" t="s">
        <v>2182</v>
      </c>
      <c r="F11" s="185" t="s">
        <v>2183</v>
      </c>
      <c r="G11" s="186" t="e">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6" t="e">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7"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187"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187"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187"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187"/>
      <c r="N11" s="187"/>
      <c r="O11" s="187"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187"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187"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187"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188">
        <f t="shared" si="0"/>
        <v>0</v>
      </c>
    </row>
    <row r="12" spans="1:19" x14ac:dyDescent="0.25">
      <c r="A12" s="183" t="s">
        <v>2268</v>
      </c>
      <c r="B12" s="184"/>
      <c r="C12" s="184"/>
      <c r="D12" s="184">
        <f>ETPT_ATTJ_DDG!D12</f>
        <v>0</v>
      </c>
      <c r="E12" s="184" t="s">
        <v>2184</v>
      </c>
      <c r="F12" s="185" t="s">
        <v>2185</v>
      </c>
      <c r="G12" s="186"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6"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187"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187"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187"/>
      <c r="N12" s="187"/>
      <c r="O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187"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188">
        <f t="shared" si="0"/>
        <v>0</v>
      </c>
    </row>
    <row r="13" ht="16" customHeight="1" spans="1:19" x14ac:dyDescent="0.25">
      <c r="A13" s="189"/>
      <c r="B13" s="189"/>
      <c r="C13" s="189"/>
      <c r="D13" s="189"/>
      <c r="E13" s="190"/>
      <c r="F13" s="191" t="s">
        <v>2190</v>
      </c>
      <c r="G13" s="188">
        <f>_xlfn.AGGREGATE(9,6,G5:G12)</f>
        <v>0</v>
      </c>
      <c r="H13" s="188">
        <f>_xlfn.AGGREGATE(9,6,H5:H12)</f>
        <v>0</v>
      </c>
      <c r="I13" s="188">
        <f t="shared" ref="I13:R13" si="1">_xlfn.AGGREGATE(9,6,I5:I12)</f>
        <v>0</v>
      </c>
      <c r="J13" s="188">
        <f t="shared" si="1"/>
        <v>0</v>
      </c>
      <c r="K13" s="188">
        <f t="shared" si="1"/>
        <v>0</v>
      </c>
      <c r="L13" s="188">
        <f t="shared" si="1"/>
        <v>0</v>
      </c>
      <c r="M13" s="188">
        <f t="shared" si="1"/>
        <v>0</v>
      </c>
      <c r="N13" s="188">
        <f t="shared" si="1"/>
        <v>0</v>
      </c>
      <c r="O13" s="188">
        <f t="shared" si="1"/>
        <v>0</v>
      </c>
      <c r="P13" s="188">
        <f t="shared" si="1"/>
        <v>0</v>
      </c>
      <c r="Q13" s="188">
        <f t="shared" si="1"/>
        <v>0</v>
      </c>
      <c r="R13" s="188">
        <f t="shared" si="1"/>
        <v>0</v>
      </c>
      <c r="S13" s="188">
        <f>_xlfn.AGGREGATE(9,6,S5:S12)</f>
        <v>0</v>
      </c>
    </row>
    <row r="14" ht="16" customHeight="1" spans="1:19" x14ac:dyDescent="0.25">
      <c r="A14" s="189"/>
      <c r="B14" s="189"/>
      <c r="C14" s="189"/>
      <c r="D14" s="189"/>
      <c r="E14" s="190"/>
      <c r="F14" s="190"/>
      <c r="G14" s="190"/>
      <c r="H14" s="190"/>
      <c r="I14" s="190"/>
      <c r="J14" s="190"/>
      <c r="K14" s="190"/>
      <c r="L14" s="190"/>
      <c r="M14" s="190"/>
      <c r="N14" s="190"/>
      <c r="O14" s="190"/>
      <c r="P14" s="190"/>
      <c r="Q14" s="190"/>
      <c r="R14" s="190"/>
      <c r="S14" s="190"/>
    </row>
    <row r="15" ht="16" customHeight="1" spans="1:19" x14ac:dyDescent="0.25">
      <c r="A15" s="189"/>
      <c r="B15" s="189"/>
      <c r="C15" s="189"/>
      <c r="D15" s="189"/>
      <c r="E15" s="189"/>
      <c r="F15" s="189"/>
      <c r="G15" s="189"/>
      <c r="H15" s="189"/>
      <c r="I15" s="190"/>
      <c r="J15" s="190"/>
      <c r="K15" s="190"/>
      <c r="O15" s="190"/>
      <c r="P15" s="190"/>
      <c r="Q15" s="190"/>
      <c r="R15" s="190"/>
      <c r="S15" s="190"/>
    </row>
    <row r="16" ht="16" customHeight="1" spans="1:19" x14ac:dyDescent="0.25">
      <c r="A16" s="189"/>
      <c r="B16" s="189"/>
      <c r="C16" s="189"/>
      <c r="D16" s="189"/>
      <c r="E16" s="189"/>
      <c r="F16" s="189"/>
      <c r="G16" s="189"/>
      <c r="H16" s="189"/>
      <c r="I16" s="190"/>
      <c r="J16" s="190"/>
      <c r="K16" s="190"/>
      <c r="O16" s="190"/>
      <c r="P16" s="190"/>
      <c r="Q16" s="190"/>
      <c r="R16" s="190"/>
      <c r="S16" s="190"/>
    </row>
    <row r="17" ht="16" customHeight="1" spans="1:20" x14ac:dyDescent="0.25">
      <c r="A17" s="189"/>
      <c r="B17" s="189"/>
      <c r="C17" s="189"/>
      <c r="D17" s="189"/>
      <c r="E17" s="189"/>
      <c r="F17" s="189"/>
      <c r="G17" s="189"/>
      <c r="H17" s="189"/>
      <c r="I17" s="190"/>
      <c r="J17" s="190"/>
      <c r="K17" s="190"/>
      <c r="O17" s="190"/>
      <c r="P17" s="190"/>
      <c r="Q17" s="190"/>
      <c r="R17" s="190"/>
      <c r="S17" s="190"/>
      <c r="T17" s="190"/>
    </row>
    <row r="18" ht="16" customHeight="1" spans="1:20" x14ac:dyDescent="0.25">
      <c r="A18" s="189"/>
      <c r="B18" s="189"/>
      <c r="C18" s="189"/>
      <c r="D18" s="189"/>
      <c r="E18" s="189"/>
      <c r="F18" s="189"/>
      <c r="G18" s="189"/>
      <c r="H18" s="189"/>
      <c r="I18" s="190"/>
      <c r="J18" s="190"/>
      <c r="K18" s="190"/>
      <c r="O18" s="190"/>
      <c r="P18" s="190"/>
      <c r="Q18" s="190"/>
      <c r="R18" s="190"/>
      <c r="S18" s="190"/>
      <c r="T18" s="190"/>
    </row>
    <row r="19" ht="16" customHeight="1" spans="1:20" x14ac:dyDescent="0.25">
      <c r="A19" s="189"/>
      <c r="B19" s="189"/>
      <c r="C19" s="189"/>
      <c r="D19" s="189"/>
      <c r="E19" s="189"/>
      <c r="F19" s="189"/>
      <c r="G19" s="189"/>
      <c r="H19" s="189"/>
      <c r="I19" s="190"/>
      <c r="J19" s="190"/>
      <c r="K19" s="190"/>
      <c r="O19" s="190"/>
      <c r="P19" s="190"/>
      <c r="Q19" s="190"/>
      <c r="R19" s="190"/>
      <c r="S19" s="190"/>
      <c r="T19" s="190"/>
    </row>
    <row r="20" ht="16" customHeight="1" spans="1:20" x14ac:dyDescent="0.25">
      <c r="A20" s="189"/>
      <c r="B20" s="189"/>
      <c r="C20" s="189"/>
      <c r="D20" s="189"/>
      <c r="E20" s="189"/>
      <c r="F20" s="189"/>
      <c r="G20" s="189"/>
      <c r="H20" s="189"/>
      <c r="I20" s="190"/>
      <c r="J20" s="190"/>
      <c r="K20" s="190"/>
      <c r="O20" s="190"/>
      <c r="P20" s="190"/>
      <c r="Q20" s="190"/>
      <c r="R20" s="190"/>
      <c r="S20" s="190"/>
      <c r="T20" s="190"/>
    </row>
    <row r="21" ht="16" customHeight="1" spans="1:20" x14ac:dyDescent="0.25">
      <c r="A21" s="189"/>
      <c r="B21" s="189"/>
      <c r="C21" s="189"/>
      <c r="D21" s="189"/>
      <c r="E21" s="189"/>
      <c r="F21" s="189"/>
      <c r="G21" s="189"/>
      <c r="H21" s="189"/>
      <c r="I21" s="190"/>
      <c r="J21" s="190"/>
      <c r="K21" s="190"/>
      <c r="O21" s="190"/>
      <c r="P21" s="190"/>
      <c r="Q21" s="190"/>
      <c r="R21" s="190"/>
      <c r="S21" s="190"/>
      <c r="T21" s="190"/>
    </row>
    <row r="22" ht="16" customHeight="1" spans="1:20" x14ac:dyDescent="0.25">
      <c r="A22" s="189"/>
      <c r="B22" s="189"/>
      <c r="C22" s="189"/>
      <c r="D22" s="189"/>
      <c r="E22" s="189"/>
      <c r="F22" s="189"/>
      <c r="G22" s="189"/>
      <c r="H22" s="189"/>
      <c r="I22" s="190"/>
      <c r="J22" s="190"/>
      <c r="K22" s="190"/>
      <c r="O22" s="190"/>
      <c r="P22" s="190"/>
      <c r="Q22" s="190"/>
      <c r="R22" s="190"/>
      <c r="S22" s="190"/>
      <c r="T22" s="190"/>
    </row>
    <row r="23" ht="16" customHeight="1" spans="1:20" x14ac:dyDescent="0.25">
      <c r="A23" s="189"/>
      <c r="B23" s="189"/>
      <c r="C23" s="189"/>
      <c r="D23" s="189"/>
      <c r="E23" s="189"/>
      <c r="F23" s="189"/>
      <c r="G23" s="189"/>
      <c r="H23" s="189"/>
      <c r="I23" s="190"/>
      <c r="J23" s="190"/>
      <c r="K23" s="190"/>
      <c r="L23" s="190"/>
      <c r="M23" s="190"/>
      <c r="N23" s="190"/>
      <c r="O23" s="190"/>
      <c r="P23" s="190"/>
      <c r="Q23" s="190"/>
      <c r="R23" s="190"/>
      <c r="S23" s="190"/>
      <c r="T23" s="190"/>
    </row>
    <row r="24" ht="16" customHeight="1" spans="1:20" x14ac:dyDescent="0.25">
      <c r="A24" s="189"/>
      <c r="B24" s="189"/>
      <c r="C24" s="189"/>
      <c r="D24" s="189"/>
      <c r="E24" s="189"/>
      <c r="F24" s="189"/>
      <c r="G24" s="189"/>
      <c r="H24" s="189"/>
      <c r="I24" s="190"/>
      <c r="J24" s="190"/>
      <c r="K24" s="190"/>
      <c r="L24" s="190"/>
      <c r="M24" s="190"/>
      <c r="N24" s="190"/>
      <c r="O24" s="190"/>
      <c r="P24" s="190"/>
      <c r="Q24" s="190"/>
      <c r="R24" s="190"/>
      <c r="S24" s="190"/>
      <c r="T24" s="190"/>
    </row>
    <row r="25" ht="16" customHeight="1" spans="1:20" x14ac:dyDescent="0.25">
      <c r="A25" s="189"/>
      <c r="B25" s="189"/>
      <c r="C25" s="189"/>
      <c r="D25" s="189"/>
      <c r="E25" s="189"/>
      <c r="F25" s="189"/>
      <c r="G25" s="189"/>
      <c r="H25" s="189"/>
      <c r="I25" s="190"/>
      <c r="J25" s="190"/>
      <c r="K25" s="190"/>
      <c r="L25" s="190"/>
      <c r="M25" s="190"/>
      <c r="N25" s="190"/>
      <c r="O25" s="190"/>
      <c r="P25" s="190"/>
      <c r="Q25" s="190"/>
      <c r="R25" s="190"/>
      <c r="S25" s="190"/>
      <c r="T25" s="190"/>
    </row>
    <row r="26" ht="16" customHeight="1" spans="1:20" x14ac:dyDescent="0.25">
      <c r="A26" s="189"/>
      <c r="B26" s="189"/>
      <c r="C26" s="189"/>
      <c r="D26" s="189"/>
      <c r="E26" s="189"/>
      <c r="F26" s="189"/>
      <c r="G26" s="189"/>
      <c r="H26" s="189"/>
      <c r="I26" s="190"/>
      <c r="J26" s="190"/>
      <c r="K26" s="190"/>
      <c r="L26" s="190"/>
      <c r="M26" s="190"/>
      <c r="N26" s="190"/>
      <c r="O26" s="190"/>
      <c r="P26" s="190"/>
      <c r="Q26" s="190"/>
      <c r="R26" s="190"/>
      <c r="S26" s="190"/>
      <c r="T26" s="190"/>
    </row>
    <row r="27" ht="16" customHeight="1" spans="1:20" x14ac:dyDescent="0.25">
      <c r="A27" s="189"/>
      <c r="B27" s="189"/>
      <c r="C27" s="189"/>
      <c r="D27" s="189"/>
      <c r="E27" s="189"/>
      <c r="F27" s="189"/>
      <c r="G27" s="189"/>
      <c r="H27" s="189"/>
      <c r="I27" s="190"/>
      <c r="J27" s="190"/>
      <c r="K27" s="190"/>
      <c r="L27" s="190"/>
      <c r="M27" s="190"/>
      <c r="N27" s="190"/>
      <c r="O27" s="190"/>
      <c r="P27" s="190"/>
      <c r="Q27" s="190"/>
      <c r="R27" s="190"/>
      <c r="S27" s="190"/>
      <c r="T27" s="190"/>
    </row>
    <row r="28" ht="16" customHeight="1" spans="1:20" x14ac:dyDescent="0.25">
      <c r="A28" s="189"/>
      <c r="B28" s="189"/>
      <c r="C28" s="189"/>
      <c r="D28" s="189"/>
      <c r="E28" s="189"/>
      <c r="F28" s="189"/>
      <c r="G28" s="189"/>
      <c r="H28" s="189"/>
      <c r="I28" s="190"/>
      <c r="J28" s="190"/>
      <c r="K28" s="190"/>
      <c r="L28" s="190"/>
      <c r="M28" s="190"/>
      <c r="N28" s="190"/>
      <c r="O28" s="190"/>
      <c r="P28" s="190"/>
      <c r="Q28" s="190"/>
      <c r="R28" s="190"/>
      <c r="S28" s="190"/>
      <c r="T28" s="190"/>
    </row>
    <row r="29" ht="16" customHeight="1" spans="1:20" x14ac:dyDescent="0.25">
      <c r="A29" s="189"/>
      <c r="B29" s="189"/>
      <c r="C29" s="189"/>
      <c r="D29" s="189"/>
      <c r="E29" s="189"/>
      <c r="F29" s="189"/>
      <c r="G29" s="189"/>
      <c r="H29" s="189"/>
      <c r="I29" s="190"/>
      <c r="J29" s="190"/>
      <c r="K29" s="190"/>
      <c r="L29" s="190"/>
      <c r="M29" s="190"/>
      <c r="N29" s="190"/>
      <c r="O29" s="190"/>
      <c r="P29" s="190"/>
      <c r="Q29" s="190"/>
      <c r="R29" s="190"/>
      <c r="S29" s="190"/>
      <c r="T29" s="190"/>
    </row>
    <row r="30" ht="16" customHeight="1" spans="1:20" x14ac:dyDescent="0.25">
      <c r="A30" s="189"/>
      <c r="B30" s="189"/>
      <c r="C30" s="189"/>
      <c r="D30" s="189"/>
      <c r="E30" s="189"/>
      <c r="F30" s="189"/>
      <c r="G30" s="189"/>
      <c r="H30" s="189"/>
      <c r="I30" s="190"/>
      <c r="J30" s="190"/>
      <c r="K30" s="190"/>
      <c r="L30" s="190"/>
      <c r="M30" s="190"/>
      <c r="N30" s="190"/>
      <c r="O30" s="190"/>
      <c r="P30" s="190"/>
      <c r="Q30" s="190"/>
      <c r="R30" s="190"/>
      <c r="S30" s="190"/>
      <c r="T30" s="190"/>
    </row>
    <row r="31" ht="16" customHeight="1" spans="1:20" x14ac:dyDescent="0.25">
      <c r="A31" s="189"/>
      <c r="B31" s="189"/>
      <c r="C31" s="189"/>
      <c r="D31" s="189"/>
      <c r="E31" s="189"/>
      <c r="F31" s="189"/>
      <c r="G31" s="189"/>
      <c r="H31" s="189"/>
      <c r="I31" s="190"/>
      <c r="J31" s="190"/>
      <c r="K31" s="190"/>
      <c r="L31" s="190"/>
      <c r="M31" s="190"/>
      <c r="N31" s="190"/>
      <c r="O31" s="190"/>
      <c r="P31" s="190"/>
      <c r="Q31" s="190"/>
      <c r="R31" s="190"/>
      <c r="S31" s="190"/>
      <c r="T31" s="190"/>
    </row>
    <row r="32" ht="16" customHeight="1" spans="1:20" x14ac:dyDescent="0.25">
      <c r="A32" s="189"/>
      <c r="B32" s="189"/>
      <c r="C32" s="189"/>
      <c r="D32" s="189"/>
      <c r="E32" s="189"/>
      <c r="F32" s="189"/>
      <c r="G32" s="189"/>
      <c r="H32" s="189"/>
      <c r="I32" s="190"/>
      <c r="J32" s="190"/>
      <c r="K32" s="190"/>
      <c r="L32" s="190"/>
      <c r="M32" s="190"/>
      <c r="N32" s="190"/>
      <c r="O32" s="190"/>
      <c r="P32" s="190"/>
      <c r="Q32" s="190"/>
      <c r="R32" s="190"/>
      <c r="S32" s="190"/>
      <c r="T32" s="190"/>
    </row>
    <row r="33" ht="16" customHeight="1" spans="1:20" x14ac:dyDescent="0.25">
      <c r="A33" s="189"/>
      <c r="B33" s="189"/>
      <c r="C33" s="189"/>
      <c r="D33" s="189"/>
      <c r="E33" s="189"/>
      <c r="F33" s="189"/>
      <c r="G33" s="189"/>
      <c r="H33" s="189"/>
      <c r="I33" s="190"/>
      <c r="J33" s="190"/>
      <c r="K33" s="190"/>
      <c r="L33" s="190"/>
      <c r="M33" s="190"/>
      <c r="N33" s="190"/>
      <c r="O33" s="190"/>
      <c r="P33" s="190"/>
      <c r="Q33" s="190"/>
      <c r="R33" s="190"/>
      <c r="S33" s="190"/>
      <c r="T33" s="190"/>
    </row>
    <row r="34" ht="16" customHeight="1" spans="1:20" x14ac:dyDescent="0.25">
      <c r="A34" s="189"/>
      <c r="B34" s="189"/>
      <c r="C34" s="189"/>
      <c r="D34" s="189"/>
      <c r="E34" s="189"/>
      <c r="F34" s="189"/>
      <c r="G34" s="189"/>
      <c r="H34" s="189"/>
      <c r="I34" s="190"/>
      <c r="J34" s="190"/>
      <c r="K34" s="190"/>
      <c r="L34" s="190"/>
      <c r="M34" s="190"/>
      <c r="N34" s="190"/>
      <c r="O34" s="190"/>
      <c r="P34" s="190"/>
      <c r="Q34" s="190"/>
      <c r="R34" s="190"/>
      <c r="S34" s="190"/>
      <c r="T34" s="190"/>
    </row>
    <row r="35" ht="16" customHeight="1" spans="1:20" x14ac:dyDescent="0.25">
      <c r="A35" s="189"/>
      <c r="B35" s="189"/>
      <c r="C35" s="189"/>
      <c r="D35" s="189"/>
      <c r="E35" s="189"/>
      <c r="F35" s="189"/>
      <c r="G35" s="189"/>
      <c r="H35" s="189"/>
      <c r="I35" s="190"/>
      <c r="J35" s="190"/>
      <c r="K35" s="190"/>
      <c r="L35" s="190"/>
      <c r="M35" s="190"/>
      <c r="N35" s="190"/>
      <c r="O35" s="190"/>
      <c r="P35" s="190"/>
      <c r="Q35" s="190"/>
      <c r="R35" s="190"/>
      <c r="S35" s="190"/>
      <c r="T35" s="190"/>
    </row>
    <row r="36" ht="16" customHeight="1" spans="1:20" x14ac:dyDescent="0.25">
      <c r="A36" s="189"/>
      <c r="B36" s="189"/>
      <c r="C36" s="189"/>
      <c r="D36" s="189"/>
      <c r="E36" s="189"/>
      <c r="F36" s="189"/>
      <c r="G36" s="189"/>
      <c r="H36" s="189"/>
      <c r="I36" s="190"/>
      <c r="J36" s="190"/>
      <c r="K36" s="190"/>
      <c r="L36" s="190"/>
      <c r="M36" s="190"/>
      <c r="N36" s="190"/>
      <c r="O36" s="190"/>
      <c r="P36" s="190"/>
      <c r="Q36" s="190"/>
      <c r="R36" s="190"/>
      <c r="S36" s="190"/>
      <c r="T36" s="190"/>
    </row>
    <row r="37" ht="16" customHeight="1" spans="1:20" x14ac:dyDescent="0.25">
      <c r="A37" s="189"/>
      <c r="B37" s="189"/>
      <c r="C37" s="189"/>
      <c r="D37" s="189"/>
      <c r="E37" s="189"/>
      <c r="F37" s="189"/>
      <c r="G37" s="189"/>
      <c r="H37" s="189"/>
      <c r="I37" s="190"/>
      <c r="J37" s="190"/>
      <c r="K37" s="190"/>
      <c r="L37" s="190"/>
      <c r="M37" s="190"/>
      <c r="N37" s="190"/>
      <c r="O37" s="190"/>
      <c r="P37" s="190"/>
      <c r="Q37" s="190"/>
      <c r="R37" s="190"/>
      <c r="S37" s="190"/>
      <c r="T37" s="190"/>
    </row>
    <row r="38" ht="16" customHeight="1" spans="1:20" x14ac:dyDescent="0.25">
      <c r="A38" s="189"/>
      <c r="B38" s="189"/>
      <c r="C38" s="189"/>
      <c r="D38" s="189"/>
      <c r="E38" s="189"/>
      <c r="F38" s="189"/>
      <c r="G38" s="189"/>
      <c r="H38" s="189"/>
      <c r="I38" s="190"/>
      <c r="J38" s="190"/>
      <c r="K38" s="190"/>
      <c r="L38" s="190"/>
      <c r="M38" s="190"/>
      <c r="N38" s="190"/>
      <c r="O38" s="190"/>
      <c r="P38" s="190"/>
      <c r="Q38" s="190"/>
      <c r="R38" s="190"/>
      <c r="S38" s="190"/>
      <c r="T38" s="190"/>
    </row>
    <row r="39" ht="16" customHeight="1" spans="1:20" x14ac:dyDescent="0.25">
      <c r="A39" s="189"/>
      <c r="B39" s="189"/>
      <c r="C39" s="189"/>
      <c r="D39" s="189"/>
      <c r="E39" s="189"/>
      <c r="F39" s="189"/>
      <c r="G39" s="189"/>
      <c r="H39" s="189"/>
      <c r="I39" s="190"/>
      <c r="J39" s="190"/>
      <c r="K39" s="190"/>
      <c r="L39" s="190"/>
      <c r="M39" s="190"/>
      <c r="N39" s="190"/>
      <c r="O39" s="190"/>
      <c r="P39" s="190"/>
      <c r="Q39" s="190"/>
      <c r="R39" s="190"/>
      <c r="S39" s="190"/>
      <c r="T39" s="190"/>
    </row>
    <row r="40" ht="16" customHeight="1" spans="1:20" x14ac:dyDescent="0.25">
      <c r="A40" s="189"/>
      <c r="B40" s="189"/>
      <c r="C40" s="189"/>
      <c r="D40" s="189"/>
      <c r="E40" s="189"/>
      <c r="F40" s="189"/>
      <c r="G40" s="189"/>
      <c r="H40" s="189"/>
      <c r="I40" s="190"/>
      <c r="J40" s="190"/>
      <c r="K40" s="190"/>
      <c r="L40" s="190"/>
      <c r="M40" s="190"/>
      <c r="N40" s="190"/>
      <c r="O40" s="190"/>
      <c r="P40" s="190"/>
      <c r="Q40" s="190"/>
      <c r="R40" s="190"/>
      <c r="S40" s="190"/>
      <c r="T40" s="190"/>
    </row>
    <row r="41" ht="16" customHeight="1" spans="1:20" x14ac:dyDescent="0.25">
      <c r="A41" s="189"/>
      <c r="B41" s="189"/>
      <c r="C41" s="189"/>
      <c r="D41" s="189"/>
      <c r="E41" s="189"/>
      <c r="F41" s="189"/>
      <c r="G41" s="189"/>
      <c r="H41" s="189"/>
      <c r="I41" s="190"/>
      <c r="J41" s="190"/>
      <c r="K41" s="190"/>
      <c r="L41" s="190"/>
      <c r="M41" s="190"/>
      <c r="N41" s="190"/>
      <c r="O41" s="190"/>
      <c r="P41" s="190"/>
      <c r="Q41" s="190"/>
      <c r="R41" s="190"/>
      <c r="S41" s="190"/>
      <c r="T41" s="190"/>
    </row>
    <row r="42" ht="16" customHeight="1" spans="1:20" x14ac:dyDescent="0.25">
      <c r="A42" s="189"/>
      <c r="B42" s="189"/>
      <c r="C42" s="189"/>
      <c r="D42" s="189"/>
      <c r="E42" s="189"/>
      <c r="F42" s="189"/>
      <c r="G42" s="189"/>
      <c r="H42" s="189"/>
      <c r="I42" s="190"/>
      <c r="J42" s="190"/>
      <c r="K42" s="190"/>
      <c r="L42" s="190"/>
      <c r="M42" s="190"/>
      <c r="N42" s="190"/>
      <c r="O42" s="190"/>
      <c r="P42" s="190"/>
      <c r="Q42" s="190"/>
      <c r="R42" s="190"/>
      <c r="S42" s="190"/>
      <c r="T42" s="190"/>
    </row>
    <row r="43" ht="16" customHeight="1" spans="1:20" x14ac:dyDescent="0.25">
      <c r="A43" s="189"/>
      <c r="B43" s="189"/>
      <c r="C43" s="189"/>
      <c r="D43" s="189"/>
      <c r="E43" s="189"/>
      <c r="F43" s="189"/>
      <c r="G43" s="189"/>
      <c r="H43" s="189"/>
      <c r="I43" s="190"/>
      <c r="J43" s="190"/>
      <c r="K43" s="190"/>
      <c r="L43" s="190"/>
      <c r="M43" s="190"/>
      <c r="N43" s="190"/>
      <c r="O43" s="190"/>
      <c r="P43" s="190"/>
      <c r="Q43" s="190"/>
      <c r="R43" s="190"/>
      <c r="S43" s="190"/>
      <c r="T43" s="190"/>
    </row>
    <row r="44" ht="16" customHeight="1" spans="1:20" x14ac:dyDescent="0.25">
      <c r="A44" s="189"/>
      <c r="B44" s="189"/>
      <c r="C44" s="189"/>
      <c r="D44" s="189"/>
      <c r="E44" s="189"/>
      <c r="F44" s="189"/>
      <c r="G44" s="189"/>
      <c r="H44" s="189"/>
      <c r="I44" s="190"/>
      <c r="J44" s="190"/>
      <c r="K44" s="190"/>
      <c r="L44" s="190"/>
      <c r="M44" s="190"/>
      <c r="N44" s="190"/>
      <c r="O44" s="190"/>
      <c r="P44" s="190"/>
      <c r="Q44" s="190"/>
      <c r="R44" s="190"/>
      <c r="S44" s="190"/>
      <c r="T44" s="190"/>
    </row>
    <row r="45" ht="16" customHeight="1" spans="1:20" x14ac:dyDescent="0.25">
      <c r="A45" s="189"/>
      <c r="B45" s="189"/>
      <c r="C45" s="189"/>
      <c r="D45" s="189"/>
      <c r="E45" s="189"/>
      <c r="F45" s="189"/>
      <c r="G45" s="189"/>
      <c r="H45" s="189"/>
      <c r="I45" s="190"/>
      <c r="J45" s="190"/>
      <c r="K45" s="190"/>
      <c r="L45" s="190"/>
      <c r="M45" s="190"/>
      <c r="N45" s="190"/>
      <c r="O45" s="190"/>
      <c r="P45" s="190"/>
      <c r="Q45" s="190"/>
      <c r="R45" s="190"/>
      <c r="S45" s="190"/>
      <c r="T45" s="190"/>
    </row>
    <row r="46" ht="16" customHeight="1" spans="1:20" x14ac:dyDescent="0.25">
      <c r="A46" s="189"/>
      <c r="B46" s="189"/>
      <c r="C46" s="189"/>
      <c r="D46" s="189"/>
      <c r="E46" s="189"/>
      <c r="F46" s="189"/>
      <c r="G46" s="189"/>
      <c r="H46" s="189"/>
      <c r="I46" s="190"/>
      <c r="J46" s="190"/>
      <c r="K46" s="190"/>
      <c r="L46" s="190"/>
      <c r="M46" s="190"/>
      <c r="N46" s="190"/>
      <c r="O46" s="190"/>
      <c r="P46" s="190"/>
      <c r="Q46" s="190"/>
      <c r="R46" s="190"/>
      <c r="S46" s="190"/>
      <c r="T46" s="190"/>
    </row>
    <row r="47" ht="16" customHeight="1" spans="1:20" x14ac:dyDescent="0.25">
      <c r="A47" s="189"/>
      <c r="B47" s="189"/>
      <c r="C47" s="189"/>
      <c r="D47" s="189"/>
      <c r="E47" s="189"/>
      <c r="F47" s="189"/>
      <c r="G47" s="189"/>
      <c r="H47" s="189"/>
      <c r="I47" s="190"/>
      <c r="J47" s="190"/>
      <c r="K47" s="190"/>
      <c r="L47" s="190"/>
      <c r="M47" s="190"/>
      <c r="N47" s="190"/>
      <c r="O47" s="190"/>
      <c r="P47" s="190"/>
      <c r="Q47" s="190"/>
      <c r="R47" s="190"/>
      <c r="S47" s="190"/>
      <c r="T47" s="190"/>
    </row>
    <row r="48" ht="16" customHeight="1" spans="1:20" x14ac:dyDescent="0.25">
      <c r="A48" s="189"/>
      <c r="B48" s="189"/>
      <c r="C48" s="189"/>
      <c r="D48" s="189"/>
      <c r="E48" s="189"/>
      <c r="F48" s="189"/>
      <c r="G48" s="189"/>
      <c r="H48" s="189"/>
      <c r="I48" s="190"/>
      <c r="J48" s="190"/>
      <c r="K48" s="190"/>
      <c r="L48" s="190"/>
      <c r="M48" s="190"/>
      <c r="N48" s="190"/>
      <c r="O48" s="190"/>
      <c r="P48" s="190"/>
      <c r="Q48" s="190"/>
      <c r="R48" s="190"/>
      <c r="S48" s="190"/>
      <c r="T48" s="190"/>
    </row>
    <row r="49" ht="16" customHeight="1" spans="1:20" x14ac:dyDescent="0.25">
      <c r="A49" s="189"/>
      <c r="B49" s="189"/>
      <c r="C49" s="189"/>
      <c r="D49" s="189"/>
      <c r="E49" s="189"/>
      <c r="F49" s="189"/>
      <c r="G49" s="189"/>
      <c r="H49" s="189"/>
      <c r="I49" s="190"/>
      <c r="J49" s="190"/>
      <c r="K49" s="190"/>
      <c r="L49" s="190"/>
      <c r="M49" s="190"/>
      <c r="N49" s="190"/>
      <c r="O49" s="190"/>
      <c r="P49" s="190"/>
      <c r="Q49" s="190"/>
      <c r="R49" s="190"/>
      <c r="S49" s="190"/>
      <c r="T49" s="190"/>
    </row>
    <row r="50" ht="16" customHeight="1" spans="1:20" x14ac:dyDescent="0.25">
      <c r="A50" s="189"/>
      <c r="B50" s="189"/>
      <c r="C50" s="189"/>
      <c r="D50" s="189"/>
      <c r="E50" s="189"/>
      <c r="F50" s="189"/>
      <c r="G50" s="189"/>
      <c r="H50" s="189"/>
      <c r="I50" s="190"/>
      <c r="J50" s="190"/>
      <c r="K50" s="190"/>
      <c r="L50" s="190"/>
      <c r="M50" s="190"/>
      <c r="N50" s="190"/>
      <c r="O50" s="190"/>
      <c r="P50" s="190"/>
      <c r="Q50" s="190"/>
      <c r="R50" s="190"/>
      <c r="S50" s="190"/>
      <c r="T50" s="190"/>
    </row>
    <row r="51" ht="16" customHeight="1" spans="1:20" x14ac:dyDescent="0.25">
      <c r="A51" s="189"/>
      <c r="B51" s="189"/>
      <c r="C51" s="189"/>
      <c r="D51" s="189"/>
      <c r="E51" s="189"/>
      <c r="F51" s="189"/>
      <c r="G51" s="189"/>
      <c r="H51" s="189"/>
      <c r="I51" s="190"/>
      <c r="J51" s="190"/>
      <c r="K51" s="190"/>
      <c r="L51" s="190"/>
      <c r="M51" s="190"/>
      <c r="N51" s="190"/>
      <c r="O51" s="190"/>
      <c r="P51" s="190"/>
      <c r="Q51" s="190"/>
      <c r="R51" s="190"/>
      <c r="S51" s="190"/>
      <c r="T51" s="190"/>
    </row>
    <row r="52" ht="16" customHeight="1" spans="1:20" x14ac:dyDescent="0.25">
      <c r="A52" s="189"/>
      <c r="B52" s="189"/>
      <c r="C52" s="189"/>
      <c r="D52" s="189"/>
      <c r="E52" s="189"/>
      <c r="F52" s="189"/>
      <c r="G52" s="189"/>
      <c r="H52" s="189"/>
      <c r="I52" s="190"/>
      <c r="J52" s="190"/>
      <c r="K52" s="190"/>
      <c r="L52" s="190"/>
      <c r="M52" s="190"/>
      <c r="N52" s="190"/>
      <c r="O52" s="190"/>
      <c r="P52" s="190"/>
      <c r="Q52" s="190"/>
      <c r="R52" s="190"/>
      <c r="S52" s="190"/>
      <c r="T52" s="190"/>
    </row>
    <row r="53" ht="16" customHeight="1" spans="1:20" x14ac:dyDescent="0.25">
      <c r="A53" s="189"/>
      <c r="B53" s="189"/>
      <c r="C53" s="189"/>
      <c r="D53" s="189"/>
      <c r="E53" s="189"/>
      <c r="F53" s="189"/>
      <c r="G53" s="189"/>
      <c r="H53" s="189"/>
      <c r="I53" s="190"/>
      <c r="J53" s="190"/>
      <c r="K53" s="190"/>
      <c r="L53" s="190"/>
      <c r="M53" s="190"/>
      <c r="N53" s="190"/>
      <c r="O53" s="190"/>
      <c r="P53" s="190"/>
      <c r="Q53" s="190"/>
      <c r="R53" s="190"/>
      <c r="S53" s="190"/>
      <c r="T53" s="190"/>
    </row>
    <row r="54" ht="16" customHeight="1" spans="1:20" x14ac:dyDescent="0.25">
      <c r="A54" s="189"/>
      <c r="B54" s="189"/>
      <c r="C54" s="189"/>
      <c r="D54" s="189"/>
      <c r="E54" s="189"/>
      <c r="F54" s="189"/>
      <c r="G54" s="189"/>
      <c r="H54" s="189"/>
      <c r="I54" s="190"/>
      <c r="J54" s="190"/>
      <c r="K54" s="190"/>
      <c r="L54" s="190"/>
      <c r="M54" s="190"/>
      <c r="N54" s="190"/>
      <c r="O54" s="190"/>
      <c r="P54" s="190"/>
      <c r="Q54" s="190"/>
      <c r="R54" s="190"/>
      <c r="S54" s="190"/>
      <c r="T54" s="190"/>
    </row>
    <row r="55" ht="16" customHeight="1" spans="1:20" x14ac:dyDescent="0.25">
      <c r="A55" s="189"/>
      <c r="B55" s="189"/>
      <c r="C55" s="189"/>
      <c r="D55" s="189"/>
      <c r="E55" s="189"/>
      <c r="F55" s="189"/>
      <c r="G55" s="189"/>
      <c r="H55" s="189"/>
      <c r="I55" s="190"/>
      <c r="J55" s="190"/>
      <c r="K55" s="190"/>
      <c r="L55" s="190"/>
      <c r="M55" s="190"/>
      <c r="N55" s="190"/>
      <c r="O55" s="190"/>
      <c r="P55" s="190"/>
      <c r="Q55" s="190"/>
      <c r="R55" s="190"/>
      <c r="S55" s="190"/>
      <c r="T55" s="190"/>
    </row>
    <row r="56" ht="16" customHeight="1" spans="1:20" x14ac:dyDescent="0.25">
      <c r="A56" s="189"/>
      <c r="B56" s="189"/>
      <c r="C56" s="189"/>
      <c r="D56" s="189"/>
      <c r="E56" s="189"/>
      <c r="F56" s="189"/>
      <c r="G56" s="189"/>
      <c r="H56" s="189"/>
      <c r="I56" s="190"/>
      <c r="J56" s="190"/>
      <c r="K56" s="190"/>
      <c r="L56" s="190"/>
      <c r="M56" s="190"/>
      <c r="N56" s="190"/>
      <c r="O56" s="190"/>
      <c r="P56" s="190"/>
      <c r="Q56" s="190"/>
      <c r="R56" s="190"/>
      <c r="S56" s="190"/>
      <c r="T56" s="190"/>
    </row>
    <row r="57" ht="16" customHeight="1" spans="1:20" x14ac:dyDescent="0.25">
      <c r="A57" s="189"/>
      <c r="B57" s="189"/>
      <c r="C57" s="189"/>
      <c r="D57" s="189"/>
      <c r="E57" s="189"/>
      <c r="F57" s="189"/>
      <c r="G57" s="189"/>
      <c r="H57" s="189"/>
      <c r="I57" s="190"/>
      <c r="J57" s="190"/>
      <c r="K57" s="190"/>
      <c r="L57" s="190"/>
      <c r="M57" s="190"/>
      <c r="N57" s="190"/>
      <c r="O57" s="190"/>
      <c r="P57" s="190"/>
      <c r="Q57" s="190"/>
      <c r="R57" s="190"/>
      <c r="S57" s="190"/>
      <c r="T57" s="190"/>
    </row>
    <row r="58" ht="16" customHeight="1" spans="1:20" x14ac:dyDescent="0.25">
      <c r="A58" s="189"/>
      <c r="B58" s="189"/>
      <c r="C58" s="189"/>
      <c r="D58" s="189"/>
      <c r="E58" s="189"/>
      <c r="F58" s="189"/>
      <c r="G58" s="189"/>
      <c r="H58" s="189"/>
      <c r="I58" s="190"/>
      <c r="J58" s="190"/>
      <c r="K58" s="190"/>
      <c r="L58" s="190"/>
      <c r="M58" s="190"/>
      <c r="N58" s="190"/>
      <c r="O58" s="190"/>
      <c r="P58" s="190"/>
      <c r="Q58" s="190"/>
      <c r="R58" s="190"/>
      <c r="S58" s="190"/>
      <c r="T58" s="190"/>
    </row>
    <row r="59" ht="16" customHeight="1" spans="1:20" x14ac:dyDescent="0.25">
      <c r="A59" s="189"/>
      <c r="B59" s="189"/>
      <c r="C59" s="189"/>
      <c r="D59" s="189"/>
      <c r="E59" s="189"/>
      <c r="F59" s="189"/>
      <c r="G59" s="189"/>
      <c r="H59" s="189"/>
      <c r="I59" s="190"/>
      <c r="J59" s="190"/>
      <c r="K59" s="190"/>
      <c r="L59" s="190"/>
      <c r="M59" s="190"/>
      <c r="N59" s="190"/>
      <c r="O59" s="190"/>
      <c r="P59" s="190"/>
      <c r="Q59" s="190"/>
      <c r="R59" s="190"/>
      <c r="S59" s="190"/>
      <c r="T59" s="190"/>
    </row>
    <row r="60" ht="16" customHeight="1" spans="1:20" x14ac:dyDescent="0.25">
      <c r="A60" s="189"/>
      <c r="B60" s="189"/>
      <c r="C60" s="189"/>
      <c r="D60" s="189"/>
      <c r="E60" s="189"/>
      <c r="F60" s="189"/>
      <c r="G60" s="189"/>
      <c r="H60" s="189"/>
      <c r="I60" s="190"/>
      <c r="J60" s="190"/>
      <c r="K60" s="190"/>
      <c r="L60" s="190"/>
      <c r="M60" s="190"/>
      <c r="N60" s="190"/>
      <c r="O60" s="190"/>
      <c r="P60" s="190"/>
      <c r="Q60" s="190"/>
      <c r="R60" s="190"/>
      <c r="S60" s="190"/>
      <c r="T60" s="190"/>
    </row>
    <row r="61" ht="16" customHeight="1" spans="1:20" x14ac:dyDescent="0.25">
      <c r="A61" s="189"/>
      <c r="B61" s="189"/>
      <c r="C61" s="189"/>
      <c r="D61" s="189"/>
      <c r="E61" s="189"/>
      <c r="F61" s="189"/>
      <c r="G61" s="189"/>
      <c r="H61" s="189"/>
      <c r="I61" s="190"/>
      <c r="J61" s="190"/>
      <c r="K61" s="190"/>
      <c r="L61" s="190"/>
      <c r="M61" s="190"/>
      <c r="N61" s="190"/>
      <c r="O61" s="190"/>
      <c r="P61" s="190"/>
      <c r="Q61" s="190"/>
      <c r="R61" s="190"/>
      <c r="S61" s="190"/>
      <c r="T61" s="190"/>
    </row>
    <row r="62" ht="16" customHeight="1" spans="1:20" x14ac:dyDescent="0.25">
      <c r="A62" s="189"/>
      <c r="B62" s="189"/>
      <c r="C62" s="189"/>
      <c r="D62" s="189"/>
      <c r="E62" s="189"/>
      <c r="F62" s="189"/>
      <c r="G62" s="189"/>
      <c r="H62" s="189"/>
      <c r="I62" s="190"/>
      <c r="J62" s="190"/>
      <c r="K62" s="190"/>
      <c r="L62" s="190"/>
      <c r="M62" s="190"/>
      <c r="N62" s="190"/>
      <c r="O62" s="190"/>
      <c r="P62" s="190"/>
      <c r="Q62" s="190"/>
      <c r="R62" s="190"/>
      <c r="S62" s="190"/>
      <c r="T62" s="190"/>
    </row>
    <row r="63" ht="16" customHeight="1" spans="1:20" x14ac:dyDescent="0.25">
      <c r="A63" s="189"/>
      <c r="B63" s="189"/>
      <c r="C63" s="189"/>
      <c r="D63" s="189"/>
      <c r="E63" s="189"/>
      <c r="F63" s="189"/>
      <c r="G63" s="189"/>
      <c r="H63" s="189"/>
      <c r="I63" s="190"/>
      <c r="J63" s="190"/>
      <c r="K63" s="190"/>
      <c r="L63" s="190"/>
      <c r="M63" s="190"/>
      <c r="N63" s="190"/>
      <c r="O63" s="190"/>
      <c r="P63" s="190"/>
      <c r="Q63" s="190"/>
      <c r="R63" s="190"/>
      <c r="S63" s="190"/>
      <c r="T63" s="190"/>
    </row>
    <row r="64" ht="16" customHeight="1" spans="1:20" x14ac:dyDescent="0.25">
      <c r="A64" s="189"/>
      <c r="B64" s="189"/>
      <c r="C64" s="189"/>
      <c r="D64" s="189"/>
      <c r="E64" s="189"/>
      <c r="F64" s="189"/>
      <c r="G64" s="189"/>
      <c r="H64" s="189"/>
      <c r="I64" s="190"/>
      <c r="J64" s="190"/>
      <c r="K64" s="190"/>
      <c r="L64" s="190"/>
      <c r="M64" s="190"/>
      <c r="N64" s="190"/>
      <c r="O64" s="190"/>
      <c r="P64" s="190"/>
      <c r="Q64" s="190"/>
      <c r="R64" s="190"/>
      <c r="S64" s="190"/>
      <c r="T64" s="190"/>
    </row>
    <row r="65" ht="16" customHeight="1" spans="1:20" x14ac:dyDescent="0.25">
      <c r="A65" s="189"/>
      <c r="B65" s="189"/>
      <c r="C65" s="189"/>
      <c r="D65" s="189"/>
      <c r="E65" s="189"/>
      <c r="F65" s="189"/>
      <c r="G65" s="189"/>
      <c r="H65" s="189"/>
      <c r="I65" s="190"/>
      <c r="J65" s="190"/>
      <c r="K65" s="190"/>
      <c r="L65" s="190"/>
      <c r="M65" s="190"/>
      <c r="N65" s="190"/>
      <c r="O65" s="190"/>
      <c r="P65" s="190"/>
      <c r="Q65" s="190"/>
      <c r="R65" s="190"/>
      <c r="S65" s="190"/>
      <c r="T65" s="190"/>
    </row>
    <row r="66" ht="16" customHeight="1" spans="1:20" x14ac:dyDescent="0.25">
      <c r="A66" s="189"/>
      <c r="B66" s="189"/>
      <c r="C66" s="189"/>
      <c r="D66" s="189"/>
      <c r="E66" s="189"/>
      <c r="F66" s="189"/>
      <c r="G66" s="189"/>
      <c r="H66" s="189"/>
      <c r="I66" s="190"/>
      <c r="J66" s="190"/>
      <c r="K66" s="190"/>
      <c r="L66" s="190"/>
      <c r="M66" s="190"/>
      <c r="N66" s="190"/>
      <c r="O66" s="190"/>
      <c r="P66" s="190"/>
      <c r="Q66" s="190"/>
      <c r="R66" s="190"/>
      <c r="S66" s="190"/>
      <c r="T66" s="190"/>
    </row>
    <row r="67" ht="16" customHeight="1" spans="1:20" x14ac:dyDescent="0.25">
      <c r="A67" s="189"/>
      <c r="B67" s="189"/>
      <c r="C67" s="189"/>
      <c r="D67" s="189"/>
      <c r="E67" s="189"/>
      <c r="F67" s="189"/>
      <c r="G67" s="189"/>
      <c r="H67" s="189"/>
      <c r="I67" s="190"/>
      <c r="J67" s="190"/>
      <c r="K67" s="190"/>
      <c r="L67" s="190"/>
      <c r="M67" s="190"/>
      <c r="N67" s="190"/>
      <c r="O67" s="190"/>
      <c r="P67" s="190"/>
      <c r="Q67" s="190"/>
      <c r="R67" s="190"/>
      <c r="S67" s="190"/>
      <c r="T67" s="190"/>
    </row>
    <row r="68" ht="16" customHeight="1" spans="1:20" x14ac:dyDescent="0.25">
      <c r="A68" s="189"/>
      <c r="B68" s="189"/>
      <c r="C68" s="189"/>
      <c r="D68" s="189"/>
      <c r="E68" s="189"/>
      <c r="F68" s="189"/>
      <c r="G68" s="189"/>
      <c r="H68" s="189"/>
      <c r="I68" s="190"/>
      <c r="J68" s="190"/>
      <c r="K68" s="190"/>
      <c r="L68" s="190"/>
      <c r="M68" s="190"/>
      <c r="N68" s="190"/>
      <c r="O68" s="190"/>
      <c r="P68" s="190"/>
      <c r="Q68" s="190"/>
      <c r="R68" s="190"/>
      <c r="S68" s="190"/>
      <c r="T68" s="190"/>
    </row>
    <row r="69" ht="16" customHeight="1" spans="1:20" x14ac:dyDescent="0.25">
      <c r="A69" s="189"/>
      <c r="B69" s="189"/>
      <c r="C69" s="189"/>
      <c r="D69" s="189"/>
      <c r="E69" s="189"/>
      <c r="F69" s="189"/>
      <c r="G69" s="189"/>
      <c r="H69" s="189"/>
      <c r="I69" s="190"/>
      <c r="J69" s="190"/>
      <c r="K69" s="190"/>
      <c r="L69" s="190"/>
      <c r="M69" s="190"/>
      <c r="N69" s="190"/>
      <c r="O69" s="190"/>
      <c r="P69" s="190"/>
      <c r="Q69" s="190"/>
      <c r="R69" s="190"/>
      <c r="S69" s="190"/>
      <c r="T69" s="190"/>
    </row>
    <row r="70" ht="16" customHeight="1" spans="1:20" x14ac:dyDescent="0.25">
      <c r="A70" s="189"/>
      <c r="B70" s="189"/>
      <c r="C70" s="189"/>
      <c r="D70" s="189"/>
      <c r="E70" s="189"/>
      <c r="F70" s="189"/>
      <c r="G70" s="189"/>
      <c r="H70" s="189"/>
      <c r="I70" s="190"/>
      <c r="J70" s="190"/>
      <c r="K70" s="190"/>
      <c r="L70" s="190"/>
      <c r="M70" s="190"/>
      <c r="N70" s="190"/>
      <c r="O70" s="190"/>
      <c r="P70" s="190"/>
      <c r="Q70" s="190"/>
      <c r="R70" s="190"/>
      <c r="S70" s="190"/>
      <c r="T70" s="190"/>
    </row>
    <row r="71" ht="16" customHeight="1" spans="1:20" x14ac:dyDescent="0.25">
      <c r="A71" s="189"/>
      <c r="B71" s="189"/>
      <c r="C71" s="189"/>
      <c r="D71" s="189"/>
      <c r="E71" s="189"/>
      <c r="F71" s="189"/>
      <c r="G71" s="189"/>
      <c r="H71" s="189"/>
      <c r="I71" s="190"/>
      <c r="J71" s="190"/>
      <c r="K71" s="190"/>
      <c r="L71" s="190"/>
      <c r="M71" s="190"/>
      <c r="N71" s="190"/>
      <c r="O71" s="190"/>
      <c r="P71" s="190"/>
      <c r="Q71" s="190"/>
      <c r="R71" s="190"/>
      <c r="S71" s="190"/>
      <c r="T71" s="190"/>
    </row>
    <row r="72" ht="16" customHeight="1" spans="1:20" x14ac:dyDescent="0.25">
      <c r="A72" s="189"/>
      <c r="B72" s="189"/>
      <c r="C72" s="189"/>
      <c r="D72" s="189"/>
      <c r="E72" s="189"/>
      <c r="F72" s="189"/>
      <c r="G72" s="189"/>
      <c r="H72" s="189"/>
      <c r="I72" s="190"/>
      <c r="J72" s="190"/>
      <c r="K72" s="190"/>
      <c r="L72" s="190"/>
      <c r="M72" s="190"/>
      <c r="N72" s="190"/>
      <c r="O72" s="190"/>
      <c r="P72" s="190"/>
      <c r="Q72" s="190"/>
      <c r="R72" s="190"/>
      <c r="S72" s="190"/>
      <c r="T72" s="190"/>
    </row>
    <row r="73" ht="16" customHeight="1" spans="1:20" x14ac:dyDescent="0.25">
      <c r="A73" s="189"/>
      <c r="B73" s="189"/>
      <c r="C73" s="189"/>
      <c r="D73" s="189"/>
      <c r="E73" s="189"/>
      <c r="F73" s="189"/>
      <c r="G73" s="189"/>
      <c r="H73" s="189"/>
      <c r="I73" s="190"/>
      <c r="J73" s="190"/>
      <c r="K73" s="190"/>
      <c r="L73" s="190"/>
      <c r="M73" s="190"/>
      <c r="N73" s="190"/>
      <c r="O73" s="190"/>
      <c r="P73" s="190"/>
      <c r="Q73" s="190"/>
      <c r="R73" s="190"/>
      <c r="S73" s="190"/>
      <c r="T73" s="190"/>
    </row>
    <row r="74" ht="16" customHeight="1" spans="1:20" x14ac:dyDescent="0.25">
      <c r="A74" s="189"/>
      <c r="B74" s="189"/>
      <c r="C74" s="189"/>
      <c r="D74" s="189"/>
      <c r="E74" s="189"/>
      <c r="F74" s="189"/>
      <c r="G74" s="189"/>
      <c r="H74" s="189"/>
      <c r="I74" s="190"/>
      <c r="J74" s="190"/>
      <c r="K74" s="190"/>
      <c r="L74" s="190"/>
      <c r="M74" s="190"/>
      <c r="N74" s="190"/>
      <c r="O74" s="190"/>
      <c r="P74" s="190"/>
      <c r="Q74" s="190"/>
      <c r="R74" s="190"/>
      <c r="S74" s="190"/>
      <c r="T74" s="190"/>
    </row>
    <row r="75" ht="16" customHeight="1" spans="1:20" x14ac:dyDescent="0.25">
      <c r="A75" s="189"/>
      <c r="B75" s="189"/>
      <c r="C75" s="189"/>
      <c r="D75" s="189"/>
      <c r="E75" s="189"/>
      <c r="F75" s="189"/>
      <c r="G75" s="189"/>
      <c r="H75" s="189"/>
      <c r="I75" s="190"/>
      <c r="J75" s="190"/>
      <c r="K75" s="190"/>
      <c r="L75" s="190"/>
      <c r="M75" s="190"/>
      <c r="N75" s="190"/>
      <c r="O75" s="190"/>
      <c r="P75" s="190"/>
      <c r="Q75" s="190"/>
      <c r="R75" s="190"/>
      <c r="S75" s="190"/>
      <c r="T75" s="190"/>
    </row>
    <row r="76" ht="16" customHeight="1" spans="1:20" x14ac:dyDescent="0.25">
      <c r="A76" s="189"/>
      <c r="B76" s="189"/>
      <c r="C76" s="189"/>
      <c r="D76" s="189"/>
      <c r="E76" s="189"/>
      <c r="F76" s="189"/>
      <c r="G76" s="189"/>
      <c r="H76" s="189"/>
      <c r="I76" s="190"/>
      <c r="J76" s="190"/>
      <c r="K76" s="190"/>
      <c r="L76" s="190"/>
      <c r="M76" s="190"/>
      <c r="N76" s="190"/>
      <c r="O76" s="190"/>
      <c r="P76" s="190"/>
      <c r="Q76" s="190"/>
      <c r="R76" s="190"/>
      <c r="S76" s="190"/>
      <c r="T76" s="190"/>
    </row>
    <row r="77" ht="16" customHeight="1" spans="1:20" x14ac:dyDescent="0.25">
      <c r="A77" s="189"/>
      <c r="B77" s="189"/>
      <c r="C77" s="189"/>
      <c r="D77" s="189"/>
      <c r="E77" s="189"/>
      <c r="F77" s="189"/>
      <c r="G77" s="189"/>
      <c r="H77" s="189"/>
      <c r="I77" s="190"/>
      <c r="J77" s="190"/>
      <c r="K77" s="190"/>
      <c r="L77" s="190"/>
      <c r="M77" s="190"/>
      <c r="N77" s="190"/>
      <c r="O77" s="190"/>
      <c r="P77" s="190"/>
      <c r="Q77" s="190"/>
      <c r="R77" s="190"/>
      <c r="S77" s="190"/>
      <c r="T77" s="190"/>
    </row>
    <row r="78" ht="16" customHeight="1" spans="1:20" x14ac:dyDescent="0.25">
      <c r="A78" s="189"/>
      <c r="B78" s="189"/>
      <c r="C78" s="189"/>
      <c r="D78" s="189"/>
      <c r="E78" s="189"/>
      <c r="F78" s="189"/>
      <c r="G78" s="189"/>
      <c r="H78" s="189"/>
      <c r="I78" s="190"/>
      <c r="J78" s="190"/>
      <c r="K78" s="190"/>
      <c r="L78" s="190"/>
      <c r="M78" s="190"/>
      <c r="N78" s="190"/>
      <c r="O78" s="190"/>
      <c r="P78" s="190"/>
      <c r="Q78" s="190"/>
      <c r="R78" s="190"/>
      <c r="S78" s="190"/>
      <c r="T78" s="190"/>
    </row>
    <row r="79" ht="16" customHeight="1" spans="1:20" x14ac:dyDescent="0.25">
      <c r="A79" s="189"/>
      <c r="B79" s="189"/>
      <c r="C79" s="189"/>
      <c r="D79" s="189"/>
      <c r="E79" s="189"/>
      <c r="F79" s="189"/>
      <c r="G79" s="189"/>
      <c r="H79" s="189"/>
      <c r="I79" s="190"/>
      <c r="J79" s="190"/>
      <c r="K79" s="190"/>
      <c r="L79" s="190"/>
      <c r="M79" s="190"/>
      <c r="N79" s="190"/>
      <c r="O79" s="190"/>
      <c r="P79" s="190"/>
      <c r="Q79" s="190"/>
      <c r="R79" s="190"/>
      <c r="S79" s="190"/>
      <c r="T79" s="190"/>
    </row>
    <row r="80" ht="16" customHeight="1" spans="1:20" x14ac:dyDescent="0.25">
      <c r="A80" s="189"/>
      <c r="B80" s="189"/>
      <c r="C80" s="189"/>
      <c r="D80" s="189"/>
      <c r="E80" s="189"/>
      <c r="F80" s="189"/>
      <c r="G80" s="189"/>
      <c r="H80" s="189"/>
      <c r="I80" s="190"/>
      <c r="J80" s="190"/>
      <c r="K80" s="190"/>
      <c r="L80" s="190"/>
      <c r="M80" s="190"/>
      <c r="N80" s="190"/>
      <c r="O80" s="190"/>
      <c r="P80" s="190"/>
      <c r="Q80" s="190"/>
      <c r="R80" s="190"/>
      <c r="S80" s="190"/>
      <c r="T80" s="190"/>
    </row>
    <row r="81" ht="16" customHeight="1" spans="1:20" x14ac:dyDescent="0.25">
      <c r="A81" s="189"/>
      <c r="B81" s="189"/>
      <c r="C81" s="189"/>
      <c r="D81" s="189"/>
      <c r="E81" s="189"/>
      <c r="F81" s="189"/>
      <c r="G81" s="189"/>
      <c r="H81" s="189"/>
      <c r="I81" s="190"/>
      <c r="J81" s="190"/>
      <c r="K81" s="190"/>
      <c r="L81" s="190"/>
      <c r="M81" s="190"/>
      <c r="N81" s="190"/>
      <c r="O81" s="190"/>
      <c r="P81" s="190"/>
      <c r="Q81" s="190"/>
      <c r="R81" s="190"/>
      <c r="S81" s="190"/>
      <c r="T81" s="190"/>
    </row>
    <row r="82" ht="16" customHeight="1" spans="1:20" x14ac:dyDescent="0.25">
      <c r="A82" s="189"/>
      <c r="B82" s="189"/>
      <c r="C82" s="189"/>
      <c r="D82" s="189"/>
      <c r="E82" s="189"/>
      <c r="F82" s="189"/>
      <c r="G82" s="189"/>
      <c r="H82" s="189"/>
      <c r="I82" s="190"/>
      <c r="J82" s="190"/>
      <c r="K82" s="190"/>
      <c r="L82" s="190"/>
      <c r="M82" s="190"/>
      <c r="N82" s="190"/>
      <c r="O82" s="190"/>
      <c r="P82" s="190"/>
      <c r="Q82" s="190"/>
      <c r="R82" s="190"/>
      <c r="S82" s="190"/>
      <c r="T82" s="190"/>
    </row>
    <row r="83" ht="16" customHeight="1" spans="1:20" x14ac:dyDescent="0.25">
      <c r="A83" s="189"/>
      <c r="B83" s="189"/>
      <c r="C83" s="189"/>
      <c r="D83" s="189"/>
      <c r="E83" s="189"/>
      <c r="F83" s="189"/>
      <c r="G83" s="189"/>
      <c r="H83" s="189"/>
      <c r="I83" s="190"/>
      <c r="J83" s="190"/>
      <c r="K83" s="190"/>
      <c r="L83" s="190"/>
      <c r="M83" s="190"/>
      <c r="N83" s="190"/>
      <c r="O83" s="190"/>
      <c r="P83" s="190"/>
      <c r="Q83" s="190"/>
      <c r="R83" s="190"/>
      <c r="S83" s="190"/>
      <c r="T83" s="190"/>
    </row>
    <row r="84" ht="16" customHeight="1" spans="1:20" x14ac:dyDescent="0.25">
      <c r="A84" s="189"/>
      <c r="B84" s="189"/>
      <c r="C84" s="189"/>
      <c r="D84" s="189"/>
      <c r="E84" s="189"/>
      <c r="F84" s="189"/>
      <c r="G84" s="189"/>
      <c r="H84" s="189"/>
      <c r="I84" s="190"/>
      <c r="J84" s="190"/>
      <c r="K84" s="190"/>
      <c r="L84" s="190"/>
      <c r="M84" s="190"/>
      <c r="N84" s="190"/>
      <c r="O84" s="190"/>
      <c r="P84" s="190"/>
      <c r="Q84" s="190"/>
      <c r="R84" s="190"/>
      <c r="S84" s="190"/>
      <c r="T84" s="190"/>
    </row>
    <row r="85" ht="16" customHeight="1" spans="1:20" x14ac:dyDescent="0.25">
      <c r="A85" s="189"/>
      <c r="B85" s="189"/>
      <c r="C85" s="189"/>
      <c r="D85" s="189"/>
      <c r="E85" s="189"/>
      <c r="F85" s="189"/>
      <c r="G85" s="189"/>
      <c r="H85" s="189"/>
      <c r="I85" s="190"/>
      <c r="J85" s="190"/>
      <c r="K85" s="190"/>
      <c r="L85" s="190"/>
      <c r="M85" s="190"/>
      <c r="N85" s="190"/>
      <c r="O85" s="190"/>
      <c r="P85" s="190"/>
      <c r="Q85" s="190"/>
      <c r="R85" s="190"/>
      <c r="S85" s="190"/>
      <c r="T85" s="190"/>
    </row>
    <row r="86" ht="16" customHeight="1" spans="1:20" x14ac:dyDescent="0.25">
      <c r="A86" s="189"/>
      <c r="B86" s="189"/>
      <c r="C86" s="189"/>
      <c r="D86" s="189"/>
      <c r="E86" s="189"/>
      <c r="F86" s="189"/>
      <c r="G86" s="189"/>
      <c r="H86" s="189"/>
      <c r="I86" s="190"/>
      <c r="J86" s="190"/>
      <c r="K86" s="190"/>
      <c r="L86" s="190"/>
      <c r="M86" s="190"/>
      <c r="N86" s="190"/>
      <c r="O86" s="190"/>
      <c r="P86" s="190"/>
      <c r="Q86" s="190"/>
      <c r="R86" s="190"/>
      <c r="S86" s="190"/>
      <c r="T86" s="190"/>
    </row>
    <row r="87" ht="16" customHeight="1" spans="1:20" x14ac:dyDescent="0.25">
      <c r="A87" s="189"/>
      <c r="B87" s="189"/>
      <c r="C87" s="189"/>
      <c r="D87" s="189"/>
      <c r="E87" s="189"/>
      <c r="F87" s="189"/>
      <c r="G87" s="189"/>
      <c r="H87" s="189"/>
      <c r="I87" s="190"/>
      <c r="J87" s="190"/>
      <c r="K87" s="190"/>
      <c r="L87" s="190"/>
      <c r="M87" s="190"/>
      <c r="N87" s="190"/>
      <c r="O87" s="190"/>
      <c r="P87" s="190"/>
      <c r="Q87" s="190"/>
      <c r="R87" s="190"/>
      <c r="S87" s="190"/>
      <c r="T87" s="190"/>
    </row>
    <row r="88" ht="16" customHeight="1" spans="1:20" x14ac:dyDescent="0.25">
      <c r="A88" s="189"/>
      <c r="B88" s="189"/>
      <c r="C88" s="189"/>
      <c r="D88" s="189"/>
      <c r="E88" s="189"/>
      <c r="F88" s="189"/>
      <c r="G88" s="189"/>
      <c r="H88" s="189"/>
      <c r="I88" s="190"/>
      <c r="J88" s="190"/>
      <c r="K88" s="190"/>
      <c r="L88" s="190"/>
      <c r="M88" s="190"/>
      <c r="N88" s="190"/>
      <c r="O88" s="190"/>
      <c r="P88" s="190"/>
      <c r="Q88" s="190"/>
      <c r="R88" s="190"/>
      <c r="S88" s="190"/>
      <c r="T88" s="190"/>
    </row>
    <row r="89" ht="16" customHeight="1" spans="1:20" x14ac:dyDescent="0.25">
      <c r="A89" s="189"/>
      <c r="B89" s="189"/>
      <c r="C89" s="189"/>
      <c r="D89" s="189"/>
      <c r="E89" s="189"/>
      <c r="F89" s="189"/>
      <c r="G89" s="189"/>
      <c r="H89" s="189"/>
      <c r="I89" s="190"/>
      <c r="J89" s="190"/>
      <c r="K89" s="190"/>
      <c r="L89" s="190"/>
      <c r="M89" s="190"/>
      <c r="N89" s="190"/>
      <c r="O89" s="190"/>
      <c r="P89" s="190"/>
      <c r="Q89" s="190"/>
      <c r="R89" s="190"/>
      <c r="S89" s="190"/>
      <c r="T89" s="190"/>
    </row>
    <row r="90" ht="16" customHeight="1" spans="1:20" x14ac:dyDescent="0.25">
      <c r="A90" s="189"/>
      <c r="B90" s="189"/>
      <c r="C90" s="189"/>
      <c r="D90" s="189"/>
      <c r="E90" s="189"/>
      <c r="F90" s="189"/>
      <c r="G90" s="189"/>
      <c r="H90" s="189"/>
      <c r="I90" s="190"/>
      <c r="J90" s="190"/>
      <c r="K90" s="190"/>
      <c r="L90" s="190"/>
      <c r="M90" s="190"/>
      <c r="N90" s="190"/>
      <c r="O90" s="190"/>
      <c r="P90" s="190"/>
      <c r="Q90" s="190"/>
      <c r="R90" s="190"/>
      <c r="S90" s="190"/>
      <c r="T90" s="190"/>
    </row>
    <row r="91" ht="16" customHeight="1" spans="1:20" x14ac:dyDescent="0.25">
      <c r="A91" s="189"/>
      <c r="B91" s="189"/>
      <c r="C91" s="189"/>
      <c r="D91" s="189"/>
      <c r="E91" s="189"/>
      <c r="F91" s="189"/>
      <c r="G91" s="189"/>
      <c r="H91" s="189"/>
      <c r="I91" s="190"/>
      <c r="J91" s="190"/>
      <c r="K91" s="190"/>
      <c r="L91" s="190"/>
      <c r="M91" s="190"/>
      <c r="N91" s="190"/>
      <c r="O91" s="190"/>
      <c r="P91" s="190"/>
      <c r="Q91" s="190"/>
      <c r="R91" s="190"/>
      <c r="S91" s="190"/>
      <c r="T91" s="190"/>
    </row>
    <row r="92" ht="16" customHeight="1" spans="1:20" x14ac:dyDescent="0.25">
      <c r="A92" s="189"/>
      <c r="B92" s="189"/>
      <c r="C92" s="189"/>
      <c r="D92" s="189"/>
      <c r="E92" s="189"/>
      <c r="F92" s="189"/>
      <c r="G92" s="189"/>
      <c r="H92" s="189"/>
      <c r="I92" s="190"/>
      <c r="J92" s="190"/>
      <c r="K92" s="190"/>
      <c r="L92" s="190"/>
      <c r="M92" s="190"/>
      <c r="N92" s="190"/>
      <c r="O92" s="190"/>
      <c r="P92" s="190"/>
      <c r="Q92" s="190"/>
      <c r="R92" s="190"/>
      <c r="S92" s="190"/>
      <c r="T92" s="190"/>
    </row>
    <row r="93" ht="16" customHeight="1" spans="1:20" x14ac:dyDescent="0.25">
      <c r="A93" s="189"/>
      <c r="B93" s="189"/>
      <c r="C93" s="189"/>
      <c r="D93" s="189"/>
      <c r="E93" s="189"/>
      <c r="F93" s="189"/>
      <c r="G93" s="189"/>
      <c r="H93" s="189"/>
      <c r="I93" s="190"/>
      <c r="J93" s="190"/>
      <c r="K93" s="190"/>
      <c r="L93" s="190"/>
      <c r="M93" s="190"/>
      <c r="N93" s="190"/>
      <c r="O93" s="190"/>
      <c r="P93" s="190"/>
      <c r="Q93" s="190"/>
      <c r="R93" s="190"/>
      <c r="S93" s="190"/>
      <c r="T93" s="190"/>
    </row>
    <row r="94" ht="16" customHeight="1" spans="1:20" x14ac:dyDescent="0.25">
      <c r="A94" s="189"/>
      <c r="B94" s="189"/>
      <c r="C94" s="189"/>
      <c r="D94" s="189"/>
      <c r="E94" s="189"/>
      <c r="F94" s="189"/>
      <c r="G94" s="189"/>
      <c r="H94" s="189"/>
      <c r="I94" s="190"/>
      <c r="J94" s="190"/>
      <c r="K94" s="190"/>
      <c r="L94" s="190"/>
      <c r="M94" s="190"/>
      <c r="N94" s="190"/>
      <c r="O94" s="190"/>
      <c r="P94" s="190"/>
      <c r="Q94" s="190"/>
      <c r="R94" s="190"/>
      <c r="S94" s="190"/>
      <c r="T94" s="190"/>
    </row>
    <row r="95" ht="16" customHeight="1" spans="1:20" x14ac:dyDescent="0.25">
      <c r="A95" s="189"/>
      <c r="B95" s="189"/>
      <c r="C95" s="189"/>
      <c r="D95" s="189"/>
      <c r="E95" s="189"/>
      <c r="F95" s="189"/>
      <c r="G95" s="189"/>
      <c r="H95" s="189"/>
      <c r="I95" s="190"/>
      <c r="J95" s="190"/>
      <c r="K95" s="190"/>
      <c r="L95" s="190"/>
      <c r="M95" s="190"/>
      <c r="N95" s="190"/>
      <c r="O95" s="190"/>
      <c r="P95" s="190"/>
      <c r="Q95" s="190"/>
      <c r="R95" s="190"/>
      <c r="S95" s="190"/>
      <c r="T95" s="190"/>
    </row>
    <row r="96" ht="16" customHeight="1" spans="1:20" x14ac:dyDescent="0.25">
      <c r="A96" s="189"/>
      <c r="B96" s="189"/>
      <c r="C96" s="189"/>
      <c r="D96" s="189"/>
      <c r="E96" s="189"/>
      <c r="F96" s="189"/>
      <c r="G96" s="189"/>
      <c r="H96" s="189"/>
      <c r="I96" s="190"/>
      <c r="J96" s="190"/>
      <c r="K96" s="190"/>
      <c r="L96" s="190"/>
      <c r="M96" s="190"/>
      <c r="N96" s="190"/>
      <c r="O96" s="190"/>
      <c r="P96" s="190"/>
      <c r="Q96" s="190"/>
      <c r="R96" s="190"/>
      <c r="S96" s="190"/>
      <c r="T96" s="190"/>
    </row>
    <row r="97" ht="16" customHeight="1" spans="1:20" x14ac:dyDescent="0.25">
      <c r="A97" s="189"/>
      <c r="B97" s="189"/>
      <c r="C97" s="189"/>
      <c r="D97" s="189"/>
      <c r="E97" s="189"/>
      <c r="F97" s="189"/>
      <c r="G97" s="189"/>
      <c r="H97" s="189"/>
      <c r="I97" s="190"/>
      <c r="J97" s="190"/>
      <c r="K97" s="190"/>
      <c r="L97" s="190"/>
      <c r="M97" s="190"/>
      <c r="N97" s="190"/>
      <c r="O97" s="190"/>
      <c r="P97" s="190"/>
      <c r="Q97" s="190"/>
      <c r="R97" s="190"/>
      <c r="S97" s="190"/>
      <c r="T97" s="190"/>
    </row>
    <row r="98" ht="16" customHeight="1" spans="1:20" x14ac:dyDescent="0.25">
      <c r="A98" s="189"/>
      <c r="B98" s="189"/>
      <c r="C98" s="189"/>
      <c r="D98" s="189"/>
      <c r="E98" s="189"/>
      <c r="F98" s="189"/>
      <c r="G98" s="189"/>
      <c r="H98" s="189"/>
      <c r="I98" s="190"/>
      <c r="J98" s="190"/>
      <c r="K98" s="190"/>
      <c r="L98" s="190"/>
      <c r="M98" s="190"/>
      <c r="N98" s="190"/>
      <c r="O98" s="190"/>
      <c r="P98" s="190"/>
      <c r="Q98" s="190"/>
      <c r="R98" s="190"/>
      <c r="S98" s="190"/>
      <c r="T98" s="190"/>
    </row>
    <row r="99" ht="16" customHeight="1" spans="1:20" x14ac:dyDescent="0.25">
      <c r="A99" s="189"/>
      <c r="B99" s="189"/>
      <c r="C99" s="189"/>
      <c r="D99" s="189"/>
      <c r="E99" s="189"/>
      <c r="F99" s="189"/>
      <c r="G99" s="189"/>
      <c r="H99" s="189"/>
      <c r="I99" s="190"/>
      <c r="J99" s="190"/>
      <c r="K99" s="190"/>
      <c r="L99" s="190"/>
      <c r="M99" s="190"/>
      <c r="N99" s="190"/>
      <c r="O99" s="190"/>
      <c r="P99" s="190"/>
      <c r="Q99" s="190"/>
      <c r="R99" s="190"/>
      <c r="S99" s="190"/>
      <c r="T99" s="190"/>
    </row>
    <row r="100" ht="16" customHeight="1" spans="1:20" x14ac:dyDescent="0.25">
      <c r="A100" s="189"/>
      <c r="B100" s="189"/>
      <c r="C100" s="189"/>
      <c r="D100" s="189"/>
      <c r="E100" s="189"/>
      <c r="F100" s="189"/>
      <c r="G100" s="189"/>
      <c r="H100" s="189"/>
      <c r="I100" s="190"/>
      <c r="J100" s="190"/>
      <c r="K100" s="190"/>
      <c r="L100" s="190"/>
      <c r="M100" s="190"/>
      <c r="N100" s="190"/>
      <c r="O100" s="190"/>
      <c r="P100" s="190"/>
      <c r="Q100" s="190"/>
      <c r="R100" s="190"/>
      <c r="S100" s="190"/>
      <c r="T100" s="190"/>
    </row>
    <row r="101" ht="16" customHeight="1" spans="1:20" x14ac:dyDescent="0.25">
      <c r="A101" s="189"/>
      <c r="B101" s="189"/>
      <c r="C101" s="189"/>
      <c r="D101" s="189"/>
      <c r="E101" s="189"/>
      <c r="F101" s="189"/>
      <c r="G101" s="189"/>
      <c r="H101" s="189"/>
      <c r="I101" s="190"/>
      <c r="J101" s="190"/>
      <c r="K101" s="190"/>
      <c r="L101" s="190"/>
      <c r="M101" s="190"/>
      <c r="N101" s="190"/>
      <c r="O101" s="190"/>
      <c r="P101" s="190"/>
      <c r="Q101" s="190"/>
      <c r="R101" s="190"/>
      <c r="S101" s="190"/>
      <c r="T101" s="190"/>
    </row>
    <row r="102" ht="16" customHeight="1" spans="1:20" x14ac:dyDescent="0.25">
      <c r="A102" s="189"/>
      <c r="B102" s="189"/>
      <c r="C102" s="189"/>
      <c r="D102" s="189"/>
      <c r="E102" s="189"/>
      <c r="F102" s="189"/>
      <c r="G102" s="189"/>
      <c r="H102" s="189"/>
      <c r="I102" s="190"/>
      <c r="J102" s="190"/>
      <c r="K102" s="190"/>
      <c r="L102" s="190"/>
      <c r="M102" s="190"/>
      <c r="N102" s="190"/>
      <c r="O102" s="190"/>
      <c r="P102" s="190"/>
      <c r="Q102" s="190"/>
      <c r="R102" s="190"/>
      <c r="S102" s="190"/>
      <c r="T102" s="190"/>
    </row>
    <row r="103" ht="16" customHeight="1" spans="1:20" x14ac:dyDescent="0.25">
      <c r="A103" s="189"/>
      <c r="B103" s="189"/>
      <c r="C103" s="189"/>
      <c r="D103" s="189"/>
      <c r="E103" s="189"/>
      <c r="F103" s="189"/>
      <c r="G103" s="189"/>
      <c r="H103" s="189"/>
      <c r="I103" s="190"/>
      <c r="J103" s="190"/>
      <c r="K103" s="190"/>
      <c r="L103" s="190"/>
      <c r="M103" s="190"/>
      <c r="N103" s="190"/>
      <c r="O103" s="190"/>
      <c r="P103" s="190"/>
      <c r="Q103" s="190"/>
      <c r="R103" s="190"/>
      <c r="S103" s="190"/>
      <c r="T103" s="190"/>
    </row>
    <row r="104" ht="16" customHeight="1" spans="1:20" x14ac:dyDescent="0.25">
      <c r="A104" s="189"/>
      <c r="B104" s="189"/>
      <c r="C104" s="189"/>
      <c r="D104" s="189"/>
      <c r="E104" s="189"/>
      <c r="F104" s="189"/>
      <c r="G104" s="189"/>
      <c r="H104" s="189"/>
      <c r="I104" s="190"/>
      <c r="J104" s="190"/>
      <c r="K104" s="190"/>
      <c r="L104" s="190"/>
      <c r="M104" s="190"/>
      <c r="N104" s="190"/>
      <c r="O104" s="190"/>
      <c r="P104" s="190"/>
      <c r="Q104" s="190"/>
      <c r="R104" s="190"/>
      <c r="S104" s="190"/>
      <c r="T104" s="190"/>
    </row>
    <row r="105" ht="16" customHeight="1" spans="1:20" x14ac:dyDescent="0.25">
      <c r="A105" s="189"/>
      <c r="B105" s="189"/>
      <c r="C105" s="189"/>
      <c r="D105" s="189"/>
      <c r="E105" s="189"/>
      <c r="F105" s="189"/>
      <c r="G105" s="189"/>
      <c r="H105" s="189"/>
      <c r="I105" s="190"/>
      <c r="J105" s="190"/>
      <c r="K105" s="190"/>
      <c r="L105" s="190"/>
      <c r="M105" s="190"/>
      <c r="N105" s="190"/>
      <c r="O105" s="190"/>
      <c r="P105" s="190"/>
      <c r="Q105" s="190"/>
      <c r="R105" s="190"/>
      <c r="S105" s="190"/>
      <c r="T105" s="190"/>
    </row>
    <row r="106" ht="16" customHeight="1" spans="1:20" x14ac:dyDescent="0.25">
      <c r="A106" s="189"/>
      <c r="B106" s="189"/>
      <c r="C106" s="189"/>
      <c r="D106" s="189"/>
      <c r="E106" s="189"/>
      <c r="F106" s="189"/>
      <c r="G106" s="189"/>
      <c r="H106" s="189"/>
      <c r="I106" s="190"/>
      <c r="J106" s="190"/>
      <c r="K106" s="190"/>
      <c r="L106" s="190"/>
      <c r="M106" s="190"/>
      <c r="N106" s="190"/>
      <c r="O106" s="190"/>
      <c r="P106" s="190"/>
      <c r="Q106" s="190"/>
      <c r="R106" s="190"/>
      <c r="S106" s="190"/>
      <c r="T106" s="190"/>
    </row>
    <row r="107" ht="16" customHeight="1" spans="1:20" x14ac:dyDescent="0.25">
      <c r="A107" s="189"/>
      <c r="B107" s="189"/>
      <c r="C107" s="189"/>
      <c r="D107" s="189"/>
      <c r="E107" s="189"/>
      <c r="F107" s="189"/>
      <c r="G107" s="189"/>
      <c r="H107" s="189"/>
      <c r="I107" s="190"/>
      <c r="J107" s="190"/>
      <c r="K107" s="190"/>
      <c r="L107" s="190"/>
      <c r="M107" s="190"/>
      <c r="N107" s="190"/>
      <c r="O107" s="190"/>
      <c r="P107" s="190"/>
      <c r="Q107" s="190"/>
      <c r="R107" s="190"/>
      <c r="S107" s="190"/>
      <c r="T107" s="190"/>
    </row>
    <row r="108" ht="16" customHeight="1" spans="1:20" x14ac:dyDescent="0.25">
      <c r="A108" s="189"/>
      <c r="B108" s="189"/>
      <c r="C108" s="189"/>
      <c r="D108" s="189"/>
      <c r="E108" s="189"/>
      <c r="F108" s="189"/>
      <c r="G108" s="189"/>
      <c r="H108" s="189"/>
      <c r="I108" s="190"/>
      <c r="J108" s="190"/>
      <c r="K108" s="190"/>
      <c r="L108" s="190"/>
      <c r="M108" s="190"/>
      <c r="N108" s="190"/>
      <c r="O108" s="190"/>
      <c r="P108" s="190"/>
      <c r="Q108" s="190"/>
      <c r="R108" s="190"/>
      <c r="S108" s="190"/>
      <c r="T108" s="190"/>
    </row>
    <row r="109" ht="16" customHeight="1" spans="1:20" x14ac:dyDescent="0.25">
      <c r="A109" s="189"/>
      <c r="B109" s="189"/>
      <c r="C109" s="189"/>
      <c r="D109" s="189"/>
      <c r="E109" s="189"/>
      <c r="F109" s="189"/>
      <c r="G109" s="189"/>
      <c r="H109" s="189"/>
      <c r="I109" s="190"/>
      <c r="J109" s="190"/>
      <c r="K109" s="190"/>
      <c r="L109" s="190"/>
      <c r="M109" s="190"/>
      <c r="N109" s="190"/>
      <c r="O109" s="190"/>
      <c r="P109" s="190"/>
      <c r="Q109" s="190"/>
      <c r="R109" s="190"/>
      <c r="S109" s="190"/>
      <c r="T109" s="190"/>
    </row>
    <row r="110" ht="16" customHeight="1" spans="1:20" x14ac:dyDescent="0.25">
      <c r="A110" s="189"/>
      <c r="B110" s="189"/>
      <c r="C110" s="189"/>
      <c r="D110" s="189"/>
      <c r="E110" s="189"/>
      <c r="F110" s="189"/>
      <c r="G110" s="189"/>
      <c r="H110" s="189"/>
      <c r="I110" s="190"/>
      <c r="J110" s="190"/>
      <c r="K110" s="190"/>
      <c r="L110" s="190"/>
      <c r="M110" s="190"/>
      <c r="N110" s="190"/>
      <c r="O110" s="190"/>
      <c r="P110" s="190"/>
      <c r="Q110" s="190"/>
      <c r="R110" s="190"/>
      <c r="S110" s="190"/>
      <c r="T110" s="190"/>
    </row>
    <row r="111" ht="16" customHeight="1" spans="1:20" x14ac:dyDescent="0.25">
      <c r="A111" s="189"/>
      <c r="B111" s="189"/>
      <c r="C111" s="189"/>
      <c r="D111" s="189"/>
      <c r="E111" s="189"/>
      <c r="F111" s="189"/>
      <c r="G111" s="189"/>
      <c r="H111" s="189"/>
      <c r="I111" s="190"/>
      <c r="J111" s="190"/>
      <c r="K111" s="190"/>
      <c r="L111" s="190"/>
      <c r="M111" s="190"/>
      <c r="N111" s="190"/>
      <c r="O111" s="190"/>
      <c r="P111" s="190"/>
      <c r="Q111" s="190"/>
      <c r="R111" s="190"/>
      <c r="S111" s="190"/>
      <c r="T111" s="190"/>
    </row>
    <row r="112" ht="16" customHeight="1" spans="1:20" x14ac:dyDescent="0.25">
      <c r="A112" s="189"/>
      <c r="B112" s="189"/>
      <c r="C112" s="189"/>
      <c r="D112" s="189"/>
      <c r="E112" s="189"/>
      <c r="F112" s="189"/>
      <c r="G112" s="189"/>
      <c r="H112" s="189"/>
      <c r="I112" s="190"/>
      <c r="J112" s="190"/>
      <c r="K112" s="190"/>
      <c r="L112" s="190"/>
      <c r="M112" s="190"/>
      <c r="N112" s="190"/>
      <c r="O112" s="190"/>
      <c r="P112" s="190"/>
      <c r="Q112" s="190"/>
      <c r="R112" s="190"/>
      <c r="S112" s="190"/>
      <c r="T112" s="190"/>
    </row>
    <row r="113" ht="16" customHeight="1" spans="1:20" x14ac:dyDescent="0.25">
      <c r="A113" s="189"/>
      <c r="B113" s="189"/>
      <c r="C113" s="189"/>
      <c r="D113" s="189"/>
      <c r="E113" s="189"/>
      <c r="F113" s="189"/>
      <c r="G113" s="189"/>
      <c r="H113" s="189"/>
      <c r="I113" s="190"/>
      <c r="J113" s="190"/>
      <c r="K113" s="190"/>
      <c r="L113" s="190"/>
      <c r="M113" s="190"/>
      <c r="N113" s="190"/>
      <c r="O113" s="190"/>
      <c r="P113" s="190"/>
      <c r="Q113" s="190"/>
      <c r="R113" s="190"/>
      <c r="S113" s="190"/>
      <c r="T113" s="190"/>
    </row>
    <row r="114" ht="16" customHeight="1" spans="1:20" x14ac:dyDescent="0.25">
      <c r="A114" s="189"/>
      <c r="B114" s="189"/>
      <c r="C114" s="189"/>
      <c r="D114" s="189"/>
      <c r="E114" s="189"/>
      <c r="F114" s="189"/>
      <c r="G114" s="189"/>
      <c r="H114" s="189"/>
      <c r="I114" s="190"/>
      <c r="J114" s="190"/>
      <c r="K114" s="190"/>
      <c r="L114" s="190"/>
      <c r="M114" s="190"/>
      <c r="N114" s="190"/>
      <c r="O114" s="190"/>
      <c r="P114" s="190"/>
      <c r="Q114" s="190"/>
      <c r="R114" s="190"/>
      <c r="S114" s="190"/>
      <c r="T114" s="190"/>
    </row>
    <row r="115" ht="16" customHeight="1" spans="1:20" x14ac:dyDescent="0.25">
      <c r="A115" s="189"/>
      <c r="B115" s="189"/>
      <c r="C115" s="189"/>
      <c r="D115" s="189"/>
      <c r="E115" s="189"/>
      <c r="F115" s="189"/>
      <c r="G115" s="189"/>
      <c r="H115" s="189"/>
      <c r="I115" s="190"/>
      <c r="J115" s="190"/>
      <c r="K115" s="190"/>
      <c r="L115" s="190"/>
      <c r="M115" s="190"/>
      <c r="N115" s="190"/>
      <c r="O115" s="190"/>
      <c r="P115" s="190"/>
      <c r="Q115" s="190"/>
      <c r="R115" s="190"/>
      <c r="S115" s="190"/>
      <c r="T115" s="190"/>
    </row>
    <row r="116" ht="16" customHeight="1" spans="1:20" x14ac:dyDescent="0.25">
      <c r="A116" s="189"/>
      <c r="B116" s="189"/>
      <c r="C116" s="189"/>
      <c r="D116" s="189"/>
      <c r="E116" s="189"/>
      <c r="F116" s="189"/>
      <c r="G116" s="189"/>
      <c r="H116" s="189"/>
      <c r="I116" s="190"/>
      <c r="J116" s="190"/>
      <c r="K116" s="190"/>
      <c r="L116" s="190"/>
      <c r="M116" s="190"/>
      <c r="N116" s="190"/>
      <c r="O116" s="190"/>
      <c r="P116" s="190"/>
      <c r="Q116" s="190"/>
      <c r="R116" s="190"/>
      <c r="S116" s="190"/>
      <c r="T116" s="190"/>
    </row>
    <row r="117" ht="16" customHeight="1" spans="1:20" x14ac:dyDescent="0.25">
      <c r="A117" s="189"/>
      <c r="B117" s="189"/>
      <c r="C117" s="189"/>
      <c r="D117" s="189"/>
      <c r="E117" s="189"/>
      <c r="F117" s="189"/>
      <c r="G117" s="189"/>
      <c r="H117" s="189"/>
      <c r="I117" s="190"/>
      <c r="J117" s="190"/>
      <c r="K117" s="190"/>
      <c r="L117" s="190"/>
      <c r="M117" s="190"/>
      <c r="N117" s="190"/>
      <c r="O117" s="190"/>
      <c r="P117" s="190"/>
      <c r="Q117" s="190"/>
      <c r="R117" s="190"/>
      <c r="S117" s="190"/>
      <c r="T117" s="190"/>
    </row>
    <row r="118" ht="16" customHeight="1" spans="1:20" x14ac:dyDescent="0.25">
      <c r="A118" s="189"/>
      <c r="B118" s="189"/>
      <c r="C118" s="189"/>
      <c r="D118" s="189"/>
      <c r="E118" s="189"/>
      <c r="F118" s="189"/>
      <c r="G118" s="189"/>
      <c r="H118" s="189"/>
      <c r="I118" s="190"/>
      <c r="J118" s="190"/>
      <c r="K118" s="190"/>
      <c r="L118" s="190"/>
      <c r="M118" s="190"/>
      <c r="N118" s="190"/>
      <c r="O118" s="190"/>
      <c r="P118" s="190"/>
      <c r="Q118" s="190"/>
      <c r="R118" s="190"/>
      <c r="S118" s="190"/>
      <c r="T118" s="190"/>
    </row>
    <row r="119" ht="16" customHeight="1" spans="1:20" x14ac:dyDescent="0.25">
      <c r="A119" s="189"/>
      <c r="B119" s="189"/>
      <c r="C119" s="189"/>
      <c r="D119" s="189"/>
      <c r="E119" s="189"/>
      <c r="F119" s="189"/>
      <c r="G119" s="189"/>
      <c r="H119" s="189"/>
      <c r="I119" s="190"/>
      <c r="J119" s="190"/>
      <c r="K119" s="190"/>
      <c r="L119" s="190"/>
      <c r="M119" s="190"/>
      <c r="N119" s="190"/>
      <c r="O119" s="190"/>
      <c r="P119" s="190"/>
      <c r="Q119" s="190"/>
      <c r="R119" s="190"/>
      <c r="S119" s="190"/>
      <c r="T119" s="190"/>
    </row>
    <row r="120" ht="16" customHeight="1" spans="1:20" x14ac:dyDescent="0.25">
      <c r="A120" s="189"/>
      <c r="B120" s="189"/>
      <c r="C120" s="189"/>
      <c r="D120" s="189"/>
      <c r="E120" s="189"/>
      <c r="F120" s="189"/>
      <c r="G120" s="189"/>
      <c r="H120" s="189"/>
      <c r="I120" s="190"/>
      <c r="J120" s="190"/>
      <c r="K120" s="190"/>
      <c r="L120" s="190"/>
      <c r="M120" s="190"/>
      <c r="N120" s="190"/>
      <c r="O120" s="190"/>
      <c r="P120" s="190"/>
      <c r="Q120" s="190"/>
      <c r="R120" s="190"/>
      <c r="S120" s="190"/>
      <c r="T120" s="190"/>
    </row>
    <row r="121" ht="16" customHeight="1" spans="1:20" x14ac:dyDescent="0.25">
      <c r="A121" s="189"/>
      <c r="B121" s="189"/>
      <c r="C121" s="189"/>
      <c r="D121" s="189"/>
      <c r="E121" s="189"/>
      <c r="F121" s="189"/>
      <c r="G121" s="189"/>
      <c r="H121" s="189"/>
      <c r="I121" s="190"/>
      <c r="J121" s="190"/>
      <c r="K121" s="190"/>
      <c r="L121" s="190"/>
      <c r="M121" s="190"/>
      <c r="N121" s="190"/>
      <c r="O121" s="190"/>
      <c r="P121" s="190"/>
      <c r="Q121" s="190"/>
      <c r="R121" s="190"/>
      <c r="S121" s="190"/>
      <c r="T121" s="190"/>
    </row>
    <row r="122" ht="16" customHeight="1" spans="1:20" x14ac:dyDescent="0.25">
      <c r="A122" s="189"/>
      <c r="B122" s="189"/>
      <c r="C122" s="189"/>
      <c r="D122" s="189"/>
      <c r="E122" s="189"/>
      <c r="F122" s="189"/>
      <c r="G122" s="189"/>
      <c r="H122" s="189"/>
      <c r="I122" s="190"/>
      <c r="J122" s="190"/>
      <c r="K122" s="190"/>
      <c r="L122" s="190"/>
      <c r="M122" s="190"/>
      <c r="N122" s="190"/>
      <c r="O122" s="190"/>
      <c r="P122" s="190"/>
      <c r="Q122" s="190"/>
      <c r="R122" s="190"/>
      <c r="S122" s="190"/>
      <c r="T122" s="190"/>
    </row>
    <row r="123" ht="16" customHeight="1" spans="1:20" x14ac:dyDescent="0.25">
      <c r="A123" s="189"/>
      <c r="B123" s="189"/>
      <c r="C123" s="189"/>
      <c r="D123" s="189"/>
      <c r="E123" s="189"/>
      <c r="F123" s="189"/>
      <c r="G123" s="189"/>
      <c r="H123" s="189"/>
      <c r="I123" s="190"/>
      <c r="J123" s="190"/>
      <c r="K123" s="190"/>
      <c r="L123" s="190"/>
      <c r="M123" s="190"/>
      <c r="N123" s="190"/>
      <c r="O123" s="190"/>
      <c r="P123" s="190"/>
      <c r="Q123" s="190"/>
      <c r="R123" s="190"/>
      <c r="S123" s="190"/>
      <c r="T123" s="190"/>
    </row>
    <row r="124" ht="16" customHeight="1" spans="1:20" x14ac:dyDescent="0.25">
      <c r="A124" s="189"/>
      <c r="B124" s="189"/>
      <c r="C124" s="189"/>
      <c r="D124" s="189"/>
      <c r="E124" s="189"/>
      <c r="F124" s="189"/>
      <c r="G124" s="189"/>
      <c r="H124" s="189"/>
      <c r="I124" s="190"/>
      <c r="J124" s="190"/>
      <c r="K124" s="190"/>
      <c r="L124" s="190"/>
      <c r="M124" s="190"/>
      <c r="N124" s="190"/>
      <c r="O124" s="190"/>
      <c r="P124" s="190"/>
      <c r="Q124" s="190"/>
      <c r="R124" s="190"/>
      <c r="S124" s="190"/>
      <c r="T124" s="190"/>
    </row>
    <row r="125" ht="16" customHeight="1" spans="1:20" x14ac:dyDescent="0.25">
      <c r="A125" s="189"/>
      <c r="B125" s="189"/>
      <c r="C125" s="189"/>
      <c r="D125" s="189"/>
      <c r="E125" s="189"/>
      <c r="F125" s="189"/>
      <c r="G125" s="189"/>
      <c r="H125" s="189"/>
      <c r="I125" s="190"/>
      <c r="J125" s="190"/>
      <c r="K125" s="190"/>
      <c r="L125" s="190"/>
      <c r="M125" s="190"/>
      <c r="N125" s="190"/>
      <c r="O125" s="190"/>
      <c r="P125" s="190"/>
      <c r="Q125" s="190"/>
      <c r="R125" s="190"/>
      <c r="S125" s="190"/>
      <c r="T125" s="190"/>
    </row>
    <row r="126" ht="16" customHeight="1" spans="1:20" x14ac:dyDescent="0.25">
      <c r="A126" s="189"/>
      <c r="B126" s="189"/>
      <c r="C126" s="189"/>
      <c r="D126" s="189"/>
      <c r="E126" s="189"/>
      <c r="F126" s="189"/>
      <c r="G126" s="189"/>
      <c r="H126" s="189"/>
      <c r="I126" s="190"/>
      <c r="J126" s="190"/>
      <c r="K126" s="190"/>
      <c r="L126" s="190"/>
      <c r="M126" s="190"/>
      <c r="N126" s="190"/>
      <c r="O126" s="190"/>
      <c r="P126" s="190"/>
      <c r="Q126" s="190"/>
      <c r="R126" s="190"/>
      <c r="S126" s="190"/>
      <c r="T126" s="190"/>
    </row>
    <row r="127" ht="16" customHeight="1" spans="1:20" x14ac:dyDescent="0.25">
      <c r="A127" s="189"/>
      <c r="B127" s="189"/>
      <c r="C127" s="189"/>
      <c r="D127" s="189"/>
      <c r="E127" s="189"/>
      <c r="F127" s="189"/>
      <c r="G127" s="189"/>
      <c r="H127" s="189"/>
      <c r="I127" s="190"/>
      <c r="J127" s="190"/>
      <c r="K127" s="190"/>
      <c r="L127" s="190"/>
      <c r="M127" s="190"/>
      <c r="N127" s="190"/>
      <c r="O127" s="190"/>
      <c r="P127" s="190"/>
      <c r="Q127" s="190"/>
      <c r="R127" s="190"/>
      <c r="S127" s="190"/>
      <c r="T127" s="190"/>
    </row>
    <row r="128" ht="16" customHeight="1" spans="1:20" x14ac:dyDescent="0.25">
      <c r="A128" s="189"/>
      <c r="B128" s="189"/>
      <c r="C128" s="189"/>
      <c r="D128" s="189"/>
      <c r="E128" s="189"/>
      <c r="F128" s="189"/>
      <c r="G128" s="189"/>
      <c r="H128" s="189"/>
      <c r="I128" s="190"/>
      <c r="J128" s="190"/>
      <c r="K128" s="190"/>
      <c r="L128" s="190"/>
      <c r="M128" s="190"/>
      <c r="N128" s="190"/>
      <c r="O128" s="190"/>
      <c r="P128" s="190"/>
      <c r="Q128" s="190"/>
      <c r="R128" s="190"/>
      <c r="S128" s="190"/>
      <c r="T128" s="190"/>
    </row>
    <row r="129" ht="16" customHeight="1" spans="1:20" x14ac:dyDescent="0.25">
      <c r="A129" s="189"/>
      <c r="B129" s="189"/>
      <c r="C129" s="189"/>
      <c r="D129" s="189"/>
      <c r="E129" s="189"/>
      <c r="F129" s="189"/>
      <c r="G129" s="189"/>
      <c r="H129" s="189"/>
      <c r="I129" s="190"/>
      <c r="J129" s="190"/>
      <c r="K129" s="190"/>
      <c r="L129" s="190"/>
      <c r="M129" s="190"/>
      <c r="N129" s="190"/>
      <c r="O129" s="190"/>
      <c r="P129" s="190"/>
      <c r="Q129" s="190"/>
      <c r="R129" s="190"/>
      <c r="S129" s="190"/>
      <c r="T129" s="190"/>
    </row>
    <row r="130" ht="16" customHeight="1" spans="1:20" x14ac:dyDescent="0.25">
      <c r="A130" s="189"/>
      <c r="B130" s="189"/>
      <c r="C130" s="189"/>
      <c r="D130" s="189"/>
      <c r="E130" s="189"/>
      <c r="F130" s="189"/>
      <c r="G130" s="189"/>
      <c r="H130" s="189"/>
      <c r="I130" s="190"/>
      <c r="J130" s="190"/>
      <c r="K130" s="190"/>
      <c r="L130" s="190"/>
      <c r="M130" s="190"/>
      <c r="N130" s="190"/>
      <c r="O130" s="190"/>
      <c r="P130" s="190"/>
      <c r="Q130" s="190"/>
      <c r="R130" s="190"/>
      <c r="S130" s="190"/>
      <c r="T130" s="190"/>
    </row>
    <row r="131" ht="16" customHeight="1" spans="1:20" x14ac:dyDescent="0.25">
      <c r="A131" s="189"/>
      <c r="B131" s="189"/>
      <c r="C131" s="189"/>
      <c r="D131" s="189"/>
      <c r="E131" s="189"/>
      <c r="F131" s="189"/>
      <c r="G131" s="189"/>
      <c r="H131" s="189"/>
      <c r="I131" s="190"/>
      <c r="J131" s="190"/>
      <c r="K131" s="190"/>
      <c r="L131" s="190"/>
      <c r="M131" s="190"/>
      <c r="N131" s="190"/>
      <c r="O131" s="190"/>
      <c r="P131" s="190"/>
      <c r="Q131" s="190"/>
      <c r="R131" s="190"/>
      <c r="S131" s="190"/>
      <c r="T131" s="190"/>
    </row>
    <row r="132" ht="16" customHeight="1" spans="1:20" x14ac:dyDescent="0.25">
      <c r="A132" s="189"/>
      <c r="B132" s="189"/>
      <c r="C132" s="189"/>
      <c r="D132" s="189"/>
      <c r="E132" s="189"/>
      <c r="F132" s="189"/>
      <c r="G132" s="189"/>
      <c r="H132" s="189"/>
      <c r="I132" s="190"/>
      <c r="J132" s="190"/>
      <c r="K132" s="190"/>
      <c r="L132" s="190"/>
      <c r="M132" s="190"/>
      <c r="N132" s="190"/>
      <c r="O132" s="190"/>
      <c r="P132" s="190"/>
      <c r="Q132" s="190"/>
      <c r="R132" s="190"/>
      <c r="S132" s="190"/>
      <c r="T132" s="190"/>
    </row>
    <row r="133" ht="16" customHeight="1" spans="1:20" x14ac:dyDescent="0.25">
      <c r="A133" s="189"/>
      <c r="B133" s="189"/>
      <c r="C133" s="189"/>
      <c r="D133" s="189"/>
      <c r="E133" s="189"/>
      <c r="F133" s="189"/>
      <c r="G133" s="189"/>
      <c r="H133" s="189"/>
      <c r="I133" s="190"/>
      <c r="J133" s="190"/>
      <c r="K133" s="190"/>
      <c r="L133" s="190"/>
      <c r="M133" s="190"/>
      <c r="N133" s="190"/>
      <c r="O133" s="190"/>
      <c r="P133" s="190"/>
      <c r="Q133" s="190"/>
      <c r="R133" s="190"/>
      <c r="S133" s="190"/>
      <c r="T133" s="190"/>
    </row>
    <row r="134" ht="16" customHeight="1" spans="1:20" x14ac:dyDescent="0.25">
      <c r="A134" s="189"/>
      <c r="B134" s="189"/>
      <c r="C134" s="189"/>
      <c r="D134" s="189"/>
      <c r="E134" s="189"/>
      <c r="F134" s="189"/>
      <c r="G134" s="189"/>
      <c r="H134" s="189"/>
      <c r="I134" s="190"/>
      <c r="J134" s="190"/>
      <c r="K134" s="190"/>
      <c r="L134" s="190"/>
      <c r="M134" s="190"/>
      <c r="N134" s="190"/>
      <c r="O134" s="190"/>
      <c r="P134" s="190"/>
      <c r="Q134" s="190"/>
      <c r="R134" s="190"/>
      <c r="S134" s="190"/>
      <c r="T134" s="190"/>
    </row>
    <row r="135" ht="16" customHeight="1" spans="1:20" x14ac:dyDescent="0.25">
      <c r="A135" s="189"/>
      <c r="B135" s="189"/>
      <c r="C135" s="189"/>
      <c r="D135" s="189"/>
      <c r="E135" s="189"/>
      <c r="F135" s="189"/>
      <c r="G135" s="189"/>
      <c r="H135" s="189"/>
      <c r="I135" s="190"/>
      <c r="J135" s="190"/>
      <c r="K135" s="190"/>
      <c r="L135" s="190"/>
      <c r="M135" s="190"/>
      <c r="N135" s="190"/>
      <c r="O135" s="190"/>
      <c r="P135" s="190"/>
      <c r="Q135" s="190"/>
      <c r="R135" s="190"/>
      <c r="S135" s="190"/>
      <c r="T135" s="190"/>
    </row>
    <row r="136" ht="16" customHeight="1" spans="1:20" x14ac:dyDescent="0.25">
      <c r="A136" s="189"/>
      <c r="B136" s="189"/>
      <c r="C136" s="189"/>
      <c r="D136" s="189"/>
      <c r="E136" s="189"/>
      <c r="F136" s="189"/>
      <c r="G136" s="189"/>
      <c r="H136" s="189"/>
      <c r="I136" s="190"/>
      <c r="J136" s="190"/>
      <c r="K136" s="190"/>
      <c r="L136" s="190"/>
      <c r="M136" s="190"/>
      <c r="N136" s="190"/>
      <c r="O136" s="190"/>
      <c r="P136" s="190"/>
      <c r="Q136" s="190"/>
      <c r="R136" s="190"/>
      <c r="S136" s="190"/>
      <c r="T136" s="190"/>
    </row>
    <row r="137" ht="16" customHeight="1" spans="1:20" x14ac:dyDescent="0.25">
      <c r="A137" s="189"/>
      <c r="B137" s="189"/>
      <c r="C137" s="189"/>
      <c r="D137" s="189"/>
      <c r="E137" s="189"/>
      <c r="F137" s="189"/>
      <c r="G137" s="189"/>
      <c r="H137" s="189"/>
      <c r="I137" s="190"/>
      <c r="J137" s="190"/>
      <c r="K137" s="190"/>
      <c r="L137" s="190"/>
      <c r="M137" s="190"/>
      <c r="N137" s="190"/>
      <c r="O137" s="190"/>
      <c r="P137" s="190"/>
      <c r="Q137" s="190"/>
      <c r="R137" s="190"/>
      <c r="S137" s="190"/>
      <c r="T137" s="190"/>
    </row>
    <row r="138" ht="16" customHeight="1" spans="1:20" x14ac:dyDescent="0.25">
      <c r="A138" s="189"/>
      <c r="B138" s="189"/>
      <c r="C138" s="189"/>
      <c r="D138" s="189"/>
      <c r="E138" s="189"/>
      <c r="F138" s="189"/>
      <c r="G138" s="189"/>
      <c r="H138" s="189"/>
      <c r="I138" s="190"/>
      <c r="J138" s="190"/>
      <c r="K138" s="190"/>
      <c r="L138" s="190"/>
      <c r="M138" s="190"/>
      <c r="N138" s="190"/>
      <c r="O138" s="190"/>
      <c r="P138" s="190"/>
      <c r="Q138" s="190"/>
      <c r="R138" s="190"/>
      <c r="S138" s="190"/>
      <c r="T138" s="190"/>
    </row>
    <row r="139" ht="16" customHeight="1" spans="1:20" x14ac:dyDescent="0.25">
      <c r="A139" s="189"/>
      <c r="B139" s="189"/>
      <c r="C139" s="189"/>
      <c r="D139" s="189"/>
      <c r="E139" s="189"/>
      <c r="F139" s="189"/>
      <c r="G139" s="189"/>
      <c r="H139" s="189"/>
      <c r="I139" s="190"/>
      <c r="J139" s="190"/>
      <c r="K139" s="190"/>
      <c r="L139" s="190"/>
      <c r="M139" s="190"/>
      <c r="N139" s="190"/>
      <c r="O139" s="190"/>
      <c r="P139" s="190"/>
      <c r="Q139" s="190"/>
      <c r="R139" s="190"/>
      <c r="S139" s="190"/>
      <c r="T139" s="190"/>
    </row>
    <row r="140" ht="16" customHeight="1" spans="1:20" x14ac:dyDescent="0.25">
      <c r="A140" s="189"/>
      <c r="B140" s="189"/>
      <c r="C140" s="189"/>
      <c r="D140" s="189"/>
      <c r="E140" s="189"/>
      <c r="F140" s="189"/>
      <c r="G140" s="189"/>
      <c r="H140" s="189"/>
      <c r="I140" s="190"/>
      <c r="J140" s="190"/>
      <c r="K140" s="190"/>
      <c r="L140" s="190"/>
      <c r="M140" s="190"/>
      <c r="N140" s="190"/>
      <c r="O140" s="190"/>
      <c r="P140" s="190"/>
      <c r="Q140" s="190"/>
      <c r="R140" s="190"/>
      <c r="S140" s="190"/>
      <c r="T140" s="190"/>
    </row>
    <row r="141" ht="16" customHeight="1" spans="1:20" x14ac:dyDescent="0.25">
      <c r="A141" s="189"/>
      <c r="B141" s="189"/>
      <c r="C141" s="189"/>
      <c r="D141" s="189"/>
      <c r="E141" s="189"/>
      <c r="F141" s="189"/>
      <c r="G141" s="189"/>
      <c r="H141" s="189"/>
      <c r="I141" s="190"/>
      <c r="J141" s="190"/>
      <c r="K141" s="190"/>
      <c r="L141" s="190"/>
      <c r="M141" s="190"/>
      <c r="N141" s="190"/>
      <c r="O141" s="190"/>
      <c r="P141" s="190"/>
      <c r="Q141" s="190"/>
      <c r="R141" s="190"/>
      <c r="S141" s="190"/>
      <c r="T141" s="190"/>
    </row>
    <row r="142" ht="16" customHeight="1" spans="1:20" x14ac:dyDescent="0.25">
      <c r="A142" s="189"/>
      <c r="B142" s="189"/>
      <c r="C142" s="189"/>
      <c r="D142" s="189"/>
      <c r="E142" s="189"/>
      <c r="F142" s="189"/>
      <c r="G142" s="189"/>
      <c r="H142" s="189"/>
      <c r="I142" s="190"/>
      <c r="J142" s="190"/>
      <c r="K142" s="190"/>
      <c r="L142" s="190"/>
      <c r="M142" s="190"/>
      <c r="N142" s="190"/>
      <c r="O142" s="190"/>
      <c r="P142" s="190"/>
      <c r="Q142" s="190"/>
      <c r="R142" s="190"/>
      <c r="S142" s="190"/>
      <c r="T142" s="190"/>
    </row>
    <row r="143" ht="16" customHeight="1" spans="1:20" x14ac:dyDescent="0.25">
      <c r="A143" s="189"/>
      <c r="B143" s="189"/>
      <c r="C143" s="189"/>
      <c r="D143" s="189"/>
      <c r="E143" s="189"/>
      <c r="F143" s="189"/>
      <c r="G143" s="189"/>
      <c r="H143" s="189"/>
      <c r="I143" s="190"/>
      <c r="J143" s="190"/>
      <c r="K143" s="190"/>
      <c r="L143" s="190"/>
      <c r="M143" s="190"/>
      <c r="N143" s="190"/>
      <c r="O143" s="190"/>
      <c r="P143" s="190"/>
      <c r="Q143" s="190"/>
      <c r="R143" s="190"/>
      <c r="S143" s="190"/>
      <c r="T143" s="190"/>
    </row>
    <row r="144" ht="16" customHeight="1" spans="1:20" x14ac:dyDescent="0.25">
      <c r="A144" s="189"/>
      <c r="B144" s="189"/>
      <c r="C144" s="189"/>
      <c r="D144" s="189"/>
      <c r="E144" s="189"/>
      <c r="F144" s="189"/>
      <c r="G144" s="189"/>
      <c r="H144" s="189"/>
      <c r="I144" s="190"/>
      <c r="J144" s="190"/>
      <c r="K144" s="190"/>
      <c r="L144" s="190"/>
      <c r="M144" s="190"/>
      <c r="N144" s="190"/>
      <c r="O144" s="190"/>
      <c r="P144" s="190"/>
      <c r="Q144" s="190"/>
      <c r="R144" s="190"/>
      <c r="S144" s="190"/>
      <c r="T144" s="190"/>
    </row>
    <row r="145" spans="1:8" x14ac:dyDescent="0.25">
      <c r="A145" s="189"/>
      <c r="B145" s="189"/>
      <c r="C145" s="189"/>
      <c r="D145" s="189"/>
      <c r="E145" s="189"/>
      <c r="F145" s="189"/>
      <c r="G145" s="189"/>
      <c r="H145" s="189"/>
    </row>
  </sheetData>
  <mergeCells count="1">
    <mergeCell ref="S2:S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T17"/>
  <sheetViews>
    <sheetView workbookViewId="0" showGridLines="0" zoomScale="100" zoomScaleNormal="100">
      <selection activeCell="L12" sqref="L12"/>
    </sheetView>
  </sheetViews>
  <sheetFormatPr defaultRowHeight="15" outlineLevelRow="0" outlineLevelCol="0" x14ac:dyDescent="0.2"/>
  <cols>
    <col min="1" max="3" hidden="1" customWidth="1"/>
    <col min="4" max="4" width="16.83203125" customWidth="1"/>
    <col min="6" max="6" width="68.83203125" customWidth="1"/>
    <col min="7" max="18" width="13.5" customWidth="1"/>
  </cols>
  <sheetData>
    <row r="1" ht="80" customHeight="1" spans="1:19" s="40" customFormat="1" x14ac:dyDescent="0.25">
      <c r="A1" s="41"/>
      <c r="B1" s="42"/>
      <c r="C1" s="42"/>
      <c r="D1" s="41" t="s">
        <v>2285</v>
      </c>
      <c r="E1" s="43"/>
      <c r="F1" s="44"/>
      <c r="G1" s="44"/>
      <c r="H1" s="43"/>
      <c r="I1" s="43"/>
      <c r="J1" s="43"/>
      <c r="K1" s="43"/>
      <c r="L1" s="43"/>
      <c r="M1" s="43"/>
      <c r="N1" s="43"/>
      <c r="O1" s="43"/>
      <c r="P1" s="43"/>
      <c r="Q1" s="43"/>
      <c r="R1" s="43"/>
      <c r="S1" s="43"/>
    </row>
    <row r="2" hidden="1" spans="1:19" x14ac:dyDescent="0.25">
      <c r="A2" s="215"/>
      <c r="B2" s="177"/>
      <c r="C2" s="177"/>
      <c r="D2" s="177"/>
      <c r="E2" s="177"/>
      <c r="F2" s="177"/>
      <c r="G2" s="178" t="s">
        <v>2239</v>
      </c>
      <c r="H2" s="178" t="s">
        <v>2239</v>
      </c>
      <c r="I2" s="178" t="s">
        <v>2239</v>
      </c>
      <c r="J2" s="178"/>
      <c r="K2" s="178"/>
      <c r="L2" s="178" t="s">
        <v>2239</v>
      </c>
      <c r="M2" s="178"/>
      <c r="N2" s="178"/>
      <c r="O2" s="178" t="s">
        <v>2239</v>
      </c>
      <c r="P2" s="178" t="s">
        <v>2239</v>
      </c>
      <c r="Q2" s="178" t="s">
        <v>2239</v>
      </c>
      <c r="R2" s="178" t="s">
        <v>2239</v>
      </c>
      <c r="S2" s="179" t="s">
        <v>2246</v>
      </c>
    </row>
    <row r="3" hidden="1" spans="1:19" x14ac:dyDescent="0.25">
      <c r="A3" s="215"/>
      <c r="B3" s="177"/>
      <c r="C3" s="177"/>
      <c r="D3" s="177"/>
      <c r="E3" s="177"/>
      <c r="F3" s="177"/>
      <c r="G3" s="178" t="s">
        <v>2247</v>
      </c>
      <c r="H3" s="178" t="s">
        <v>2248</v>
      </c>
      <c r="I3" s="178" t="s">
        <v>2249</v>
      </c>
      <c r="J3" s="178"/>
      <c r="K3" s="178"/>
      <c r="L3" s="178" t="s">
        <v>2250</v>
      </c>
      <c r="M3" s="178"/>
      <c r="N3" s="178"/>
      <c r="O3" s="178" t="s">
        <v>2251</v>
      </c>
      <c r="P3" s="178" t="s">
        <v>2252</v>
      </c>
      <c r="Q3" s="178" t="s">
        <v>2253</v>
      </c>
      <c r="R3" s="178" t="s">
        <v>2254</v>
      </c>
      <c r="S3" s="179"/>
    </row>
    <row r="4" ht="36" customHeight="1" spans="1:19" x14ac:dyDescent="0.25">
      <c r="A4" s="216"/>
      <c r="B4" s="182" t="s">
        <v>2114</v>
      </c>
      <c r="C4" s="182" t="s">
        <v>2115</v>
      </c>
      <c r="D4" s="182" t="s">
        <v>37</v>
      </c>
      <c r="E4" s="182" t="s">
        <v>2255</v>
      </c>
      <c r="F4" s="182" t="s">
        <v>2117</v>
      </c>
      <c r="G4" s="178" t="s">
        <v>2256</v>
      </c>
      <c r="H4" s="178" t="s">
        <v>2257</v>
      </c>
      <c r="I4" s="178" t="s">
        <v>2258</v>
      </c>
      <c r="J4" s="178" t="s">
        <v>2259</v>
      </c>
      <c r="K4" s="178" t="s">
        <v>2260</v>
      </c>
      <c r="L4" s="178" t="s">
        <v>2261</v>
      </c>
      <c r="M4" s="178" t="s">
        <v>2262</v>
      </c>
      <c r="N4" s="178" t="s">
        <v>2263</v>
      </c>
      <c r="O4" s="178" t="s">
        <v>2264</v>
      </c>
      <c r="P4" s="178" t="s">
        <v>2265</v>
      </c>
      <c r="Q4" s="178" t="s">
        <v>2266</v>
      </c>
      <c r="R4" s="178" t="s">
        <v>2267</v>
      </c>
      <c r="S4" s="179"/>
    </row>
    <row r="5" spans="1:19" x14ac:dyDescent="0.25">
      <c r="A5" s="183" t="s">
        <v>2268</v>
      </c>
      <c r="B5" s="184"/>
      <c r="C5" s="184"/>
      <c r="D5" s="217" t="s">
        <v>151</v>
      </c>
      <c r="E5" s="184" t="s">
        <v>2165</v>
      </c>
      <c r="F5" s="218" t="s">
        <v>2166</v>
      </c>
      <c r="G5" s="219">
        <f>IF(ISBLANK(ETPT_ATTJ!G5),"",IF(ISERROR(ETPT_ATTJ!G5),"",IF(ETPT_ATTJ!G5=0,"",ETPT_ATTJ!G5)))</f>
      </c>
      <c r="H5" s="219">
        <f>IF(ISBLANK(ETPT_ATTJ!H5),"",IF(ISERROR(ETPT_ATTJ!H5),"",IF(ETPT_ATTJ!H5=0,"",ETPT_ATTJ!H5)))</f>
      </c>
      <c r="I5" s="219">
        <f>IF(ISBLANK(ETPT_ATTJ!I5),"",IF(ISERROR(ETPT_ATTJ!I5),"",IF(ETPT_ATTJ!I5=0,"",ETPT_ATTJ!I5)))</f>
      </c>
      <c r="J5" s="219"/>
      <c r="K5" s="219"/>
      <c r="L5" s="219">
        <f>IF(ISBLANK(ETPT_ATTJ!L5),"",IF(ISERROR(ETPT_ATTJ!L5),"",IF(ETPT_ATTJ!L5=0,"",ETPT_ATTJ!L5)))</f>
      </c>
      <c r="M5" s="219"/>
      <c r="N5" s="219"/>
      <c r="O5" s="219">
        <f>IF(ISBLANK(ETPT_ATTJ!O5),"",IF(ISERROR(ETPT_ATTJ!O5),"",IF(ETPT_ATTJ!O5=0,"",ETPT_ATTJ!O5)))</f>
      </c>
      <c r="P5" s="219">
        <f>IF(ISBLANK(ETPT_ATTJ!P5),"",IF(ISERROR(ETPT_ATTJ!P5),"",IF(ETPT_ATTJ!P5=0,"",ETPT_ATTJ!P5)))</f>
      </c>
      <c r="Q5" s="219">
        <f>IF(ISBLANK(ETPT_ATTJ!Q5),"",IF(ISERROR(ETPT_ATTJ!Q5),"",IF(ETPT_ATTJ!Q5=0,"",ETPT_ATTJ!Q5)))</f>
      </c>
      <c r="R5" s="219">
        <f>IF(ISBLANK(ETPT_ATTJ!R5),"",IF(ISERROR(ETPT_ATTJ!R5),"",IF(ETPT_ATTJ!R5=0,"",ETPT_ATTJ!R5)))</f>
      </c>
      <c r="S5" s="220">
        <f>ETPT_ATTJ!S5</f>
        <v>0</v>
      </c>
    </row>
    <row r="6" spans="1:19" x14ac:dyDescent="0.25">
      <c r="A6" s="183" t="s">
        <v>2268</v>
      </c>
      <c r="B6" s="184"/>
      <c r="C6" s="184"/>
      <c r="D6" s="207">
        <f>$D$5</f>
        <v>0</v>
      </c>
      <c r="E6" s="184" t="s">
        <v>2167</v>
      </c>
      <c r="F6" s="218" t="s">
        <v>2168</v>
      </c>
      <c r="G6" s="219">
        <f>IF(ISBLANK(ETPT_ATTJ!G6),"",IF(ISERROR(ETPT_ATTJ!G6),"",IF(ETPT_ATTJ!G6=0,"",ETPT_ATTJ!G6)))</f>
      </c>
      <c r="H6" s="219">
        <f>IF(ISBLANK(ETPT_ATTJ!H6),"",IF(ISERROR(ETPT_ATTJ!H6),"",IF(ETPT_ATTJ!H6=0,"",ETPT_ATTJ!H6)))</f>
      </c>
      <c r="I6" s="219">
        <f>IF(ISBLANK(ETPT_ATTJ!I6),"",IF(ISERROR(ETPT_ATTJ!I6),"",IF(ETPT_ATTJ!I6=0,"",ETPT_ATTJ!I6)))</f>
      </c>
      <c r="J6" s="219">
        <f>IF(ISBLANK(ETPT_ATTJ!J6),"",IF(ISERROR(ETPT_ATTJ!J6),"",IF(ETPT_ATTJ!J6=0,"",ETPT_ATTJ!J6)))</f>
      </c>
      <c r="K6" s="219">
        <f>IF(ISBLANK(ETPT_ATTJ!K6),"",IF(ISERROR(ETPT_ATTJ!K6),"",IF(ETPT_ATTJ!K6=0,"",ETPT_ATTJ!K6)))</f>
      </c>
      <c r="L6" s="219">
        <f>IF(ISBLANK(ETPT_ATTJ!L6),"",IF(ISERROR(ETPT_ATTJ!L6),"",IF(ETPT_ATTJ!L6=0,"",ETPT_ATTJ!L6)))</f>
      </c>
      <c r="M6" s="219"/>
      <c r="N6" s="219"/>
      <c r="O6" s="219">
        <f>IF(ISBLANK(ETPT_ATTJ!O6),"",IF(ISERROR(ETPT_ATTJ!O6),"",IF(ETPT_ATTJ!O6=0,"",ETPT_ATTJ!O6)))</f>
      </c>
      <c r="P6" s="219">
        <f>IF(ISBLANK(ETPT_ATTJ!P6),"",IF(ISERROR(ETPT_ATTJ!P6),"",IF(ETPT_ATTJ!P6=0,"",ETPT_ATTJ!P6)))</f>
      </c>
      <c r="Q6" s="219">
        <f>IF(ISBLANK(ETPT_ATTJ!Q6),"",IF(ISERROR(ETPT_ATTJ!Q6),"",IF(ETPT_ATTJ!Q6=0,"",ETPT_ATTJ!Q6)))</f>
      </c>
      <c r="R6" s="219">
        <f>IF(ISBLANK(ETPT_ATTJ!R6),"",IF(ISERROR(ETPT_ATTJ!R6),"",IF(ETPT_ATTJ!R6=0,"",ETPT_ATTJ!R6)))</f>
      </c>
      <c r="S6" s="220">
        <f>ETPT_ATTJ!S6</f>
        <v>0</v>
      </c>
    </row>
    <row r="7" spans="1:19" x14ac:dyDescent="0.25">
      <c r="A7" s="183" t="s">
        <v>2268</v>
      </c>
      <c r="B7" s="184"/>
      <c r="C7" s="184"/>
      <c r="D7" s="207">
        <f t="shared" ref="D7:D12" si="0">$D$5</f>
        <v>0</v>
      </c>
      <c r="E7" s="184" t="s">
        <v>2174</v>
      </c>
      <c r="F7" s="218" t="s">
        <v>2175</v>
      </c>
      <c r="G7" s="219">
        <f>IF(ISBLANK(ETPT_ATTJ!G7),"",IF(ISERROR(ETPT_ATTJ!G7),"",IF(ETPT_ATTJ!G7=0,"",ETPT_ATTJ!G7)))</f>
      </c>
      <c r="H7" s="219">
        <f>IF(ISBLANK(ETPT_ATTJ!H7),"",IF(ISERROR(ETPT_ATTJ!H7),"",IF(ETPT_ATTJ!H7=0,"",ETPT_ATTJ!H7)))</f>
      </c>
      <c r="I7" s="219">
        <f>IF(ISBLANK(ETPT_ATTJ!I7),"",IF(ISERROR(ETPT_ATTJ!I7),"",IF(ETPT_ATTJ!I7=0,"",ETPT_ATTJ!I7)))</f>
      </c>
      <c r="J7" s="219">
        <f>IF(ISBLANK(ETPT_ATTJ!J7),"",IF(ISERROR(ETPT_ATTJ!J7),"",IF(ETPT_ATTJ!J7=0,"",ETPT_ATTJ!J7)))</f>
      </c>
      <c r="K7" s="219">
        <f>IF(ISBLANK(ETPT_ATTJ!K7),"",IF(ISERROR(ETPT_ATTJ!K7),"",IF(ETPT_ATTJ!K7=0,"",ETPT_ATTJ!K7)))</f>
      </c>
      <c r="L7" s="219">
        <f>IF(ISBLANK(ETPT_ATTJ!L7),"",IF(ISERROR(ETPT_ATTJ!L7),"",IF(ETPT_ATTJ!L7=0,"",ETPT_ATTJ!L7)))</f>
      </c>
      <c r="M7" s="219"/>
      <c r="N7" s="219"/>
      <c r="O7" s="219">
        <f>IF(ISBLANK(ETPT_ATTJ!O7),"",IF(ISERROR(ETPT_ATTJ!O7),"",IF(ETPT_ATTJ!O7=0,"",ETPT_ATTJ!O7)))</f>
      </c>
      <c r="P7" s="219">
        <f>IF(ISBLANK(ETPT_ATTJ!P7),"",IF(ISERROR(ETPT_ATTJ!P7),"",IF(ETPT_ATTJ!P7=0,"",ETPT_ATTJ!P7)))</f>
      </c>
      <c r="Q7" s="219">
        <f>IF(ISBLANK(ETPT_ATTJ!Q7),"",IF(ISERROR(ETPT_ATTJ!Q7),"",IF(ETPT_ATTJ!Q7=0,"",ETPT_ATTJ!Q7)))</f>
      </c>
      <c r="R7" s="219">
        <f>IF(ISBLANK(ETPT_ATTJ!R7),"",IF(ISERROR(ETPT_ATTJ!R7),"",IF(ETPT_ATTJ!R7=0,"",ETPT_ATTJ!R7)))</f>
      </c>
      <c r="S7" s="220">
        <f>ETPT_ATTJ!S7</f>
        <v>0</v>
      </c>
    </row>
    <row r="8" spans="1:19" x14ac:dyDescent="0.25">
      <c r="A8" s="183" t="s">
        <v>2268</v>
      </c>
      <c r="B8" s="184"/>
      <c r="C8" s="184"/>
      <c r="D8" s="207">
        <f t="shared" si="0"/>
        <v>0</v>
      </c>
      <c r="E8" s="184" t="s">
        <v>2176</v>
      </c>
      <c r="F8" s="218" t="s">
        <v>2177</v>
      </c>
      <c r="G8" s="219">
        <f>IF(ISBLANK(ETPT_ATTJ!G8),"",IF(ISERROR(ETPT_ATTJ!G8),"",IF(ETPT_ATTJ!G8=0,"",ETPT_ATTJ!G8)))</f>
      </c>
      <c r="H8" s="219">
        <f>IF(ISBLANK(ETPT_ATTJ!H8),"",IF(ISERROR(ETPT_ATTJ!H8),"",IF(ETPT_ATTJ!H8=0,"",ETPT_ATTJ!H8)))</f>
      </c>
      <c r="I8" s="219">
        <f>IF(ISBLANK(ETPT_ATTJ!I8),"",IF(ISERROR(ETPT_ATTJ!I8),"",IF(ETPT_ATTJ!I8=0,"",ETPT_ATTJ!I8)))</f>
      </c>
      <c r="J8" s="219">
        <f>IF(ISBLANK(ETPT_ATTJ!J8),"",IF(ISERROR(ETPT_ATTJ!J8),"",IF(ETPT_ATTJ!J8=0,"",ETPT_ATTJ!J8)))</f>
      </c>
      <c r="K8" s="219">
        <f>IF(ISBLANK(ETPT_ATTJ!K8),"",IF(ISERROR(ETPT_ATTJ!K8),"",IF(ETPT_ATTJ!K8=0,"",ETPT_ATTJ!K8)))</f>
      </c>
      <c r="L8" s="219">
        <f>IF(ISBLANK(ETPT_ATTJ!L8),"",IF(ISERROR(ETPT_ATTJ!L8),"",IF(ETPT_ATTJ!L8=0,"",ETPT_ATTJ!L8)))</f>
      </c>
      <c r="M8" s="219"/>
      <c r="N8" s="219"/>
      <c r="O8" s="219">
        <f>IF(ISBLANK(ETPT_ATTJ!O8),"",IF(ISERROR(ETPT_ATTJ!O8),"",IF(ETPT_ATTJ!O8=0,"",ETPT_ATTJ!O8)))</f>
      </c>
      <c r="P8" s="219">
        <f>IF(ISBLANK(ETPT_ATTJ!P8),"",IF(ISERROR(ETPT_ATTJ!P8),"",IF(ETPT_ATTJ!P8=0,"",ETPT_ATTJ!P8)))</f>
      </c>
      <c r="Q8" s="219">
        <f>IF(ISBLANK(ETPT_ATTJ!Q8),"",IF(ISERROR(ETPT_ATTJ!Q8),"",IF(ETPT_ATTJ!Q8=0,"",ETPT_ATTJ!Q8)))</f>
      </c>
      <c r="R8" s="219">
        <f>IF(ISBLANK(ETPT_ATTJ!R8),"",IF(ISERROR(ETPT_ATTJ!R8),"",IF(ETPT_ATTJ!R8=0,"",ETPT_ATTJ!R8)))</f>
      </c>
      <c r="S8" s="220">
        <f>ETPT_ATTJ!S8</f>
        <v>0</v>
      </c>
    </row>
    <row r="9" spans="1:19" x14ac:dyDescent="0.25">
      <c r="A9" s="183" t="s">
        <v>2268</v>
      </c>
      <c r="B9" s="184"/>
      <c r="C9" s="184"/>
      <c r="D9" s="207">
        <f t="shared" si="0"/>
        <v>0</v>
      </c>
      <c r="E9" s="184" t="s">
        <v>2178</v>
      </c>
      <c r="F9" s="218" t="s">
        <v>2179</v>
      </c>
      <c r="G9" s="219">
        <f>IF(ISBLANK(ETPT_ATTJ!G9),"",IF(ISERROR(ETPT_ATTJ!G9),"",IF(ETPT_ATTJ!G9=0,"",ETPT_ATTJ!G9)))</f>
      </c>
      <c r="H9" s="219">
        <f>IF(ISBLANK(ETPT_ATTJ!H9),"",IF(ISERROR(ETPT_ATTJ!H9),"",IF(ETPT_ATTJ!H9=0,"",ETPT_ATTJ!H9)))</f>
      </c>
      <c r="I9" s="219">
        <f>IF(ISBLANK(ETPT_ATTJ!I9),"",IF(ISERROR(ETPT_ATTJ!I9),"",IF(ETPT_ATTJ!I9=0,"",ETPT_ATTJ!I9)))</f>
      </c>
      <c r="J9" s="219">
        <f>IF(ISBLANK(ETPT_ATTJ!J9),"",IF(ISERROR(ETPT_ATTJ!J9),"",IF(ETPT_ATTJ!J9=0,"",ETPT_ATTJ!J9)))</f>
      </c>
      <c r="K9" s="219">
        <f>IF(ISBLANK(ETPT_ATTJ!K9),"",IF(ISERROR(ETPT_ATTJ!K9),"",IF(ETPT_ATTJ!K9=0,"",ETPT_ATTJ!K9)))</f>
      </c>
      <c r="L9" s="219">
        <f>IF(ISBLANK(ETPT_ATTJ!L9),"",IF(ISERROR(ETPT_ATTJ!L9),"",IF(ETPT_ATTJ!L9=0,"",ETPT_ATTJ!L9)))</f>
      </c>
      <c r="M9" s="219"/>
      <c r="N9" s="219"/>
      <c r="O9" s="219">
        <f>IF(ISBLANK(ETPT_ATTJ!O9),"",IF(ISERROR(ETPT_ATTJ!O9),"",IF(ETPT_ATTJ!O9=0,"",ETPT_ATTJ!O9)))</f>
      </c>
      <c r="P9" s="219">
        <f>IF(ISBLANK(ETPT_ATTJ!P9),"",IF(ISERROR(ETPT_ATTJ!P9),"",IF(ETPT_ATTJ!P9=0,"",ETPT_ATTJ!P9)))</f>
      </c>
      <c r="Q9" s="219">
        <f>IF(ISBLANK(ETPT_ATTJ!Q9),"",IF(ISERROR(ETPT_ATTJ!Q9),"",IF(ETPT_ATTJ!Q9=0,"",ETPT_ATTJ!Q9)))</f>
      </c>
      <c r="R9" s="219">
        <f>IF(ISBLANK(ETPT_ATTJ!R9),"",IF(ISERROR(ETPT_ATTJ!R9),"",IF(ETPT_ATTJ!R9=0,"",ETPT_ATTJ!R9)))</f>
      </c>
      <c r="S9" s="220">
        <f>ETPT_ATTJ!S9</f>
        <v>0</v>
      </c>
    </row>
    <row r="10" spans="1:19" x14ac:dyDescent="0.25">
      <c r="A10" s="183" t="s">
        <v>2268</v>
      </c>
      <c r="B10" s="184"/>
      <c r="C10" s="184"/>
      <c r="D10" s="207">
        <f t="shared" si="0"/>
        <v>0</v>
      </c>
      <c r="E10" s="184" t="s">
        <v>2180</v>
      </c>
      <c r="F10" s="218" t="s">
        <v>2181</v>
      </c>
      <c r="G10" s="219">
        <f>IF(ISBLANK(ETPT_ATTJ!G10),"",IF(ISERROR(ETPT_ATTJ!G10),"",IF(ETPT_ATTJ!G10=0,"",ETPT_ATTJ!G10)))</f>
      </c>
      <c r="H10" s="219">
        <f>IF(ISBLANK(ETPT_ATTJ!H10),"",IF(ISERROR(ETPT_ATTJ!H10),"",IF(ETPT_ATTJ!H10=0,"",ETPT_ATTJ!H10)))</f>
      </c>
      <c r="I10" s="219">
        <f>IF(ISBLANK(ETPT_ATTJ!I10),"",IF(ISERROR(ETPT_ATTJ!I10),"",IF(ETPT_ATTJ!I10=0,"",ETPT_ATTJ!I10)))</f>
      </c>
      <c r="J10" s="219">
        <f>IF(ISBLANK(ETPT_ATTJ!J10),"",IF(ISERROR(ETPT_ATTJ!J10),"",IF(ETPT_ATTJ!J10=0,"",ETPT_ATTJ!J10)))</f>
      </c>
      <c r="K10" s="219">
        <f>IF(ISBLANK(ETPT_ATTJ!K10),"",IF(ISERROR(ETPT_ATTJ!K10),"",IF(ETPT_ATTJ!K10=0,"",ETPT_ATTJ!K10)))</f>
      </c>
      <c r="L10" s="219">
        <f>IF(ISBLANK(ETPT_ATTJ!L10),"",IF(ISERROR(ETPT_ATTJ!L10),"",IF(ETPT_ATTJ!L10=0,"",ETPT_ATTJ!L10)))</f>
      </c>
      <c r="M10" s="219"/>
      <c r="N10" s="219"/>
      <c r="O10" s="219">
        <f>IF(ISBLANK(ETPT_ATTJ!O10),"",IF(ISERROR(ETPT_ATTJ!O10),"",IF(ETPT_ATTJ!O10=0,"",ETPT_ATTJ!O10)))</f>
      </c>
      <c r="P10" s="219">
        <f>IF(ISBLANK(ETPT_ATTJ!P10),"",IF(ISERROR(ETPT_ATTJ!P10),"",IF(ETPT_ATTJ!P10=0,"",ETPT_ATTJ!P10)))</f>
      </c>
      <c r="Q10" s="219">
        <f>IF(ISBLANK(ETPT_ATTJ!Q10),"",IF(ISERROR(ETPT_ATTJ!Q10),"",IF(ETPT_ATTJ!Q10=0,"",ETPT_ATTJ!Q10)))</f>
      </c>
      <c r="R10" s="219">
        <f>IF(ISBLANK(ETPT_ATTJ!R10),"",IF(ISERROR(ETPT_ATTJ!R10),"",IF(ETPT_ATTJ!R10=0,"",ETPT_ATTJ!R10)))</f>
      </c>
      <c r="S10" s="220">
        <f>ETPT_ATTJ!S10</f>
        <v>0</v>
      </c>
    </row>
    <row r="11" spans="1:19" x14ac:dyDescent="0.25">
      <c r="A11" s="183" t="s">
        <v>2268</v>
      </c>
      <c r="B11" s="184"/>
      <c r="C11" s="184"/>
      <c r="D11" s="207">
        <f t="shared" si="0"/>
        <v>0</v>
      </c>
      <c r="E11" s="184" t="s">
        <v>2182</v>
      </c>
      <c r="F11" s="218" t="s">
        <v>2183</v>
      </c>
      <c r="G11" s="219">
        <f>IF(ISBLANK(ETPT_ATTJ!G11),"",IF(ISERROR(ETPT_ATTJ!G11),"",IF(ETPT_ATTJ!G11=0,"",ETPT_ATTJ!G11)))</f>
      </c>
      <c r="H11" s="219">
        <f>IF(ISBLANK(ETPT_ATTJ!H11),"",IF(ISERROR(ETPT_ATTJ!H11),"",IF(ETPT_ATTJ!H11=0,"",ETPT_ATTJ!H11)))</f>
      </c>
      <c r="I11" s="219">
        <f>IF(ISBLANK(ETPT_ATTJ!I11),"",IF(ISERROR(ETPT_ATTJ!I11),"",IF(ETPT_ATTJ!I11=0,"",ETPT_ATTJ!I11)))</f>
      </c>
      <c r="J11" s="219">
        <f>IF(ISBLANK(ETPT_ATTJ!J11),"",IF(ISERROR(ETPT_ATTJ!J11),"",IF(ETPT_ATTJ!J11=0,"",ETPT_ATTJ!J11)))</f>
      </c>
      <c r="K11" s="219">
        <f>IF(ISBLANK(ETPT_ATTJ!K11),"",IF(ISERROR(ETPT_ATTJ!K11),"",IF(ETPT_ATTJ!K11=0,"",ETPT_ATTJ!K11)))</f>
      </c>
      <c r="L11" s="219">
        <f>IF(ISBLANK(ETPT_ATTJ!L11),"",IF(ISERROR(ETPT_ATTJ!L11),"",IF(ETPT_ATTJ!L11=0,"",ETPT_ATTJ!L11)))</f>
      </c>
      <c r="M11" s="219"/>
      <c r="N11" s="219"/>
      <c r="O11" s="219">
        <f>IF(ISBLANK(ETPT_ATTJ!O11),"",IF(ISERROR(ETPT_ATTJ!O11),"",IF(ETPT_ATTJ!O11=0,"",ETPT_ATTJ!O11)))</f>
      </c>
      <c r="P11" s="219">
        <f>IF(ISBLANK(ETPT_ATTJ!P11),"",IF(ISERROR(ETPT_ATTJ!P11),"",IF(ETPT_ATTJ!P11=0,"",ETPT_ATTJ!P11)))</f>
      </c>
      <c r="Q11" s="219">
        <f>IF(ISBLANK(ETPT_ATTJ!Q11),"",IF(ISERROR(ETPT_ATTJ!Q11),"",IF(ETPT_ATTJ!Q11=0,"",ETPT_ATTJ!Q11)))</f>
      </c>
      <c r="R11" s="219">
        <f>IF(ISBLANK(ETPT_ATTJ!R11),"",IF(ISERROR(ETPT_ATTJ!R11),"",IF(ETPT_ATTJ!R11=0,"",ETPT_ATTJ!R11)))</f>
      </c>
      <c r="S11" s="220">
        <f>ETPT_ATTJ!S11</f>
        <v>0</v>
      </c>
    </row>
    <row r="12" spans="1:19" x14ac:dyDescent="0.25">
      <c r="A12" s="183" t="s">
        <v>2268</v>
      </c>
      <c r="B12" s="184"/>
      <c r="C12" s="184"/>
      <c r="D12" s="221">
        <f t="shared" si="0"/>
        <v>0</v>
      </c>
      <c r="E12" s="222" t="s">
        <v>2184</v>
      </c>
      <c r="F12" s="218" t="s">
        <v>2185</v>
      </c>
      <c r="G12" s="219">
        <f>IF(ISBLANK(ETPT_ATTJ!G12),"",IF(ISERROR(ETPT_ATTJ!G12),"",IF(ETPT_ATTJ!G12=0,"",ETPT_ATTJ!G12)))</f>
      </c>
      <c r="H12" s="219">
        <f>IF(ISBLANK(ETPT_ATTJ!H12),"",IF(ISERROR(ETPT_ATTJ!H12),"",IF(ETPT_ATTJ!H12=0,"",ETPT_ATTJ!H12)))</f>
      </c>
      <c r="I12" s="219">
        <f>IF(ISBLANK(ETPT_ATTJ!I12),"",IF(ISERROR(ETPT_ATTJ!I12),"",IF(ETPT_ATTJ!I12=0,"",ETPT_ATTJ!I12)))</f>
      </c>
      <c r="J12" s="219">
        <f>IF(ISBLANK(ETPT_ATTJ!J12),"",IF(ISERROR(ETPT_ATTJ!J12),"",IF(ETPT_ATTJ!J12=0,"",ETPT_ATTJ!J12)))</f>
      </c>
      <c r="K12" s="219">
        <f>IF(ISBLANK(ETPT_ATTJ!K12),"",IF(ISERROR(ETPT_ATTJ!K12),"",IF(ETPT_ATTJ!K12=0,"",ETPT_ATTJ!K12)))</f>
      </c>
      <c r="L12" s="219">
        <f>IF(ISBLANK(ETPT_ATTJ!L12),"",IF(ISERROR(ETPT_ATTJ!L12),"",IF(ETPT_ATTJ!L12=0,"",ETPT_ATTJ!L12)))</f>
      </c>
      <c r="M12" s="219"/>
      <c r="N12" s="219"/>
      <c r="O12" s="219">
        <f>IF(ISBLANK(ETPT_ATTJ!O12),"",IF(ISERROR(ETPT_ATTJ!O12),"",IF(ETPT_ATTJ!O12=0,"",ETPT_ATTJ!O12)))</f>
      </c>
      <c r="P12" s="219">
        <f>IF(ISBLANK(ETPT_ATTJ!P12),"",IF(ISERROR(ETPT_ATTJ!P12),"",IF(ETPT_ATTJ!P12=0,"",ETPT_ATTJ!P12)))</f>
      </c>
      <c r="Q12" s="219">
        <f>IF(ISBLANK(ETPT_ATTJ!Q12),"",IF(ISERROR(ETPT_ATTJ!Q12),"",IF(ETPT_ATTJ!Q12=0,"",ETPT_ATTJ!Q12)))</f>
      </c>
      <c r="R12" s="219">
        <f>IF(ISBLANK(ETPT_ATTJ!R12),"",IF(ISERROR(ETPT_ATTJ!R12),"",IF(ETPT_ATTJ!R12=0,"",ETPT_ATTJ!R12)))</f>
      </c>
      <c r="S12" s="220">
        <f>ETPT_ATTJ!S12</f>
        <v>0</v>
      </c>
    </row>
    <row r="13" spans="1:19" x14ac:dyDescent="0.25">
      <c r="A13" s="223"/>
      <c r="B13" s="223"/>
      <c r="C13" s="223"/>
      <c r="D13" s="224"/>
      <c r="E13" s="225"/>
      <c r="F13" s="226" t="s">
        <v>2190</v>
      </c>
      <c r="G13" s="220">
        <f>ETPT_ATTJ!G13</f>
        <v>0</v>
      </c>
      <c r="H13" s="220">
        <f>ETPT_ATTJ!H13</f>
        <v>0</v>
      </c>
      <c r="I13" s="220">
        <f>ETPT_ATTJ!I13</f>
        <v>0</v>
      </c>
      <c r="J13" s="220">
        <f>ETPT_ATTJ!J13</f>
        <v>0</v>
      </c>
      <c r="K13" s="220">
        <f>ETPT_ATTJ!K13</f>
        <v>0</v>
      </c>
      <c r="L13" s="220">
        <f>ETPT_ATTJ!L13</f>
        <v>0</v>
      </c>
      <c r="M13" s="220">
        <f>ETPT_ATTJ!M13</f>
        <v>0</v>
      </c>
      <c r="N13" s="220">
        <f>ETPT_ATTJ!N13</f>
        <v>0</v>
      </c>
      <c r="O13" s="220">
        <f>ETPT_ATTJ!O13</f>
        <v>0</v>
      </c>
      <c r="P13" s="220">
        <f>ETPT_ATTJ!P13</f>
        <v>0</v>
      </c>
      <c r="Q13" s="220">
        <f>ETPT_ATTJ!Q13</f>
        <v>0</v>
      </c>
      <c r="R13" s="220">
        <f>ETPT_ATTJ!R13</f>
        <v>0</v>
      </c>
      <c r="S13" s="220">
        <f>ETPT_ATTJ!S13</f>
        <v>0</v>
      </c>
    </row>
    <row r="14" ht="16" customHeight="1" spans="1:20" x14ac:dyDescent="0.25">
      <c r="A14" s="189"/>
      <c r="B14" s="189"/>
      <c r="C14" s="189"/>
      <c r="D14" s="189"/>
      <c r="E14" s="190"/>
      <c r="F14" s="190"/>
      <c r="G14" s="190"/>
      <c r="H14" s="190"/>
      <c r="I14" s="190"/>
      <c r="J14" s="190"/>
      <c r="K14" s="190"/>
      <c r="L14" s="190"/>
      <c r="M14" s="190"/>
      <c r="N14" s="190"/>
      <c r="O14" s="190"/>
      <c r="P14" s="190"/>
      <c r="Q14" s="190"/>
      <c r="R14" s="190"/>
      <c r="S14" s="190"/>
      <c r="T14" s="190"/>
    </row>
    <row r="15" ht="16" customHeight="1" spans="1:20" x14ac:dyDescent="0.25">
      <c r="A15" s="189"/>
      <c r="B15" s="189"/>
      <c r="C15" s="189"/>
      <c r="E15" s="211" t="s">
        <v>2281</v>
      </c>
      <c r="F15" s="189"/>
      <c r="G15" s="189"/>
      <c r="H15" s="189"/>
      <c r="I15" s="190"/>
      <c r="J15" s="190"/>
      <c r="K15" s="190"/>
      <c r="L15" s="190"/>
      <c r="M15" s="190"/>
      <c r="N15" s="190"/>
      <c r="O15" s="190"/>
      <c r="P15" s="190"/>
      <c r="Q15" s="190"/>
      <c r="R15" s="190"/>
      <c r="S15" s="190"/>
      <c r="T15" s="190"/>
    </row>
    <row r="16" ht="16" customHeight="1" spans="1:19" x14ac:dyDescent="0.25">
      <c r="A16" s="189"/>
      <c r="B16" s="189"/>
      <c r="C16" s="189"/>
      <c r="D16" s="189"/>
      <c r="E16" s="189"/>
      <c r="F16" s="189"/>
      <c r="G16" s="189"/>
      <c r="H16" s="189"/>
      <c r="I16" s="190"/>
      <c r="J16" s="190"/>
      <c r="K16" s="190"/>
      <c r="L16" s="190"/>
      <c r="M16" s="190"/>
      <c r="N16" s="190"/>
      <c r="O16" s="190"/>
      <c r="P16" s="190"/>
      <c r="Q16" s="190"/>
      <c r="R16" s="190"/>
      <c r="S16" s="190"/>
    </row>
    <row r="17" ht="16" customHeight="1" spans="1:20" x14ac:dyDescent="0.25">
      <c r="A17" s="189"/>
      <c r="B17" s="189"/>
      <c r="C17" s="189"/>
      <c r="D17" s="189"/>
      <c r="E17" s="189"/>
      <c r="F17" s="189"/>
      <c r="G17" s="189"/>
      <c r="H17" s="189"/>
      <c r="I17" s="190"/>
      <c r="J17" s="190"/>
      <c r="K17" s="190"/>
      <c r="L17" s="190"/>
      <c r="M17" s="190"/>
      <c r="N17" s="190"/>
      <c r="O17" s="190"/>
      <c r="P17" s="190"/>
      <c r="Q17" s="190"/>
      <c r="R17" s="190"/>
      <c r="S17" s="190"/>
      <c r="T17" s="190"/>
    </row>
  </sheetData>
  <mergeCells count="1">
    <mergeCell ref="S2:S4"/>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
  <sheetViews>
    <sheetView workbookViewId="0" zoomScale="100" zoomScaleNormal="100">
      <selection activeCell="I6" sqref="I6"/>
    </sheetView>
  </sheetViews>
  <sheetFormatPr defaultRowHeight="15" outlineLevelRow="0" outlineLevelCol="0"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5">
      <c r="A1" s="239"/>
      <c r="B1" s="366" t="s">
        <v>2537</v>
      </c>
      <c r="C1" s="366"/>
      <c r="D1" s="366"/>
      <c r="E1" s="366"/>
      <c r="F1" s="367"/>
      <c r="G1" s="239"/>
      <c r="H1" s="239"/>
      <c r="I1" s="239"/>
      <c r="J1" s="239"/>
      <c r="K1" s="239"/>
      <c r="L1" s="239"/>
      <c r="M1" s="239"/>
      <c r="N1" s="239"/>
      <c r="O1" s="239"/>
      <c r="P1" s="239"/>
      <c r="Q1" s="239"/>
      <c r="R1" s="239"/>
      <c r="S1" s="239"/>
    </row>
    <row r="2" spans="1:19" x14ac:dyDescent="0.25">
      <c r="A2" s="368"/>
      <c r="B2" s="240"/>
      <c r="C2" s="240"/>
      <c r="D2" s="240"/>
      <c r="E2" s="240"/>
      <c r="F2" s="296"/>
      <c r="G2" s="241" t="s">
        <v>2538</v>
      </c>
      <c r="H2" s="241" t="s">
        <v>2538</v>
      </c>
      <c r="I2" s="241" t="s">
        <v>2538</v>
      </c>
      <c r="J2" s="241" t="s">
        <v>2538</v>
      </c>
      <c r="K2" s="241" t="s">
        <v>2538</v>
      </c>
      <c r="L2" s="241" t="s">
        <v>2538</v>
      </c>
      <c r="M2" s="241" t="s">
        <v>2538</v>
      </c>
      <c r="N2" s="241" t="s">
        <v>2538</v>
      </c>
      <c r="O2" s="241" t="s">
        <v>2538</v>
      </c>
      <c r="P2" s="241" t="s">
        <v>2538</v>
      </c>
      <c r="Q2" s="241" t="s">
        <v>2538</v>
      </c>
      <c r="R2" s="241" t="s">
        <v>2538</v>
      </c>
      <c r="S2" s="369" t="s">
        <v>2246</v>
      </c>
    </row>
    <row r="3" spans="1:19" s="370" customFormat="1" x14ac:dyDescent="0.25">
      <c r="A3" s="371"/>
      <c r="B3" s="372"/>
      <c r="C3" s="372"/>
      <c r="D3" s="372"/>
      <c r="E3" s="372"/>
      <c r="F3" s="373"/>
      <c r="G3" s="374" t="s">
        <v>2248</v>
      </c>
      <c r="H3" s="374" t="s">
        <v>1475</v>
      </c>
      <c r="I3" s="374"/>
      <c r="J3" s="374"/>
      <c r="K3" s="374" t="s">
        <v>2250</v>
      </c>
      <c r="L3" s="374"/>
      <c r="M3" s="374"/>
      <c r="N3" s="374" t="s">
        <v>2539</v>
      </c>
      <c r="O3" s="374" t="s">
        <v>2251</v>
      </c>
      <c r="P3" s="374" t="s">
        <v>2252</v>
      </c>
      <c r="Q3" s="374" t="s">
        <v>2253</v>
      </c>
      <c r="R3" s="374" t="s">
        <v>2254</v>
      </c>
      <c r="S3" s="369"/>
    </row>
    <row r="4" ht="42" customHeight="1" spans="1:19" x14ac:dyDescent="0.25">
      <c r="A4" s="375"/>
      <c r="B4" s="376" t="s">
        <v>2114</v>
      </c>
      <c r="C4" s="376" t="s">
        <v>2115</v>
      </c>
      <c r="D4" s="376" t="s">
        <v>37</v>
      </c>
      <c r="E4" s="376" t="s">
        <v>2255</v>
      </c>
      <c r="F4" s="376" t="s">
        <v>2117</v>
      </c>
      <c r="G4" s="297" t="s">
        <v>2540</v>
      </c>
      <c r="H4" s="297" t="s">
        <v>2541</v>
      </c>
      <c r="I4" s="297" t="s">
        <v>2259</v>
      </c>
      <c r="J4" s="297" t="s">
        <v>2542</v>
      </c>
      <c r="K4" s="297" t="s">
        <v>2543</v>
      </c>
      <c r="L4" s="297" t="s">
        <v>2262</v>
      </c>
      <c r="M4" s="297" t="s">
        <v>2544</v>
      </c>
      <c r="N4" s="297" t="s">
        <v>2545</v>
      </c>
      <c r="O4" s="297" t="s">
        <v>2546</v>
      </c>
      <c r="P4" s="297" t="s">
        <v>2547</v>
      </c>
      <c r="Q4" s="297" t="s">
        <v>2548</v>
      </c>
      <c r="R4" s="297" t="s">
        <v>2549</v>
      </c>
      <c r="S4" s="369"/>
    </row>
    <row r="5" ht="332" customHeight="1" spans="1:19" x14ac:dyDescent="0.25">
      <c r="A5" s="377" t="s">
        <v>2268</v>
      </c>
      <c r="B5" s="378"/>
      <c r="C5" s="378"/>
      <c r="D5" s="378"/>
      <c r="E5" s="378" t="s">
        <v>2165</v>
      </c>
      <c r="F5" s="379" t="s">
        <v>2166</v>
      </c>
      <c r="G5" s="380" t="s">
        <v>2550</v>
      </c>
      <c r="H5" s="381" t="s">
        <v>2551</v>
      </c>
      <c r="I5" s="382"/>
      <c r="J5" s="382"/>
      <c r="K5" s="380" t="s">
        <v>2552</v>
      </c>
      <c r="L5" s="380"/>
      <c r="M5" s="380"/>
      <c r="N5" s="380" t="s">
        <v>2553</v>
      </c>
      <c r="O5" s="380"/>
      <c r="P5" s="380" t="s">
        <v>2554</v>
      </c>
      <c r="Q5" s="380"/>
      <c r="R5" s="380"/>
      <c r="S5" s="383">
        <f>SUMIF($G$2:R$2,R$2,$G5:R5)</f>
        <v>0</v>
      </c>
    </row>
    <row r="6" ht="266" customHeight="1" spans="1:19" x14ac:dyDescent="0.25">
      <c r="A6" s="377" t="s">
        <v>2268</v>
      </c>
      <c r="B6" s="378"/>
      <c r="C6" s="378"/>
      <c r="D6" s="378"/>
      <c r="E6" s="378" t="s">
        <v>2167</v>
      </c>
      <c r="F6" s="379" t="s">
        <v>2168</v>
      </c>
      <c r="G6" s="380" t="s">
        <v>2555</v>
      </c>
      <c r="H6" s="381" t="s">
        <v>2556</v>
      </c>
      <c r="I6" s="381" t="s">
        <v>2557</v>
      </c>
      <c r="J6" s="381" t="s">
        <v>2558</v>
      </c>
      <c r="K6" s="380" t="s">
        <v>2559</v>
      </c>
      <c r="L6" s="380"/>
      <c r="M6" s="380"/>
      <c r="N6" s="380" t="s">
        <v>2560</v>
      </c>
      <c r="O6" s="380" t="s">
        <v>2561</v>
      </c>
      <c r="P6" s="380" t="s">
        <v>2562</v>
      </c>
      <c r="Q6" s="380" t="s">
        <v>2563</v>
      </c>
      <c r="R6" s="380" t="s">
        <v>2564</v>
      </c>
      <c r="S6" s="383">
        <f>SUMIF($G$2:R$2,R$2,$G6:R6)</f>
        <v>0</v>
      </c>
    </row>
    <row r="7" ht="154" customHeight="1" spans="1:19" x14ac:dyDescent="0.25">
      <c r="A7" s="377" t="s">
        <v>2268</v>
      </c>
      <c r="B7" s="378"/>
      <c r="C7" s="378"/>
      <c r="D7" s="378"/>
      <c r="E7" s="378" t="s">
        <v>2174</v>
      </c>
      <c r="F7" s="379" t="s">
        <v>2175</v>
      </c>
      <c r="G7" s="380" t="s">
        <v>2565</v>
      </c>
      <c r="H7" s="381" t="s">
        <v>2566</v>
      </c>
      <c r="I7" s="381" t="s">
        <v>2567</v>
      </c>
      <c r="J7" s="381" t="s">
        <v>2568</v>
      </c>
      <c r="K7" s="380" t="s">
        <v>2569</v>
      </c>
      <c r="L7" s="380"/>
      <c r="M7" s="380"/>
      <c r="N7" s="380" t="s">
        <v>2570</v>
      </c>
      <c r="O7" s="380" t="s">
        <v>2571</v>
      </c>
      <c r="P7" s="380" t="s">
        <v>2572</v>
      </c>
      <c r="Q7" s="380" t="s">
        <v>2573</v>
      </c>
      <c r="R7" s="380" t="s">
        <v>2574</v>
      </c>
      <c r="S7" s="383">
        <f>SUMIF($G$2:R$2,R$2,$G7:R7)</f>
        <v>0</v>
      </c>
    </row>
    <row r="8" ht="238" customHeight="1" spans="1:19" x14ac:dyDescent="0.25">
      <c r="A8" s="377" t="s">
        <v>2268</v>
      </c>
      <c r="B8" s="378"/>
      <c r="C8" s="378"/>
      <c r="D8" s="378"/>
      <c r="E8" s="378" t="s">
        <v>2176</v>
      </c>
      <c r="F8" s="379" t="s">
        <v>2177</v>
      </c>
      <c r="G8" s="380" t="s">
        <v>2575</v>
      </c>
      <c r="H8" s="381" t="s">
        <v>2576</v>
      </c>
      <c r="I8" s="381" t="s">
        <v>2577</v>
      </c>
      <c r="J8" s="381" t="s">
        <v>2578</v>
      </c>
      <c r="K8" s="380" t="s">
        <v>2579</v>
      </c>
      <c r="L8" s="380"/>
      <c r="M8" s="380"/>
      <c r="N8" s="380" t="s">
        <v>2580</v>
      </c>
      <c r="O8" s="380" t="s">
        <v>2581</v>
      </c>
      <c r="P8" s="380" t="s">
        <v>2582</v>
      </c>
      <c r="Q8" s="380" t="s">
        <v>2583</v>
      </c>
      <c r="R8" s="380" t="s">
        <v>2584</v>
      </c>
      <c r="S8" s="383">
        <f>SUMIF($G$2:R$2,R$2,$G8:R8)</f>
        <v>0</v>
      </c>
    </row>
    <row r="9" ht="140" customHeight="1" spans="1:19" x14ac:dyDescent="0.25">
      <c r="A9" s="377" t="s">
        <v>2268</v>
      </c>
      <c r="B9" s="378"/>
      <c r="C9" s="378"/>
      <c r="D9" s="378"/>
      <c r="E9" s="378" t="s">
        <v>2178</v>
      </c>
      <c r="F9" s="379" t="s">
        <v>2179</v>
      </c>
      <c r="G9" s="380" t="s">
        <v>2585</v>
      </c>
      <c r="H9" s="381" t="s">
        <v>2586</v>
      </c>
      <c r="I9" s="381" t="s">
        <v>2587</v>
      </c>
      <c r="J9" s="381" t="s">
        <v>2588</v>
      </c>
      <c r="K9" s="380" t="s">
        <v>2589</v>
      </c>
      <c r="L9" s="380"/>
      <c r="M9" s="380"/>
      <c r="N9" s="380" t="s">
        <v>2590</v>
      </c>
      <c r="O9" s="380" t="s">
        <v>2591</v>
      </c>
      <c r="P9" s="380" t="s">
        <v>2592</v>
      </c>
      <c r="Q9" s="380" t="s">
        <v>2593</v>
      </c>
      <c r="R9" s="380" t="s">
        <v>2594</v>
      </c>
      <c r="S9" s="383">
        <f>SUMIF($G$2:R$2,R$2,$G9:R9)</f>
        <v>0</v>
      </c>
    </row>
    <row r="10" ht="154" customHeight="1" spans="1:19" x14ac:dyDescent="0.25">
      <c r="A10" s="377" t="s">
        <v>2268</v>
      </c>
      <c r="B10" s="378"/>
      <c r="C10" s="378"/>
      <c r="D10" s="378"/>
      <c r="E10" s="378" t="s">
        <v>2180</v>
      </c>
      <c r="F10" s="379" t="s">
        <v>2181</v>
      </c>
      <c r="G10" s="380" t="s">
        <v>2595</v>
      </c>
      <c r="H10" s="381" t="s">
        <v>2596</v>
      </c>
      <c r="I10" s="381" t="s">
        <v>2597</v>
      </c>
      <c r="J10" s="381" t="s">
        <v>2598</v>
      </c>
      <c r="K10" s="380" t="s">
        <v>2599</v>
      </c>
      <c r="L10" s="380"/>
      <c r="M10" s="380"/>
      <c r="N10" s="380" t="s">
        <v>2600</v>
      </c>
      <c r="O10" s="380" t="s">
        <v>2601</v>
      </c>
      <c r="P10" s="380" t="s">
        <v>2602</v>
      </c>
      <c r="Q10" s="380" t="s">
        <v>2603</v>
      </c>
      <c r="R10" s="380" t="s">
        <v>2604</v>
      </c>
      <c r="S10" s="383">
        <f>SUMIF($G$2:R$2,R$2,$G10:R10)</f>
        <v>0</v>
      </c>
    </row>
    <row r="11" ht="182" customHeight="1" spans="1:19" x14ac:dyDescent="0.25">
      <c r="A11" s="377" t="s">
        <v>2268</v>
      </c>
      <c r="B11" s="378"/>
      <c r="C11" s="378"/>
      <c r="D11" s="378"/>
      <c r="E11" s="378" t="s">
        <v>2182</v>
      </c>
      <c r="F11" s="379" t="s">
        <v>2183</v>
      </c>
      <c r="G11" s="380" t="s">
        <v>2605</v>
      </c>
      <c r="H11" s="381" t="s">
        <v>2606</v>
      </c>
      <c r="I11" s="381" t="s">
        <v>2607</v>
      </c>
      <c r="J11" s="381" t="s">
        <v>2608</v>
      </c>
      <c r="K11" s="380" t="s">
        <v>2609</v>
      </c>
      <c r="L11" s="380"/>
      <c r="M11" s="380"/>
      <c r="N11" s="380" t="s">
        <v>2610</v>
      </c>
      <c r="O11" s="380" t="s">
        <v>2611</v>
      </c>
      <c r="P11" s="380" t="s">
        <v>2612</v>
      </c>
      <c r="Q11" s="380" t="s">
        <v>2613</v>
      </c>
      <c r="R11" s="380" t="s">
        <v>2614</v>
      </c>
      <c r="S11" s="383">
        <f>SUMIF($G$2:R$2,R$2,$G11:R11)</f>
        <v>0</v>
      </c>
    </row>
    <row r="12" ht="182" customHeight="1" spans="1:19" x14ac:dyDescent="0.25">
      <c r="A12" s="377" t="s">
        <v>2268</v>
      </c>
      <c r="B12" s="378"/>
      <c r="C12" s="378"/>
      <c r="D12" s="378"/>
      <c r="E12" s="378" t="s">
        <v>2184</v>
      </c>
      <c r="F12" s="379" t="s">
        <v>2185</v>
      </c>
      <c r="G12" s="380" t="s">
        <v>2615</v>
      </c>
      <c r="H12" s="381" t="s">
        <v>2616</v>
      </c>
      <c r="I12" s="381" t="s">
        <v>2617</v>
      </c>
      <c r="J12" s="381" t="s">
        <v>2618</v>
      </c>
      <c r="K12" s="380" t="s">
        <v>2619</v>
      </c>
      <c r="L12" s="380"/>
      <c r="M12" s="380"/>
      <c r="N12" s="380" t="s">
        <v>2620</v>
      </c>
      <c r="O12" s="380" t="s">
        <v>2621</v>
      </c>
      <c r="P12" s="380" t="s">
        <v>2622</v>
      </c>
      <c r="Q12" s="380" t="s">
        <v>2623</v>
      </c>
      <c r="R12" s="380" t="s">
        <v>2624</v>
      </c>
      <c r="S12" s="383">
        <f>SUMIF($G$2:R$2,R$2,$G12:R12)</f>
        <v>0</v>
      </c>
    </row>
    <row r="13" spans="1:19" x14ac:dyDescent="0.25">
      <c r="A13" s="384"/>
      <c r="B13" s="385"/>
      <c r="C13" s="385"/>
      <c r="D13" s="386"/>
      <c r="E13" s="385"/>
      <c r="F13" s="387" t="s">
        <v>2190</v>
      </c>
      <c r="G13" s="383">
        <f>SUMIF($C$5:$C12,$C12,G$5:G12)</f>
        <v>0</v>
      </c>
      <c r="H13" s="383">
        <f>SUMIF($C$5:$C12,$C12,H$5:H12)</f>
        <v>0</v>
      </c>
      <c r="I13" s="383"/>
      <c r="J13" s="383"/>
      <c r="K13" s="383">
        <f>SUMIF($C$5:$C12,$C12,K$5:K12)</f>
        <v>0</v>
      </c>
      <c r="L13" s="383"/>
      <c r="M13" s="383"/>
      <c r="N13" s="383">
        <f>SUMIF($C$5:$C12,$C12,N$5:N12)</f>
        <v>0</v>
      </c>
      <c r="O13" s="383">
        <f>SUMIF($C$5:$C12,$C12,O$5:O12)</f>
        <v>0</v>
      </c>
      <c r="P13" s="383">
        <f>SUMIF($C$5:$C12,$C12,P$5:P12)</f>
        <v>0</v>
      </c>
      <c r="Q13" s="383">
        <f>SUMIF($C$5:$C12,$C12,Q$5:Q12)</f>
        <v>0</v>
      </c>
      <c r="R13" s="383">
        <f>SUMIF($C$5:$C12,$C12,R$5:R12)</f>
        <v>0</v>
      </c>
      <c r="S13" s="383">
        <f>SUMIF($C$5:$C12,$C12,S$5:S12)</f>
        <v>0</v>
      </c>
    </row>
  </sheetData>
  <mergeCells count="2">
    <mergeCell ref="B1:E1"/>
    <mergeCell ref="S2:S4"/>
  </mergeCells>
  <pageMargins left="0.7" right="0.7" top="0.75" bottom="0.75" header="0.3" footer="0.3"/>
  <pageSetup paperSize="9" orientation="portrait" horizontalDpi="0" verticalDpi="0"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65"/>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1521</v>
      </c>
      <c r="C1" s="46" t="s">
        <v>33</v>
      </c>
      <c r="D1" s="46" t="s">
        <v>39</v>
      </c>
      <c r="E1" s="46" t="s">
        <v>40</v>
      </c>
      <c r="F1" s="46"/>
      <c r="G1" s="80" t="s">
        <v>1522</v>
      </c>
      <c r="H1" s="80" t="s">
        <v>1523</v>
      </c>
      <c r="I1" s="81" t="s">
        <v>1524</v>
      </c>
      <c r="J1" s="81" t="s">
        <v>1525</v>
      </c>
      <c r="K1" s="81" t="s">
        <v>1526</v>
      </c>
      <c r="L1" s="82" t="s">
        <v>1527</v>
      </c>
      <c r="M1" s="46" t="s">
        <v>1528</v>
      </c>
      <c r="N1" s="82" t="s">
        <v>1529</v>
      </c>
      <c r="O1" s="83" t="s">
        <v>1530</v>
      </c>
      <c r="P1" s="46" t="s">
        <v>1531</v>
      </c>
      <c r="Q1" s="83" t="s">
        <v>1532</v>
      </c>
      <c r="R1" s="83" t="s">
        <v>1533</v>
      </c>
      <c r="S1" s="80" t="s">
        <v>1534</v>
      </c>
      <c r="T1" s="80" t="s">
        <v>1063</v>
      </c>
      <c r="U1" s="46" t="s">
        <v>1535</v>
      </c>
      <c r="V1" s="84" t="s">
        <v>1536</v>
      </c>
    </row>
    <row r="2" ht="15" customHeight="1" spans="1:23" x14ac:dyDescent="0.25">
      <c r="A2" s="85">
        <v>846</v>
      </c>
      <c r="B2" s="85" t="s">
        <v>1537</v>
      </c>
      <c r="C2" s="85" t="s">
        <v>161</v>
      </c>
      <c r="D2" s="85" t="s">
        <v>257</v>
      </c>
      <c r="E2" s="85"/>
      <c r="F2" s="85" t="s">
        <v>155</v>
      </c>
      <c r="G2" s="85"/>
      <c r="H2" s="85"/>
      <c r="I2" s="86"/>
      <c r="J2" s="86"/>
      <c r="K2" s="87"/>
      <c r="L2" s="87"/>
      <c r="M2" s="88"/>
      <c r="N2" s="89"/>
      <c r="O2" s="87"/>
      <c r="P2" s="87"/>
      <c r="Q2" s="87"/>
      <c r="R2" s="87"/>
      <c r="S2" s="87">
        <v>1</v>
      </c>
      <c r="T2" s="87">
        <v>1</v>
      </c>
      <c r="U2" s="87">
        <v>1</v>
      </c>
      <c r="V2" s="90" t="s">
        <v>1538</v>
      </c>
    </row>
    <row r="3" ht="15" customHeight="1" spans="1:23" x14ac:dyDescent="0.25">
      <c r="A3" s="85">
        <v>846</v>
      </c>
      <c r="B3" s="85" t="s">
        <v>1537</v>
      </c>
      <c r="C3" s="85" t="s">
        <v>161</v>
      </c>
      <c r="D3" s="85" t="s">
        <v>257</v>
      </c>
      <c r="E3" s="85"/>
      <c r="F3" s="85" t="s">
        <v>1062</v>
      </c>
      <c r="G3" s="85" t="s">
        <v>1016</v>
      </c>
      <c r="H3" s="85" t="s">
        <v>170</v>
      </c>
      <c r="I3" s="86">
        <v>261</v>
      </c>
      <c r="J3" s="86">
        <v>261</v>
      </c>
      <c r="K3" s="87">
        <v>1</v>
      </c>
      <c r="L3" s="87">
        <v>1</v>
      </c>
      <c r="M3" s="88">
        <v>1</v>
      </c>
      <c r="N3" s="89"/>
      <c r="O3" s="87"/>
      <c r="P3" s="87"/>
      <c r="Q3" s="87"/>
      <c r="R3" s="87"/>
      <c r="S3" s="87">
        <v>1</v>
      </c>
      <c r="T3" s="87"/>
      <c r="U3" s="87">
        <v>1</v>
      </c>
      <c r="V3" s="90" t="s">
        <v>1538</v>
      </c>
    </row>
    <row r="4" ht="15" customHeight="1" spans="1:23" x14ac:dyDescent="0.25">
      <c r="A4" s="85">
        <v>1352</v>
      </c>
      <c r="B4" s="85" t="s">
        <v>1539</v>
      </c>
      <c r="C4" s="85" t="s">
        <v>161</v>
      </c>
      <c r="D4" s="85" t="s">
        <v>257</v>
      </c>
      <c r="E4" s="85"/>
      <c r="F4" s="85" t="s">
        <v>155</v>
      </c>
      <c r="G4" s="85"/>
      <c r="H4" s="85"/>
      <c r="I4" s="86"/>
      <c r="J4" s="86"/>
      <c r="K4" s="87"/>
      <c r="L4" s="87"/>
      <c r="M4" s="88"/>
      <c r="N4" s="89"/>
      <c r="O4" s="87"/>
      <c r="P4" s="87"/>
      <c r="Q4" s="87"/>
      <c r="R4" s="87"/>
      <c r="S4" s="87">
        <v>1</v>
      </c>
      <c r="T4" s="87">
        <v>1</v>
      </c>
      <c r="U4" s="87">
        <v>1</v>
      </c>
      <c r="V4" s="90" t="s">
        <v>1540</v>
      </c>
    </row>
    <row r="5" ht="15" customHeight="1" spans="1:23" x14ac:dyDescent="0.25">
      <c r="A5" s="85">
        <v>1352</v>
      </c>
      <c r="B5" s="85" t="s">
        <v>1539</v>
      </c>
      <c r="C5" s="85" t="s">
        <v>161</v>
      </c>
      <c r="D5" s="85" t="s">
        <v>257</v>
      </c>
      <c r="E5" s="85"/>
      <c r="F5" s="85" t="s">
        <v>1062</v>
      </c>
      <c r="G5" s="85" t="s">
        <v>1016</v>
      </c>
      <c r="H5" s="85" t="s">
        <v>170</v>
      </c>
      <c r="I5" s="86">
        <v>261</v>
      </c>
      <c r="J5" s="86">
        <v>261</v>
      </c>
      <c r="K5" s="87">
        <v>1</v>
      </c>
      <c r="L5" s="87">
        <v>1</v>
      </c>
      <c r="M5" s="88">
        <v>1</v>
      </c>
      <c r="N5" s="89"/>
      <c r="O5" s="87"/>
      <c r="P5" s="87"/>
      <c r="Q5" s="87"/>
      <c r="R5" s="87"/>
      <c r="S5" s="87">
        <v>1</v>
      </c>
      <c r="T5" s="87"/>
      <c r="U5" s="87">
        <v>1</v>
      </c>
      <c r="V5" s="90" t="s">
        <v>1540</v>
      </c>
    </row>
    <row r="6" ht="15" customHeight="1" spans="1:23" x14ac:dyDescent="0.25">
      <c r="A6" s="85">
        <v>1383</v>
      </c>
      <c r="B6" s="85" t="s">
        <v>1541</v>
      </c>
      <c r="C6" s="85" t="s">
        <v>161</v>
      </c>
      <c r="D6" s="85" t="s">
        <v>257</v>
      </c>
      <c r="E6" s="85"/>
      <c r="F6" s="85" t="s">
        <v>155</v>
      </c>
      <c r="G6" s="85"/>
      <c r="H6" s="85"/>
      <c r="I6" s="86"/>
      <c r="J6" s="86"/>
      <c r="K6" s="87"/>
      <c r="L6" s="87"/>
      <c r="M6" s="88"/>
      <c r="N6" s="89"/>
      <c r="O6" s="87"/>
      <c r="P6" s="87"/>
      <c r="Q6" s="87"/>
      <c r="R6" s="87"/>
      <c r="S6" s="87">
        <v>1</v>
      </c>
      <c r="T6" s="87">
        <v>1</v>
      </c>
      <c r="U6" s="87">
        <v>1</v>
      </c>
      <c r="V6" s="90" t="s">
        <v>1542</v>
      </c>
    </row>
    <row r="7" ht="15" customHeight="1" spans="1:23" x14ac:dyDescent="0.25">
      <c r="A7" s="85">
        <v>1383</v>
      </c>
      <c r="B7" s="85" t="s">
        <v>1541</v>
      </c>
      <c r="C7" s="85" t="s">
        <v>161</v>
      </c>
      <c r="D7" s="85" t="s">
        <v>257</v>
      </c>
      <c r="E7" s="85"/>
      <c r="F7" s="85" t="s">
        <v>1062</v>
      </c>
      <c r="G7" s="85" t="s">
        <v>1016</v>
      </c>
      <c r="H7" s="85" t="s">
        <v>170</v>
      </c>
      <c r="I7" s="86">
        <v>261</v>
      </c>
      <c r="J7" s="86">
        <v>261</v>
      </c>
      <c r="K7" s="87">
        <v>1</v>
      </c>
      <c r="L7" s="87">
        <v>1</v>
      </c>
      <c r="M7" s="88">
        <v>1</v>
      </c>
      <c r="N7" s="89"/>
      <c r="O7" s="87"/>
      <c r="P7" s="87"/>
      <c r="Q7" s="87"/>
      <c r="R7" s="87"/>
      <c r="S7" s="87">
        <v>1</v>
      </c>
      <c r="T7" s="87"/>
      <c r="U7" s="87">
        <v>1</v>
      </c>
      <c r="V7" s="90" t="s">
        <v>1543</v>
      </c>
    </row>
    <row r="8" ht="15" customHeight="1" spans="1:23" x14ac:dyDescent="0.25">
      <c r="A8" s="85">
        <v>1550</v>
      </c>
      <c r="B8" s="85" t="s">
        <v>1544</v>
      </c>
      <c r="C8" s="85" t="s">
        <v>161</v>
      </c>
      <c r="D8" s="85" t="s">
        <v>257</v>
      </c>
      <c r="E8" s="85"/>
      <c r="F8" s="85" t="s">
        <v>155</v>
      </c>
      <c r="G8" s="85"/>
      <c r="H8" s="85"/>
      <c r="I8" s="86"/>
      <c r="J8" s="86"/>
      <c r="K8" s="87"/>
      <c r="L8" s="87"/>
      <c r="M8" s="88"/>
      <c r="N8" s="89"/>
      <c r="O8" s="87"/>
      <c r="P8" s="87"/>
      <c r="Q8" s="87"/>
      <c r="R8" s="87"/>
      <c r="S8" s="87">
        <v>1</v>
      </c>
      <c r="T8" s="87">
        <v>1</v>
      </c>
      <c r="U8" s="87">
        <v>1</v>
      </c>
      <c r="V8" s="90" t="s">
        <v>1545</v>
      </c>
    </row>
    <row r="9" ht="15" customHeight="1" spans="1:23" x14ac:dyDescent="0.25">
      <c r="A9" s="85">
        <v>1550</v>
      </c>
      <c r="B9" s="85" t="s">
        <v>1544</v>
      </c>
      <c r="C9" s="85" t="s">
        <v>161</v>
      </c>
      <c r="D9" s="85" t="s">
        <v>257</v>
      </c>
      <c r="E9" s="85"/>
      <c r="F9" s="85" t="s">
        <v>1062</v>
      </c>
      <c r="G9" s="85" t="s">
        <v>1016</v>
      </c>
      <c r="H9" s="85" t="s">
        <v>170</v>
      </c>
      <c r="I9" s="86">
        <v>261</v>
      </c>
      <c r="J9" s="86">
        <v>261</v>
      </c>
      <c r="K9" s="87">
        <v>1</v>
      </c>
      <c r="L9" s="87">
        <v>1</v>
      </c>
      <c r="M9" s="88">
        <v>1</v>
      </c>
      <c r="N9" s="89"/>
      <c r="O9" s="87"/>
      <c r="P9" s="87"/>
      <c r="Q9" s="87"/>
      <c r="R9" s="87"/>
      <c r="S9" s="87">
        <v>1</v>
      </c>
      <c r="T9" s="87"/>
      <c r="U9" s="87">
        <v>1</v>
      </c>
      <c r="V9" s="90" t="s">
        <v>1546</v>
      </c>
    </row>
    <row r="10" ht="15" customHeight="1" spans="1:23" x14ac:dyDescent="0.25">
      <c r="A10" s="85">
        <v>2138</v>
      </c>
      <c r="B10" s="85" t="s">
        <v>1547</v>
      </c>
      <c r="C10" s="85"/>
      <c r="D10" s="85" t="s">
        <v>156</v>
      </c>
      <c r="E10" s="85"/>
      <c r="F10" s="85" t="s">
        <v>155</v>
      </c>
      <c r="G10" s="85"/>
      <c r="H10" s="85"/>
      <c r="I10" s="86"/>
      <c r="J10" s="86"/>
      <c r="K10" s="87"/>
      <c r="L10" s="87"/>
      <c r="M10" s="88"/>
      <c r="N10" s="89"/>
      <c r="O10" s="87"/>
      <c r="P10" s="87"/>
      <c r="Q10" s="87"/>
      <c r="R10" s="87"/>
      <c r="S10" s="87">
        <v>0</v>
      </c>
      <c r="T10" s="87">
        <v>0</v>
      </c>
      <c r="U10" s="87">
        <v>0</v>
      </c>
      <c r="V10" s="90" t="s">
        <v>1062</v>
      </c>
    </row>
    <row r="11" ht="15" customHeight="1" spans="1:23" x14ac:dyDescent="0.25">
      <c r="A11" s="85">
        <v>2138</v>
      </c>
      <c r="B11" s="85" t="s">
        <v>1547</v>
      </c>
      <c r="C11" s="85"/>
      <c r="D11" s="85" t="s">
        <v>156</v>
      </c>
      <c r="E11" s="85"/>
      <c r="F11" s="85" t="s">
        <v>1062</v>
      </c>
      <c r="G11" s="85" t="s">
        <v>1016</v>
      </c>
      <c r="H11" s="85" t="s">
        <v>170</v>
      </c>
      <c r="I11" s="86">
        <v>261</v>
      </c>
      <c r="J11" s="86">
        <v>261</v>
      </c>
      <c r="K11" s="87">
        <v>1</v>
      </c>
      <c r="L11" s="87">
        <v>0</v>
      </c>
      <c r="M11" s="88">
        <v>0</v>
      </c>
      <c r="N11" s="89"/>
      <c r="O11" s="87"/>
      <c r="P11" s="87"/>
      <c r="Q11" s="87"/>
      <c r="R11" s="87"/>
      <c r="S11" s="87">
        <v>0</v>
      </c>
      <c r="T11" s="87"/>
      <c r="U11" s="87">
        <v>0</v>
      </c>
      <c r="V11" s="90" t="s">
        <v>1548</v>
      </c>
    </row>
    <row r="12" ht="15" customHeight="1" spans="1:23" x14ac:dyDescent="0.25">
      <c r="A12" s="85">
        <v>3302</v>
      </c>
      <c r="B12" s="85" t="s">
        <v>1549</v>
      </c>
      <c r="C12" s="85" t="s">
        <v>357</v>
      </c>
      <c r="D12" s="85" t="s">
        <v>937</v>
      </c>
      <c r="E12" s="85"/>
      <c r="F12" s="85" t="s">
        <v>155</v>
      </c>
      <c r="G12" s="85"/>
      <c r="H12" s="85"/>
      <c r="I12" s="86"/>
      <c r="J12" s="86"/>
      <c r="K12" s="87"/>
      <c r="L12" s="87"/>
      <c r="M12" s="88"/>
      <c r="N12" s="89"/>
      <c r="O12" s="87"/>
      <c r="P12" s="87"/>
      <c r="Q12" s="87"/>
      <c r="R12" s="87"/>
      <c r="S12" s="87">
        <v>0.9</v>
      </c>
      <c r="T12" s="87">
        <v>0.9</v>
      </c>
      <c r="U12" s="87"/>
      <c r="V12" s="90" t="s">
        <v>1062</v>
      </c>
    </row>
    <row r="13" ht="15" customHeight="1" spans="1:23" x14ac:dyDescent="0.25">
      <c r="A13" s="85">
        <v>3302</v>
      </c>
      <c r="B13" s="85" t="s">
        <v>1549</v>
      </c>
      <c r="C13" s="85" t="s">
        <v>357</v>
      </c>
      <c r="D13" s="85" t="s">
        <v>937</v>
      </c>
      <c r="E13" s="85"/>
      <c r="F13" s="85" t="s">
        <v>1062</v>
      </c>
      <c r="G13" s="85" t="s">
        <v>1016</v>
      </c>
      <c r="H13" s="85" t="s">
        <v>170</v>
      </c>
      <c r="I13" s="86">
        <v>261</v>
      </c>
      <c r="J13" s="86">
        <v>261</v>
      </c>
      <c r="K13" s="87">
        <v>1</v>
      </c>
      <c r="L13" s="87">
        <v>0.9</v>
      </c>
      <c r="M13" s="88">
        <v>0.9</v>
      </c>
      <c r="N13" s="89"/>
      <c r="O13" s="87"/>
      <c r="P13" s="87"/>
      <c r="Q13" s="87"/>
      <c r="R13" s="87"/>
      <c r="S13" s="87">
        <v>0.9</v>
      </c>
      <c r="T13" s="87"/>
      <c r="U13" s="87">
        <v>0</v>
      </c>
      <c r="V13" s="90" t="s">
        <v>1062</v>
      </c>
    </row>
    <row r="14" ht="15" customHeight="1" spans="1:23" x14ac:dyDescent="0.25">
      <c r="A14" s="85">
        <v>3333</v>
      </c>
      <c r="B14" s="85" t="s">
        <v>1550</v>
      </c>
      <c r="C14" s="85" t="s">
        <v>357</v>
      </c>
      <c r="D14" s="85" t="s">
        <v>798</v>
      </c>
      <c r="E14" s="85"/>
      <c r="F14" s="85" t="s">
        <v>155</v>
      </c>
      <c r="G14" s="85"/>
      <c r="H14" s="85"/>
      <c r="I14" s="86"/>
      <c r="J14" s="86"/>
      <c r="K14" s="87"/>
      <c r="L14" s="87"/>
      <c r="M14" s="88"/>
      <c r="N14" s="89"/>
      <c r="O14" s="87"/>
      <c r="P14" s="87"/>
      <c r="Q14" s="87"/>
      <c r="R14" s="87"/>
      <c r="S14" s="87">
        <v>1</v>
      </c>
      <c r="T14" s="87">
        <v>1</v>
      </c>
      <c r="U14" s="87"/>
      <c r="V14" s="90" t="s">
        <v>1062</v>
      </c>
    </row>
    <row r="15" ht="15" customHeight="1" spans="1:23" x14ac:dyDescent="0.25">
      <c r="A15" s="85">
        <v>3333</v>
      </c>
      <c r="B15" s="85" t="s">
        <v>1550</v>
      </c>
      <c r="C15" s="85" t="s">
        <v>357</v>
      </c>
      <c r="D15" s="85" t="s">
        <v>798</v>
      </c>
      <c r="E15" s="85"/>
      <c r="F15" s="85" t="s">
        <v>1062</v>
      </c>
      <c r="G15" s="85" t="s">
        <v>1016</v>
      </c>
      <c r="H15" s="85" t="s">
        <v>170</v>
      </c>
      <c r="I15" s="86">
        <v>261</v>
      </c>
      <c r="J15" s="86">
        <v>261</v>
      </c>
      <c r="K15" s="87">
        <v>1</v>
      </c>
      <c r="L15" s="87">
        <v>1</v>
      </c>
      <c r="M15" s="88">
        <v>1</v>
      </c>
      <c r="N15" s="89"/>
      <c r="O15" s="87"/>
      <c r="P15" s="87"/>
      <c r="Q15" s="87"/>
      <c r="R15" s="87"/>
      <c r="S15" s="87">
        <v>1</v>
      </c>
      <c r="T15" s="87"/>
      <c r="U15" s="87">
        <v>0</v>
      </c>
      <c r="V15" s="90" t="s">
        <v>1062</v>
      </c>
    </row>
    <row r="16" ht="15" customHeight="1" spans="1:23" x14ac:dyDescent="0.25">
      <c r="A16" s="85">
        <v>3682</v>
      </c>
      <c r="B16" s="85" t="s">
        <v>1551</v>
      </c>
      <c r="C16" s="85" t="s">
        <v>357</v>
      </c>
      <c r="D16" s="85" t="s">
        <v>898</v>
      </c>
      <c r="E16" s="85"/>
      <c r="F16" s="85" t="s">
        <v>155</v>
      </c>
      <c r="G16" s="85"/>
      <c r="H16" s="85"/>
      <c r="I16" s="86"/>
      <c r="J16" s="86"/>
      <c r="K16" s="87"/>
      <c r="L16" s="87"/>
      <c r="M16" s="88"/>
      <c r="N16" s="89"/>
      <c r="O16" s="87"/>
      <c r="P16" s="87"/>
      <c r="Q16" s="87"/>
      <c r="R16" s="87"/>
      <c r="S16" s="87">
        <v>0.8000000000000002</v>
      </c>
      <c r="T16" s="87">
        <v>0.8000000000000002</v>
      </c>
      <c r="U16" s="87">
        <v>0.8000000000000002</v>
      </c>
      <c r="V16" s="90" t="s">
        <v>1552</v>
      </c>
    </row>
    <row r="17" ht="15" customHeight="1" spans="1:23" x14ac:dyDescent="0.25">
      <c r="A17" s="85">
        <v>3682</v>
      </c>
      <c r="B17" s="85" t="s">
        <v>1551</v>
      </c>
      <c r="C17" s="85" t="s">
        <v>357</v>
      </c>
      <c r="D17" s="85" t="s">
        <v>898</v>
      </c>
      <c r="E17" s="85"/>
      <c r="F17" s="85" t="s">
        <v>1062</v>
      </c>
      <c r="G17" s="85" t="s">
        <v>911</v>
      </c>
      <c r="H17" s="85" t="s">
        <v>170</v>
      </c>
      <c r="I17" s="86">
        <v>261</v>
      </c>
      <c r="J17" s="86">
        <v>197</v>
      </c>
      <c r="K17" s="87">
        <v>0.7547892720306514</v>
      </c>
      <c r="L17" s="87">
        <v>0.8</v>
      </c>
      <c r="M17" s="88">
        <v>0.6038314176245212</v>
      </c>
      <c r="N17" s="89"/>
      <c r="O17" s="87"/>
      <c r="P17" s="87"/>
      <c r="Q17" s="87"/>
      <c r="R17" s="87"/>
      <c r="S17" s="87">
        <v>0.6038314176245212</v>
      </c>
      <c r="T17" s="87"/>
      <c r="U17" s="87">
        <v>0.6038314176245212</v>
      </c>
      <c r="V17" s="90" t="s">
        <v>1553</v>
      </c>
    </row>
    <row r="18" ht="15" customHeight="1" spans="1:23" x14ac:dyDescent="0.25">
      <c r="A18" s="85">
        <v>3682</v>
      </c>
      <c r="B18" s="85" t="s">
        <v>1551</v>
      </c>
      <c r="C18" s="85" t="s">
        <v>357</v>
      </c>
      <c r="D18" s="85" t="s">
        <v>898</v>
      </c>
      <c r="E18" s="85"/>
      <c r="F18" s="85" t="s">
        <v>1062</v>
      </c>
      <c r="G18" s="85" t="s">
        <v>1016</v>
      </c>
      <c r="H18" s="85" t="s">
        <v>1025</v>
      </c>
      <c r="I18" s="86">
        <v>261</v>
      </c>
      <c r="J18" s="86">
        <v>64</v>
      </c>
      <c r="K18" s="87">
        <v>0.24521072796934865</v>
      </c>
      <c r="L18" s="87">
        <v>0.8</v>
      </c>
      <c r="M18" s="88">
        <v>0.19616858237547893</v>
      </c>
      <c r="N18" s="89"/>
      <c r="O18" s="87"/>
      <c r="P18" s="87"/>
      <c r="Q18" s="87"/>
      <c r="R18" s="87"/>
      <c r="S18" s="87">
        <v>0.19616858237547893</v>
      </c>
      <c r="T18" s="87"/>
      <c r="U18" s="87">
        <v>0.19616858237547893</v>
      </c>
      <c r="V18" s="90" t="s">
        <v>1554</v>
      </c>
    </row>
    <row r="19" ht="15" customHeight="1" spans="1:23" x14ac:dyDescent="0.25">
      <c r="A19" s="85">
        <v>3699</v>
      </c>
      <c r="B19" s="85" t="s">
        <v>1555</v>
      </c>
      <c r="C19" s="85" t="s">
        <v>357</v>
      </c>
      <c r="D19" s="85" t="s">
        <v>176</v>
      </c>
      <c r="E19" s="85"/>
      <c r="F19" s="85" t="s">
        <v>155</v>
      </c>
      <c r="G19" s="85"/>
      <c r="H19" s="85"/>
      <c r="I19" s="86"/>
      <c r="J19" s="86"/>
      <c r="K19" s="87"/>
      <c r="L19" s="87"/>
      <c r="M19" s="88"/>
      <c r="N19" s="89"/>
      <c r="O19" s="87"/>
      <c r="P19" s="87"/>
      <c r="Q19" s="87"/>
      <c r="R19" s="87"/>
      <c r="S19" s="87">
        <v>1</v>
      </c>
      <c r="T19" s="87">
        <v>1</v>
      </c>
      <c r="U19" s="87">
        <v>1</v>
      </c>
      <c r="V19" s="90" t="s">
        <v>1556</v>
      </c>
    </row>
    <row r="20" ht="15" customHeight="1" spans="1:23" x14ac:dyDescent="0.25">
      <c r="A20" s="85">
        <v>3699</v>
      </c>
      <c r="B20" s="85" t="s">
        <v>1555</v>
      </c>
      <c r="C20" s="85" t="s">
        <v>357</v>
      </c>
      <c r="D20" s="85" t="s">
        <v>176</v>
      </c>
      <c r="E20" s="85"/>
      <c r="F20" s="85" t="s">
        <v>1062</v>
      </c>
      <c r="G20" s="85" t="s">
        <v>1016</v>
      </c>
      <c r="H20" s="85" t="s">
        <v>170</v>
      </c>
      <c r="I20" s="86">
        <v>261</v>
      </c>
      <c r="J20" s="86">
        <v>261</v>
      </c>
      <c r="K20" s="87">
        <v>1</v>
      </c>
      <c r="L20" s="87">
        <v>1</v>
      </c>
      <c r="M20" s="88">
        <v>1</v>
      </c>
      <c r="N20" s="89"/>
      <c r="O20" s="87"/>
      <c r="P20" s="87"/>
      <c r="Q20" s="87"/>
      <c r="R20" s="87"/>
      <c r="S20" s="87">
        <v>1</v>
      </c>
      <c r="T20" s="87"/>
      <c r="U20" s="87">
        <v>1</v>
      </c>
      <c r="V20" s="90" t="s">
        <v>1556</v>
      </c>
    </row>
    <row r="21" ht="15" customHeight="1" spans="1:23" x14ac:dyDescent="0.25">
      <c r="A21" s="85">
        <v>4282</v>
      </c>
      <c r="B21" s="85" t="s">
        <v>1557</v>
      </c>
      <c r="C21" s="85" t="s">
        <v>357</v>
      </c>
      <c r="D21" s="85" t="s">
        <v>519</v>
      </c>
      <c r="E21" s="85"/>
      <c r="F21" s="85" t="s">
        <v>155</v>
      </c>
      <c r="G21" s="85"/>
      <c r="H21" s="85"/>
      <c r="I21" s="86"/>
      <c r="J21" s="86"/>
      <c r="K21" s="87"/>
      <c r="L21" s="87"/>
      <c r="M21" s="88"/>
      <c r="N21" s="89"/>
      <c r="O21" s="87"/>
      <c r="P21" s="87"/>
      <c r="Q21" s="87"/>
      <c r="R21" s="87"/>
      <c r="S21" s="87">
        <v>1</v>
      </c>
      <c r="T21" s="87">
        <v>1</v>
      </c>
      <c r="U21" s="87">
        <v>1</v>
      </c>
      <c r="V21" s="90" t="s">
        <v>1558</v>
      </c>
    </row>
    <row r="22" ht="15" customHeight="1" spans="1:23" x14ac:dyDescent="0.25">
      <c r="A22" s="85">
        <v>4282</v>
      </c>
      <c r="B22" s="85" t="s">
        <v>1557</v>
      </c>
      <c r="C22" s="85" t="s">
        <v>357</v>
      </c>
      <c r="D22" s="85" t="s">
        <v>519</v>
      </c>
      <c r="E22" s="85"/>
      <c r="F22" s="85" t="s">
        <v>1062</v>
      </c>
      <c r="G22" s="85" t="s">
        <v>1016</v>
      </c>
      <c r="H22" s="85" t="s">
        <v>170</v>
      </c>
      <c r="I22" s="86">
        <v>261</v>
      </c>
      <c r="J22" s="86">
        <v>261</v>
      </c>
      <c r="K22" s="87">
        <v>1</v>
      </c>
      <c r="L22" s="87">
        <v>1</v>
      </c>
      <c r="M22" s="88">
        <v>1</v>
      </c>
      <c r="N22" s="89"/>
      <c r="O22" s="87"/>
      <c r="P22" s="87"/>
      <c r="Q22" s="87"/>
      <c r="R22" s="87"/>
      <c r="S22" s="87">
        <v>1</v>
      </c>
      <c r="T22" s="87"/>
      <c r="U22" s="87">
        <v>1</v>
      </c>
      <c r="V22" s="90" t="s">
        <v>1558</v>
      </c>
    </row>
    <row r="23" ht="15" customHeight="1" spans="1:23" x14ac:dyDescent="0.25">
      <c r="A23" s="85">
        <v>5032</v>
      </c>
      <c r="B23" s="85" t="s">
        <v>1559</v>
      </c>
      <c r="C23" s="85" t="s">
        <v>357</v>
      </c>
      <c r="D23" s="85" t="s">
        <v>472</v>
      </c>
      <c r="E23" s="85"/>
      <c r="F23" s="85" t="s">
        <v>155</v>
      </c>
      <c r="G23" s="85"/>
      <c r="H23" s="85"/>
      <c r="I23" s="86"/>
      <c r="J23" s="86"/>
      <c r="K23" s="87"/>
      <c r="L23" s="87"/>
      <c r="M23" s="88"/>
      <c r="N23" s="89"/>
      <c r="O23" s="87"/>
      <c r="P23" s="87"/>
      <c r="Q23" s="87"/>
      <c r="R23" s="87"/>
      <c r="S23" s="87">
        <v>1</v>
      </c>
      <c r="T23" s="87">
        <v>1</v>
      </c>
      <c r="U23" s="87">
        <v>1</v>
      </c>
      <c r="V23" s="90" t="s">
        <v>1560</v>
      </c>
    </row>
    <row r="24" ht="15" customHeight="1" spans="1:23" x14ac:dyDescent="0.25">
      <c r="A24" s="85">
        <v>5032</v>
      </c>
      <c r="B24" s="85" t="s">
        <v>1559</v>
      </c>
      <c r="C24" s="85" t="s">
        <v>357</v>
      </c>
      <c r="D24" s="85" t="s">
        <v>472</v>
      </c>
      <c r="E24" s="85"/>
      <c r="F24" s="85" t="s">
        <v>1062</v>
      </c>
      <c r="G24" s="85" t="s">
        <v>1016</v>
      </c>
      <c r="H24" s="85" t="s">
        <v>170</v>
      </c>
      <c r="I24" s="86">
        <v>261</v>
      </c>
      <c r="J24" s="86">
        <v>261</v>
      </c>
      <c r="K24" s="87">
        <v>1</v>
      </c>
      <c r="L24" s="87">
        <v>1</v>
      </c>
      <c r="M24" s="88">
        <v>1</v>
      </c>
      <c r="N24" s="89"/>
      <c r="O24" s="87"/>
      <c r="P24" s="87"/>
      <c r="Q24" s="87"/>
      <c r="R24" s="87"/>
      <c r="S24" s="87">
        <v>1</v>
      </c>
      <c r="T24" s="87"/>
      <c r="U24" s="87">
        <v>1</v>
      </c>
      <c r="V24" s="90" t="s">
        <v>1561</v>
      </c>
    </row>
    <row r="25" ht="15" customHeight="1" spans="1:23" x14ac:dyDescent="0.25">
      <c r="A25" s="85">
        <v>5366</v>
      </c>
      <c r="B25" s="85" t="s">
        <v>1562</v>
      </c>
      <c r="C25" s="85" t="s">
        <v>357</v>
      </c>
      <c r="D25" s="85" t="s">
        <v>377</v>
      </c>
      <c r="E25" s="85"/>
      <c r="F25" s="85" t="s">
        <v>155</v>
      </c>
      <c r="G25" s="85"/>
      <c r="H25" s="85"/>
      <c r="I25" s="86"/>
      <c r="J25" s="86"/>
      <c r="K25" s="87"/>
      <c r="L25" s="87"/>
      <c r="M25" s="88"/>
      <c r="N25" s="89"/>
      <c r="O25" s="87"/>
      <c r="P25" s="87"/>
      <c r="Q25" s="87"/>
      <c r="R25" s="87"/>
      <c r="S25" s="87">
        <v>1</v>
      </c>
      <c r="T25" s="87">
        <v>1</v>
      </c>
      <c r="U25" s="87">
        <v>1</v>
      </c>
      <c r="V25" s="90" t="s">
        <v>1563</v>
      </c>
    </row>
    <row r="26" ht="15" customHeight="1" spans="1:23" x14ac:dyDescent="0.25">
      <c r="A26" s="85">
        <v>5366</v>
      </c>
      <c r="B26" s="85" t="s">
        <v>1562</v>
      </c>
      <c r="C26" s="85" t="s">
        <v>357</v>
      </c>
      <c r="D26" s="85" t="s">
        <v>377</v>
      </c>
      <c r="E26" s="85"/>
      <c r="F26" s="85" t="s">
        <v>1062</v>
      </c>
      <c r="G26" s="85" t="s">
        <v>1016</v>
      </c>
      <c r="H26" s="85" t="s">
        <v>170</v>
      </c>
      <c r="I26" s="86">
        <v>261</v>
      </c>
      <c r="J26" s="86">
        <v>261</v>
      </c>
      <c r="K26" s="87">
        <v>1</v>
      </c>
      <c r="L26" s="87">
        <v>1</v>
      </c>
      <c r="M26" s="88">
        <v>1</v>
      </c>
      <c r="N26" s="89"/>
      <c r="O26" s="87"/>
      <c r="P26" s="87"/>
      <c r="Q26" s="87"/>
      <c r="R26" s="87"/>
      <c r="S26" s="87">
        <v>1</v>
      </c>
      <c r="T26" s="87"/>
      <c r="U26" s="87">
        <v>1</v>
      </c>
      <c r="V26" s="90" t="s">
        <v>1564</v>
      </c>
    </row>
    <row r="27" ht="15" customHeight="1" spans="1:23" x14ac:dyDescent="0.25">
      <c r="A27" s="85">
        <v>5830</v>
      </c>
      <c r="B27" s="85" t="s">
        <v>1565</v>
      </c>
      <c r="C27" s="85" t="s">
        <v>357</v>
      </c>
      <c r="D27" s="85" t="s">
        <v>730</v>
      </c>
      <c r="E27" s="85"/>
      <c r="F27" s="85" t="s">
        <v>155</v>
      </c>
      <c r="G27" s="85"/>
      <c r="H27" s="85"/>
      <c r="I27" s="86"/>
      <c r="J27" s="86"/>
      <c r="K27" s="87"/>
      <c r="L27" s="87"/>
      <c r="M27" s="88"/>
      <c r="N27" s="89"/>
      <c r="O27" s="87"/>
      <c r="P27" s="87"/>
      <c r="Q27" s="87">
        <v>1</v>
      </c>
      <c r="R27" s="87"/>
      <c r="S27" s="87">
        <v>1</v>
      </c>
      <c r="T27" s="87">
        <v>1</v>
      </c>
      <c r="U27" s="87">
        <v>1</v>
      </c>
      <c r="V27" s="90" t="s">
        <v>1566</v>
      </c>
    </row>
    <row r="28" ht="15" customHeight="1" spans="1:23" x14ac:dyDescent="0.25">
      <c r="A28" s="85">
        <v>5830</v>
      </c>
      <c r="B28" s="85" t="s">
        <v>1565</v>
      </c>
      <c r="C28" s="85" t="s">
        <v>357</v>
      </c>
      <c r="D28" s="85" t="s">
        <v>730</v>
      </c>
      <c r="E28" s="85"/>
      <c r="F28" s="85" t="s">
        <v>1062</v>
      </c>
      <c r="G28" s="85" t="s">
        <v>1016</v>
      </c>
      <c r="H28" s="85" t="s">
        <v>170</v>
      </c>
      <c r="I28" s="86">
        <v>261</v>
      </c>
      <c r="J28" s="86">
        <v>261</v>
      </c>
      <c r="K28" s="87">
        <v>1</v>
      </c>
      <c r="L28" s="87">
        <v>1</v>
      </c>
      <c r="M28" s="88">
        <v>1</v>
      </c>
      <c r="N28" s="89">
        <v>1</v>
      </c>
      <c r="O28" s="87">
        <v>1</v>
      </c>
      <c r="P28" s="87"/>
      <c r="Q28" s="87">
        <v>1</v>
      </c>
      <c r="R28" s="87"/>
      <c r="S28" s="87">
        <v>1</v>
      </c>
      <c r="T28" s="87"/>
      <c r="U28" s="87">
        <v>1</v>
      </c>
      <c r="V28" s="90" t="s">
        <v>1567</v>
      </c>
    </row>
    <row r="29" ht="15" customHeight="1" spans="1:23" x14ac:dyDescent="0.25">
      <c r="A29" s="85">
        <v>5839</v>
      </c>
      <c r="B29" s="85" t="s">
        <v>1568</v>
      </c>
      <c r="C29" s="85" t="s">
        <v>357</v>
      </c>
      <c r="D29" s="85" t="s">
        <v>686</v>
      </c>
      <c r="E29" s="85"/>
      <c r="F29" s="85" t="s">
        <v>155</v>
      </c>
      <c r="G29" s="85"/>
      <c r="H29" s="85"/>
      <c r="I29" s="86"/>
      <c r="J29" s="86"/>
      <c r="K29" s="87"/>
      <c r="L29" s="87"/>
      <c r="M29" s="88"/>
      <c r="N29" s="89"/>
      <c r="O29" s="87"/>
      <c r="P29" s="87"/>
      <c r="Q29" s="87"/>
      <c r="R29" s="87"/>
      <c r="S29" s="87">
        <v>1</v>
      </c>
      <c r="T29" s="87">
        <v>1</v>
      </c>
      <c r="U29" s="87">
        <v>1</v>
      </c>
      <c r="V29" s="90" t="s">
        <v>1569</v>
      </c>
    </row>
    <row r="30" ht="15" customHeight="1" spans="1:23" x14ac:dyDescent="0.25">
      <c r="A30" s="85">
        <v>5839</v>
      </c>
      <c r="B30" s="85" t="s">
        <v>1568</v>
      </c>
      <c r="C30" s="85" t="s">
        <v>357</v>
      </c>
      <c r="D30" s="85" t="s">
        <v>686</v>
      </c>
      <c r="E30" s="85"/>
      <c r="F30" s="85" t="s">
        <v>1062</v>
      </c>
      <c r="G30" s="85" t="s">
        <v>1016</v>
      </c>
      <c r="H30" s="85" t="s">
        <v>170</v>
      </c>
      <c r="I30" s="86">
        <v>261</v>
      </c>
      <c r="J30" s="86">
        <v>261</v>
      </c>
      <c r="K30" s="87">
        <v>1</v>
      </c>
      <c r="L30" s="87">
        <v>1</v>
      </c>
      <c r="M30" s="88">
        <v>1</v>
      </c>
      <c r="N30" s="89"/>
      <c r="O30" s="87"/>
      <c r="P30" s="87"/>
      <c r="Q30" s="87"/>
      <c r="R30" s="87"/>
      <c r="S30" s="87">
        <v>1</v>
      </c>
      <c r="T30" s="87"/>
      <c r="U30" s="87">
        <v>1</v>
      </c>
      <c r="V30" s="90" t="s">
        <v>1569</v>
      </c>
    </row>
    <row r="31" ht="15" customHeight="1" spans="1:23" x14ac:dyDescent="0.25">
      <c r="A31" s="85">
        <v>5973</v>
      </c>
      <c r="B31" s="85" t="s">
        <v>1570</v>
      </c>
      <c r="C31" s="85" t="s">
        <v>357</v>
      </c>
      <c r="D31" s="85" t="s">
        <v>619</v>
      </c>
      <c r="E31" s="85"/>
      <c r="F31" s="85" t="s">
        <v>155</v>
      </c>
      <c r="G31" s="85"/>
      <c r="H31" s="85"/>
      <c r="I31" s="86"/>
      <c r="J31" s="86"/>
      <c r="K31" s="87"/>
      <c r="L31" s="87"/>
      <c r="M31" s="88"/>
      <c r="N31" s="89"/>
      <c r="O31" s="87"/>
      <c r="P31" s="87"/>
      <c r="Q31" s="87"/>
      <c r="R31" s="87"/>
      <c r="S31" s="87">
        <v>1</v>
      </c>
      <c r="T31" s="87">
        <v>1</v>
      </c>
      <c r="U31" s="87"/>
      <c r="V31" s="90" t="s">
        <v>1062</v>
      </c>
    </row>
    <row r="32" ht="15" customHeight="1" spans="1:23" x14ac:dyDescent="0.25">
      <c r="A32" s="85">
        <v>5973</v>
      </c>
      <c r="B32" s="85" t="s">
        <v>1570</v>
      </c>
      <c r="C32" s="85" t="s">
        <v>357</v>
      </c>
      <c r="D32" s="85" t="s">
        <v>619</v>
      </c>
      <c r="E32" s="85"/>
      <c r="F32" s="85" t="s">
        <v>1062</v>
      </c>
      <c r="G32" s="85" t="s">
        <v>1016</v>
      </c>
      <c r="H32" s="85" t="s">
        <v>170</v>
      </c>
      <c r="I32" s="86">
        <v>261</v>
      </c>
      <c r="J32" s="86">
        <v>261</v>
      </c>
      <c r="K32" s="87">
        <v>1</v>
      </c>
      <c r="L32" s="87">
        <v>1</v>
      </c>
      <c r="M32" s="88">
        <v>1</v>
      </c>
      <c r="N32" s="89"/>
      <c r="O32" s="87"/>
      <c r="P32" s="87"/>
      <c r="Q32" s="87"/>
      <c r="R32" s="87"/>
      <c r="S32" s="87">
        <v>1</v>
      </c>
      <c r="T32" s="87"/>
      <c r="U32" s="87">
        <v>0</v>
      </c>
      <c r="V32" s="90" t="s">
        <v>1062</v>
      </c>
    </row>
    <row r="33" ht="15" customHeight="1" spans="1:23" x14ac:dyDescent="0.25">
      <c r="A33" s="85">
        <v>6375</v>
      </c>
      <c r="B33" s="85" t="s">
        <v>1571</v>
      </c>
      <c r="C33" s="85" t="s">
        <v>161</v>
      </c>
      <c r="D33" s="85" t="s">
        <v>163</v>
      </c>
      <c r="E33" s="85"/>
      <c r="F33" s="85" t="s">
        <v>155</v>
      </c>
      <c r="G33" s="85"/>
      <c r="H33" s="85"/>
      <c r="I33" s="86"/>
      <c r="J33" s="86"/>
      <c r="K33" s="87"/>
      <c r="L33" s="87"/>
      <c r="M33" s="88"/>
      <c r="N33" s="89"/>
      <c r="O33" s="87"/>
      <c r="P33" s="87"/>
      <c r="Q33" s="87"/>
      <c r="R33" s="87"/>
      <c r="S33" s="87">
        <v>1</v>
      </c>
      <c r="T33" s="87">
        <v>1</v>
      </c>
      <c r="U33" s="87"/>
      <c r="V33" s="90" t="s">
        <v>1062</v>
      </c>
    </row>
    <row r="34" ht="15" customHeight="1" spans="1:23" x14ac:dyDescent="0.25">
      <c r="A34" s="85">
        <v>6375</v>
      </c>
      <c r="B34" s="85" t="s">
        <v>1571</v>
      </c>
      <c r="C34" s="85" t="s">
        <v>161</v>
      </c>
      <c r="D34" s="85" t="s">
        <v>163</v>
      </c>
      <c r="E34" s="85"/>
      <c r="F34" s="85" t="s">
        <v>1062</v>
      </c>
      <c r="G34" s="85" t="s">
        <v>1016</v>
      </c>
      <c r="H34" s="85" t="s">
        <v>170</v>
      </c>
      <c r="I34" s="86">
        <v>261</v>
      </c>
      <c r="J34" s="86">
        <v>261</v>
      </c>
      <c r="K34" s="87">
        <v>1</v>
      </c>
      <c r="L34" s="87">
        <v>1</v>
      </c>
      <c r="M34" s="88">
        <v>1</v>
      </c>
      <c r="N34" s="89"/>
      <c r="O34" s="87"/>
      <c r="P34" s="87"/>
      <c r="Q34" s="87"/>
      <c r="R34" s="87"/>
      <c r="S34" s="87">
        <v>1</v>
      </c>
      <c r="T34" s="87"/>
      <c r="U34" s="87">
        <v>0</v>
      </c>
      <c r="V34" s="90" t="s">
        <v>1062</v>
      </c>
    </row>
    <row r="35" ht="15" customHeight="1" spans="1:23" x14ac:dyDescent="0.25">
      <c r="A35" s="85">
        <v>6858</v>
      </c>
      <c r="B35" s="85" t="s">
        <v>1572</v>
      </c>
      <c r="C35" s="85" t="s">
        <v>357</v>
      </c>
      <c r="D35" s="85" t="s">
        <v>568</v>
      </c>
      <c r="E35" s="85"/>
      <c r="F35" s="85" t="s">
        <v>155</v>
      </c>
      <c r="G35" s="85"/>
      <c r="H35" s="85"/>
      <c r="I35" s="86"/>
      <c r="J35" s="86"/>
      <c r="K35" s="87"/>
      <c r="L35" s="87"/>
      <c r="M35" s="88"/>
      <c r="N35" s="89"/>
      <c r="O35" s="87"/>
      <c r="P35" s="87"/>
      <c r="Q35" s="87"/>
      <c r="R35" s="87"/>
      <c r="S35" s="87">
        <v>1</v>
      </c>
      <c r="T35" s="87">
        <v>1</v>
      </c>
      <c r="U35" s="87">
        <v>1</v>
      </c>
      <c r="V35" s="90" t="s">
        <v>1573</v>
      </c>
    </row>
    <row r="36" ht="15" customHeight="1" spans="1:23" x14ac:dyDescent="0.25">
      <c r="A36" s="85">
        <v>6858</v>
      </c>
      <c r="B36" s="85" t="s">
        <v>1572</v>
      </c>
      <c r="C36" s="85" t="s">
        <v>357</v>
      </c>
      <c r="D36" s="85" t="s">
        <v>568</v>
      </c>
      <c r="E36" s="85"/>
      <c r="F36" s="85" t="s">
        <v>1062</v>
      </c>
      <c r="G36" s="85" t="s">
        <v>1016</v>
      </c>
      <c r="H36" s="85" t="s">
        <v>170</v>
      </c>
      <c r="I36" s="86">
        <v>261</v>
      </c>
      <c r="J36" s="86">
        <v>261</v>
      </c>
      <c r="K36" s="87">
        <v>1</v>
      </c>
      <c r="L36" s="87">
        <v>1</v>
      </c>
      <c r="M36" s="88">
        <v>1</v>
      </c>
      <c r="N36" s="89"/>
      <c r="O36" s="87"/>
      <c r="P36" s="87"/>
      <c r="Q36" s="87"/>
      <c r="R36" s="87"/>
      <c r="S36" s="87">
        <v>1</v>
      </c>
      <c r="T36" s="87"/>
      <c r="U36" s="87">
        <v>1</v>
      </c>
      <c r="V36" s="90" t="s">
        <v>1573</v>
      </c>
    </row>
    <row r="37" ht="15" customHeight="1" spans="1:23" x14ac:dyDescent="0.25">
      <c r="A37" s="85">
        <v>6926</v>
      </c>
      <c r="B37" s="85" t="s">
        <v>1574</v>
      </c>
      <c r="C37" s="85" t="s">
        <v>357</v>
      </c>
      <c r="D37" s="85" t="s">
        <v>417</v>
      </c>
      <c r="E37" s="85"/>
      <c r="F37" s="85" t="s">
        <v>155</v>
      </c>
      <c r="G37" s="85"/>
      <c r="H37" s="85"/>
      <c r="I37" s="86"/>
      <c r="J37" s="86"/>
      <c r="K37" s="87"/>
      <c r="L37" s="87"/>
      <c r="M37" s="88"/>
      <c r="N37" s="89"/>
      <c r="O37" s="87"/>
      <c r="P37" s="87"/>
      <c r="Q37" s="87"/>
      <c r="R37" s="87"/>
      <c r="S37" s="87">
        <v>1</v>
      </c>
      <c r="T37" s="87">
        <v>1</v>
      </c>
      <c r="U37" s="87"/>
      <c r="V37" s="90" t="s">
        <v>1062</v>
      </c>
    </row>
    <row r="38" ht="15" customHeight="1" spans="1:23" x14ac:dyDescent="0.25">
      <c r="A38" s="85">
        <v>6926</v>
      </c>
      <c r="B38" s="85" t="s">
        <v>1574</v>
      </c>
      <c r="C38" s="85" t="s">
        <v>357</v>
      </c>
      <c r="D38" s="85" t="s">
        <v>417</v>
      </c>
      <c r="E38" s="85"/>
      <c r="F38" s="85" t="s">
        <v>1062</v>
      </c>
      <c r="G38" s="85" t="s">
        <v>1016</v>
      </c>
      <c r="H38" s="85" t="s">
        <v>170</v>
      </c>
      <c r="I38" s="86">
        <v>261</v>
      </c>
      <c r="J38" s="86">
        <v>261</v>
      </c>
      <c r="K38" s="87">
        <v>1</v>
      </c>
      <c r="L38" s="87">
        <v>1</v>
      </c>
      <c r="M38" s="88">
        <v>1</v>
      </c>
      <c r="N38" s="89"/>
      <c r="O38" s="87"/>
      <c r="P38" s="87"/>
      <c r="Q38" s="87"/>
      <c r="R38" s="87"/>
      <c r="S38" s="87">
        <v>1</v>
      </c>
      <c r="T38" s="87"/>
      <c r="U38" s="87">
        <v>0</v>
      </c>
      <c r="V38" s="90" t="s">
        <v>1062</v>
      </c>
    </row>
    <row r="39" ht="15" customHeight="1" spans="1:23" x14ac:dyDescent="0.25">
      <c r="A39" s="85">
        <v>6961</v>
      </c>
      <c r="B39" s="85" t="s">
        <v>1575</v>
      </c>
      <c r="C39" s="85" t="s">
        <v>942</v>
      </c>
      <c r="D39" s="85" t="s">
        <v>176</v>
      </c>
      <c r="E39" s="85"/>
      <c r="F39" s="85" t="s">
        <v>155</v>
      </c>
      <c r="G39" s="85"/>
      <c r="H39" s="85"/>
      <c r="I39" s="86"/>
      <c r="J39" s="86"/>
      <c r="K39" s="87"/>
      <c r="L39" s="87"/>
      <c r="M39" s="88"/>
      <c r="N39" s="89"/>
      <c r="O39" s="87"/>
      <c r="P39" s="87"/>
      <c r="Q39" s="87"/>
      <c r="R39" s="87"/>
      <c r="S39" s="87">
        <v>1</v>
      </c>
      <c r="T39" s="87">
        <v>1</v>
      </c>
      <c r="U39" s="87"/>
      <c r="V39" s="90" t="s">
        <v>1062</v>
      </c>
    </row>
    <row r="40" ht="15" customHeight="1" spans="1:23" x14ac:dyDescent="0.25">
      <c r="A40" s="85">
        <v>6961</v>
      </c>
      <c r="B40" s="85" t="s">
        <v>1575</v>
      </c>
      <c r="C40" s="85" t="s">
        <v>942</v>
      </c>
      <c r="D40" s="85" t="s">
        <v>176</v>
      </c>
      <c r="E40" s="85"/>
      <c r="F40" s="85" t="s">
        <v>1062</v>
      </c>
      <c r="G40" s="85" t="s">
        <v>1016</v>
      </c>
      <c r="H40" s="85" t="s">
        <v>170</v>
      </c>
      <c r="I40" s="86">
        <v>261</v>
      </c>
      <c r="J40" s="86">
        <v>261</v>
      </c>
      <c r="K40" s="87">
        <v>1</v>
      </c>
      <c r="L40" s="87">
        <v>1</v>
      </c>
      <c r="M40" s="88">
        <v>1</v>
      </c>
      <c r="N40" s="89"/>
      <c r="O40" s="87"/>
      <c r="P40" s="87"/>
      <c r="Q40" s="87"/>
      <c r="R40" s="87"/>
      <c r="S40" s="87">
        <v>1</v>
      </c>
      <c r="T40" s="87"/>
      <c r="U40" s="87">
        <v>0</v>
      </c>
      <c r="V40" s="90" t="s">
        <v>1062</v>
      </c>
    </row>
    <row r="41" ht="15" customHeight="1" spans="1:23" x14ac:dyDescent="0.25">
      <c r="A41" s="85">
        <v>6994</v>
      </c>
      <c r="B41" s="85" t="s">
        <v>1576</v>
      </c>
      <c r="C41" s="85" t="s">
        <v>357</v>
      </c>
      <c r="D41" s="85" t="s">
        <v>583</v>
      </c>
      <c r="E41" s="85"/>
      <c r="F41" s="85" t="s">
        <v>155</v>
      </c>
      <c r="G41" s="85"/>
      <c r="H41" s="85"/>
      <c r="I41" s="86"/>
      <c r="J41" s="86"/>
      <c r="K41" s="87"/>
      <c r="L41" s="87"/>
      <c r="M41" s="88"/>
      <c r="N41" s="89"/>
      <c r="O41" s="87"/>
      <c r="P41" s="87"/>
      <c r="Q41" s="87"/>
      <c r="R41" s="87"/>
      <c r="S41" s="87">
        <v>1</v>
      </c>
      <c r="T41" s="87">
        <v>1</v>
      </c>
      <c r="U41" s="87">
        <v>1</v>
      </c>
      <c r="V41" s="90" t="s">
        <v>1558</v>
      </c>
    </row>
    <row r="42" ht="15" customHeight="1" spans="1:23" x14ac:dyDescent="0.25">
      <c r="A42" s="85">
        <v>6994</v>
      </c>
      <c r="B42" s="85" t="s">
        <v>1576</v>
      </c>
      <c r="C42" s="85" t="s">
        <v>357</v>
      </c>
      <c r="D42" s="85" t="s">
        <v>583</v>
      </c>
      <c r="E42" s="85"/>
      <c r="F42" s="85" t="s">
        <v>1062</v>
      </c>
      <c r="G42" s="85" t="s">
        <v>1016</v>
      </c>
      <c r="H42" s="85" t="s">
        <v>170</v>
      </c>
      <c r="I42" s="86">
        <v>261</v>
      </c>
      <c r="J42" s="86">
        <v>261</v>
      </c>
      <c r="K42" s="87">
        <v>1</v>
      </c>
      <c r="L42" s="87">
        <v>1</v>
      </c>
      <c r="M42" s="88">
        <v>1</v>
      </c>
      <c r="N42" s="89"/>
      <c r="O42" s="87"/>
      <c r="P42" s="87"/>
      <c r="Q42" s="87"/>
      <c r="R42" s="87"/>
      <c r="S42" s="87">
        <v>1</v>
      </c>
      <c r="T42" s="87"/>
      <c r="U42" s="87">
        <v>1</v>
      </c>
      <c r="V42" s="90" t="s">
        <v>1558</v>
      </c>
    </row>
    <row r="43" ht="15" customHeight="1" spans="1:23" x14ac:dyDescent="0.25">
      <c r="A43" s="85">
        <v>7048</v>
      </c>
      <c r="B43" s="85" t="s">
        <v>1577</v>
      </c>
      <c r="C43" s="85" t="s">
        <v>357</v>
      </c>
      <c r="D43" s="85" t="s">
        <v>808</v>
      </c>
      <c r="E43" s="85"/>
      <c r="F43" s="85" t="s">
        <v>155</v>
      </c>
      <c r="G43" s="85"/>
      <c r="H43" s="85"/>
      <c r="I43" s="86"/>
      <c r="J43" s="86"/>
      <c r="K43" s="87"/>
      <c r="L43" s="87"/>
      <c r="M43" s="88"/>
      <c r="N43" s="89"/>
      <c r="O43" s="87"/>
      <c r="P43" s="87"/>
      <c r="Q43" s="87"/>
      <c r="R43" s="87">
        <v>0.5</v>
      </c>
      <c r="S43" s="87">
        <v>0</v>
      </c>
      <c r="T43" s="87">
        <v>0.5</v>
      </c>
      <c r="U43" s="87"/>
      <c r="V43" s="90" t="s">
        <v>1578</v>
      </c>
    </row>
    <row r="44" ht="15" customHeight="1" spans="1:23" x14ac:dyDescent="0.25">
      <c r="A44" s="85">
        <v>7048</v>
      </c>
      <c r="B44" s="85" t="s">
        <v>1577</v>
      </c>
      <c r="C44" s="85" t="s">
        <v>357</v>
      </c>
      <c r="D44" s="85" t="s">
        <v>808</v>
      </c>
      <c r="E44" s="85"/>
      <c r="F44" s="85" t="s">
        <v>1062</v>
      </c>
      <c r="G44" s="85" t="s">
        <v>1016</v>
      </c>
      <c r="H44" s="85" t="s">
        <v>170</v>
      </c>
      <c r="I44" s="86">
        <v>261</v>
      </c>
      <c r="J44" s="86">
        <v>261</v>
      </c>
      <c r="K44" s="87">
        <v>1</v>
      </c>
      <c r="L44" s="87">
        <v>0.5</v>
      </c>
      <c r="M44" s="88">
        <v>0.5</v>
      </c>
      <c r="N44" s="89">
        <v>1</v>
      </c>
      <c r="O44" s="87">
        <v>0.5</v>
      </c>
      <c r="P44" s="87"/>
      <c r="Q44" s="87"/>
      <c r="R44" s="87">
        <v>0.5</v>
      </c>
      <c r="S44" s="87">
        <v>0</v>
      </c>
      <c r="T44" s="87"/>
      <c r="U44" s="87">
        <v>0</v>
      </c>
      <c r="V44" s="90" t="s">
        <v>1579</v>
      </c>
    </row>
    <row r="45" ht="15" customHeight="1" spans="1:23" x14ac:dyDescent="0.25">
      <c r="A45" s="85">
        <v>7094</v>
      </c>
      <c r="B45" s="85" t="s">
        <v>1580</v>
      </c>
      <c r="C45" s="85" t="s">
        <v>357</v>
      </c>
      <c r="D45" s="85" t="s">
        <v>813</v>
      </c>
      <c r="E45" s="85"/>
      <c r="F45" s="85" t="s">
        <v>155</v>
      </c>
      <c r="G45" s="85"/>
      <c r="H45" s="85"/>
      <c r="I45" s="86"/>
      <c r="J45" s="86"/>
      <c r="K45" s="87"/>
      <c r="L45" s="87"/>
      <c r="M45" s="88"/>
      <c r="N45" s="89"/>
      <c r="O45" s="87"/>
      <c r="P45" s="87"/>
      <c r="Q45" s="87"/>
      <c r="R45" s="87"/>
      <c r="S45" s="87">
        <v>1</v>
      </c>
      <c r="T45" s="87">
        <v>1</v>
      </c>
      <c r="U45" s="87">
        <v>1</v>
      </c>
      <c r="V45" s="90" t="s">
        <v>1581</v>
      </c>
    </row>
    <row r="46" ht="15" customHeight="1" spans="1:23" x14ac:dyDescent="0.25">
      <c r="A46" s="85">
        <v>7094</v>
      </c>
      <c r="B46" s="85" t="s">
        <v>1580</v>
      </c>
      <c r="C46" s="85" t="s">
        <v>357</v>
      </c>
      <c r="D46" s="85" t="s">
        <v>813</v>
      </c>
      <c r="E46" s="85"/>
      <c r="F46" s="85" t="s">
        <v>1062</v>
      </c>
      <c r="G46" s="85" t="s">
        <v>1016</v>
      </c>
      <c r="H46" s="85" t="s">
        <v>170</v>
      </c>
      <c r="I46" s="86">
        <v>261</v>
      </c>
      <c r="J46" s="86">
        <v>261</v>
      </c>
      <c r="K46" s="87">
        <v>1</v>
      </c>
      <c r="L46" s="87">
        <v>1</v>
      </c>
      <c r="M46" s="88">
        <v>1</v>
      </c>
      <c r="N46" s="89"/>
      <c r="O46" s="87"/>
      <c r="P46" s="87"/>
      <c r="Q46" s="87"/>
      <c r="R46" s="87"/>
      <c r="S46" s="87">
        <v>1</v>
      </c>
      <c r="T46" s="87"/>
      <c r="U46" s="87">
        <v>1</v>
      </c>
      <c r="V46" s="90" t="s">
        <v>1581</v>
      </c>
    </row>
    <row r="47" ht="15" customHeight="1" spans="1:23" x14ac:dyDescent="0.25">
      <c r="A47" s="85">
        <v>7853</v>
      </c>
      <c r="B47" s="85" t="s">
        <v>1582</v>
      </c>
      <c r="C47" s="85" t="s">
        <v>357</v>
      </c>
      <c r="D47" s="85" t="s">
        <v>533</v>
      </c>
      <c r="E47" s="85"/>
      <c r="F47" s="85" t="s">
        <v>155</v>
      </c>
      <c r="G47" s="85"/>
      <c r="H47" s="85"/>
      <c r="I47" s="86"/>
      <c r="J47" s="86"/>
      <c r="K47" s="87"/>
      <c r="L47" s="87"/>
      <c r="M47" s="88"/>
      <c r="N47" s="89"/>
      <c r="O47" s="87"/>
      <c r="P47" s="87"/>
      <c r="Q47" s="87"/>
      <c r="R47" s="87"/>
      <c r="S47" s="87">
        <v>1</v>
      </c>
      <c r="T47" s="87">
        <v>1</v>
      </c>
      <c r="U47" s="87">
        <v>1</v>
      </c>
      <c r="V47" s="90" t="s">
        <v>1583</v>
      </c>
    </row>
    <row r="48" ht="15" customHeight="1" spans="1:23" x14ac:dyDescent="0.25">
      <c r="A48" s="85">
        <v>7853</v>
      </c>
      <c r="B48" s="85" t="s">
        <v>1582</v>
      </c>
      <c r="C48" s="85" t="s">
        <v>357</v>
      </c>
      <c r="D48" s="85" t="s">
        <v>533</v>
      </c>
      <c r="E48" s="85"/>
      <c r="F48" s="85" t="s">
        <v>1062</v>
      </c>
      <c r="G48" s="85" t="s">
        <v>1016</v>
      </c>
      <c r="H48" s="85" t="s">
        <v>170</v>
      </c>
      <c r="I48" s="86">
        <v>261</v>
      </c>
      <c r="J48" s="86">
        <v>261</v>
      </c>
      <c r="K48" s="87">
        <v>1</v>
      </c>
      <c r="L48" s="87">
        <v>1</v>
      </c>
      <c r="M48" s="88">
        <v>1</v>
      </c>
      <c r="N48" s="89"/>
      <c r="O48" s="87"/>
      <c r="P48" s="87"/>
      <c r="Q48" s="87"/>
      <c r="R48" s="87"/>
      <c r="S48" s="87">
        <v>1</v>
      </c>
      <c r="T48" s="87"/>
      <c r="U48" s="87">
        <v>1</v>
      </c>
      <c r="V48" s="90" t="s">
        <v>1583</v>
      </c>
    </row>
    <row r="49" ht="15" customHeight="1" spans="1:23" x14ac:dyDescent="0.25">
      <c r="A49" s="85">
        <v>7931</v>
      </c>
      <c r="B49" s="85" t="s">
        <v>1584</v>
      </c>
      <c r="C49" s="85" t="s">
        <v>357</v>
      </c>
      <c r="D49" s="85" t="s">
        <v>573</v>
      </c>
      <c r="E49" s="85"/>
      <c r="F49" s="85" t="s">
        <v>155</v>
      </c>
      <c r="G49" s="85"/>
      <c r="H49" s="85"/>
      <c r="I49" s="86"/>
      <c r="J49" s="86"/>
      <c r="K49" s="87"/>
      <c r="L49" s="87"/>
      <c r="M49" s="88"/>
      <c r="N49" s="89"/>
      <c r="O49" s="87"/>
      <c r="P49" s="87"/>
      <c r="Q49" s="87">
        <v>0.08812260536398467</v>
      </c>
      <c r="R49" s="87"/>
      <c r="S49" s="87">
        <v>1</v>
      </c>
      <c r="T49" s="87">
        <v>1</v>
      </c>
      <c r="U49" s="87">
        <v>1</v>
      </c>
      <c r="V49" s="90" t="s">
        <v>1585</v>
      </c>
    </row>
    <row r="50" ht="15" customHeight="1" spans="1:23" x14ac:dyDescent="0.25">
      <c r="A50" s="85">
        <v>7931</v>
      </c>
      <c r="B50" s="85" t="s">
        <v>1584</v>
      </c>
      <c r="C50" s="85" t="s">
        <v>357</v>
      </c>
      <c r="D50" s="85" t="s">
        <v>573</v>
      </c>
      <c r="E50" s="85"/>
      <c r="F50" s="85" t="s">
        <v>1062</v>
      </c>
      <c r="G50" s="85" t="s">
        <v>1049</v>
      </c>
      <c r="H50" s="85" t="s">
        <v>170</v>
      </c>
      <c r="I50" s="86">
        <v>261</v>
      </c>
      <c r="J50" s="86">
        <v>23</v>
      </c>
      <c r="K50" s="87">
        <v>0.08812260536398467</v>
      </c>
      <c r="L50" s="87">
        <v>1</v>
      </c>
      <c r="M50" s="88">
        <v>0.08812260536398467</v>
      </c>
      <c r="N50" s="89">
        <v>1</v>
      </c>
      <c r="O50" s="87">
        <v>0.08812260536398467</v>
      </c>
      <c r="P50" s="87"/>
      <c r="Q50" s="87">
        <v>0.08812260536398467</v>
      </c>
      <c r="R50" s="87"/>
      <c r="S50" s="87">
        <v>0.08812260536398467</v>
      </c>
      <c r="T50" s="87"/>
      <c r="U50" s="87">
        <v>0.08812260536398467</v>
      </c>
      <c r="V50" s="90" t="s">
        <v>1586</v>
      </c>
    </row>
    <row r="51" ht="15" customHeight="1" spans="1:23" x14ac:dyDescent="0.25">
      <c r="A51" s="85">
        <v>7931</v>
      </c>
      <c r="B51" s="85" t="s">
        <v>1584</v>
      </c>
      <c r="C51" s="85" t="s">
        <v>357</v>
      </c>
      <c r="D51" s="85" t="s">
        <v>573</v>
      </c>
      <c r="E51" s="85"/>
      <c r="F51" s="85" t="s">
        <v>1062</v>
      </c>
      <c r="G51" s="85" t="s">
        <v>1016</v>
      </c>
      <c r="H51" s="85" t="s">
        <v>1587</v>
      </c>
      <c r="I51" s="86">
        <v>261</v>
      </c>
      <c r="J51" s="86">
        <v>238</v>
      </c>
      <c r="K51" s="87">
        <v>0.9118773946360154</v>
      </c>
      <c r="L51" s="87">
        <v>1</v>
      </c>
      <c r="M51" s="88">
        <v>0.9118773946360154</v>
      </c>
      <c r="N51" s="89"/>
      <c r="O51" s="87"/>
      <c r="P51" s="87"/>
      <c r="Q51" s="87"/>
      <c r="R51" s="87"/>
      <c r="S51" s="87">
        <v>0.9118773946360154</v>
      </c>
      <c r="T51" s="87"/>
      <c r="U51" s="87">
        <v>0.9118773946360154</v>
      </c>
      <c r="V51" s="90" t="s">
        <v>1588</v>
      </c>
    </row>
    <row r="52" ht="15" customHeight="1" spans="1:23" x14ac:dyDescent="0.25">
      <c r="A52" s="85">
        <v>7953</v>
      </c>
      <c r="B52" s="85" t="s">
        <v>1589</v>
      </c>
      <c r="C52" s="85" t="s">
        <v>942</v>
      </c>
      <c r="D52" s="85" t="s">
        <v>176</v>
      </c>
      <c r="E52" s="85" t="s">
        <v>997</v>
      </c>
      <c r="F52" s="85" t="s">
        <v>155</v>
      </c>
      <c r="G52" s="85"/>
      <c r="H52" s="85"/>
      <c r="I52" s="86"/>
      <c r="J52" s="86"/>
      <c r="K52" s="87"/>
      <c r="L52" s="87"/>
      <c r="M52" s="88"/>
      <c r="N52" s="89"/>
      <c r="O52" s="87"/>
      <c r="P52" s="87"/>
      <c r="Q52" s="87"/>
      <c r="R52" s="87"/>
      <c r="S52" s="87">
        <v>0.09961685823754789</v>
      </c>
      <c r="T52" s="87">
        <v>0.09961685823754789</v>
      </c>
      <c r="U52" s="87">
        <v>0.09961685823754789</v>
      </c>
      <c r="V52" s="90" t="s">
        <v>1590</v>
      </c>
    </row>
    <row r="53" ht="15" customHeight="1" spans="1:23" x14ac:dyDescent="0.25">
      <c r="A53" s="85">
        <v>7953</v>
      </c>
      <c r="B53" s="85" t="s">
        <v>1589</v>
      </c>
      <c r="C53" s="85" t="s">
        <v>942</v>
      </c>
      <c r="D53" s="85" t="s">
        <v>176</v>
      </c>
      <c r="E53" s="85" t="s">
        <v>997</v>
      </c>
      <c r="F53" s="85" t="s">
        <v>1062</v>
      </c>
      <c r="G53" s="85" t="s">
        <v>1016</v>
      </c>
      <c r="H53" s="85" t="s">
        <v>997</v>
      </c>
      <c r="I53" s="86">
        <v>261</v>
      </c>
      <c r="J53" s="86">
        <v>26</v>
      </c>
      <c r="K53" s="87">
        <v>0.09961685823754789</v>
      </c>
      <c r="L53" s="87">
        <v>1</v>
      </c>
      <c r="M53" s="88">
        <v>0.09961685823754789</v>
      </c>
      <c r="N53" s="89"/>
      <c r="O53" s="87"/>
      <c r="P53" s="87"/>
      <c r="Q53" s="87"/>
      <c r="R53" s="87"/>
      <c r="S53" s="87">
        <v>0.09961685823754789</v>
      </c>
      <c r="T53" s="87"/>
      <c r="U53" s="87">
        <v>0.09961685823754789</v>
      </c>
      <c r="V53" s="90" t="s">
        <v>1590</v>
      </c>
    </row>
    <row r="54" ht="15" customHeight="1" spans="1:23" x14ac:dyDescent="0.25">
      <c r="A54" s="85">
        <v>8152</v>
      </c>
      <c r="B54" s="85" t="s">
        <v>1591</v>
      </c>
      <c r="C54" s="85" t="s">
        <v>357</v>
      </c>
      <c r="D54" s="85" t="s">
        <v>818</v>
      </c>
      <c r="E54" s="85"/>
      <c r="F54" s="85" t="s">
        <v>155</v>
      </c>
      <c r="G54" s="85"/>
      <c r="H54" s="85"/>
      <c r="I54" s="86"/>
      <c r="J54" s="86"/>
      <c r="K54" s="87"/>
      <c r="L54" s="87"/>
      <c r="M54" s="88"/>
      <c r="N54" s="89"/>
      <c r="O54" s="87"/>
      <c r="P54" s="87"/>
      <c r="Q54" s="87"/>
      <c r="R54" s="87"/>
      <c r="S54" s="87">
        <v>1</v>
      </c>
      <c r="T54" s="87">
        <v>1</v>
      </c>
      <c r="U54" s="87">
        <v>0.9999999999999999</v>
      </c>
      <c r="V54" s="90" t="s">
        <v>1592</v>
      </c>
    </row>
    <row r="55" ht="15" customHeight="1" spans="1:23" x14ac:dyDescent="0.25">
      <c r="A55" s="85">
        <v>8152</v>
      </c>
      <c r="B55" s="85" t="s">
        <v>1591</v>
      </c>
      <c r="C55" s="85" t="s">
        <v>357</v>
      </c>
      <c r="D55" s="85" t="s">
        <v>818</v>
      </c>
      <c r="E55" s="85"/>
      <c r="F55" s="85" t="s">
        <v>1062</v>
      </c>
      <c r="G55" s="85" t="s">
        <v>1049</v>
      </c>
      <c r="H55" s="85" t="s">
        <v>170</v>
      </c>
      <c r="I55" s="86">
        <v>261</v>
      </c>
      <c r="J55" s="86">
        <v>23</v>
      </c>
      <c r="K55" s="87">
        <v>0.08812260536398467</v>
      </c>
      <c r="L55" s="87">
        <v>1</v>
      </c>
      <c r="M55" s="88">
        <v>0.08812260536398467</v>
      </c>
      <c r="N55" s="89"/>
      <c r="O55" s="87"/>
      <c r="P55" s="87"/>
      <c r="Q55" s="87"/>
      <c r="R55" s="87"/>
      <c r="S55" s="87">
        <v>0.08812260536398467</v>
      </c>
      <c r="T55" s="87"/>
      <c r="U55" s="87">
        <v>0.08812260536398467</v>
      </c>
      <c r="V55" s="90" t="s">
        <v>1593</v>
      </c>
    </row>
    <row r="56" ht="15" customHeight="1" spans="1:23" x14ac:dyDescent="0.25">
      <c r="A56" s="85">
        <v>8152</v>
      </c>
      <c r="B56" s="85" t="s">
        <v>1591</v>
      </c>
      <c r="C56" s="85" t="s">
        <v>357</v>
      </c>
      <c r="D56" s="85" t="s">
        <v>818</v>
      </c>
      <c r="E56" s="85"/>
      <c r="F56" s="85" t="s">
        <v>1062</v>
      </c>
      <c r="G56" s="85" t="s">
        <v>1016</v>
      </c>
      <c r="H56" s="85" t="s">
        <v>1587</v>
      </c>
      <c r="I56" s="86">
        <v>261</v>
      </c>
      <c r="J56" s="86">
        <v>238</v>
      </c>
      <c r="K56" s="87">
        <v>0.9118773946360154</v>
      </c>
      <c r="L56" s="87">
        <v>1</v>
      </c>
      <c r="M56" s="88">
        <v>0.9118773946360154</v>
      </c>
      <c r="N56" s="89"/>
      <c r="O56" s="87"/>
      <c r="P56" s="87"/>
      <c r="Q56" s="87"/>
      <c r="R56" s="87"/>
      <c r="S56" s="87">
        <v>0.9118773946360154</v>
      </c>
      <c r="T56" s="87"/>
      <c r="U56" s="87">
        <v>0.9118773946360152</v>
      </c>
      <c r="V56" s="90" t="s">
        <v>1594</v>
      </c>
    </row>
    <row r="57" ht="15" customHeight="1" spans="1:23" x14ac:dyDescent="0.25">
      <c r="A57" s="85">
        <v>8171</v>
      </c>
      <c r="B57" s="85" t="s">
        <v>1595</v>
      </c>
      <c r="C57" s="85" t="s">
        <v>161</v>
      </c>
      <c r="D57" s="85" t="s">
        <v>176</v>
      </c>
      <c r="E57" s="85"/>
      <c r="F57" s="85" t="s">
        <v>155</v>
      </c>
      <c r="G57" s="85"/>
      <c r="H57" s="85"/>
      <c r="I57" s="86"/>
      <c r="J57" s="86"/>
      <c r="K57" s="87"/>
      <c r="L57" s="87"/>
      <c r="M57" s="88"/>
      <c r="N57" s="89"/>
      <c r="O57" s="87"/>
      <c r="P57" s="87"/>
      <c r="Q57" s="87"/>
      <c r="R57" s="87"/>
      <c r="S57" s="87">
        <v>1</v>
      </c>
      <c r="T57" s="87">
        <v>1</v>
      </c>
      <c r="U57" s="87">
        <v>1</v>
      </c>
      <c r="V57" s="90" t="s">
        <v>1596</v>
      </c>
    </row>
    <row r="58" ht="15" customHeight="1" spans="1:23" x14ac:dyDescent="0.25">
      <c r="A58" s="85">
        <v>8171</v>
      </c>
      <c r="B58" s="85" t="s">
        <v>1595</v>
      </c>
      <c r="C58" s="85" t="s">
        <v>161</v>
      </c>
      <c r="D58" s="85" t="s">
        <v>176</v>
      </c>
      <c r="E58" s="85"/>
      <c r="F58" s="85" t="s">
        <v>1062</v>
      </c>
      <c r="G58" s="85" t="s">
        <v>1016</v>
      </c>
      <c r="H58" s="85" t="s">
        <v>170</v>
      </c>
      <c r="I58" s="86">
        <v>261</v>
      </c>
      <c r="J58" s="86">
        <v>261</v>
      </c>
      <c r="K58" s="87">
        <v>1</v>
      </c>
      <c r="L58" s="87">
        <v>1</v>
      </c>
      <c r="M58" s="88">
        <v>1</v>
      </c>
      <c r="N58" s="89"/>
      <c r="O58" s="87"/>
      <c r="P58" s="87"/>
      <c r="Q58" s="87"/>
      <c r="R58" s="87"/>
      <c r="S58" s="87">
        <v>1</v>
      </c>
      <c r="T58" s="87"/>
      <c r="U58" s="87">
        <v>1</v>
      </c>
      <c r="V58" s="90" t="s">
        <v>1597</v>
      </c>
    </row>
    <row r="59" ht="15" customHeight="1" spans="1:23" x14ac:dyDescent="0.25">
      <c r="A59" s="85">
        <v>8422</v>
      </c>
      <c r="B59" s="85" t="s">
        <v>1598</v>
      </c>
      <c r="C59" s="85" t="s">
        <v>357</v>
      </c>
      <c r="D59" s="85" t="s">
        <v>818</v>
      </c>
      <c r="E59" s="85"/>
      <c r="F59" s="85" t="s">
        <v>155</v>
      </c>
      <c r="G59" s="85"/>
      <c r="H59" s="85"/>
      <c r="I59" s="86"/>
      <c r="J59" s="86"/>
      <c r="K59" s="87"/>
      <c r="L59" s="87"/>
      <c r="M59" s="88"/>
      <c r="N59" s="89"/>
      <c r="O59" s="87"/>
      <c r="P59" s="87"/>
      <c r="Q59" s="87"/>
      <c r="R59" s="87"/>
      <c r="S59" s="87">
        <v>1</v>
      </c>
      <c r="T59" s="87">
        <v>1</v>
      </c>
      <c r="U59" s="87">
        <v>1</v>
      </c>
      <c r="V59" s="90" t="s">
        <v>1599</v>
      </c>
    </row>
    <row r="60" ht="15" customHeight="1" spans="1:23" x14ac:dyDescent="0.25">
      <c r="A60" s="85">
        <v>8422</v>
      </c>
      <c r="B60" s="85" t="s">
        <v>1598</v>
      </c>
      <c r="C60" s="85" t="s">
        <v>357</v>
      </c>
      <c r="D60" s="85" t="s">
        <v>818</v>
      </c>
      <c r="E60" s="85"/>
      <c r="F60" s="85" t="s">
        <v>1062</v>
      </c>
      <c r="G60" s="85" t="s">
        <v>1016</v>
      </c>
      <c r="H60" s="85" t="s">
        <v>170</v>
      </c>
      <c r="I60" s="86">
        <v>261</v>
      </c>
      <c r="J60" s="86">
        <v>261</v>
      </c>
      <c r="K60" s="87">
        <v>1</v>
      </c>
      <c r="L60" s="87">
        <v>1</v>
      </c>
      <c r="M60" s="88">
        <v>1</v>
      </c>
      <c r="N60" s="89"/>
      <c r="O60" s="87"/>
      <c r="P60" s="87"/>
      <c r="Q60" s="87"/>
      <c r="R60" s="87"/>
      <c r="S60" s="87">
        <v>1</v>
      </c>
      <c r="T60" s="87"/>
      <c r="U60" s="87">
        <v>1</v>
      </c>
      <c r="V60" s="90" t="s">
        <v>1599</v>
      </c>
    </row>
    <row r="61" ht="15" customHeight="1" spans="1:23" x14ac:dyDescent="0.25">
      <c r="A61" s="85">
        <v>8436</v>
      </c>
      <c r="B61" s="85" t="s">
        <v>1600</v>
      </c>
      <c r="C61" s="85" t="s">
        <v>357</v>
      </c>
      <c r="D61" s="85" t="s">
        <v>875</v>
      </c>
      <c r="E61" s="85"/>
      <c r="F61" s="85" t="s">
        <v>155</v>
      </c>
      <c r="G61" s="85"/>
      <c r="H61" s="85"/>
      <c r="I61" s="86"/>
      <c r="J61" s="86"/>
      <c r="K61" s="87"/>
      <c r="L61" s="87"/>
      <c r="M61" s="88"/>
      <c r="N61" s="89"/>
      <c r="O61" s="87"/>
      <c r="P61" s="87"/>
      <c r="Q61" s="87"/>
      <c r="R61" s="87"/>
      <c r="S61" s="87">
        <v>1</v>
      </c>
      <c r="T61" s="87">
        <v>1</v>
      </c>
      <c r="U61" s="87">
        <v>1</v>
      </c>
      <c r="V61" s="90" t="s">
        <v>1601</v>
      </c>
    </row>
    <row r="62" ht="15" customHeight="1" spans="1:23" x14ac:dyDescent="0.25">
      <c r="A62" s="85">
        <v>8436</v>
      </c>
      <c r="B62" s="85" t="s">
        <v>1600</v>
      </c>
      <c r="C62" s="85" t="s">
        <v>357</v>
      </c>
      <c r="D62" s="85" t="s">
        <v>875</v>
      </c>
      <c r="E62" s="85"/>
      <c r="F62" s="85" t="s">
        <v>1062</v>
      </c>
      <c r="G62" s="85" t="s">
        <v>1016</v>
      </c>
      <c r="H62" s="85" t="s">
        <v>170</v>
      </c>
      <c r="I62" s="86">
        <v>261</v>
      </c>
      <c r="J62" s="86">
        <v>261</v>
      </c>
      <c r="K62" s="87">
        <v>1</v>
      </c>
      <c r="L62" s="87">
        <v>1</v>
      </c>
      <c r="M62" s="88">
        <v>1</v>
      </c>
      <c r="N62" s="89"/>
      <c r="O62" s="87"/>
      <c r="P62" s="87"/>
      <c r="Q62" s="87"/>
      <c r="R62" s="87"/>
      <c r="S62" s="87">
        <v>1</v>
      </c>
      <c r="T62" s="87"/>
      <c r="U62" s="87">
        <v>1</v>
      </c>
      <c r="V62" s="90" t="s">
        <v>1602</v>
      </c>
    </row>
    <row r="63" ht="15" customHeight="1" spans="1:23" x14ac:dyDescent="0.25">
      <c r="A63" s="85">
        <v>8826</v>
      </c>
      <c r="B63" s="85" t="s">
        <v>1603</v>
      </c>
      <c r="C63" s="85" t="s">
        <v>161</v>
      </c>
      <c r="D63" s="85" t="s">
        <v>233</v>
      </c>
      <c r="E63" s="85"/>
      <c r="F63" s="85" t="s">
        <v>155</v>
      </c>
      <c r="G63" s="85"/>
      <c r="H63" s="85"/>
      <c r="I63" s="86"/>
      <c r="J63" s="86"/>
      <c r="K63" s="87"/>
      <c r="L63" s="87"/>
      <c r="M63" s="88"/>
      <c r="N63" s="89"/>
      <c r="O63" s="87"/>
      <c r="P63" s="87"/>
      <c r="Q63" s="87">
        <v>0.20689655172413793</v>
      </c>
      <c r="R63" s="87"/>
      <c r="S63" s="87">
        <v>1</v>
      </c>
      <c r="T63" s="87">
        <v>1</v>
      </c>
      <c r="U63" s="87">
        <v>1</v>
      </c>
      <c r="V63" s="90" t="s">
        <v>1604</v>
      </c>
    </row>
    <row r="64" ht="15" customHeight="1" spans="1:23" x14ac:dyDescent="0.25">
      <c r="A64" s="85">
        <v>8826</v>
      </c>
      <c r="B64" s="85" t="s">
        <v>1603</v>
      </c>
      <c r="C64" s="85" t="s">
        <v>161</v>
      </c>
      <c r="D64" s="85" t="s">
        <v>233</v>
      </c>
      <c r="E64" s="85"/>
      <c r="F64" s="85" t="s">
        <v>1062</v>
      </c>
      <c r="G64" s="85" t="s">
        <v>1605</v>
      </c>
      <c r="H64" s="85" t="s">
        <v>170</v>
      </c>
      <c r="I64" s="86">
        <v>261</v>
      </c>
      <c r="J64" s="86">
        <v>207</v>
      </c>
      <c r="K64" s="87">
        <v>0.7931034482758621</v>
      </c>
      <c r="L64" s="87">
        <v>1</v>
      </c>
      <c r="M64" s="88">
        <v>0.7931034482758621</v>
      </c>
      <c r="N64" s="89"/>
      <c r="O64" s="87"/>
      <c r="P64" s="87"/>
      <c r="Q64" s="87"/>
      <c r="R64" s="87"/>
      <c r="S64" s="87">
        <v>0.7931034482758621</v>
      </c>
      <c r="T64" s="87"/>
      <c r="U64" s="87">
        <v>0.7931034482758621</v>
      </c>
      <c r="V64" s="90" t="s">
        <v>1606</v>
      </c>
    </row>
    <row r="65" ht="15" customHeight="1" spans="1:23" x14ac:dyDescent="0.25">
      <c r="A65" s="85">
        <v>8826</v>
      </c>
      <c r="B65" s="85" t="s">
        <v>1603</v>
      </c>
      <c r="C65" s="85" t="s">
        <v>161</v>
      </c>
      <c r="D65" s="85" t="s">
        <v>233</v>
      </c>
      <c r="E65" s="85"/>
      <c r="F65" s="85" t="s">
        <v>1062</v>
      </c>
      <c r="G65" s="85" t="s">
        <v>1016</v>
      </c>
      <c r="H65" s="85" t="s">
        <v>1607</v>
      </c>
      <c r="I65" s="86">
        <v>261</v>
      </c>
      <c r="J65" s="86">
        <v>54</v>
      </c>
      <c r="K65" s="87">
        <v>0.20689655172413793</v>
      </c>
      <c r="L65" s="87">
        <v>1</v>
      </c>
      <c r="M65" s="88">
        <v>0.20689655172413793</v>
      </c>
      <c r="N65" s="89">
        <v>1</v>
      </c>
      <c r="O65" s="87">
        <v>0.20689655172413793</v>
      </c>
      <c r="P65" s="87"/>
      <c r="Q65" s="87">
        <v>0.20689655172413793</v>
      </c>
      <c r="R65" s="87"/>
      <c r="S65" s="87">
        <v>0.20689655172413793</v>
      </c>
      <c r="T65" s="87"/>
      <c r="U65" s="87">
        <v>0.2068965517241379</v>
      </c>
      <c r="V65" s="90" t="s">
        <v>1608</v>
      </c>
    </row>
    <row r="66" ht="15" customHeight="1" spans="1:23" x14ac:dyDescent="0.25">
      <c r="A66" s="85">
        <v>8967</v>
      </c>
      <c r="B66" s="85" t="s">
        <v>1609</v>
      </c>
      <c r="C66" s="85" t="s">
        <v>357</v>
      </c>
      <c r="D66" s="85" t="s">
        <v>447</v>
      </c>
      <c r="E66" s="85"/>
      <c r="F66" s="85" t="s">
        <v>155</v>
      </c>
      <c r="G66" s="85"/>
      <c r="H66" s="85"/>
      <c r="I66" s="86"/>
      <c r="J66" s="86"/>
      <c r="K66" s="87"/>
      <c r="L66" s="87"/>
      <c r="M66" s="88"/>
      <c r="N66" s="89"/>
      <c r="O66" s="87"/>
      <c r="P66" s="87"/>
      <c r="Q66" s="87"/>
      <c r="R66" s="87"/>
      <c r="S66" s="87">
        <v>1</v>
      </c>
      <c r="T66" s="87">
        <v>1</v>
      </c>
      <c r="U66" s="87"/>
      <c r="V66" s="90" t="s">
        <v>1062</v>
      </c>
    </row>
    <row r="67" ht="15" customHeight="1" spans="1:23" x14ac:dyDescent="0.25">
      <c r="A67" s="85">
        <v>8967</v>
      </c>
      <c r="B67" s="85" t="s">
        <v>1609</v>
      </c>
      <c r="C67" s="85" t="s">
        <v>357</v>
      </c>
      <c r="D67" s="85" t="s">
        <v>447</v>
      </c>
      <c r="E67" s="85"/>
      <c r="F67" s="85" t="s">
        <v>1062</v>
      </c>
      <c r="G67" s="85" t="s">
        <v>1016</v>
      </c>
      <c r="H67" s="85" t="s">
        <v>170</v>
      </c>
      <c r="I67" s="86">
        <v>261</v>
      </c>
      <c r="J67" s="86">
        <v>261</v>
      </c>
      <c r="K67" s="87">
        <v>1</v>
      </c>
      <c r="L67" s="87">
        <v>1</v>
      </c>
      <c r="M67" s="88">
        <v>1</v>
      </c>
      <c r="N67" s="89"/>
      <c r="O67" s="87"/>
      <c r="P67" s="87"/>
      <c r="Q67" s="87"/>
      <c r="R67" s="87"/>
      <c r="S67" s="87">
        <v>1</v>
      </c>
      <c r="T67" s="87"/>
      <c r="U67" s="87">
        <v>0</v>
      </c>
      <c r="V67" s="90" t="s">
        <v>1062</v>
      </c>
    </row>
    <row r="68" ht="15" customHeight="1" spans="1:23" x14ac:dyDescent="0.25">
      <c r="A68" s="85">
        <v>9023</v>
      </c>
      <c r="B68" s="85" t="s">
        <v>1610</v>
      </c>
      <c r="C68" s="85" t="s">
        <v>357</v>
      </c>
      <c r="D68" s="85" t="s">
        <v>467</v>
      </c>
      <c r="E68" s="85"/>
      <c r="F68" s="85" t="s">
        <v>155</v>
      </c>
      <c r="G68" s="85"/>
      <c r="H68" s="85"/>
      <c r="I68" s="86"/>
      <c r="J68" s="86"/>
      <c r="K68" s="87"/>
      <c r="L68" s="87"/>
      <c r="M68" s="88"/>
      <c r="N68" s="89"/>
      <c r="O68" s="87"/>
      <c r="P68" s="87"/>
      <c r="Q68" s="87"/>
      <c r="R68" s="87"/>
      <c r="S68" s="87">
        <v>1</v>
      </c>
      <c r="T68" s="87">
        <v>1</v>
      </c>
      <c r="U68" s="87"/>
      <c r="V68" s="90" t="s">
        <v>1062</v>
      </c>
    </row>
    <row r="69" ht="15" customHeight="1" spans="1:23" x14ac:dyDescent="0.25">
      <c r="A69" s="85">
        <v>9023</v>
      </c>
      <c r="B69" s="85" t="s">
        <v>1610</v>
      </c>
      <c r="C69" s="85" t="s">
        <v>357</v>
      </c>
      <c r="D69" s="85" t="s">
        <v>467</v>
      </c>
      <c r="E69" s="85"/>
      <c r="F69" s="85" t="s">
        <v>1062</v>
      </c>
      <c r="G69" s="85" t="s">
        <v>1016</v>
      </c>
      <c r="H69" s="85" t="s">
        <v>170</v>
      </c>
      <c r="I69" s="86">
        <v>261</v>
      </c>
      <c r="J69" s="86">
        <v>261</v>
      </c>
      <c r="K69" s="87">
        <v>1</v>
      </c>
      <c r="L69" s="87">
        <v>1</v>
      </c>
      <c r="M69" s="88">
        <v>1</v>
      </c>
      <c r="N69" s="89"/>
      <c r="O69" s="87"/>
      <c r="P69" s="87"/>
      <c r="Q69" s="87"/>
      <c r="R69" s="87"/>
      <c r="S69" s="87">
        <v>1</v>
      </c>
      <c r="T69" s="87"/>
      <c r="U69" s="87">
        <v>0</v>
      </c>
      <c r="V69" s="90" t="s">
        <v>1062</v>
      </c>
    </row>
    <row r="70" ht="15" customHeight="1" spans="1:23" x14ac:dyDescent="0.25">
      <c r="A70" s="85">
        <v>9416</v>
      </c>
      <c r="B70" s="85" t="s">
        <v>1611</v>
      </c>
      <c r="C70" s="85" t="s">
        <v>357</v>
      </c>
      <c r="D70" s="85" t="s">
        <v>377</v>
      </c>
      <c r="E70" s="85"/>
      <c r="F70" s="85" t="s">
        <v>155</v>
      </c>
      <c r="G70" s="85"/>
      <c r="H70" s="85"/>
      <c r="I70" s="86"/>
      <c r="J70" s="86"/>
      <c r="K70" s="87"/>
      <c r="L70" s="87"/>
      <c r="M70" s="88"/>
      <c r="N70" s="89"/>
      <c r="O70" s="87"/>
      <c r="P70" s="87"/>
      <c r="Q70" s="87"/>
      <c r="R70" s="87"/>
      <c r="S70" s="87">
        <v>1</v>
      </c>
      <c r="T70" s="87">
        <v>1</v>
      </c>
      <c r="U70" s="87"/>
      <c r="V70" s="90" t="s">
        <v>1062</v>
      </c>
    </row>
    <row r="71" ht="15" customHeight="1" spans="1:23" x14ac:dyDescent="0.25">
      <c r="A71" s="85">
        <v>9416</v>
      </c>
      <c r="B71" s="85" t="s">
        <v>1611</v>
      </c>
      <c r="C71" s="85" t="s">
        <v>357</v>
      </c>
      <c r="D71" s="85" t="s">
        <v>377</v>
      </c>
      <c r="E71" s="85"/>
      <c r="F71" s="85" t="s">
        <v>1062</v>
      </c>
      <c r="G71" s="85" t="s">
        <v>1016</v>
      </c>
      <c r="H71" s="85" t="s">
        <v>170</v>
      </c>
      <c r="I71" s="86">
        <v>261</v>
      </c>
      <c r="J71" s="86">
        <v>261</v>
      </c>
      <c r="K71" s="87">
        <v>1</v>
      </c>
      <c r="L71" s="87">
        <v>1</v>
      </c>
      <c r="M71" s="88">
        <v>1</v>
      </c>
      <c r="N71" s="89"/>
      <c r="O71" s="87"/>
      <c r="P71" s="87"/>
      <c r="Q71" s="87"/>
      <c r="R71" s="87"/>
      <c r="S71" s="87">
        <v>1</v>
      </c>
      <c r="T71" s="87"/>
      <c r="U71" s="87">
        <v>0</v>
      </c>
      <c r="V71" s="90" t="s">
        <v>1062</v>
      </c>
    </row>
    <row r="72" ht="15" customHeight="1" spans="1:23" x14ac:dyDescent="0.25">
      <c r="A72" s="85">
        <v>9433</v>
      </c>
      <c r="B72" s="85" t="s">
        <v>1612</v>
      </c>
      <c r="C72" s="85" t="s">
        <v>357</v>
      </c>
      <c r="D72" s="85" t="s">
        <v>176</v>
      </c>
      <c r="E72" s="85"/>
      <c r="F72" s="85" t="s">
        <v>155</v>
      </c>
      <c r="G72" s="85"/>
      <c r="H72" s="85"/>
      <c r="I72" s="86"/>
      <c r="J72" s="86"/>
      <c r="K72" s="87"/>
      <c r="L72" s="87"/>
      <c r="M72" s="88"/>
      <c r="N72" s="89"/>
      <c r="O72" s="87"/>
      <c r="P72" s="87"/>
      <c r="Q72" s="87"/>
      <c r="R72" s="87"/>
      <c r="S72" s="87">
        <v>1</v>
      </c>
      <c r="T72" s="87">
        <v>1</v>
      </c>
      <c r="U72" s="87"/>
      <c r="V72" s="90" t="s">
        <v>1062</v>
      </c>
    </row>
    <row r="73" ht="15" customHeight="1" spans="1:23" x14ac:dyDescent="0.25">
      <c r="A73" s="85">
        <v>9433</v>
      </c>
      <c r="B73" s="85" t="s">
        <v>1612</v>
      </c>
      <c r="C73" s="85" t="s">
        <v>357</v>
      </c>
      <c r="D73" s="85" t="s">
        <v>176</v>
      </c>
      <c r="E73" s="85"/>
      <c r="F73" s="85" t="s">
        <v>1062</v>
      </c>
      <c r="G73" s="85" t="s">
        <v>1016</v>
      </c>
      <c r="H73" s="85" t="s">
        <v>170</v>
      </c>
      <c r="I73" s="86">
        <v>261</v>
      </c>
      <c r="J73" s="86">
        <v>261</v>
      </c>
      <c r="K73" s="87">
        <v>1</v>
      </c>
      <c r="L73" s="87">
        <v>1</v>
      </c>
      <c r="M73" s="88">
        <v>1</v>
      </c>
      <c r="N73" s="89"/>
      <c r="O73" s="87"/>
      <c r="P73" s="87"/>
      <c r="Q73" s="87"/>
      <c r="R73" s="87"/>
      <c r="S73" s="87">
        <v>1</v>
      </c>
      <c r="T73" s="87"/>
      <c r="U73" s="87">
        <v>0</v>
      </c>
      <c r="V73" s="90" t="s">
        <v>1062</v>
      </c>
    </row>
    <row r="74" ht="15" customHeight="1" spans="1:23" x14ac:dyDescent="0.25">
      <c r="A74" s="85">
        <v>9689</v>
      </c>
      <c r="B74" s="85" t="s">
        <v>1613</v>
      </c>
      <c r="C74" s="85" t="s">
        <v>357</v>
      </c>
      <c r="D74" s="85" t="s">
        <v>437</v>
      </c>
      <c r="E74" s="85"/>
      <c r="F74" s="85" t="s">
        <v>155</v>
      </c>
      <c r="G74" s="85"/>
      <c r="H74" s="85"/>
      <c r="I74" s="86"/>
      <c r="J74" s="86"/>
      <c r="K74" s="87"/>
      <c r="L74" s="87"/>
      <c r="M74" s="88"/>
      <c r="N74" s="89"/>
      <c r="O74" s="87"/>
      <c r="P74" s="87"/>
      <c r="Q74" s="87"/>
      <c r="R74" s="87"/>
      <c r="S74" s="87">
        <v>1</v>
      </c>
      <c r="T74" s="87">
        <v>1</v>
      </c>
      <c r="U74" s="87"/>
      <c r="V74" s="90" t="s">
        <v>1062</v>
      </c>
    </row>
    <row r="75" ht="15" customHeight="1" spans="1:23" x14ac:dyDescent="0.25">
      <c r="A75" s="85">
        <v>9689</v>
      </c>
      <c r="B75" s="85" t="s">
        <v>1613</v>
      </c>
      <c r="C75" s="85" t="s">
        <v>357</v>
      </c>
      <c r="D75" s="85" t="s">
        <v>437</v>
      </c>
      <c r="E75" s="85"/>
      <c r="F75" s="85" t="s">
        <v>1062</v>
      </c>
      <c r="G75" s="85" t="s">
        <v>1016</v>
      </c>
      <c r="H75" s="85" t="s">
        <v>170</v>
      </c>
      <c r="I75" s="86">
        <v>261</v>
      </c>
      <c r="J75" s="86">
        <v>261</v>
      </c>
      <c r="K75" s="87">
        <v>1</v>
      </c>
      <c r="L75" s="87">
        <v>1</v>
      </c>
      <c r="M75" s="88">
        <v>1</v>
      </c>
      <c r="N75" s="89"/>
      <c r="O75" s="87"/>
      <c r="P75" s="87"/>
      <c r="Q75" s="87"/>
      <c r="R75" s="87"/>
      <c r="S75" s="87">
        <v>1</v>
      </c>
      <c r="T75" s="87"/>
      <c r="U75" s="87">
        <v>0</v>
      </c>
      <c r="V75" s="90" t="s">
        <v>1062</v>
      </c>
    </row>
    <row r="76" ht="15" customHeight="1" spans="1:23" x14ac:dyDescent="0.25">
      <c r="A76" s="85">
        <v>9874</v>
      </c>
      <c r="B76" s="85" t="s">
        <v>1614</v>
      </c>
      <c r="C76" s="85" t="s">
        <v>357</v>
      </c>
      <c r="D76" s="85" t="s">
        <v>472</v>
      </c>
      <c r="E76" s="85"/>
      <c r="F76" s="85" t="s">
        <v>155</v>
      </c>
      <c r="G76" s="85"/>
      <c r="H76" s="85"/>
      <c r="I76" s="86"/>
      <c r="J76" s="86"/>
      <c r="K76" s="87"/>
      <c r="L76" s="87"/>
      <c r="M76" s="88"/>
      <c r="N76" s="89"/>
      <c r="O76" s="87"/>
      <c r="P76" s="87"/>
      <c r="Q76" s="87"/>
      <c r="R76" s="87"/>
      <c r="S76" s="87">
        <v>1</v>
      </c>
      <c r="T76" s="87">
        <v>1</v>
      </c>
      <c r="U76" s="87"/>
      <c r="V76" s="90" t="s">
        <v>1062</v>
      </c>
    </row>
    <row r="77" ht="15" customHeight="1" spans="1:23" x14ac:dyDescent="0.25">
      <c r="A77" s="85">
        <v>9874</v>
      </c>
      <c r="B77" s="85" t="s">
        <v>1614</v>
      </c>
      <c r="C77" s="85" t="s">
        <v>357</v>
      </c>
      <c r="D77" s="85" t="s">
        <v>472</v>
      </c>
      <c r="E77" s="85"/>
      <c r="F77" s="85" t="s">
        <v>1062</v>
      </c>
      <c r="G77" s="85" t="s">
        <v>1016</v>
      </c>
      <c r="H77" s="85" t="s">
        <v>170</v>
      </c>
      <c r="I77" s="86">
        <v>261</v>
      </c>
      <c r="J77" s="86">
        <v>261</v>
      </c>
      <c r="K77" s="87">
        <v>1</v>
      </c>
      <c r="L77" s="87">
        <v>1</v>
      </c>
      <c r="M77" s="88">
        <v>1</v>
      </c>
      <c r="N77" s="89"/>
      <c r="O77" s="87"/>
      <c r="P77" s="87"/>
      <c r="Q77" s="87"/>
      <c r="R77" s="87"/>
      <c r="S77" s="87">
        <v>1</v>
      </c>
      <c r="T77" s="87"/>
      <c r="U77" s="87">
        <v>0</v>
      </c>
      <c r="V77" s="90" t="s">
        <v>1062</v>
      </c>
    </row>
    <row r="78" ht="15" customHeight="1" spans="1:23" x14ac:dyDescent="0.25">
      <c r="A78" s="85">
        <v>10320</v>
      </c>
      <c r="B78" s="85" t="s">
        <v>1615</v>
      </c>
      <c r="C78" s="85" t="s">
        <v>357</v>
      </c>
      <c r="D78" s="85" t="s">
        <v>578</v>
      </c>
      <c r="E78" s="85"/>
      <c r="F78" s="85" t="s">
        <v>155</v>
      </c>
      <c r="G78" s="85"/>
      <c r="H78" s="85"/>
      <c r="I78" s="86"/>
      <c r="J78" s="86"/>
      <c r="K78" s="87"/>
      <c r="L78" s="87"/>
      <c r="M78" s="88"/>
      <c r="N78" s="89"/>
      <c r="O78" s="87"/>
      <c r="P78" s="87"/>
      <c r="Q78" s="87"/>
      <c r="R78" s="87"/>
      <c r="S78" s="87">
        <v>1</v>
      </c>
      <c r="T78" s="87">
        <v>1</v>
      </c>
      <c r="U78" s="87"/>
      <c r="V78" s="90" t="s">
        <v>1062</v>
      </c>
    </row>
    <row r="79" ht="15" customHeight="1" spans="1:23" x14ac:dyDescent="0.25">
      <c r="A79" s="85">
        <v>10320</v>
      </c>
      <c r="B79" s="85" t="s">
        <v>1615</v>
      </c>
      <c r="C79" s="85" t="s">
        <v>357</v>
      </c>
      <c r="D79" s="85" t="s">
        <v>578</v>
      </c>
      <c r="E79" s="85"/>
      <c r="F79" s="85" t="s">
        <v>1062</v>
      </c>
      <c r="G79" s="85" t="s">
        <v>1016</v>
      </c>
      <c r="H79" s="85" t="s">
        <v>170</v>
      </c>
      <c r="I79" s="86">
        <v>261</v>
      </c>
      <c r="J79" s="86">
        <v>261</v>
      </c>
      <c r="K79" s="87">
        <v>1</v>
      </c>
      <c r="L79" s="87">
        <v>1</v>
      </c>
      <c r="M79" s="88">
        <v>1</v>
      </c>
      <c r="N79" s="89"/>
      <c r="O79" s="87"/>
      <c r="P79" s="87"/>
      <c r="Q79" s="87"/>
      <c r="R79" s="87"/>
      <c r="S79" s="87">
        <v>1</v>
      </c>
      <c r="T79" s="87"/>
      <c r="U79" s="87">
        <v>0</v>
      </c>
      <c r="V79" s="90" t="s">
        <v>1062</v>
      </c>
    </row>
    <row r="80" ht="15" customHeight="1" spans="1:23" x14ac:dyDescent="0.25">
      <c r="A80" s="85">
        <v>10460</v>
      </c>
      <c r="B80" s="85" t="s">
        <v>1616</v>
      </c>
      <c r="C80" s="85" t="s">
        <v>357</v>
      </c>
      <c r="D80" s="85" t="s">
        <v>775</v>
      </c>
      <c r="E80" s="85"/>
      <c r="F80" s="85" t="s">
        <v>155</v>
      </c>
      <c r="G80" s="85"/>
      <c r="H80" s="85"/>
      <c r="I80" s="86"/>
      <c r="J80" s="86"/>
      <c r="K80" s="87"/>
      <c r="L80" s="87"/>
      <c r="M80" s="88"/>
      <c r="N80" s="89"/>
      <c r="O80" s="87"/>
      <c r="P80" s="87"/>
      <c r="Q80" s="87"/>
      <c r="R80" s="87"/>
      <c r="S80" s="87">
        <v>1</v>
      </c>
      <c r="T80" s="87">
        <v>1</v>
      </c>
      <c r="U80" s="87"/>
      <c r="V80" s="90" t="s">
        <v>1062</v>
      </c>
    </row>
    <row r="81" ht="15" customHeight="1" spans="1:23" x14ac:dyDescent="0.25">
      <c r="A81" s="85">
        <v>10460</v>
      </c>
      <c r="B81" s="85" t="s">
        <v>1616</v>
      </c>
      <c r="C81" s="85" t="s">
        <v>357</v>
      </c>
      <c r="D81" s="85" t="s">
        <v>775</v>
      </c>
      <c r="E81" s="85"/>
      <c r="F81" s="85" t="s">
        <v>1062</v>
      </c>
      <c r="G81" s="85" t="s">
        <v>1016</v>
      </c>
      <c r="H81" s="85" t="s">
        <v>170</v>
      </c>
      <c r="I81" s="86">
        <v>261</v>
      </c>
      <c r="J81" s="86">
        <v>261</v>
      </c>
      <c r="K81" s="87">
        <v>1</v>
      </c>
      <c r="L81" s="87">
        <v>1</v>
      </c>
      <c r="M81" s="88">
        <v>1</v>
      </c>
      <c r="N81" s="89"/>
      <c r="O81" s="87"/>
      <c r="P81" s="87"/>
      <c r="Q81" s="87"/>
      <c r="R81" s="87"/>
      <c r="S81" s="87">
        <v>1</v>
      </c>
      <c r="T81" s="87"/>
      <c r="U81" s="87">
        <v>0</v>
      </c>
      <c r="V81" s="90" t="s">
        <v>1062</v>
      </c>
    </row>
    <row r="82" ht="15" customHeight="1" spans="1:23" x14ac:dyDescent="0.25">
      <c r="A82" s="85">
        <v>10477</v>
      </c>
      <c r="B82" s="85" t="s">
        <v>1617</v>
      </c>
      <c r="C82" s="85" t="s">
        <v>357</v>
      </c>
      <c r="D82" s="85" t="s">
        <v>875</v>
      </c>
      <c r="E82" s="85"/>
      <c r="F82" s="85" t="s">
        <v>155</v>
      </c>
      <c r="G82" s="85"/>
      <c r="H82" s="85"/>
      <c r="I82" s="86"/>
      <c r="J82" s="86"/>
      <c r="K82" s="87"/>
      <c r="L82" s="87"/>
      <c r="M82" s="88"/>
      <c r="N82" s="89"/>
      <c r="O82" s="87"/>
      <c r="P82" s="87"/>
      <c r="Q82" s="87"/>
      <c r="R82" s="87"/>
      <c r="S82" s="87">
        <v>1</v>
      </c>
      <c r="T82" s="87">
        <v>1</v>
      </c>
      <c r="U82" s="87"/>
      <c r="V82" s="90" t="s">
        <v>1062</v>
      </c>
    </row>
    <row r="83" ht="15" customHeight="1" spans="1:23" x14ac:dyDescent="0.25">
      <c r="A83" s="85">
        <v>10477</v>
      </c>
      <c r="B83" s="85" t="s">
        <v>1617</v>
      </c>
      <c r="C83" s="85" t="s">
        <v>357</v>
      </c>
      <c r="D83" s="85" t="s">
        <v>875</v>
      </c>
      <c r="E83" s="85"/>
      <c r="F83" s="85" t="s">
        <v>1062</v>
      </c>
      <c r="G83" s="85" t="s">
        <v>1016</v>
      </c>
      <c r="H83" s="85" t="s">
        <v>170</v>
      </c>
      <c r="I83" s="86">
        <v>261</v>
      </c>
      <c r="J83" s="86">
        <v>261</v>
      </c>
      <c r="K83" s="87">
        <v>1</v>
      </c>
      <c r="L83" s="87">
        <v>1</v>
      </c>
      <c r="M83" s="88">
        <v>1</v>
      </c>
      <c r="N83" s="89"/>
      <c r="O83" s="87"/>
      <c r="P83" s="87"/>
      <c r="Q83" s="87"/>
      <c r="R83" s="87"/>
      <c r="S83" s="87">
        <v>1</v>
      </c>
      <c r="T83" s="87"/>
      <c r="U83" s="87">
        <v>0</v>
      </c>
      <c r="V83" s="90" t="s">
        <v>1062</v>
      </c>
    </row>
    <row r="84" ht="15" customHeight="1" spans="1:23" x14ac:dyDescent="0.25">
      <c r="A84" s="85">
        <v>11137</v>
      </c>
      <c r="B84" s="85" t="s">
        <v>1618</v>
      </c>
      <c r="C84" s="85" t="s">
        <v>942</v>
      </c>
      <c r="D84" s="85" t="s">
        <v>1021</v>
      </c>
      <c r="E84" s="85"/>
      <c r="F84" s="85" t="s">
        <v>155</v>
      </c>
      <c r="G84" s="85"/>
      <c r="H84" s="85"/>
      <c r="I84" s="86"/>
      <c r="J84" s="86"/>
      <c r="K84" s="87"/>
      <c r="L84" s="87"/>
      <c r="M84" s="88"/>
      <c r="N84" s="89"/>
      <c r="O84" s="87"/>
      <c r="P84" s="87"/>
      <c r="Q84" s="87"/>
      <c r="R84" s="87"/>
      <c r="S84" s="87">
        <v>1</v>
      </c>
      <c r="T84" s="87">
        <v>1</v>
      </c>
      <c r="U84" s="87">
        <v>1</v>
      </c>
      <c r="V84" s="90" t="s">
        <v>1619</v>
      </c>
    </row>
    <row r="85" ht="15" customHeight="1" spans="1:23" x14ac:dyDescent="0.25">
      <c r="A85" s="85">
        <v>11137</v>
      </c>
      <c r="B85" s="85" t="s">
        <v>1618</v>
      </c>
      <c r="C85" s="85" t="s">
        <v>942</v>
      </c>
      <c r="D85" s="85" t="s">
        <v>1021</v>
      </c>
      <c r="E85" s="85"/>
      <c r="F85" s="85" t="s">
        <v>1062</v>
      </c>
      <c r="G85" s="85" t="s">
        <v>1016</v>
      </c>
      <c r="H85" s="85" t="s">
        <v>170</v>
      </c>
      <c r="I85" s="86">
        <v>261</v>
      </c>
      <c r="J85" s="86">
        <v>261</v>
      </c>
      <c r="K85" s="87">
        <v>1</v>
      </c>
      <c r="L85" s="87">
        <v>1</v>
      </c>
      <c r="M85" s="88">
        <v>1</v>
      </c>
      <c r="N85" s="89"/>
      <c r="O85" s="87"/>
      <c r="P85" s="87"/>
      <c r="Q85" s="87"/>
      <c r="R85" s="87"/>
      <c r="S85" s="87">
        <v>1</v>
      </c>
      <c r="T85" s="87"/>
      <c r="U85" s="87">
        <v>1</v>
      </c>
      <c r="V85" s="90" t="s">
        <v>1619</v>
      </c>
    </row>
    <row r="86" ht="15" customHeight="1" spans="1:23" x14ac:dyDescent="0.25">
      <c r="A86" s="85">
        <v>11180</v>
      </c>
      <c r="B86" s="85" t="s">
        <v>1620</v>
      </c>
      <c r="C86" s="85" t="s">
        <v>161</v>
      </c>
      <c r="D86" s="85" t="s">
        <v>297</v>
      </c>
      <c r="E86" s="85"/>
      <c r="F86" s="85" t="s">
        <v>155</v>
      </c>
      <c r="G86" s="85"/>
      <c r="H86" s="85"/>
      <c r="I86" s="86"/>
      <c r="J86" s="86"/>
      <c r="K86" s="87"/>
      <c r="L86" s="87"/>
      <c r="M86" s="88"/>
      <c r="N86" s="89"/>
      <c r="O86" s="87"/>
      <c r="P86" s="87"/>
      <c r="Q86" s="87"/>
      <c r="R86" s="87"/>
      <c r="S86" s="87">
        <v>1</v>
      </c>
      <c r="T86" s="87">
        <v>1</v>
      </c>
      <c r="U86" s="87"/>
      <c r="V86" s="90" t="s">
        <v>1062</v>
      </c>
    </row>
    <row r="87" ht="15" customHeight="1" spans="1:23" x14ac:dyDescent="0.25">
      <c r="A87" s="85">
        <v>11180</v>
      </c>
      <c r="B87" s="85" t="s">
        <v>1620</v>
      </c>
      <c r="C87" s="85" t="s">
        <v>161</v>
      </c>
      <c r="D87" s="85" t="s">
        <v>297</v>
      </c>
      <c r="E87" s="85"/>
      <c r="F87" s="85" t="s">
        <v>1062</v>
      </c>
      <c r="G87" s="85" t="s">
        <v>1016</v>
      </c>
      <c r="H87" s="85" t="s">
        <v>170</v>
      </c>
      <c r="I87" s="86">
        <v>261</v>
      </c>
      <c r="J87" s="86">
        <v>261</v>
      </c>
      <c r="K87" s="87">
        <v>1</v>
      </c>
      <c r="L87" s="87">
        <v>1</v>
      </c>
      <c r="M87" s="88">
        <v>1</v>
      </c>
      <c r="N87" s="89"/>
      <c r="O87" s="87"/>
      <c r="P87" s="87"/>
      <c r="Q87" s="87"/>
      <c r="R87" s="87"/>
      <c r="S87" s="87">
        <v>1</v>
      </c>
      <c r="T87" s="87"/>
      <c r="U87" s="87">
        <v>0</v>
      </c>
      <c r="V87" s="90" t="s">
        <v>1062</v>
      </c>
    </row>
    <row r="88" ht="15" customHeight="1" spans="1:23" x14ac:dyDescent="0.25">
      <c r="A88" s="85">
        <v>11280</v>
      </c>
      <c r="B88" s="85" t="s">
        <v>1621</v>
      </c>
      <c r="C88" s="85" t="s">
        <v>357</v>
      </c>
      <c r="D88" s="85" t="s">
        <v>493</v>
      </c>
      <c r="E88" s="85"/>
      <c r="F88" s="85" t="s">
        <v>155</v>
      </c>
      <c r="G88" s="85"/>
      <c r="H88" s="85"/>
      <c r="I88" s="86"/>
      <c r="J88" s="86"/>
      <c r="K88" s="87"/>
      <c r="L88" s="87"/>
      <c r="M88" s="88"/>
      <c r="N88" s="89"/>
      <c r="O88" s="87"/>
      <c r="P88" s="87"/>
      <c r="Q88" s="87"/>
      <c r="R88" s="87"/>
      <c r="S88" s="87">
        <v>1</v>
      </c>
      <c r="T88" s="87">
        <v>1</v>
      </c>
      <c r="U88" s="87">
        <v>1</v>
      </c>
      <c r="V88" s="90" t="s">
        <v>1599</v>
      </c>
    </row>
    <row r="89" ht="15" customHeight="1" spans="1:23" x14ac:dyDescent="0.25">
      <c r="A89" s="85">
        <v>11280</v>
      </c>
      <c r="B89" s="85" t="s">
        <v>1621</v>
      </c>
      <c r="C89" s="85" t="s">
        <v>357</v>
      </c>
      <c r="D89" s="85" t="s">
        <v>493</v>
      </c>
      <c r="E89" s="85"/>
      <c r="F89" s="85" t="s">
        <v>1062</v>
      </c>
      <c r="G89" s="85" t="s">
        <v>1016</v>
      </c>
      <c r="H89" s="85" t="s">
        <v>170</v>
      </c>
      <c r="I89" s="86">
        <v>261</v>
      </c>
      <c r="J89" s="86">
        <v>261</v>
      </c>
      <c r="K89" s="87">
        <v>1</v>
      </c>
      <c r="L89" s="87">
        <v>1</v>
      </c>
      <c r="M89" s="88">
        <v>1</v>
      </c>
      <c r="N89" s="89"/>
      <c r="O89" s="87"/>
      <c r="P89" s="87"/>
      <c r="Q89" s="87"/>
      <c r="R89" s="87"/>
      <c r="S89" s="87">
        <v>1</v>
      </c>
      <c r="T89" s="87"/>
      <c r="U89" s="87">
        <v>1</v>
      </c>
      <c r="V89" s="90" t="s">
        <v>1599</v>
      </c>
    </row>
    <row r="90" ht="15" customHeight="1" spans="1:23" x14ac:dyDescent="0.25">
      <c r="A90" s="85">
        <v>11310</v>
      </c>
      <c r="B90" s="85" t="s">
        <v>1622</v>
      </c>
      <c r="C90" s="85" t="s">
        <v>357</v>
      </c>
      <c r="D90" s="85" t="s">
        <v>477</v>
      </c>
      <c r="E90" s="85"/>
      <c r="F90" s="85" t="s">
        <v>155</v>
      </c>
      <c r="G90" s="85"/>
      <c r="H90" s="85"/>
      <c r="I90" s="86"/>
      <c r="J90" s="86"/>
      <c r="K90" s="87"/>
      <c r="L90" s="87"/>
      <c r="M90" s="88"/>
      <c r="N90" s="89"/>
      <c r="O90" s="87"/>
      <c r="P90" s="87"/>
      <c r="Q90" s="87"/>
      <c r="R90" s="87"/>
      <c r="S90" s="87">
        <v>0.5153256704980843</v>
      </c>
      <c r="T90" s="87">
        <v>0.5153256704980843</v>
      </c>
      <c r="U90" s="87">
        <v>0.4846743295019157</v>
      </c>
      <c r="V90" s="90" t="s">
        <v>1623</v>
      </c>
    </row>
    <row r="91" ht="15" customHeight="1" spans="1:23" x14ac:dyDescent="0.25">
      <c r="A91" s="85">
        <v>11310</v>
      </c>
      <c r="B91" s="85" t="s">
        <v>1622</v>
      </c>
      <c r="C91" s="85" t="s">
        <v>357</v>
      </c>
      <c r="D91" s="85" t="s">
        <v>477</v>
      </c>
      <c r="E91" s="85"/>
      <c r="F91" s="85" t="s">
        <v>1062</v>
      </c>
      <c r="G91" s="85" t="s">
        <v>1624</v>
      </c>
      <c r="H91" s="85" t="s">
        <v>170</v>
      </c>
      <c r="I91" s="86">
        <v>261</v>
      </c>
      <c r="J91" s="86">
        <v>253</v>
      </c>
      <c r="K91" s="87">
        <v>0.9693486590038314</v>
      </c>
      <c r="L91" s="87">
        <v>0.5</v>
      </c>
      <c r="M91" s="88">
        <v>0.4846743295019157</v>
      </c>
      <c r="N91" s="89"/>
      <c r="O91" s="87"/>
      <c r="P91" s="87"/>
      <c r="Q91" s="87"/>
      <c r="R91" s="87"/>
      <c r="S91" s="87">
        <v>0.4846743295019157</v>
      </c>
      <c r="T91" s="87"/>
      <c r="U91" s="87">
        <v>0.4846743295019157</v>
      </c>
      <c r="V91" s="90" t="s">
        <v>1623</v>
      </c>
    </row>
    <row r="92" ht="15" customHeight="1" spans="1:23" x14ac:dyDescent="0.25">
      <c r="A92" s="85">
        <v>11310</v>
      </c>
      <c r="B92" s="85" t="s">
        <v>1622</v>
      </c>
      <c r="C92" s="85" t="s">
        <v>357</v>
      </c>
      <c r="D92" s="85" t="s">
        <v>477</v>
      </c>
      <c r="E92" s="85"/>
      <c r="F92" s="85" t="s">
        <v>1062</v>
      </c>
      <c r="G92" s="85" t="s">
        <v>1016</v>
      </c>
      <c r="H92" s="85" t="s">
        <v>1625</v>
      </c>
      <c r="I92" s="86">
        <v>261</v>
      </c>
      <c r="J92" s="86">
        <v>8</v>
      </c>
      <c r="K92" s="87">
        <v>0.03065134099616858</v>
      </c>
      <c r="L92" s="87">
        <v>1</v>
      </c>
      <c r="M92" s="88">
        <v>0.03065134099616858</v>
      </c>
      <c r="N92" s="89"/>
      <c r="O92" s="87"/>
      <c r="P92" s="87"/>
      <c r="Q92" s="87"/>
      <c r="R92" s="87"/>
      <c r="S92" s="87">
        <v>0.03065134099616858</v>
      </c>
      <c r="T92" s="87"/>
      <c r="U92" s="87">
        <v>0</v>
      </c>
      <c r="V92" s="90" t="s">
        <v>1062</v>
      </c>
    </row>
    <row r="93" ht="15" customHeight="1" spans="1:23" x14ac:dyDescent="0.25">
      <c r="A93" s="85">
        <v>11341</v>
      </c>
      <c r="B93" s="85" t="s">
        <v>1626</v>
      </c>
      <c r="C93" s="85" t="s">
        <v>161</v>
      </c>
      <c r="D93" s="85" t="s">
        <v>182</v>
      </c>
      <c r="E93" s="85"/>
      <c r="F93" s="85" t="s">
        <v>155</v>
      </c>
      <c r="G93" s="85"/>
      <c r="H93" s="85"/>
      <c r="I93" s="86"/>
      <c r="J93" s="86"/>
      <c r="K93" s="87"/>
      <c r="L93" s="87"/>
      <c r="M93" s="88"/>
      <c r="N93" s="89"/>
      <c r="O93" s="87"/>
      <c r="P93" s="87"/>
      <c r="Q93" s="87"/>
      <c r="R93" s="87"/>
      <c r="S93" s="87">
        <v>1</v>
      </c>
      <c r="T93" s="87">
        <v>1</v>
      </c>
      <c r="U93" s="87">
        <v>1</v>
      </c>
      <c r="V93" s="90" t="s">
        <v>1627</v>
      </c>
    </row>
    <row r="94" ht="15" customHeight="1" spans="1:23" x14ac:dyDescent="0.25">
      <c r="A94" s="85">
        <v>11341</v>
      </c>
      <c r="B94" s="85" t="s">
        <v>1626</v>
      </c>
      <c r="C94" s="85" t="s">
        <v>161</v>
      </c>
      <c r="D94" s="85" t="s">
        <v>182</v>
      </c>
      <c r="E94" s="85"/>
      <c r="F94" s="85" t="s">
        <v>1062</v>
      </c>
      <c r="G94" s="85" t="s">
        <v>1016</v>
      </c>
      <c r="H94" s="85" t="s">
        <v>170</v>
      </c>
      <c r="I94" s="86">
        <v>261</v>
      </c>
      <c r="J94" s="86">
        <v>261</v>
      </c>
      <c r="K94" s="87">
        <v>1</v>
      </c>
      <c r="L94" s="87">
        <v>1</v>
      </c>
      <c r="M94" s="88">
        <v>1</v>
      </c>
      <c r="N94" s="89"/>
      <c r="O94" s="87"/>
      <c r="P94" s="87"/>
      <c r="Q94" s="87"/>
      <c r="R94" s="87"/>
      <c r="S94" s="87">
        <v>1</v>
      </c>
      <c r="T94" s="87"/>
      <c r="U94" s="87">
        <v>1</v>
      </c>
      <c r="V94" s="90" t="s">
        <v>1628</v>
      </c>
    </row>
    <row r="95" ht="15" customHeight="1" spans="1:23" x14ac:dyDescent="0.25">
      <c r="A95" s="85">
        <v>11524</v>
      </c>
      <c r="B95" s="85" t="s">
        <v>1629</v>
      </c>
      <c r="C95" s="85" t="s">
        <v>357</v>
      </c>
      <c r="D95" s="85" t="s">
        <v>644</v>
      </c>
      <c r="E95" s="85"/>
      <c r="F95" s="85" t="s">
        <v>155</v>
      </c>
      <c r="G95" s="85"/>
      <c r="H95" s="85"/>
      <c r="I95" s="86"/>
      <c r="J95" s="86"/>
      <c r="K95" s="87"/>
      <c r="L95" s="87"/>
      <c r="M95" s="88"/>
      <c r="N95" s="89"/>
      <c r="O95" s="87"/>
      <c r="P95" s="87"/>
      <c r="Q95" s="87"/>
      <c r="R95" s="87"/>
      <c r="S95" s="87">
        <v>1</v>
      </c>
      <c r="T95" s="87">
        <v>1</v>
      </c>
      <c r="U95" s="87">
        <v>1</v>
      </c>
      <c r="V95" s="90" t="s">
        <v>1630</v>
      </c>
    </row>
    <row r="96" ht="15" customHeight="1" spans="1:23" x14ac:dyDescent="0.25">
      <c r="A96" s="85">
        <v>11524</v>
      </c>
      <c r="B96" s="85" t="s">
        <v>1629</v>
      </c>
      <c r="C96" s="85" t="s">
        <v>357</v>
      </c>
      <c r="D96" s="85" t="s">
        <v>644</v>
      </c>
      <c r="E96" s="85"/>
      <c r="F96" s="85" t="s">
        <v>1062</v>
      </c>
      <c r="G96" s="85" t="s">
        <v>1016</v>
      </c>
      <c r="H96" s="85" t="s">
        <v>170</v>
      </c>
      <c r="I96" s="86">
        <v>261</v>
      </c>
      <c r="J96" s="86">
        <v>261</v>
      </c>
      <c r="K96" s="87">
        <v>1</v>
      </c>
      <c r="L96" s="87">
        <v>1</v>
      </c>
      <c r="M96" s="88">
        <v>1</v>
      </c>
      <c r="N96" s="89"/>
      <c r="O96" s="87"/>
      <c r="P96" s="87"/>
      <c r="Q96" s="87"/>
      <c r="R96" s="87"/>
      <c r="S96" s="87">
        <v>1</v>
      </c>
      <c r="T96" s="87"/>
      <c r="U96" s="87">
        <v>1</v>
      </c>
      <c r="V96" s="90" t="s">
        <v>1630</v>
      </c>
    </row>
    <row r="97" ht="15" customHeight="1" spans="1:23" x14ac:dyDescent="0.25">
      <c r="A97" s="85">
        <v>11769</v>
      </c>
      <c r="B97" s="85" t="s">
        <v>1631</v>
      </c>
      <c r="C97" s="85" t="s">
        <v>161</v>
      </c>
      <c r="D97" s="85" t="s">
        <v>307</v>
      </c>
      <c r="E97" s="85"/>
      <c r="F97" s="85" t="s">
        <v>155</v>
      </c>
      <c r="G97" s="85"/>
      <c r="H97" s="85"/>
      <c r="I97" s="86"/>
      <c r="J97" s="86"/>
      <c r="K97" s="87"/>
      <c r="L97" s="87"/>
      <c r="M97" s="88"/>
      <c r="N97" s="89"/>
      <c r="O97" s="87"/>
      <c r="P97" s="87"/>
      <c r="Q97" s="87"/>
      <c r="R97" s="87"/>
      <c r="S97" s="87">
        <v>1</v>
      </c>
      <c r="T97" s="87">
        <v>1</v>
      </c>
      <c r="U97" s="87">
        <v>1</v>
      </c>
      <c r="V97" s="90" t="s">
        <v>1632</v>
      </c>
    </row>
    <row r="98" ht="15" customHeight="1" spans="1:23" x14ac:dyDescent="0.25">
      <c r="A98" s="85">
        <v>11769</v>
      </c>
      <c r="B98" s="85" t="s">
        <v>1631</v>
      </c>
      <c r="C98" s="85" t="s">
        <v>161</v>
      </c>
      <c r="D98" s="85" t="s">
        <v>307</v>
      </c>
      <c r="E98" s="85"/>
      <c r="F98" s="85" t="s">
        <v>1062</v>
      </c>
      <c r="G98" s="85" t="s">
        <v>1016</v>
      </c>
      <c r="H98" s="85" t="s">
        <v>170</v>
      </c>
      <c r="I98" s="86">
        <v>261</v>
      </c>
      <c r="J98" s="86">
        <v>261</v>
      </c>
      <c r="K98" s="87">
        <v>1</v>
      </c>
      <c r="L98" s="87">
        <v>1</v>
      </c>
      <c r="M98" s="88">
        <v>1</v>
      </c>
      <c r="N98" s="89"/>
      <c r="O98" s="87"/>
      <c r="P98" s="87"/>
      <c r="Q98" s="87"/>
      <c r="R98" s="87"/>
      <c r="S98" s="87">
        <v>1</v>
      </c>
      <c r="T98" s="87"/>
      <c r="U98" s="87">
        <v>1</v>
      </c>
      <c r="V98" s="90" t="s">
        <v>1633</v>
      </c>
    </row>
    <row r="99" ht="15" customHeight="1" spans="1:23" x14ac:dyDescent="0.25">
      <c r="A99" s="85">
        <v>12108</v>
      </c>
      <c r="B99" s="85" t="s">
        <v>1634</v>
      </c>
      <c r="C99" s="85" t="s">
        <v>357</v>
      </c>
      <c r="D99" s="85" t="s">
        <v>592</v>
      </c>
      <c r="E99" s="85"/>
      <c r="F99" s="85" t="s">
        <v>155</v>
      </c>
      <c r="G99" s="85"/>
      <c r="H99" s="85"/>
      <c r="I99" s="86"/>
      <c r="J99" s="86"/>
      <c r="K99" s="87"/>
      <c r="L99" s="87"/>
      <c r="M99" s="88"/>
      <c r="N99" s="89"/>
      <c r="O99" s="87"/>
      <c r="P99" s="87"/>
      <c r="Q99" s="87"/>
      <c r="R99" s="87"/>
      <c r="S99" s="87">
        <v>1</v>
      </c>
      <c r="T99" s="87">
        <v>1</v>
      </c>
      <c r="U99" s="87">
        <v>1</v>
      </c>
      <c r="V99" s="90" t="s">
        <v>1558</v>
      </c>
    </row>
    <row r="100" ht="15" customHeight="1" spans="1:23" x14ac:dyDescent="0.25">
      <c r="A100" s="85">
        <v>12108</v>
      </c>
      <c r="B100" s="85" t="s">
        <v>1634</v>
      </c>
      <c r="C100" s="85" t="s">
        <v>357</v>
      </c>
      <c r="D100" s="85" t="s">
        <v>592</v>
      </c>
      <c r="E100" s="85"/>
      <c r="F100" s="85" t="s">
        <v>1062</v>
      </c>
      <c r="G100" s="85" t="s">
        <v>1016</v>
      </c>
      <c r="H100" s="85" t="s">
        <v>170</v>
      </c>
      <c r="I100" s="86">
        <v>261</v>
      </c>
      <c r="J100" s="86">
        <v>261</v>
      </c>
      <c r="K100" s="87">
        <v>1</v>
      </c>
      <c r="L100" s="87">
        <v>1</v>
      </c>
      <c r="M100" s="88">
        <v>1</v>
      </c>
      <c r="N100" s="89"/>
      <c r="O100" s="87"/>
      <c r="P100" s="87"/>
      <c r="Q100" s="87"/>
      <c r="R100" s="87"/>
      <c r="S100" s="87">
        <v>1</v>
      </c>
      <c r="T100" s="87"/>
      <c r="U100" s="87">
        <v>1</v>
      </c>
      <c r="V100" s="90" t="s">
        <v>1558</v>
      </c>
    </row>
    <row r="101" ht="15" customHeight="1" spans="1:23" x14ac:dyDescent="0.25">
      <c r="A101" s="85">
        <v>12122</v>
      </c>
      <c r="B101" s="85" t="s">
        <v>1635</v>
      </c>
      <c r="C101" s="85" t="s">
        <v>357</v>
      </c>
      <c r="D101" s="85" t="s">
        <v>432</v>
      </c>
      <c r="E101" s="85"/>
      <c r="F101" s="85" t="s">
        <v>155</v>
      </c>
      <c r="G101" s="85"/>
      <c r="H101" s="85"/>
      <c r="I101" s="86"/>
      <c r="J101" s="86"/>
      <c r="K101" s="87"/>
      <c r="L101" s="87"/>
      <c r="M101" s="88"/>
      <c r="N101" s="89"/>
      <c r="O101" s="87"/>
      <c r="P101" s="87"/>
      <c r="Q101" s="87"/>
      <c r="R101" s="87"/>
      <c r="S101" s="87">
        <v>0.8</v>
      </c>
      <c r="T101" s="87">
        <v>0.8</v>
      </c>
      <c r="U101" s="87">
        <v>0.8</v>
      </c>
      <c r="V101" s="90" t="s">
        <v>1636</v>
      </c>
    </row>
    <row r="102" ht="15" customHeight="1" spans="1:23" x14ac:dyDescent="0.25">
      <c r="A102" s="85">
        <v>12122</v>
      </c>
      <c r="B102" s="85" t="s">
        <v>1635</v>
      </c>
      <c r="C102" s="85" t="s">
        <v>357</v>
      </c>
      <c r="D102" s="85" t="s">
        <v>432</v>
      </c>
      <c r="E102" s="85"/>
      <c r="F102" s="85" t="s">
        <v>1062</v>
      </c>
      <c r="G102" s="85" t="s">
        <v>1016</v>
      </c>
      <c r="H102" s="85" t="s">
        <v>170</v>
      </c>
      <c r="I102" s="86">
        <v>261</v>
      </c>
      <c r="J102" s="86">
        <v>261</v>
      </c>
      <c r="K102" s="87">
        <v>1</v>
      </c>
      <c r="L102" s="87">
        <v>0.8</v>
      </c>
      <c r="M102" s="88">
        <v>0.8</v>
      </c>
      <c r="N102" s="89"/>
      <c r="O102" s="87"/>
      <c r="P102" s="87"/>
      <c r="Q102" s="87"/>
      <c r="R102" s="87"/>
      <c r="S102" s="87">
        <v>0.8</v>
      </c>
      <c r="T102" s="87"/>
      <c r="U102" s="87">
        <v>0.8</v>
      </c>
      <c r="V102" s="90" t="s">
        <v>1636</v>
      </c>
    </row>
    <row r="103" ht="15" customHeight="1" spans="1:23" x14ac:dyDescent="0.25">
      <c r="A103" s="85">
        <v>12347</v>
      </c>
      <c r="B103" s="85" t="s">
        <v>1637</v>
      </c>
      <c r="C103" s="85" t="s">
        <v>357</v>
      </c>
      <c r="D103" s="85" t="s">
        <v>412</v>
      </c>
      <c r="E103" s="85"/>
      <c r="F103" s="85" t="s">
        <v>155</v>
      </c>
      <c r="G103" s="85"/>
      <c r="H103" s="85"/>
      <c r="I103" s="86"/>
      <c r="J103" s="86"/>
      <c r="K103" s="87"/>
      <c r="L103" s="87"/>
      <c r="M103" s="88"/>
      <c r="N103" s="89"/>
      <c r="O103" s="87"/>
      <c r="P103" s="87"/>
      <c r="Q103" s="87"/>
      <c r="R103" s="87"/>
      <c r="S103" s="87">
        <v>1</v>
      </c>
      <c r="T103" s="87">
        <v>1</v>
      </c>
      <c r="U103" s="87"/>
      <c r="V103" s="90" t="s">
        <v>1062</v>
      </c>
    </row>
    <row r="104" ht="15" customHeight="1" spans="1:23" x14ac:dyDescent="0.25">
      <c r="A104" s="85">
        <v>12347</v>
      </c>
      <c r="B104" s="85" t="s">
        <v>1637</v>
      </c>
      <c r="C104" s="85" t="s">
        <v>357</v>
      </c>
      <c r="D104" s="85" t="s">
        <v>412</v>
      </c>
      <c r="E104" s="85"/>
      <c r="F104" s="85" t="s">
        <v>1062</v>
      </c>
      <c r="G104" s="85" t="s">
        <v>1016</v>
      </c>
      <c r="H104" s="85" t="s">
        <v>170</v>
      </c>
      <c r="I104" s="86">
        <v>261</v>
      </c>
      <c r="J104" s="86">
        <v>261</v>
      </c>
      <c r="K104" s="87">
        <v>1</v>
      </c>
      <c r="L104" s="87">
        <v>1</v>
      </c>
      <c r="M104" s="88">
        <v>1</v>
      </c>
      <c r="N104" s="89"/>
      <c r="O104" s="87"/>
      <c r="P104" s="87"/>
      <c r="Q104" s="87"/>
      <c r="R104" s="87"/>
      <c r="S104" s="87">
        <v>1</v>
      </c>
      <c r="T104" s="87"/>
      <c r="U104" s="87">
        <v>0</v>
      </c>
      <c r="V104" s="90" t="s">
        <v>1062</v>
      </c>
    </row>
    <row r="105" ht="15" customHeight="1" spans="1:23" x14ac:dyDescent="0.25">
      <c r="A105" s="85">
        <v>12702</v>
      </c>
      <c r="B105" s="85" t="s">
        <v>1638</v>
      </c>
      <c r="C105" s="85" t="s">
        <v>357</v>
      </c>
      <c r="D105" s="85" t="s">
        <v>447</v>
      </c>
      <c r="E105" s="85"/>
      <c r="F105" s="85" t="s">
        <v>155</v>
      </c>
      <c r="G105" s="85"/>
      <c r="H105" s="85"/>
      <c r="I105" s="86"/>
      <c r="J105" s="86"/>
      <c r="K105" s="87"/>
      <c r="L105" s="87"/>
      <c r="M105" s="88"/>
      <c r="N105" s="89"/>
      <c r="O105" s="87"/>
      <c r="P105" s="87"/>
      <c r="Q105" s="87">
        <v>0.057471264367816084</v>
      </c>
      <c r="R105" s="87">
        <v>0.011494252873563218</v>
      </c>
      <c r="S105" s="87">
        <v>0.9885057471264368</v>
      </c>
      <c r="T105" s="87">
        <v>1</v>
      </c>
      <c r="U105" s="87">
        <v>0.9885057471264368</v>
      </c>
      <c r="V105" s="90" t="s">
        <v>1639</v>
      </c>
    </row>
    <row r="106" ht="15" customHeight="1" spans="1:23" x14ac:dyDescent="0.25">
      <c r="A106" s="85">
        <v>12702</v>
      </c>
      <c r="B106" s="85" t="s">
        <v>1638</v>
      </c>
      <c r="C106" s="85" t="s">
        <v>357</v>
      </c>
      <c r="D106" s="85" t="s">
        <v>447</v>
      </c>
      <c r="E106" s="85"/>
      <c r="F106" s="85" t="s">
        <v>1062</v>
      </c>
      <c r="G106" s="85" t="s">
        <v>1640</v>
      </c>
      <c r="H106" s="85" t="s">
        <v>170</v>
      </c>
      <c r="I106" s="86">
        <v>261</v>
      </c>
      <c r="J106" s="86">
        <v>83</v>
      </c>
      <c r="K106" s="87">
        <v>0.31800766283524906</v>
      </c>
      <c r="L106" s="87">
        <v>1</v>
      </c>
      <c r="M106" s="88">
        <v>0.31800766283524906</v>
      </c>
      <c r="N106" s="89"/>
      <c r="O106" s="87"/>
      <c r="P106" s="87"/>
      <c r="Q106" s="87"/>
      <c r="R106" s="87"/>
      <c r="S106" s="87">
        <v>0.31800766283524906</v>
      </c>
      <c r="T106" s="87"/>
      <c r="U106" s="87">
        <v>0.31800766283524906</v>
      </c>
      <c r="V106" s="90" t="s">
        <v>1641</v>
      </c>
    </row>
    <row r="107" ht="15" customHeight="1" spans="1:23" x14ac:dyDescent="0.25">
      <c r="A107" s="85">
        <v>12702</v>
      </c>
      <c r="B107" s="85" t="s">
        <v>1638</v>
      </c>
      <c r="C107" s="85" t="s">
        <v>357</v>
      </c>
      <c r="D107" s="85" t="s">
        <v>447</v>
      </c>
      <c r="E107" s="85"/>
      <c r="F107" s="85" t="s">
        <v>1062</v>
      </c>
      <c r="G107" s="85" t="s">
        <v>1642</v>
      </c>
      <c r="H107" s="85" t="s">
        <v>1642</v>
      </c>
      <c r="I107" s="86">
        <v>261</v>
      </c>
      <c r="J107" s="86">
        <v>1</v>
      </c>
      <c r="K107" s="87">
        <v>0.0038314176245210726</v>
      </c>
      <c r="L107" s="87">
        <v>1</v>
      </c>
      <c r="M107" s="88">
        <v>0.0038314176245210726</v>
      </c>
      <c r="N107" s="89">
        <v>1</v>
      </c>
      <c r="O107" s="87">
        <v>0.0038314176245210726</v>
      </c>
      <c r="P107" s="87"/>
      <c r="Q107" s="87">
        <v>0.0038314176245210726</v>
      </c>
      <c r="R107" s="87"/>
      <c r="S107" s="87">
        <v>0.0038314176245210726</v>
      </c>
      <c r="T107" s="87"/>
      <c r="U107" s="87">
        <v>0.0038314176245210726</v>
      </c>
      <c r="V107" s="90" t="s">
        <v>1643</v>
      </c>
    </row>
    <row r="108" ht="15" customHeight="1" spans="1:23" x14ac:dyDescent="0.25">
      <c r="A108" s="85">
        <v>12702</v>
      </c>
      <c r="B108" s="85" t="s">
        <v>1638</v>
      </c>
      <c r="C108" s="85" t="s">
        <v>357</v>
      </c>
      <c r="D108" s="85" t="s">
        <v>447</v>
      </c>
      <c r="E108" s="85"/>
      <c r="F108" s="85" t="s">
        <v>1062</v>
      </c>
      <c r="G108" s="85" t="s">
        <v>911</v>
      </c>
      <c r="H108" s="85" t="s">
        <v>457</v>
      </c>
      <c r="I108" s="86">
        <v>261</v>
      </c>
      <c r="J108" s="86">
        <v>113</v>
      </c>
      <c r="K108" s="87">
        <v>0.4329501915708812</v>
      </c>
      <c r="L108" s="87">
        <v>1</v>
      </c>
      <c r="M108" s="88">
        <v>0.4329501915708812</v>
      </c>
      <c r="N108" s="89"/>
      <c r="O108" s="87"/>
      <c r="P108" s="87"/>
      <c r="Q108" s="87"/>
      <c r="R108" s="87"/>
      <c r="S108" s="87">
        <v>0.4329501915708812</v>
      </c>
      <c r="T108" s="87"/>
      <c r="U108" s="87">
        <v>0.4329501915708812</v>
      </c>
      <c r="V108" s="90" t="s">
        <v>1644</v>
      </c>
    </row>
    <row r="109" ht="15" customHeight="1" spans="1:23" x14ac:dyDescent="0.25">
      <c r="A109" s="85">
        <v>12702</v>
      </c>
      <c r="B109" s="85" t="s">
        <v>1638</v>
      </c>
      <c r="C109" s="85" t="s">
        <v>357</v>
      </c>
      <c r="D109" s="85" t="s">
        <v>447</v>
      </c>
      <c r="E109" s="85"/>
      <c r="F109" s="85" t="s">
        <v>1062</v>
      </c>
      <c r="G109" s="85" t="s">
        <v>1025</v>
      </c>
      <c r="H109" s="85" t="s">
        <v>1025</v>
      </c>
      <c r="I109" s="86">
        <v>261</v>
      </c>
      <c r="J109" s="86">
        <v>1</v>
      </c>
      <c r="K109" s="87">
        <v>0.0038314176245210726</v>
      </c>
      <c r="L109" s="87">
        <v>1</v>
      </c>
      <c r="M109" s="88">
        <v>0.0038314176245210726</v>
      </c>
      <c r="N109" s="89">
        <v>1</v>
      </c>
      <c r="O109" s="87">
        <v>0.0038314176245210726</v>
      </c>
      <c r="P109" s="87"/>
      <c r="Q109" s="87">
        <v>0.0038314176245210726</v>
      </c>
      <c r="R109" s="87"/>
      <c r="S109" s="87">
        <v>0.0038314176245210726</v>
      </c>
      <c r="T109" s="87"/>
      <c r="U109" s="87">
        <v>0.0038314176245210726</v>
      </c>
      <c r="V109" s="90" t="s">
        <v>1645</v>
      </c>
    </row>
    <row r="110" ht="15" customHeight="1" spans="1:23" x14ac:dyDescent="0.25">
      <c r="A110" s="85">
        <v>12702</v>
      </c>
      <c r="B110" s="85" t="s">
        <v>1638</v>
      </c>
      <c r="C110" s="85" t="s">
        <v>357</v>
      </c>
      <c r="D110" s="85" t="s">
        <v>447</v>
      </c>
      <c r="E110" s="85"/>
      <c r="F110" s="85" t="s">
        <v>1062</v>
      </c>
      <c r="G110" s="85" t="s">
        <v>1646</v>
      </c>
      <c r="H110" s="85" t="s">
        <v>1647</v>
      </c>
      <c r="I110" s="86">
        <v>261</v>
      </c>
      <c r="J110" s="86">
        <v>15</v>
      </c>
      <c r="K110" s="87">
        <v>0.05747126436781609</v>
      </c>
      <c r="L110" s="87">
        <v>1</v>
      </c>
      <c r="M110" s="88">
        <v>0.05747126436781609</v>
      </c>
      <c r="N110" s="89"/>
      <c r="O110" s="87"/>
      <c r="P110" s="87"/>
      <c r="Q110" s="87"/>
      <c r="R110" s="87"/>
      <c r="S110" s="87">
        <v>0.05747126436781609</v>
      </c>
      <c r="T110" s="87"/>
      <c r="U110" s="87">
        <v>0.05747126436781609</v>
      </c>
      <c r="V110" s="90" t="s">
        <v>1648</v>
      </c>
    </row>
    <row r="111" ht="15" customHeight="1" spans="1:23" x14ac:dyDescent="0.25">
      <c r="A111" s="85">
        <v>12702</v>
      </c>
      <c r="B111" s="85" t="s">
        <v>1638</v>
      </c>
      <c r="C111" s="85" t="s">
        <v>357</v>
      </c>
      <c r="D111" s="85" t="s">
        <v>447</v>
      </c>
      <c r="E111" s="85"/>
      <c r="F111" s="85" t="s">
        <v>1062</v>
      </c>
      <c r="G111" s="85" t="s">
        <v>1649</v>
      </c>
      <c r="H111" s="85" t="s">
        <v>1649</v>
      </c>
      <c r="I111" s="86">
        <v>261</v>
      </c>
      <c r="J111" s="86">
        <v>1</v>
      </c>
      <c r="K111" s="87">
        <v>0.0038314176245210726</v>
      </c>
      <c r="L111" s="87">
        <v>1</v>
      </c>
      <c r="M111" s="88">
        <v>0.0038314176245210726</v>
      </c>
      <c r="N111" s="89">
        <v>1</v>
      </c>
      <c r="O111" s="87">
        <v>0.0038314176245210726</v>
      </c>
      <c r="P111" s="87"/>
      <c r="Q111" s="87"/>
      <c r="R111" s="87">
        <v>0.0038314176245210726</v>
      </c>
      <c r="S111" s="87">
        <v>0</v>
      </c>
      <c r="T111" s="87"/>
      <c r="U111" s="87">
        <v>0</v>
      </c>
      <c r="V111" s="90" t="s">
        <v>1650</v>
      </c>
    </row>
    <row r="112" ht="15" customHeight="1" spans="1:23" x14ac:dyDescent="0.25">
      <c r="A112" s="85">
        <v>12702</v>
      </c>
      <c r="B112" s="85" t="s">
        <v>1638</v>
      </c>
      <c r="C112" s="85" t="s">
        <v>357</v>
      </c>
      <c r="D112" s="85" t="s">
        <v>447</v>
      </c>
      <c r="E112" s="85"/>
      <c r="F112" s="85" t="s">
        <v>1062</v>
      </c>
      <c r="G112" s="85" t="s">
        <v>1651</v>
      </c>
      <c r="H112" s="85" t="s">
        <v>1652</v>
      </c>
      <c r="I112" s="86">
        <v>261</v>
      </c>
      <c r="J112" s="86">
        <v>3</v>
      </c>
      <c r="K112" s="87">
        <v>0.011494252873563218</v>
      </c>
      <c r="L112" s="87">
        <v>1</v>
      </c>
      <c r="M112" s="88">
        <v>0.011494252873563218</v>
      </c>
      <c r="N112" s="89"/>
      <c r="O112" s="87"/>
      <c r="P112" s="87"/>
      <c r="Q112" s="87"/>
      <c r="R112" s="87"/>
      <c r="S112" s="87">
        <v>0.011494252873563218</v>
      </c>
      <c r="T112" s="87"/>
      <c r="U112" s="87">
        <v>0.011494252873563218</v>
      </c>
      <c r="V112" s="90" t="s">
        <v>1653</v>
      </c>
    </row>
    <row r="113" ht="15" customHeight="1" spans="1:23" x14ac:dyDescent="0.25">
      <c r="A113" s="85">
        <v>12702</v>
      </c>
      <c r="B113" s="85" t="s">
        <v>1638</v>
      </c>
      <c r="C113" s="85" t="s">
        <v>357</v>
      </c>
      <c r="D113" s="85" t="s">
        <v>447</v>
      </c>
      <c r="E113" s="85"/>
      <c r="F113" s="85" t="s">
        <v>1062</v>
      </c>
      <c r="G113" s="85" t="s">
        <v>1654</v>
      </c>
      <c r="H113" s="85" t="s">
        <v>1654</v>
      </c>
      <c r="I113" s="86">
        <v>261</v>
      </c>
      <c r="J113" s="86">
        <v>1</v>
      </c>
      <c r="K113" s="87">
        <v>0.0038314176245210726</v>
      </c>
      <c r="L113" s="87">
        <v>1</v>
      </c>
      <c r="M113" s="88">
        <v>0.0038314176245210726</v>
      </c>
      <c r="N113" s="89">
        <v>1</v>
      </c>
      <c r="O113" s="87">
        <v>0.0038314176245210726</v>
      </c>
      <c r="P113" s="87"/>
      <c r="Q113" s="87"/>
      <c r="R113" s="87">
        <v>0.0038314176245210726</v>
      </c>
      <c r="S113" s="87">
        <v>0</v>
      </c>
      <c r="T113" s="87"/>
      <c r="U113" s="87">
        <v>0</v>
      </c>
      <c r="V113" s="90" t="s">
        <v>1650</v>
      </c>
    </row>
    <row r="114" ht="15" customHeight="1" spans="1:23" x14ac:dyDescent="0.25">
      <c r="A114" s="85">
        <v>12702</v>
      </c>
      <c r="B114" s="85" t="s">
        <v>1638</v>
      </c>
      <c r="C114" s="85" t="s">
        <v>357</v>
      </c>
      <c r="D114" s="85" t="s">
        <v>447</v>
      </c>
      <c r="E114" s="85"/>
      <c r="F114" s="85" t="s">
        <v>1062</v>
      </c>
      <c r="G114" s="85" t="s">
        <v>1655</v>
      </c>
      <c r="H114" s="85" t="s">
        <v>759</v>
      </c>
      <c r="I114" s="86">
        <v>261</v>
      </c>
      <c r="J114" s="86">
        <v>23</v>
      </c>
      <c r="K114" s="87">
        <v>0.08812260536398467</v>
      </c>
      <c r="L114" s="87">
        <v>1</v>
      </c>
      <c r="M114" s="88">
        <v>0.08812260536398467</v>
      </c>
      <c r="N114" s="89"/>
      <c r="O114" s="87"/>
      <c r="P114" s="87"/>
      <c r="Q114" s="87"/>
      <c r="R114" s="87"/>
      <c r="S114" s="87">
        <v>0.08812260536398467</v>
      </c>
      <c r="T114" s="87"/>
      <c r="U114" s="87">
        <v>0.08812260536398467</v>
      </c>
      <c r="V114" s="90" t="s">
        <v>1656</v>
      </c>
    </row>
    <row r="115" ht="15" customHeight="1" spans="1:23" x14ac:dyDescent="0.25">
      <c r="A115" s="85">
        <v>12702</v>
      </c>
      <c r="B115" s="85" t="s">
        <v>1638</v>
      </c>
      <c r="C115" s="85" t="s">
        <v>357</v>
      </c>
      <c r="D115" s="85" t="s">
        <v>447</v>
      </c>
      <c r="E115" s="85"/>
      <c r="F115" s="85" t="s">
        <v>1062</v>
      </c>
      <c r="G115" s="85" t="s">
        <v>1657</v>
      </c>
      <c r="H115" s="85" t="s">
        <v>1657</v>
      </c>
      <c r="I115" s="86">
        <v>261</v>
      </c>
      <c r="J115" s="86">
        <v>1</v>
      </c>
      <c r="K115" s="87">
        <v>0.0038314176245210726</v>
      </c>
      <c r="L115" s="87">
        <v>1</v>
      </c>
      <c r="M115" s="88">
        <v>0.0038314176245210726</v>
      </c>
      <c r="N115" s="89">
        <v>1</v>
      </c>
      <c r="O115" s="87">
        <v>0.0038314176245210726</v>
      </c>
      <c r="P115" s="87"/>
      <c r="Q115" s="87">
        <v>0.0038314176245210726</v>
      </c>
      <c r="R115" s="87"/>
      <c r="S115" s="87">
        <v>0.0038314176245210726</v>
      </c>
      <c r="T115" s="87"/>
      <c r="U115" s="87">
        <v>0.0038314176245210726</v>
      </c>
      <c r="V115" s="90" t="s">
        <v>1645</v>
      </c>
    </row>
    <row r="116" ht="15" customHeight="1" spans="1:23" x14ac:dyDescent="0.25">
      <c r="A116" s="85">
        <v>12702</v>
      </c>
      <c r="B116" s="85" t="s">
        <v>1638</v>
      </c>
      <c r="C116" s="85" t="s">
        <v>357</v>
      </c>
      <c r="D116" s="85" t="s">
        <v>447</v>
      </c>
      <c r="E116" s="85"/>
      <c r="F116" s="85" t="s">
        <v>1062</v>
      </c>
      <c r="G116" s="85" t="s">
        <v>1658</v>
      </c>
      <c r="H116" s="85" t="s">
        <v>1659</v>
      </c>
      <c r="I116" s="86">
        <v>261</v>
      </c>
      <c r="J116" s="86">
        <v>5</v>
      </c>
      <c r="K116" s="87">
        <v>0.019157088122605363</v>
      </c>
      <c r="L116" s="87">
        <v>1</v>
      </c>
      <c r="M116" s="88">
        <v>0.019157088122605363</v>
      </c>
      <c r="N116" s="89"/>
      <c r="O116" s="87"/>
      <c r="P116" s="87"/>
      <c r="Q116" s="87"/>
      <c r="R116" s="87"/>
      <c r="S116" s="87">
        <v>0.019157088122605363</v>
      </c>
      <c r="T116" s="87"/>
      <c r="U116" s="87">
        <v>0.019157088122605363</v>
      </c>
      <c r="V116" s="90" t="s">
        <v>1660</v>
      </c>
    </row>
    <row r="117" ht="15" customHeight="1" spans="1:23" x14ac:dyDescent="0.25">
      <c r="A117" s="85">
        <v>12702</v>
      </c>
      <c r="B117" s="85" t="s">
        <v>1638</v>
      </c>
      <c r="C117" s="85" t="s">
        <v>357</v>
      </c>
      <c r="D117" s="85" t="s">
        <v>447</v>
      </c>
      <c r="E117" s="85"/>
      <c r="F117" s="85" t="s">
        <v>1062</v>
      </c>
      <c r="G117" s="85" t="s">
        <v>1661</v>
      </c>
      <c r="H117" s="85" t="s">
        <v>1661</v>
      </c>
      <c r="I117" s="86">
        <v>261</v>
      </c>
      <c r="J117" s="86">
        <v>1</v>
      </c>
      <c r="K117" s="87">
        <v>0.0038314176245210726</v>
      </c>
      <c r="L117" s="87">
        <v>1</v>
      </c>
      <c r="M117" s="88">
        <v>0.0038314176245210726</v>
      </c>
      <c r="N117" s="89">
        <v>1</v>
      </c>
      <c r="O117" s="87">
        <v>0.0038314176245210726</v>
      </c>
      <c r="P117" s="87"/>
      <c r="Q117" s="87"/>
      <c r="R117" s="87">
        <v>0.0038314176245210726</v>
      </c>
      <c r="S117" s="87">
        <v>0</v>
      </c>
      <c r="T117" s="87"/>
      <c r="U117" s="87">
        <v>0</v>
      </c>
      <c r="V117" s="90" t="s">
        <v>1650</v>
      </c>
    </row>
    <row r="118" ht="15" customHeight="1" spans="1:23" x14ac:dyDescent="0.25">
      <c r="A118" s="85">
        <v>12702</v>
      </c>
      <c r="B118" s="85" t="s">
        <v>1638</v>
      </c>
      <c r="C118" s="85" t="s">
        <v>357</v>
      </c>
      <c r="D118" s="85" t="s">
        <v>447</v>
      </c>
      <c r="E118" s="85"/>
      <c r="F118" s="85" t="s">
        <v>1062</v>
      </c>
      <c r="G118" s="85" t="s">
        <v>1662</v>
      </c>
      <c r="H118" s="85" t="s">
        <v>547</v>
      </c>
      <c r="I118" s="86">
        <v>261</v>
      </c>
      <c r="J118" s="86">
        <v>5</v>
      </c>
      <c r="K118" s="87">
        <v>0.019157088122605363</v>
      </c>
      <c r="L118" s="87">
        <v>1</v>
      </c>
      <c r="M118" s="88">
        <v>0.019157088122605363</v>
      </c>
      <c r="N118" s="89">
        <v>1</v>
      </c>
      <c r="O118" s="87">
        <v>0.019157088122605363</v>
      </c>
      <c r="P118" s="87"/>
      <c r="Q118" s="87">
        <v>0.019157088122605363</v>
      </c>
      <c r="R118" s="87"/>
      <c r="S118" s="87">
        <v>0.019157088122605363</v>
      </c>
      <c r="T118" s="87"/>
      <c r="U118" s="87">
        <v>0.019157088122605363</v>
      </c>
      <c r="V118" s="90" t="s">
        <v>1663</v>
      </c>
    </row>
    <row r="119" ht="15" customHeight="1" spans="1:23" x14ac:dyDescent="0.25">
      <c r="A119" s="85">
        <v>12702</v>
      </c>
      <c r="B119" s="85" t="s">
        <v>1638</v>
      </c>
      <c r="C119" s="85" t="s">
        <v>357</v>
      </c>
      <c r="D119" s="85" t="s">
        <v>447</v>
      </c>
      <c r="E119" s="85"/>
      <c r="F119" s="85" t="s">
        <v>1062</v>
      </c>
      <c r="G119" s="85" t="s">
        <v>1664</v>
      </c>
      <c r="H119" s="85" t="s">
        <v>1625</v>
      </c>
      <c r="I119" s="86">
        <v>261</v>
      </c>
      <c r="J119" s="86">
        <v>5</v>
      </c>
      <c r="K119" s="87">
        <v>0.019157088122605363</v>
      </c>
      <c r="L119" s="87">
        <v>1</v>
      </c>
      <c r="M119" s="88">
        <v>0.019157088122605363</v>
      </c>
      <c r="N119" s="89">
        <v>1</v>
      </c>
      <c r="O119" s="87">
        <v>0.019157088122605363</v>
      </c>
      <c r="P119" s="87"/>
      <c r="Q119" s="87">
        <v>0.019157088122605363</v>
      </c>
      <c r="R119" s="87"/>
      <c r="S119" s="87">
        <v>0.019157088122605363</v>
      </c>
      <c r="T119" s="87"/>
      <c r="U119" s="87">
        <v>0.019157088122605363</v>
      </c>
      <c r="V119" s="90" t="s">
        <v>1663</v>
      </c>
    </row>
    <row r="120" ht="15" customHeight="1" spans="1:23" x14ac:dyDescent="0.25">
      <c r="A120" s="85">
        <v>12702</v>
      </c>
      <c r="B120" s="85" t="s">
        <v>1638</v>
      </c>
      <c r="C120" s="85" t="s">
        <v>357</v>
      </c>
      <c r="D120" s="85" t="s">
        <v>447</v>
      </c>
      <c r="E120" s="85"/>
      <c r="F120" s="85" t="s">
        <v>1062</v>
      </c>
      <c r="G120" s="85" t="s">
        <v>1665</v>
      </c>
      <c r="H120" s="85" t="s">
        <v>1666</v>
      </c>
      <c r="I120" s="86">
        <v>261</v>
      </c>
      <c r="J120" s="86">
        <v>2</v>
      </c>
      <c r="K120" s="87">
        <v>0.007662835249042145</v>
      </c>
      <c r="L120" s="87">
        <v>1</v>
      </c>
      <c r="M120" s="88">
        <v>0.007662835249042145</v>
      </c>
      <c r="N120" s="89">
        <v>1</v>
      </c>
      <c r="O120" s="87">
        <v>0.007662835249042145</v>
      </c>
      <c r="P120" s="87"/>
      <c r="Q120" s="87">
        <v>0.007662835249042145</v>
      </c>
      <c r="R120" s="87"/>
      <c r="S120" s="87">
        <v>0.007662835249042145</v>
      </c>
      <c r="T120" s="87"/>
      <c r="U120" s="87">
        <v>0.007662835249042145</v>
      </c>
      <c r="V120" s="90" t="s">
        <v>1667</v>
      </c>
    </row>
    <row r="121" ht="15" customHeight="1" spans="1:23" x14ac:dyDescent="0.25">
      <c r="A121" s="85">
        <v>12702</v>
      </c>
      <c r="B121" s="85" t="s">
        <v>1638</v>
      </c>
      <c r="C121" s="85" t="s">
        <v>357</v>
      </c>
      <c r="D121" s="85" t="s">
        <v>447</v>
      </c>
      <c r="E121" s="85"/>
      <c r="F121" s="85" t="s">
        <v>1062</v>
      </c>
      <c r="G121" s="85" t="s">
        <v>1016</v>
      </c>
      <c r="H121" s="85" t="s">
        <v>1016</v>
      </c>
      <c r="I121" s="86">
        <v>261</v>
      </c>
      <c r="J121" s="86">
        <v>1</v>
      </c>
      <c r="K121" s="87">
        <v>0.0038314176245210726</v>
      </c>
      <c r="L121" s="87">
        <v>1</v>
      </c>
      <c r="M121" s="88">
        <v>0.0038314176245210726</v>
      </c>
      <c r="N121" s="89"/>
      <c r="O121" s="87"/>
      <c r="P121" s="87"/>
      <c r="Q121" s="87"/>
      <c r="R121" s="87"/>
      <c r="S121" s="87">
        <v>0.0038314176245210726</v>
      </c>
      <c r="T121" s="87"/>
      <c r="U121" s="87">
        <v>0.0038314176245210726</v>
      </c>
      <c r="V121" s="90" t="s">
        <v>1668</v>
      </c>
    </row>
    <row r="122" ht="15" customHeight="1" spans="1:23" x14ac:dyDescent="0.25">
      <c r="A122" s="85">
        <v>12930</v>
      </c>
      <c r="B122" s="85" t="s">
        <v>1669</v>
      </c>
      <c r="C122" s="85" t="s">
        <v>357</v>
      </c>
      <c r="D122" s="85" t="s">
        <v>823</v>
      </c>
      <c r="E122" s="85"/>
      <c r="F122" s="85" t="s">
        <v>155</v>
      </c>
      <c r="G122" s="85"/>
      <c r="H122" s="85"/>
      <c r="I122" s="86"/>
      <c r="J122" s="86"/>
      <c r="K122" s="87"/>
      <c r="L122" s="87"/>
      <c r="M122" s="88"/>
      <c r="N122" s="89"/>
      <c r="O122" s="87"/>
      <c r="P122" s="87"/>
      <c r="Q122" s="87"/>
      <c r="R122" s="87"/>
      <c r="S122" s="87">
        <v>1</v>
      </c>
      <c r="T122" s="87">
        <v>1</v>
      </c>
      <c r="U122" s="87"/>
      <c r="V122" s="90" t="s">
        <v>1062</v>
      </c>
    </row>
    <row r="123" ht="15" customHeight="1" spans="1:23" x14ac:dyDescent="0.25">
      <c r="A123" s="85">
        <v>12930</v>
      </c>
      <c r="B123" s="85" t="s">
        <v>1669</v>
      </c>
      <c r="C123" s="85" t="s">
        <v>357</v>
      </c>
      <c r="D123" s="85" t="s">
        <v>823</v>
      </c>
      <c r="E123" s="85"/>
      <c r="F123" s="85" t="s">
        <v>1062</v>
      </c>
      <c r="G123" s="85" t="s">
        <v>1016</v>
      </c>
      <c r="H123" s="85" t="s">
        <v>170</v>
      </c>
      <c r="I123" s="86">
        <v>261</v>
      </c>
      <c r="J123" s="86">
        <v>261</v>
      </c>
      <c r="K123" s="87">
        <v>1</v>
      </c>
      <c r="L123" s="87">
        <v>1</v>
      </c>
      <c r="M123" s="88">
        <v>1</v>
      </c>
      <c r="N123" s="89"/>
      <c r="O123" s="87"/>
      <c r="P123" s="87"/>
      <c r="Q123" s="87"/>
      <c r="R123" s="87"/>
      <c r="S123" s="87">
        <v>1</v>
      </c>
      <c r="T123" s="87"/>
      <c r="U123" s="87">
        <v>0</v>
      </c>
      <c r="V123" s="90" t="s">
        <v>1062</v>
      </c>
    </row>
    <row r="124" ht="15" customHeight="1" spans="1:23" x14ac:dyDescent="0.25">
      <c r="A124" s="85">
        <v>12968</v>
      </c>
      <c r="B124" s="85" t="s">
        <v>1670</v>
      </c>
      <c r="C124" s="85" t="s">
        <v>357</v>
      </c>
      <c r="D124" s="85" t="s">
        <v>573</v>
      </c>
      <c r="E124" s="85"/>
      <c r="F124" s="85" t="s">
        <v>155</v>
      </c>
      <c r="G124" s="85"/>
      <c r="H124" s="85"/>
      <c r="I124" s="86"/>
      <c r="J124" s="86"/>
      <c r="K124" s="87"/>
      <c r="L124" s="87"/>
      <c r="M124" s="88"/>
      <c r="N124" s="89"/>
      <c r="O124" s="87"/>
      <c r="P124" s="87"/>
      <c r="Q124" s="87">
        <v>0.022988505747126436</v>
      </c>
      <c r="R124" s="87"/>
      <c r="S124" s="87">
        <v>1</v>
      </c>
      <c r="T124" s="87">
        <v>1</v>
      </c>
      <c r="U124" s="87">
        <v>1</v>
      </c>
      <c r="V124" s="90" t="s">
        <v>1671</v>
      </c>
    </row>
    <row r="125" ht="15" customHeight="1" spans="1:23" x14ac:dyDescent="0.25">
      <c r="A125" s="85">
        <v>12968</v>
      </c>
      <c r="B125" s="85" t="s">
        <v>1670</v>
      </c>
      <c r="C125" s="85" t="s">
        <v>357</v>
      </c>
      <c r="D125" s="85" t="s">
        <v>573</v>
      </c>
      <c r="E125" s="85"/>
      <c r="F125" s="85" t="s">
        <v>1062</v>
      </c>
      <c r="G125" s="85" t="s">
        <v>169</v>
      </c>
      <c r="H125" s="85" t="s">
        <v>170</v>
      </c>
      <c r="I125" s="86">
        <v>261</v>
      </c>
      <c r="J125" s="86">
        <v>88</v>
      </c>
      <c r="K125" s="87">
        <v>0.3371647509578544</v>
      </c>
      <c r="L125" s="87">
        <v>1</v>
      </c>
      <c r="M125" s="88">
        <v>0.3371647509578544</v>
      </c>
      <c r="N125" s="89"/>
      <c r="O125" s="87"/>
      <c r="P125" s="87"/>
      <c r="Q125" s="87"/>
      <c r="R125" s="87"/>
      <c r="S125" s="87">
        <v>0.3371647509578544</v>
      </c>
      <c r="T125" s="87"/>
      <c r="U125" s="87">
        <v>0.3371647509578544</v>
      </c>
      <c r="V125" s="90" t="s">
        <v>1672</v>
      </c>
    </row>
    <row r="126" ht="15" customHeight="1" spans="1:23" x14ac:dyDescent="0.25">
      <c r="A126" s="85">
        <v>12968</v>
      </c>
      <c r="B126" s="85" t="s">
        <v>1670</v>
      </c>
      <c r="C126" s="85" t="s">
        <v>357</v>
      </c>
      <c r="D126" s="85" t="s">
        <v>573</v>
      </c>
      <c r="E126" s="85"/>
      <c r="F126" s="85" t="s">
        <v>1062</v>
      </c>
      <c r="G126" s="85" t="s">
        <v>1673</v>
      </c>
      <c r="H126" s="85" t="s">
        <v>912</v>
      </c>
      <c r="I126" s="86">
        <v>261</v>
      </c>
      <c r="J126" s="86">
        <v>106</v>
      </c>
      <c r="K126" s="87">
        <v>0.4061302681992337</v>
      </c>
      <c r="L126" s="87">
        <v>1</v>
      </c>
      <c r="M126" s="88">
        <v>0.4061302681992337</v>
      </c>
      <c r="N126" s="89"/>
      <c r="O126" s="87"/>
      <c r="P126" s="87"/>
      <c r="Q126" s="87"/>
      <c r="R126" s="87"/>
      <c r="S126" s="87">
        <v>0.4061302681992337</v>
      </c>
      <c r="T126" s="87"/>
      <c r="U126" s="87">
        <v>0.4061302681992337</v>
      </c>
      <c r="V126" s="90" t="s">
        <v>1674</v>
      </c>
    </row>
    <row r="127" ht="15" customHeight="1" spans="1:23" x14ac:dyDescent="0.25">
      <c r="A127" s="85">
        <v>12968</v>
      </c>
      <c r="B127" s="85" t="s">
        <v>1670</v>
      </c>
      <c r="C127" s="85" t="s">
        <v>357</v>
      </c>
      <c r="D127" s="85" t="s">
        <v>573</v>
      </c>
      <c r="E127" s="85"/>
      <c r="F127" s="85" t="s">
        <v>1062</v>
      </c>
      <c r="G127" s="85" t="s">
        <v>1675</v>
      </c>
      <c r="H127" s="85" t="s">
        <v>1676</v>
      </c>
      <c r="I127" s="86">
        <v>261</v>
      </c>
      <c r="J127" s="86">
        <v>6</v>
      </c>
      <c r="K127" s="87">
        <v>0.022988505747126436</v>
      </c>
      <c r="L127" s="87">
        <v>1</v>
      </c>
      <c r="M127" s="88">
        <v>0.022988505747126436</v>
      </c>
      <c r="N127" s="89">
        <v>1</v>
      </c>
      <c r="O127" s="87">
        <v>0.022988505747126436</v>
      </c>
      <c r="P127" s="87"/>
      <c r="Q127" s="87">
        <v>0.022988505747126436</v>
      </c>
      <c r="R127" s="87"/>
      <c r="S127" s="87">
        <v>0.022988505747126436</v>
      </c>
      <c r="T127" s="87"/>
      <c r="U127" s="87">
        <v>0.022988505747126436</v>
      </c>
      <c r="V127" s="90" t="s">
        <v>1677</v>
      </c>
    </row>
    <row r="128" ht="15" customHeight="1" spans="1:23" x14ac:dyDescent="0.25">
      <c r="A128" s="85">
        <v>12968</v>
      </c>
      <c r="B128" s="85" t="s">
        <v>1670</v>
      </c>
      <c r="C128" s="85" t="s">
        <v>357</v>
      </c>
      <c r="D128" s="85" t="s">
        <v>573</v>
      </c>
      <c r="E128" s="85"/>
      <c r="F128" s="85" t="s">
        <v>1062</v>
      </c>
      <c r="G128" s="85" t="s">
        <v>1016</v>
      </c>
      <c r="H128" s="85" t="s">
        <v>1678</v>
      </c>
      <c r="I128" s="86">
        <v>261</v>
      </c>
      <c r="J128" s="86">
        <v>61</v>
      </c>
      <c r="K128" s="87">
        <v>0.23371647509578544</v>
      </c>
      <c r="L128" s="87">
        <v>1</v>
      </c>
      <c r="M128" s="88">
        <v>0.23371647509578544</v>
      </c>
      <c r="N128" s="89"/>
      <c r="O128" s="87"/>
      <c r="P128" s="87"/>
      <c r="Q128" s="87"/>
      <c r="R128" s="87"/>
      <c r="S128" s="87">
        <v>0.23371647509578544</v>
      </c>
      <c r="T128" s="87"/>
      <c r="U128" s="87">
        <v>0.23371647509578544</v>
      </c>
      <c r="V128" s="90" t="s">
        <v>1679</v>
      </c>
    </row>
    <row r="129" ht="15" customHeight="1" spans="1:23" x14ac:dyDescent="0.25">
      <c r="A129" s="85">
        <v>13497</v>
      </c>
      <c r="B129" s="85" t="s">
        <v>1680</v>
      </c>
      <c r="C129" s="85" t="s">
        <v>357</v>
      </c>
      <c r="D129" s="85" t="s">
        <v>558</v>
      </c>
      <c r="E129" s="85"/>
      <c r="F129" s="85" t="s">
        <v>155</v>
      </c>
      <c r="G129" s="85"/>
      <c r="H129" s="85"/>
      <c r="I129" s="86"/>
      <c r="J129" s="86"/>
      <c r="K129" s="87"/>
      <c r="L129" s="87"/>
      <c r="M129" s="88"/>
      <c r="N129" s="89"/>
      <c r="O129" s="87"/>
      <c r="P129" s="87"/>
      <c r="Q129" s="87"/>
      <c r="R129" s="87"/>
      <c r="S129" s="87">
        <v>1</v>
      </c>
      <c r="T129" s="87">
        <v>1</v>
      </c>
      <c r="U129" s="87"/>
      <c r="V129" s="90" t="s">
        <v>1062</v>
      </c>
    </row>
    <row r="130" ht="15" customHeight="1" spans="1:23" x14ac:dyDescent="0.25">
      <c r="A130" s="85">
        <v>13497</v>
      </c>
      <c r="B130" s="85" t="s">
        <v>1680</v>
      </c>
      <c r="C130" s="85" t="s">
        <v>357</v>
      </c>
      <c r="D130" s="85" t="s">
        <v>558</v>
      </c>
      <c r="E130" s="85"/>
      <c r="F130" s="85" t="s">
        <v>1062</v>
      </c>
      <c r="G130" s="85" t="s">
        <v>1016</v>
      </c>
      <c r="H130" s="85" t="s">
        <v>170</v>
      </c>
      <c r="I130" s="86">
        <v>261</v>
      </c>
      <c r="J130" s="86">
        <v>261</v>
      </c>
      <c r="K130" s="87">
        <v>1</v>
      </c>
      <c r="L130" s="87">
        <v>1</v>
      </c>
      <c r="M130" s="88">
        <v>1</v>
      </c>
      <c r="N130" s="89"/>
      <c r="O130" s="87"/>
      <c r="P130" s="87"/>
      <c r="Q130" s="87"/>
      <c r="R130" s="87"/>
      <c r="S130" s="87">
        <v>1</v>
      </c>
      <c r="T130" s="87"/>
      <c r="U130" s="87">
        <v>0</v>
      </c>
      <c r="V130" s="90" t="s">
        <v>1062</v>
      </c>
    </row>
    <row r="131" ht="15" customHeight="1" spans="1:23" x14ac:dyDescent="0.25">
      <c r="A131" s="85">
        <v>13503</v>
      </c>
      <c r="B131" s="85" t="s">
        <v>1681</v>
      </c>
      <c r="C131" s="85" t="s">
        <v>357</v>
      </c>
      <c r="D131" s="85" t="s">
        <v>377</v>
      </c>
      <c r="E131" s="85"/>
      <c r="F131" s="85" t="s">
        <v>155</v>
      </c>
      <c r="G131" s="85"/>
      <c r="H131" s="85"/>
      <c r="I131" s="86"/>
      <c r="J131" s="86"/>
      <c r="K131" s="87"/>
      <c r="L131" s="87"/>
      <c r="M131" s="88"/>
      <c r="N131" s="89"/>
      <c r="O131" s="87"/>
      <c r="P131" s="87"/>
      <c r="Q131" s="87"/>
      <c r="R131" s="87"/>
      <c r="S131" s="87">
        <v>1</v>
      </c>
      <c r="T131" s="87">
        <v>1</v>
      </c>
      <c r="U131" s="87"/>
      <c r="V131" s="90" t="s">
        <v>1062</v>
      </c>
    </row>
    <row r="132" ht="15" customHeight="1" spans="1:23" x14ac:dyDescent="0.25">
      <c r="A132" s="85">
        <v>13503</v>
      </c>
      <c r="B132" s="85" t="s">
        <v>1681</v>
      </c>
      <c r="C132" s="85" t="s">
        <v>357</v>
      </c>
      <c r="D132" s="85" t="s">
        <v>377</v>
      </c>
      <c r="E132" s="85"/>
      <c r="F132" s="85" t="s">
        <v>1062</v>
      </c>
      <c r="G132" s="85" t="s">
        <v>1016</v>
      </c>
      <c r="H132" s="85" t="s">
        <v>170</v>
      </c>
      <c r="I132" s="86">
        <v>261</v>
      </c>
      <c r="J132" s="86">
        <v>261</v>
      </c>
      <c r="K132" s="87">
        <v>1</v>
      </c>
      <c r="L132" s="87">
        <v>1</v>
      </c>
      <c r="M132" s="88">
        <v>1</v>
      </c>
      <c r="N132" s="89"/>
      <c r="O132" s="87"/>
      <c r="P132" s="87"/>
      <c r="Q132" s="87"/>
      <c r="R132" s="87"/>
      <c r="S132" s="87">
        <v>1</v>
      </c>
      <c r="T132" s="87"/>
      <c r="U132" s="87">
        <v>0</v>
      </c>
      <c r="V132" s="90" t="s">
        <v>1062</v>
      </c>
    </row>
    <row r="133" ht="15" customHeight="1" spans="1:23" x14ac:dyDescent="0.25">
      <c r="A133" s="85">
        <v>13624</v>
      </c>
      <c r="B133" s="85" t="s">
        <v>1682</v>
      </c>
      <c r="C133" s="85" t="s">
        <v>357</v>
      </c>
      <c r="D133" s="85" t="s">
        <v>257</v>
      </c>
      <c r="E133" s="85"/>
      <c r="F133" s="85" t="s">
        <v>155</v>
      </c>
      <c r="G133" s="85"/>
      <c r="H133" s="85"/>
      <c r="I133" s="86"/>
      <c r="J133" s="86"/>
      <c r="K133" s="87"/>
      <c r="L133" s="87"/>
      <c r="M133" s="88"/>
      <c r="N133" s="89"/>
      <c r="O133" s="87"/>
      <c r="P133" s="87"/>
      <c r="Q133" s="87"/>
      <c r="R133" s="87"/>
      <c r="S133" s="87">
        <v>1</v>
      </c>
      <c r="T133" s="87">
        <v>1</v>
      </c>
      <c r="U133" s="87"/>
      <c r="V133" s="90" t="s">
        <v>1062</v>
      </c>
    </row>
    <row r="134" ht="15" customHeight="1" spans="1:23" x14ac:dyDescent="0.25">
      <c r="A134" s="85">
        <v>13624</v>
      </c>
      <c r="B134" s="85" t="s">
        <v>1682</v>
      </c>
      <c r="C134" s="85" t="s">
        <v>357</v>
      </c>
      <c r="D134" s="85" t="s">
        <v>257</v>
      </c>
      <c r="E134" s="85"/>
      <c r="F134" s="85" t="s">
        <v>1062</v>
      </c>
      <c r="G134" s="85" t="s">
        <v>1016</v>
      </c>
      <c r="H134" s="85" t="s">
        <v>170</v>
      </c>
      <c r="I134" s="86">
        <v>261</v>
      </c>
      <c r="J134" s="86">
        <v>261</v>
      </c>
      <c r="K134" s="87">
        <v>1</v>
      </c>
      <c r="L134" s="87">
        <v>1</v>
      </c>
      <c r="M134" s="88">
        <v>1</v>
      </c>
      <c r="N134" s="89"/>
      <c r="O134" s="87"/>
      <c r="P134" s="87"/>
      <c r="Q134" s="87"/>
      <c r="R134" s="87"/>
      <c r="S134" s="87">
        <v>1</v>
      </c>
      <c r="T134" s="87"/>
      <c r="U134" s="87">
        <v>0</v>
      </c>
      <c r="V134" s="90" t="s">
        <v>1062</v>
      </c>
    </row>
    <row r="135" ht="15" customHeight="1" spans="1:23" x14ac:dyDescent="0.25">
      <c r="A135" s="85">
        <v>13697</v>
      </c>
      <c r="B135" s="85" t="s">
        <v>1683</v>
      </c>
      <c r="C135" s="85" t="s">
        <v>357</v>
      </c>
      <c r="D135" s="85" t="s">
        <v>870</v>
      </c>
      <c r="E135" s="85"/>
      <c r="F135" s="85" t="s">
        <v>155</v>
      </c>
      <c r="G135" s="85"/>
      <c r="H135" s="85"/>
      <c r="I135" s="86"/>
      <c r="J135" s="86"/>
      <c r="K135" s="87"/>
      <c r="L135" s="87"/>
      <c r="M135" s="88"/>
      <c r="N135" s="89"/>
      <c r="O135" s="87"/>
      <c r="P135" s="87"/>
      <c r="Q135" s="87"/>
      <c r="R135" s="87"/>
      <c r="S135" s="87">
        <v>1</v>
      </c>
      <c r="T135" s="87">
        <v>1</v>
      </c>
      <c r="U135" s="87"/>
      <c r="V135" s="90" t="s">
        <v>1062</v>
      </c>
    </row>
    <row r="136" ht="15" customHeight="1" spans="1:23" x14ac:dyDescent="0.25">
      <c r="A136" s="85">
        <v>13697</v>
      </c>
      <c r="B136" s="85" t="s">
        <v>1683</v>
      </c>
      <c r="C136" s="85" t="s">
        <v>357</v>
      </c>
      <c r="D136" s="85" t="s">
        <v>870</v>
      </c>
      <c r="E136" s="85"/>
      <c r="F136" s="85" t="s">
        <v>1062</v>
      </c>
      <c r="G136" s="85" t="s">
        <v>1016</v>
      </c>
      <c r="H136" s="85" t="s">
        <v>170</v>
      </c>
      <c r="I136" s="86">
        <v>261</v>
      </c>
      <c r="J136" s="86">
        <v>261</v>
      </c>
      <c r="K136" s="87">
        <v>1</v>
      </c>
      <c r="L136" s="87">
        <v>1</v>
      </c>
      <c r="M136" s="88">
        <v>1</v>
      </c>
      <c r="N136" s="89"/>
      <c r="O136" s="87"/>
      <c r="P136" s="87"/>
      <c r="Q136" s="87"/>
      <c r="R136" s="87"/>
      <c r="S136" s="87">
        <v>1</v>
      </c>
      <c r="T136" s="87"/>
      <c r="U136" s="87">
        <v>0</v>
      </c>
      <c r="V136" s="90" t="s">
        <v>1062</v>
      </c>
    </row>
    <row r="137" ht="15" customHeight="1" spans="1:23" x14ac:dyDescent="0.25">
      <c r="A137" s="85">
        <v>14021</v>
      </c>
      <c r="B137" s="85" t="s">
        <v>1684</v>
      </c>
      <c r="C137" s="85" t="s">
        <v>357</v>
      </c>
      <c r="D137" s="85" t="s">
        <v>389</v>
      </c>
      <c r="E137" s="85"/>
      <c r="F137" s="85" t="s">
        <v>155</v>
      </c>
      <c r="G137" s="85"/>
      <c r="H137" s="85"/>
      <c r="I137" s="86"/>
      <c r="J137" s="86"/>
      <c r="K137" s="87"/>
      <c r="L137" s="87"/>
      <c r="M137" s="88"/>
      <c r="N137" s="89"/>
      <c r="O137" s="87"/>
      <c r="P137" s="87"/>
      <c r="Q137" s="87"/>
      <c r="R137" s="87"/>
      <c r="S137" s="87">
        <v>1</v>
      </c>
      <c r="T137" s="87">
        <v>1</v>
      </c>
      <c r="U137" s="87"/>
      <c r="V137" s="90" t="s">
        <v>1062</v>
      </c>
    </row>
    <row r="138" ht="15" customHeight="1" spans="1:23" x14ac:dyDescent="0.25">
      <c r="A138" s="85">
        <v>14021</v>
      </c>
      <c r="B138" s="85" t="s">
        <v>1684</v>
      </c>
      <c r="C138" s="85" t="s">
        <v>357</v>
      </c>
      <c r="D138" s="85" t="s">
        <v>389</v>
      </c>
      <c r="E138" s="85"/>
      <c r="F138" s="85" t="s">
        <v>1062</v>
      </c>
      <c r="G138" s="85" t="s">
        <v>1016</v>
      </c>
      <c r="H138" s="85" t="s">
        <v>170</v>
      </c>
      <c r="I138" s="86">
        <v>261</v>
      </c>
      <c r="J138" s="86">
        <v>261</v>
      </c>
      <c r="K138" s="87">
        <v>1</v>
      </c>
      <c r="L138" s="87">
        <v>1</v>
      </c>
      <c r="M138" s="88">
        <v>1</v>
      </c>
      <c r="N138" s="89"/>
      <c r="O138" s="87"/>
      <c r="P138" s="87"/>
      <c r="Q138" s="87"/>
      <c r="R138" s="87"/>
      <c r="S138" s="87">
        <v>1</v>
      </c>
      <c r="T138" s="87"/>
      <c r="U138" s="87">
        <v>0</v>
      </c>
      <c r="V138" s="90" t="s">
        <v>1062</v>
      </c>
    </row>
    <row r="139" ht="15" customHeight="1" spans="1:23" x14ac:dyDescent="0.25">
      <c r="A139" s="85">
        <v>14185</v>
      </c>
      <c r="B139" s="85" t="s">
        <v>1685</v>
      </c>
      <c r="C139" s="85" t="s">
        <v>161</v>
      </c>
      <c r="D139" s="85" t="s">
        <v>176</v>
      </c>
      <c r="E139" s="85"/>
      <c r="F139" s="85" t="s">
        <v>155</v>
      </c>
      <c r="G139" s="85"/>
      <c r="H139" s="85"/>
      <c r="I139" s="86"/>
      <c r="J139" s="86"/>
      <c r="K139" s="87"/>
      <c r="L139" s="87"/>
      <c r="M139" s="88"/>
      <c r="N139" s="89"/>
      <c r="O139" s="87"/>
      <c r="P139" s="87"/>
      <c r="Q139" s="87"/>
      <c r="R139" s="87"/>
      <c r="S139" s="87">
        <v>1</v>
      </c>
      <c r="T139" s="87">
        <v>1</v>
      </c>
      <c r="U139" s="87">
        <v>1</v>
      </c>
      <c r="V139" s="90" t="s">
        <v>1686</v>
      </c>
    </row>
    <row r="140" ht="15" customHeight="1" spans="1:23" x14ac:dyDescent="0.25">
      <c r="A140" s="85">
        <v>14185</v>
      </c>
      <c r="B140" s="85" t="s">
        <v>1685</v>
      </c>
      <c r="C140" s="85" t="s">
        <v>161</v>
      </c>
      <c r="D140" s="85" t="s">
        <v>176</v>
      </c>
      <c r="E140" s="85"/>
      <c r="F140" s="85" t="s">
        <v>1062</v>
      </c>
      <c r="G140" s="85" t="s">
        <v>1016</v>
      </c>
      <c r="H140" s="85" t="s">
        <v>170</v>
      </c>
      <c r="I140" s="86">
        <v>261</v>
      </c>
      <c r="J140" s="86">
        <v>261</v>
      </c>
      <c r="K140" s="87">
        <v>1</v>
      </c>
      <c r="L140" s="87">
        <v>1</v>
      </c>
      <c r="M140" s="88">
        <v>1</v>
      </c>
      <c r="N140" s="89"/>
      <c r="O140" s="87"/>
      <c r="P140" s="87"/>
      <c r="Q140" s="87"/>
      <c r="R140" s="87"/>
      <c r="S140" s="87">
        <v>1</v>
      </c>
      <c r="T140" s="87"/>
      <c r="U140" s="87">
        <v>1</v>
      </c>
      <c r="V140" s="90" t="s">
        <v>1686</v>
      </c>
    </row>
    <row r="141" ht="15" customHeight="1" spans="1:23" x14ac:dyDescent="0.25">
      <c r="A141" s="85">
        <v>14208</v>
      </c>
      <c r="B141" s="85" t="s">
        <v>1687</v>
      </c>
      <c r="C141" s="85" t="s">
        <v>357</v>
      </c>
      <c r="D141" s="85" t="s">
        <v>176</v>
      </c>
      <c r="E141" s="85"/>
      <c r="F141" s="85" t="s">
        <v>155</v>
      </c>
      <c r="G141" s="85"/>
      <c r="H141" s="85"/>
      <c r="I141" s="86"/>
      <c r="J141" s="86"/>
      <c r="K141" s="87"/>
      <c r="L141" s="87"/>
      <c r="M141" s="88"/>
      <c r="N141" s="89"/>
      <c r="O141" s="87"/>
      <c r="P141" s="87"/>
      <c r="Q141" s="87"/>
      <c r="R141" s="87"/>
      <c r="S141" s="87">
        <v>1</v>
      </c>
      <c r="T141" s="87">
        <v>1</v>
      </c>
      <c r="U141" s="87">
        <v>1</v>
      </c>
      <c r="V141" s="90" t="s">
        <v>1558</v>
      </c>
    </row>
    <row r="142" ht="15" customHeight="1" spans="1:23" x14ac:dyDescent="0.25">
      <c r="A142" s="85">
        <v>14208</v>
      </c>
      <c r="B142" s="85" t="s">
        <v>1687</v>
      </c>
      <c r="C142" s="85" t="s">
        <v>357</v>
      </c>
      <c r="D142" s="85" t="s">
        <v>176</v>
      </c>
      <c r="E142" s="85"/>
      <c r="F142" s="85" t="s">
        <v>1062</v>
      </c>
      <c r="G142" s="85" t="s">
        <v>1016</v>
      </c>
      <c r="H142" s="85" t="s">
        <v>170</v>
      </c>
      <c r="I142" s="86">
        <v>261</v>
      </c>
      <c r="J142" s="86">
        <v>261</v>
      </c>
      <c r="K142" s="87">
        <v>1</v>
      </c>
      <c r="L142" s="87">
        <v>1</v>
      </c>
      <c r="M142" s="88">
        <v>1</v>
      </c>
      <c r="N142" s="89"/>
      <c r="O142" s="87"/>
      <c r="P142" s="87"/>
      <c r="Q142" s="87"/>
      <c r="R142" s="87"/>
      <c r="S142" s="87">
        <v>1</v>
      </c>
      <c r="T142" s="87"/>
      <c r="U142" s="87">
        <v>1</v>
      </c>
      <c r="V142" s="90" t="s">
        <v>1558</v>
      </c>
    </row>
    <row r="143" ht="15" customHeight="1" spans="1:23" x14ac:dyDescent="0.25">
      <c r="A143" s="85">
        <v>14344</v>
      </c>
      <c r="B143" s="85" t="s">
        <v>1688</v>
      </c>
      <c r="C143" s="85" t="s">
        <v>357</v>
      </c>
      <c r="D143" s="85" t="s">
        <v>785</v>
      </c>
      <c r="E143" s="85"/>
      <c r="F143" s="85" t="s">
        <v>155</v>
      </c>
      <c r="G143" s="85"/>
      <c r="H143" s="85"/>
      <c r="I143" s="86"/>
      <c r="J143" s="86"/>
      <c r="K143" s="87"/>
      <c r="L143" s="87"/>
      <c r="M143" s="88"/>
      <c r="N143" s="89"/>
      <c r="O143" s="87"/>
      <c r="P143" s="87"/>
      <c r="Q143" s="87"/>
      <c r="R143" s="87"/>
      <c r="S143" s="87">
        <v>1</v>
      </c>
      <c r="T143" s="87">
        <v>1</v>
      </c>
      <c r="U143" s="87"/>
      <c r="V143" s="90" t="s">
        <v>1062</v>
      </c>
    </row>
    <row r="144" ht="15" customHeight="1" spans="1:23" x14ac:dyDescent="0.25">
      <c r="A144" s="85">
        <v>14344</v>
      </c>
      <c r="B144" s="85" t="s">
        <v>1688</v>
      </c>
      <c r="C144" s="85" t="s">
        <v>357</v>
      </c>
      <c r="D144" s="85" t="s">
        <v>785</v>
      </c>
      <c r="E144" s="85"/>
      <c r="F144" s="85" t="s">
        <v>1062</v>
      </c>
      <c r="G144" s="85" t="s">
        <v>1016</v>
      </c>
      <c r="H144" s="85" t="s">
        <v>170</v>
      </c>
      <c r="I144" s="86">
        <v>261</v>
      </c>
      <c r="J144" s="86">
        <v>261</v>
      </c>
      <c r="K144" s="87">
        <v>1</v>
      </c>
      <c r="L144" s="87">
        <v>1</v>
      </c>
      <c r="M144" s="88">
        <v>1</v>
      </c>
      <c r="N144" s="89"/>
      <c r="O144" s="87"/>
      <c r="P144" s="87"/>
      <c r="Q144" s="87"/>
      <c r="R144" s="87"/>
      <c r="S144" s="87">
        <v>1</v>
      </c>
      <c r="T144" s="87"/>
      <c r="U144" s="87">
        <v>0</v>
      </c>
      <c r="V144" s="90" t="s">
        <v>1062</v>
      </c>
    </row>
    <row r="145" ht="15" customHeight="1" spans="1:23" x14ac:dyDescent="0.25">
      <c r="A145" s="85">
        <v>14547</v>
      </c>
      <c r="B145" s="85" t="s">
        <v>1689</v>
      </c>
      <c r="C145" s="85" t="s">
        <v>161</v>
      </c>
      <c r="D145" s="85" t="s">
        <v>182</v>
      </c>
      <c r="E145" s="85"/>
      <c r="F145" s="85" t="s">
        <v>155</v>
      </c>
      <c r="G145" s="85"/>
      <c r="H145" s="85"/>
      <c r="I145" s="86"/>
      <c r="J145" s="86"/>
      <c r="K145" s="87"/>
      <c r="L145" s="87"/>
      <c r="M145" s="88"/>
      <c r="N145" s="89"/>
      <c r="O145" s="87"/>
      <c r="P145" s="87"/>
      <c r="Q145" s="87"/>
      <c r="R145" s="87"/>
      <c r="S145" s="87">
        <v>1</v>
      </c>
      <c r="T145" s="87">
        <v>1</v>
      </c>
      <c r="U145" s="87"/>
      <c r="V145" s="90" t="s">
        <v>1062</v>
      </c>
    </row>
    <row r="146" ht="15" customHeight="1" spans="1:23" x14ac:dyDescent="0.25">
      <c r="A146" s="85">
        <v>14547</v>
      </c>
      <c r="B146" s="85" t="s">
        <v>1689</v>
      </c>
      <c r="C146" s="85" t="s">
        <v>161</v>
      </c>
      <c r="D146" s="85" t="s">
        <v>182</v>
      </c>
      <c r="E146" s="85"/>
      <c r="F146" s="85" t="s">
        <v>1062</v>
      </c>
      <c r="G146" s="85" t="s">
        <v>1016</v>
      </c>
      <c r="H146" s="85" t="s">
        <v>170</v>
      </c>
      <c r="I146" s="86">
        <v>261</v>
      </c>
      <c r="J146" s="86">
        <v>261</v>
      </c>
      <c r="K146" s="87">
        <v>1</v>
      </c>
      <c r="L146" s="87">
        <v>1</v>
      </c>
      <c r="M146" s="88">
        <v>1</v>
      </c>
      <c r="N146" s="89"/>
      <c r="O146" s="87"/>
      <c r="P146" s="87"/>
      <c r="Q146" s="87"/>
      <c r="R146" s="87"/>
      <c r="S146" s="87">
        <v>1</v>
      </c>
      <c r="T146" s="87"/>
      <c r="U146" s="87">
        <v>0</v>
      </c>
      <c r="V146" s="90" t="s">
        <v>1062</v>
      </c>
    </row>
    <row r="147" ht="15" customHeight="1" spans="1:23" x14ac:dyDescent="0.25">
      <c r="A147" s="85">
        <v>14603</v>
      </c>
      <c r="B147" s="85" t="s">
        <v>1690</v>
      </c>
      <c r="C147" s="85" t="s">
        <v>161</v>
      </c>
      <c r="D147" s="85" t="s">
        <v>228</v>
      </c>
      <c r="E147" s="85"/>
      <c r="F147" s="85" t="s">
        <v>155</v>
      </c>
      <c r="G147" s="85"/>
      <c r="H147" s="85"/>
      <c r="I147" s="86"/>
      <c r="J147" s="86"/>
      <c r="K147" s="87"/>
      <c r="L147" s="87"/>
      <c r="M147" s="88"/>
      <c r="N147" s="89"/>
      <c r="O147" s="87"/>
      <c r="P147" s="87"/>
      <c r="Q147" s="87"/>
      <c r="R147" s="87"/>
      <c r="S147" s="87">
        <v>0.9</v>
      </c>
      <c r="T147" s="87">
        <v>0.9</v>
      </c>
      <c r="U147" s="87"/>
      <c r="V147" s="90" t="s">
        <v>1062</v>
      </c>
    </row>
    <row r="148" ht="15" customHeight="1" spans="1:23" x14ac:dyDescent="0.25">
      <c r="A148" s="85">
        <v>14603</v>
      </c>
      <c r="B148" s="85" t="s">
        <v>1690</v>
      </c>
      <c r="C148" s="85" t="s">
        <v>161</v>
      </c>
      <c r="D148" s="85" t="s">
        <v>228</v>
      </c>
      <c r="E148" s="85"/>
      <c r="F148" s="85" t="s">
        <v>1062</v>
      </c>
      <c r="G148" s="85" t="s">
        <v>1016</v>
      </c>
      <c r="H148" s="85" t="s">
        <v>170</v>
      </c>
      <c r="I148" s="86">
        <v>261</v>
      </c>
      <c r="J148" s="86">
        <v>261</v>
      </c>
      <c r="K148" s="87">
        <v>1</v>
      </c>
      <c r="L148" s="87">
        <v>0.9</v>
      </c>
      <c r="M148" s="88">
        <v>0.9</v>
      </c>
      <c r="N148" s="89"/>
      <c r="O148" s="87"/>
      <c r="P148" s="87"/>
      <c r="Q148" s="87"/>
      <c r="R148" s="87"/>
      <c r="S148" s="87">
        <v>0.9</v>
      </c>
      <c r="T148" s="87"/>
      <c r="U148" s="87">
        <v>0</v>
      </c>
      <c r="V148" s="90" t="s">
        <v>1062</v>
      </c>
    </row>
    <row r="149" ht="15" customHeight="1" spans="1:23" x14ac:dyDescent="0.25">
      <c r="A149" s="85">
        <v>14878</v>
      </c>
      <c r="B149" s="85" t="s">
        <v>1691</v>
      </c>
      <c r="C149" s="85" t="s">
        <v>357</v>
      </c>
      <c r="D149" s="85" t="s">
        <v>417</v>
      </c>
      <c r="E149" s="85"/>
      <c r="F149" s="85" t="s">
        <v>155</v>
      </c>
      <c r="G149" s="85"/>
      <c r="H149" s="85"/>
      <c r="I149" s="86"/>
      <c r="J149" s="86"/>
      <c r="K149" s="87"/>
      <c r="L149" s="87"/>
      <c r="M149" s="88"/>
      <c r="N149" s="89"/>
      <c r="O149" s="87"/>
      <c r="P149" s="87"/>
      <c r="Q149" s="87"/>
      <c r="R149" s="87"/>
      <c r="S149" s="87">
        <v>1</v>
      </c>
      <c r="T149" s="87">
        <v>1</v>
      </c>
      <c r="U149" s="87">
        <v>1</v>
      </c>
      <c r="V149" s="90" t="s">
        <v>1692</v>
      </c>
    </row>
    <row r="150" ht="15" customHeight="1" spans="1:23" x14ac:dyDescent="0.25">
      <c r="A150" s="85">
        <v>14878</v>
      </c>
      <c r="B150" s="85" t="s">
        <v>1691</v>
      </c>
      <c r="C150" s="85" t="s">
        <v>357</v>
      </c>
      <c r="D150" s="85" t="s">
        <v>417</v>
      </c>
      <c r="E150" s="85"/>
      <c r="F150" s="85" t="s">
        <v>1062</v>
      </c>
      <c r="G150" s="85" t="s">
        <v>1016</v>
      </c>
      <c r="H150" s="85" t="s">
        <v>170</v>
      </c>
      <c r="I150" s="86">
        <v>261</v>
      </c>
      <c r="J150" s="86">
        <v>261</v>
      </c>
      <c r="K150" s="87">
        <v>1</v>
      </c>
      <c r="L150" s="87">
        <v>1</v>
      </c>
      <c r="M150" s="88">
        <v>1</v>
      </c>
      <c r="N150" s="89"/>
      <c r="O150" s="87"/>
      <c r="P150" s="87"/>
      <c r="Q150" s="87"/>
      <c r="R150" s="87"/>
      <c r="S150" s="87">
        <v>1</v>
      </c>
      <c r="T150" s="87"/>
      <c r="U150" s="87">
        <v>1</v>
      </c>
      <c r="V150" s="90" t="s">
        <v>1692</v>
      </c>
    </row>
    <row r="151" ht="15" customHeight="1" spans="1:23" x14ac:dyDescent="0.25">
      <c r="A151" s="85">
        <v>15360</v>
      </c>
      <c r="B151" s="85" t="s">
        <v>1693</v>
      </c>
      <c r="C151" s="85" t="s">
        <v>357</v>
      </c>
      <c r="D151" s="85" t="s">
        <v>573</v>
      </c>
      <c r="E151" s="85"/>
      <c r="F151" s="85" t="s">
        <v>155</v>
      </c>
      <c r="G151" s="85"/>
      <c r="H151" s="85"/>
      <c r="I151" s="86"/>
      <c r="J151" s="86"/>
      <c r="K151" s="87"/>
      <c r="L151" s="87"/>
      <c r="M151" s="88"/>
      <c r="N151" s="89"/>
      <c r="O151" s="87"/>
      <c r="P151" s="87"/>
      <c r="Q151" s="87"/>
      <c r="R151" s="87"/>
      <c r="S151" s="87">
        <v>1</v>
      </c>
      <c r="T151" s="87">
        <v>1</v>
      </c>
      <c r="U151" s="87"/>
      <c r="V151" s="90" t="s">
        <v>1062</v>
      </c>
    </row>
    <row r="152" ht="15" customHeight="1" spans="1:23" x14ac:dyDescent="0.25">
      <c r="A152" s="85">
        <v>15360</v>
      </c>
      <c r="B152" s="85" t="s">
        <v>1693</v>
      </c>
      <c r="C152" s="85" t="s">
        <v>357</v>
      </c>
      <c r="D152" s="85" t="s">
        <v>573</v>
      </c>
      <c r="E152" s="85"/>
      <c r="F152" s="85" t="s">
        <v>1062</v>
      </c>
      <c r="G152" s="85" t="s">
        <v>1016</v>
      </c>
      <c r="H152" s="85" t="s">
        <v>170</v>
      </c>
      <c r="I152" s="86">
        <v>261</v>
      </c>
      <c r="J152" s="86">
        <v>261</v>
      </c>
      <c r="K152" s="87">
        <v>1</v>
      </c>
      <c r="L152" s="87">
        <v>1</v>
      </c>
      <c r="M152" s="88">
        <v>1</v>
      </c>
      <c r="N152" s="89"/>
      <c r="O152" s="87"/>
      <c r="P152" s="87"/>
      <c r="Q152" s="87"/>
      <c r="R152" s="87"/>
      <c r="S152" s="87">
        <v>1</v>
      </c>
      <c r="T152" s="87"/>
      <c r="U152" s="87">
        <v>0</v>
      </c>
      <c r="V152" s="90" t="s">
        <v>1062</v>
      </c>
    </row>
    <row r="153" ht="15" customHeight="1" spans="1:23" x14ac:dyDescent="0.25">
      <c r="A153" s="85">
        <v>15446</v>
      </c>
      <c r="B153" s="85" t="s">
        <v>1694</v>
      </c>
      <c r="C153" s="85" t="s">
        <v>161</v>
      </c>
      <c r="D153" s="85" t="s">
        <v>352</v>
      </c>
      <c r="E153" s="85" t="s">
        <v>170</v>
      </c>
      <c r="F153" s="85" t="s">
        <v>155</v>
      </c>
      <c r="G153" s="85"/>
      <c r="H153" s="85"/>
      <c r="I153" s="86"/>
      <c r="J153" s="86"/>
      <c r="K153" s="87"/>
      <c r="L153" s="87"/>
      <c r="M153" s="88"/>
      <c r="N153" s="89"/>
      <c r="O153" s="87"/>
      <c r="P153" s="87"/>
      <c r="Q153" s="87"/>
      <c r="R153" s="87"/>
      <c r="S153" s="87">
        <v>1</v>
      </c>
      <c r="T153" s="87">
        <v>1</v>
      </c>
      <c r="U153" s="87">
        <v>1</v>
      </c>
      <c r="V153" s="90" t="s">
        <v>1695</v>
      </c>
    </row>
    <row r="154" ht="15" customHeight="1" spans="1:23" x14ac:dyDescent="0.25">
      <c r="A154" s="85">
        <v>15446</v>
      </c>
      <c r="B154" s="85" t="s">
        <v>1694</v>
      </c>
      <c r="C154" s="85" t="s">
        <v>161</v>
      </c>
      <c r="D154" s="85" t="s">
        <v>352</v>
      </c>
      <c r="E154" s="85" t="s">
        <v>170</v>
      </c>
      <c r="F154" s="85" t="s">
        <v>1062</v>
      </c>
      <c r="G154" s="85" t="s">
        <v>1016</v>
      </c>
      <c r="H154" s="85" t="s">
        <v>170</v>
      </c>
      <c r="I154" s="86">
        <v>261</v>
      </c>
      <c r="J154" s="86">
        <v>261</v>
      </c>
      <c r="K154" s="87">
        <v>1</v>
      </c>
      <c r="L154" s="87">
        <v>1</v>
      </c>
      <c r="M154" s="88">
        <v>1</v>
      </c>
      <c r="N154" s="89"/>
      <c r="O154" s="87"/>
      <c r="P154" s="87"/>
      <c r="Q154" s="87"/>
      <c r="R154" s="87"/>
      <c r="S154" s="87">
        <v>1</v>
      </c>
      <c r="T154" s="87"/>
      <c r="U154" s="87">
        <v>1</v>
      </c>
      <c r="V154" s="90" t="s">
        <v>1696</v>
      </c>
    </row>
    <row r="155" ht="15" customHeight="1" spans="1:23" x14ac:dyDescent="0.25">
      <c r="A155" s="85">
        <v>15461</v>
      </c>
      <c r="B155" s="85" t="s">
        <v>1697</v>
      </c>
      <c r="C155" s="85" t="s">
        <v>942</v>
      </c>
      <c r="D155" s="85" t="s">
        <v>1030</v>
      </c>
      <c r="E155" s="85"/>
      <c r="F155" s="85" t="s">
        <v>155</v>
      </c>
      <c r="G155" s="85"/>
      <c r="H155" s="85"/>
      <c r="I155" s="86"/>
      <c r="J155" s="86"/>
      <c r="K155" s="87"/>
      <c r="L155" s="87"/>
      <c r="M155" s="88"/>
      <c r="N155" s="89"/>
      <c r="O155" s="87"/>
      <c r="P155" s="87"/>
      <c r="Q155" s="87"/>
      <c r="R155" s="87"/>
      <c r="S155" s="87">
        <v>1</v>
      </c>
      <c r="T155" s="87">
        <v>1</v>
      </c>
      <c r="U155" s="87">
        <v>1</v>
      </c>
      <c r="V155" s="90" t="s">
        <v>1698</v>
      </c>
    </row>
    <row r="156" ht="15" customHeight="1" spans="1:23" x14ac:dyDescent="0.25">
      <c r="A156" s="85">
        <v>15461</v>
      </c>
      <c r="B156" s="85" t="s">
        <v>1697</v>
      </c>
      <c r="C156" s="85" t="s">
        <v>942</v>
      </c>
      <c r="D156" s="85" t="s">
        <v>1030</v>
      </c>
      <c r="E156" s="85"/>
      <c r="F156" s="85" t="s">
        <v>1062</v>
      </c>
      <c r="G156" s="85" t="s">
        <v>1016</v>
      </c>
      <c r="H156" s="85" t="s">
        <v>170</v>
      </c>
      <c r="I156" s="86">
        <v>261</v>
      </c>
      <c r="J156" s="86">
        <v>261</v>
      </c>
      <c r="K156" s="87">
        <v>1</v>
      </c>
      <c r="L156" s="87">
        <v>1</v>
      </c>
      <c r="M156" s="88">
        <v>1</v>
      </c>
      <c r="N156" s="89"/>
      <c r="O156" s="87"/>
      <c r="P156" s="87"/>
      <c r="Q156" s="87"/>
      <c r="R156" s="87"/>
      <c r="S156" s="87">
        <v>1</v>
      </c>
      <c r="T156" s="87"/>
      <c r="U156" s="87">
        <v>1</v>
      </c>
      <c r="V156" s="90" t="s">
        <v>1698</v>
      </c>
    </row>
    <row r="157" ht="15" customHeight="1" spans="1:23" x14ac:dyDescent="0.25">
      <c r="A157" s="85">
        <v>15551</v>
      </c>
      <c r="B157" s="85" t="s">
        <v>1699</v>
      </c>
      <c r="C157" s="85" t="s">
        <v>357</v>
      </c>
      <c r="D157" s="85" t="s">
        <v>427</v>
      </c>
      <c r="E157" s="85"/>
      <c r="F157" s="85" t="s">
        <v>155</v>
      </c>
      <c r="G157" s="85"/>
      <c r="H157" s="85"/>
      <c r="I157" s="86"/>
      <c r="J157" s="86"/>
      <c r="K157" s="87"/>
      <c r="L157" s="87"/>
      <c r="M157" s="88"/>
      <c r="N157" s="89"/>
      <c r="O157" s="87"/>
      <c r="P157" s="87"/>
      <c r="Q157" s="87"/>
      <c r="R157" s="87"/>
      <c r="S157" s="87">
        <v>1</v>
      </c>
      <c r="T157" s="87">
        <v>1</v>
      </c>
      <c r="U157" s="87">
        <v>1</v>
      </c>
      <c r="V157" s="90" t="s">
        <v>1700</v>
      </c>
    </row>
    <row r="158" ht="15" customHeight="1" spans="1:23" x14ac:dyDescent="0.25">
      <c r="A158" s="85">
        <v>15551</v>
      </c>
      <c r="B158" s="85" t="s">
        <v>1699</v>
      </c>
      <c r="C158" s="85" t="s">
        <v>357</v>
      </c>
      <c r="D158" s="85" t="s">
        <v>427</v>
      </c>
      <c r="E158" s="85"/>
      <c r="F158" s="85" t="s">
        <v>1062</v>
      </c>
      <c r="G158" s="85" t="s">
        <v>1049</v>
      </c>
      <c r="H158" s="85" t="s">
        <v>170</v>
      </c>
      <c r="I158" s="86">
        <v>261</v>
      </c>
      <c r="J158" s="86">
        <v>23</v>
      </c>
      <c r="K158" s="87">
        <v>0.08812260536398467</v>
      </c>
      <c r="L158" s="87">
        <v>1</v>
      </c>
      <c r="M158" s="88">
        <v>0.08812260536398467</v>
      </c>
      <c r="N158" s="89"/>
      <c r="O158" s="87"/>
      <c r="P158" s="87"/>
      <c r="Q158" s="87"/>
      <c r="R158" s="87"/>
      <c r="S158" s="87">
        <v>0.08812260536398467</v>
      </c>
      <c r="T158" s="87"/>
      <c r="U158" s="87">
        <v>0.08812260536398467</v>
      </c>
      <c r="V158" s="90" t="s">
        <v>1701</v>
      </c>
    </row>
    <row r="159" ht="15" customHeight="1" spans="1:23" x14ac:dyDescent="0.25">
      <c r="A159" s="85">
        <v>15551</v>
      </c>
      <c r="B159" s="85" t="s">
        <v>1699</v>
      </c>
      <c r="C159" s="85" t="s">
        <v>357</v>
      </c>
      <c r="D159" s="85" t="s">
        <v>427</v>
      </c>
      <c r="E159" s="85"/>
      <c r="F159" s="85" t="s">
        <v>1062</v>
      </c>
      <c r="G159" s="85" t="s">
        <v>1016</v>
      </c>
      <c r="H159" s="85" t="s">
        <v>1587</v>
      </c>
      <c r="I159" s="86">
        <v>261</v>
      </c>
      <c r="J159" s="86">
        <v>238</v>
      </c>
      <c r="K159" s="87">
        <v>0.9118773946360154</v>
      </c>
      <c r="L159" s="87">
        <v>1</v>
      </c>
      <c r="M159" s="88">
        <v>0.9118773946360154</v>
      </c>
      <c r="N159" s="89"/>
      <c r="O159" s="87"/>
      <c r="P159" s="87"/>
      <c r="Q159" s="87"/>
      <c r="R159" s="87"/>
      <c r="S159" s="87">
        <v>0.9118773946360154</v>
      </c>
      <c r="T159" s="87"/>
      <c r="U159" s="87">
        <v>0.9118773946360154</v>
      </c>
      <c r="V159" s="90" t="s">
        <v>1702</v>
      </c>
    </row>
    <row r="160" ht="15" customHeight="1" spans="1:23" x14ac:dyDescent="0.25">
      <c r="A160" s="85">
        <v>15792</v>
      </c>
      <c r="B160" s="85" t="s">
        <v>1703</v>
      </c>
      <c r="C160" s="85" t="s">
        <v>357</v>
      </c>
      <c r="D160" s="85" t="s">
        <v>488</v>
      </c>
      <c r="E160" s="85"/>
      <c r="F160" s="85" t="s">
        <v>155</v>
      </c>
      <c r="G160" s="85"/>
      <c r="H160" s="85"/>
      <c r="I160" s="86"/>
      <c r="J160" s="86"/>
      <c r="K160" s="87"/>
      <c r="L160" s="87"/>
      <c r="M160" s="88"/>
      <c r="N160" s="89"/>
      <c r="O160" s="87"/>
      <c r="P160" s="87"/>
      <c r="Q160" s="87">
        <v>0.1724137931034483</v>
      </c>
      <c r="R160" s="87"/>
      <c r="S160" s="87">
        <v>0.9999999999999999</v>
      </c>
      <c r="T160" s="87">
        <v>0.9999999999999999</v>
      </c>
      <c r="U160" s="87">
        <v>0.9999999999999999</v>
      </c>
      <c r="V160" s="90" t="s">
        <v>1704</v>
      </c>
    </row>
    <row r="161" ht="15" customHeight="1" spans="1:23" x14ac:dyDescent="0.25">
      <c r="A161" s="85">
        <v>15792</v>
      </c>
      <c r="B161" s="85" t="s">
        <v>1703</v>
      </c>
      <c r="C161" s="85" t="s">
        <v>357</v>
      </c>
      <c r="D161" s="85" t="s">
        <v>488</v>
      </c>
      <c r="E161" s="85"/>
      <c r="F161" s="85" t="s">
        <v>1062</v>
      </c>
      <c r="G161" s="85" t="s">
        <v>1705</v>
      </c>
      <c r="H161" s="85" t="s">
        <v>170</v>
      </c>
      <c r="I161" s="86">
        <v>261</v>
      </c>
      <c r="J161" s="86">
        <v>143</v>
      </c>
      <c r="K161" s="87">
        <v>0.5478927203065134</v>
      </c>
      <c r="L161" s="87">
        <v>1</v>
      </c>
      <c r="M161" s="88">
        <v>0.5478927203065134</v>
      </c>
      <c r="N161" s="89"/>
      <c r="O161" s="87"/>
      <c r="P161" s="87"/>
      <c r="Q161" s="87"/>
      <c r="R161" s="87"/>
      <c r="S161" s="87">
        <v>0.5478927203065134</v>
      </c>
      <c r="T161" s="87"/>
      <c r="U161" s="87">
        <v>0.5478927203065134</v>
      </c>
      <c r="V161" s="90" t="s">
        <v>1706</v>
      </c>
    </row>
    <row r="162" ht="15" customHeight="1" spans="1:23" x14ac:dyDescent="0.25">
      <c r="A162" s="85">
        <v>15792</v>
      </c>
      <c r="B162" s="85" t="s">
        <v>1703</v>
      </c>
      <c r="C162" s="85" t="s">
        <v>357</v>
      </c>
      <c r="D162" s="85" t="s">
        <v>488</v>
      </c>
      <c r="E162" s="85"/>
      <c r="F162" s="85" t="s">
        <v>1062</v>
      </c>
      <c r="G162" s="85" t="s">
        <v>1707</v>
      </c>
      <c r="H162" s="85" t="s">
        <v>1708</v>
      </c>
      <c r="I162" s="86">
        <v>261</v>
      </c>
      <c r="J162" s="86">
        <v>20</v>
      </c>
      <c r="K162" s="87">
        <v>0.07662835249042145</v>
      </c>
      <c r="L162" s="87">
        <v>1</v>
      </c>
      <c r="M162" s="88">
        <v>0.07662835249042145</v>
      </c>
      <c r="N162" s="89">
        <v>1</v>
      </c>
      <c r="O162" s="87">
        <v>0.07662835249042145</v>
      </c>
      <c r="P162" s="87"/>
      <c r="Q162" s="87">
        <v>0.07662835249042145</v>
      </c>
      <c r="R162" s="87"/>
      <c r="S162" s="87">
        <v>0.07662835249042145</v>
      </c>
      <c r="T162" s="87"/>
      <c r="U162" s="87">
        <v>0.07662835249042145</v>
      </c>
      <c r="V162" s="90" t="s">
        <v>1709</v>
      </c>
    </row>
    <row r="163" ht="15" customHeight="1" spans="1:23" x14ac:dyDescent="0.25">
      <c r="A163" s="85">
        <v>15792</v>
      </c>
      <c r="B163" s="85" t="s">
        <v>1703</v>
      </c>
      <c r="C163" s="85" t="s">
        <v>357</v>
      </c>
      <c r="D163" s="85" t="s">
        <v>488</v>
      </c>
      <c r="E163" s="85"/>
      <c r="F163" s="85" t="s">
        <v>1062</v>
      </c>
      <c r="G163" s="85" t="s">
        <v>1710</v>
      </c>
      <c r="H163" s="85" t="s">
        <v>1711</v>
      </c>
      <c r="I163" s="86">
        <v>261</v>
      </c>
      <c r="J163" s="86">
        <v>12</v>
      </c>
      <c r="K163" s="87">
        <v>0.04597701149425287</v>
      </c>
      <c r="L163" s="87">
        <v>1</v>
      </c>
      <c r="M163" s="88">
        <v>0.04597701149425287</v>
      </c>
      <c r="N163" s="89">
        <v>1</v>
      </c>
      <c r="O163" s="87">
        <v>0.04597701149425287</v>
      </c>
      <c r="P163" s="87"/>
      <c r="Q163" s="87">
        <v>0.04597701149425287</v>
      </c>
      <c r="R163" s="87"/>
      <c r="S163" s="87">
        <v>0.04597701149425287</v>
      </c>
      <c r="T163" s="87"/>
      <c r="U163" s="87">
        <v>0.04597701149425287</v>
      </c>
      <c r="V163" s="90" t="s">
        <v>1712</v>
      </c>
    </row>
    <row r="164" ht="15" customHeight="1" spans="1:23" x14ac:dyDescent="0.25">
      <c r="A164" s="85">
        <v>15792</v>
      </c>
      <c r="B164" s="85" t="s">
        <v>1703</v>
      </c>
      <c r="C164" s="85" t="s">
        <v>357</v>
      </c>
      <c r="D164" s="85" t="s">
        <v>488</v>
      </c>
      <c r="E164" s="85"/>
      <c r="F164" s="85" t="s">
        <v>1062</v>
      </c>
      <c r="G164" s="85" t="s">
        <v>1713</v>
      </c>
      <c r="H164" s="85" t="s">
        <v>1714</v>
      </c>
      <c r="I164" s="86">
        <v>261</v>
      </c>
      <c r="J164" s="86">
        <v>10</v>
      </c>
      <c r="K164" s="87">
        <v>0.038314176245210725</v>
      </c>
      <c r="L164" s="87">
        <v>1</v>
      </c>
      <c r="M164" s="88">
        <v>0.038314176245210725</v>
      </c>
      <c r="N164" s="89">
        <v>1</v>
      </c>
      <c r="O164" s="87">
        <v>0.038314176245210725</v>
      </c>
      <c r="P164" s="87"/>
      <c r="Q164" s="87">
        <v>0.038314176245210725</v>
      </c>
      <c r="R164" s="87"/>
      <c r="S164" s="87">
        <v>0.038314176245210725</v>
      </c>
      <c r="T164" s="87"/>
      <c r="U164" s="87">
        <v>0.038314176245210725</v>
      </c>
      <c r="V164" s="90" t="s">
        <v>1715</v>
      </c>
    </row>
    <row r="165" ht="15" customHeight="1" spans="1:23" x14ac:dyDescent="0.25">
      <c r="A165" s="85">
        <v>15792</v>
      </c>
      <c r="B165" s="85" t="s">
        <v>1703</v>
      </c>
      <c r="C165" s="85" t="s">
        <v>357</v>
      </c>
      <c r="D165" s="85" t="s">
        <v>488</v>
      </c>
      <c r="E165" s="85"/>
      <c r="F165" s="85" t="s">
        <v>1062</v>
      </c>
      <c r="G165" s="85" t="s">
        <v>1716</v>
      </c>
      <c r="H165" s="85" t="s">
        <v>1717</v>
      </c>
      <c r="I165" s="86">
        <v>261</v>
      </c>
      <c r="J165" s="86">
        <v>73</v>
      </c>
      <c r="K165" s="87">
        <v>0.2796934865900383</v>
      </c>
      <c r="L165" s="87">
        <v>1</v>
      </c>
      <c r="M165" s="88">
        <v>0.2796934865900383</v>
      </c>
      <c r="N165" s="89"/>
      <c r="O165" s="87"/>
      <c r="P165" s="87"/>
      <c r="Q165" s="87"/>
      <c r="R165" s="87"/>
      <c r="S165" s="87">
        <v>0.2796934865900383</v>
      </c>
      <c r="T165" s="87"/>
      <c r="U165" s="87">
        <v>0.2796934865900383</v>
      </c>
      <c r="V165" s="90" t="s">
        <v>1718</v>
      </c>
    </row>
    <row r="166" ht="15" customHeight="1" spans="1:23" x14ac:dyDescent="0.25">
      <c r="A166" s="85">
        <v>15792</v>
      </c>
      <c r="B166" s="85" t="s">
        <v>1703</v>
      </c>
      <c r="C166" s="85" t="s">
        <v>357</v>
      </c>
      <c r="D166" s="85" t="s">
        <v>488</v>
      </c>
      <c r="E166" s="85"/>
      <c r="F166" s="85" t="s">
        <v>1062</v>
      </c>
      <c r="G166" s="85" t="s">
        <v>1016</v>
      </c>
      <c r="H166" s="85" t="s">
        <v>1666</v>
      </c>
      <c r="I166" s="86">
        <v>261</v>
      </c>
      <c r="J166" s="86">
        <v>3</v>
      </c>
      <c r="K166" s="87">
        <v>0.011494252873563218</v>
      </c>
      <c r="L166" s="87">
        <v>1</v>
      </c>
      <c r="M166" s="88">
        <v>0.011494252873563218</v>
      </c>
      <c r="N166" s="89">
        <v>1</v>
      </c>
      <c r="O166" s="87">
        <v>0.011494252873563218</v>
      </c>
      <c r="P166" s="87"/>
      <c r="Q166" s="87">
        <v>0.011494252873563218</v>
      </c>
      <c r="R166" s="87"/>
      <c r="S166" s="87">
        <v>0.011494252873563218</v>
      </c>
      <c r="T166" s="87"/>
      <c r="U166" s="87">
        <v>0.011494252873563218</v>
      </c>
      <c r="V166" s="90" t="s">
        <v>1719</v>
      </c>
    </row>
    <row r="167" ht="15" customHeight="1" spans="1:23" x14ac:dyDescent="0.25">
      <c r="A167" s="85">
        <v>16159</v>
      </c>
      <c r="B167" s="85" t="s">
        <v>1720</v>
      </c>
      <c r="C167" s="85" t="s">
        <v>357</v>
      </c>
      <c r="D167" s="85" t="s">
        <v>843</v>
      </c>
      <c r="E167" s="85"/>
      <c r="F167" s="85" t="s">
        <v>155</v>
      </c>
      <c r="G167" s="85"/>
      <c r="H167" s="85"/>
      <c r="I167" s="86"/>
      <c r="J167" s="86"/>
      <c r="K167" s="87"/>
      <c r="L167" s="87"/>
      <c r="M167" s="88"/>
      <c r="N167" s="89"/>
      <c r="O167" s="87"/>
      <c r="P167" s="87"/>
      <c r="Q167" s="87">
        <v>0.6992337164750958</v>
      </c>
      <c r="R167" s="87">
        <v>0.13984674329501914</v>
      </c>
      <c r="S167" s="87">
        <v>0.8390804597701149</v>
      </c>
      <c r="T167" s="87">
        <v>0.978927203065134</v>
      </c>
      <c r="U167" s="87">
        <v>0.8390804597701149</v>
      </c>
      <c r="V167" s="90" t="s">
        <v>1721</v>
      </c>
    </row>
    <row r="168" ht="15" customHeight="1" spans="1:23" x14ac:dyDescent="0.25">
      <c r="A168" s="85">
        <v>16159</v>
      </c>
      <c r="B168" s="85" t="s">
        <v>1720</v>
      </c>
      <c r="C168" s="85" t="s">
        <v>357</v>
      </c>
      <c r="D168" s="85" t="s">
        <v>843</v>
      </c>
      <c r="E168" s="85"/>
      <c r="F168" s="85" t="s">
        <v>1062</v>
      </c>
      <c r="G168" s="85" t="s">
        <v>1722</v>
      </c>
      <c r="H168" s="85" t="s">
        <v>170</v>
      </c>
      <c r="I168" s="86">
        <v>261</v>
      </c>
      <c r="J168" s="86">
        <v>73</v>
      </c>
      <c r="K168" s="87">
        <v>0.2796934865900383</v>
      </c>
      <c r="L168" s="87">
        <v>1</v>
      </c>
      <c r="M168" s="88">
        <v>0.2796934865900383</v>
      </c>
      <c r="N168" s="89">
        <v>0.5</v>
      </c>
      <c r="O168" s="87">
        <v>0.13984674329501914</v>
      </c>
      <c r="P168" s="87"/>
      <c r="Q168" s="87"/>
      <c r="R168" s="87">
        <v>0.13984674329501914</v>
      </c>
      <c r="S168" s="87">
        <v>0.13984674329501914</v>
      </c>
      <c r="T168" s="87"/>
      <c r="U168" s="87">
        <v>0.13984674329501914</v>
      </c>
      <c r="V168" s="90" t="s">
        <v>1723</v>
      </c>
    </row>
    <row r="169" ht="15" customHeight="1" spans="1:23" x14ac:dyDescent="0.25">
      <c r="A169" s="85">
        <v>16159</v>
      </c>
      <c r="B169" s="85" t="s">
        <v>1720</v>
      </c>
      <c r="C169" s="85" t="s">
        <v>357</v>
      </c>
      <c r="D169" s="85" t="s">
        <v>843</v>
      </c>
      <c r="E169" s="85"/>
      <c r="F169" s="85" t="s">
        <v>1062</v>
      </c>
      <c r="G169" s="85" t="s">
        <v>1724</v>
      </c>
      <c r="H169" s="85" t="s">
        <v>1725</v>
      </c>
      <c r="I169" s="86">
        <v>261</v>
      </c>
      <c r="J169" s="86">
        <v>55</v>
      </c>
      <c r="K169" s="87">
        <v>0.210727969348659</v>
      </c>
      <c r="L169" s="87">
        <v>1</v>
      </c>
      <c r="M169" s="88">
        <v>0.210727969348659</v>
      </c>
      <c r="N169" s="89">
        <v>1</v>
      </c>
      <c r="O169" s="87">
        <v>0.210727969348659</v>
      </c>
      <c r="P169" s="87"/>
      <c r="Q169" s="87">
        <v>0.210727969348659</v>
      </c>
      <c r="R169" s="87"/>
      <c r="S169" s="87">
        <v>0.210727969348659</v>
      </c>
      <c r="T169" s="87"/>
      <c r="U169" s="87">
        <v>0.210727969348659</v>
      </c>
      <c r="V169" s="90" t="s">
        <v>1726</v>
      </c>
    </row>
    <row r="170" ht="15" customHeight="1" spans="1:23" x14ac:dyDescent="0.25">
      <c r="A170" s="85">
        <v>16159</v>
      </c>
      <c r="B170" s="85" t="s">
        <v>1720</v>
      </c>
      <c r="C170" s="85" t="s">
        <v>357</v>
      </c>
      <c r="D170" s="85" t="s">
        <v>843</v>
      </c>
      <c r="E170" s="85"/>
      <c r="F170" s="85" t="s">
        <v>1062</v>
      </c>
      <c r="G170" s="85" t="s">
        <v>1727</v>
      </c>
      <c r="H170" s="85" t="s">
        <v>1728</v>
      </c>
      <c r="I170" s="86">
        <v>261</v>
      </c>
      <c r="J170" s="86">
        <v>26</v>
      </c>
      <c r="K170" s="87">
        <v>0.09961685823754789</v>
      </c>
      <c r="L170" s="87">
        <v>1</v>
      </c>
      <c r="M170" s="88">
        <v>0.09961685823754789</v>
      </c>
      <c r="N170" s="89">
        <v>1</v>
      </c>
      <c r="O170" s="87">
        <v>0.09961685823754789</v>
      </c>
      <c r="P170" s="87"/>
      <c r="Q170" s="87">
        <v>0.09961685823754789</v>
      </c>
      <c r="R170" s="87"/>
      <c r="S170" s="87">
        <v>0.09961685823754789</v>
      </c>
      <c r="T170" s="87"/>
      <c r="U170" s="87">
        <v>0.09961685823754789</v>
      </c>
      <c r="V170" s="90" t="s">
        <v>1729</v>
      </c>
    </row>
    <row r="171" ht="15" customHeight="1" spans="1:23" x14ac:dyDescent="0.25">
      <c r="A171" s="85">
        <v>16159</v>
      </c>
      <c r="B171" s="85" t="s">
        <v>1720</v>
      </c>
      <c r="C171" s="85" t="s">
        <v>357</v>
      </c>
      <c r="D171" s="85" t="s">
        <v>843</v>
      </c>
      <c r="E171" s="85"/>
      <c r="F171" s="85" t="s">
        <v>1062</v>
      </c>
      <c r="G171" s="85" t="s">
        <v>1730</v>
      </c>
      <c r="H171" s="85" t="s">
        <v>1731</v>
      </c>
      <c r="I171" s="86">
        <v>261</v>
      </c>
      <c r="J171" s="86">
        <v>24</v>
      </c>
      <c r="K171" s="87">
        <v>0.09195402298850575</v>
      </c>
      <c r="L171" s="87">
        <v>1</v>
      </c>
      <c r="M171" s="88">
        <v>0.09195402298850575</v>
      </c>
      <c r="N171" s="89">
        <v>1</v>
      </c>
      <c r="O171" s="87">
        <v>0.09195402298850575</v>
      </c>
      <c r="P171" s="87"/>
      <c r="Q171" s="87">
        <v>0.09195402298850575</v>
      </c>
      <c r="R171" s="87"/>
      <c r="S171" s="87">
        <v>0.09195402298850575</v>
      </c>
      <c r="T171" s="87"/>
      <c r="U171" s="87">
        <v>0.09195402298850575</v>
      </c>
      <c r="V171" s="90" t="s">
        <v>1732</v>
      </c>
    </row>
    <row r="172" ht="15" customHeight="1" spans="1:23" x14ac:dyDescent="0.25">
      <c r="A172" s="85">
        <v>16159</v>
      </c>
      <c r="B172" s="85" t="s">
        <v>1720</v>
      </c>
      <c r="C172" s="85" t="s">
        <v>357</v>
      </c>
      <c r="D172" s="85" t="s">
        <v>843</v>
      </c>
      <c r="E172" s="85"/>
      <c r="F172" s="85" t="s">
        <v>1062</v>
      </c>
      <c r="G172" s="85" t="s">
        <v>1733</v>
      </c>
      <c r="H172" s="85" t="s">
        <v>1734</v>
      </c>
      <c r="I172" s="86">
        <v>261</v>
      </c>
      <c r="J172" s="86">
        <v>44</v>
      </c>
      <c r="K172" s="87">
        <v>0.1685823754789272</v>
      </c>
      <c r="L172" s="87">
        <v>1</v>
      </c>
      <c r="M172" s="88">
        <v>0.1685823754789272</v>
      </c>
      <c r="N172" s="89">
        <v>1</v>
      </c>
      <c r="O172" s="87">
        <v>0.1685823754789272</v>
      </c>
      <c r="P172" s="87"/>
      <c r="Q172" s="87">
        <v>0.1685823754789272</v>
      </c>
      <c r="R172" s="87"/>
      <c r="S172" s="87">
        <v>0.1685823754789272</v>
      </c>
      <c r="T172" s="87"/>
      <c r="U172" s="87">
        <v>0.1685823754789272</v>
      </c>
      <c r="V172" s="90" t="s">
        <v>1735</v>
      </c>
    </row>
    <row r="173" ht="15" customHeight="1" spans="1:23" x14ac:dyDescent="0.25">
      <c r="A173" s="85">
        <v>16159</v>
      </c>
      <c r="B173" s="85" t="s">
        <v>1720</v>
      </c>
      <c r="C173" s="85" t="s">
        <v>357</v>
      </c>
      <c r="D173" s="85" t="s">
        <v>843</v>
      </c>
      <c r="E173" s="85"/>
      <c r="F173" s="85" t="s">
        <v>1062</v>
      </c>
      <c r="G173" s="85" t="s">
        <v>1736</v>
      </c>
      <c r="H173" s="85" t="s">
        <v>1737</v>
      </c>
      <c r="I173" s="86">
        <v>261</v>
      </c>
      <c r="J173" s="86">
        <v>28</v>
      </c>
      <c r="K173" s="87">
        <v>0.10727969348659004</v>
      </c>
      <c r="L173" s="87">
        <v>1</v>
      </c>
      <c r="M173" s="88">
        <v>0.10727969348659004</v>
      </c>
      <c r="N173" s="89">
        <v>1</v>
      </c>
      <c r="O173" s="87">
        <v>0.10727969348659004</v>
      </c>
      <c r="P173" s="87"/>
      <c r="Q173" s="87">
        <v>0.10727969348659004</v>
      </c>
      <c r="R173" s="87"/>
      <c r="S173" s="87">
        <v>0.10727969348659004</v>
      </c>
      <c r="T173" s="87"/>
      <c r="U173" s="87">
        <v>0.10727969348659004</v>
      </c>
      <c r="V173" s="90" t="s">
        <v>1738</v>
      </c>
    </row>
    <row r="174" ht="15" customHeight="1" spans="1:23" x14ac:dyDescent="0.25">
      <c r="A174" s="85">
        <v>16159</v>
      </c>
      <c r="B174" s="85" t="s">
        <v>1720</v>
      </c>
      <c r="C174" s="85" t="s">
        <v>357</v>
      </c>
      <c r="D174" s="85" t="s">
        <v>843</v>
      </c>
      <c r="E174" s="85"/>
      <c r="F174" s="85" t="s">
        <v>1062</v>
      </c>
      <c r="G174" s="85" t="s">
        <v>1016</v>
      </c>
      <c r="H174" s="85" t="s">
        <v>1739</v>
      </c>
      <c r="I174" s="86">
        <v>261</v>
      </c>
      <c r="J174" s="86">
        <v>11</v>
      </c>
      <c r="K174" s="87">
        <v>0.0421455938697318</v>
      </c>
      <c r="L174" s="87">
        <v>0.5</v>
      </c>
      <c r="M174" s="88">
        <v>0.0210727969348659</v>
      </c>
      <c r="N174" s="89">
        <v>1</v>
      </c>
      <c r="O174" s="87">
        <v>0.0210727969348659</v>
      </c>
      <c r="P174" s="87"/>
      <c r="Q174" s="87">
        <v>0.0210727969348659</v>
      </c>
      <c r="R174" s="87"/>
      <c r="S174" s="87">
        <v>0.0210727969348659</v>
      </c>
      <c r="T174" s="87"/>
      <c r="U174" s="87">
        <v>0.0210727969348659</v>
      </c>
      <c r="V174" s="90" t="s">
        <v>1740</v>
      </c>
    </row>
    <row r="175" ht="15" customHeight="1" spans="1:23" x14ac:dyDescent="0.25">
      <c r="A175" s="85">
        <v>16511</v>
      </c>
      <c r="B175" s="85" t="s">
        <v>1741</v>
      </c>
      <c r="C175" s="85" t="s">
        <v>357</v>
      </c>
      <c r="D175" s="85" t="s">
        <v>363</v>
      </c>
      <c r="E175" s="85"/>
      <c r="F175" s="85" t="s">
        <v>155</v>
      </c>
      <c r="G175" s="85"/>
      <c r="H175" s="85"/>
      <c r="I175" s="86"/>
      <c r="J175" s="86"/>
      <c r="K175" s="87"/>
      <c r="L175" s="87"/>
      <c r="M175" s="88"/>
      <c r="N175" s="89"/>
      <c r="O175" s="87"/>
      <c r="P175" s="87"/>
      <c r="Q175" s="87"/>
      <c r="R175" s="87"/>
      <c r="S175" s="87">
        <v>1</v>
      </c>
      <c r="T175" s="87">
        <v>1</v>
      </c>
      <c r="U175" s="87">
        <v>1</v>
      </c>
      <c r="V175" s="90" t="s">
        <v>1742</v>
      </c>
    </row>
    <row r="176" ht="15" customHeight="1" spans="1:23" x14ac:dyDescent="0.25">
      <c r="A176" s="85">
        <v>16511</v>
      </c>
      <c r="B176" s="85" t="s">
        <v>1741</v>
      </c>
      <c r="C176" s="85" t="s">
        <v>357</v>
      </c>
      <c r="D176" s="85" t="s">
        <v>363</v>
      </c>
      <c r="E176" s="85"/>
      <c r="F176" s="85" t="s">
        <v>1062</v>
      </c>
      <c r="G176" s="85" t="s">
        <v>1016</v>
      </c>
      <c r="H176" s="85" t="s">
        <v>170</v>
      </c>
      <c r="I176" s="86">
        <v>261</v>
      </c>
      <c r="J176" s="86">
        <v>261</v>
      </c>
      <c r="K176" s="87">
        <v>1</v>
      </c>
      <c r="L176" s="87">
        <v>1</v>
      </c>
      <c r="M176" s="88">
        <v>1</v>
      </c>
      <c r="N176" s="89"/>
      <c r="O176" s="87"/>
      <c r="P176" s="87"/>
      <c r="Q176" s="87"/>
      <c r="R176" s="87"/>
      <c r="S176" s="87">
        <v>1</v>
      </c>
      <c r="T176" s="87"/>
      <c r="U176" s="87">
        <v>1</v>
      </c>
      <c r="V176" s="90" t="s">
        <v>1743</v>
      </c>
    </row>
    <row r="177" ht="15" customHeight="1" spans="1:23" x14ac:dyDescent="0.25">
      <c r="A177" s="85">
        <v>16634</v>
      </c>
      <c r="B177" s="85" t="s">
        <v>1744</v>
      </c>
      <c r="C177" s="85" t="s">
        <v>357</v>
      </c>
      <c r="D177" s="85" t="s">
        <v>176</v>
      </c>
      <c r="E177" s="85"/>
      <c r="F177" s="85" t="s">
        <v>155</v>
      </c>
      <c r="G177" s="85"/>
      <c r="H177" s="85"/>
      <c r="I177" s="86"/>
      <c r="J177" s="86"/>
      <c r="K177" s="87"/>
      <c r="L177" s="87"/>
      <c r="M177" s="88"/>
      <c r="N177" s="89"/>
      <c r="O177" s="87"/>
      <c r="P177" s="87"/>
      <c r="Q177" s="87"/>
      <c r="R177" s="87"/>
      <c r="S177" s="87">
        <v>1</v>
      </c>
      <c r="T177" s="87">
        <v>1</v>
      </c>
      <c r="U177" s="87"/>
      <c r="V177" s="90" t="s">
        <v>1062</v>
      </c>
    </row>
    <row r="178" ht="15" customHeight="1" spans="1:23" x14ac:dyDescent="0.25">
      <c r="A178" s="85">
        <v>16634</v>
      </c>
      <c r="B178" s="85" t="s">
        <v>1744</v>
      </c>
      <c r="C178" s="85" t="s">
        <v>357</v>
      </c>
      <c r="D178" s="85" t="s">
        <v>176</v>
      </c>
      <c r="E178" s="85"/>
      <c r="F178" s="85" t="s">
        <v>1062</v>
      </c>
      <c r="G178" s="85" t="s">
        <v>1016</v>
      </c>
      <c r="H178" s="85" t="s">
        <v>170</v>
      </c>
      <c r="I178" s="86">
        <v>261</v>
      </c>
      <c r="J178" s="86">
        <v>261</v>
      </c>
      <c r="K178" s="87">
        <v>1</v>
      </c>
      <c r="L178" s="87">
        <v>1</v>
      </c>
      <c r="M178" s="88">
        <v>1</v>
      </c>
      <c r="N178" s="89"/>
      <c r="O178" s="87"/>
      <c r="P178" s="87"/>
      <c r="Q178" s="87"/>
      <c r="R178" s="87"/>
      <c r="S178" s="87">
        <v>1</v>
      </c>
      <c r="T178" s="87"/>
      <c r="U178" s="87">
        <v>0</v>
      </c>
      <c r="V178" s="90" t="s">
        <v>1062</v>
      </c>
    </row>
    <row r="179" ht="15" customHeight="1" spans="1:23" x14ac:dyDescent="0.25">
      <c r="A179" s="85">
        <v>16883</v>
      </c>
      <c r="B179" s="85" t="s">
        <v>1745</v>
      </c>
      <c r="C179" s="85" t="s">
        <v>357</v>
      </c>
      <c r="D179" s="85" t="s">
        <v>452</v>
      </c>
      <c r="E179" s="85" t="s">
        <v>547</v>
      </c>
      <c r="F179" s="85" t="s">
        <v>155</v>
      </c>
      <c r="G179" s="85"/>
      <c r="H179" s="85"/>
      <c r="I179" s="86"/>
      <c r="J179" s="86"/>
      <c r="K179" s="87"/>
      <c r="L179" s="87"/>
      <c r="M179" s="88"/>
      <c r="N179" s="89"/>
      <c r="O179" s="87"/>
      <c r="P179" s="87"/>
      <c r="Q179" s="87"/>
      <c r="R179" s="87"/>
      <c r="S179" s="87">
        <v>0.04980842911877394</v>
      </c>
      <c r="T179" s="87">
        <v>0.04980842911877394</v>
      </c>
      <c r="U179" s="87"/>
      <c r="V179" s="90" t="s">
        <v>1062</v>
      </c>
    </row>
    <row r="180" ht="15" customHeight="1" spans="1:23" x14ac:dyDescent="0.25">
      <c r="A180" s="85">
        <v>16883</v>
      </c>
      <c r="B180" s="85" t="s">
        <v>1745</v>
      </c>
      <c r="C180" s="85" t="s">
        <v>357</v>
      </c>
      <c r="D180" s="85" t="s">
        <v>452</v>
      </c>
      <c r="E180" s="85" t="s">
        <v>547</v>
      </c>
      <c r="F180" s="85" t="s">
        <v>1062</v>
      </c>
      <c r="G180" s="85" t="s">
        <v>1016</v>
      </c>
      <c r="H180" s="85" t="s">
        <v>547</v>
      </c>
      <c r="I180" s="86">
        <v>261</v>
      </c>
      <c r="J180" s="86">
        <v>13</v>
      </c>
      <c r="K180" s="87">
        <v>0.04980842911877394</v>
      </c>
      <c r="L180" s="87">
        <v>1</v>
      </c>
      <c r="M180" s="88">
        <v>0.04980842911877394</v>
      </c>
      <c r="N180" s="89"/>
      <c r="O180" s="87"/>
      <c r="P180" s="87"/>
      <c r="Q180" s="87"/>
      <c r="R180" s="87"/>
      <c r="S180" s="87">
        <v>0.04980842911877394</v>
      </c>
      <c r="T180" s="87"/>
      <c r="U180" s="87">
        <v>0</v>
      </c>
      <c r="V180" s="90" t="s">
        <v>1062</v>
      </c>
    </row>
    <row r="181" ht="15" customHeight="1" spans="1:23" x14ac:dyDescent="0.25">
      <c r="A181" s="85">
        <v>16972</v>
      </c>
      <c r="B181" s="85" t="s">
        <v>1746</v>
      </c>
      <c r="C181" s="85" t="s">
        <v>357</v>
      </c>
      <c r="D181" s="85" t="s">
        <v>208</v>
      </c>
      <c r="E181" s="85" t="s">
        <v>639</v>
      </c>
      <c r="F181" s="85" t="s">
        <v>155</v>
      </c>
      <c r="G181" s="85"/>
      <c r="H181" s="85"/>
      <c r="I181" s="86"/>
      <c r="J181" s="86"/>
      <c r="K181" s="87"/>
      <c r="L181" s="87"/>
      <c r="M181" s="88"/>
      <c r="N181" s="89"/>
      <c r="O181" s="87"/>
      <c r="P181" s="87"/>
      <c r="Q181" s="87"/>
      <c r="R181" s="87"/>
      <c r="S181" s="87">
        <v>1</v>
      </c>
      <c r="T181" s="87">
        <v>1</v>
      </c>
      <c r="U181" s="87">
        <v>1</v>
      </c>
      <c r="V181" s="90" t="s">
        <v>1747</v>
      </c>
    </row>
    <row r="182" ht="15" customHeight="1" spans="1:23" x14ac:dyDescent="0.25">
      <c r="A182" s="85">
        <v>16972</v>
      </c>
      <c r="B182" s="85" t="s">
        <v>1746</v>
      </c>
      <c r="C182" s="85" t="s">
        <v>357</v>
      </c>
      <c r="D182" s="85" t="s">
        <v>208</v>
      </c>
      <c r="E182" s="85" t="s">
        <v>639</v>
      </c>
      <c r="F182" s="85" t="s">
        <v>1062</v>
      </c>
      <c r="G182" s="85" t="s">
        <v>1016</v>
      </c>
      <c r="H182" s="85" t="s">
        <v>170</v>
      </c>
      <c r="I182" s="86">
        <v>261</v>
      </c>
      <c r="J182" s="86">
        <v>261</v>
      </c>
      <c r="K182" s="87">
        <v>1</v>
      </c>
      <c r="L182" s="87">
        <v>1</v>
      </c>
      <c r="M182" s="88">
        <v>1</v>
      </c>
      <c r="N182" s="89"/>
      <c r="O182" s="87"/>
      <c r="P182" s="87"/>
      <c r="Q182" s="87"/>
      <c r="R182" s="87"/>
      <c r="S182" s="87">
        <v>1</v>
      </c>
      <c r="T182" s="87"/>
      <c r="U182" s="87">
        <v>1</v>
      </c>
      <c r="V182" s="90" t="s">
        <v>1747</v>
      </c>
    </row>
    <row r="183" ht="15" customHeight="1" spans="1:23" x14ac:dyDescent="0.25">
      <c r="A183" s="85">
        <v>16977</v>
      </c>
      <c r="B183" s="85" t="s">
        <v>1748</v>
      </c>
      <c r="C183" s="85" t="s">
        <v>357</v>
      </c>
      <c r="D183" s="85" t="s">
        <v>363</v>
      </c>
      <c r="E183" s="85"/>
      <c r="F183" s="85" t="s">
        <v>155</v>
      </c>
      <c r="G183" s="85"/>
      <c r="H183" s="85"/>
      <c r="I183" s="86"/>
      <c r="J183" s="86"/>
      <c r="K183" s="87"/>
      <c r="L183" s="87"/>
      <c r="M183" s="88"/>
      <c r="N183" s="89"/>
      <c r="O183" s="87"/>
      <c r="P183" s="87"/>
      <c r="Q183" s="87"/>
      <c r="R183" s="87"/>
      <c r="S183" s="87">
        <v>1</v>
      </c>
      <c r="T183" s="87">
        <v>1</v>
      </c>
      <c r="U183" s="87"/>
      <c r="V183" s="90" t="s">
        <v>1062</v>
      </c>
    </row>
    <row r="184" ht="15" customHeight="1" spans="1:23" x14ac:dyDescent="0.25">
      <c r="A184" s="85">
        <v>16977</v>
      </c>
      <c r="B184" s="85" t="s">
        <v>1748</v>
      </c>
      <c r="C184" s="85" t="s">
        <v>357</v>
      </c>
      <c r="D184" s="85" t="s">
        <v>363</v>
      </c>
      <c r="E184" s="85"/>
      <c r="F184" s="85" t="s">
        <v>1062</v>
      </c>
      <c r="G184" s="85" t="s">
        <v>1016</v>
      </c>
      <c r="H184" s="85" t="s">
        <v>170</v>
      </c>
      <c r="I184" s="86">
        <v>261</v>
      </c>
      <c r="J184" s="86">
        <v>261</v>
      </c>
      <c r="K184" s="87">
        <v>1</v>
      </c>
      <c r="L184" s="87">
        <v>1</v>
      </c>
      <c r="M184" s="88">
        <v>1</v>
      </c>
      <c r="N184" s="89"/>
      <c r="O184" s="87"/>
      <c r="P184" s="87"/>
      <c r="Q184" s="87"/>
      <c r="R184" s="87"/>
      <c r="S184" s="87">
        <v>1</v>
      </c>
      <c r="T184" s="87"/>
      <c r="U184" s="87">
        <v>0</v>
      </c>
      <c r="V184" s="90" t="s">
        <v>1062</v>
      </c>
    </row>
    <row r="185" ht="15" customHeight="1" spans="1:23" x14ac:dyDescent="0.25">
      <c r="A185" s="85">
        <v>17000</v>
      </c>
      <c r="B185" s="85" t="s">
        <v>1749</v>
      </c>
      <c r="C185" s="85" t="s">
        <v>161</v>
      </c>
      <c r="D185" s="85" t="s">
        <v>182</v>
      </c>
      <c r="E185" s="85"/>
      <c r="F185" s="85" t="s">
        <v>155</v>
      </c>
      <c r="G185" s="85"/>
      <c r="H185" s="85"/>
      <c r="I185" s="86"/>
      <c r="J185" s="86"/>
      <c r="K185" s="87"/>
      <c r="L185" s="87"/>
      <c r="M185" s="88"/>
      <c r="N185" s="89"/>
      <c r="O185" s="87"/>
      <c r="P185" s="87"/>
      <c r="Q185" s="87"/>
      <c r="R185" s="87"/>
      <c r="S185" s="87">
        <v>1</v>
      </c>
      <c r="T185" s="87">
        <v>1</v>
      </c>
      <c r="U185" s="87"/>
      <c r="V185" s="90" t="s">
        <v>1062</v>
      </c>
    </row>
    <row r="186" ht="15" customHeight="1" spans="1:23" x14ac:dyDescent="0.25">
      <c r="A186" s="85">
        <v>17000</v>
      </c>
      <c r="B186" s="85" t="s">
        <v>1749</v>
      </c>
      <c r="C186" s="85" t="s">
        <v>161</v>
      </c>
      <c r="D186" s="85" t="s">
        <v>182</v>
      </c>
      <c r="E186" s="85"/>
      <c r="F186" s="85" t="s">
        <v>1062</v>
      </c>
      <c r="G186" s="85" t="s">
        <v>1016</v>
      </c>
      <c r="H186" s="85" t="s">
        <v>170</v>
      </c>
      <c r="I186" s="86">
        <v>261</v>
      </c>
      <c r="J186" s="86">
        <v>261</v>
      </c>
      <c r="K186" s="87">
        <v>1</v>
      </c>
      <c r="L186" s="87">
        <v>1</v>
      </c>
      <c r="M186" s="88">
        <v>1</v>
      </c>
      <c r="N186" s="89"/>
      <c r="O186" s="87"/>
      <c r="P186" s="87"/>
      <c r="Q186" s="87"/>
      <c r="R186" s="87"/>
      <c r="S186" s="87">
        <v>1</v>
      </c>
      <c r="T186" s="87"/>
      <c r="U186" s="87">
        <v>0</v>
      </c>
      <c r="V186" s="90" t="s">
        <v>1062</v>
      </c>
    </row>
    <row r="187" ht="15" customHeight="1" spans="1:23" x14ac:dyDescent="0.25">
      <c r="A187" s="85">
        <v>17147</v>
      </c>
      <c r="B187" s="85" t="s">
        <v>1750</v>
      </c>
      <c r="C187" s="85" t="s">
        <v>357</v>
      </c>
      <c r="D187" s="85" t="s">
        <v>377</v>
      </c>
      <c r="E187" s="85"/>
      <c r="F187" s="85" t="s">
        <v>155</v>
      </c>
      <c r="G187" s="85"/>
      <c r="H187" s="85"/>
      <c r="I187" s="86"/>
      <c r="J187" s="86"/>
      <c r="K187" s="87"/>
      <c r="L187" s="87"/>
      <c r="M187" s="88"/>
      <c r="N187" s="89"/>
      <c r="O187" s="87"/>
      <c r="P187" s="87"/>
      <c r="Q187" s="87"/>
      <c r="R187" s="87"/>
      <c r="S187" s="87">
        <v>1</v>
      </c>
      <c r="T187" s="87">
        <v>1</v>
      </c>
      <c r="U187" s="87"/>
      <c r="V187" s="90" t="s">
        <v>1062</v>
      </c>
    </row>
    <row r="188" ht="15" customHeight="1" spans="1:23" x14ac:dyDescent="0.25">
      <c r="A188" s="85">
        <v>17147</v>
      </c>
      <c r="B188" s="85" t="s">
        <v>1750</v>
      </c>
      <c r="C188" s="85" t="s">
        <v>357</v>
      </c>
      <c r="D188" s="85" t="s">
        <v>377</v>
      </c>
      <c r="E188" s="85"/>
      <c r="F188" s="85" t="s">
        <v>1062</v>
      </c>
      <c r="G188" s="85" t="s">
        <v>1016</v>
      </c>
      <c r="H188" s="85" t="s">
        <v>170</v>
      </c>
      <c r="I188" s="86">
        <v>261</v>
      </c>
      <c r="J188" s="86">
        <v>261</v>
      </c>
      <c r="K188" s="87">
        <v>1</v>
      </c>
      <c r="L188" s="87">
        <v>1</v>
      </c>
      <c r="M188" s="88">
        <v>1</v>
      </c>
      <c r="N188" s="89"/>
      <c r="O188" s="87"/>
      <c r="P188" s="87"/>
      <c r="Q188" s="87"/>
      <c r="R188" s="87"/>
      <c r="S188" s="87">
        <v>1</v>
      </c>
      <c r="T188" s="87"/>
      <c r="U188" s="87">
        <v>0</v>
      </c>
      <c r="V188" s="90" t="s">
        <v>1062</v>
      </c>
    </row>
    <row r="189" ht="15" customHeight="1" spans="1:23" x14ac:dyDescent="0.25">
      <c r="A189" s="85">
        <v>17440</v>
      </c>
      <c r="B189" s="85" t="s">
        <v>1751</v>
      </c>
      <c r="C189" s="85" t="s">
        <v>357</v>
      </c>
      <c r="D189" s="85" t="s">
        <v>452</v>
      </c>
      <c r="E189" s="85"/>
      <c r="F189" s="85" t="s">
        <v>155</v>
      </c>
      <c r="G189" s="85"/>
      <c r="H189" s="85"/>
      <c r="I189" s="86"/>
      <c r="J189" s="86"/>
      <c r="K189" s="87"/>
      <c r="L189" s="87"/>
      <c r="M189" s="88"/>
      <c r="N189" s="89"/>
      <c r="O189" s="87"/>
      <c r="P189" s="87"/>
      <c r="Q189" s="87"/>
      <c r="R189" s="87"/>
      <c r="S189" s="87">
        <v>1</v>
      </c>
      <c r="T189" s="87">
        <v>1</v>
      </c>
      <c r="U189" s="87"/>
      <c r="V189" s="90" t="s">
        <v>1062</v>
      </c>
    </row>
    <row r="190" ht="15" customHeight="1" spans="1:23" x14ac:dyDescent="0.25">
      <c r="A190" s="85">
        <v>17440</v>
      </c>
      <c r="B190" s="85" t="s">
        <v>1751</v>
      </c>
      <c r="C190" s="85" t="s">
        <v>357</v>
      </c>
      <c r="D190" s="85" t="s">
        <v>452</v>
      </c>
      <c r="E190" s="85"/>
      <c r="F190" s="85" t="s">
        <v>1062</v>
      </c>
      <c r="G190" s="85" t="s">
        <v>1016</v>
      </c>
      <c r="H190" s="85" t="s">
        <v>170</v>
      </c>
      <c r="I190" s="86">
        <v>261</v>
      </c>
      <c r="J190" s="86">
        <v>261</v>
      </c>
      <c r="K190" s="87">
        <v>1</v>
      </c>
      <c r="L190" s="87">
        <v>1</v>
      </c>
      <c r="M190" s="88">
        <v>1</v>
      </c>
      <c r="N190" s="89"/>
      <c r="O190" s="87"/>
      <c r="P190" s="87"/>
      <c r="Q190" s="87"/>
      <c r="R190" s="87"/>
      <c r="S190" s="87">
        <v>1</v>
      </c>
      <c r="T190" s="87"/>
      <c r="U190" s="87">
        <v>0</v>
      </c>
      <c r="V190" s="90" t="s">
        <v>1062</v>
      </c>
    </row>
    <row r="191" ht="15" customHeight="1" spans="1:23" x14ac:dyDescent="0.25">
      <c r="A191" s="85">
        <v>17843</v>
      </c>
      <c r="B191" s="85" t="s">
        <v>1752</v>
      </c>
      <c r="C191" s="85" t="s">
        <v>357</v>
      </c>
      <c r="D191" s="85" t="s">
        <v>681</v>
      </c>
      <c r="E191" s="85"/>
      <c r="F191" s="85" t="s">
        <v>155</v>
      </c>
      <c r="G191" s="85"/>
      <c r="H191" s="85"/>
      <c r="I191" s="86"/>
      <c r="J191" s="86"/>
      <c r="K191" s="87"/>
      <c r="L191" s="87"/>
      <c r="M191" s="88"/>
      <c r="N191" s="89"/>
      <c r="O191" s="87"/>
      <c r="P191" s="87"/>
      <c r="Q191" s="87">
        <v>0.4559386973180077</v>
      </c>
      <c r="R191" s="87"/>
      <c r="S191" s="87">
        <v>0.8988505747126437</v>
      </c>
      <c r="T191" s="87">
        <v>0.8988505747126437</v>
      </c>
      <c r="U191" s="87">
        <v>0.8988505747126437</v>
      </c>
      <c r="V191" s="90" t="s">
        <v>1753</v>
      </c>
    </row>
    <row r="192" ht="15" customHeight="1" spans="1:23" x14ac:dyDescent="0.25">
      <c r="A192" s="85">
        <v>17843</v>
      </c>
      <c r="B192" s="85" t="s">
        <v>1752</v>
      </c>
      <c r="C192" s="85" t="s">
        <v>357</v>
      </c>
      <c r="D192" s="85" t="s">
        <v>681</v>
      </c>
      <c r="E192" s="85"/>
      <c r="F192" s="85" t="s">
        <v>1062</v>
      </c>
      <c r="G192" s="85" t="s">
        <v>505</v>
      </c>
      <c r="H192" s="85" t="s">
        <v>170</v>
      </c>
      <c r="I192" s="86">
        <v>261</v>
      </c>
      <c r="J192" s="86">
        <v>132</v>
      </c>
      <c r="K192" s="87">
        <v>0.5057471264367817</v>
      </c>
      <c r="L192" s="87">
        <v>0.8</v>
      </c>
      <c r="M192" s="88">
        <v>0.40459770114942534</v>
      </c>
      <c r="N192" s="89"/>
      <c r="O192" s="87"/>
      <c r="P192" s="87"/>
      <c r="Q192" s="87"/>
      <c r="R192" s="87"/>
      <c r="S192" s="87">
        <v>0.40459770114942534</v>
      </c>
      <c r="T192" s="87"/>
      <c r="U192" s="87">
        <v>0.40459770114942534</v>
      </c>
      <c r="V192" s="90" t="s">
        <v>1754</v>
      </c>
    </row>
    <row r="193" ht="15" customHeight="1" spans="1:23" x14ac:dyDescent="0.25">
      <c r="A193" s="85">
        <v>17843</v>
      </c>
      <c r="B193" s="85" t="s">
        <v>1752</v>
      </c>
      <c r="C193" s="85" t="s">
        <v>357</v>
      </c>
      <c r="D193" s="85" t="s">
        <v>681</v>
      </c>
      <c r="E193" s="85"/>
      <c r="F193" s="85" t="s">
        <v>1062</v>
      </c>
      <c r="G193" s="85" t="s">
        <v>1755</v>
      </c>
      <c r="H193" s="85" t="s">
        <v>1756</v>
      </c>
      <c r="I193" s="86">
        <v>261</v>
      </c>
      <c r="J193" s="86">
        <v>10</v>
      </c>
      <c r="K193" s="87">
        <v>0.038314176245210725</v>
      </c>
      <c r="L193" s="87">
        <v>1</v>
      </c>
      <c r="M193" s="88">
        <v>0.038314176245210725</v>
      </c>
      <c r="N193" s="89"/>
      <c r="O193" s="87"/>
      <c r="P193" s="87"/>
      <c r="Q193" s="87"/>
      <c r="R193" s="87"/>
      <c r="S193" s="87">
        <v>0.038314176245210725</v>
      </c>
      <c r="T193" s="87"/>
      <c r="U193" s="87">
        <v>0.038314176245210725</v>
      </c>
      <c r="V193" s="90" t="s">
        <v>1757</v>
      </c>
    </row>
    <row r="194" ht="15" customHeight="1" spans="1:23" x14ac:dyDescent="0.25">
      <c r="A194" s="85">
        <v>17843</v>
      </c>
      <c r="B194" s="85" t="s">
        <v>1752</v>
      </c>
      <c r="C194" s="85" t="s">
        <v>357</v>
      </c>
      <c r="D194" s="85" t="s">
        <v>681</v>
      </c>
      <c r="E194" s="85"/>
      <c r="F194" s="85" t="s">
        <v>1062</v>
      </c>
      <c r="G194" s="85" t="s">
        <v>1016</v>
      </c>
      <c r="H194" s="85" t="s">
        <v>1758</v>
      </c>
      <c r="I194" s="86">
        <v>261</v>
      </c>
      <c r="J194" s="86">
        <v>119</v>
      </c>
      <c r="K194" s="87">
        <v>0.4559386973180077</v>
      </c>
      <c r="L194" s="87">
        <v>1</v>
      </c>
      <c r="M194" s="88">
        <v>0.4559386973180077</v>
      </c>
      <c r="N194" s="89">
        <v>1</v>
      </c>
      <c r="O194" s="87">
        <v>0.4559386973180077</v>
      </c>
      <c r="P194" s="87"/>
      <c r="Q194" s="87">
        <v>0.4559386973180077</v>
      </c>
      <c r="R194" s="87"/>
      <c r="S194" s="87">
        <v>0.4559386973180077</v>
      </c>
      <c r="T194" s="87"/>
      <c r="U194" s="87">
        <v>0.4559386973180077</v>
      </c>
      <c r="V194" s="90" t="s">
        <v>1759</v>
      </c>
    </row>
    <row r="195" ht="15" customHeight="1" spans="1:23" x14ac:dyDescent="0.25">
      <c r="A195" s="85">
        <v>17965</v>
      </c>
      <c r="B195" s="85" t="s">
        <v>1760</v>
      </c>
      <c r="C195" s="85" t="s">
        <v>357</v>
      </c>
      <c r="D195" s="85" t="s">
        <v>176</v>
      </c>
      <c r="E195" s="85"/>
      <c r="F195" s="85" t="s">
        <v>155</v>
      </c>
      <c r="G195" s="85"/>
      <c r="H195" s="85"/>
      <c r="I195" s="86"/>
      <c r="J195" s="86"/>
      <c r="K195" s="87"/>
      <c r="L195" s="87"/>
      <c r="M195" s="88"/>
      <c r="N195" s="89"/>
      <c r="O195" s="87"/>
      <c r="P195" s="87"/>
      <c r="Q195" s="87"/>
      <c r="R195" s="87"/>
      <c r="S195" s="87">
        <v>1</v>
      </c>
      <c r="T195" s="87">
        <v>1</v>
      </c>
      <c r="U195" s="87">
        <v>1</v>
      </c>
      <c r="V195" s="90" t="s">
        <v>1573</v>
      </c>
    </row>
    <row r="196" ht="15" customHeight="1" spans="1:23" x14ac:dyDescent="0.25">
      <c r="A196" s="85">
        <v>17965</v>
      </c>
      <c r="B196" s="85" t="s">
        <v>1760</v>
      </c>
      <c r="C196" s="85" t="s">
        <v>357</v>
      </c>
      <c r="D196" s="85" t="s">
        <v>176</v>
      </c>
      <c r="E196" s="85"/>
      <c r="F196" s="85" t="s">
        <v>1062</v>
      </c>
      <c r="G196" s="85" t="s">
        <v>1016</v>
      </c>
      <c r="H196" s="85" t="s">
        <v>170</v>
      </c>
      <c r="I196" s="86">
        <v>261</v>
      </c>
      <c r="J196" s="86">
        <v>261</v>
      </c>
      <c r="K196" s="87">
        <v>1</v>
      </c>
      <c r="L196" s="87">
        <v>1</v>
      </c>
      <c r="M196" s="88">
        <v>1</v>
      </c>
      <c r="N196" s="89"/>
      <c r="O196" s="87"/>
      <c r="P196" s="87"/>
      <c r="Q196" s="87"/>
      <c r="R196" s="87"/>
      <c r="S196" s="87">
        <v>1</v>
      </c>
      <c r="T196" s="87"/>
      <c r="U196" s="87">
        <v>1</v>
      </c>
      <c r="V196" s="90" t="s">
        <v>1573</v>
      </c>
    </row>
    <row r="197" ht="15" customHeight="1" spans="1:23" x14ac:dyDescent="0.25">
      <c r="A197" s="85">
        <v>18199</v>
      </c>
      <c r="B197" s="85" t="s">
        <v>1761</v>
      </c>
      <c r="C197" s="85" t="s">
        <v>357</v>
      </c>
      <c r="D197" s="85" t="s">
        <v>377</v>
      </c>
      <c r="E197" s="85"/>
      <c r="F197" s="85" t="s">
        <v>155</v>
      </c>
      <c r="G197" s="85"/>
      <c r="H197" s="85"/>
      <c r="I197" s="86"/>
      <c r="J197" s="86"/>
      <c r="K197" s="87"/>
      <c r="L197" s="87"/>
      <c r="M197" s="88"/>
      <c r="N197" s="89"/>
      <c r="O197" s="87"/>
      <c r="P197" s="87"/>
      <c r="Q197" s="87"/>
      <c r="R197" s="87"/>
      <c r="S197" s="87">
        <v>1</v>
      </c>
      <c r="T197" s="87">
        <v>1</v>
      </c>
      <c r="U197" s="87"/>
      <c r="V197" s="90" t="s">
        <v>1062</v>
      </c>
    </row>
    <row r="198" ht="15" customHeight="1" spans="1:23" x14ac:dyDescent="0.25">
      <c r="A198" s="85">
        <v>18199</v>
      </c>
      <c r="B198" s="85" t="s">
        <v>1761</v>
      </c>
      <c r="C198" s="85" t="s">
        <v>357</v>
      </c>
      <c r="D198" s="85" t="s">
        <v>377</v>
      </c>
      <c r="E198" s="85"/>
      <c r="F198" s="85" t="s">
        <v>1062</v>
      </c>
      <c r="G198" s="85" t="s">
        <v>1016</v>
      </c>
      <c r="H198" s="85" t="s">
        <v>170</v>
      </c>
      <c r="I198" s="86">
        <v>261</v>
      </c>
      <c r="J198" s="86">
        <v>261</v>
      </c>
      <c r="K198" s="87">
        <v>1</v>
      </c>
      <c r="L198" s="87">
        <v>1</v>
      </c>
      <c r="M198" s="88">
        <v>1</v>
      </c>
      <c r="N198" s="89"/>
      <c r="O198" s="87"/>
      <c r="P198" s="87"/>
      <c r="Q198" s="87"/>
      <c r="R198" s="87"/>
      <c r="S198" s="87">
        <v>1</v>
      </c>
      <c r="T198" s="87"/>
      <c r="U198" s="87">
        <v>0</v>
      </c>
      <c r="V198" s="90" t="s">
        <v>1062</v>
      </c>
    </row>
    <row r="199" ht="15" customHeight="1" spans="1:23" x14ac:dyDescent="0.25">
      <c r="A199" s="85">
        <v>18351</v>
      </c>
      <c r="B199" s="85" t="s">
        <v>1762</v>
      </c>
      <c r="C199" s="85" t="s">
        <v>357</v>
      </c>
      <c r="D199" s="85" t="s">
        <v>538</v>
      </c>
      <c r="E199" s="85"/>
      <c r="F199" s="85" t="s">
        <v>155</v>
      </c>
      <c r="G199" s="85"/>
      <c r="H199" s="85"/>
      <c r="I199" s="86"/>
      <c r="J199" s="86"/>
      <c r="K199" s="87"/>
      <c r="L199" s="87"/>
      <c r="M199" s="88"/>
      <c r="N199" s="89"/>
      <c r="O199" s="87"/>
      <c r="P199" s="87"/>
      <c r="Q199" s="87"/>
      <c r="R199" s="87"/>
      <c r="S199" s="87">
        <v>1</v>
      </c>
      <c r="T199" s="87">
        <v>1</v>
      </c>
      <c r="U199" s="87"/>
      <c r="V199" s="90" t="s">
        <v>1062</v>
      </c>
    </row>
    <row r="200" ht="15" customHeight="1" spans="1:23" x14ac:dyDescent="0.25">
      <c r="A200" s="85">
        <v>18351</v>
      </c>
      <c r="B200" s="85" t="s">
        <v>1762</v>
      </c>
      <c r="C200" s="85" t="s">
        <v>357</v>
      </c>
      <c r="D200" s="85" t="s">
        <v>538</v>
      </c>
      <c r="E200" s="85"/>
      <c r="F200" s="85" t="s">
        <v>1062</v>
      </c>
      <c r="G200" s="85" t="s">
        <v>1016</v>
      </c>
      <c r="H200" s="85" t="s">
        <v>170</v>
      </c>
      <c r="I200" s="86">
        <v>261</v>
      </c>
      <c r="J200" s="86">
        <v>261</v>
      </c>
      <c r="K200" s="87">
        <v>1</v>
      </c>
      <c r="L200" s="87">
        <v>1</v>
      </c>
      <c r="M200" s="88">
        <v>1</v>
      </c>
      <c r="N200" s="89"/>
      <c r="O200" s="87"/>
      <c r="P200" s="87"/>
      <c r="Q200" s="87"/>
      <c r="R200" s="87"/>
      <c r="S200" s="87">
        <v>1</v>
      </c>
      <c r="T200" s="87"/>
      <c r="U200" s="87">
        <v>0</v>
      </c>
      <c r="V200" s="90" t="s">
        <v>1062</v>
      </c>
    </row>
    <row r="201" ht="15" customHeight="1" spans="1:23" x14ac:dyDescent="0.25">
      <c r="A201" s="85">
        <v>18432</v>
      </c>
      <c r="B201" s="85" t="s">
        <v>1763</v>
      </c>
      <c r="C201" s="85" t="s">
        <v>357</v>
      </c>
      <c r="D201" s="85" t="s">
        <v>713</v>
      </c>
      <c r="E201" s="85"/>
      <c r="F201" s="85" t="s">
        <v>155</v>
      </c>
      <c r="G201" s="85"/>
      <c r="H201" s="85"/>
      <c r="I201" s="86"/>
      <c r="J201" s="86"/>
      <c r="K201" s="87"/>
      <c r="L201" s="87"/>
      <c r="M201" s="88"/>
      <c r="N201" s="89"/>
      <c r="O201" s="87"/>
      <c r="P201" s="87"/>
      <c r="Q201" s="87"/>
      <c r="R201" s="87"/>
      <c r="S201" s="87">
        <v>1</v>
      </c>
      <c r="T201" s="87">
        <v>1</v>
      </c>
      <c r="U201" s="87"/>
      <c r="V201" s="90" t="s">
        <v>1062</v>
      </c>
    </row>
    <row r="202" ht="15" customHeight="1" spans="1:23" x14ac:dyDescent="0.25">
      <c r="A202" s="85">
        <v>18432</v>
      </c>
      <c r="B202" s="85" t="s">
        <v>1763</v>
      </c>
      <c r="C202" s="85" t="s">
        <v>357</v>
      </c>
      <c r="D202" s="85" t="s">
        <v>713</v>
      </c>
      <c r="E202" s="85"/>
      <c r="F202" s="85" t="s">
        <v>1062</v>
      </c>
      <c r="G202" s="85" t="s">
        <v>1016</v>
      </c>
      <c r="H202" s="85" t="s">
        <v>170</v>
      </c>
      <c r="I202" s="86">
        <v>261</v>
      </c>
      <c r="J202" s="86">
        <v>261</v>
      </c>
      <c r="K202" s="87">
        <v>1</v>
      </c>
      <c r="L202" s="87">
        <v>1</v>
      </c>
      <c r="M202" s="88">
        <v>1</v>
      </c>
      <c r="N202" s="89"/>
      <c r="O202" s="87"/>
      <c r="P202" s="87"/>
      <c r="Q202" s="87"/>
      <c r="R202" s="87"/>
      <c r="S202" s="87">
        <v>1</v>
      </c>
      <c r="T202" s="87"/>
      <c r="U202" s="87">
        <v>0</v>
      </c>
      <c r="V202" s="90" t="s">
        <v>1062</v>
      </c>
    </row>
    <row r="203" ht="15" customHeight="1" spans="1:23" x14ac:dyDescent="0.25">
      <c r="A203" s="85">
        <v>18473</v>
      </c>
      <c r="B203" s="85" t="s">
        <v>1764</v>
      </c>
      <c r="C203" s="85" t="s">
        <v>357</v>
      </c>
      <c r="D203" s="85" t="s">
        <v>573</v>
      </c>
      <c r="E203" s="85"/>
      <c r="F203" s="85" t="s">
        <v>155</v>
      </c>
      <c r="G203" s="85"/>
      <c r="H203" s="85"/>
      <c r="I203" s="86"/>
      <c r="J203" s="86"/>
      <c r="K203" s="87"/>
      <c r="L203" s="87"/>
      <c r="M203" s="88"/>
      <c r="N203" s="89"/>
      <c r="O203" s="87"/>
      <c r="P203" s="87"/>
      <c r="Q203" s="87"/>
      <c r="R203" s="87"/>
      <c r="S203" s="87">
        <v>1</v>
      </c>
      <c r="T203" s="87">
        <v>1</v>
      </c>
      <c r="U203" s="87"/>
      <c r="V203" s="90" t="s">
        <v>1062</v>
      </c>
    </row>
    <row r="204" ht="15" customHeight="1" spans="1:23" x14ac:dyDescent="0.25">
      <c r="A204" s="85">
        <v>18473</v>
      </c>
      <c r="B204" s="85" t="s">
        <v>1764</v>
      </c>
      <c r="C204" s="85" t="s">
        <v>357</v>
      </c>
      <c r="D204" s="85" t="s">
        <v>573</v>
      </c>
      <c r="E204" s="85"/>
      <c r="F204" s="85" t="s">
        <v>1062</v>
      </c>
      <c r="G204" s="85" t="s">
        <v>1016</v>
      </c>
      <c r="H204" s="85" t="s">
        <v>170</v>
      </c>
      <c r="I204" s="86">
        <v>261</v>
      </c>
      <c r="J204" s="86">
        <v>261</v>
      </c>
      <c r="K204" s="87">
        <v>1</v>
      </c>
      <c r="L204" s="87">
        <v>1</v>
      </c>
      <c r="M204" s="88">
        <v>1</v>
      </c>
      <c r="N204" s="89"/>
      <c r="O204" s="87"/>
      <c r="P204" s="87"/>
      <c r="Q204" s="87"/>
      <c r="R204" s="87"/>
      <c r="S204" s="87">
        <v>1</v>
      </c>
      <c r="T204" s="87"/>
      <c r="U204" s="87">
        <v>0</v>
      </c>
      <c r="V204" s="90" t="s">
        <v>1062</v>
      </c>
    </row>
    <row r="205" ht="15" customHeight="1" spans="1:23" x14ac:dyDescent="0.25">
      <c r="A205" s="85">
        <v>18602</v>
      </c>
      <c r="B205" s="85" t="s">
        <v>1765</v>
      </c>
      <c r="C205" s="85" t="s">
        <v>357</v>
      </c>
      <c r="D205" s="85" t="s">
        <v>696</v>
      </c>
      <c r="E205" s="85"/>
      <c r="F205" s="85" t="s">
        <v>155</v>
      </c>
      <c r="G205" s="85"/>
      <c r="H205" s="85"/>
      <c r="I205" s="86"/>
      <c r="J205" s="86"/>
      <c r="K205" s="87"/>
      <c r="L205" s="87"/>
      <c r="M205" s="88"/>
      <c r="N205" s="89"/>
      <c r="O205" s="87"/>
      <c r="P205" s="87"/>
      <c r="Q205" s="87"/>
      <c r="R205" s="87"/>
      <c r="S205" s="87">
        <v>1</v>
      </c>
      <c r="T205" s="87">
        <v>1</v>
      </c>
      <c r="U205" s="87"/>
      <c r="V205" s="90" t="s">
        <v>1062</v>
      </c>
    </row>
    <row r="206" ht="15" customHeight="1" spans="1:23" x14ac:dyDescent="0.25">
      <c r="A206" s="85">
        <v>18602</v>
      </c>
      <c r="B206" s="85" t="s">
        <v>1765</v>
      </c>
      <c r="C206" s="85" t="s">
        <v>357</v>
      </c>
      <c r="D206" s="85" t="s">
        <v>696</v>
      </c>
      <c r="E206" s="85"/>
      <c r="F206" s="85" t="s">
        <v>1062</v>
      </c>
      <c r="G206" s="85" t="s">
        <v>1016</v>
      </c>
      <c r="H206" s="85" t="s">
        <v>170</v>
      </c>
      <c r="I206" s="86">
        <v>261</v>
      </c>
      <c r="J206" s="86">
        <v>261</v>
      </c>
      <c r="K206" s="87">
        <v>1</v>
      </c>
      <c r="L206" s="87">
        <v>1</v>
      </c>
      <c r="M206" s="88">
        <v>1</v>
      </c>
      <c r="N206" s="89"/>
      <c r="O206" s="87"/>
      <c r="P206" s="87"/>
      <c r="Q206" s="87"/>
      <c r="R206" s="87"/>
      <c r="S206" s="87">
        <v>1</v>
      </c>
      <c r="T206" s="87"/>
      <c r="U206" s="87">
        <v>0</v>
      </c>
      <c r="V206" s="90" t="s">
        <v>1062</v>
      </c>
    </row>
    <row r="207" ht="15" customHeight="1" spans="1:23" x14ac:dyDescent="0.25">
      <c r="A207" s="85">
        <v>18868</v>
      </c>
      <c r="B207" s="85" t="s">
        <v>1766</v>
      </c>
      <c r="C207" s="85" t="s">
        <v>357</v>
      </c>
      <c r="D207" s="85" t="s">
        <v>462</v>
      </c>
      <c r="E207" s="85"/>
      <c r="F207" s="85" t="s">
        <v>155</v>
      </c>
      <c r="G207" s="85"/>
      <c r="H207" s="85"/>
      <c r="I207" s="86"/>
      <c r="J207" s="86"/>
      <c r="K207" s="87"/>
      <c r="L207" s="87"/>
      <c r="M207" s="88"/>
      <c r="N207" s="89"/>
      <c r="O207" s="87"/>
      <c r="P207" s="87"/>
      <c r="Q207" s="87"/>
      <c r="R207" s="87"/>
      <c r="S207" s="87">
        <v>1</v>
      </c>
      <c r="T207" s="87">
        <v>1</v>
      </c>
      <c r="U207" s="87"/>
      <c r="V207" s="90" t="s">
        <v>1062</v>
      </c>
    </row>
    <row r="208" ht="15" customHeight="1" spans="1:23" x14ac:dyDescent="0.25">
      <c r="A208" s="85">
        <v>18868</v>
      </c>
      <c r="B208" s="85" t="s">
        <v>1766</v>
      </c>
      <c r="C208" s="85" t="s">
        <v>357</v>
      </c>
      <c r="D208" s="85" t="s">
        <v>462</v>
      </c>
      <c r="E208" s="85"/>
      <c r="F208" s="85" t="s">
        <v>1062</v>
      </c>
      <c r="G208" s="85" t="s">
        <v>1016</v>
      </c>
      <c r="H208" s="85" t="s">
        <v>170</v>
      </c>
      <c r="I208" s="86">
        <v>261</v>
      </c>
      <c r="J208" s="86">
        <v>261</v>
      </c>
      <c r="K208" s="87">
        <v>1</v>
      </c>
      <c r="L208" s="87">
        <v>1</v>
      </c>
      <c r="M208" s="88">
        <v>1</v>
      </c>
      <c r="N208" s="89"/>
      <c r="O208" s="87"/>
      <c r="P208" s="87"/>
      <c r="Q208" s="87"/>
      <c r="R208" s="87"/>
      <c r="S208" s="87">
        <v>1</v>
      </c>
      <c r="T208" s="87"/>
      <c r="U208" s="87">
        <v>0</v>
      </c>
      <c r="V208" s="90" t="s">
        <v>1062</v>
      </c>
    </row>
    <row r="209" ht="15" customHeight="1" spans="1:23" x14ac:dyDescent="0.25">
      <c r="A209" s="85">
        <v>19120</v>
      </c>
      <c r="B209" s="85" t="s">
        <v>1767</v>
      </c>
      <c r="C209" s="85" t="s">
        <v>357</v>
      </c>
      <c r="D209" s="85" t="s">
        <v>452</v>
      </c>
      <c r="E209" s="85"/>
      <c r="F209" s="85" t="s">
        <v>155</v>
      </c>
      <c r="G209" s="85"/>
      <c r="H209" s="85"/>
      <c r="I209" s="86"/>
      <c r="J209" s="86"/>
      <c r="K209" s="87"/>
      <c r="L209" s="87"/>
      <c r="M209" s="88"/>
      <c r="N209" s="89"/>
      <c r="O209" s="87"/>
      <c r="P209" s="87"/>
      <c r="Q209" s="87"/>
      <c r="R209" s="87"/>
      <c r="S209" s="87">
        <v>1</v>
      </c>
      <c r="T209" s="87">
        <v>1</v>
      </c>
      <c r="U209" s="87"/>
      <c r="V209" s="90" t="s">
        <v>1062</v>
      </c>
    </row>
    <row r="210" ht="15" customHeight="1" spans="1:23" x14ac:dyDescent="0.25">
      <c r="A210" s="85">
        <v>19120</v>
      </c>
      <c r="B210" s="85" t="s">
        <v>1767</v>
      </c>
      <c r="C210" s="85" t="s">
        <v>357</v>
      </c>
      <c r="D210" s="85" t="s">
        <v>452</v>
      </c>
      <c r="E210" s="85"/>
      <c r="F210" s="85" t="s">
        <v>1062</v>
      </c>
      <c r="G210" s="85" t="s">
        <v>1016</v>
      </c>
      <c r="H210" s="85" t="s">
        <v>170</v>
      </c>
      <c r="I210" s="86">
        <v>261</v>
      </c>
      <c r="J210" s="86">
        <v>261</v>
      </c>
      <c r="K210" s="87">
        <v>1</v>
      </c>
      <c r="L210" s="87">
        <v>1</v>
      </c>
      <c r="M210" s="88">
        <v>1</v>
      </c>
      <c r="N210" s="89"/>
      <c r="O210" s="87"/>
      <c r="P210" s="87"/>
      <c r="Q210" s="87"/>
      <c r="R210" s="87"/>
      <c r="S210" s="87">
        <v>1</v>
      </c>
      <c r="T210" s="87"/>
      <c r="U210" s="87">
        <v>0</v>
      </c>
      <c r="V210" s="90" t="s">
        <v>1062</v>
      </c>
    </row>
    <row r="211" ht="15" customHeight="1" spans="1:23" x14ac:dyDescent="0.25">
      <c r="A211" s="85">
        <v>19552</v>
      </c>
      <c r="B211" s="85" t="s">
        <v>1768</v>
      </c>
      <c r="C211" s="85" t="s">
        <v>161</v>
      </c>
      <c r="D211" s="85" t="s">
        <v>198</v>
      </c>
      <c r="E211" s="85" t="s">
        <v>169</v>
      </c>
      <c r="F211" s="85" t="s">
        <v>155</v>
      </c>
      <c r="G211" s="85"/>
      <c r="H211" s="85"/>
      <c r="I211" s="86"/>
      <c r="J211" s="86"/>
      <c r="K211" s="87"/>
      <c r="L211" s="87"/>
      <c r="M211" s="88"/>
      <c r="N211" s="89"/>
      <c r="O211" s="87"/>
      <c r="P211" s="87"/>
      <c r="Q211" s="87"/>
      <c r="R211" s="87"/>
      <c r="S211" s="87">
        <v>0.6666666666666666</v>
      </c>
      <c r="T211" s="87">
        <v>0.6666666666666666</v>
      </c>
      <c r="U211" s="87">
        <v>0.6666666666666666</v>
      </c>
      <c r="V211" s="90" t="s">
        <v>1769</v>
      </c>
    </row>
    <row r="212" ht="15" customHeight="1" spans="1:23" x14ac:dyDescent="0.25">
      <c r="A212" s="85">
        <v>19552</v>
      </c>
      <c r="B212" s="85" t="s">
        <v>1768</v>
      </c>
      <c r="C212" s="85" t="s">
        <v>161</v>
      </c>
      <c r="D212" s="85" t="s">
        <v>198</v>
      </c>
      <c r="E212" s="85" t="s">
        <v>169</v>
      </c>
      <c r="F212" s="85" t="s">
        <v>1062</v>
      </c>
      <c r="G212" s="85" t="s">
        <v>1016</v>
      </c>
      <c r="H212" s="85" t="s">
        <v>169</v>
      </c>
      <c r="I212" s="86">
        <v>261</v>
      </c>
      <c r="J212" s="86">
        <v>174</v>
      </c>
      <c r="K212" s="87">
        <v>0.6666666666666666</v>
      </c>
      <c r="L212" s="87">
        <v>1</v>
      </c>
      <c r="M212" s="88">
        <v>0.6666666666666666</v>
      </c>
      <c r="N212" s="89"/>
      <c r="O212" s="87"/>
      <c r="P212" s="87"/>
      <c r="Q212" s="87"/>
      <c r="R212" s="87"/>
      <c r="S212" s="87">
        <v>0.6666666666666666</v>
      </c>
      <c r="T212" s="87"/>
      <c r="U212" s="87">
        <v>0.6666666666666666</v>
      </c>
      <c r="V212" s="90" t="s">
        <v>1769</v>
      </c>
    </row>
    <row r="213" ht="15" customHeight="1" spans="1:23" x14ac:dyDescent="0.25">
      <c r="A213" s="85">
        <v>19570</v>
      </c>
      <c r="B213" s="85" t="s">
        <v>1770</v>
      </c>
      <c r="C213" s="85" t="s">
        <v>161</v>
      </c>
      <c r="D213" s="85" t="s">
        <v>163</v>
      </c>
      <c r="E213" s="85"/>
      <c r="F213" s="85" t="s">
        <v>155</v>
      </c>
      <c r="G213" s="85"/>
      <c r="H213" s="85"/>
      <c r="I213" s="86"/>
      <c r="J213" s="86"/>
      <c r="K213" s="87"/>
      <c r="L213" s="87"/>
      <c r="M213" s="88"/>
      <c r="N213" s="89"/>
      <c r="O213" s="87"/>
      <c r="P213" s="87"/>
      <c r="Q213" s="87"/>
      <c r="R213" s="87"/>
      <c r="S213" s="87">
        <v>1</v>
      </c>
      <c r="T213" s="87">
        <v>1</v>
      </c>
      <c r="U213" s="87">
        <v>1</v>
      </c>
      <c r="V213" s="90" t="s">
        <v>1771</v>
      </c>
    </row>
    <row r="214" ht="15" customHeight="1" spans="1:23" x14ac:dyDescent="0.25">
      <c r="A214" s="85">
        <v>19570</v>
      </c>
      <c r="B214" s="85" t="s">
        <v>1770</v>
      </c>
      <c r="C214" s="85" t="s">
        <v>161</v>
      </c>
      <c r="D214" s="85" t="s">
        <v>163</v>
      </c>
      <c r="E214" s="85"/>
      <c r="F214" s="85" t="s">
        <v>1062</v>
      </c>
      <c r="G214" s="85" t="s">
        <v>1016</v>
      </c>
      <c r="H214" s="85" t="s">
        <v>170</v>
      </c>
      <c r="I214" s="86">
        <v>261</v>
      </c>
      <c r="J214" s="86">
        <v>261</v>
      </c>
      <c r="K214" s="87">
        <v>1</v>
      </c>
      <c r="L214" s="87">
        <v>1</v>
      </c>
      <c r="M214" s="88">
        <v>1</v>
      </c>
      <c r="N214" s="89"/>
      <c r="O214" s="87"/>
      <c r="P214" s="87"/>
      <c r="Q214" s="87"/>
      <c r="R214" s="87"/>
      <c r="S214" s="87">
        <v>1</v>
      </c>
      <c r="T214" s="87"/>
      <c r="U214" s="87">
        <v>1</v>
      </c>
      <c r="V214" s="90" t="s">
        <v>1771</v>
      </c>
    </row>
    <row r="215" ht="15" customHeight="1" spans="1:23" x14ac:dyDescent="0.25">
      <c r="A215" s="85">
        <v>19587</v>
      </c>
      <c r="B215" s="85" t="s">
        <v>1772</v>
      </c>
      <c r="C215" s="85" t="s">
        <v>161</v>
      </c>
      <c r="D215" s="85" t="s">
        <v>292</v>
      </c>
      <c r="E215" s="85"/>
      <c r="F215" s="85" t="s">
        <v>155</v>
      </c>
      <c r="G215" s="85"/>
      <c r="H215" s="85"/>
      <c r="I215" s="86"/>
      <c r="J215" s="86"/>
      <c r="K215" s="87"/>
      <c r="L215" s="87"/>
      <c r="M215" s="88"/>
      <c r="N215" s="89"/>
      <c r="O215" s="87"/>
      <c r="P215" s="87"/>
      <c r="Q215" s="87"/>
      <c r="R215" s="87"/>
      <c r="S215" s="87">
        <v>1</v>
      </c>
      <c r="T215" s="87">
        <v>1</v>
      </c>
      <c r="U215" s="87">
        <v>1</v>
      </c>
      <c r="V215" s="90" t="s">
        <v>1773</v>
      </c>
    </row>
    <row r="216" ht="15" customHeight="1" spans="1:23" x14ac:dyDescent="0.25">
      <c r="A216" s="85">
        <v>19587</v>
      </c>
      <c r="B216" s="85" t="s">
        <v>1772</v>
      </c>
      <c r="C216" s="85" t="s">
        <v>161</v>
      </c>
      <c r="D216" s="85" t="s">
        <v>292</v>
      </c>
      <c r="E216" s="85"/>
      <c r="F216" s="85" t="s">
        <v>1062</v>
      </c>
      <c r="G216" s="85" t="s">
        <v>1016</v>
      </c>
      <c r="H216" s="85" t="s">
        <v>170</v>
      </c>
      <c r="I216" s="86">
        <v>261</v>
      </c>
      <c r="J216" s="86">
        <v>261</v>
      </c>
      <c r="K216" s="87">
        <v>1</v>
      </c>
      <c r="L216" s="87">
        <v>1</v>
      </c>
      <c r="M216" s="88">
        <v>1</v>
      </c>
      <c r="N216" s="89"/>
      <c r="O216" s="87"/>
      <c r="P216" s="87"/>
      <c r="Q216" s="87"/>
      <c r="R216" s="87"/>
      <c r="S216" s="87">
        <v>1</v>
      </c>
      <c r="T216" s="87"/>
      <c r="U216" s="87">
        <v>1</v>
      </c>
      <c r="V216" s="90" t="s">
        <v>1773</v>
      </c>
    </row>
    <row r="217" ht="15" customHeight="1" spans="1:23" x14ac:dyDescent="0.25">
      <c r="A217" s="85">
        <v>19665</v>
      </c>
      <c r="B217" s="85" t="s">
        <v>1774</v>
      </c>
      <c r="C217" s="85" t="s">
        <v>161</v>
      </c>
      <c r="D217" s="85" t="s">
        <v>263</v>
      </c>
      <c r="E217" s="85"/>
      <c r="F217" s="85" t="s">
        <v>155</v>
      </c>
      <c r="G217" s="85"/>
      <c r="H217" s="85"/>
      <c r="I217" s="86"/>
      <c r="J217" s="86"/>
      <c r="K217" s="87"/>
      <c r="L217" s="87"/>
      <c r="M217" s="88"/>
      <c r="N217" s="89"/>
      <c r="O217" s="87"/>
      <c r="P217" s="87"/>
      <c r="Q217" s="87"/>
      <c r="R217" s="87"/>
      <c r="S217" s="87">
        <v>1</v>
      </c>
      <c r="T217" s="87">
        <v>1</v>
      </c>
      <c r="U217" s="87">
        <v>1</v>
      </c>
      <c r="V217" s="90" t="s">
        <v>1775</v>
      </c>
    </row>
    <row r="218" ht="15" customHeight="1" spans="1:23" x14ac:dyDescent="0.25">
      <c r="A218" s="85">
        <v>19665</v>
      </c>
      <c r="B218" s="85" t="s">
        <v>1774</v>
      </c>
      <c r="C218" s="85" t="s">
        <v>161</v>
      </c>
      <c r="D218" s="85" t="s">
        <v>263</v>
      </c>
      <c r="E218" s="85"/>
      <c r="F218" s="85" t="s">
        <v>1062</v>
      </c>
      <c r="G218" s="85" t="s">
        <v>1016</v>
      </c>
      <c r="H218" s="85" t="s">
        <v>170</v>
      </c>
      <c r="I218" s="86">
        <v>261</v>
      </c>
      <c r="J218" s="86">
        <v>261</v>
      </c>
      <c r="K218" s="87">
        <v>1</v>
      </c>
      <c r="L218" s="87">
        <v>1</v>
      </c>
      <c r="M218" s="88">
        <v>1</v>
      </c>
      <c r="N218" s="89"/>
      <c r="O218" s="87"/>
      <c r="P218" s="87"/>
      <c r="Q218" s="87"/>
      <c r="R218" s="87"/>
      <c r="S218" s="87">
        <v>1</v>
      </c>
      <c r="T218" s="87"/>
      <c r="U218" s="87">
        <v>1</v>
      </c>
      <c r="V218" s="90" t="s">
        <v>1775</v>
      </c>
    </row>
    <row r="219" ht="15" customHeight="1" spans="1:23" x14ac:dyDescent="0.25">
      <c r="A219" s="85">
        <v>19728</v>
      </c>
      <c r="B219" s="85" t="s">
        <v>1776</v>
      </c>
      <c r="C219" s="85" t="s">
        <v>161</v>
      </c>
      <c r="D219" s="85" t="s">
        <v>208</v>
      </c>
      <c r="E219" s="85"/>
      <c r="F219" s="85" t="s">
        <v>155</v>
      </c>
      <c r="G219" s="85"/>
      <c r="H219" s="85"/>
      <c r="I219" s="86"/>
      <c r="J219" s="86"/>
      <c r="K219" s="87"/>
      <c r="L219" s="87"/>
      <c r="M219" s="88"/>
      <c r="N219" s="89"/>
      <c r="O219" s="87"/>
      <c r="P219" s="87"/>
      <c r="Q219" s="87"/>
      <c r="R219" s="87"/>
      <c r="S219" s="87">
        <v>1</v>
      </c>
      <c r="T219" s="87">
        <v>1</v>
      </c>
      <c r="U219" s="87">
        <v>1</v>
      </c>
      <c r="V219" s="90" t="s">
        <v>1777</v>
      </c>
    </row>
    <row r="220" ht="15" customHeight="1" spans="1:23" x14ac:dyDescent="0.25">
      <c r="A220" s="85">
        <v>19728</v>
      </c>
      <c r="B220" s="85" t="s">
        <v>1776</v>
      </c>
      <c r="C220" s="85" t="s">
        <v>161</v>
      </c>
      <c r="D220" s="85" t="s">
        <v>208</v>
      </c>
      <c r="E220" s="85"/>
      <c r="F220" s="85" t="s">
        <v>1062</v>
      </c>
      <c r="G220" s="85" t="s">
        <v>1016</v>
      </c>
      <c r="H220" s="85" t="s">
        <v>170</v>
      </c>
      <c r="I220" s="86">
        <v>261</v>
      </c>
      <c r="J220" s="86">
        <v>261</v>
      </c>
      <c r="K220" s="87">
        <v>1</v>
      </c>
      <c r="L220" s="87">
        <v>1</v>
      </c>
      <c r="M220" s="88">
        <v>1</v>
      </c>
      <c r="N220" s="89"/>
      <c r="O220" s="87"/>
      <c r="P220" s="87"/>
      <c r="Q220" s="87"/>
      <c r="R220" s="87"/>
      <c r="S220" s="87">
        <v>1</v>
      </c>
      <c r="T220" s="87"/>
      <c r="U220" s="87">
        <v>1</v>
      </c>
      <c r="V220" s="90" t="s">
        <v>1777</v>
      </c>
    </row>
    <row r="221" ht="15" customHeight="1" spans="1:23" x14ac:dyDescent="0.25">
      <c r="A221" s="85">
        <v>19823</v>
      </c>
      <c r="B221" s="85" t="s">
        <v>1778</v>
      </c>
      <c r="C221" s="85" t="s">
        <v>357</v>
      </c>
      <c r="D221" s="85" t="s">
        <v>770</v>
      </c>
      <c r="E221" s="85"/>
      <c r="F221" s="85" t="s">
        <v>155</v>
      </c>
      <c r="G221" s="85"/>
      <c r="H221" s="85"/>
      <c r="I221" s="86"/>
      <c r="J221" s="86"/>
      <c r="K221" s="87"/>
      <c r="L221" s="87"/>
      <c r="M221" s="88"/>
      <c r="N221" s="89"/>
      <c r="O221" s="87"/>
      <c r="P221" s="87"/>
      <c r="Q221" s="87"/>
      <c r="R221" s="87"/>
      <c r="S221" s="87">
        <v>1</v>
      </c>
      <c r="T221" s="87">
        <v>1</v>
      </c>
      <c r="U221" s="87">
        <v>1</v>
      </c>
      <c r="V221" s="90" t="s">
        <v>1573</v>
      </c>
    </row>
    <row r="222" ht="15" customHeight="1" spans="1:23" x14ac:dyDescent="0.25">
      <c r="A222" s="85">
        <v>19823</v>
      </c>
      <c r="B222" s="85" t="s">
        <v>1778</v>
      </c>
      <c r="C222" s="85" t="s">
        <v>357</v>
      </c>
      <c r="D222" s="85" t="s">
        <v>770</v>
      </c>
      <c r="E222" s="85"/>
      <c r="F222" s="85" t="s">
        <v>1062</v>
      </c>
      <c r="G222" s="85" t="s">
        <v>1016</v>
      </c>
      <c r="H222" s="85" t="s">
        <v>170</v>
      </c>
      <c r="I222" s="86">
        <v>261</v>
      </c>
      <c r="J222" s="86">
        <v>261</v>
      </c>
      <c r="K222" s="87">
        <v>1</v>
      </c>
      <c r="L222" s="87">
        <v>1</v>
      </c>
      <c r="M222" s="88">
        <v>1</v>
      </c>
      <c r="N222" s="89"/>
      <c r="O222" s="87"/>
      <c r="P222" s="87"/>
      <c r="Q222" s="87"/>
      <c r="R222" s="87"/>
      <c r="S222" s="87">
        <v>1</v>
      </c>
      <c r="T222" s="87"/>
      <c r="U222" s="87">
        <v>1</v>
      </c>
      <c r="V222" s="90" t="s">
        <v>1573</v>
      </c>
    </row>
    <row r="223" ht="15" customHeight="1" spans="1:23" x14ac:dyDescent="0.25">
      <c r="A223" s="85">
        <v>20126</v>
      </c>
      <c r="B223" s="85" t="s">
        <v>1779</v>
      </c>
      <c r="C223" s="85" t="s">
        <v>357</v>
      </c>
      <c r="D223" s="85" t="s">
        <v>510</v>
      </c>
      <c r="E223" s="85"/>
      <c r="F223" s="85" t="s">
        <v>155</v>
      </c>
      <c r="G223" s="85"/>
      <c r="H223" s="85"/>
      <c r="I223" s="86"/>
      <c r="J223" s="86"/>
      <c r="K223" s="87"/>
      <c r="L223" s="87"/>
      <c r="M223" s="88"/>
      <c r="N223" s="89"/>
      <c r="O223" s="87"/>
      <c r="P223" s="87"/>
      <c r="Q223" s="87"/>
      <c r="R223" s="87"/>
      <c r="S223" s="87">
        <v>1</v>
      </c>
      <c r="T223" s="87">
        <v>1</v>
      </c>
      <c r="U223" s="87"/>
      <c r="V223" s="90" t="s">
        <v>1062</v>
      </c>
    </row>
    <row r="224" ht="15" customHeight="1" spans="1:23" x14ac:dyDescent="0.25">
      <c r="A224" s="85">
        <v>20126</v>
      </c>
      <c r="B224" s="85" t="s">
        <v>1779</v>
      </c>
      <c r="C224" s="85" t="s">
        <v>357</v>
      </c>
      <c r="D224" s="85" t="s">
        <v>510</v>
      </c>
      <c r="E224" s="85"/>
      <c r="F224" s="85" t="s">
        <v>1062</v>
      </c>
      <c r="G224" s="85" t="s">
        <v>1016</v>
      </c>
      <c r="H224" s="85" t="s">
        <v>170</v>
      </c>
      <c r="I224" s="86">
        <v>261</v>
      </c>
      <c r="J224" s="86">
        <v>261</v>
      </c>
      <c r="K224" s="87">
        <v>1</v>
      </c>
      <c r="L224" s="87">
        <v>1</v>
      </c>
      <c r="M224" s="88">
        <v>1</v>
      </c>
      <c r="N224" s="89"/>
      <c r="O224" s="87"/>
      <c r="P224" s="87"/>
      <c r="Q224" s="87"/>
      <c r="R224" s="87"/>
      <c r="S224" s="87">
        <v>1</v>
      </c>
      <c r="T224" s="87"/>
      <c r="U224" s="87">
        <v>0</v>
      </c>
      <c r="V224" s="90" t="s">
        <v>1062</v>
      </c>
    </row>
    <row r="225" ht="15" customHeight="1" spans="1:23" x14ac:dyDescent="0.25">
      <c r="A225" s="85">
        <v>20197</v>
      </c>
      <c r="B225" s="85" t="s">
        <v>1780</v>
      </c>
      <c r="C225" s="85" t="s">
        <v>357</v>
      </c>
      <c r="D225" s="85" t="s">
        <v>422</v>
      </c>
      <c r="E225" s="85"/>
      <c r="F225" s="85" t="s">
        <v>155</v>
      </c>
      <c r="G225" s="85"/>
      <c r="H225" s="85"/>
      <c r="I225" s="86"/>
      <c r="J225" s="86"/>
      <c r="K225" s="87"/>
      <c r="L225" s="87"/>
      <c r="M225" s="88"/>
      <c r="N225" s="89"/>
      <c r="O225" s="87"/>
      <c r="P225" s="87"/>
      <c r="Q225" s="87"/>
      <c r="R225" s="87"/>
      <c r="S225" s="87">
        <v>1</v>
      </c>
      <c r="T225" s="87">
        <v>1</v>
      </c>
      <c r="U225" s="87"/>
      <c r="V225" s="90" t="s">
        <v>1062</v>
      </c>
    </row>
    <row r="226" ht="15" customHeight="1" spans="1:23" x14ac:dyDescent="0.25">
      <c r="A226" s="85">
        <v>20197</v>
      </c>
      <c r="B226" s="85" t="s">
        <v>1780</v>
      </c>
      <c r="C226" s="85" t="s">
        <v>357</v>
      </c>
      <c r="D226" s="85" t="s">
        <v>422</v>
      </c>
      <c r="E226" s="85"/>
      <c r="F226" s="85" t="s">
        <v>1062</v>
      </c>
      <c r="G226" s="85" t="s">
        <v>1016</v>
      </c>
      <c r="H226" s="85" t="s">
        <v>170</v>
      </c>
      <c r="I226" s="86">
        <v>261</v>
      </c>
      <c r="J226" s="86">
        <v>261</v>
      </c>
      <c r="K226" s="87">
        <v>1</v>
      </c>
      <c r="L226" s="87">
        <v>1</v>
      </c>
      <c r="M226" s="88">
        <v>1</v>
      </c>
      <c r="N226" s="89"/>
      <c r="O226" s="87"/>
      <c r="P226" s="87"/>
      <c r="Q226" s="87"/>
      <c r="R226" s="87"/>
      <c r="S226" s="87">
        <v>1</v>
      </c>
      <c r="T226" s="87"/>
      <c r="U226" s="87">
        <v>0</v>
      </c>
      <c r="V226" s="90" t="s">
        <v>1062</v>
      </c>
    </row>
    <row r="227" ht="15" customHeight="1" spans="1:23" x14ac:dyDescent="0.25">
      <c r="A227" s="85">
        <v>20277</v>
      </c>
      <c r="B227" s="85" t="s">
        <v>1781</v>
      </c>
      <c r="C227" s="85" t="s">
        <v>357</v>
      </c>
      <c r="D227" s="85" t="s">
        <v>880</v>
      </c>
      <c r="E227" s="85"/>
      <c r="F227" s="85" t="s">
        <v>155</v>
      </c>
      <c r="G227" s="85"/>
      <c r="H227" s="85"/>
      <c r="I227" s="86"/>
      <c r="J227" s="86"/>
      <c r="K227" s="87"/>
      <c r="L227" s="87"/>
      <c r="M227" s="88"/>
      <c r="N227" s="89"/>
      <c r="O227" s="87"/>
      <c r="P227" s="87"/>
      <c r="Q227" s="87"/>
      <c r="R227" s="87"/>
      <c r="S227" s="87">
        <v>1</v>
      </c>
      <c r="T227" s="87">
        <v>1</v>
      </c>
      <c r="U227" s="87"/>
      <c r="V227" s="90" t="s">
        <v>1062</v>
      </c>
    </row>
    <row r="228" ht="15" customHeight="1" spans="1:23" x14ac:dyDescent="0.25">
      <c r="A228" s="85">
        <v>20277</v>
      </c>
      <c r="B228" s="85" t="s">
        <v>1781</v>
      </c>
      <c r="C228" s="85" t="s">
        <v>357</v>
      </c>
      <c r="D228" s="85" t="s">
        <v>880</v>
      </c>
      <c r="E228" s="85"/>
      <c r="F228" s="85" t="s">
        <v>1062</v>
      </c>
      <c r="G228" s="85" t="s">
        <v>1016</v>
      </c>
      <c r="H228" s="85" t="s">
        <v>170</v>
      </c>
      <c r="I228" s="86">
        <v>261</v>
      </c>
      <c r="J228" s="86">
        <v>261</v>
      </c>
      <c r="K228" s="87">
        <v>1</v>
      </c>
      <c r="L228" s="87">
        <v>1</v>
      </c>
      <c r="M228" s="88">
        <v>1</v>
      </c>
      <c r="N228" s="89"/>
      <c r="O228" s="87"/>
      <c r="P228" s="87"/>
      <c r="Q228" s="87"/>
      <c r="R228" s="87"/>
      <c r="S228" s="87">
        <v>1</v>
      </c>
      <c r="T228" s="87"/>
      <c r="U228" s="87">
        <v>0</v>
      </c>
      <c r="V228" s="90" t="s">
        <v>1062</v>
      </c>
    </row>
    <row r="229" ht="15" customHeight="1" spans="1:23" x14ac:dyDescent="0.25">
      <c r="A229" s="85">
        <v>20307</v>
      </c>
      <c r="B229" s="85" t="s">
        <v>1782</v>
      </c>
      <c r="C229" s="85" t="s">
        <v>357</v>
      </c>
      <c r="D229" s="85" t="s">
        <v>510</v>
      </c>
      <c r="E229" s="85"/>
      <c r="F229" s="85" t="s">
        <v>155</v>
      </c>
      <c r="G229" s="85"/>
      <c r="H229" s="85"/>
      <c r="I229" s="86"/>
      <c r="J229" s="86"/>
      <c r="K229" s="87"/>
      <c r="L229" s="87"/>
      <c r="M229" s="88"/>
      <c r="N229" s="89"/>
      <c r="O229" s="87"/>
      <c r="P229" s="87"/>
      <c r="Q229" s="87"/>
      <c r="R229" s="87"/>
      <c r="S229" s="87">
        <v>1</v>
      </c>
      <c r="T229" s="87">
        <v>1</v>
      </c>
      <c r="U229" s="87"/>
      <c r="V229" s="90" t="s">
        <v>1062</v>
      </c>
    </row>
    <row r="230" ht="15" customHeight="1" spans="1:23" x14ac:dyDescent="0.25">
      <c r="A230" s="85">
        <v>20307</v>
      </c>
      <c r="B230" s="85" t="s">
        <v>1782</v>
      </c>
      <c r="C230" s="85" t="s">
        <v>357</v>
      </c>
      <c r="D230" s="85" t="s">
        <v>510</v>
      </c>
      <c r="E230" s="85"/>
      <c r="F230" s="85" t="s">
        <v>1062</v>
      </c>
      <c r="G230" s="85" t="s">
        <v>1016</v>
      </c>
      <c r="H230" s="85" t="s">
        <v>170</v>
      </c>
      <c r="I230" s="86">
        <v>261</v>
      </c>
      <c r="J230" s="86">
        <v>261</v>
      </c>
      <c r="K230" s="87">
        <v>1</v>
      </c>
      <c r="L230" s="87">
        <v>1</v>
      </c>
      <c r="M230" s="88">
        <v>1</v>
      </c>
      <c r="N230" s="89"/>
      <c r="O230" s="87"/>
      <c r="P230" s="87"/>
      <c r="Q230" s="87"/>
      <c r="R230" s="87"/>
      <c r="S230" s="87">
        <v>1</v>
      </c>
      <c r="T230" s="87"/>
      <c r="U230" s="87">
        <v>0</v>
      </c>
      <c r="V230" s="90" t="s">
        <v>1062</v>
      </c>
    </row>
    <row r="231" ht="15" customHeight="1" spans="1:23" x14ac:dyDescent="0.25">
      <c r="A231" s="85">
        <v>20377</v>
      </c>
      <c r="B231" s="85" t="s">
        <v>1783</v>
      </c>
      <c r="C231" s="85" t="s">
        <v>357</v>
      </c>
      <c r="D231" s="85" t="s">
        <v>498</v>
      </c>
      <c r="E231" s="85"/>
      <c r="F231" s="85" t="s">
        <v>155</v>
      </c>
      <c r="G231" s="85"/>
      <c r="H231" s="85"/>
      <c r="I231" s="86"/>
      <c r="J231" s="86"/>
      <c r="K231" s="87"/>
      <c r="L231" s="87"/>
      <c r="M231" s="88"/>
      <c r="N231" s="89"/>
      <c r="O231" s="87"/>
      <c r="P231" s="87"/>
      <c r="Q231" s="87"/>
      <c r="R231" s="87"/>
      <c r="S231" s="87">
        <v>1</v>
      </c>
      <c r="T231" s="87">
        <v>1</v>
      </c>
      <c r="U231" s="87"/>
      <c r="V231" s="90" t="s">
        <v>1062</v>
      </c>
    </row>
    <row r="232" ht="15" customHeight="1" spans="1:23" x14ac:dyDescent="0.25">
      <c r="A232" s="85">
        <v>20377</v>
      </c>
      <c r="B232" s="85" t="s">
        <v>1783</v>
      </c>
      <c r="C232" s="85" t="s">
        <v>357</v>
      </c>
      <c r="D232" s="85" t="s">
        <v>498</v>
      </c>
      <c r="E232" s="85"/>
      <c r="F232" s="85" t="s">
        <v>1062</v>
      </c>
      <c r="G232" s="85" t="s">
        <v>1016</v>
      </c>
      <c r="H232" s="85" t="s">
        <v>170</v>
      </c>
      <c r="I232" s="86">
        <v>261</v>
      </c>
      <c r="J232" s="86">
        <v>261</v>
      </c>
      <c r="K232" s="87">
        <v>1</v>
      </c>
      <c r="L232" s="87">
        <v>1</v>
      </c>
      <c r="M232" s="88">
        <v>1</v>
      </c>
      <c r="N232" s="89"/>
      <c r="O232" s="87"/>
      <c r="P232" s="87"/>
      <c r="Q232" s="87"/>
      <c r="R232" s="87"/>
      <c r="S232" s="87">
        <v>1</v>
      </c>
      <c r="T232" s="87"/>
      <c r="U232" s="87">
        <v>0</v>
      </c>
      <c r="V232" s="90" t="s">
        <v>1062</v>
      </c>
    </row>
    <row r="233" ht="15" customHeight="1" spans="1:23" x14ac:dyDescent="0.25">
      <c r="A233" s="85">
        <v>20591</v>
      </c>
      <c r="B233" s="85" t="s">
        <v>1784</v>
      </c>
      <c r="C233" s="85" t="s">
        <v>357</v>
      </c>
      <c r="D233" s="85" t="s">
        <v>658</v>
      </c>
      <c r="E233" s="85"/>
      <c r="F233" s="85" t="s">
        <v>155</v>
      </c>
      <c r="G233" s="85"/>
      <c r="H233" s="85"/>
      <c r="I233" s="86"/>
      <c r="J233" s="86"/>
      <c r="K233" s="87"/>
      <c r="L233" s="87"/>
      <c r="M233" s="88"/>
      <c r="N233" s="89"/>
      <c r="O233" s="87"/>
      <c r="P233" s="87"/>
      <c r="Q233" s="87"/>
      <c r="R233" s="87"/>
      <c r="S233" s="87">
        <v>1</v>
      </c>
      <c r="T233" s="87">
        <v>1</v>
      </c>
      <c r="U233" s="87"/>
      <c r="V233" s="90" t="s">
        <v>1062</v>
      </c>
    </row>
    <row r="234" ht="15" customHeight="1" spans="1:23" x14ac:dyDescent="0.25">
      <c r="A234" s="85">
        <v>20591</v>
      </c>
      <c r="B234" s="85" t="s">
        <v>1784</v>
      </c>
      <c r="C234" s="85" t="s">
        <v>357</v>
      </c>
      <c r="D234" s="85" t="s">
        <v>658</v>
      </c>
      <c r="E234" s="85"/>
      <c r="F234" s="85" t="s">
        <v>1062</v>
      </c>
      <c r="G234" s="85" t="s">
        <v>1016</v>
      </c>
      <c r="H234" s="85" t="s">
        <v>170</v>
      </c>
      <c r="I234" s="86">
        <v>261</v>
      </c>
      <c r="J234" s="86">
        <v>261</v>
      </c>
      <c r="K234" s="87">
        <v>1</v>
      </c>
      <c r="L234" s="87">
        <v>1</v>
      </c>
      <c r="M234" s="88">
        <v>1</v>
      </c>
      <c r="N234" s="89"/>
      <c r="O234" s="87"/>
      <c r="P234" s="87"/>
      <c r="Q234" s="87"/>
      <c r="R234" s="87"/>
      <c r="S234" s="87">
        <v>1</v>
      </c>
      <c r="T234" s="87"/>
      <c r="U234" s="87">
        <v>0</v>
      </c>
      <c r="V234" s="90" t="s">
        <v>1062</v>
      </c>
    </row>
    <row r="235" ht="15" customHeight="1" spans="1:23" x14ac:dyDescent="0.25">
      <c r="A235" s="85">
        <v>20871</v>
      </c>
      <c r="B235" s="85" t="s">
        <v>1785</v>
      </c>
      <c r="C235" s="85" t="s">
        <v>357</v>
      </c>
      <c r="D235" s="85" t="s">
        <v>432</v>
      </c>
      <c r="E235" s="85"/>
      <c r="F235" s="85" t="s">
        <v>155</v>
      </c>
      <c r="G235" s="85"/>
      <c r="H235" s="85"/>
      <c r="I235" s="86"/>
      <c r="J235" s="86"/>
      <c r="K235" s="87"/>
      <c r="L235" s="87"/>
      <c r="M235" s="88"/>
      <c r="N235" s="89"/>
      <c r="O235" s="87"/>
      <c r="P235" s="87"/>
      <c r="Q235" s="87"/>
      <c r="R235" s="87"/>
      <c r="S235" s="87">
        <v>0.8</v>
      </c>
      <c r="T235" s="87">
        <v>0.8</v>
      </c>
      <c r="U235" s="87">
        <v>0.8</v>
      </c>
      <c r="V235" s="90" t="s">
        <v>1786</v>
      </c>
    </row>
    <row r="236" ht="15" customHeight="1" spans="1:23" x14ac:dyDescent="0.25">
      <c r="A236" s="85">
        <v>20871</v>
      </c>
      <c r="B236" s="85" t="s">
        <v>1785</v>
      </c>
      <c r="C236" s="85" t="s">
        <v>357</v>
      </c>
      <c r="D236" s="85" t="s">
        <v>432</v>
      </c>
      <c r="E236" s="85"/>
      <c r="F236" s="85" t="s">
        <v>1062</v>
      </c>
      <c r="G236" s="85" t="s">
        <v>1016</v>
      </c>
      <c r="H236" s="85" t="s">
        <v>170</v>
      </c>
      <c r="I236" s="86">
        <v>261</v>
      </c>
      <c r="J236" s="86">
        <v>261</v>
      </c>
      <c r="K236" s="87">
        <v>1</v>
      </c>
      <c r="L236" s="87">
        <v>0.8</v>
      </c>
      <c r="M236" s="88">
        <v>0.8</v>
      </c>
      <c r="N236" s="89"/>
      <c r="O236" s="87"/>
      <c r="P236" s="87"/>
      <c r="Q236" s="87"/>
      <c r="R236" s="87"/>
      <c r="S236" s="87">
        <v>0.8</v>
      </c>
      <c r="T236" s="87"/>
      <c r="U236" s="87">
        <v>0.8</v>
      </c>
      <c r="V236" s="90" t="s">
        <v>1786</v>
      </c>
    </row>
    <row r="237" ht="15" customHeight="1" spans="1:23" x14ac:dyDescent="0.25">
      <c r="A237" s="85">
        <v>21550</v>
      </c>
      <c r="B237" s="85" t="s">
        <v>1787</v>
      </c>
      <c r="C237" s="85" t="s">
        <v>357</v>
      </c>
      <c r="D237" s="85" t="s">
        <v>533</v>
      </c>
      <c r="E237" s="85"/>
      <c r="F237" s="85" t="s">
        <v>155</v>
      </c>
      <c r="G237" s="85"/>
      <c r="H237" s="85"/>
      <c r="I237" s="86"/>
      <c r="J237" s="86"/>
      <c r="K237" s="87"/>
      <c r="L237" s="87"/>
      <c r="M237" s="88"/>
      <c r="N237" s="89"/>
      <c r="O237" s="87"/>
      <c r="P237" s="87"/>
      <c r="Q237" s="87"/>
      <c r="R237" s="87"/>
      <c r="S237" s="87">
        <v>1</v>
      </c>
      <c r="T237" s="87">
        <v>1</v>
      </c>
      <c r="U237" s="87">
        <v>1</v>
      </c>
      <c r="V237" s="90" t="s">
        <v>1788</v>
      </c>
    </row>
    <row r="238" ht="15" customHeight="1" spans="1:23" x14ac:dyDescent="0.25">
      <c r="A238" s="85">
        <v>21550</v>
      </c>
      <c r="B238" s="85" t="s">
        <v>1787</v>
      </c>
      <c r="C238" s="85" t="s">
        <v>357</v>
      </c>
      <c r="D238" s="85" t="s">
        <v>533</v>
      </c>
      <c r="E238" s="85"/>
      <c r="F238" s="85" t="s">
        <v>1062</v>
      </c>
      <c r="G238" s="85" t="s">
        <v>1016</v>
      </c>
      <c r="H238" s="85" t="s">
        <v>170</v>
      </c>
      <c r="I238" s="86">
        <v>261</v>
      </c>
      <c r="J238" s="86">
        <v>261</v>
      </c>
      <c r="K238" s="87">
        <v>1</v>
      </c>
      <c r="L238" s="87">
        <v>1</v>
      </c>
      <c r="M238" s="88">
        <v>1</v>
      </c>
      <c r="N238" s="89"/>
      <c r="O238" s="87"/>
      <c r="P238" s="87"/>
      <c r="Q238" s="87"/>
      <c r="R238" s="87"/>
      <c r="S238" s="87">
        <v>1</v>
      </c>
      <c r="T238" s="87"/>
      <c r="U238" s="87">
        <v>1</v>
      </c>
      <c r="V238" s="90" t="s">
        <v>1788</v>
      </c>
    </row>
    <row r="239" ht="15" customHeight="1" spans="1:23" x14ac:dyDescent="0.25">
      <c r="A239" s="85">
        <v>22218</v>
      </c>
      <c r="B239" s="85" t="s">
        <v>1789</v>
      </c>
      <c r="C239" s="85" t="s">
        <v>161</v>
      </c>
      <c r="D239" s="85" t="s">
        <v>223</v>
      </c>
      <c r="E239" s="85"/>
      <c r="F239" s="85" t="s">
        <v>155</v>
      </c>
      <c r="G239" s="85"/>
      <c r="H239" s="85"/>
      <c r="I239" s="86"/>
      <c r="J239" s="86"/>
      <c r="K239" s="87"/>
      <c r="L239" s="87"/>
      <c r="M239" s="88"/>
      <c r="N239" s="89"/>
      <c r="O239" s="87"/>
      <c r="P239" s="87"/>
      <c r="Q239" s="87">
        <v>0.03065134099616858</v>
      </c>
      <c r="R239" s="87"/>
      <c r="S239" s="87">
        <v>1</v>
      </c>
      <c r="T239" s="87">
        <v>1</v>
      </c>
      <c r="U239" s="87">
        <v>1</v>
      </c>
      <c r="V239" s="90" t="s">
        <v>1790</v>
      </c>
    </row>
    <row r="240" ht="15" customHeight="1" spans="1:23" x14ac:dyDescent="0.25">
      <c r="A240" s="85">
        <v>22218</v>
      </c>
      <c r="B240" s="85" t="s">
        <v>1789</v>
      </c>
      <c r="C240" s="85" t="s">
        <v>161</v>
      </c>
      <c r="D240" s="85" t="s">
        <v>223</v>
      </c>
      <c r="E240" s="85"/>
      <c r="F240" s="85" t="s">
        <v>1062</v>
      </c>
      <c r="G240" s="85" t="s">
        <v>1624</v>
      </c>
      <c r="H240" s="85" t="s">
        <v>170</v>
      </c>
      <c r="I240" s="86">
        <v>261</v>
      </c>
      <c r="J240" s="86">
        <v>253</v>
      </c>
      <c r="K240" s="87">
        <v>0.9693486590038314</v>
      </c>
      <c r="L240" s="87">
        <v>1</v>
      </c>
      <c r="M240" s="88">
        <v>0.9693486590038314</v>
      </c>
      <c r="N240" s="89"/>
      <c r="O240" s="87"/>
      <c r="P240" s="87"/>
      <c r="Q240" s="87"/>
      <c r="R240" s="87"/>
      <c r="S240" s="87">
        <v>0.9693486590038314</v>
      </c>
      <c r="T240" s="87"/>
      <c r="U240" s="87">
        <v>0.9693486590038316</v>
      </c>
      <c r="V240" s="90" t="s">
        <v>1791</v>
      </c>
    </row>
    <row r="241" ht="15" customHeight="1" spans="1:23" x14ac:dyDescent="0.25">
      <c r="A241" s="85">
        <v>22218</v>
      </c>
      <c r="B241" s="85" t="s">
        <v>1789</v>
      </c>
      <c r="C241" s="85" t="s">
        <v>161</v>
      </c>
      <c r="D241" s="85" t="s">
        <v>223</v>
      </c>
      <c r="E241" s="85"/>
      <c r="F241" s="85" t="s">
        <v>1062</v>
      </c>
      <c r="G241" s="85" t="s">
        <v>1016</v>
      </c>
      <c r="H241" s="85" t="s">
        <v>1625</v>
      </c>
      <c r="I241" s="86">
        <v>261</v>
      </c>
      <c r="J241" s="86">
        <v>8</v>
      </c>
      <c r="K241" s="87">
        <v>0.03065134099616858</v>
      </c>
      <c r="L241" s="87">
        <v>1</v>
      </c>
      <c r="M241" s="88">
        <v>0.03065134099616858</v>
      </c>
      <c r="N241" s="89">
        <v>1</v>
      </c>
      <c r="O241" s="87">
        <v>0.03065134099616858</v>
      </c>
      <c r="P241" s="87"/>
      <c r="Q241" s="87">
        <v>0.03065134099616858</v>
      </c>
      <c r="R241" s="87"/>
      <c r="S241" s="87">
        <v>0.03065134099616858</v>
      </c>
      <c r="T241" s="87"/>
      <c r="U241" s="87">
        <v>0.030651340996168584</v>
      </c>
      <c r="V241" s="90" t="s">
        <v>1792</v>
      </c>
    </row>
    <row r="242" ht="15" customHeight="1" spans="1:23" x14ac:dyDescent="0.25">
      <c r="A242" s="85">
        <v>22298</v>
      </c>
      <c r="B242" s="85" t="s">
        <v>1793</v>
      </c>
      <c r="C242" s="85" t="s">
        <v>357</v>
      </c>
      <c r="D242" s="85" t="s">
        <v>533</v>
      </c>
      <c r="E242" s="85"/>
      <c r="F242" s="85" t="s">
        <v>155</v>
      </c>
      <c r="G242" s="85"/>
      <c r="H242" s="85"/>
      <c r="I242" s="86"/>
      <c r="J242" s="86"/>
      <c r="K242" s="87"/>
      <c r="L242" s="87"/>
      <c r="M242" s="88"/>
      <c r="N242" s="89"/>
      <c r="O242" s="87"/>
      <c r="P242" s="87"/>
      <c r="Q242" s="87"/>
      <c r="R242" s="87"/>
      <c r="S242" s="87">
        <v>0.8</v>
      </c>
      <c r="T242" s="87">
        <v>0.8</v>
      </c>
      <c r="U242" s="87">
        <v>0.8</v>
      </c>
      <c r="V242" s="90" t="s">
        <v>1794</v>
      </c>
    </row>
    <row r="243" ht="15" customHeight="1" spans="1:23" x14ac:dyDescent="0.25">
      <c r="A243" s="85">
        <v>22298</v>
      </c>
      <c r="B243" s="85" t="s">
        <v>1793</v>
      </c>
      <c r="C243" s="85" t="s">
        <v>357</v>
      </c>
      <c r="D243" s="85" t="s">
        <v>533</v>
      </c>
      <c r="E243" s="85"/>
      <c r="F243" s="85" t="s">
        <v>1062</v>
      </c>
      <c r="G243" s="85" t="s">
        <v>1795</v>
      </c>
      <c r="H243" s="85" t="s">
        <v>170</v>
      </c>
      <c r="I243" s="86">
        <v>261</v>
      </c>
      <c r="J243" s="86">
        <v>3</v>
      </c>
      <c r="K243" s="87">
        <v>0.011494252873563218</v>
      </c>
      <c r="L243" s="87">
        <v>0.8</v>
      </c>
      <c r="M243" s="88">
        <v>0.009195402298850576</v>
      </c>
      <c r="N243" s="89"/>
      <c r="O243" s="87"/>
      <c r="P243" s="87"/>
      <c r="Q243" s="87"/>
      <c r="R243" s="87"/>
      <c r="S243" s="87">
        <v>0.009195402298850576</v>
      </c>
      <c r="T243" s="87"/>
      <c r="U243" s="87">
        <v>0.009195402298850576</v>
      </c>
      <c r="V243" s="90" t="s">
        <v>1796</v>
      </c>
    </row>
    <row r="244" ht="15" customHeight="1" spans="1:23" x14ac:dyDescent="0.25">
      <c r="A244" s="85">
        <v>22298</v>
      </c>
      <c r="B244" s="85" t="s">
        <v>1793</v>
      </c>
      <c r="C244" s="85" t="s">
        <v>357</v>
      </c>
      <c r="D244" s="85" t="s">
        <v>533</v>
      </c>
      <c r="E244" s="85"/>
      <c r="F244" s="85" t="s">
        <v>1062</v>
      </c>
      <c r="G244" s="85" t="s">
        <v>1016</v>
      </c>
      <c r="H244" s="85" t="s">
        <v>1797</v>
      </c>
      <c r="I244" s="86">
        <v>261</v>
      </c>
      <c r="J244" s="86">
        <v>258</v>
      </c>
      <c r="K244" s="87">
        <v>0.9885057471264368</v>
      </c>
      <c r="L244" s="87">
        <v>0.8</v>
      </c>
      <c r="M244" s="88">
        <v>0.7908045977011494</v>
      </c>
      <c r="N244" s="89"/>
      <c r="O244" s="87"/>
      <c r="P244" s="87"/>
      <c r="Q244" s="87"/>
      <c r="R244" s="87"/>
      <c r="S244" s="87">
        <v>0.7908045977011494</v>
      </c>
      <c r="T244" s="87"/>
      <c r="U244" s="87">
        <v>0.7908045977011494</v>
      </c>
      <c r="V244" s="90" t="s">
        <v>1798</v>
      </c>
    </row>
    <row r="245" ht="15" customHeight="1" spans="1:23" x14ac:dyDescent="0.25">
      <c r="A245" s="85">
        <v>22864</v>
      </c>
      <c r="B245" s="85" t="s">
        <v>1799</v>
      </c>
      <c r="C245" s="85" t="s">
        <v>942</v>
      </c>
      <c r="D245" s="85" t="s">
        <v>377</v>
      </c>
      <c r="E245" s="85"/>
      <c r="F245" s="85" t="s">
        <v>155</v>
      </c>
      <c r="G245" s="85"/>
      <c r="H245" s="85"/>
      <c r="I245" s="86"/>
      <c r="J245" s="86"/>
      <c r="K245" s="87"/>
      <c r="L245" s="87"/>
      <c r="M245" s="88"/>
      <c r="N245" s="89"/>
      <c r="O245" s="87"/>
      <c r="P245" s="87"/>
      <c r="Q245" s="87">
        <v>0.05747126436781609</v>
      </c>
      <c r="R245" s="87"/>
      <c r="S245" s="87">
        <v>1</v>
      </c>
      <c r="T245" s="87">
        <v>1</v>
      </c>
      <c r="U245" s="87">
        <v>1</v>
      </c>
      <c r="V245" s="90" t="s">
        <v>1800</v>
      </c>
    </row>
    <row r="246" ht="15" customHeight="1" spans="1:23" x14ac:dyDescent="0.25">
      <c r="A246" s="85">
        <v>22864</v>
      </c>
      <c r="B246" s="85" t="s">
        <v>1799</v>
      </c>
      <c r="C246" s="85" t="s">
        <v>942</v>
      </c>
      <c r="D246" s="85" t="s">
        <v>377</v>
      </c>
      <c r="E246" s="85"/>
      <c r="F246" s="85" t="s">
        <v>1062</v>
      </c>
      <c r="G246" s="85" t="s">
        <v>1801</v>
      </c>
      <c r="H246" s="85" t="s">
        <v>170</v>
      </c>
      <c r="I246" s="86">
        <v>261</v>
      </c>
      <c r="J246" s="86">
        <v>58</v>
      </c>
      <c r="K246" s="87">
        <v>0.2222222222222222</v>
      </c>
      <c r="L246" s="87">
        <v>1</v>
      </c>
      <c r="M246" s="88">
        <v>0.2222222222222222</v>
      </c>
      <c r="N246" s="89"/>
      <c r="O246" s="87"/>
      <c r="P246" s="87"/>
      <c r="Q246" s="87"/>
      <c r="R246" s="87"/>
      <c r="S246" s="87">
        <v>0.2222222222222222</v>
      </c>
      <c r="T246" s="87"/>
      <c r="U246" s="87">
        <v>0.2222222222222222</v>
      </c>
      <c r="V246" s="90" t="s">
        <v>1802</v>
      </c>
    </row>
    <row r="247" ht="15" customHeight="1" spans="1:23" x14ac:dyDescent="0.25">
      <c r="A247" s="85">
        <v>22864</v>
      </c>
      <c r="B247" s="85" t="s">
        <v>1799</v>
      </c>
      <c r="C247" s="85" t="s">
        <v>942</v>
      </c>
      <c r="D247" s="85" t="s">
        <v>377</v>
      </c>
      <c r="E247" s="85"/>
      <c r="F247" s="85" t="s">
        <v>1062</v>
      </c>
      <c r="G247" s="85" t="s">
        <v>1722</v>
      </c>
      <c r="H247" s="85" t="s">
        <v>1803</v>
      </c>
      <c r="I247" s="86">
        <v>261</v>
      </c>
      <c r="J247" s="86">
        <v>15</v>
      </c>
      <c r="K247" s="87">
        <v>0.05747126436781609</v>
      </c>
      <c r="L247" s="87">
        <v>1</v>
      </c>
      <c r="M247" s="88">
        <v>0.05747126436781609</v>
      </c>
      <c r="N247" s="89">
        <v>1</v>
      </c>
      <c r="O247" s="87">
        <v>0.05747126436781609</v>
      </c>
      <c r="P247" s="87"/>
      <c r="Q247" s="87">
        <v>0.05747126436781609</v>
      </c>
      <c r="R247" s="87"/>
      <c r="S247" s="87">
        <v>0.05747126436781609</v>
      </c>
      <c r="T247" s="87"/>
      <c r="U247" s="87">
        <v>0.05747126436781609</v>
      </c>
      <c r="V247" s="90" t="s">
        <v>1804</v>
      </c>
    </row>
    <row r="248" ht="15" customHeight="1" spans="1:23" x14ac:dyDescent="0.25">
      <c r="A248" s="85">
        <v>22864</v>
      </c>
      <c r="B248" s="85" t="s">
        <v>1799</v>
      </c>
      <c r="C248" s="85" t="s">
        <v>942</v>
      </c>
      <c r="D248" s="85" t="s">
        <v>377</v>
      </c>
      <c r="E248" s="85"/>
      <c r="F248" s="85" t="s">
        <v>1062</v>
      </c>
      <c r="G248" s="85" t="s">
        <v>1016</v>
      </c>
      <c r="H248" s="85" t="s">
        <v>1805</v>
      </c>
      <c r="I248" s="86">
        <v>261</v>
      </c>
      <c r="J248" s="86">
        <v>188</v>
      </c>
      <c r="K248" s="87">
        <v>0.7203065134099617</v>
      </c>
      <c r="L248" s="87">
        <v>1</v>
      </c>
      <c r="M248" s="88">
        <v>0.7203065134099617</v>
      </c>
      <c r="N248" s="89"/>
      <c r="O248" s="87"/>
      <c r="P248" s="87"/>
      <c r="Q248" s="87"/>
      <c r="R248" s="87"/>
      <c r="S248" s="87">
        <v>0.7203065134099617</v>
      </c>
      <c r="T248" s="87"/>
      <c r="U248" s="87">
        <v>0.7203065134099617</v>
      </c>
      <c r="V248" s="90" t="s">
        <v>1806</v>
      </c>
    </row>
    <row r="249" ht="15" customHeight="1" spans="1:23" x14ac:dyDescent="0.25">
      <c r="A249" s="85">
        <v>22985</v>
      </c>
      <c r="B249" s="85" t="s">
        <v>1807</v>
      </c>
      <c r="C249" s="85" t="s">
        <v>942</v>
      </c>
      <c r="D249" s="85" t="s">
        <v>953</v>
      </c>
      <c r="E249" s="85"/>
      <c r="F249" s="85" t="s">
        <v>155</v>
      </c>
      <c r="G249" s="85"/>
      <c r="H249" s="85"/>
      <c r="I249" s="86"/>
      <c r="J249" s="86"/>
      <c r="K249" s="87"/>
      <c r="L249" s="87"/>
      <c r="M249" s="88"/>
      <c r="N249" s="89"/>
      <c r="O249" s="87"/>
      <c r="P249" s="87"/>
      <c r="Q249" s="87"/>
      <c r="R249" s="87"/>
      <c r="S249" s="87">
        <v>1</v>
      </c>
      <c r="T249" s="87">
        <v>1</v>
      </c>
      <c r="U249" s="87">
        <v>1</v>
      </c>
      <c r="V249" s="90" t="s">
        <v>1808</v>
      </c>
    </row>
    <row r="250" ht="15" customHeight="1" spans="1:23" x14ac:dyDescent="0.25">
      <c r="A250" s="85">
        <v>22985</v>
      </c>
      <c r="B250" s="85" t="s">
        <v>1807</v>
      </c>
      <c r="C250" s="85" t="s">
        <v>942</v>
      </c>
      <c r="D250" s="85" t="s">
        <v>953</v>
      </c>
      <c r="E250" s="85"/>
      <c r="F250" s="85" t="s">
        <v>1062</v>
      </c>
      <c r="G250" s="85" t="s">
        <v>1016</v>
      </c>
      <c r="H250" s="85" t="s">
        <v>170</v>
      </c>
      <c r="I250" s="86">
        <v>261</v>
      </c>
      <c r="J250" s="86">
        <v>261</v>
      </c>
      <c r="K250" s="87">
        <v>1</v>
      </c>
      <c r="L250" s="87">
        <v>1</v>
      </c>
      <c r="M250" s="88">
        <v>1</v>
      </c>
      <c r="N250" s="89"/>
      <c r="O250" s="87"/>
      <c r="P250" s="87"/>
      <c r="Q250" s="87"/>
      <c r="R250" s="87"/>
      <c r="S250" s="87">
        <v>1</v>
      </c>
      <c r="T250" s="87"/>
      <c r="U250" s="87">
        <v>1</v>
      </c>
      <c r="V250" s="90" t="s">
        <v>1808</v>
      </c>
    </row>
    <row r="251" ht="15" customHeight="1" spans="1:23" x14ac:dyDescent="0.25">
      <c r="A251" s="85">
        <v>23410</v>
      </c>
      <c r="B251" s="85" t="s">
        <v>1809</v>
      </c>
      <c r="C251" s="85" t="s">
        <v>357</v>
      </c>
      <c r="D251" s="85" t="s">
        <v>208</v>
      </c>
      <c r="E251" s="85"/>
      <c r="F251" s="85" t="s">
        <v>155</v>
      </c>
      <c r="G251" s="85"/>
      <c r="H251" s="85"/>
      <c r="I251" s="86"/>
      <c r="J251" s="86"/>
      <c r="K251" s="87"/>
      <c r="L251" s="87"/>
      <c r="M251" s="88"/>
      <c r="N251" s="89"/>
      <c r="O251" s="87"/>
      <c r="P251" s="87"/>
      <c r="Q251" s="87"/>
      <c r="R251" s="87"/>
      <c r="S251" s="87">
        <v>1</v>
      </c>
      <c r="T251" s="87">
        <v>1</v>
      </c>
      <c r="U251" s="87">
        <v>1</v>
      </c>
      <c r="V251" s="90" t="s">
        <v>1810</v>
      </c>
    </row>
    <row r="252" ht="15" customHeight="1" spans="1:23" x14ac:dyDescent="0.25">
      <c r="A252" s="85">
        <v>23410</v>
      </c>
      <c r="B252" s="85" t="s">
        <v>1809</v>
      </c>
      <c r="C252" s="85" t="s">
        <v>357</v>
      </c>
      <c r="D252" s="85" t="s">
        <v>208</v>
      </c>
      <c r="E252" s="85"/>
      <c r="F252" s="85" t="s">
        <v>1062</v>
      </c>
      <c r="G252" s="85" t="s">
        <v>1016</v>
      </c>
      <c r="H252" s="85" t="s">
        <v>170</v>
      </c>
      <c r="I252" s="86">
        <v>261</v>
      </c>
      <c r="J252" s="86">
        <v>261</v>
      </c>
      <c r="K252" s="87">
        <v>1</v>
      </c>
      <c r="L252" s="87">
        <v>1</v>
      </c>
      <c r="M252" s="88">
        <v>1</v>
      </c>
      <c r="N252" s="89"/>
      <c r="O252" s="87"/>
      <c r="P252" s="87"/>
      <c r="Q252" s="87"/>
      <c r="R252" s="87"/>
      <c r="S252" s="87">
        <v>1</v>
      </c>
      <c r="T252" s="87"/>
      <c r="U252" s="87">
        <v>1</v>
      </c>
      <c r="V252" s="90" t="s">
        <v>1810</v>
      </c>
    </row>
    <row r="253" ht="15" customHeight="1" spans="1:23" x14ac:dyDescent="0.25">
      <c r="A253" s="85">
        <v>23629</v>
      </c>
      <c r="B253" s="85" t="s">
        <v>1811</v>
      </c>
      <c r="C253" s="85" t="s">
        <v>357</v>
      </c>
      <c r="D253" s="85" t="s">
        <v>208</v>
      </c>
      <c r="E253" s="85"/>
      <c r="F253" s="85" t="s">
        <v>155</v>
      </c>
      <c r="G253" s="85"/>
      <c r="H253" s="85"/>
      <c r="I253" s="86"/>
      <c r="J253" s="86"/>
      <c r="K253" s="87"/>
      <c r="L253" s="87"/>
      <c r="M253" s="88"/>
      <c r="N253" s="89"/>
      <c r="O253" s="87"/>
      <c r="P253" s="87"/>
      <c r="Q253" s="87"/>
      <c r="R253" s="87"/>
      <c r="S253" s="87">
        <v>1</v>
      </c>
      <c r="T253" s="87">
        <v>1</v>
      </c>
      <c r="U253" s="87">
        <v>1</v>
      </c>
      <c r="V253" s="90" t="s">
        <v>1573</v>
      </c>
    </row>
    <row r="254" ht="15" customHeight="1" spans="1:23" x14ac:dyDescent="0.25">
      <c r="A254" s="85">
        <v>23629</v>
      </c>
      <c r="B254" s="85" t="s">
        <v>1811</v>
      </c>
      <c r="C254" s="85" t="s">
        <v>357</v>
      </c>
      <c r="D254" s="85" t="s">
        <v>208</v>
      </c>
      <c r="E254" s="85"/>
      <c r="F254" s="85" t="s">
        <v>1062</v>
      </c>
      <c r="G254" s="85" t="s">
        <v>1016</v>
      </c>
      <c r="H254" s="85" t="s">
        <v>170</v>
      </c>
      <c r="I254" s="86">
        <v>261</v>
      </c>
      <c r="J254" s="86">
        <v>261</v>
      </c>
      <c r="K254" s="87">
        <v>1</v>
      </c>
      <c r="L254" s="87">
        <v>1</v>
      </c>
      <c r="M254" s="88">
        <v>1</v>
      </c>
      <c r="N254" s="89"/>
      <c r="O254" s="87"/>
      <c r="P254" s="87"/>
      <c r="Q254" s="87"/>
      <c r="R254" s="87"/>
      <c r="S254" s="87">
        <v>1</v>
      </c>
      <c r="T254" s="87"/>
      <c r="U254" s="87">
        <v>1</v>
      </c>
      <c r="V254" s="90" t="s">
        <v>1573</v>
      </c>
    </row>
    <row r="255" ht="15" customHeight="1" spans="1:23" x14ac:dyDescent="0.25">
      <c r="A255" s="85">
        <v>24172</v>
      </c>
      <c r="B255" s="85" t="s">
        <v>1812</v>
      </c>
      <c r="C255" s="85" t="s">
        <v>357</v>
      </c>
      <c r="D255" s="85" t="s">
        <v>578</v>
      </c>
      <c r="E255" s="85"/>
      <c r="F255" s="85" t="s">
        <v>155</v>
      </c>
      <c r="G255" s="85"/>
      <c r="H255" s="85"/>
      <c r="I255" s="86"/>
      <c r="J255" s="86"/>
      <c r="K255" s="87"/>
      <c r="L255" s="87"/>
      <c r="M255" s="88"/>
      <c r="N255" s="89"/>
      <c r="O255" s="87"/>
      <c r="P255" s="87"/>
      <c r="Q255" s="87"/>
      <c r="R255" s="87"/>
      <c r="S255" s="87">
        <v>1</v>
      </c>
      <c r="T255" s="87">
        <v>1</v>
      </c>
      <c r="U255" s="87">
        <v>1</v>
      </c>
      <c r="V255" s="90" t="s">
        <v>1813</v>
      </c>
    </row>
    <row r="256" ht="15" customHeight="1" spans="1:23" x14ac:dyDescent="0.25">
      <c r="A256" s="85">
        <v>24172</v>
      </c>
      <c r="B256" s="85" t="s">
        <v>1812</v>
      </c>
      <c r="C256" s="85" t="s">
        <v>357</v>
      </c>
      <c r="D256" s="85" t="s">
        <v>578</v>
      </c>
      <c r="E256" s="85"/>
      <c r="F256" s="85" t="s">
        <v>1062</v>
      </c>
      <c r="G256" s="85" t="s">
        <v>169</v>
      </c>
      <c r="H256" s="85" t="s">
        <v>170</v>
      </c>
      <c r="I256" s="86">
        <v>261</v>
      </c>
      <c r="J256" s="86">
        <v>88</v>
      </c>
      <c r="K256" s="87">
        <v>0.3371647509578544</v>
      </c>
      <c r="L256" s="87">
        <v>1</v>
      </c>
      <c r="M256" s="88">
        <v>0.3371647509578544</v>
      </c>
      <c r="N256" s="89"/>
      <c r="O256" s="87"/>
      <c r="P256" s="87"/>
      <c r="Q256" s="87"/>
      <c r="R256" s="87"/>
      <c r="S256" s="87">
        <v>0.3371647509578544</v>
      </c>
      <c r="T256" s="87"/>
      <c r="U256" s="87">
        <v>0.3371647509578544</v>
      </c>
      <c r="V256" s="90" t="s">
        <v>1814</v>
      </c>
    </row>
    <row r="257" ht="15" customHeight="1" spans="1:23" x14ac:dyDescent="0.25">
      <c r="A257" s="85">
        <v>24172</v>
      </c>
      <c r="B257" s="85" t="s">
        <v>1812</v>
      </c>
      <c r="C257" s="85" t="s">
        <v>357</v>
      </c>
      <c r="D257" s="85" t="s">
        <v>578</v>
      </c>
      <c r="E257" s="85"/>
      <c r="F257" s="85" t="s">
        <v>1062</v>
      </c>
      <c r="G257" s="85" t="s">
        <v>1016</v>
      </c>
      <c r="H257" s="85" t="s">
        <v>912</v>
      </c>
      <c r="I257" s="86">
        <v>261</v>
      </c>
      <c r="J257" s="86">
        <v>173</v>
      </c>
      <c r="K257" s="87">
        <v>0.6628352490421456</v>
      </c>
      <c r="L257" s="87">
        <v>1</v>
      </c>
      <c r="M257" s="88">
        <v>0.6628352490421456</v>
      </c>
      <c r="N257" s="89"/>
      <c r="O257" s="87"/>
      <c r="P257" s="87"/>
      <c r="Q257" s="87"/>
      <c r="R257" s="87"/>
      <c r="S257" s="87">
        <v>0.6628352490421456</v>
      </c>
      <c r="T257" s="87"/>
      <c r="U257" s="87">
        <v>0.6628352490421456</v>
      </c>
      <c r="V257" s="90" t="s">
        <v>1815</v>
      </c>
    </row>
    <row r="258" ht="15" customHeight="1" spans="1:23" x14ac:dyDescent="0.25">
      <c r="A258" s="85">
        <v>24553</v>
      </c>
      <c r="B258" s="85" t="s">
        <v>1816</v>
      </c>
      <c r="C258" s="85" t="s">
        <v>357</v>
      </c>
      <c r="D258" s="85" t="s">
        <v>208</v>
      </c>
      <c r="E258" s="85"/>
      <c r="F258" s="85" t="s">
        <v>155</v>
      </c>
      <c r="G258" s="85"/>
      <c r="H258" s="85"/>
      <c r="I258" s="86"/>
      <c r="J258" s="86"/>
      <c r="K258" s="87"/>
      <c r="L258" s="87"/>
      <c r="M258" s="88"/>
      <c r="N258" s="89"/>
      <c r="O258" s="87"/>
      <c r="P258" s="87"/>
      <c r="Q258" s="87"/>
      <c r="R258" s="87"/>
      <c r="S258" s="87">
        <v>0.8</v>
      </c>
      <c r="T258" s="87">
        <v>0.8</v>
      </c>
      <c r="U258" s="87">
        <v>0.08320000000000001</v>
      </c>
      <c r="V258" s="90" t="s">
        <v>1817</v>
      </c>
    </row>
    <row r="259" ht="15" customHeight="1" spans="1:23" x14ac:dyDescent="0.25">
      <c r="A259" s="85">
        <v>24553</v>
      </c>
      <c r="B259" s="85" t="s">
        <v>1816</v>
      </c>
      <c r="C259" s="85" t="s">
        <v>357</v>
      </c>
      <c r="D259" s="85" t="s">
        <v>208</v>
      </c>
      <c r="E259" s="85"/>
      <c r="F259" s="85" t="s">
        <v>1062</v>
      </c>
      <c r="G259" s="85" t="s">
        <v>1016</v>
      </c>
      <c r="H259" s="85" t="s">
        <v>170</v>
      </c>
      <c r="I259" s="86">
        <v>261</v>
      </c>
      <c r="J259" s="86">
        <v>261</v>
      </c>
      <c r="K259" s="87">
        <v>1</v>
      </c>
      <c r="L259" s="87">
        <v>0.8</v>
      </c>
      <c r="M259" s="88">
        <v>0.8</v>
      </c>
      <c r="N259" s="89"/>
      <c r="O259" s="87"/>
      <c r="P259" s="87"/>
      <c r="Q259" s="87"/>
      <c r="R259" s="87"/>
      <c r="S259" s="87">
        <v>0.8</v>
      </c>
      <c r="T259" s="87"/>
      <c r="U259" s="87">
        <v>0.08320000000000001</v>
      </c>
      <c r="V259" s="90" t="s">
        <v>1818</v>
      </c>
    </row>
    <row r="260" ht="15" customHeight="1" spans="1:23" x14ac:dyDescent="0.25">
      <c r="A260" s="85">
        <v>24600</v>
      </c>
      <c r="B260" s="85" t="s">
        <v>1819</v>
      </c>
      <c r="C260" s="85" t="s">
        <v>161</v>
      </c>
      <c r="D260" s="85" t="s">
        <v>176</v>
      </c>
      <c r="E260" s="85" t="s">
        <v>169</v>
      </c>
      <c r="F260" s="85" t="s">
        <v>155</v>
      </c>
      <c r="G260" s="85"/>
      <c r="H260" s="85"/>
      <c r="I260" s="86"/>
      <c r="J260" s="86"/>
      <c r="K260" s="87"/>
      <c r="L260" s="87"/>
      <c r="M260" s="88"/>
      <c r="N260" s="89"/>
      <c r="O260" s="87"/>
      <c r="P260" s="87"/>
      <c r="Q260" s="87"/>
      <c r="R260" s="87"/>
      <c r="S260" s="87">
        <v>0.6666666666666666</v>
      </c>
      <c r="T260" s="87">
        <v>0.6666666666666666</v>
      </c>
      <c r="U260" s="87">
        <v>0.6666666666666667</v>
      </c>
      <c r="V260" s="90" t="s">
        <v>1820</v>
      </c>
    </row>
    <row r="261" ht="15" customHeight="1" spans="1:23" x14ac:dyDescent="0.25">
      <c r="A261" s="85">
        <v>24600</v>
      </c>
      <c r="B261" s="85" t="s">
        <v>1819</v>
      </c>
      <c r="C261" s="85" t="s">
        <v>161</v>
      </c>
      <c r="D261" s="85" t="s">
        <v>176</v>
      </c>
      <c r="E261" s="85" t="s">
        <v>169</v>
      </c>
      <c r="F261" s="85" t="s">
        <v>1062</v>
      </c>
      <c r="G261" s="85" t="s">
        <v>1016</v>
      </c>
      <c r="H261" s="85" t="s">
        <v>169</v>
      </c>
      <c r="I261" s="86">
        <v>261</v>
      </c>
      <c r="J261" s="86">
        <v>174</v>
      </c>
      <c r="K261" s="87">
        <v>0.6666666666666666</v>
      </c>
      <c r="L261" s="87">
        <v>1</v>
      </c>
      <c r="M261" s="88">
        <v>0.6666666666666666</v>
      </c>
      <c r="N261" s="89"/>
      <c r="O261" s="87"/>
      <c r="P261" s="87"/>
      <c r="Q261" s="87"/>
      <c r="R261" s="87"/>
      <c r="S261" s="87">
        <v>0.6666666666666666</v>
      </c>
      <c r="T261" s="87"/>
      <c r="U261" s="87">
        <v>0.6666666666666667</v>
      </c>
      <c r="V261" s="90" t="s">
        <v>1821</v>
      </c>
    </row>
    <row r="262" ht="15" customHeight="1" spans="1:23" x14ac:dyDescent="0.25">
      <c r="A262" s="85">
        <v>24888</v>
      </c>
      <c r="B262" s="85" t="s">
        <v>1822</v>
      </c>
      <c r="C262" s="85" t="s">
        <v>161</v>
      </c>
      <c r="D262" s="85" t="s">
        <v>339</v>
      </c>
      <c r="E262" s="85"/>
      <c r="F262" s="85" t="s">
        <v>155</v>
      </c>
      <c r="G262" s="85"/>
      <c r="H262" s="85"/>
      <c r="I262" s="86"/>
      <c r="J262" s="86"/>
      <c r="K262" s="87"/>
      <c r="L262" s="87"/>
      <c r="M262" s="88"/>
      <c r="N262" s="89"/>
      <c r="O262" s="87"/>
      <c r="P262" s="87"/>
      <c r="Q262" s="87"/>
      <c r="R262" s="87"/>
      <c r="S262" s="87">
        <v>1</v>
      </c>
      <c r="T262" s="87">
        <v>1</v>
      </c>
      <c r="U262" s="87">
        <v>1</v>
      </c>
      <c r="V262" s="90" t="s">
        <v>1823</v>
      </c>
    </row>
    <row r="263" ht="15" customHeight="1" spans="1:23" x14ac:dyDescent="0.25">
      <c r="A263" s="85">
        <v>24888</v>
      </c>
      <c r="B263" s="85" t="s">
        <v>1822</v>
      </c>
      <c r="C263" s="85" t="s">
        <v>161</v>
      </c>
      <c r="D263" s="85" t="s">
        <v>339</v>
      </c>
      <c r="E263" s="85"/>
      <c r="F263" s="85" t="s">
        <v>1062</v>
      </c>
      <c r="G263" s="85" t="s">
        <v>1016</v>
      </c>
      <c r="H263" s="85" t="s">
        <v>170</v>
      </c>
      <c r="I263" s="86">
        <v>261</v>
      </c>
      <c r="J263" s="86">
        <v>261</v>
      </c>
      <c r="K263" s="87">
        <v>1</v>
      </c>
      <c r="L263" s="87">
        <v>1</v>
      </c>
      <c r="M263" s="88">
        <v>1</v>
      </c>
      <c r="N263" s="89"/>
      <c r="O263" s="87"/>
      <c r="P263" s="87"/>
      <c r="Q263" s="87"/>
      <c r="R263" s="87"/>
      <c r="S263" s="87">
        <v>1</v>
      </c>
      <c r="T263" s="87"/>
      <c r="U263" s="87">
        <v>1</v>
      </c>
      <c r="V263" s="90" t="s">
        <v>1824</v>
      </c>
    </row>
    <row r="264" ht="15" customHeight="1" spans="1:23" x14ac:dyDescent="0.25">
      <c r="A264" s="85">
        <v>25193</v>
      </c>
      <c r="B264" s="85" t="s">
        <v>1825</v>
      </c>
      <c r="C264" s="85" t="s">
        <v>357</v>
      </c>
      <c r="D264" s="85" t="s">
        <v>624</v>
      </c>
      <c r="E264" s="85" t="s">
        <v>629</v>
      </c>
      <c r="F264" s="85" t="s">
        <v>155</v>
      </c>
      <c r="G264" s="85"/>
      <c r="H264" s="85"/>
      <c r="I264" s="86"/>
      <c r="J264" s="86"/>
      <c r="K264" s="87"/>
      <c r="L264" s="87"/>
      <c r="M264" s="88"/>
      <c r="N264" s="89"/>
      <c r="O264" s="87"/>
      <c r="P264" s="87"/>
      <c r="Q264" s="87"/>
      <c r="R264" s="87"/>
      <c r="S264" s="87">
        <v>0.4904214559386973</v>
      </c>
      <c r="T264" s="87">
        <v>0.4904214559386973</v>
      </c>
      <c r="U264" s="87">
        <v>0.4904214559386973</v>
      </c>
      <c r="V264" s="90" t="s">
        <v>1826</v>
      </c>
    </row>
    <row r="265" ht="15" customHeight="1" spans="1:23" x14ac:dyDescent="0.25">
      <c r="A265" s="85">
        <v>25193</v>
      </c>
      <c r="B265" s="85" t="s">
        <v>1825</v>
      </c>
      <c r="C265" s="85" t="s">
        <v>357</v>
      </c>
      <c r="D265" s="85" t="s">
        <v>624</v>
      </c>
      <c r="E265" s="85" t="s">
        <v>629</v>
      </c>
      <c r="F265" s="85" t="s">
        <v>1062</v>
      </c>
      <c r="G265" s="85" t="s">
        <v>848</v>
      </c>
      <c r="H265" s="85" t="s">
        <v>629</v>
      </c>
      <c r="I265" s="86">
        <v>261</v>
      </c>
      <c r="J265" s="86">
        <v>85</v>
      </c>
      <c r="K265" s="87">
        <v>0.32567049808429116</v>
      </c>
      <c r="L265" s="87">
        <v>1</v>
      </c>
      <c r="M265" s="88">
        <v>0.32567049808429116</v>
      </c>
      <c r="N265" s="89"/>
      <c r="O265" s="87"/>
      <c r="P265" s="87"/>
      <c r="Q265" s="87"/>
      <c r="R265" s="87"/>
      <c r="S265" s="87">
        <v>0.32567049808429116</v>
      </c>
      <c r="T265" s="87"/>
      <c r="U265" s="87">
        <v>0.32567049808429116</v>
      </c>
      <c r="V265" s="90" t="s">
        <v>1827</v>
      </c>
    </row>
    <row r="266" ht="15" customHeight="1" spans="1:23" x14ac:dyDescent="0.25">
      <c r="A266" s="85">
        <v>25193</v>
      </c>
      <c r="B266" s="85" t="s">
        <v>1825</v>
      </c>
      <c r="C266" s="85" t="s">
        <v>357</v>
      </c>
      <c r="D266" s="85" t="s">
        <v>624</v>
      </c>
      <c r="E266" s="85" t="s">
        <v>629</v>
      </c>
      <c r="F266" s="85" t="s">
        <v>1062</v>
      </c>
      <c r="G266" s="85" t="s">
        <v>1016</v>
      </c>
      <c r="H266" s="85" t="s">
        <v>602</v>
      </c>
      <c r="I266" s="86">
        <v>261</v>
      </c>
      <c r="J266" s="86">
        <v>43</v>
      </c>
      <c r="K266" s="87">
        <v>0.16475095785440613</v>
      </c>
      <c r="L266" s="87">
        <v>1</v>
      </c>
      <c r="M266" s="88">
        <v>0.16475095785440613</v>
      </c>
      <c r="N266" s="89"/>
      <c r="O266" s="87"/>
      <c r="P266" s="87"/>
      <c r="Q266" s="87"/>
      <c r="R266" s="87"/>
      <c r="S266" s="87">
        <v>0.16475095785440613</v>
      </c>
      <c r="T266" s="87"/>
      <c r="U266" s="87">
        <v>0.16475095785440613</v>
      </c>
      <c r="V266" s="90" t="s">
        <v>1828</v>
      </c>
    </row>
    <row r="267" ht="15" customHeight="1" spans="1:23" x14ac:dyDescent="0.25">
      <c r="A267" s="85">
        <v>25281</v>
      </c>
      <c r="B267" s="85" t="s">
        <v>1829</v>
      </c>
      <c r="C267" s="85" t="s">
        <v>357</v>
      </c>
      <c r="D267" s="85" t="s">
        <v>403</v>
      </c>
      <c r="E267" s="85"/>
      <c r="F267" s="85" t="s">
        <v>155</v>
      </c>
      <c r="G267" s="85"/>
      <c r="H267" s="85"/>
      <c r="I267" s="86"/>
      <c r="J267" s="86"/>
      <c r="K267" s="87"/>
      <c r="L267" s="87"/>
      <c r="M267" s="88"/>
      <c r="N267" s="89"/>
      <c r="O267" s="87"/>
      <c r="P267" s="87"/>
      <c r="Q267" s="87"/>
      <c r="R267" s="87"/>
      <c r="S267" s="87">
        <v>1</v>
      </c>
      <c r="T267" s="87">
        <v>1</v>
      </c>
      <c r="U267" s="87">
        <v>1</v>
      </c>
      <c r="V267" s="90" t="s">
        <v>1830</v>
      </c>
    </row>
    <row r="268" ht="15" customHeight="1" spans="1:23" x14ac:dyDescent="0.25">
      <c r="A268" s="85">
        <v>25281</v>
      </c>
      <c r="B268" s="85" t="s">
        <v>1829</v>
      </c>
      <c r="C268" s="85" t="s">
        <v>357</v>
      </c>
      <c r="D268" s="85" t="s">
        <v>403</v>
      </c>
      <c r="E268" s="85"/>
      <c r="F268" s="85" t="s">
        <v>1062</v>
      </c>
      <c r="G268" s="85" t="s">
        <v>1016</v>
      </c>
      <c r="H268" s="85" t="s">
        <v>170</v>
      </c>
      <c r="I268" s="86">
        <v>261</v>
      </c>
      <c r="J268" s="86">
        <v>261</v>
      </c>
      <c r="K268" s="87">
        <v>1</v>
      </c>
      <c r="L268" s="87">
        <v>1</v>
      </c>
      <c r="M268" s="88">
        <v>1</v>
      </c>
      <c r="N268" s="89"/>
      <c r="O268" s="87"/>
      <c r="P268" s="87"/>
      <c r="Q268" s="87"/>
      <c r="R268" s="87"/>
      <c r="S268" s="87">
        <v>1</v>
      </c>
      <c r="T268" s="87"/>
      <c r="U268" s="87">
        <v>1</v>
      </c>
      <c r="V268" s="90" t="s">
        <v>1830</v>
      </c>
    </row>
    <row r="269" ht="15" customHeight="1" spans="1:23" x14ac:dyDescent="0.25">
      <c r="A269" s="85">
        <v>25627</v>
      </c>
      <c r="B269" s="85" t="s">
        <v>1831</v>
      </c>
      <c r="C269" s="85" t="s">
        <v>942</v>
      </c>
      <c r="D269" s="85" t="s">
        <v>558</v>
      </c>
      <c r="E269" s="85"/>
      <c r="F269" s="85" t="s">
        <v>155</v>
      </c>
      <c r="G269" s="85"/>
      <c r="H269" s="85"/>
      <c r="I269" s="86"/>
      <c r="J269" s="86"/>
      <c r="K269" s="87"/>
      <c r="L269" s="87"/>
      <c r="M269" s="88"/>
      <c r="N269" s="89"/>
      <c r="O269" s="87"/>
      <c r="P269" s="87"/>
      <c r="Q269" s="87"/>
      <c r="R269" s="87"/>
      <c r="S269" s="87">
        <v>1</v>
      </c>
      <c r="T269" s="87">
        <v>1</v>
      </c>
      <c r="U269" s="87">
        <v>1</v>
      </c>
      <c r="V269" s="90" t="s">
        <v>1599</v>
      </c>
    </row>
    <row r="270" ht="15" customHeight="1" spans="1:23" x14ac:dyDescent="0.25">
      <c r="A270" s="85">
        <v>25627</v>
      </c>
      <c r="B270" s="85" t="s">
        <v>1831</v>
      </c>
      <c r="C270" s="85" t="s">
        <v>942</v>
      </c>
      <c r="D270" s="85" t="s">
        <v>558</v>
      </c>
      <c r="E270" s="85"/>
      <c r="F270" s="85" t="s">
        <v>1062</v>
      </c>
      <c r="G270" s="85" t="s">
        <v>1016</v>
      </c>
      <c r="H270" s="85" t="s">
        <v>170</v>
      </c>
      <c r="I270" s="86">
        <v>261</v>
      </c>
      <c r="J270" s="86">
        <v>261</v>
      </c>
      <c r="K270" s="87">
        <v>1</v>
      </c>
      <c r="L270" s="87">
        <v>1</v>
      </c>
      <c r="M270" s="88">
        <v>1</v>
      </c>
      <c r="N270" s="89"/>
      <c r="O270" s="87"/>
      <c r="P270" s="87"/>
      <c r="Q270" s="87"/>
      <c r="R270" s="87"/>
      <c r="S270" s="87">
        <v>1</v>
      </c>
      <c r="T270" s="87"/>
      <c r="U270" s="87">
        <v>1</v>
      </c>
      <c r="V270" s="90" t="s">
        <v>1599</v>
      </c>
    </row>
    <row r="271" ht="15" customHeight="1" spans="1:23" x14ac:dyDescent="0.25">
      <c r="A271" s="85">
        <v>26107</v>
      </c>
      <c r="B271" s="85" t="s">
        <v>1832</v>
      </c>
      <c r="C271" s="85" t="s">
        <v>357</v>
      </c>
      <c r="D271" s="85" t="s">
        <v>573</v>
      </c>
      <c r="E271" s="85"/>
      <c r="F271" s="85" t="s">
        <v>155</v>
      </c>
      <c r="G271" s="85"/>
      <c r="H271" s="85"/>
      <c r="I271" s="86"/>
      <c r="J271" s="86"/>
      <c r="K271" s="87"/>
      <c r="L271" s="87"/>
      <c r="M271" s="88"/>
      <c r="N271" s="89"/>
      <c r="O271" s="87"/>
      <c r="P271" s="87"/>
      <c r="Q271" s="87"/>
      <c r="R271" s="87"/>
      <c r="S271" s="87">
        <v>1</v>
      </c>
      <c r="T271" s="87">
        <v>1</v>
      </c>
      <c r="U271" s="87">
        <v>1</v>
      </c>
      <c r="V271" s="90" t="s">
        <v>1833</v>
      </c>
    </row>
    <row r="272" ht="15" customHeight="1" spans="1:23" x14ac:dyDescent="0.25">
      <c r="A272" s="85">
        <v>26107</v>
      </c>
      <c r="B272" s="85" t="s">
        <v>1832</v>
      </c>
      <c r="C272" s="85" t="s">
        <v>357</v>
      </c>
      <c r="D272" s="85" t="s">
        <v>573</v>
      </c>
      <c r="E272" s="85"/>
      <c r="F272" s="85" t="s">
        <v>1062</v>
      </c>
      <c r="G272" s="85" t="s">
        <v>1654</v>
      </c>
      <c r="H272" s="85" t="s">
        <v>170</v>
      </c>
      <c r="I272" s="86">
        <v>261</v>
      </c>
      <c r="J272" s="86">
        <v>218</v>
      </c>
      <c r="K272" s="87">
        <v>0.8352490421455939</v>
      </c>
      <c r="L272" s="87">
        <v>1</v>
      </c>
      <c r="M272" s="88">
        <v>0.8352490421455939</v>
      </c>
      <c r="N272" s="89"/>
      <c r="O272" s="87"/>
      <c r="P272" s="87"/>
      <c r="Q272" s="87"/>
      <c r="R272" s="87"/>
      <c r="S272" s="87">
        <v>0.8352490421455939</v>
      </c>
      <c r="T272" s="87"/>
      <c r="U272" s="87">
        <v>0.8352490421455939</v>
      </c>
      <c r="V272" s="90" t="s">
        <v>1834</v>
      </c>
    </row>
    <row r="273" ht="15" customHeight="1" spans="1:23" x14ac:dyDescent="0.25">
      <c r="A273" s="85">
        <v>26107</v>
      </c>
      <c r="B273" s="85" t="s">
        <v>1832</v>
      </c>
      <c r="C273" s="85" t="s">
        <v>357</v>
      </c>
      <c r="D273" s="85" t="s">
        <v>573</v>
      </c>
      <c r="E273" s="85"/>
      <c r="F273" s="85" t="s">
        <v>1062</v>
      </c>
      <c r="G273" s="85" t="s">
        <v>1016</v>
      </c>
      <c r="H273" s="85" t="s">
        <v>759</v>
      </c>
      <c r="I273" s="86">
        <v>261</v>
      </c>
      <c r="J273" s="86">
        <v>43</v>
      </c>
      <c r="K273" s="87">
        <v>0.16475095785440613</v>
      </c>
      <c r="L273" s="87">
        <v>1</v>
      </c>
      <c r="M273" s="88">
        <v>0.16475095785440613</v>
      </c>
      <c r="N273" s="89"/>
      <c r="O273" s="87"/>
      <c r="P273" s="87"/>
      <c r="Q273" s="87"/>
      <c r="R273" s="87"/>
      <c r="S273" s="87">
        <v>0.16475095785440613</v>
      </c>
      <c r="T273" s="87"/>
      <c r="U273" s="87">
        <v>0.16475095785440613</v>
      </c>
      <c r="V273" s="90" t="s">
        <v>1835</v>
      </c>
    </row>
    <row r="274" ht="15" customHeight="1" spans="1:23" x14ac:dyDescent="0.25">
      <c r="A274" s="85">
        <v>26962</v>
      </c>
      <c r="B274" s="85" t="s">
        <v>1836</v>
      </c>
      <c r="C274" s="85" t="s">
        <v>357</v>
      </c>
      <c r="D274" s="85" t="s">
        <v>743</v>
      </c>
      <c r="E274" s="85"/>
      <c r="F274" s="85" t="s">
        <v>155</v>
      </c>
      <c r="G274" s="85"/>
      <c r="H274" s="85"/>
      <c r="I274" s="86"/>
      <c r="J274" s="86"/>
      <c r="K274" s="87"/>
      <c r="L274" s="87"/>
      <c r="M274" s="88"/>
      <c r="N274" s="89"/>
      <c r="O274" s="87"/>
      <c r="P274" s="87"/>
      <c r="Q274" s="87">
        <v>0.06896551724137931</v>
      </c>
      <c r="R274" s="87"/>
      <c r="S274" s="87">
        <v>1</v>
      </c>
      <c r="T274" s="87">
        <v>1</v>
      </c>
      <c r="U274" s="87">
        <v>1</v>
      </c>
      <c r="V274" s="90" t="s">
        <v>1837</v>
      </c>
    </row>
    <row r="275" ht="15" customHeight="1" spans="1:23" x14ac:dyDescent="0.25">
      <c r="A275" s="85">
        <v>26962</v>
      </c>
      <c r="B275" s="85" t="s">
        <v>1836</v>
      </c>
      <c r="C275" s="85" t="s">
        <v>357</v>
      </c>
      <c r="D275" s="85" t="s">
        <v>743</v>
      </c>
      <c r="E275" s="85"/>
      <c r="F275" s="85" t="s">
        <v>1062</v>
      </c>
      <c r="G275" s="85" t="s">
        <v>1838</v>
      </c>
      <c r="H275" s="85" t="s">
        <v>170</v>
      </c>
      <c r="I275" s="86">
        <v>261</v>
      </c>
      <c r="J275" s="86">
        <v>18</v>
      </c>
      <c r="K275" s="87">
        <v>0.06896551724137931</v>
      </c>
      <c r="L275" s="87">
        <v>1</v>
      </c>
      <c r="M275" s="88">
        <v>0.06896551724137931</v>
      </c>
      <c r="N275" s="89">
        <v>1</v>
      </c>
      <c r="O275" s="87">
        <v>0.06896551724137931</v>
      </c>
      <c r="P275" s="87"/>
      <c r="Q275" s="87">
        <v>0.06896551724137931</v>
      </c>
      <c r="R275" s="87"/>
      <c r="S275" s="87">
        <v>0.06896551724137931</v>
      </c>
      <c r="T275" s="87"/>
      <c r="U275" s="87">
        <v>0.06896551724137931</v>
      </c>
      <c r="V275" s="90" t="s">
        <v>1839</v>
      </c>
    </row>
    <row r="276" ht="15" customHeight="1" spans="1:23" x14ac:dyDescent="0.25">
      <c r="A276" s="85">
        <v>26962</v>
      </c>
      <c r="B276" s="85" t="s">
        <v>1836</v>
      </c>
      <c r="C276" s="85" t="s">
        <v>357</v>
      </c>
      <c r="D276" s="85" t="s">
        <v>743</v>
      </c>
      <c r="E276" s="85"/>
      <c r="F276" s="85" t="s">
        <v>1062</v>
      </c>
      <c r="G276" s="85" t="s">
        <v>1016</v>
      </c>
      <c r="H276" s="85" t="s">
        <v>1840</v>
      </c>
      <c r="I276" s="86">
        <v>261</v>
      </c>
      <c r="J276" s="86">
        <v>243</v>
      </c>
      <c r="K276" s="87">
        <v>0.9310344827586207</v>
      </c>
      <c r="L276" s="87">
        <v>1</v>
      </c>
      <c r="M276" s="88">
        <v>0.9310344827586207</v>
      </c>
      <c r="N276" s="89"/>
      <c r="O276" s="87"/>
      <c r="P276" s="87"/>
      <c r="Q276" s="87"/>
      <c r="R276" s="87"/>
      <c r="S276" s="87">
        <v>0.9310344827586207</v>
      </c>
      <c r="T276" s="87"/>
      <c r="U276" s="87">
        <v>0.9310344827586207</v>
      </c>
      <c r="V276" s="90" t="s">
        <v>1841</v>
      </c>
    </row>
    <row r="277" ht="15" customHeight="1" spans="1:23" x14ac:dyDescent="0.25">
      <c r="A277" s="85">
        <v>27096</v>
      </c>
      <c r="B277" s="85" t="s">
        <v>1842</v>
      </c>
      <c r="C277" s="85" t="s">
        <v>942</v>
      </c>
      <c r="D277" s="85" t="s">
        <v>377</v>
      </c>
      <c r="E277" s="85"/>
      <c r="F277" s="85" t="s">
        <v>155</v>
      </c>
      <c r="G277" s="85"/>
      <c r="H277" s="85"/>
      <c r="I277" s="86"/>
      <c r="J277" s="86"/>
      <c r="K277" s="87"/>
      <c r="L277" s="87"/>
      <c r="M277" s="88"/>
      <c r="N277" s="89"/>
      <c r="O277" s="87"/>
      <c r="P277" s="87"/>
      <c r="Q277" s="87"/>
      <c r="R277" s="87"/>
      <c r="S277" s="87">
        <v>1</v>
      </c>
      <c r="T277" s="87">
        <v>1</v>
      </c>
      <c r="U277" s="87">
        <v>1</v>
      </c>
      <c r="V277" s="90" t="s">
        <v>1843</v>
      </c>
    </row>
    <row r="278" ht="15" customHeight="1" spans="1:23" x14ac:dyDescent="0.25">
      <c r="A278" s="85">
        <v>27096</v>
      </c>
      <c r="B278" s="85" t="s">
        <v>1842</v>
      </c>
      <c r="C278" s="85" t="s">
        <v>942</v>
      </c>
      <c r="D278" s="85" t="s">
        <v>377</v>
      </c>
      <c r="E278" s="85"/>
      <c r="F278" s="85" t="s">
        <v>1062</v>
      </c>
      <c r="G278" s="85" t="s">
        <v>1016</v>
      </c>
      <c r="H278" s="85" t="s">
        <v>170</v>
      </c>
      <c r="I278" s="86">
        <v>261</v>
      </c>
      <c r="J278" s="86">
        <v>261</v>
      </c>
      <c r="K278" s="87">
        <v>1</v>
      </c>
      <c r="L278" s="87">
        <v>1</v>
      </c>
      <c r="M278" s="88">
        <v>1</v>
      </c>
      <c r="N278" s="89"/>
      <c r="O278" s="87"/>
      <c r="P278" s="87"/>
      <c r="Q278" s="87"/>
      <c r="R278" s="87"/>
      <c r="S278" s="87">
        <v>1</v>
      </c>
      <c r="T278" s="87"/>
      <c r="U278" s="87">
        <v>1</v>
      </c>
      <c r="V278" s="90" t="s">
        <v>1844</v>
      </c>
    </row>
    <row r="279" ht="15" customHeight="1" spans="1:23" x14ac:dyDescent="0.25">
      <c r="A279" s="85">
        <v>27372</v>
      </c>
      <c r="B279" s="85" t="s">
        <v>1845</v>
      </c>
      <c r="C279" s="85" t="s">
        <v>357</v>
      </c>
      <c r="D279" s="85" t="s">
        <v>578</v>
      </c>
      <c r="E279" s="85"/>
      <c r="F279" s="85" t="s">
        <v>155</v>
      </c>
      <c r="G279" s="85"/>
      <c r="H279" s="85"/>
      <c r="I279" s="86"/>
      <c r="J279" s="86"/>
      <c r="K279" s="87"/>
      <c r="L279" s="87"/>
      <c r="M279" s="88"/>
      <c r="N279" s="89"/>
      <c r="O279" s="87"/>
      <c r="P279" s="87"/>
      <c r="Q279" s="87"/>
      <c r="R279" s="87"/>
      <c r="S279" s="87">
        <v>1</v>
      </c>
      <c r="T279" s="87">
        <v>1</v>
      </c>
      <c r="U279" s="87"/>
      <c r="V279" s="90" t="s">
        <v>1062</v>
      </c>
    </row>
    <row r="280" ht="15" customHeight="1" spans="1:23" x14ac:dyDescent="0.25">
      <c r="A280" s="85">
        <v>27372</v>
      </c>
      <c r="B280" s="85" t="s">
        <v>1845</v>
      </c>
      <c r="C280" s="85" t="s">
        <v>357</v>
      </c>
      <c r="D280" s="85" t="s">
        <v>578</v>
      </c>
      <c r="E280" s="85"/>
      <c r="F280" s="85" t="s">
        <v>1062</v>
      </c>
      <c r="G280" s="85" t="s">
        <v>1016</v>
      </c>
      <c r="H280" s="85" t="s">
        <v>170</v>
      </c>
      <c r="I280" s="86">
        <v>261</v>
      </c>
      <c r="J280" s="86">
        <v>261</v>
      </c>
      <c r="K280" s="87">
        <v>1</v>
      </c>
      <c r="L280" s="87">
        <v>1</v>
      </c>
      <c r="M280" s="88">
        <v>1</v>
      </c>
      <c r="N280" s="89"/>
      <c r="O280" s="87"/>
      <c r="P280" s="87"/>
      <c r="Q280" s="87"/>
      <c r="R280" s="87"/>
      <c r="S280" s="87">
        <v>1</v>
      </c>
      <c r="T280" s="87"/>
      <c r="U280" s="87">
        <v>0</v>
      </c>
      <c r="V280" s="90" t="s">
        <v>1062</v>
      </c>
    </row>
    <row r="281" ht="15" customHeight="1" spans="1:23" x14ac:dyDescent="0.25">
      <c r="A281" s="85">
        <v>27435</v>
      </c>
      <c r="B281" s="85" t="s">
        <v>1846</v>
      </c>
      <c r="C281" s="85" t="s">
        <v>161</v>
      </c>
      <c r="D281" s="85" t="s">
        <v>208</v>
      </c>
      <c r="E281" s="85"/>
      <c r="F281" s="85" t="s">
        <v>155</v>
      </c>
      <c r="G281" s="85"/>
      <c r="H281" s="85"/>
      <c r="I281" s="86"/>
      <c r="J281" s="86"/>
      <c r="K281" s="87"/>
      <c r="L281" s="87"/>
      <c r="M281" s="88"/>
      <c r="N281" s="89"/>
      <c r="O281" s="87"/>
      <c r="P281" s="87"/>
      <c r="Q281" s="87"/>
      <c r="R281" s="87"/>
      <c r="S281" s="87">
        <v>1</v>
      </c>
      <c r="T281" s="87">
        <v>1</v>
      </c>
      <c r="U281" s="87">
        <v>1</v>
      </c>
      <c r="V281" s="90" t="s">
        <v>1847</v>
      </c>
    </row>
    <row r="282" ht="15" customHeight="1" spans="1:23" x14ac:dyDescent="0.25">
      <c r="A282" s="85">
        <v>27435</v>
      </c>
      <c r="B282" s="85" t="s">
        <v>1846</v>
      </c>
      <c r="C282" s="85" t="s">
        <v>161</v>
      </c>
      <c r="D282" s="85" t="s">
        <v>208</v>
      </c>
      <c r="E282" s="85"/>
      <c r="F282" s="85" t="s">
        <v>1062</v>
      </c>
      <c r="G282" s="85" t="s">
        <v>1016</v>
      </c>
      <c r="H282" s="85" t="s">
        <v>170</v>
      </c>
      <c r="I282" s="86">
        <v>261</v>
      </c>
      <c r="J282" s="86">
        <v>261</v>
      </c>
      <c r="K282" s="87">
        <v>1</v>
      </c>
      <c r="L282" s="87">
        <v>1</v>
      </c>
      <c r="M282" s="88">
        <v>1</v>
      </c>
      <c r="N282" s="89"/>
      <c r="O282" s="87"/>
      <c r="P282" s="87"/>
      <c r="Q282" s="87"/>
      <c r="R282" s="87"/>
      <c r="S282" s="87">
        <v>1</v>
      </c>
      <c r="T282" s="87"/>
      <c r="U282" s="87">
        <v>1</v>
      </c>
      <c r="V282" s="90" t="s">
        <v>1847</v>
      </c>
    </row>
    <row r="283" ht="15" customHeight="1" spans="1:23" x14ac:dyDescent="0.25">
      <c r="A283" s="85">
        <v>27870</v>
      </c>
      <c r="B283" s="85" t="s">
        <v>1848</v>
      </c>
      <c r="C283" s="85" t="s">
        <v>357</v>
      </c>
      <c r="D283" s="85" t="s">
        <v>208</v>
      </c>
      <c r="E283" s="85" t="s">
        <v>169</v>
      </c>
      <c r="F283" s="85" t="s">
        <v>155</v>
      </c>
      <c r="G283" s="85"/>
      <c r="H283" s="85"/>
      <c r="I283" s="86"/>
      <c r="J283" s="86"/>
      <c r="K283" s="87"/>
      <c r="L283" s="87"/>
      <c r="M283" s="88"/>
      <c r="N283" s="89"/>
      <c r="O283" s="87"/>
      <c r="P283" s="87"/>
      <c r="Q283" s="87">
        <v>0.07662835249042145</v>
      </c>
      <c r="R283" s="87"/>
      <c r="S283" s="87">
        <v>0.6666666666666666</v>
      </c>
      <c r="T283" s="87">
        <v>0.6666666666666666</v>
      </c>
      <c r="U283" s="87">
        <v>0.6666666666666666</v>
      </c>
      <c r="V283" s="90" t="s">
        <v>1849</v>
      </c>
    </row>
    <row r="284" ht="15" customHeight="1" spans="1:23" x14ac:dyDescent="0.25">
      <c r="A284" s="85">
        <v>27870</v>
      </c>
      <c r="B284" s="85" t="s">
        <v>1848</v>
      </c>
      <c r="C284" s="85" t="s">
        <v>357</v>
      </c>
      <c r="D284" s="85" t="s">
        <v>208</v>
      </c>
      <c r="E284" s="85" t="s">
        <v>169</v>
      </c>
      <c r="F284" s="85" t="s">
        <v>1062</v>
      </c>
      <c r="G284" s="85" t="s">
        <v>1850</v>
      </c>
      <c r="H284" s="85" t="s">
        <v>169</v>
      </c>
      <c r="I284" s="86">
        <v>261</v>
      </c>
      <c r="J284" s="86">
        <v>106</v>
      </c>
      <c r="K284" s="87">
        <v>0.4061302681992337</v>
      </c>
      <c r="L284" s="87">
        <v>1</v>
      </c>
      <c r="M284" s="88">
        <v>0.4061302681992337</v>
      </c>
      <c r="N284" s="89"/>
      <c r="O284" s="87"/>
      <c r="P284" s="87"/>
      <c r="Q284" s="87"/>
      <c r="R284" s="87"/>
      <c r="S284" s="87">
        <v>0.4061302681992337</v>
      </c>
      <c r="T284" s="87"/>
      <c r="U284" s="87">
        <v>0.4061302681992337</v>
      </c>
      <c r="V284" s="90" t="s">
        <v>1851</v>
      </c>
    </row>
    <row r="285" ht="15" customHeight="1" spans="1:23" x14ac:dyDescent="0.25">
      <c r="A285" s="85">
        <v>27870</v>
      </c>
      <c r="B285" s="85" t="s">
        <v>1848</v>
      </c>
      <c r="C285" s="85" t="s">
        <v>357</v>
      </c>
      <c r="D285" s="85" t="s">
        <v>208</v>
      </c>
      <c r="E285" s="85" t="s">
        <v>169</v>
      </c>
      <c r="F285" s="85" t="s">
        <v>1062</v>
      </c>
      <c r="G285" s="85" t="s">
        <v>1025</v>
      </c>
      <c r="H285" s="85" t="s">
        <v>1673</v>
      </c>
      <c r="I285" s="86">
        <v>261</v>
      </c>
      <c r="J285" s="86">
        <v>5</v>
      </c>
      <c r="K285" s="87">
        <v>0.019157088122605363</v>
      </c>
      <c r="L285" s="87">
        <v>1</v>
      </c>
      <c r="M285" s="88">
        <v>0.019157088122605363</v>
      </c>
      <c r="N285" s="89">
        <v>1</v>
      </c>
      <c r="O285" s="87">
        <v>0.019157088122605363</v>
      </c>
      <c r="P285" s="87"/>
      <c r="Q285" s="87">
        <v>0.019157088122605363</v>
      </c>
      <c r="R285" s="87"/>
      <c r="S285" s="87">
        <v>0.019157088122605363</v>
      </c>
      <c r="T285" s="87"/>
      <c r="U285" s="87">
        <v>0.019157088122605363</v>
      </c>
      <c r="V285" s="90" t="s">
        <v>1852</v>
      </c>
    </row>
    <row r="286" ht="15" customHeight="1" spans="1:23" x14ac:dyDescent="0.25">
      <c r="A286" s="85">
        <v>27870</v>
      </c>
      <c r="B286" s="85" t="s">
        <v>1848</v>
      </c>
      <c r="C286" s="85" t="s">
        <v>357</v>
      </c>
      <c r="D286" s="85" t="s">
        <v>208</v>
      </c>
      <c r="E286" s="85" t="s">
        <v>169</v>
      </c>
      <c r="F286" s="85" t="s">
        <v>1062</v>
      </c>
      <c r="G286" s="85" t="s">
        <v>1853</v>
      </c>
      <c r="H286" s="85" t="s">
        <v>1647</v>
      </c>
      <c r="I286" s="86">
        <v>261</v>
      </c>
      <c r="J286" s="86">
        <v>40</v>
      </c>
      <c r="K286" s="87">
        <v>0.1532567049808429</v>
      </c>
      <c r="L286" s="87">
        <v>1</v>
      </c>
      <c r="M286" s="88">
        <v>0.1532567049808429</v>
      </c>
      <c r="N286" s="89"/>
      <c r="O286" s="87"/>
      <c r="P286" s="87"/>
      <c r="Q286" s="87"/>
      <c r="R286" s="87"/>
      <c r="S286" s="87">
        <v>0.1532567049808429</v>
      </c>
      <c r="T286" s="87"/>
      <c r="U286" s="87">
        <v>0.1532567049808429</v>
      </c>
      <c r="V286" s="90" t="s">
        <v>1854</v>
      </c>
    </row>
    <row r="287" ht="15" customHeight="1" spans="1:23" x14ac:dyDescent="0.25">
      <c r="A287" s="85">
        <v>27870</v>
      </c>
      <c r="B287" s="85" t="s">
        <v>1848</v>
      </c>
      <c r="C287" s="85" t="s">
        <v>357</v>
      </c>
      <c r="D287" s="85" t="s">
        <v>208</v>
      </c>
      <c r="E287" s="85" t="s">
        <v>169</v>
      </c>
      <c r="F287" s="85" t="s">
        <v>1062</v>
      </c>
      <c r="G287" s="85" t="s">
        <v>1662</v>
      </c>
      <c r="H287" s="85" t="s">
        <v>1855</v>
      </c>
      <c r="I287" s="86">
        <v>261</v>
      </c>
      <c r="J287" s="86">
        <v>15</v>
      </c>
      <c r="K287" s="87">
        <v>0.05747126436781609</v>
      </c>
      <c r="L287" s="87">
        <v>1</v>
      </c>
      <c r="M287" s="88">
        <v>0.05747126436781609</v>
      </c>
      <c r="N287" s="89">
        <v>1</v>
      </c>
      <c r="O287" s="87">
        <v>0.05747126436781609</v>
      </c>
      <c r="P287" s="87"/>
      <c r="Q287" s="87">
        <v>0.05747126436781609</v>
      </c>
      <c r="R287" s="87"/>
      <c r="S287" s="87">
        <v>0.05747126436781609</v>
      </c>
      <c r="T287" s="87"/>
      <c r="U287" s="87">
        <v>0.05747126436781609</v>
      </c>
      <c r="V287" s="90" t="s">
        <v>1856</v>
      </c>
    </row>
    <row r="288" ht="15" customHeight="1" spans="1:23" x14ac:dyDescent="0.25">
      <c r="A288" s="85">
        <v>27870</v>
      </c>
      <c r="B288" s="85" t="s">
        <v>1848</v>
      </c>
      <c r="C288" s="85" t="s">
        <v>357</v>
      </c>
      <c r="D288" s="85" t="s">
        <v>208</v>
      </c>
      <c r="E288" s="85" t="s">
        <v>169</v>
      </c>
      <c r="F288" s="85" t="s">
        <v>1062</v>
      </c>
      <c r="G288" s="85" t="s">
        <v>1016</v>
      </c>
      <c r="H288" s="85" t="s">
        <v>1857</v>
      </c>
      <c r="I288" s="86">
        <v>261</v>
      </c>
      <c r="J288" s="86">
        <v>8</v>
      </c>
      <c r="K288" s="87">
        <v>0.03065134099616858</v>
      </c>
      <c r="L288" s="87">
        <v>1</v>
      </c>
      <c r="M288" s="88">
        <v>0.03065134099616858</v>
      </c>
      <c r="N288" s="89"/>
      <c r="O288" s="87"/>
      <c r="P288" s="87"/>
      <c r="Q288" s="87"/>
      <c r="R288" s="87"/>
      <c r="S288" s="87">
        <v>0.03065134099616858</v>
      </c>
      <c r="T288" s="87"/>
      <c r="U288" s="87">
        <v>0.03065134099616858</v>
      </c>
      <c r="V288" s="90" t="s">
        <v>1858</v>
      </c>
    </row>
    <row r="289" ht="15" customHeight="1" spans="1:23" x14ac:dyDescent="0.25">
      <c r="A289" s="85">
        <v>28067</v>
      </c>
      <c r="B289" s="85" t="s">
        <v>1859</v>
      </c>
      <c r="C289" s="85" t="s">
        <v>161</v>
      </c>
      <c r="D289" s="85" t="s">
        <v>316</v>
      </c>
      <c r="E289" s="85"/>
      <c r="F289" s="85" t="s">
        <v>155</v>
      </c>
      <c r="G289" s="85"/>
      <c r="H289" s="85"/>
      <c r="I289" s="86"/>
      <c r="J289" s="86"/>
      <c r="K289" s="87"/>
      <c r="L289" s="87"/>
      <c r="M289" s="88"/>
      <c r="N289" s="89"/>
      <c r="O289" s="87"/>
      <c r="P289" s="87"/>
      <c r="Q289" s="87"/>
      <c r="R289" s="87"/>
      <c r="S289" s="87">
        <v>1</v>
      </c>
      <c r="T289" s="87">
        <v>1</v>
      </c>
      <c r="U289" s="87"/>
      <c r="V289" s="90" t="s">
        <v>1062</v>
      </c>
    </row>
    <row r="290" ht="15" customHeight="1" spans="1:23" x14ac:dyDescent="0.25">
      <c r="A290" s="85">
        <v>28067</v>
      </c>
      <c r="B290" s="85" t="s">
        <v>1859</v>
      </c>
      <c r="C290" s="85" t="s">
        <v>161</v>
      </c>
      <c r="D290" s="85" t="s">
        <v>316</v>
      </c>
      <c r="E290" s="85"/>
      <c r="F290" s="85" t="s">
        <v>1062</v>
      </c>
      <c r="G290" s="85" t="s">
        <v>1016</v>
      </c>
      <c r="H290" s="85" t="s">
        <v>170</v>
      </c>
      <c r="I290" s="86">
        <v>261</v>
      </c>
      <c r="J290" s="86">
        <v>261</v>
      </c>
      <c r="K290" s="87">
        <v>1</v>
      </c>
      <c r="L290" s="87">
        <v>1</v>
      </c>
      <c r="M290" s="88">
        <v>1</v>
      </c>
      <c r="N290" s="89"/>
      <c r="O290" s="87"/>
      <c r="P290" s="87"/>
      <c r="Q290" s="87"/>
      <c r="R290" s="87"/>
      <c r="S290" s="87">
        <v>1</v>
      </c>
      <c r="T290" s="87"/>
      <c r="U290" s="87">
        <v>0</v>
      </c>
      <c r="V290" s="90" t="s">
        <v>1062</v>
      </c>
    </row>
    <row r="291" ht="15" customHeight="1" spans="1:23" x14ac:dyDescent="0.25">
      <c r="A291" s="85">
        <v>28084</v>
      </c>
      <c r="B291" s="85" t="s">
        <v>1860</v>
      </c>
      <c r="C291" s="85" t="s">
        <v>942</v>
      </c>
      <c r="D291" s="85" t="s">
        <v>176</v>
      </c>
      <c r="E291" s="85"/>
      <c r="F291" s="85" t="s">
        <v>155</v>
      </c>
      <c r="G291" s="85"/>
      <c r="H291" s="85"/>
      <c r="I291" s="86"/>
      <c r="J291" s="86"/>
      <c r="K291" s="87"/>
      <c r="L291" s="87"/>
      <c r="M291" s="88"/>
      <c r="N291" s="89"/>
      <c r="O291" s="87"/>
      <c r="P291" s="87"/>
      <c r="Q291" s="87"/>
      <c r="R291" s="87"/>
      <c r="S291" s="87">
        <v>1</v>
      </c>
      <c r="T291" s="87">
        <v>1</v>
      </c>
      <c r="U291" s="87">
        <v>1</v>
      </c>
      <c r="V291" s="90" t="s">
        <v>1861</v>
      </c>
    </row>
    <row r="292" ht="15" customHeight="1" spans="1:23" x14ac:dyDescent="0.25">
      <c r="A292" s="85">
        <v>28084</v>
      </c>
      <c r="B292" s="85" t="s">
        <v>1860</v>
      </c>
      <c r="C292" s="85" t="s">
        <v>942</v>
      </c>
      <c r="D292" s="85" t="s">
        <v>176</v>
      </c>
      <c r="E292" s="85"/>
      <c r="F292" s="85" t="s">
        <v>1062</v>
      </c>
      <c r="G292" s="85" t="s">
        <v>1016</v>
      </c>
      <c r="H292" s="85" t="s">
        <v>170</v>
      </c>
      <c r="I292" s="86">
        <v>261</v>
      </c>
      <c r="J292" s="86">
        <v>261</v>
      </c>
      <c r="K292" s="87">
        <v>1</v>
      </c>
      <c r="L292" s="87">
        <v>1</v>
      </c>
      <c r="M292" s="88">
        <v>1</v>
      </c>
      <c r="N292" s="89"/>
      <c r="O292" s="87"/>
      <c r="P292" s="87"/>
      <c r="Q292" s="87"/>
      <c r="R292" s="87"/>
      <c r="S292" s="87">
        <v>1</v>
      </c>
      <c r="T292" s="87"/>
      <c r="U292" s="87">
        <v>1</v>
      </c>
      <c r="V292" s="90" t="s">
        <v>1861</v>
      </c>
    </row>
    <row r="293" ht="15" customHeight="1" spans="1:23" x14ac:dyDescent="0.25">
      <c r="A293" s="85">
        <v>28372</v>
      </c>
      <c r="B293" s="85" t="s">
        <v>1862</v>
      </c>
      <c r="C293" s="85" t="s">
        <v>942</v>
      </c>
      <c r="D293" s="85" t="s">
        <v>1002</v>
      </c>
      <c r="E293" s="85"/>
      <c r="F293" s="85" t="s">
        <v>155</v>
      </c>
      <c r="G293" s="85"/>
      <c r="H293" s="85"/>
      <c r="I293" s="86"/>
      <c r="J293" s="86"/>
      <c r="K293" s="87"/>
      <c r="L293" s="87"/>
      <c r="M293" s="88"/>
      <c r="N293" s="89"/>
      <c r="O293" s="87"/>
      <c r="P293" s="87"/>
      <c r="Q293" s="87"/>
      <c r="R293" s="87"/>
      <c r="S293" s="87">
        <v>1</v>
      </c>
      <c r="T293" s="87">
        <v>1</v>
      </c>
      <c r="U293" s="87">
        <v>1</v>
      </c>
      <c r="V293" s="90" t="s">
        <v>1863</v>
      </c>
    </row>
    <row r="294" ht="15" customHeight="1" spans="1:23" x14ac:dyDescent="0.25">
      <c r="A294" s="85">
        <v>28372</v>
      </c>
      <c r="B294" s="85" t="s">
        <v>1862</v>
      </c>
      <c r="C294" s="85" t="s">
        <v>942</v>
      </c>
      <c r="D294" s="85" t="s">
        <v>1002</v>
      </c>
      <c r="E294" s="85"/>
      <c r="F294" s="85" t="s">
        <v>1062</v>
      </c>
      <c r="G294" s="85" t="s">
        <v>1016</v>
      </c>
      <c r="H294" s="85" t="s">
        <v>170</v>
      </c>
      <c r="I294" s="86">
        <v>261</v>
      </c>
      <c r="J294" s="86">
        <v>261</v>
      </c>
      <c r="K294" s="87">
        <v>1</v>
      </c>
      <c r="L294" s="87">
        <v>1</v>
      </c>
      <c r="M294" s="88">
        <v>1</v>
      </c>
      <c r="N294" s="89"/>
      <c r="O294" s="87"/>
      <c r="P294" s="87"/>
      <c r="Q294" s="87"/>
      <c r="R294" s="87"/>
      <c r="S294" s="87">
        <v>1</v>
      </c>
      <c r="T294" s="87"/>
      <c r="U294" s="87">
        <v>1</v>
      </c>
      <c r="V294" s="90" t="s">
        <v>1864</v>
      </c>
    </row>
    <row r="295" ht="15" customHeight="1" spans="1:23" x14ac:dyDescent="0.25">
      <c r="A295" s="85">
        <v>28383</v>
      </c>
      <c r="B295" s="85" t="s">
        <v>1865</v>
      </c>
      <c r="C295" s="85" t="s">
        <v>357</v>
      </c>
      <c r="D295" s="85" t="s">
        <v>865</v>
      </c>
      <c r="E295" s="85"/>
      <c r="F295" s="85" t="s">
        <v>155</v>
      </c>
      <c r="G295" s="85"/>
      <c r="H295" s="85"/>
      <c r="I295" s="86"/>
      <c r="J295" s="86"/>
      <c r="K295" s="87"/>
      <c r="L295" s="87"/>
      <c r="M295" s="88"/>
      <c r="N295" s="89"/>
      <c r="O295" s="87"/>
      <c r="P295" s="87"/>
      <c r="Q295" s="87"/>
      <c r="R295" s="87"/>
      <c r="S295" s="87">
        <v>1</v>
      </c>
      <c r="T295" s="87">
        <v>1</v>
      </c>
      <c r="U295" s="87">
        <v>1</v>
      </c>
      <c r="V295" s="90" t="s">
        <v>1599</v>
      </c>
    </row>
    <row r="296" ht="15" customHeight="1" spans="1:23" x14ac:dyDescent="0.25">
      <c r="A296" s="85">
        <v>28383</v>
      </c>
      <c r="B296" s="85" t="s">
        <v>1865</v>
      </c>
      <c r="C296" s="85" t="s">
        <v>357</v>
      </c>
      <c r="D296" s="85" t="s">
        <v>865</v>
      </c>
      <c r="E296" s="85"/>
      <c r="F296" s="85" t="s">
        <v>1062</v>
      </c>
      <c r="G296" s="85" t="s">
        <v>1016</v>
      </c>
      <c r="H296" s="85" t="s">
        <v>170</v>
      </c>
      <c r="I296" s="86">
        <v>261</v>
      </c>
      <c r="J296" s="86">
        <v>261</v>
      </c>
      <c r="K296" s="87">
        <v>1</v>
      </c>
      <c r="L296" s="87">
        <v>1</v>
      </c>
      <c r="M296" s="88">
        <v>1</v>
      </c>
      <c r="N296" s="89"/>
      <c r="O296" s="87"/>
      <c r="P296" s="87"/>
      <c r="Q296" s="87"/>
      <c r="R296" s="87"/>
      <c r="S296" s="87">
        <v>1</v>
      </c>
      <c r="T296" s="87"/>
      <c r="U296" s="87">
        <v>1</v>
      </c>
      <c r="V296" s="90" t="s">
        <v>1599</v>
      </c>
    </row>
    <row r="297" ht="15" customHeight="1" spans="1:23" x14ac:dyDescent="0.25">
      <c r="A297" s="85">
        <v>28391</v>
      </c>
      <c r="B297" s="85" t="s">
        <v>1866</v>
      </c>
      <c r="C297" s="85" t="s">
        <v>357</v>
      </c>
      <c r="D297" s="85" t="s">
        <v>658</v>
      </c>
      <c r="E297" s="85"/>
      <c r="F297" s="85" t="s">
        <v>155</v>
      </c>
      <c r="G297" s="85"/>
      <c r="H297" s="85"/>
      <c r="I297" s="86"/>
      <c r="J297" s="86"/>
      <c r="K297" s="87"/>
      <c r="L297" s="87"/>
      <c r="M297" s="88"/>
      <c r="N297" s="89"/>
      <c r="O297" s="87"/>
      <c r="P297" s="87"/>
      <c r="Q297" s="87"/>
      <c r="R297" s="87"/>
      <c r="S297" s="87">
        <v>0.6674329501915709</v>
      </c>
      <c r="T297" s="87">
        <v>0.6674329501915709</v>
      </c>
      <c r="U297" s="87">
        <v>0.6674329501915709</v>
      </c>
      <c r="V297" s="90" t="s">
        <v>1867</v>
      </c>
    </row>
    <row r="298" ht="15" customHeight="1" spans="1:23" x14ac:dyDescent="0.25">
      <c r="A298" s="85">
        <v>28391</v>
      </c>
      <c r="B298" s="85" t="s">
        <v>1866</v>
      </c>
      <c r="C298" s="85" t="s">
        <v>357</v>
      </c>
      <c r="D298" s="85" t="s">
        <v>658</v>
      </c>
      <c r="E298" s="85"/>
      <c r="F298" s="85" t="s">
        <v>1062</v>
      </c>
      <c r="G298" s="85" t="s">
        <v>169</v>
      </c>
      <c r="H298" s="85" t="s">
        <v>170</v>
      </c>
      <c r="I298" s="86">
        <v>261</v>
      </c>
      <c r="J298" s="86">
        <v>88</v>
      </c>
      <c r="K298" s="87">
        <v>0.3371647509578544</v>
      </c>
      <c r="L298" s="87">
        <v>0.8</v>
      </c>
      <c r="M298" s="88">
        <v>0.26973180076628356</v>
      </c>
      <c r="N298" s="89"/>
      <c r="O298" s="87"/>
      <c r="P298" s="87"/>
      <c r="Q298" s="87"/>
      <c r="R298" s="87"/>
      <c r="S298" s="87">
        <v>0.26973180076628356</v>
      </c>
      <c r="T298" s="87"/>
      <c r="U298" s="87">
        <v>0.26973180076628356</v>
      </c>
      <c r="V298" s="90" t="s">
        <v>1868</v>
      </c>
    </row>
    <row r="299" ht="15" customHeight="1" spans="1:23" x14ac:dyDescent="0.25">
      <c r="A299" s="85">
        <v>28391</v>
      </c>
      <c r="B299" s="85" t="s">
        <v>1866</v>
      </c>
      <c r="C299" s="85" t="s">
        <v>357</v>
      </c>
      <c r="D299" s="85" t="s">
        <v>658</v>
      </c>
      <c r="E299" s="85"/>
      <c r="F299" s="85" t="s">
        <v>1062</v>
      </c>
      <c r="G299" s="85" t="s">
        <v>1016</v>
      </c>
      <c r="H299" s="85" t="s">
        <v>912</v>
      </c>
      <c r="I299" s="86">
        <v>261</v>
      </c>
      <c r="J299" s="86">
        <v>173</v>
      </c>
      <c r="K299" s="87">
        <v>0.6628352490421456</v>
      </c>
      <c r="L299" s="87">
        <v>0.6</v>
      </c>
      <c r="M299" s="88">
        <v>0.39770114942528734</v>
      </c>
      <c r="N299" s="89"/>
      <c r="O299" s="87"/>
      <c r="P299" s="87"/>
      <c r="Q299" s="87"/>
      <c r="R299" s="87"/>
      <c r="S299" s="87">
        <v>0.39770114942528734</v>
      </c>
      <c r="T299" s="87"/>
      <c r="U299" s="87">
        <v>0.39770114942528734</v>
      </c>
      <c r="V299" s="90" t="s">
        <v>1869</v>
      </c>
    </row>
    <row r="300" ht="15" customHeight="1" spans="1:23" x14ac:dyDescent="0.25">
      <c r="A300" s="85">
        <v>28474</v>
      </c>
      <c r="B300" s="85" t="s">
        <v>1870</v>
      </c>
      <c r="C300" s="85" t="s">
        <v>357</v>
      </c>
      <c r="D300" s="85" t="s">
        <v>765</v>
      </c>
      <c r="E300" s="85"/>
      <c r="F300" s="85" t="s">
        <v>155</v>
      </c>
      <c r="G300" s="85"/>
      <c r="H300" s="85"/>
      <c r="I300" s="86"/>
      <c r="J300" s="86"/>
      <c r="K300" s="87"/>
      <c r="L300" s="87"/>
      <c r="M300" s="88"/>
      <c r="N300" s="89"/>
      <c r="O300" s="87"/>
      <c r="P300" s="87"/>
      <c r="Q300" s="87">
        <v>0.011494252873563218</v>
      </c>
      <c r="R300" s="87"/>
      <c r="S300" s="87">
        <v>1</v>
      </c>
      <c r="T300" s="87">
        <v>1</v>
      </c>
      <c r="U300" s="87">
        <v>1</v>
      </c>
      <c r="V300" s="90" t="s">
        <v>1871</v>
      </c>
    </row>
    <row r="301" ht="15" customHeight="1" spans="1:23" x14ac:dyDescent="0.25">
      <c r="A301" s="85">
        <v>28474</v>
      </c>
      <c r="B301" s="85" t="s">
        <v>1870</v>
      </c>
      <c r="C301" s="85" t="s">
        <v>357</v>
      </c>
      <c r="D301" s="85" t="s">
        <v>765</v>
      </c>
      <c r="E301" s="85"/>
      <c r="F301" s="85" t="s">
        <v>1062</v>
      </c>
      <c r="G301" s="85" t="s">
        <v>1872</v>
      </c>
      <c r="H301" s="85" t="s">
        <v>170</v>
      </c>
      <c r="I301" s="86">
        <v>261</v>
      </c>
      <c r="J301" s="86">
        <v>17</v>
      </c>
      <c r="K301" s="87">
        <v>0.06513409961685823</v>
      </c>
      <c r="L301" s="87">
        <v>1</v>
      </c>
      <c r="M301" s="88">
        <v>0.06513409961685823</v>
      </c>
      <c r="N301" s="89"/>
      <c r="O301" s="87"/>
      <c r="P301" s="87"/>
      <c r="Q301" s="87"/>
      <c r="R301" s="87"/>
      <c r="S301" s="87">
        <v>0.06513409961685823</v>
      </c>
      <c r="T301" s="87"/>
      <c r="U301" s="87">
        <v>0.06513409961685823</v>
      </c>
      <c r="V301" s="90" t="s">
        <v>1873</v>
      </c>
    </row>
    <row r="302" ht="15" customHeight="1" spans="1:23" x14ac:dyDescent="0.25">
      <c r="A302" s="85">
        <v>28474</v>
      </c>
      <c r="B302" s="85" t="s">
        <v>1870</v>
      </c>
      <c r="C302" s="85" t="s">
        <v>357</v>
      </c>
      <c r="D302" s="85" t="s">
        <v>765</v>
      </c>
      <c r="E302" s="85"/>
      <c r="F302" s="85" t="s">
        <v>1062</v>
      </c>
      <c r="G302" s="85" t="s">
        <v>1838</v>
      </c>
      <c r="H302" s="85" t="s">
        <v>1838</v>
      </c>
      <c r="I302" s="86">
        <v>261</v>
      </c>
      <c r="J302" s="86">
        <v>1</v>
      </c>
      <c r="K302" s="87">
        <v>0.0038314176245210726</v>
      </c>
      <c r="L302" s="87">
        <v>1</v>
      </c>
      <c r="M302" s="88">
        <v>0.0038314176245210726</v>
      </c>
      <c r="N302" s="89"/>
      <c r="O302" s="87"/>
      <c r="P302" s="87"/>
      <c r="Q302" s="87"/>
      <c r="R302" s="87"/>
      <c r="S302" s="87">
        <v>0.0038314176245210726</v>
      </c>
      <c r="T302" s="87"/>
      <c r="U302" s="87">
        <v>0.0038314176245210726</v>
      </c>
      <c r="V302" s="90" t="s">
        <v>1874</v>
      </c>
    </row>
    <row r="303" ht="15" customHeight="1" spans="1:23" x14ac:dyDescent="0.25">
      <c r="A303" s="85">
        <v>28474</v>
      </c>
      <c r="B303" s="85" t="s">
        <v>1870</v>
      </c>
      <c r="C303" s="85" t="s">
        <v>357</v>
      </c>
      <c r="D303" s="85" t="s">
        <v>765</v>
      </c>
      <c r="E303" s="85"/>
      <c r="F303" s="85" t="s">
        <v>1062</v>
      </c>
      <c r="G303" s="85" t="s">
        <v>1875</v>
      </c>
      <c r="H303" s="85" t="s">
        <v>1840</v>
      </c>
      <c r="I303" s="86">
        <v>261</v>
      </c>
      <c r="J303" s="86">
        <v>132</v>
      </c>
      <c r="K303" s="87">
        <v>0.5057471264367817</v>
      </c>
      <c r="L303" s="87">
        <v>1</v>
      </c>
      <c r="M303" s="88">
        <v>0.5057471264367817</v>
      </c>
      <c r="N303" s="89"/>
      <c r="O303" s="87"/>
      <c r="P303" s="87"/>
      <c r="Q303" s="87"/>
      <c r="R303" s="87"/>
      <c r="S303" s="87">
        <v>0.5057471264367817</v>
      </c>
      <c r="T303" s="87"/>
      <c r="U303" s="87">
        <v>0.5057471264367817</v>
      </c>
      <c r="V303" s="90" t="s">
        <v>1876</v>
      </c>
    </row>
    <row r="304" ht="15" customHeight="1" spans="1:23" x14ac:dyDescent="0.25">
      <c r="A304" s="85">
        <v>28474</v>
      </c>
      <c r="B304" s="85" t="s">
        <v>1870</v>
      </c>
      <c r="C304" s="85" t="s">
        <v>357</v>
      </c>
      <c r="D304" s="85" t="s">
        <v>765</v>
      </c>
      <c r="E304" s="85"/>
      <c r="F304" s="85" t="s">
        <v>1062</v>
      </c>
      <c r="G304" s="85" t="s">
        <v>944</v>
      </c>
      <c r="H304" s="85" t="s">
        <v>1877</v>
      </c>
      <c r="I304" s="86">
        <v>261</v>
      </c>
      <c r="J304" s="86">
        <v>3</v>
      </c>
      <c r="K304" s="87">
        <v>0.011494252873563218</v>
      </c>
      <c r="L304" s="87">
        <v>1</v>
      </c>
      <c r="M304" s="88">
        <v>0.011494252873563218</v>
      </c>
      <c r="N304" s="89"/>
      <c r="O304" s="87"/>
      <c r="P304" s="87"/>
      <c r="Q304" s="87"/>
      <c r="R304" s="87"/>
      <c r="S304" s="87">
        <v>0.011494252873563218</v>
      </c>
      <c r="T304" s="87"/>
      <c r="U304" s="87">
        <v>0.011494252873563218</v>
      </c>
      <c r="V304" s="90" t="s">
        <v>1878</v>
      </c>
    </row>
    <row r="305" ht="15" customHeight="1" spans="1:23" x14ac:dyDescent="0.25">
      <c r="A305" s="85">
        <v>28474</v>
      </c>
      <c r="B305" s="85" t="s">
        <v>1870</v>
      </c>
      <c r="C305" s="85" t="s">
        <v>357</v>
      </c>
      <c r="D305" s="85" t="s">
        <v>765</v>
      </c>
      <c r="E305" s="85"/>
      <c r="F305" s="85" t="s">
        <v>1062</v>
      </c>
      <c r="G305" s="85" t="s">
        <v>1879</v>
      </c>
      <c r="H305" s="85" t="s">
        <v>1012</v>
      </c>
      <c r="I305" s="86">
        <v>261</v>
      </c>
      <c r="J305" s="86">
        <v>87</v>
      </c>
      <c r="K305" s="87">
        <v>0.3333333333333333</v>
      </c>
      <c r="L305" s="87">
        <v>1</v>
      </c>
      <c r="M305" s="88">
        <v>0.3333333333333333</v>
      </c>
      <c r="N305" s="89"/>
      <c r="O305" s="87"/>
      <c r="P305" s="87"/>
      <c r="Q305" s="87"/>
      <c r="R305" s="87"/>
      <c r="S305" s="87">
        <v>0.3333333333333333</v>
      </c>
      <c r="T305" s="87"/>
      <c r="U305" s="87">
        <v>0.3333333333333333</v>
      </c>
      <c r="V305" s="90" t="s">
        <v>1880</v>
      </c>
    </row>
    <row r="306" ht="15" customHeight="1" spans="1:23" x14ac:dyDescent="0.25">
      <c r="A306" s="85">
        <v>28474</v>
      </c>
      <c r="B306" s="85" t="s">
        <v>1870</v>
      </c>
      <c r="C306" s="85" t="s">
        <v>357</v>
      </c>
      <c r="D306" s="85" t="s">
        <v>765</v>
      </c>
      <c r="E306" s="85"/>
      <c r="F306" s="85" t="s">
        <v>1062</v>
      </c>
      <c r="G306" s="85" t="s">
        <v>1659</v>
      </c>
      <c r="H306" s="85" t="s">
        <v>1655</v>
      </c>
      <c r="I306" s="86">
        <v>261</v>
      </c>
      <c r="J306" s="86">
        <v>3</v>
      </c>
      <c r="K306" s="87">
        <v>0.011494252873563218</v>
      </c>
      <c r="L306" s="87">
        <v>1</v>
      </c>
      <c r="M306" s="88">
        <v>0.011494252873563218</v>
      </c>
      <c r="N306" s="89">
        <v>1</v>
      </c>
      <c r="O306" s="87">
        <v>0.011494252873563218</v>
      </c>
      <c r="P306" s="87"/>
      <c r="Q306" s="87">
        <v>0.011494252873563218</v>
      </c>
      <c r="R306" s="87"/>
      <c r="S306" s="87">
        <v>0.011494252873563218</v>
      </c>
      <c r="T306" s="87"/>
      <c r="U306" s="87">
        <v>0.011494252873563218</v>
      </c>
      <c r="V306" s="90" t="s">
        <v>1881</v>
      </c>
    </row>
    <row r="307" ht="15" customHeight="1" spans="1:23" x14ac:dyDescent="0.25">
      <c r="A307" s="85">
        <v>28474</v>
      </c>
      <c r="B307" s="85" t="s">
        <v>1870</v>
      </c>
      <c r="C307" s="85" t="s">
        <v>357</v>
      </c>
      <c r="D307" s="85" t="s">
        <v>765</v>
      </c>
      <c r="E307" s="85"/>
      <c r="F307" s="85" t="s">
        <v>1062</v>
      </c>
      <c r="G307" s="85" t="s">
        <v>1016</v>
      </c>
      <c r="H307" s="85" t="s">
        <v>1882</v>
      </c>
      <c r="I307" s="86">
        <v>261</v>
      </c>
      <c r="J307" s="86">
        <v>18</v>
      </c>
      <c r="K307" s="87">
        <v>0.06896551724137931</v>
      </c>
      <c r="L307" s="87">
        <v>1</v>
      </c>
      <c r="M307" s="88">
        <v>0.06896551724137931</v>
      </c>
      <c r="N307" s="89"/>
      <c r="O307" s="87"/>
      <c r="P307" s="87"/>
      <c r="Q307" s="87"/>
      <c r="R307" s="87"/>
      <c r="S307" s="87">
        <v>0.06896551724137931</v>
      </c>
      <c r="T307" s="87"/>
      <c r="U307" s="87">
        <v>0.06896551724137931</v>
      </c>
      <c r="V307" s="90" t="s">
        <v>1883</v>
      </c>
    </row>
    <row r="308" ht="15" customHeight="1" spans="1:23" x14ac:dyDescent="0.25">
      <c r="A308" s="85">
        <v>28776</v>
      </c>
      <c r="B308" s="85" t="s">
        <v>1884</v>
      </c>
      <c r="C308" s="85" t="s">
        <v>357</v>
      </c>
      <c r="D308" s="85" t="s">
        <v>596</v>
      </c>
      <c r="E308" s="85"/>
      <c r="F308" s="85" t="s">
        <v>155</v>
      </c>
      <c r="G308" s="85"/>
      <c r="H308" s="85"/>
      <c r="I308" s="86"/>
      <c r="J308" s="86"/>
      <c r="K308" s="87"/>
      <c r="L308" s="87"/>
      <c r="M308" s="88"/>
      <c r="N308" s="89"/>
      <c r="O308" s="87"/>
      <c r="P308" s="87"/>
      <c r="Q308" s="87"/>
      <c r="R308" s="87"/>
      <c r="S308" s="87">
        <v>1</v>
      </c>
      <c r="T308" s="87">
        <v>1</v>
      </c>
      <c r="U308" s="87">
        <v>1</v>
      </c>
      <c r="V308" s="90" t="s">
        <v>1885</v>
      </c>
    </row>
    <row r="309" ht="15" customHeight="1" spans="1:23" x14ac:dyDescent="0.25">
      <c r="A309" s="85">
        <v>28776</v>
      </c>
      <c r="B309" s="85" t="s">
        <v>1884</v>
      </c>
      <c r="C309" s="85" t="s">
        <v>357</v>
      </c>
      <c r="D309" s="85" t="s">
        <v>596</v>
      </c>
      <c r="E309" s="85"/>
      <c r="F309" s="85" t="s">
        <v>1062</v>
      </c>
      <c r="G309" s="85" t="s">
        <v>1016</v>
      </c>
      <c r="H309" s="85" t="s">
        <v>170</v>
      </c>
      <c r="I309" s="86">
        <v>261</v>
      </c>
      <c r="J309" s="86">
        <v>261</v>
      </c>
      <c r="K309" s="87">
        <v>1</v>
      </c>
      <c r="L309" s="87">
        <v>1</v>
      </c>
      <c r="M309" s="88">
        <v>1</v>
      </c>
      <c r="N309" s="89"/>
      <c r="O309" s="87"/>
      <c r="P309" s="87"/>
      <c r="Q309" s="87"/>
      <c r="R309" s="87"/>
      <c r="S309" s="87">
        <v>1</v>
      </c>
      <c r="T309" s="87"/>
      <c r="U309" s="87">
        <v>1</v>
      </c>
      <c r="V309" s="90" t="s">
        <v>1885</v>
      </c>
    </row>
    <row r="310" ht="15" customHeight="1" spans="1:23" x14ac:dyDescent="0.25">
      <c r="A310" s="85">
        <v>28846</v>
      </c>
      <c r="B310" s="85" t="s">
        <v>1886</v>
      </c>
      <c r="C310" s="85" t="s">
        <v>357</v>
      </c>
      <c r="D310" s="85" t="s">
        <v>457</v>
      </c>
      <c r="E310" s="85"/>
      <c r="F310" s="85" t="s">
        <v>155</v>
      </c>
      <c r="G310" s="85"/>
      <c r="H310" s="85"/>
      <c r="I310" s="86"/>
      <c r="J310" s="86"/>
      <c r="K310" s="87"/>
      <c r="L310" s="87"/>
      <c r="M310" s="88"/>
      <c r="N310" s="89"/>
      <c r="O310" s="87"/>
      <c r="P310" s="87"/>
      <c r="Q310" s="87">
        <v>0.15517241379310343</v>
      </c>
      <c r="R310" s="87">
        <v>0.12452107279693486</v>
      </c>
      <c r="S310" s="87">
        <v>0.2011494252873563</v>
      </c>
      <c r="T310" s="87">
        <v>0.32567049808429116</v>
      </c>
      <c r="U310" s="87"/>
      <c r="V310" s="90" t="s">
        <v>1887</v>
      </c>
    </row>
    <row r="311" ht="15" customHeight="1" spans="1:23" x14ac:dyDescent="0.25">
      <c r="A311" s="85">
        <v>28846</v>
      </c>
      <c r="B311" s="85" t="s">
        <v>1886</v>
      </c>
      <c r="C311" s="85" t="s">
        <v>357</v>
      </c>
      <c r="D311" s="85" t="s">
        <v>457</v>
      </c>
      <c r="E311" s="85"/>
      <c r="F311" s="85" t="s">
        <v>1062</v>
      </c>
      <c r="G311" s="85" t="s">
        <v>1888</v>
      </c>
      <c r="H311" s="85" t="s">
        <v>170</v>
      </c>
      <c r="I311" s="86">
        <v>261</v>
      </c>
      <c r="J311" s="86">
        <v>20</v>
      </c>
      <c r="K311" s="87">
        <v>0.07662835249042145</v>
      </c>
      <c r="L311" s="87">
        <v>1</v>
      </c>
      <c r="M311" s="88">
        <v>0.07662835249042145</v>
      </c>
      <c r="N311" s="89">
        <v>1</v>
      </c>
      <c r="O311" s="87">
        <v>0.07662835249042145</v>
      </c>
      <c r="P311" s="87"/>
      <c r="Q311" s="87">
        <v>0.07662835249042145</v>
      </c>
      <c r="R311" s="87"/>
      <c r="S311" s="87">
        <v>0.07662835249042145</v>
      </c>
      <c r="T311" s="87"/>
      <c r="U311" s="87">
        <v>0</v>
      </c>
      <c r="V311" s="90" t="s">
        <v>1889</v>
      </c>
    </row>
    <row r="312" ht="15" customHeight="1" spans="1:23" x14ac:dyDescent="0.25">
      <c r="A312" s="85">
        <v>28846</v>
      </c>
      <c r="B312" s="85" t="s">
        <v>1886</v>
      </c>
      <c r="C312" s="85" t="s">
        <v>357</v>
      </c>
      <c r="D312" s="85" t="s">
        <v>457</v>
      </c>
      <c r="E312" s="85"/>
      <c r="F312" s="85" t="s">
        <v>1062</v>
      </c>
      <c r="G312" s="85" t="s">
        <v>1890</v>
      </c>
      <c r="H312" s="85" t="s">
        <v>1891</v>
      </c>
      <c r="I312" s="86">
        <v>261</v>
      </c>
      <c r="J312" s="86">
        <v>41</v>
      </c>
      <c r="K312" s="87">
        <v>0.15708812260536398</v>
      </c>
      <c r="L312" s="87">
        <v>1</v>
      </c>
      <c r="M312" s="88">
        <v>0.15708812260536398</v>
      </c>
      <c r="N312" s="89">
        <v>1</v>
      </c>
      <c r="O312" s="87">
        <v>0.15708812260536398</v>
      </c>
      <c r="P312" s="87"/>
      <c r="Q312" s="87">
        <v>0.07854406130268199</v>
      </c>
      <c r="R312" s="87">
        <v>0.07854406130268199</v>
      </c>
      <c r="S312" s="87">
        <v>0.07854406130268199</v>
      </c>
      <c r="T312" s="87"/>
      <c r="U312" s="87">
        <v>0</v>
      </c>
      <c r="V312" s="90" t="s">
        <v>1892</v>
      </c>
    </row>
    <row r="313" ht="15" customHeight="1" spans="1:23" x14ac:dyDescent="0.25">
      <c r="A313" s="85">
        <v>28846</v>
      </c>
      <c r="B313" s="85" t="s">
        <v>1886</v>
      </c>
      <c r="C313" s="85" t="s">
        <v>357</v>
      </c>
      <c r="D313" s="85" t="s">
        <v>457</v>
      </c>
      <c r="E313" s="85"/>
      <c r="F313" s="85" t="s">
        <v>1062</v>
      </c>
      <c r="G313" s="85" t="s">
        <v>457</v>
      </c>
      <c r="H313" s="85" t="s">
        <v>1893</v>
      </c>
      <c r="I313" s="86">
        <v>261</v>
      </c>
      <c r="J313" s="86">
        <v>24</v>
      </c>
      <c r="K313" s="87">
        <v>0.09195402298850575</v>
      </c>
      <c r="L313" s="87">
        <v>1</v>
      </c>
      <c r="M313" s="88">
        <v>0.09195402298850575</v>
      </c>
      <c r="N313" s="89">
        <v>0.5</v>
      </c>
      <c r="O313" s="87">
        <v>0.04597701149425287</v>
      </c>
      <c r="P313" s="87"/>
      <c r="Q313" s="87"/>
      <c r="R313" s="87">
        <v>0.04597701149425287</v>
      </c>
      <c r="S313" s="87">
        <v>0.04597701149425287</v>
      </c>
      <c r="T313" s="87"/>
      <c r="U313" s="87">
        <v>0</v>
      </c>
      <c r="V313" s="90" t="s">
        <v>1894</v>
      </c>
    </row>
    <row r="314" ht="15" customHeight="1" spans="1:23" x14ac:dyDescent="0.25">
      <c r="A314" s="85">
        <v>28863</v>
      </c>
      <c r="B314" s="85" t="s">
        <v>1895</v>
      </c>
      <c r="C314" s="85" t="s">
        <v>161</v>
      </c>
      <c r="D314" s="85" t="s">
        <v>213</v>
      </c>
      <c r="E314" s="85"/>
      <c r="F314" s="85" t="s">
        <v>155</v>
      </c>
      <c r="G314" s="85"/>
      <c r="H314" s="85"/>
      <c r="I314" s="86"/>
      <c r="J314" s="86"/>
      <c r="K314" s="87"/>
      <c r="L314" s="87"/>
      <c r="M314" s="88"/>
      <c r="N314" s="89"/>
      <c r="O314" s="87"/>
      <c r="P314" s="87"/>
      <c r="Q314" s="87">
        <v>0.47509578544061304</v>
      </c>
      <c r="R314" s="87"/>
      <c r="S314" s="87">
        <v>0.8</v>
      </c>
      <c r="T314" s="87">
        <v>0.8</v>
      </c>
      <c r="U314" s="87">
        <v>0.79664</v>
      </c>
      <c r="V314" s="90" t="s">
        <v>1896</v>
      </c>
    </row>
    <row r="315" ht="15" customHeight="1" spans="1:23" x14ac:dyDescent="0.25">
      <c r="A315" s="85">
        <v>28863</v>
      </c>
      <c r="B315" s="85" t="s">
        <v>1895</v>
      </c>
      <c r="C315" s="85" t="s">
        <v>161</v>
      </c>
      <c r="D315" s="85" t="s">
        <v>213</v>
      </c>
      <c r="E315" s="85"/>
      <c r="F315" s="85" t="s">
        <v>1062</v>
      </c>
      <c r="G315" s="85" t="s">
        <v>169</v>
      </c>
      <c r="H315" s="85" t="s">
        <v>170</v>
      </c>
      <c r="I315" s="86">
        <v>261</v>
      </c>
      <c r="J315" s="86">
        <v>88</v>
      </c>
      <c r="K315" s="87">
        <v>0.3371647509578544</v>
      </c>
      <c r="L315" s="87">
        <v>0.8</v>
      </c>
      <c r="M315" s="88">
        <v>0.26973180076628356</v>
      </c>
      <c r="N315" s="89"/>
      <c r="O315" s="87"/>
      <c r="P315" s="87"/>
      <c r="Q315" s="87"/>
      <c r="R315" s="87"/>
      <c r="S315" s="87">
        <v>0.26973180076628356</v>
      </c>
      <c r="T315" s="87"/>
      <c r="U315" s="87">
        <v>0.26859892720306516</v>
      </c>
      <c r="V315" s="90" t="s">
        <v>1897</v>
      </c>
    </row>
    <row r="316" ht="15" customHeight="1" spans="1:23" x14ac:dyDescent="0.25">
      <c r="A316" s="85">
        <v>28863</v>
      </c>
      <c r="B316" s="85" t="s">
        <v>1895</v>
      </c>
      <c r="C316" s="85" t="s">
        <v>161</v>
      </c>
      <c r="D316" s="85" t="s">
        <v>213</v>
      </c>
      <c r="E316" s="85"/>
      <c r="F316" s="85" t="s">
        <v>1062</v>
      </c>
      <c r="G316" s="85" t="s">
        <v>1898</v>
      </c>
      <c r="H316" s="85" t="s">
        <v>912</v>
      </c>
      <c r="I316" s="86">
        <v>261</v>
      </c>
      <c r="J316" s="86">
        <v>136</v>
      </c>
      <c r="K316" s="87">
        <v>0.5210727969348659</v>
      </c>
      <c r="L316" s="87">
        <v>0.8</v>
      </c>
      <c r="M316" s="88">
        <v>0.41685823754789275</v>
      </c>
      <c r="N316" s="89">
        <v>1</v>
      </c>
      <c r="O316" s="87">
        <v>0.4168582375478927</v>
      </c>
      <c r="P316" s="87"/>
      <c r="Q316" s="87">
        <v>0.41685823754789275</v>
      </c>
      <c r="R316" s="87"/>
      <c r="S316" s="87">
        <v>0.41685823754789275</v>
      </c>
      <c r="T316" s="87"/>
      <c r="U316" s="87">
        <v>0.4151074329501916</v>
      </c>
      <c r="V316" s="90" t="s">
        <v>1899</v>
      </c>
    </row>
    <row r="317" ht="15" customHeight="1" spans="1:23" x14ac:dyDescent="0.25">
      <c r="A317" s="85">
        <v>28863</v>
      </c>
      <c r="B317" s="85" t="s">
        <v>1895</v>
      </c>
      <c r="C317" s="85" t="s">
        <v>161</v>
      </c>
      <c r="D317" s="85" t="s">
        <v>213</v>
      </c>
      <c r="E317" s="85"/>
      <c r="F317" s="85" t="s">
        <v>1062</v>
      </c>
      <c r="G317" s="85" t="s">
        <v>1659</v>
      </c>
      <c r="H317" s="85" t="s">
        <v>1900</v>
      </c>
      <c r="I317" s="86">
        <v>261</v>
      </c>
      <c r="J317" s="86">
        <v>19</v>
      </c>
      <c r="K317" s="87">
        <v>0.07279693486590039</v>
      </c>
      <c r="L317" s="87">
        <v>0.8</v>
      </c>
      <c r="M317" s="88">
        <v>0.05823754789272031</v>
      </c>
      <c r="N317" s="89">
        <v>1</v>
      </c>
      <c r="O317" s="87">
        <v>0.058237547892720315</v>
      </c>
      <c r="P317" s="87"/>
      <c r="Q317" s="87">
        <v>0.05823754789272031</v>
      </c>
      <c r="R317" s="87"/>
      <c r="S317" s="87">
        <v>0.05823754789272031</v>
      </c>
      <c r="T317" s="87"/>
      <c r="U317" s="87">
        <v>0.057992950191570886</v>
      </c>
      <c r="V317" s="90" t="s">
        <v>1901</v>
      </c>
    </row>
    <row r="318" ht="15" customHeight="1" spans="1:23" x14ac:dyDescent="0.25">
      <c r="A318" s="85">
        <v>28863</v>
      </c>
      <c r="B318" s="85" t="s">
        <v>1895</v>
      </c>
      <c r="C318" s="85" t="s">
        <v>161</v>
      </c>
      <c r="D318" s="85" t="s">
        <v>213</v>
      </c>
      <c r="E318" s="85"/>
      <c r="F318" s="85" t="s">
        <v>1062</v>
      </c>
      <c r="G318" s="85" t="s">
        <v>1016</v>
      </c>
      <c r="H318" s="85" t="s">
        <v>1882</v>
      </c>
      <c r="I318" s="86">
        <v>261</v>
      </c>
      <c r="J318" s="86">
        <v>18</v>
      </c>
      <c r="K318" s="87">
        <v>0.06896551724137931</v>
      </c>
      <c r="L318" s="87">
        <v>0.8</v>
      </c>
      <c r="M318" s="88">
        <v>0.05517241379310345</v>
      </c>
      <c r="N318" s="89"/>
      <c r="O318" s="87"/>
      <c r="P318" s="87"/>
      <c r="Q318" s="87"/>
      <c r="R318" s="87"/>
      <c r="S318" s="87">
        <v>0.05517241379310345</v>
      </c>
      <c r="T318" s="87"/>
      <c r="U318" s="87">
        <v>0.05494068965517242</v>
      </c>
      <c r="V318" s="90" t="s">
        <v>1902</v>
      </c>
    </row>
    <row r="319" ht="15" customHeight="1" spans="1:23" x14ac:dyDescent="0.25">
      <c r="A319" s="85">
        <v>29762</v>
      </c>
      <c r="B319" s="85" t="s">
        <v>1903</v>
      </c>
      <c r="C319" s="85" t="s">
        <v>357</v>
      </c>
      <c r="D319" s="85" t="s">
        <v>363</v>
      </c>
      <c r="E319" s="85"/>
      <c r="F319" s="85" t="s">
        <v>155</v>
      </c>
      <c r="G319" s="85"/>
      <c r="H319" s="85"/>
      <c r="I319" s="86"/>
      <c r="J319" s="86"/>
      <c r="K319" s="87"/>
      <c r="L319" s="87"/>
      <c r="M319" s="88"/>
      <c r="N319" s="89"/>
      <c r="O319" s="87"/>
      <c r="P319" s="87"/>
      <c r="Q319" s="87"/>
      <c r="R319" s="87"/>
      <c r="S319" s="87">
        <v>1</v>
      </c>
      <c r="T319" s="87">
        <v>1</v>
      </c>
      <c r="U319" s="87"/>
      <c r="V319" s="90" t="s">
        <v>1062</v>
      </c>
    </row>
    <row r="320" ht="15" customHeight="1" spans="1:23" x14ac:dyDescent="0.25">
      <c r="A320" s="85">
        <v>29762</v>
      </c>
      <c r="B320" s="85" t="s">
        <v>1903</v>
      </c>
      <c r="C320" s="85" t="s">
        <v>357</v>
      </c>
      <c r="D320" s="85" t="s">
        <v>363</v>
      </c>
      <c r="E320" s="85"/>
      <c r="F320" s="85" t="s">
        <v>1062</v>
      </c>
      <c r="G320" s="85" t="s">
        <v>1016</v>
      </c>
      <c r="H320" s="85" t="s">
        <v>170</v>
      </c>
      <c r="I320" s="86">
        <v>261</v>
      </c>
      <c r="J320" s="86">
        <v>261</v>
      </c>
      <c r="K320" s="87">
        <v>1</v>
      </c>
      <c r="L320" s="87">
        <v>1</v>
      </c>
      <c r="M320" s="88">
        <v>1</v>
      </c>
      <c r="N320" s="89"/>
      <c r="O320" s="87"/>
      <c r="P320" s="87"/>
      <c r="Q320" s="87"/>
      <c r="R320" s="87"/>
      <c r="S320" s="87">
        <v>1</v>
      </c>
      <c r="T320" s="87"/>
      <c r="U320" s="87">
        <v>0</v>
      </c>
      <c r="V320" s="90" t="s">
        <v>1062</v>
      </c>
    </row>
    <row r="321" ht="15" customHeight="1" spans="1:23" x14ac:dyDescent="0.25">
      <c r="A321" s="85">
        <v>29887</v>
      </c>
      <c r="B321" s="85" t="s">
        <v>1904</v>
      </c>
      <c r="C321" s="85" t="s">
        <v>357</v>
      </c>
      <c r="D321" s="85" t="s">
        <v>524</v>
      </c>
      <c r="E321" s="85"/>
      <c r="F321" s="85" t="s">
        <v>155</v>
      </c>
      <c r="G321" s="85"/>
      <c r="H321" s="85"/>
      <c r="I321" s="86"/>
      <c r="J321" s="86"/>
      <c r="K321" s="87"/>
      <c r="L321" s="87"/>
      <c r="M321" s="88"/>
      <c r="N321" s="89"/>
      <c r="O321" s="87"/>
      <c r="P321" s="87"/>
      <c r="Q321" s="87"/>
      <c r="R321" s="87"/>
      <c r="S321" s="87">
        <v>1</v>
      </c>
      <c r="T321" s="87">
        <v>1</v>
      </c>
      <c r="U321" s="87"/>
      <c r="V321" s="90" t="s">
        <v>1062</v>
      </c>
    </row>
    <row r="322" ht="15" customHeight="1" spans="1:23" x14ac:dyDescent="0.25">
      <c r="A322" s="85">
        <v>29887</v>
      </c>
      <c r="B322" s="85" t="s">
        <v>1904</v>
      </c>
      <c r="C322" s="85" t="s">
        <v>357</v>
      </c>
      <c r="D322" s="85" t="s">
        <v>524</v>
      </c>
      <c r="E322" s="85"/>
      <c r="F322" s="85" t="s">
        <v>1062</v>
      </c>
      <c r="G322" s="85" t="s">
        <v>1016</v>
      </c>
      <c r="H322" s="85" t="s">
        <v>170</v>
      </c>
      <c r="I322" s="86">
        <v>261</v>
      </c>
      <c r="J322" s="86">
        <v>261</v>
      </c>
      <c r="K322" s="87">
        <v>1</v>
      </c>
      <c r="L322" s="87">
        <v>1</v>
      </c>
      <c r="M322" s="88">
        <v>1</v>
      </c>
      <c r="N322" s="89"/>
      <c r="O322" s="87"/>
      <c r="P322" s="87"/>
      <c r="Q322" s="87"/>
      <c r="R322" s="87"/>
      <c r="S322" s="87">
        <v>1</v>
      </c>
      <c r="T322" s="87"/>
      <c r="U322" s="87">
        <v>0</v>
      </c>
      <c r="V322" s="90" t="s">
        <v>1062</v>
      </c>
    </row>
    <row r="323" ht="15" customHeight="1" spans="1:23" x14ac:dyDescent="0.25">
      <c r="A323" s="85">
        <v>29896</v>
      </c>
      <c r="B323" s="85" t="s">
        <v>1905</v>
      </c>
      <c r="C323" s="85" t="s">
        <v>357</v>
      </c>
      <c r="D323" s="85" t="s">
        <v>649</v>
      </c>
      <c r="E323" s="85"/>
      <c r="F323" s="85" t="s">
        <v>155</v>
      </c>
      <c r="G323" s="85"/>
      <c r="H323" s="85"/>
      <c r="I323" s="86"/>
      <c r="J323" s="86"/>
      <c r="K323" s="87"/>
      <c r="L323" s="87"/>
      <c r="M323" s="88"/>
      <c r="N323" s="89"/>
      <c r="O323" s="87"/>
      <c r="P323" s="87"/>
      <c r="Q323" s="87"/>
      <c r="R323" s="87"/>
      <c r="S323" s="87">
        <v>0.8</v>
      </c>
      <c r="T323" s="87">
        <v>0.8</v>
      </c>
      <c r="U323" s="87"/>
      <c r="V323" s="90" t="s">
        <v>1062</v>
      </c>
    </row>
    <row r="324" ht="15" customHeight="1" spans="1:23" x14ac:dyDescent="0.25">
      <c r="A324" s="85">
        <v>29896</v>
      </c>
      <c r="B324" s="85" t="s">
        <v>1905</v>
      </c>
      <c r="C324" s="85" t="s">
        <v>357</v>
      </c>
      <c r="D324" s="85" t="s">
        <v>649</v>
      </c>
      <c r="E324" s="85"/>
      <c r="F324" s="85" t="s">
        <v>1062</v>
      </c>
      <c r="G324" s="85" t="s">
        <v>1016</v>
      </c>
      <c r="H324" s="85" t="s">
        <v>170</v>
      </c>
      <c r="I324" s="86">
        <v>261</v>
      </c>
      <c r="J324" s="86">
        <v>261</v>
      </c>
      <c r="K324" s="87">
        <v>1</v>
      </c>
      <c r="L324" s="87">
        <v>0.8</v>
      </c>
      <c r="M324" s="88">
        <v>0.8</v>
      </c>
      <c r="N324" s="89"/>
      <c r="O324" s="87"/>
      <c r="P324" s="87"/>
      <c r="Q324" s="87"/>
      <c r="R324" s="87"/>
      <c r="S324" s="87">
        <v>0.8</v>
      </c>
      <c r="T324" s="87"/>
      <c r="U324" s="87">
        <v>0</v>
      </c>
      <c r="V324" s="90" t="s">
        <v>1062</v>
      </c>
    </row>
    <row r="325" ht="15" customHeight="1" spans="1:23" x14ac:dyDescent="0.25">
      <c r="A325" s="85">
        <v>29931</v>
      </c>
      <c r="B325" s="85" t="s">
        <v>1906</v>
      </c>
      <c r="C325" s="85" t="s">
        <v>161</v>
      </c>
      <c r="D325" s="85" t="s">
        <v>213</v>
      </c>
      <c r="E325" s="85"/>
      <c r="F325" s="85" t="s">
        <v>155</v>
      </c>
      <c r="G325" s="85"/>
      <c r="H325" s="85"/>
      <c r="I325" s="86"/>
      <c r="J325" s="86"/>
      <c r="K325" s="87"/>
      <c r="L325" s="87"/>
      <c r="M325" s="88"/>
      <c r="N325" s="89"/>
      <c r="O325" s="87"/>
      <c r="P325" s="87"/>
      <c r="Q325" s="87"/>
      <c r="R325" s="87"/>
      <c r="S325" s="87">
        <v>1</v>
      </c>
      <c r="T325" s="87">
        <v>1</v>
      </c>
      <c r="U325" s="87"/>
      <c r="V325" s="90" t="s">
        <v>1062</v>
      </c>
    </row>
    <row r="326" ht="15" customHeight="1" spans="1:23" x14ac:dyDescent="0.25">
      <c r="A326" s="85">
        <v>29931</v>
      </c>
      <c r="B326" s="85" t="s">
        <v>1906</v>
      </c>
      <c r="C326" s="85" t="s">
        <v>161</v>
      </c>
      <c r="D326" s="85" t="s">
        <v>213</v>
      </c>
      <c r="E326" s="85"/>
      <c r="F326" s="85" t="s">
        <v>1062</v>
      </c>
      <c r="G326" s="85" t="s">
        <v>1016</v>
      </c>
      <c r="H326" s="85" t="s">
        <v>170</v>
      </c>
      <c r="I326" s="86">
        <v>261</v>
      </c>
      <c r="J326" s="86">
        <v>261</v>
      </c>
      <c r="K326" s="87">
        <v>1</v>
      </c>
      <c r="L326" s="87">
        <v>1</v>
      </c>
      <c r="M326" s="88">
        <v>1</v>
      </c>
      <c r="N326" s="89"/>
      <c r="O326" s="87"/>
      <c r="P326" s="87"/>
      <c r="Q326" s="87"/>
      <c r="R326" s="87"/>
      <c r="S326" s="87">
        <v>1</v>
      </c>
      <c r="T326" s="87"/>
      <c r="U326" s="87">
        <v>0</v>
      </c>
      <c r="V326" s="90" t="s">
        <v>1062</v>
      </c>
    </row>
    <row r="327" ht="15" customHeight="1" spans="1:23" x14ac:dyDescent="0.25">
      <c r="A327" s="85">
        <v>29956</v>
      </c>
      <c r="B327" s="85" t="s">
        <v>1907</v>
      </c>
      <c r="C327" s="85" t="s">
        <v>161</v>
      </c>
      <c r="D327" s="85" t="s">
        <v>213</v>
      </c>
      <c r="E327" s="85"/>
      <c r="F327" s="85" t="s">
        <v>155</v>
      </c>
      <c r="G327" s="85"/>
      <c r="H327" s="85"/>
      <c r="I327" s="86"/>
      <c r="J327" s="86"/>
      <c r="K327" s="87"/>
      <c r="L327" s="87"/>
      <c r="M327" s="88"/>
      <c r="N327" s="89"/>
      <c r="O327" s="87"/>
      <c r="P327" s="87"/>
      <c r="Q327" s="87"/>
      <c r="R327" s="87"/>
      <c r="S327" s="87">
        <v>1</v>
      </c>
      <c r="T327" s="87">
        <v>1</v>
      </c>
      <c r="U327" s="87">
        <v>1.0000000000000002</v>
      </c>
      <c r="V327" s="90" t="s">
        <v>1908</v>
      </c>
    </row>
    <row r="328" ht="15" customHeight="1" spans="1:23" x14ac:dyDescent="0.25">
      <c r="A328" s="85">
        <v>29956</v>
      </c>
      <c r="B328" s="85" t="s">
        <v>1907</v>
      </c>
      <c r="C328" s="85" t="s">
        <v>161</v>
      </c>
      <c r="D328" s="85" t="s">
        <v>213</v>
      </c>
      <c r="E328" s="85"/>
      <c r="F328" s="85" t="s">
        <v>1062</v>
      </c>
      <c r="G328" s="85" t="s">
        <v>1016</v>
      </c>
      <c r="H328" s="85" t="s">
        <v>170</v>
      </c>
      <c r="I328" s="86">
        <v>261</v>
      </c>
      <c r="J328" s="86">
        <v>261</v>
      </c>
      <c r="K328" s="87">
        <v>1</v>
      </c>
      <c r="L328" s="87">
        <v>1</v>
      </c>
      <c r="M328" s="88">
        <v>1</v>
      </c>
      <c r="N328" s="89"/>
      <c r="O328" s="87"/>
      <c r="P328" s="87"/>
      <c r="Q328" s="87"/>
      <c r="R328" s="87"/>
      <c r="S328" s="87">
        <v>1</v>
      </c>
      <c r="T328" s="87"/>
      <c r="U328" s="87">
        <v>1.0000000000000002</v>
      </c>
      <c r="V328" s="90" t="s">
        <v>1909</v>
      </c>
    </row>
    <row r="329" ht="15" customHeight="1" spans="1:23" x14ac:dyDescent="0.25">
      <c r="A329" s="85">
        <v>30141</v>
      </c>
      <c r="B329" s="85" t="s">
        <v>1910</v>
      </c>
      <c r="C329" s="85" t="s">
        <v>161</v>
      </c>
      <c r="D329" s="85" t="s">
        <v>208</v>
      </c>
      <c r="E329" s="85"/>
      <c r="F329" s="85" t="s">
        <v>155</v>
      </c>
      <c r="G329" s="85"/>
      <c r="H329" s="85"/>
      <c r="I329" s="86"/>
      <c r="J329" s="86"/>
      <c r="K329" s="87"/>
      <c r="L329" s="87"/>
      <c r="M329" s="88"/>
      <c r="N329" s="89"/>
      <c r="O329" s="87"/>
      <c r="P329" s="87"/>
      <c r="Q329" s="87"/>
      <c r="R329" s="87"/>
      <c r="S329" s="87">
        <v>1</v>
      </c>
      <c r="T329" s="87">
        <v>1</v>
      </c>
      <c r="U329" s="87"/>
      <c r="V329" s="90" t="s">
        <v>1062</v>
      </c>
    </row>
    <row r="330" ht="15" customHeight="1" spans="1:23" x14ac:dyDescent="0.25">
      <c r="A330" s="85">
        <v>30141</v>
      </c>
      <c r="B330" s="85" t="s">
        <v>1910</v>
      </c>
      <c r="C330" s="85" t="s">
        <v>161</v>
      </c>
      <c r="D330" s="85" t="s">
        <v>208</v>
      </c>
      <c r="E330" s="85"/>
      <c r="F330" s="85" t="s">
        <v>1062</v>
      </c>
      <c r="G330" s="85" t="s">
        <v>1016</v>
      </c>
      <c r="H330" s="85" t="s">
        <v>170</v>
      </c>
      <c r="I330" s="86">
        <v>261</v>
      </c>
      <c r="J330" s="86">
        <v>261</v>
      </c>
      <c r="K330" s="87">
        <v>1</v>
      </c>
      <c r="L330" s="87">
        <v>1</v>
      </c>
      <c r="M330" s="88">
        <v>1</v>
      </c>
      <c r="N330" s="89"/>
      <c r="O330" s="87"/>
      <c r="P330" s="87"/>
      <c r="Q330" s="87"/>
      <c r="R330" s="87"/>
      <c r="S330" s="87">
        <v>1</v>
      </c>
      <c r="T330" s="87"/>
      <c r="U330" s="87">
        <v>0</v>
      </c>
      <c r="V330" s="90" t="s">
        <v>1062</v>
      </c>
    </row>
    <row r="331" ht="15" customHeight="1" spans="1:23" x14ac:dyDescent="0.25">
      <c r="A331" s="85">
        <v>30185</v>
      </c>
      <c r="B331" s="85" t="s">
        <v>1911</v>
      </c>
      <c r="C331" s="85" t="s">
        <v>942</v>
      </c>
      <c r="D331" s="85" t="s">
        <v>993</v>
      </c>
      <c r="E331" s="85"/>
      <c r="F331" s="85" t="s">
        <v>155</v>
      </c>
      <c r="G331" s="85"/>
      <c r="H331" s="85"/>
      <c r="I331" s="86"/>
      <c r="J331" s="86"/>
      <c r="K331" s="87"/>
      <c r="L331" s="87"/>
      <c r="M331" s="88"/>
      <c r="N331" s="89"/>
      <c r="O331" s="87"/>
      <c r="P331" s="87"/>
      <c r="Q331" s="87"/>
      <c r="R331" s="87"/>
      <c r="S331" s="87">
        <v>1</v>
      </c>
      <c r="T331" s="87">
        <v>1</v>
      </c>
      <c r="U331" s="87">
        <v>1</v>
      </c>
      <c r="V331" s="90" t="s">
        <v>1599</v>
      </c>
    </row>
    <row r="332" ht="15" customHeight="1" spans="1:23" x14ac:dyDescent="0.25">
      <c r="A332" s="85">
        <v>30185</v>
      </c>
      <c r="B332" s="85" t="s">
        <v>1911</v>
      </c>
      <c r="C332" s="85" t="s">
        <v>942</v>
      </c>
      <c r="D332" s="85" t="s">
        <v>993</v>
      </c>
      <c r="E332" s="85"/>
      <c r="F332" s="85" t="s">
        <v>1062</v>
      </c>
      <c r="G332" s="85" t="s">
        <v>1016</v>
      </c>
      <c r="H332" s="85" t="s">
        <v>170</v>
      </c>
      <c r="I332" s="86">
        <v>261</v>
      </c>
      <c r="J332" s="86">
        <v>261</v>
      </c>
      <c r="K332" s="87">
        <v>1</v>
      </c>
      <c r="L332" s="87">
        <v>1</v>
      </c>
      <c r="M332" s="88">
        <v>1</v>
      </c>
      <c r="N332" s="89"/>
      <c r="O332" s="87"/>
      <c r="P332" s="87"/>
      <c r="Q332" s="87"/>
      <c r="R332" s="87"/>
      <c r="S332" s="87">
        <v>1</v>
      </c>
      <c r="T332" s="87"/>
      <c r="U332" s="87">
        <v>1</v>
      </c>
      <c r="V332" s="90" t="s">
        <v>1599</v>
      </c>
    </row>
    <row r="333" ht="15" customHeight="1" spans="1:23" x14ac:dyDescent="0.25">
      <c r="A333" s="85">
        <v>30189</v>
      </c>
      <c r="B333" s="85" t="s">
        <v>1912</v>
      </c>
      <c r="C333" s="85" t="s">
        <v>357</v>
      </c>
      <c r="D333" s="85" t="s">
        <v>208</v>
      </c>
      <c r="E333" s="85"/>
      <c r="F333" s="85" t="s">
        <v>155</v>
      </c>
      <c r="G333" s="85"/>
      <c r="H333" s="85"/>
      <c r="I333" s="86"/>
      <c r="J333" s="86"/>
      <c r="K333" s="87"/>
      <c r="L333" s="87"/>
      <c r="M333" s="88"/>
      <c r="N333" s="89"/>
      <c r="O333" s="87"/>
      <c r="P333" s="87"/>
      <c r="Q333" s="87"/>
      <c r="R333" s="87"/>
      <c r="S333" s="87">
        <v>1</v>
      </c>
      <c r="T333" s="87">
        <v>1</v>
      </c>
      <c r="U333" s="87">
        <v>1</v>
      </c>
      <c r="V333" s="90" t="s">
        <v>1913</v>
      </c>
    </row>
    <row r="334" ht="15" customHeight="1" spans="1:23" x14ac:dyDescent="0.25">
      <c r="A334" s="85">
        <v>30189</v>
      </c>
      <c r="B334" s="85" t="s">
        <v>1912</v>
      </c>
      <c r="C334" s="85" t="s">
        <v>357</v>
      </c>
      <c r="D334" s="85" t="s">
        <v>208</v>
      </c>
      <c r="E334" s="85"/>
      <c r="F334" s="85" t="s">
        <v>1062</v>
      </c>
      <c r="G334" s="85" t="s">
        <v>1016</v>
      </c>
      <c r="H334" s="85" t="s">
        <v>170</v>
      </c>
      <c r="I334" s="86">
        <v>261</v>
      </c>
      <c r="J334" s="86">
        <v>261</v>
      </c>
      <c r="K334" s="87">
        <v>1</v>
      </c>
      <c r="L334" s="87">
        <v>1</v>
      </c>
      <c r="M334" s="88">
        <v>1</v>
      </c>
      <c r="N334" s="89"/>
      <c r="O334" s="87"/>
      <c r="P334" s="87"/>
      <c r="Q334" s="87"/>
      <c r="R334" s="87"/>
      <c r="S334" s="87">
        <v>1</v>
      </c>
      <c r="T334" s="87"/>
      <c r="U334" s="87">
        <v>1</v>
      </c>
      <c r="V334" s="90" t="s">
        <v>1913</v>
      </c>
    </row>
    <row r="335" ht="15" customHeight="1" spans="1:23" x14ac:dyDescent="0.25">
      <c r="A335" s="85">
        <v>30564</v>
      </c>
      <c r="B335" s="85" t="s">
        <v>1914</v>
      </c>
      <c r="C335" s="85" t="s">
        <v>942</v>
      </c>
      <c r="D335" s="85" t="s">
        <v>208</v>
      </c>
      <c r="E335" s="85" t="s">
        <v>912</v>
      </c>
      <c r="F335" s="85" t="s">
        <v>155</v>
      </c>
      <c r="G335" s="85"/>
      <c r="H335" s="85"/>
      <c r="I335" s="86"/>
      <c r="J335" s="86"/>
      <c r="K335" s="87"/>
      <c r="L335" s="87"/>
      <c r="M335" s="88"/>
      <c r="N335" s="89"/>
      <c r="O335" s="87"/>
      <c r="P335" s="87"/>
      <c r="Q335" s="87"/>
      <c r="R335" s="87"/>
      <c r="S335" s="87">
        <v>0.6628352490421456</v>
      </c>
      <c r="T335" s="87">
        <v>0.6628352490421456</v>
      </c>
      <c r="U335" s="87">
        <v>0.6628352490421456</v>
      </c>
      <c r="V335" s="90" t="s">
        <v>1915</v>
      </c>
    </row>
    <row r="336" ht="15" customHeight="1" spans="1:23" x14ac:dyDescent="0.25">
      <c r="A336" s="85">
        <v>30564</v>
      </c>
      <c r="B336" s="85" t="s">
        <v>1914</v>
      </c>
      <c r="C336" s="85" t="s">
        <v>942</v>
      </c>
      <c r="D336" s="85" t="s">
        <v>208</v>
      </c>
      <c r="E336" s="85" t="s">
        <v>912</v>
      </c>
      <c r="F336" s="85" t="s">
        <v>1062</v>
      </c>
      <c r="G336" s="85" t="s">
        <v>1016</v>
      </c>
      <c r="H336" s="85" t="s">
        <v>912</v>
      </c>
      <c r="I336" s="86">
        <v>261</v>
      </c>
      <c r="J336" s="86">
        <v>173</v>
      </c>
      <c r="K336" s="87">
        <v>0.6628352490421456</v>
      </c>
      <c r="L336" s="87">
        <v>1</v>
      </c>
      <c r="M336" s="88">
        <v>0.6628352490421456</v>
      </c>
      <c r="N336" s="89"/>
      <c r="O336" s="87"/>
      <c r="P336" s="87"/>
      <c r="Q336" s="87"/>
      <c r="R336" s="87"/>
      <c r="S336" s="87">
        <v>0.6628352490421456</v>
      </c>
      <c r="T336" s="87"/>
      <c r="U336" s="87">
        <v>0.6628352490421456</v>
      </c>
      <c r="V336" s="90" t="s">
        <v>1915</v>
      </c>
    </row>
    <row r="337" ht="15" customHeight="1" spans="1:23" x14ac:dyDescent="0.25">
      <c r="A337" s="85">
        <v>30687</v>
      </c>
      <c r="B337" s="85" t="s">
        <v>1916</v>
      </c>
      <c r="C337" s="85" t="s">
        <v>942</v>
      </c>
      <c r="D337" s="85" t="s">
        <v>1007</v>
      </c>
      <c r="E337" s="85"/>
      <c r="F337" s="85" t="s">
        <v>155</v>
      </c>
      <c r="G337" s="85"/>
      <c r="H337" s="85"/>
      <c r="I337" s="86"/>
      <c r="J337" s="86"/>
      <c r="K337" s="87"/>
      <c r="L337" s="87"/>
      <c r="M337" s="88"/>
      <c r="N337" s="89"/>
      <c r="O337" s="87"/>
      <c r="P337" s="87"/>
      <c r="Q337" s="87">
        <v>0.0008045977011494253</v>
      </c>
      <c r="R337" s="87"/>
      <c r="S337" s="87">
        <v>1</v>
      </c>
      <c r="T337" s="87">
        <v>1</v>
      </c>
      <c r="U337" s="87">
        <v>1</v>
      </c>
      <c r="V337" s="90" t="s">
        <v>1917</v>
      </c>
    </row>
    <row r="338" ht="15" customHeight="1" spans="1:23" x14ac:dyDescent="0.25">
      <c r="A338" s="85">
        <v>30687</v>
      </c>
      <c r="B338" s="85" t="s">
        <v>1916</v>
      </c>
      <c r="C338" s="85" t="s">
        <v>942</v>
      </c>
      <c r="D338" s="85" t="s">
        <v>1007</v>
      </c>
      <c r="E338" s="85"/>
      <c r="F338" s="85" t="s">
        <v>1062</v>
      </c>
      <c r="G338" s="85" t="s">
        <v>634</v>
      </c>
      <c r="H338" s="85" t="s">
        <v>170</v>
      </c>
      <c r="I338" s="86">
        <v>261</v>
      </c>
      <c r="J338" s="86">
        <v>66</v>
      </c>
      <c r="K338" s="87">
        <v>0.25287356321839083</v>
      </c>
      <c r="L338" s="87">
        <v>1</v>
      </c>
      <c r="M338" s="88">
        <v>0.25287356321839083</v>
      </c>
      <c r="N338" s="89"/>
      <c r="O338" s="87"/>
      <c r="P338" s="87"/>
      <c r="Q338" s="87"/>
      <c r="R338" s="87"/>
      <c r="S338" s="87">
        <v>0.25287356321839083</v>
      </c>
      <c r="T338" s="87"/>
      <c r="U338" s="87">
        <v>0.25287356321839083</v>
      </c>
      <c r="V338" s="90" t="s">
        <v>1918</v>
      </c>
    </row>
    <row r="339" ht="15" customHeight="1" spans="1:23" x14ac:dyDescent="0.25">
      <c r="A339" s="85">
        <v>30687</v>
      </c>
      <c r="B339" s="85" t="s">
        <v>1916</v>
      </c>
      <c r="C339" s="85" t="s">
        <v>942</v>
      </c>
      <c r="D339" s="85" t="s">
        <v>1007</v>
      </c>
      <c r="E339" s="85"/>
      <c r="F339" s="85" t="s">
        <v>1062</v>
      </c>
      <c r="G339" s="85" t="s">
        <v>1919</v>
      </c>
      <c r="H339" s="85" t="s">
        <v>1920</v>
      </c>
      <c r="I339" s="86">
        <v>261</v>
      </c>
      <c r="J339" s="86">
        <v>35</v>
      </c>
      <c r="K339" s="87">
        <v>0.13409961685823754</v>
      </c>
      <c r="L339" s="87">
        <v>1</v>
      </c>
      <c r="M339" s="88">
        <v>0.13409961685823754</v>
      </c>
      <c r="N339" s="89"/>
      <c r="O339" s="87"/>
      <c r="P339" s="87"/>
      <c r="Q339" s="87"/>
      <c r="R339" s="87"/>
      <c r="S339" s="87">
        <v>0.13409961685823754</v>
      </c>
      <c r="T339" s="87"/>
      <c r="U339" s="87">
        <v>0.13409961685823754</v>
      </c>
      <c r="V339" s="90" t="s">
        <v>1921</v>
      </c>
    </row>
    <row r="340" ht="15" customHeight="1" spans="1:23" x14ac:dyDescent="0.25">
      <c r="A340" s="85">
        <v>30687</v>
      </c>
      <c r="B340" s="85" t="s">
        <v>1916</v>
      </c>
      <c r="C340" s="85" t="s">
        <v>942</v>
      </c>
      <c r="D340" s="85" t="s">
        <v>1007</v>
      </c>
      <c r="E340" s="85"/>
      <c r="F340" s="85" t="s">
        <v>1062</v>
      </c>
      <c r="G340" s="85" t="s">
        <v>1922</v>
      </c>
      <c r="H340" s="85" t="s">
        <v>1923</v>
      </c>
      <c r="I340" s="86">
        <v>261</v>
      </c>
      <c r="J340" s="86">
        <v>21</v>
      </c>
      <c r="K340" s="87">
        <v>0.08045977011494253</v>
      </c>
      <c r="L340" s="87">
        <v>1</v>
      </c>
      <c r="M340" s="88">
        <v>0.08045977011494253</v>
      </c>
      <c r="N340" s="89">
        <v>0.01</v>
      </c>
      <c r="O340" s="87">
        <v>0.0008045977011494253</v>
      </c>
      <c r="P340" s="87"/>
      <c r="Q340" s="87">
        <v>0.0008045977011494253</v>
      </c>
      <c r="R340" s="87"/>
      <c r="S340" s="87">
        <v>0.08045977011494253</v>
      </c>
      <c r="T340" s="87"/>
      <c r="U340" s="87">
        <v>0.08045977011494253</v>
      </c>
      <c r="V340" s="90" t="s">
        <v>1924</v>
      </c>
    </row>
    <row r="341" ht="15" customHeight="1" spans="1:23" x14ac:dyDescent="0.25">
      <c r="A341" s="85">
        <v>30687</v>
      </c>
      <c r="B341" s="85" t="s">
        <v>1916</v>
      </c>
      <c r="C341" s="85" t="s">
        <v>942</v>
      </c>
      <c r="D341" s="85" t="s">
        <v>1007</v>
      </c>
      <c r="E341" s="85"/>
      <c r="F341" s="85" t="s">
        <v>1062</v>
      </c>
      <c r="G341" s="85" t="s">
        <v>1016</v>
      </c>
      <c r="H341" s="85" t="s">
        <v>1925</v>
      </c>
      <c r="I341" s="86">
        <v>261</v>
      </c>
      <c r="J341" s="86">
        <v>139</v>
      </c>
      <c r="K341" s="87">
        <v>0.5325670498084292</v>
      </c>
      <c r="L341" s="87">
        <v>1</v>
      </c>
      <c r="M341" s="88">
        <v>0.5325670498084292</v>
      </c>
      <c r="N341" s="89"/>
      <c r="O341" s="87"/>
      <c r="P341" s="87"/>
      <c r="Q341" s="87"/>
      <c r="R341" s="87"/>
      <c r="S341" s="87">
        <v>0.5325670498084292</v>
      </c>
      <c r="T341" s="87"/>
      <c r="U341" s="87">
        <v>0.5325670498084292</v>
      </c>
      <c r="V341" s="90" t="s">
        <v>1926</v>
      </c>
    </row>
    <row r="342" ht="15" customHeight="1" spans="1:23" x14ac:dyDescent="0.25">
      <c r="A342" s="85">
        <v>30963</v>
      </c>
      <c r="B342" s="85" t="s">
        <v>1927</v>
      </c>
      <c r="C342" s="85" t="s">
        <v>942</v>
      </c>
      <c r="D342" s="85" t="s">
        <v>1036</v>
      </c>
      <c r="E342" s="85"/>
      <c r="F342" s="85" t="s">
        <v>155</v>
      </c>
      <c r="G342" s="85"/>
      <c r="H342" s="85"/>
      <c r="I342" s="86"/>
      <c r="J342" s="86"/>
      <c r="K342" s="87"/>
      <c r="L342" s="87"/>
      <c r="M342" s="88"/>
      <c r="N342" s="89"/>
      <c r="O342" s="87"/>
      <c r="P342" s="87"/>
      <c r="Q342" s="87"/>
      <c r="R342" s="87"/>
      <c r="S342" s="87">
        <v>1</v>
      </c>
      <c r="T342" s="87">
        <v>1</v>
      </c>
      <c r="U342" s="87"/>
      <c r="V342" s="90" t="s">
        <v>1062</v>
      </c>
    </row>
    <row r="343" ht="15" customHeight="1" spans="1:23" x14ac:dyDescent="0.25">
      <c r="A343" s="85">
        <v>30963</v>
      </c>
      <c r="B343" s="85" t="s">
        <v>1927</v>
      </c>
      <c r="C343" s="85" t="s">
        <v>942</v>
      </c>
      <c r="D343" s="85" t="s">
        <v>1036</v>
      </c>
      <c r="E343" s="85"/>
      <c r="F343" s="85" t="s">
        <v>1062</v>
      </c>
      <c r="G343" s="85" t="s">
        <v>1016</v>
      </c>
      <c r="H343" s="85" t="s">
        <v>170</v>
      </c>
      <c r="I343" s="86">
        <v>261</v>
      </c>
      <c r="J343" s="86">
        <v>261</v>
      </c>
      <c r="K343" s="87">
        <v>1</v>
      </c>
      <c r="L343" s="87">
        <v>1</v>
      </c>
      <c r="M343" s="88">
        <v>1</v>
      </c>
      <c r="N343" s="89"/>
      <c r="O343" s="87"/>
      <c r="P343" s="87"/>
      <c r="Q343" s="87"/>
      <c r="R343" s="87"/>
      <c r="S343" s="87">
        <v>1</v>
      </c>
      <c r="T343" s="87"/>
      <c r="U343" s="87">
        <v>0</v>
      </c>
      <c r="V343" s="90" t="s">
        <v>1062</v>
      </c>
    </row>
    <row r="344" ht="15" customHeight="1" spans="1:23" x14ac:dyDescent="0.25">
      <c r="A344" s="85">
        <v>30976</v>
      </c>
      <c r="B344" s="85" t="s">
        <v>1928</v>
      </c>
      <c r="C344" s="85" t="s">
        <v>357</v>
      </c>
      <c r="D344" s="85" t="s">
        <v>552</v>
      </c>
      <c r="E344" s="85"/>
      <c r="F344" s="85" t="s">
        <v>155</v>
      </c>
      <c r="G344" s="85"/>
      <c r="H344" s="85"/>
      <c r="I344" s="86"/>
      <c r="J344" s="86"/>
      <c r="K344" s="87"/>
      <c r="L344" s="87"/>
      <c r="M344" s="88"/>
      <c r="N344" s="89"/>
      <c r="O344" s="87"/>
      <c r="P344" s="87"/>
      <c r="Q344" s="87"/>
      <c r="R344" s="87"/>
      <c r="S344" s="87">
        <v>1</v>
      </c>
      <c r="T344" s="87">
        <v>1</v>
      </c>
      <c r="U344" s="87"/>
      <c r="V344" s="90" t="s">
        <v>1062</v>
      </c>
    </row>
    <row r="345" ht="15" customHeight="1" spans="1:23" x14ac:dyDescent="0.25">
      <c r="A345" s="85">
        <v>30976</v>
      </c>
      <c r="B345" s="85" t="s">
        <v>1928</v>
      </c>
      <c r="C345" s="85" t="s">
        <v>357</v>
      </c>
      <c r="D345" s="85" t="s">
        <v>552</v>
      </c>
      <c r="E345" s="85"/>
      <c r="F345" s="85" t="s">
        <v>1062</v>
      </c>
      <c r="G345" s="85" t="s">
        <v>1016</v>
      </c>
      <c r="H345" s="85" t="s">
        <v>170</v>
      </c>
      <c r="I345" s="86">
        <v>261</v>
      </c>
      <c r="J345" s="86">
        <v>261</v>
      </c>
      <c r="K345" s="87">
        <v>1</v>
      </c>
      <c r="L345" s="87">
        <v>1</v>
      </c>
      <c r="M345" s="88">
        <v>1</v>
      </c>
      <c r="N345" s="89"/>
      <c r="O345" s="87"/>
      <c r="P345" s="87"/>
      <c r="Q345" s="87"/>
      <c r="R345" s="87"/>
      <c r="S345" s="87">
        <v>1</v>
      </c>
      <c r="T345" s="87"/>
      <c r="U345" s="87">
        <v>0</v>
      </c>
      <c r="V345" s="90" t="s">
        <v>1062</v>
      </c>
    </row>
    <row r="346" ht="15" customHeight="1" spans="1:23" x14ac:dyDescent="0.25">
      <c r="A346" s="85">
        <v>30981</v>
      </c>
      <c r="B346" s="85" t="s">
        <v>1929</v>
      </c>
      <c r="C346" s="85" t="s">
        <v>357</v>
      </c>
      <c r="D346" s="85" t="s">
        <v>377</v>
      </c>
      <c r="E346" s="85"/>
      <c r="F346" s="85" t="s">
        <v>155</v>
      </c>
      <c r="G346" s="85"/>
      <c r="H346" s="85"/>
      <c r="I346" s="86"/>
      <c r="J346" s="86"/>
      <c r="K346" s="87"/>
      <c r="L346" s="87"/>
      <c r="M346" s="88"/>
      <c r="N346" s="89"/>
      <c r="O346" s="87"/>
      <c r="P346" s="87"/>
      <c r="Q346" s="87"/>
      <c r="R346" s="87"/>
      <c r="S346" s="87">
        <v>1</v>
      </c>
      <c r="T346" s="87">
        <v>1</v>
      </c>
      <c r="U346" s="87"/>
      <c r="V346" s="90" t="s">
        <v>1062</v>
      </c>
    </row>
    <row r="347" ht="15" customHeight="1" spans="1:23" x14ac:dyDescent="0.25">
      <c r="A347" s="85">
        <v>30981</v>
      </c>
      <c r="B347" s="85" t="s">
        <v>1929</v>
      </c>
      <c r="C347" s="85" t="s">
        <v>357</v>
      </c>
      <c r="D347" s="85" t="s">
        <v>377</v>
      </c>
      <c r="E347" s="85"/>
      <c r="F347" s="85" t="s">
        <v>1062</v>
      </c>
      <c r="G347" s="85" t="s">
        <v>1016</v>
      </c>
      <c r="H347" s="85" t="s">
        <v>170</v>
      </c>
      <c r="I347" s="86">
        <v>261</v>
      </c>
      <c r="J347" s="86">
        <v>261</v>
      </c>
      <c r="K347" s="87">
        <v>1</v>
      </c>
      <c r="L347" s="87">
        <v>1</v>
      </c>
      <c r="M347" s="88">
        <v>1</v>
      </c>
      <c r="N347" s="89"/>
      <c r="O347" s="87"/>
      <c r="P347" s="87"/>
      <c r="Q347" s="87"/>
      <c r="R347" s="87"/>
      <c r="S347" s="87">
        <v>1</v>
      </c>
      <c r="T347" s="87"/>
      <c r="U347" s="87">
        <v>0</v>
      </c>
      <c r="V347" s="90" t="s">
        <v>1062</v>
      </c>
    </row>
    <row r="348" ht="15" customHeight="1" spans="1:23" x14ac:dyDescent="0.25">
      <c r="A348" s="85">
        <v>31044</v>
      </c>
      <c r="B348" s="85" t="s">
        <v>1930</v>
      </c>
      <c r="C348" s="85" t="s">
        <v>357</v>
      </c>
      <c r="D348" s="85" t="s">
        <v>743</v>
      </c>
      <c r="E348" s="85"/>
      <c r="F348" s="85" t="s">
        <v>155</v>
      </c>
      <c r="G348" s="85"/>
      <c r="H348" s="85"/>
      <c r="I348" s="86"/>
      <c r="J348" s="86"/>
      <c r="K348" s="87"/>
      <c r="L348" s="87"/>
      <c r="M348" s="88"/>
      <c r="N348" s="89"/>
      <c r="O348" s="87"/>
      <c r="P348" s="87"/>
      <c r="Q348" s="87"/>
      <c r="R348" s="87"/>
      <c r="S348" s="87">
        <v>1</v>
      </c>
      <c r="T348" s="87">
        <v>1</v>
      </c>
      <c r="U348" s="87"/>
      <c r="V348" s="90" t="s">
        <v>1062</v>
      </c>
    </row>
    <row r="349" ht="15" customHeight="1" spans="1:23" x14ac:dyDescent="0.25">
      <c r="A349" s="85">
        <v>31044</v>
      </c>
      <c r="B349" s="85" t="s">
        <v>1930</v>
      </c>
      <c r="C349" s="85" t="s">
        <v>357</v>
      </c>
      <c r="D349" s="85" t="s">
        <v>743</v>
      </c>
      <c r="E349" s="85"/>
      <c r="F349" s="85" t="s">
        <v>1062</v>
      </c>
      <c r="G349" s="85" t="s">
        <v>1016</v>
      </c>
      <c r="H349" s="85" t="s">
        <v>170</v>
      </c>
      <c r="I349" s="86">
        <v>261</v>
      </c>
      <c r="J349" s="86">
        <v>261</v>
      </c>
      <c r="K349" s="87">
        <v>1</v>
      </c>
      <c r="L349" s="87">
        <v>1</v>
      </c>
      <c r="M349" s="88">
        <v>1</v>
      </c>
      <c r="N349" s="89"/>
      <c r="O349" s="87"/>
      <c r="P349" s="87"/>
      <c r="Q349" s="87"/>
      <c r="R349" s="87"/>
      <c r="S349" s="87">
        <v>1</v>
      </c>
      <c r="T349" s="87"/>
      <c r="U349" s="87">
        <v>0</v>
      </c>
      <c r="V349" s="90" t="s">
        <v>1062</v>
      </c>
    </row>
    <row r="350" ht="15" customHeight="1" spans="1:23" x14ac:dyDescent="0.25">
      <c r="A350" s="85">
        <v>31381</v>
      </c>
      <c r="B350" s="85" t="s">
        <v>1931</v>
      </c>
      <c r="C350" s="85" t="s">
        <v>942</v>
      </c>
      <c r="D350" s="85" t="s">
        <v>596</v>
      </c>
      <c r="E350" s="85" t="s">
        <v>170</v>
      </c>
      <c r="F350" s="85" t="s">
        <v>155</v>
      </c>
      <c r="G350" s="85"/>
      <c r="H350" s="85"/>
      <c r="I350" s="86"/>
      <c r="J350" s="86"/>
      <c r="K350" s="87"/>
      <c r="L350" s="87"/>
      <c r="M350" s="88"/>
      <c r="N350" s="89"/>
      <c r="O350" s="87"/>
      <c r="P350" s="87"/>
      <c r="Q350" s="87"/>
      <c r="R350" s="87"/>
      <c r="S350" s="87">
        <v>0.4</v>
      </c>
      <c r="T350" s="87">
        <v>0.4</v>
      </c>
      <c r="U350" s="87">
        <v>0.4</v>
      </c>
      <c r="V350" s="90" t="s">
        <v>1932</v>
      </c>
    </row>
    <row r="351" ht="15" customHeight="1" spans="1:23" x14ac:dyDescent="0.25">
      <c r="A351" s="85">
        <v>31381</v>
      </c>
      <c r="B351" s="85" t="s">
        <v>1931</v>
      </c>
      <c r="C351" s="85" t="s">
        <v>942</v>
      </c>
      <c r="D351" s="85" t="s">
        <v>596</v>
      </c>
      <c r="E351" s="85" t="s">
        <v>170</v>
      </c>
      <c r="F351" s="85" t="s">
        <v>1062</v>
      </c>
      <c r="G351" s="85" t="s">
        <v>1016</v>
      </c>
      <c r="H351" s="85" t="s">
        <v>170</v>
      </c>
      <c r="I351" s="86">
        <v>261</v>
      </c>
      <c r="J351" s="86">
        <v>261</v>
      </c>
      <c r="K351" s="87">
        <v>1</v>
      </c>
      <c r="L351" s="87">
        <v>0.4</v>
      </c>
      <c r="M351" s="88">
        <v>0.4</v>
      </c>
      <c r="N351" s="89"/>
      <c r="O351" s="87"/>
      <c r="P351" s="87"/>
      <c r="Q351" s="87"/>
      <c r="R351" s="87"/>
      <c r="S351" s="87">
        <v>0.4</v>
      </c>
      <c r="T351" s="87"/>
      <c r="U351" s="87">
        <v>0.4</v>
      </c>
      <c r="V351" s="90" t="s">
        <v>1932</v>
      </c>
    </row>
    <row r="352" ht="15" customHeight="1" spans="1:23" x14ac:dyDescent="0.25">
      <c r="A352" s="85">
        <v>31524</v>
      </c>
      <c r="B352" s="85" t="s">
        <v>1933</v>
      </c>
      <c r="C352" s="85" t="s">
        <v>942</v>
      </c>
      <c r="D352" s="85" t="s">
        <v>1045</v>
      </c>
      <c r="E352" s="85"/>
      <c r="F352" s="85" t="s">
        <v>155</v>
      </c>
      <c r="G352" s="85"/>
      <c r="H352" s="85"/>
      <c r="I352" s="86"/>
      <c r="J352" s="86"/>
      <c r="K352" s="87"/>
      <c r="L352" s="87"/>
      <c r="M352" s="88"/>
      <c r="N352" s="89"/>
      <c r="O352" s="87"/>
      <c r="P352" s="87"/>
      <c r="Q352" s="87">
        <v>0.48659003831417624</v>
      </c>
      <c r="R352" s="87"/>
      <c r="S352" s="87">
        <v>1</v>
      </c>
      <c r="T352" s="87">
        <v>1</v>
      </c>
      <c r="U352" s="87">
        <v>1</v>
      </c>
      <c r="V352" s="90" t="s">
        <v>1934</v>
      </c>
    </row>
    <row r="353" ht="15" customHeight="1" spans="1:23" x14ac:dyDescent="0.25">
      <c r="A353" s="85">
        <v>31524</v>
      </c>
      <c r="B353" s="85" t="s">
        <v>1933</v>
      </c>
      <c r="C353" s="85" t="s">
        <v>942</v>
      </c>
      <c r="D353" s="85" t="s">
        <v>1045</v>
      </c>
      <c r="E353" s="85"/>
      <c r="F353" s="85" t="s">
        <v>1062</v>
      </c>
      <c r="G353" s="85" t="s">
        <v>1935</v>
      </c>
      <c r="H353" s="85" t="s">
        <v>170</v>
      </c>
      <c r="I353" s="86">
        <v>261</v>
      </c>
      <c r="J353" s="86">
        <v>28</v>
      </c>
      <c r="K353" s="87">
        <v>0.10727969348659004</v>
      </c>
      <c r="L353" s="87">
        <v>1</v>
      </c>
      <c r="M353" s="88">
        <v>0.10727969348659004</v>
      </c>
      <c r="N353" s="89">
        <v>1</v>
      </c>
      <c r="O353" s="87">
        <v>0.10727969348659004</v>
      </c>
      <c r="P353" s="87"/>
      <c r="Q353" s="87">
        <v>0.10727969348659004</v>
      </c>
      <c r="R353" s="87"/>
      <c r="S353" s="87">
        <v>0.10727969348659004</v>
      </c>
      <c r="T353" s="87"/>
      <c r="U353" s="87">
        <v>0.10727969348659004</v>
      </c>
      <c r="V353" s="90" t="s">
        <v>1936</v>
      </c>
    </row>
    <row r="354" ht="15" customHeight="1" spans="1:23" x14ac:dyDescent="0.25">
      <c r="A354" s="85">
        <v>31524</v>
      </c>
      <c r="B354" s="85" t="s">
        <v>1933</v>
      </c>
      <c r="C354" s="85" t="s">
        <v>942</v>
      </c>
      <c r="D354" s="85" t="s">
        <v>1045</v>
      </c>
      <c r="E354" s="85"/>
      <c r="F354" s="85" t="s">
        <v>1062</v>
      </c>
      <c r="G354" s="85" t="s">
        <v>169</v>
      </c>
      <c r="H354" s="85" t="s">
        <v>1937</v>
      </c>
      <c r="I354" s="86">
        <v>261</v>
      </c>
      <c r="J354" s="86">
        <v>60</v>
      </c>
      <c r="K354" s="87">
        <v>0.22988505747126436</v>
      </c>
      <c r="L354" s="87">
        <v>1</v>
      </c>
      <c r="M354" s="88">
        <v>0.22988505747126436</v>
      </c>
      <c r="N354" s="89"/>
      <c r="O354" s="87"/>
      <c r="P354" s="87"/>
      <c r="Q354" s="87"/>
      <c r="R354" s="87"/>
      <c r="S354" s="87">
        <v>0.22988505747126436</v>
      </c>
      <c r="T354" s="87"/>
      <c r="U354" s="87">
        <v>0.22988505747126436</v>
      </c>
      <c r="V354" s="90" t="s">
        <v>1938</v>
      </c>
    </row>
    <row r="355" ht="15" customHeight="1" spans="1:23" x14ac:dyDescent="0.25">
      <c r="A355" s="85">
        <v>31524</v>
      </c>
      <c r="B355" s="85" t="s">
        <v>1933</v>
      </c>
      <c r="C355" s="85" t="s">
        <v>942</v>
      </c>
      <c r="D355" s="85" t="s">
        <v>1045</v>
      </c>
      <c r="E355" s="85"/>
      <c r="F355" s="85" t="s">
        <v>1062</v>
      </c>
      <c r="G355" s="85" t="s">
        <v>1939</v>
      </c>
      <c r="H355" s="85" t="s">
        <v>912</v>
      </c>
      <c r="I355" s="86">
        <v>261</v>
      </c>
      <c r="J355" s="86">
        <v>19</v>
      </c>
      <c r="K355" s="87">
        <v>0.07279693486590039</v>
      </c>
      <c r="L355" s="87">
        <v>1</v>
      </c>
      <c r="M355" s="88">
        <v>0.07279693486590039</v>
      </c>
      <c r="N355" s="89">
        <v>1</v>
      </c>
      <c r="O355" s="87">
        <v>0.07279693486590039</v>
      </c>
      <c r="P355" s="87"/>
      <c r="Q355" s="87">
        <v>0.07279693486590039</v>
      </c>
      <c r="R355" s="87"/>
      <c r="S355" s="87">
        <v>0.07279693486590039</v>
      </c>
      <c r="T355" s="87"/>
      <c r="U355" s="87">
        <v>0.07279693486590039</v>
      </c>
      <c r="V355" s="90" t="s">
        <v>1940</v>
      </c>
    </row>
    <row r="356" ht="15" customHeight="1" spans="1:23" x14ac:dyDescent="0.25">
      <c r="A356" s="85">
        <v>31524</v>
      </c>
      <c r="B356" s="85" t="s">
        <v>1933</v>
      </c>
      <c r="C356" s="85" t="s">
        <v>942</v>
      </c>
      <c r="D356" s="85" t="s">
        <v>1045</v>
      </c>
      <c r="E356" s="85"/>
      <c r="F356" s="85" t="s">
        <v>1062</v>
      </c>
      <c r="G356" s="85" t="s">
        <v>1941</v>
      </c>
      <c r="H356" s="85" t="s">
        <v>1942</v>
      </c>
      <c r="I356" s="86">
        <v>261</v>
      </c>
      <c r="J356" s="86">
        <v>80</v>
      </c>
      <c r="K356" s="87">
        <v>0.3065134099616858</v>
      </c>
      <c r="L356" s="87">
        <v>1</v>
      </c>
      <c r="M356" s="88">
        <v>0.3065134099616858</v>
      </c>
      <c r="N356" s="89">
        <v>1</v>
      </c>
      <c r="O356" s="87">
        <v>0.3065134099616858</v>
      </c>
      <c r="P356" s="87"/>
      <c r="Q356" s="87">
        <v>0.3065134099616858</v>
      </c>
      <c r="R356" s="87"/>
      <c r="S356" s="87">
        <v>0.3065134099616858</v>
      </c>
      <c r="T356" s="87"/>
      <c r="U356" s="87">
        <v>0.3065134099616858</v>
      </c>
      <c r="V356" s="90" t="s">
        <v>1943</v>
      </c>
    </row>
    <row r="357" ht="15" customHeight="1" spans="1:23" x14ac:dyDescent="0.25">
      <c r="A357" s="85">
        <v>31524</v>
      </c>
      <c r="B357" s="85" t="s">
        <v>1933</v>
      </c>
      <c r="C357" s="85" t="s">
        <v>942</v>
      </c>
      <c r="D357" s="85" t="s">
        <v>1045</v>
      </c>
      <c r="E357" s="85"/>
      <c r="F357" s="85" t="s">
        <v>1062</v>
      </c>
      <c r="G357" s="85" t="s">
        <v>1016</v>
      </c>
      <c r="H357" s="85" t="s">
        <v>1944</v>
      </c>
      <c r="I357" s="86">
        <v>261</v>
      </c>
      <c r="J357" s="86">
        <v>74</v>
      </c>
      <c r="K357" s="87">
        <v>0.2835249042145594</v>
      </c>
      <c r="L357" s="87">
        <v>1</v>
      </c>
      <c r="M357" s="88">
        <v>0.2835249042145594</v>
      </c>
      <c r="N357" s="89"/>
      <c r="O357" s="87"/>
      <c r="P357" s="87"/>
      <c r="Q357" s="87"/>
      <c r="R357" s="87"/>
      <c r="S357" s="87">
        <v>0.2835249042145594</v>
      </c>
      <c r="T357" s="87"/>
      <c r="U357" s="87">
        <v>0.2835249042145594</v>
      </c>
      <c r="V357" s="90" t="s">
        <v>1945</v>
      </c>
    </row>
    <row r="358" ht="15" customHeight="1" spans="1:23" x14ac:dyDescent="0.25">
      <c r="A358" s="85">
        <v>31566</v>
      </c>
      <c r="B358" s="85" t="s">
        <v>1946</v>
      </c>
      <c r="C358" s="85" t="s">
        <v>357</v>
      </c>
      <c r="D358" s="85" t="s">
        <v>624</v>
      </c>
      <c r="E358" s="85"/>
      <c r="F358" s="85" t="s">
        <v>155</v>
      </c>
      <c r="G358" s="85"/>
      <c r="H358" s="85"/>
      <c r="I358" s="86"/>
      <c r="J358" s="86"/>
      <c r="K358" s="87"/>
      <c r="L358" s="87"/>
      <c r="M358" s="88"/>
      <c r="N358" s="89"/>
      <c r="O358" s="87"/>
      <c r="P358" s="87"/>
      <c r="Q358" s="87">
        <v>0.011494252873563218</v>
      </c>
      <c r="R358" s="87"/>
      <c r="S358" s="87">
        <v>1</v>
      </c>
      <c r="T358" s="87">
        <v>1</v>
      </c>
      <c r="U358" s="87">
        <v>1</v>
      </c>
      <c r="V358" s="90" t="s">
        <v>1947</v>
      </c>
    </row>
    <row r="359" ht="15" customHeight="1" spans="1:23" x14ac:dyDescent="0.25">
      <c r="A359" s="85">
        <v>31566</v>
      </c>
      <c r="B359" s="85" t="s">
        <v>1946</v>
      </c>
      <c r="C359" s="85" t="s">
        <v>357</v>
      </c>
      <c r="D359" s="85" t="s">
        <v>624</v>
      </c>
      <c r="E359" s="85"/>
      <c r="F359" s="85" t="s">
        <v>1062</v>
      </c>
      <c r="G359" s="85" t="s">
        <v>1948</v>
      </c>
      <c r="H359" s="85" t="s">
        <v>170</v>
      </c>
      <c r="I359" s="86">
        <v>261</v>
      </c>
      <c r="J359" s="86">
        <v>203</v>
      </c>
      <c r="K359" s="87">
        <v>0.7777777777777778</v>
      </c>
      <c r="L359" s="87">
        <v>1</v>
      </c>
      <c r="M359" s="88">
        <v>0.7777777777777778</v>
      </c>
      <c r="N359" s="89"/>
      <c r="O359" s="87"/>
      <c r="P359" s="87"/>
      <c r="Q359" s="87"/>
      <c r="R359" s="87"/>
      <c r="S359" s="87">
        <v>0.7777777777777778</v>
      </c>
      <c r="T359" s="87"/>
      <c r="U359" s="87">
        <v>0.7777777777777778</v>
      </c>
      <c r="V359" s="90" t="s">
        <v>1949</v>
      </c>
    </row>
    <row r="360" ht="15" customHeight="1" spans="1:23" x14ac:dyDescent="0.25">
      <c r="A360" s="85">
        <v>31566</v>
      </c>
      <c r="B360" s="85" t="s">
        <v>1946</v>
      </c>
      <c r="C360" s="85" t="s">
        <v>357</v>
      </c>
      <c r="D360" s="85" t="s">
        <v>624</v>
      </c>
      <c r="E360" s="85"/>
      <c r="F360" s="85" t="s">
        <v>1062</v>
      </c>
      <c r="G360" s="85" t="s">
        <v>1950</v>
      </c>
      <c r="H360" s="85" t="s">
        <v>1951</v>
      </c>
      <c r="I360" s="86">
        <v>261</v>
      </c>
      <c r="J360" s="86">
        <v>3</v>
      </c>
      <c r="K360" s="87">
        <v>0.011494252873563218</v>
      </c>
      <c r="L360" s="87">
        <v>1</v>
      </c>
      <c r="M360" s="88">
        <v>0.011494252873563218</v>
      </c>
      <c r="N360" s="89">
        <v>1</v>
      </c>
      <c r="O360" s="87">
        <v>0.011494252873563218</v>
      </c>
      <c r="P360" s="87"/>
      <c r="Q360" s="87">
        <v>0.011494252873563218</v>
      </c>
      <c r="R360" s="87"/>
      <c r="S360" s="87">
        <v>0.011494252873563218</v>
      </c>
      <c r="T360" s="87"/>
      <c r="U360" s="87">
        <v>0.011494252873563218</v>
      </c>
      <c r="V360" s="90" t="s">
        <v>1952</v>
      </c>
    </row>
    <row r="361" ht="15" customHeight="1" spans="1:23" x14ac:dyDescent="0.25">
      <c r="A361" s="85">
        <v>31566</v>
      </c>
      <c r="B361" s="85" t="s">
        <v>1946</v>
      </c>
      <c r="C361" s="85" t="s">
        <v>357</v>
      </c>
      <c r="D361" s="85" t="s">
        <v>624</v>
      </c>
      <c r="E361" s="85"/>
      <c r="F361" s="85" t="s">
        <v>1062</v>
      </c>
      <c r="G361" s="85" t="s">
        <v>1016</v>
      </c>
      <c r="H361" s="85" t="s">
        <v>1605</v>
      </c>
      <c r="I361" s="86">
        <v>261</v>
      </c>
      <c r="J361" s="86">
        <v>55</v>
      </c>
      <c r="K361" s="87">
        <v>0.210727969348659</v>
      </c>
      <c r="L361" s="87">
        <v>1</v>
      </c>
      <c r="M361" s="88">
        <v>0.210727969348659</v>
      </c>
      <c r="N361" s="89"/>
      <c r="O361" s="87"/>
      <c r="P361" s="87"/>
      <c r="Q361" s="87"/>
      <c r="R361" s="87"/>
      <c r="S361" s="87">
        <v>0.210727969348659</v>
      </c>
      <c r="T361" s="87"/>
      <c r="U361" s="87">
        <v>0.210727969348659</v>
      </c>
      <c r="V361" s="90" t="s">
        <v>1953</v>
      </c>
    </row>
    <row r="362" ht="15" customHeight="1" spans="1:23" x14ac:dyDescent="0.25">
      <c r="A362" s="85">
        <v>31646</v>
      </c>
      <c r="B362" s="85" t="s">
        <v>1954</v>
      </c>
      <c r="C362" s="85" t="s">
        <v>161</v>
      </c>
      <c r="D362" s="85" t="s">
        <v>325</v>
      </c>
      <c r="E362" s="85"/>
      <c r="F362" s="85" t="s">
        <v>155</v>
      </c>
      <c r="G362" s="85"/>
      <c r="H362" s="85"/>
      <c r="I362" s="86"/>
      <c r="J362" s="86"/>
      <c r="K362" s="87"/>
      <c r="L362" s="87"/>
      <c r="M362" s="88"/>
      <c r="N362" s="89"/>
      <c r="O362" s="87"/>
      <c r="P362" s="87"/>
      <c r="Q362" s="87"/>
      <c r="R362" s="87"/>
      <c r="S362" s="87">
        <v>1</v>
      </c>
      <c r="T362" s="87">
        <v>1</v>
      </c>
      <c r="U362" s="87">
        <v>1</v>
      </c>
      <c r="V362" s="90" t="s">
        <v>1955</v>
      </c>
    </row>
    <row r="363" ht="15" customHeight="1" spans="1:23" x14ac:dyDescent="0.25">
      <c r="A363" s="85">
        <v>31646</v>
      </c>
      <c r="B363" s="85" t="s">
        <v>1954</v>
      </c>
      <c r="C363" s="85" t="s">
        <v>161</v>
      </c>
      <c r="D363" s="85" t="s">
        <v>325</v>
      </c>
      <c r="E363" s="85"/>
      <c r="F363" s="85" t="s">
        <v>1062</v>
      </c>
      <c r="G363" s="85" t="s">
        <v>1016</v>
      </c>
      <c r="H363" s="85" t="s">
        <v>170</v>
      </c>
      <c r="I363" s="86">
        <v>261</v>
      </c>
      <c r="J363" s="86">
        <v>261</v>
      </c>
      <c r="K363" s="87">
        <v>1</v>
      </c>
      <c r="L363" s="87">
        <v>1</v>
      </c>
      <c r="M363" s="88">
        <v>1</v>
      </c>
      <c r="N363" s="89"/>
      <c r="O363" s="87"/>
      <c r="P363" s="87"/>
      <c r="Q363" s="87"/>
      <c r="R363" s="87"/>
      <c r="S363" s="87">
        <v>1</v>
      </c>
      <c r="T363" s="87"/>
      <c r="U363" s="87">
        <v>1</v>
      </c>
      <c r="V363" s="90" t="s">
        <v>1955</v>
      </c>
    </row>
    <row r="364" ht="15" customHeight="1" spans="1:23" x14ac:dyDescent="0.25">
      <c r="A364" s="85">
        <v>31837</v>
      </c>
      <c r="B364" s="85" t="s">
        <v>1956</v>
      </c>
      <c r="C364" s="85" t="s">
        <v>357</v>
      </c>
      <c r="D364" s="85" t="s">
        <v>482</v>
      </c>
      <c r="E364" s="85" t="s">
        <v>602</v>
      </c>
      <c r="F364" s="85" t="s">
        <v>155</v>
      </c>
      <c r="G364" s="85"/>
      <c r="H364" s="85"/>
      <c r="I364" s="86"/>
      <c r="J364" s="86"/>
      <c r="K364" s="87"/>
      <c r="L364" s="87"/>
      <c r="M364" s="88"/>
      <c r="N364" s="89"/>
      <c r="O364" s="87"/>
      <c r="P364" s="87"/>
      <c r="Q364" s="87"/>
      <c r="R364" s="87"/>
      <c r="S364" s="87">
        <v>0.16475095785440613</v>
      </c>
      <c r="T364" s="87">
        <v>0.16475095785440613</v>
      </c>
      <c r="U364" s="87">
        <v>0.16475095785440613</v>
      </c>
      <c r="V364" s="90" t="s">
        <v>1957</v>
      </c>
    </row>
    <row r="365" ht="15" customHeight="1" spans="1:23" x14ac:dyDescent="0.25">
      <c r="A365" s="85">
        <v>31837</v>
      </c>
      <c r="B365" s="85" t="s">
        <v>1956</v>
      </c>
      <c r="C365" s="85" t="s">
        <v>357</v>
      </c>
      <c r="D365" s="85" t="s">
        <v>482</v>
      </c>
      <c r="E365" s="85" t="s">
        <v>602</v>
      </c>
      <c r="F365" s="85" t="s">
        <v>1062</v>
      </c>
      <c r="G365" s="85" t="s">
        <v>1016</v>
      </c>
      <c r="H365" s="85" t="s">
        <v>602</v>
      </c>
      <c r="I365" s="86">
        <v>261</v>
      </c>
      <c r="J365" s="86">
        <v>43</v>
      </c>
      <c r="K365" s="87">
        <v>0.16475095785440613</v>
      </c>
      <c r="L365" s="87">
        <v>1</v>
      </c>
      <c r="M365" s="88">
        <v>0.16475095785440613</v>
      </c>
      <c r="N365" s="89"/>
      <c r="O365" s="87"/>
      <c r="P365" s="87"/>
      <c r="Q365" s="87"/>
      <c r="R365" s="87"/>
      <c r="S365" s="87">
        <v>0.16475095785440613</v>
      </c>
      <c r="T365" s="87"/>
      <c r="U365" s="87">
        <v>0.16475095785440613</v>
      </c>
      <c r="V365" s="90" t="s">
        <v>1957</v>
      </c>
    </row>
    <row r="366" ht="15" customHeight="1" spans="1:23" x14ac:dyDescent="0.25">
      <c r="A366" s="85">
        <v>31856</v>
      </c>
      <c r="B366" s="85" t="s">
        <v>1958</v>
      </c>
      <c r="C366" s="85" t="s">
        <v>357</v>
      </c>
      <c r="D366" s="85" t="s">
        <v>482</v>
      </c>
      <c r="E366" s="85"/>
      <c r="F366" s="85" t="s">
        <v>155</v>
      </c>
      <c r="G366" s="85"/>
      <c r="H366" s="85"/>
      <c r="I366" s="86"/>
      <c r="J366" s="86"/>
      <c r="K366" s="87"/>
      <c r="L366" s="87"/>
      <c r="M366" s="88"/>
      <c r="N366" s="89"/>
      <c r="O366" s="87"/>
      <c r="P366" s="87"/>
      <c r="Q366" s="87"/>
      <c r="R366" s="87"/>
      <c r="S366" s="87">
        <v>1</v>
      </c>
      <c r="T366" s="87">
        <v>1</v>
      </c>
      <c r="U366" s="87">
        <v>0.0005</v>
      </c>
      <c r="V366" s="90" t="s">
        <v>1959</v>
      </c>
    </row>
    <row r="367" ht="15" customHeight="1" spans="1:23" x14ac:dyDescent="0.25">
      <c r="A367" s="85">
        <v>31856</v>
      </c>
      <c r="B367" s="85" t="s">
        <v>1958</v>
      </c>
      <c r="C367" s="85" t="s">
        <v>357</v>
      </c>
      <c r="D367" s="85" t="s">
        <v>482</v>
      </c>
      <c r="E367" s="85"/>
      <c r="F367" s="85" t="s">
        <v>1062</v>
      </c>
      <c r="G367" s="85" t="s">
        <v>1016</v>
      </c>
      <c r="H367" s="85" t="s">
        <v>170</v>
      </c>
      <c r="I367" s="86">
        <v>261</v>
      </c>
      <c r="J367" s="86">
        <v>261</v>
      </c>
      <c r="K367" s="87">
        <v>1</v>
      </c>
      <c r="L367" s="87">
        <v>1</v>
      </c>
      <c r="M367" s="88">
        <v>1</v>
      </c>
      <c r="N367" s="89"/>
      <c r="O367" s="87"/>
      <c r="P367" s="87"/>
      <c r="Q367" s="87"/>
      <c r="R367" s="87"/>
      <c r="S367" s="87">
        <v>1</v>
      </c>
      <c r="T367" s="87"/>
      <c r="U367" s="87">
        <v>0.0005</v>
      </c>
      <c r="V367" s="90" t="s">
        <v>1960</v>
      </c>
    </row>
    <row r="368" ht="15" customHeight="1" spans="1:23" x14ac:dyDescent="0.25">
      <c r="A368" s="85">
        <v>32444</v>
      </c>
      <c r="B368" s="85" t="s">
        <v>1961</v>
      </c>
      <c r="C368" s="85" t="s">
        <v>357</v>
      </c>
      <c r="D368" s="85" t="s">
        <v>558</v>
      </c>
      <c r="E368" s="85"/>
      <c r="F368" s="85" t="s">
        <v>155</v>
      </c>
      <c r="G368" s="85"/>
      <c r="H368" s="85"/>
      <c r="I368" s="86"/>
      <c r="J368" s="86"/>
      <c r="K368" s="87"/>
      <c r="L368" s="87"/>
      <c r="M368" s="88"/>
      <c r="N368" s="89"/>
      <c r="O368" s="87"/>
      <c r="P368" s="87"/>
      <c r="Q368" s="87"/>
      <c r="R368" s="87"/>
      <c r="S368" s="87">
        <v>1</v>
      </c>
      <c r="T368" s="87">
        <v>1</v>
      </c>
      <c r="U368" s="87">
        <v>1</v>
      </c>
      <c r="V368" s="90" t="s">
        <v>1962</v>
      </c>
    </row>
    <row r="369" ht="15" customHeight="1" spans="1:23" x14ac:dyDescent="0.25">
      <c r="A369" s="85">
        <v>32444</v>
      </c>
      <c r="B369" s="85" t="s">
        <v>1961</v>
      </c>
      <c r="C369" s="85" t="s">
        <v>357</v>
      </c>
      <c r="D369" s="85" t="s">
        <v>558</v>
      </c>
      <c r="E369" s="85"/>
      <c r="F369" s="85" t="s">
        <v>1062</v>
      </c>
      <c r="G369" s="85" t="s">
        <v>1016</v>
      </c>
      <c r="H369" s="85" t="s">
        <v>170</v>
      </c>
      <c r="I369" s="86">
        <v>261</v>
      </c>
      <c r="J369" s="86">
        <v>261</v>
      </c>
      <c r="K369" s="87">
        <v>1</v>
      </c>
      <c r="L369" s="87">
        <v>1</v>
      </c>
      <c r="M369" s="88">
        <v>1</v>
      </c>
      <c r="N369" s="89"/>
      <c r="O369" s="87"/>
      <c r="P369" s="87"/>
      <c r="Q369" s="87"/>
      <c r="R369" s="87"/>
      <c r="S369" s="87">
        <v>1</v>
      </c>
      <c r="T369" s="87"/>
      <c r="U369" s="87">
        <v>1</v>
      </c>
      <c r="V369" s="90" t="s">
        <v>1962</v>
      </c>
    </row>
    <row r="370" ht="15" customHeight="1" spans="1:23" x14ac:dyDescent="0.25">
      <c r="A370" s="85">
        <v>32492</v>
      </c>
      <c r="B370" s="85" t="s">
        <v>1963</v>
      </c>
      <c r="C370" s="85" t="s">
        <v>357</v>
      </c>
      <c r="D370" s="85" t="s">
        <v>498</v>
      </c>
      <c r="E370" s="85"/>
      <c r="F370" s="85" t="s">
        <v>155</v>
      </c>
      <c r="G370" s="85"/>
      <c r="H370" s="85"/>
      <c r="I370" s="86"/>
      <c r="J370" s="86"/>
      <c r="K370" s="87"/>
      <c r="L370" s="87"/>
      <c r="M370" s="88"/>
      <c r="N370" s="89"/>
      <c r="O370" s="87"/>
      <c r="P370" s="87"/>
      <c r="Q370" s="87"/>
      <c r="R370" s="87"/>
      <c r="S370" s="87">
        <v>0.9</v>
      </c>
      <c r="T370" s="87">
        <v>0.9</v>
      </c>
      <c r="U370" s="87">
        <v>0.9</v>
      </c>
      <c r="V370" s="90" t="s">
        <v>1964</v>
      </c>
    </row>
    <row r="371" ht="15" customHeight="1" spans="1:23" x14ac:dyDescent="0.25">
      <c r="A371" s="85">
        <v>32492</v>
      </c>
      <c r="B371" s="85" t="s">
        <v>1963</v>
      </c>
      <c r="C371" s="85" t="s">
        <v>357</v>
      </c>
      <c r="D371" s="85" t="s">
        <v>498</v>
      </c>
      <c r="E371" s="85"/>
      <c r="F371" s="85" t="s">
        <v>1062</v>
      </c>
      <c r="G371" s="85" t="s">
        <v>1016</v>
      </c>
      <c r="H371" s="85" t="s">
        <v>170</v>
      </c>
      <c r="I371" s="86">
        <v>261</v>
      </c>
      <c r="J371" s="86">
        <v>261</v>
      </c>
      <c r="K371" s="87">
        <v>1</v>
      </c>
      <c r="L371" s="87">
        <v>0.9</v>
      </c>
      <c r="M371" s="88">
        <v>0.9</v>
      </c>
      <c r="N371" s="89"/>
      <c r="O371" s="87"/>
      <c r="P371" s="87"/>
      <c r="Q371" s="87"/>
      <c r="R371" s="87"/>
      <c r="S371" s="87">
        <v>0.9</v>
      </c>
      <c r="T371" s="87"/>
      <c r="U371" s="87">
        <v>0.9</v>
      </c>
      <c r="V371" s="90" t="s">
        <v>1964</v>
      </c>
    </row>
    <row r="372" ht="15" customHeight="1" spans="1:23" x14ac:dyDescent="0.25">
      <c r="A372" s="85">
        <v>32669</v>
      </c>
      <c r="B372" s="85" t="s">
        <v>1965</v>
      </c>
      <c r="C372" s="85" t="s">
        <v>161</v>
      </c>
      <c r="D372" s="85" t="s">
        <v>208</v>
      </c>
      <c r="E372" s="85"/>
      <c r="F372" s="85" t="s">
        <v>155</v>
      </c>
      <c r="G372" s="85"/>
      <c r="H372" s="85"/>
      <c r="I372" s="86"/>
      <c r="J372" s="86"/>
      <c r="K372" s="87"/>
      <c r="L372" s="87"/>
      <c r="M372" s="88"/>
      <c r="N372" s="89"/>
      <c r="O372" s="87"/>
      <c r="P372" s="87"/>
      <c r="Q372" s="87">
        <v>0.2988505747126437</v>
      </c>
      <c r="R372" s="87"/>
      <c r="S372" s="87">
        <v>1</v>
      </c>
      <c r="T372" s="87">
        <v>1</v>
      </c>
      <c r="U372" s="87">
        <v>1</v>
      </c>
      <c r="V372" s="90" t="s">
        <v>1966</v>
      </c>
    </row>
    <row r="373" ht="15" customHeight="1" spans="1:23" x14ac:dyDescent="0.25">
      <c r="A373" s="85">
        <v>32669</v>
      </c>
      <c r="B373" s="85" t="s">
        <v>1965</v>
      </c>
      <c r="C373" s="85" t="s">
        <v>161</v>
      </c>
      <c r="D373" s="85" t="s">
        <v>208</v>
      </c>
      <c r="E373" s="85"/>
      <c r="F373" s="85" t="s">
        <v>1062</v>
      </c>
      <c r="G373" s="85" t="s">
        <v>1967</v>
      </c>
      <c r="H373" s="85" t="s">
        <v>170</v>
      </c>
      <c r="I373" s="86">
        <v>261</v>
      </c>
      <c r="J373" s="86">
        <v>78</v>
      </c>
      <c r="K373" s="87">
        <v>0.2988505747126437</v>
      </c>
      <c r="L373" s="87">
        <v>1</v>
      </c>
      <c r="M373" s="88">
        <v>0.2988505747126437</v>
      </c>
      <c r="N373" s="89">
        <v>1</v>
      </c>
      <c r="O373" s="87">
        <v>0.2988505747126437</v>
      </c>
      <c r="P373" s="87"/>
      <c r="Q373" s="87">
        <v>0.2988505747126437</v>
      </c>
      <c r="R373" s="87"/>
      <c r="S373" s="87">
        <v>0.2988505747126437</v>
      </c>
      <c r="T373" s="87"/>
      <c r="U373" s="87">
        <v>0.2988505747126437</v>
      </c>
      <c r="V373" s="90" t="s">
        <v>1968</v>
      </c>
    </row>
    <row r="374" ht="15" customHeight="1" spans="1:23" x14ac:dyDescent="0.25">
      <c r="A374" s="85">
        <v>32669</v>
      </c>
      <c r="B374" s="85" t="s">
        <v>1965</v>
      </c>
      <c r="C374" s="85" t="s">
        <v>161</v>
      </c>
      <c r="D374" s="85" t="s">
        <v>208</v>
      </c>
      <c r="E374" s="85"/>
      <c r="F374" s="85" t="s">
        <v>1062</v>
      </c>
      <c r="G374" s="85" t="s">
        <v>1016</v>
      </c>
      <c r="H374" s="85" t="s">
        <v>1969</v>
      </c>
      <c r="I374" s="86">
        <v>261</v>
      </c>
      <c r="J374" s="86">
        <v>183</v>
      </c>
      <c r="K374" s="87">
        <v>0.7011494252873564</v>
      </c>
      <c r="L374" s="87">
        <v>1</v>
      </c>
      <c r="M374" s="88">
        <v>0.7011494252873564</v>
      </c>
      <c r="N374" s="89"/>
      <c r="O374" s="87"/>
      <c r="P374" s="87"/>
      <c r="Q374" s="87"/>
      <c r="R374" s="87"/>
      <c r="S374" s="87">
        <v>0.7011494252873564</v>
      </c>
      <c r="T374" s="87"/>
      <c r="U374" s="87">
        <v>0.7011494252873564</v>
      </c>
      <c r="V374" s="90" t="s">
        <v>1970</v>
      </c>
    </row>
    <row r="375" ht="15" customHeight="1" spans="1:23" x14ac:dyDescent="0.25">
      <c r="A375" s="85">
        <v>33385</v>
      </c>
      <c r="B375" s="85" t="s">
        <v>1971</v>
      </c>
      <c r="C375" s="85" t="s">
        <v>357</v>
      </c>
      <c r="D375" s="85" t="s">
        <v>363</v>
      </c>
      <c r="E375" s="85"/>
      <c r="F375" s="85" t="s">
        <v>155</v>
      </c>
      <c r="G375" s="85"/>
      <c r="H375" s="85"/>
      <c r="I375" s="86"/>
      <c r="J375" s="86"/>
      <c r="K375" s="87"/>
      <c r="L375" s="87"/>
      <c r="M375" s="88"/>
      <c r="N375" s="89"/>
      <c r="O375" s="87"/>
      <c r="P375" s="87"/>
      <c r="Q375" s="87">
        <v>0.03065134099616858</v>
      </c>
      <c r="R375" s="87"/>
      <c r="S375" s="87">
        <v>1</v>
      </c>
      <c r="T375" s="87">
        <v>1</v>
      </c>
      <c r="U375" s="87">
        <v>1</v>
      </c>
      <c r="V375" s="90" t="s">
        <v>1972</v>
      </c>
    </row>
    <row r="376" ht="15" customHeight="1" spans="1:23" x14ac:dyDescent="0.25">
      <c r="A376" s="85">
        <v>33385</v>
      </c>
      <c r="B376" s="85" t="s">
        <v>1971</v>
      </c>
      <c r="C376" s="85" t="s">
        <v>357</v>
      </c>
      <c r="D376" s="85" t="s">
        <v>363</v>
      </c>
      <c r="E376" s="85"/>
      <c r="F376" s="85" t="s">
        <v>1062</v>
      </c>
      <c r="G376" s="85" t="s">
        <v>1973</v>
      </c>
      <c r="H376" s="85" t="s">
        <v>170</v>
      </c>
      <c r="I376" s="86">
        <v>261</v>
      </c>
      <c r="J376" s="86">
        <v>223</v>
      </c>
      <c r="K376" s="87">
        <v>0.8544061302681992</v>
      </c>
      <c r="L376" s="87">
        <v>1</v>
      </c>
      <c r="M376" s="88">
        <v>0.8544061302681992</v>
      </c>
      <c r="N376" s="89"/>
      <c r="O376" s="87"/>
      <c r="P376" s="87"/>
      <c r="Q376" s="87"/>
      <c r="R376" s="87"/>
      <c r="S376" s="87">
        <v>0.8544061302681992</v>
      </c>
      <c r="T376" s="87"/>
      <c r="U376" s="87">
        <v>0.8544061302681992</v>
      </c>
      <c r="V376" s="90" t="s">
        <v>1974</v>
      </c>
    </row>
    <row r="377" ht="15" customHeight="1" spans="1:23" x14ac:dyDescent="0.25">
      <c r="A377" s="85">
        <v>33385</v>
      </c>
      <c r="B377" s="85" t="s">
        <v>1971</v>
      </c>
      <c r="C377" s="85" t="s">
        <v>357</v>
      </c>
      <c r="D377" s="85" t="s">
        <v>363</v>
      </c>
      <c r="E377" s="85"/>
      <c r="F377" s="85" t="s">
        <v>1062</v>
      </c>
      <c r="G377" s="85" t="s">
        <v>1975</v>
      </c>
      <c r="H377" s="85" t="s">
        <v>1898</v>
      </c>
      <c r="I377" s="86">
        <v>261</v>
      </c>
      <c r="J377" s="86">
        <v>3</v>
      </c>
      <c r="K377" s="87">
        <v>0.011494252873563218</v>
      </c>
      <c r="L377" s="87">
        <v>1</v>
      </c>
      <c r="M377" s="88">
        <v>0.011494252873563218</v>
      </c>
      <c r="N377" s="89">
        <v>1</v>
      </c>
      <c r="O377" s="87">
        <v>0.011494252873563218</v>
      </c>
      <c r="P377" s="87"/>
      <c r="Q377" s="87">
        <v>0.011494252873563218</v>
      </c>
      <c r="R377" s="87"/>
      <c r="S377" s="87">
        <v>0.011494252873563218</v>
      </c>
      <c r="T377" s="87"/>
      <c r="U377" s="87">
        <v>0.011494252873563218</v>
      </c>
      <c r="V377" s="90" t="s">
        <v>1976</v>
      </c>
    </row>
    <row r="378" ht="15" customHeight="1" spans="1:23" x14ac:dyDescent="0.25">
      <c r="A378" s="85">
        <v>33385</v>
      </c>
      <c r="B378" s="85" t="s">
        <v>1971</v>
      </c>
      <c r="C378" s="85" t="s">
        <v>357</v>
      </c>
      <c r="D378" s="85" t="s">
        <v>363</v>
      </c>
      <c r="E378" s="85"/>
      <c r="F378" s="85" t="s">
        <v>1062</v>
      </c>
      <c r="G378" s="85" t="s">
        <v>1853</v>
      </c>
      <c r="H378" s="85" t="s">
        <v>1977</v>
      </c>
      <c r="I378" s="86">
        <v>261</v>
      </c>
      <c r="J378" s="86">
        <v>12</v>
      </c>
      <c r="K378" s="87">
        <v>0.04597701149425287</v>
      </c>
      <c r="L378" s="87">
        <v>1</v>
      </c>
      <c r="M378" s="88">
        <v>0.04597701149425287</v>
      </c>
      <c r="N378" s="89"/>
      <c r="O378" s="87"/>
      <c r="P378" s="87"/>
      <c r="Q378" s="87"/>
      <c r="R378" s="87"/>
      <c r="S378" s="87">
        <v>0.04597701149425287</v>
      </c>
      <c r="T378" s="87"/>
      <c r="U378" s="87">
        <v>0.04597701149425287</v>
      </c>
      <c r="V378" s="90" t="s">
        <v>1978</v>
      </c>
    </row>
    <row r="379" ht="15" customHeight="1" spans="1:23" x14ac:dyDescent="0.25">
      <c r="A379" s="85">
        <v>33385</v>
      </c>
      <c r="B379" s="85" t="s">
        <v>1971</v>
      </c>
      <c r="C379" s="85" t="s">
        <v>357</v>
      </c>
      <c r="D379" s="85" t="s">
        <v>363</v>
      </c>
      <c r="E379" s="85"/>
      <c r="F379" s="85" t="s">
        <v>1062</v>
      </c>
      <c r="G379" s="85" t="s">
        <v>1659</v>
      </c>
      <c r="H379" s="85" t="s">
        <v>1855</v>
      </c>
      <c r="I379" s="86">
        <v>261</v>
      </c>
      <c r="J379" s="86">
        <v>5</v>
      </c>
      <c r="K379" s="87">
        <v>0.019157088122605363</v>
      </c>
      <c r="L379" s="87">
        <v>1</v>
      </c>
      <c r="M379" s="88">
        <v>0.019157088122605363</v>
      </c>
      <c r="N379" s="89">
        <v>1</v>
      </c>
      <c r="O379" s="87">
        <v>0.019157088122605363</v>
      </c>
      <c r="P379" s="87"/>
      <c r="Q379" s="87">
        <v>0.019157088122605363</v>
      </c>
      <c r="R379" s="87"/>
      <c r="S379" s="87">
        <v>0.019157088122605363</v>
      </c>
      <c r="T379" s="87"/>
      <c r="U379" s="87">
        <v>0.019157088122605363</v>
      </c>
      <c r="V379" s="90" t="s">
        <v>1979</v>
      </c>
    </row>
    <row r="380" ht="15" customHeight="1" spans="1:23" x14ac:dyDescent="0.25">
      <c r="A380" s="85">
        <v>33385</v>
      </c>
      <c r="B380" s="85" t="s">
        <v>1971</v>
      </c>
      <c r="C380" s="85" t="s">
        <v>357</v>
      </c>
      <c r="D380" s="85" t="s">
        <v>363</v>
      </c>
      <c r="E380" s="85"/>
      <c r="F380" s="85" t="s">
        <v>1062</v>
      </c>
      <c r="G380" s="85" t="s">
        <v>1016</v>
      </c>
      <c r="H380" s="85" t="s">
        <v>1882</v>
      </c>
      <c r="I380" s="86">
        <v>261</v>
      </c>
      <c r="J380" s="86">
        <v>18</v>
      </c>
      <c r="K380" s="87">
        <v>0.06896551724137931</v>
      </c>
      <c r="L380" s="87">
        <v>1</v>
      </c>
      <c r="M380" s="88">
        <v>0.06896551724137931</v>
      </c>
      <c r="N380" s="89"/>
      <c r="O380" s="87"/>
      <c r="P380" s="87"/>
      <c r="Q380" s="87"/>
      <c r="R380" s="87"/>
      <c r="S380" s="87">
        <v>0.06896551724137931</v>
      </c>
      <c r="T380" s="87"/>
      <c r="U380" s="87">
        <v>0.06896551724137931</v>
      </c>
      <c r="V380" s="90" t="s">
        <v>1980</v>
      </c>
    </row>
    <row r="381" ht="15" customHeight="1" spans="1:23" x14ac:dyDescent="0.25">
      <c r="A381" s="85">
        <v>34569</v>
      </c>
      <c r="B381" s="85" t="s">
        <v>1981</v>
      </c>
      <c r="C381" s="85" t="s">
        <v>357</v>
      </c>
      <c r="D381" s="85" t="s">
        <v>752</v>
      </c>
      <c r="E381" s="85"/>
      <c r="F381" s="85" t="s">
        <v>155</v>
      </c>
      <c r="G381" s="85"/>
      <c r="H381" s="85"/>
      <c r="I381" s="86"/>
      <c r="J381" s="86"/>
      <c r="K381" s="87"/>
      <c r="L381" s="87"/>
      <c r="M381" s="88"/>
      <c r="N381" s="89"/>
      <c r="O381" s="87"/>
      <c r="P381" s="87"/>
      <c r="Q381" s="87"/>
      <c r="R381" s="87"/>
      <c r="S381" s="87">
        <v>0.1685823754789272</v>
      </c>
      <c r="T381" s="87">
        <v>0.1685823754789272</v>
      </c>
      <c r="U381" s="87">
        <v>0.1685823754789272</v>
      </c>
      <c r="V381" s="90" t="s">
        <v>1982</v>
      </c>
    </row>
    <row r="382" ht="15" customHeight="1" spans="1:23" x14ac:dyDescent="0.25">
      <c r="A382" s="85">
        <v>34569</v>
      </c>
      <c r="B382" s="85" t="s">
        <v>1981</v>
      </c>
      <c r="C382" s="85" t="s">
        <v>357</v>
      </c>
      <c r="D382" s="85" t="s">
        <v>752</v>
      </c>
      <c r="E382" s="85"/>
      <c r="F382" s="85" t="s">
        <v>1062</v>
      </c>
      <c r="G382" s="85" t="s">
        <v>752</v>
      </c>
      <c r="H382" s="85" t="s">
        <v>170</v>
      </c>
      <c r="I382" s="86">
        <v>261</v>
      </c>
      <c r="J382" s="86">
        <v>44</v>
      </c>
      <c r="K382" s="87">
        <v>0.1685823754789272</v>
      </c>
      <c r="L382" s="87">
        <v>1</v>
      </c>
      <c r="M382" s="88">
        <v>0.1685823754789272</v>
      </c>
      <c r="N382" s="89"/>
      <c r="O382" s="87"/>
      <c r="P382" s="87"/>
      <c r="Q382" s="87"/>
      <c r="R382" s="87"/>
      <c r="S382" s="87">
        <v>0.1685823754789272</v>
      </c>
      <c r="T382" s="87"/>
      <c r="U382" s="87">
        <v>0.1685823754789272</v>
      </c>
      <c r="V382" s="90" t="s">
        <v>1982</v>
      </c>
    </row>
    <row r="383" ht="15" customHeight="1" spans="1:23" x14ac:dyDescent="0.25">
      <c r="A383" s="85">
        <v>34859</v>
      </c>
      <c r="B383" s="85" t="s">
        <v>1983</v>
      </c>
      <c r="C383" s="85" t="s">
        <v>357</v>
      </c>
      <c r="D383" s="85" t="s">
        <v>780</v>
      </c>
      <c r="E383" s="85"/>
      <c r="F383" s="85" t="s">
        <v>155</v>
      </c>
      <c r="G383" s="85"/>
      <c r="H383" s="85"/>
      <c r="I383" s="86"/>
      <c r="J383" s="86"/>
      <c r="K383" s="87"/>
      <c r="L383" s="87"/>
      <c r="M383" s="88"/>
      <c r="N383" s="89"/>
      <c r="O383" s="87"/>
      <c r="P383" s="87"/>
      <c r="Q383" s="87"/>
      <c r="R383" s="87"/>
      <c r="S383" s="87">
        <v>1</v>
      </c>
      <c r="T383" s="87">
        <v>1</v>
      </c>
      <c r="U383" s="87"/>
      <c r="V383" s="90" t="s">
        <v>1062</v>
      </c>
    </row>
    <row r="384" ht="15" customHeight="1" spans="1:23" x14ac:dyDescent="0.25">
      <c r="A384" s="85">
        <v>34859</v>
      </c>
      <c r="B384" s="85" t="s">
        <v>1983</v>
      </c>
      <c r="C384" s="85" t="s">
        <v>357</v>
      </c>
      <c r="D384" s="85" t="s">
        <v>780</v>
      </c>
      <c r="E384" s="85"/>
      <c r="F384" s="85" t="s">
        <v>1062</v>
      </c>
      <c r="G384" s="85" t="s">
        <v>1016</v>
      </c>
      <c r="H384" s="85" t="s">
        <v>170</v>
      </c>
      <c r="I384" s="86">
        <v>261</v>
      </c>
      <c r="J384" s="86">
        <v>261</v>
      </c>
      <c r="K384" s="87">
        <v>1</v>
      </c>
      <c r="L384" s="87">
        <v>1</v>
      </c>
      <c r="M384" s="88">
        <v>1</v>
      </c>
      <c r="N384" s="89"/>
      <c r="O384" s="87"/>
      <c r="P384" s="87"/>
      <c r="Q384" s="87"/>
      <c r="R384" s="87"/>
      <c r="S384" s="87">
        <v>1</v>
      </c>
      <c r="T384" s="87"/>
      <c r="U384" s="87">
        <v>0</v>
      </c>
      <c r="V384" s="90" t="s">
        <v>1062</v>
      </c>
    </row>
    <row r="385" ht="15" customHeight="1" spans="1:23" x14ac:dyDescent="0.25">
      <c r="A385" s="85">
        <v>35161</v>
      </c>
      <c r="B385" s="85" t="s">
        <v>1984</v>
      </c>
      <c r="C385" s="85" t="s">
        <v>942</v>
      </c>
      <c r="D385" s="85" t="s">
        <v>1007</v>
      </c>
      <c r="E385" s="85" t="s">
        <v>1025</v>
      </c>
      <c r="F385" s="85" t="s">
        <v>155</v>
      </c>
      <c r="G385" s="85"/>
      <c r="H385" s="85"/>
      <c r="I385" s="86"/>
      <c r="J385" s="86"/>
      <c r="K385" s="87"/>
      <c r="L385" s="87"/>
      <c r="M385" s="88"/>
      <c r="N385" s="89"/>
      <c r="O385" s="87"/>
      <c r="P385" s="87"/>
      <c r="Q385" s="87"/>
      <c r="R385" s="87"/>
      <c r="S385" s="87">
        <v>0.24521072796934865</v>
      </c>
      <c r="T385" s="87">
        <v>0.24521072796934865</v>
      </c>
      <c r="U385" s="87"/>
      <c r="V385" s="90" t="s">
        <v>1062</v>
      </c>
    </row>
    <row r="386" ht="15" customHeight="1" spans="1:23" x14ac:dyDescent="0.25">
      <c r="A386" s="85">
        <v>35161</v>
      </c>
      <c r="B386" s="85" t="s">
        <v>1984</v>
      </c>
      <c r="C386" s="85" t="s">
        <v>942</v>
      </c>
      <c r="D386" s="85" t="s">
        <v>1007</v>
      </c>
      <c r="E386" s="85" t="s">
        <v>1025</v>
      </c>
      <c r="F386" s="85" t="s">
        <v>1062</v>
      </c>
      <c r="G386" s="85" t="s">
        <v>1016</v>
      </c>
      <c r="H386" s="85" t="s">
        <v>1025</v>
      </c>
      <c r="I386" s="86">
        <v>261</v>
      </c>
      <c r="J386" s="86">
        <v>64</v>
      </c>
      <c r="K386" s="87">
        <v>0.24521072796934865</v>
      </c>
      <c r="L386" s="87">
        <v>1</v>
      </c>
      <c r="M386" s="88">
        <v>0.24521072796934865</v>
      </c>
      <c r="N386" s="89"/>
      <c r="O386" s="87"/>
      <c r="P386" s="87"/>
      <c r="Q386" s="87"/>
      <c r="R386" s="87"/>
      <c r="S386" s="87">
        <v>0.24521072796934865</v>
      </c>
      <c r="T386" s="87"/>
      <c r="U386" s="87">
        <v>0</v>
      </c>
      <c r="V386" s="90" t="s">
        <v>1062</v>
      </c>
    </row>
    <row r="387" ht="15" customHeight="1" spans="1:23" x14ac:dyDescent="0.25">
      <c r="A387" s="85">
        <v>35310</v>
      </c>
      <c r="B387" s="85" t="s">
        <v>1985</v>
      </c>
      <c r="C387" s="85" t="s">
        <v>161</v>
      </c>
      <c r="D387" s="85" t="s">
        <v>182</v>
      </c>
      <c r="E387" s="85"/>
      <c r="F387" s="85" t="s">
        <v>155</v>
      </c>
      <c r="G387" s="85"/>
      <c r="H387" s="85"/>
      <c r="I387" s="86"/>
      <c r="J387" s="86"/>
      <c r="K387" s="87"/>
      <c r="L387" s="87"/>
      <c r="M387" s="88"/>
      <c r="N387" s="89"/>
      <c r="O387" s="87"/>
      <c r="P387" s="87"/>
      <c r="Q387" s="87"/>
      <c r="R387" s="87"/>
      <c r="S387" s="87">
        <v>0.8</v>
      </c>
      <c r="T387" s="87">
        <v>0.8</v>
      </c>
      <c r="U387" s="87">
        <v>0.8000000000000002</v>
      </c>
      <c r="V387" s="90" t="s">
        <v>1986</v>
      </c>
    </row>
    <row r="388" ht="15" customHeight="1" spans="1:23" x14ac:dyDescent="0.25">
      <c r="A388" s="85">
        <v>35310</v>
      </c>
      <c r="B388" s="85" t="s">
        <v>1985</v>
      </c>
      <c r="C388" s="85" t="s">
        <v>161</v>
      </c>
      <c r="D388" s="85" t="s">
        <v>182</v>
      </c>
      <c r="E388" s="85"/>
      <c r="F388" s="85" t="s">
        <v>1062</v>
      </c>
      <c r="G388" s="85" t="s">
        <v>1016</v>
      </c>
      <c r="H388" s="85" t="s">
        <v>170</v>
      </c>
      <c r="I388" s="86">
        <v>261</v>
      </c>
      <c r="J388" s="86">
        <v>261</v>
      </c>
      <c r="K388" s="87">
        <v>1</v>
      </c>
      <c r="L388" s="87">
        <v>0.8</v>
      </c>
      <c r="M388" s="88">
        <v>0.8</v>
      </c>
      <c r="N388" s="89"/>
      <c r="O388" s="87"/>
      <c r="P388" s="87"/>
      <c r="Q388" s="87"/>
      <c r="R388" s="87"/>
      <c r="S388" s="87">
        <v>0.8</v>
      </c>
      <c r="T388" s="87"/>
      <c r="U388" s="87">
        <v>0.8000000000000002</v>
      </c>
      <c r="V388" s="90" t="s">
        <v>1986</v>
      </c>
    </row>
    <row r="389" ht="15" customHeight="1" spans="1:23" x14ac:dyDescent="0.25">
      <c r="A389" s="85">
        <v>35410</v>
      </c>
      <c r="B389" s="85" t="s">
        <v>1987</v>
      </c>
      <c r="C389" s="85" t="s">
        <v>357</v>
      </c>
      <c r="D389" s="85" t="s">
        <v>442</v>
      </c>
      <c r="E389" s="85"/>
      <c r="F389" s="85" t="s">
        <v>155</v>
      </c>
      <c r="G389" s="85"/>
      <c r="H389" s="85"/>
      <c r="I389" s="86"/>
      <c r="J389" s="86"/>
      <c r="K389" s="87"/>
      <c r="L389" s="87"/>
      <c r="M389" s="88"/>
      <c r="N389" s="89"/>
      <c r="O389" s="87"/>
      <c r="P389" s="87"/>
      <c r="Q389" s="87"/>
      <c r="R389" s="87"/>
      <c r="S389" s="87">
        <v>1</v>
      </c>
      <c r="T389" s="87">
        <v>1</v>
      </c>
      <c r="U389" s="87">
        <v>1</v>
      </c>
      <c r="V389" s="90" t="s">
        <v>1599</v>
      </c>
    </row>
    <row r="390" ht="15" customHeight="1" spans="1:23" x14ac:dyDescent="0.25">
      <c r="A390" s="85">
        <v>35410</v>
      </c>
      <c r="B390" s="85" t="s">
        <v>1987</v>
      </c>
      <c r="C390" s="85" t="s">
        <v>357</v>
      </c>
      <c r="D390" s="85" t="s">
        <v>442</v>
      </c>
      <c r="E390" s="85"/>
      <c r="F390" s="85" t="s">
        <v>1062</v>
      </c>
      <c r="G390" s="85" t="s">
        <v>1016</v>
      </c>
      <c r="H390" s="85" t="s">
        <v>170</v>
      </c>
      <c r="I390" s="86">
        <v>261</v>
      </c>
      <c r="J390" s="86">
        <v>261</v>
      </c>
      <c r="K390" s="87">
        <v>1</v>
      </c>
      <c r="L390" s="87">
        <v>1</v>
      </c>
      <c r="M390" s="88">
        <v>1</v>
      </c>
      <c r="N390" s="89"/>
      <c r="O390" s="87"/>
      <c r="P390" s="87"/>
      <c r="Q390" s="87"/>
      <c r="R390" s="87"/>
      <c r="S390" s="87">
        <v>1</v>
      </c>
      <c r="T390" s="87"/>
      <c r="U390" s="87">
        <v>1</v>
      </c>
      <c r="V390" s="90" t="s">
        <v>1599</v>
      </c>
    </row>
    <row r="391" ht="15" customHeight="1" spans="1:23" x14ac:dyDescent="0.25">
      <c r="A391" s="85">
        <v>35457</v>
      </c>
      <c r="B391" s="85" t="s">
        <v>1988</v>
      </c>
      <c r="C391" s="85" t="s">
        <v>942</v>
      </c>
      <c r="D391" s="85" t="s">
        <v>848</v>
      </c>
      <c r="E391" s="85"/>
      <c r="F391" s="85" t="s">
        <v>155</v>
      </c>
      <c r="G391" s="85"/>
      <c r="H391" s="85"/>
      <c r="I391" s="86"/>
      <c r="J391" s="86"/>
      <c r="K391" s="87"/>
      <c r="L391" s="87"/>
      <c r="M391" s="88"/>
      <c r="N391" s="89"/>
      <c r="O391" s="87"/>
      <c r="P391" s="87"/>
      <c r="Q391" s="87"/>
      <c r="R391" s="87"/>
      <c r="S391" s="87">
        <v>0.8352490421455939</v>
      </c>
      <c r="T391" s="87">
        <v>0.8352490421455939</v>
      </c>
      <c r="U391" s="87">
        <v>0.8352490421455938</v>
      </c>
      <c r="V391" s="90" t="s">
        <v>1989</v>
      </c>
    </row>
    <row r="392" ht="15" customHeight="1" spans="1:23" x14ac:dyDescent="0.25">
      <c r="A392" s="85">
        <v>35457</v>
      </c>
      <c r="B392" s="85" t="s">
        <v>1988</v>
      </c>
      <c r="C392" s="85" t="s">
        <v>942</v>
      </c>
      <c r="D392" s="85" t="s">
        <v>848</v>
      </c>
      <c r="E392" s="85"/>
      <c r="F392" s="85" t="s">
        <v>1062</v>
      </c>
      <c r="G392" s="85" t="s">
        <v>848</v>
      </c>
      <c r="H392" s="85" t="s">
        <v>170</v>
      </c>
      <c r="I392" s="86">
        <v>261</v>
      </c>
      <c r="J392" s="86">
        <v>218</v>
      </c>
      <c r="K392" s="87">
        <v>0.8352490421455939</v>
      </c>
      <c r="L392" s="87">
        <v>1</v>
      </c>
      <c r="M392" s="88">
        <v>0.8352490421455939</v>
      </c>
      <c r="N392" s="89"/>
      <c r="O392" s="87"/>
      <c r="P392" s="87"/>
      <c r="Q392" s="87"/>
      <c r="R392" s="87"/>
      <c r="S392" s="87">
        <v>0.8352490421455939</v>
      </c>
      <c r="T392" s="87"/>
      <c r="U392" s="87">
        <v>0.8352490421455938</v>
      </c>
      <c r="V392" s="90" t="s">
        <v>1989</v>
      </c>
    </row>
    <row r="393" ht="15" customHeight="1" spans="1:23" x14ac:dyDescent="0.25">
      <c r="A393" s="85">
        <v>36992</v>
      </c>
      <c r="B393" s="85" t="s">
        <v>1990</v>
      </c>
      <c r="C393" s="85" t="s">
        <v>357</v>
      </c>
      <c r="D393" s="85" t="s">
        <v>911</v>
      </c>
      <c r="E393" s="85" t="s">
        <v>912</v>
      </c>
      <c r="F393" s="85" t="s">
        <v>155</v>
      </c>
      <c r="G393" s="85"/>
      <c r="H393" s="85"/>
      <c r="I393" s="86"/>
      <c r="J393" s="86"/>
      <c r="K393" s="87"/>
      <c r="L393" s="87"/>
      <c r="M393" s="88"/>
      <c r="N393" s="89"/>
      <c r="O393" s="87"/>
      <c r="P393" s="87"/>
      <c r="Q393" s="87"/>
      <c r="R393" s="87"/>
      <c r="S393" s="87">
        <v>0.41762452107279696</v>
      </c>
      <c r="T393" s="87">
        <v>0.41762452107279696</v>
      </c>
      <c r="U393" s="87">
        <v>0.41762452107279696</v>
      </c>
      <c r="V393" s="90" t="s">
        <v>1991</v>
      </c>
    </row>
    <row r="394" ht="15" customHeight="1" spans="1:23" x14ac:dyDescent="0.25">
      <c r="A394" s="85">
        <v>36992</v>
      </c>
      <c r="B394" s="85" t="s">
        <v>1990</v>
      </c>
      <c r="C394" s="85" t="s">
        <v>357</v>
      </c>
      <c r="D394" s="85" t="s">
        <v>911</v>
      </c>
      <c r="E394" s="85" t="s">
        <v>912</v>
      </c>
      <c r="F394" s="85" t="s">
        <v>1062</v>
      </c>
      <c r="G394" s="85" t="s">
        <v>911</v>
      </c>
      <c r="H394" s="85" t="s">
        <v>912</v>
      </c>
      <c r="I394" s="86">
        <v>261</v>
      </c>
      <c r="J394" s="86">
        <v>109</v>
      </c>
      <c r="K394" s="87">
        <v>0.41762452107279696</v>
      </c>
      <c r="L394" s="87">
        <v>1</v>
      </c>
      <c r="M394" s="88">
        <v>0.41762452107279696</v>
      </c>
      <c r="N394" s="89"/>
      <c r="O394" s="87"/>
      <c r="P394" s="87"/>
      <c r="Q394" s="87"/>
      <c r="R394" s="87"/>
      <c r="S394" s="87">
        <v>0.41762452107279696</v>
      </c>
      <c r="T394" s="87"/>
      <c r="U394" s="87">
        <v>0.41762452107279696</v>
      </c>
      <c r="V394" s="90" t="s">
        <v>1991</v>
      </c>
    </row>
    <row r="395" ht="15" customHeight="1" spans="1:23" x14ac:dyDescent="0.25">
      <c r="A395" s="85">
        <v>37435</v>
      </c>
      <c r="B395" s="85" t="s">
        <v>1992</v>
      </c>
      <c r="C395" s="85" t="s">
        <v>357</v>
      </c>
      <c r="D395" s="85" t="s">
        <v>848</v>
      </c>
      <c r="E395" s="85"/>
      <c r="F395" s="85" t="s">
        <v>155</v>
      </c>
      <c r="G395" s="85"/>
      <c r="H395" s="85"/>
      <c r="I395" s="86"/>
      <c r="J395" s="86"/>
      <c r="K395" s="87"/>
      <c r="L395" s="87"/>
      <c r="M395" s="88"/>
      <c r="N395" s="89"/>
      <c r="O395" s="87"/>
      <c r="P395" s="87"/>
      <c r="Q395" s="87"/>
      <c r="R395" s="87"/>
      <c r="S395" s="87">
        <v>0.8352490421455939</v>
      </c>
      <c r="T395" s="87">
        <v>0.8352490421455939</v>
      </c>
      <c r="U395" s="87"/>
      <c r="V395" s="90" t="s">
        <v>1062</v>
      </c>
    </row>
    <row r="396" ht="15" customHeight="1" spans="1:23" x14ac:dyDescent="0.25">
      <c r="A396" s="85">
        <v>37435</v>
      </c>
      <c r="B396" s="85" t="s">
        <v>1992</v>
      </c>
      <c r="C396" s="85" t="s">
        <v>357</v>
      </c>
      <c r="D396" s="85" t="s">
        <v>848</v>
      </c>
      <c r="E396" s="85"/>
      <c r="F396" s="85" t="s">
        <v>1062</v>
      </c>
      <c r="G396" s="85" t="s">
        <v>848</v>
      </c>
      <c r="H396" s="85" t="s">
        <v>170</v>
      </c>
      <c r="I396" s="86">
        <v>261</v>
      </c>
      <c r="J396" s="86">
        <v>218</v>
      </c>
      <c r="K396" s="87">
        <v>0.8352490421455939</v>
      </c>
      <c r="L396" s="87">
        <v>1</v>
      </c>
      <c r="M396" s="88">
        <v>0.8352490421455939</v>
      </c>
      <c r="N396" s="89"/>
      <c r="O396" s="87"/>
      <c r="P396" s="87"/>
      <c r="Q396" s="87"/>
      <c r="R396" s="87"/>
      <c r="S396" s="87">
        <v>0.8352490421455939</v>
      </c>
      <c r="T396" s="87"/>
      <c r="U396" s="87">
        <v>0</v>
      </c>
      <c r="V396" s="90" t="s">
        <v>1062</v>
      </c>
    </row>
    <row r="397" ht="15" customHeight="1" spans="1:23" x14ac:dyDescent="0.25">
      <c r="A397" s="85">
        <v>37712</v>
      </c>
      <c r="B397" s="85" t="s">
        <v>1993</v>
      </c>
      <c r="C397" s="85" t="s">
        <v>942</v>
      </c>
      <c r="D397" s="85" t="s">
        <v>1012</v>
      </c>
      <c r="E397" s="85"/>
      <c r="F397" s="85" t="s">
        <v>155</v>
      </c>
      <c r="G397" s="85"/>
      <c r="H397" s="85"/>
      <c r="I397" s="86"/>
      <c r="J397" s="86"/>
      <c r="K397" s="87"/>
      <c r="L397" s="87"/>
      <c r="M397" s="88"/>
      <c r="N397" s="89"/>
      <c r="O397" s="87"/>
      <c r="P397" s="87"/>
      <c r="Q397" s="87"/>
      <c r="R397" s="87"/>
      <c r="S397" s="87">
        <v>0.5862068965517241</v>
      </c>
      <c r="T397" s="87">
        <v>0.5862068965517241</v>
      </c>
      <c r="U397" s="87">
        <v>0.5862068965517242</v>
      </c>
      <c r="V397" s="90" t="s">
        <v>1994</v>
      </c>
    </row>
    <row r="398" ht="15" customHeight="1" spans="1:23" x14ac:dyDescent="0.25">
      <c r="A398" s="85">
        <v>37712</v>
      </c>
      <c r="B398" s="85" t="s">
        <v>1993</v>
      </c>
      <c r="C398" s="85" t="s">
        <v>942</v>
      </c>
      <c r="D398" s="85" t="s">
        <v>1012</v>
      </c>
      <c r="E398" s="85"/>
      <c r="F398" s="85" t="s">
        <v>1062</v>
      </c>
      <c r="G398" s="85" t="s">
        <v>1012</v>
      </c>
      <c r="H398" s="85" t="s">
        <v>170</v>
      </c>
      <c r="I398" s="86">
        <v>261</v>
      </c>
      <c r="J398" s="86">
        <v>153</v>
      </c>
      <c r="K398" s="87">
        <v>0.5862068965517241</v>
      </c>
      <c r="L398" s="87">
        <v>1</v>
      </c>
      <c r="M398" s="88">
        <v>0.5862068965517241</v>
      </c>
      <c r="N398" s="89"/>
      <c r="O398" s="87"/>
      <c r="P398" s="87"/>
      <c r="Q398" s="87"/>
      <c r="R398" s="87"/>
      <c r="S398" s="87">
        <v>0.5862068965517241</v>
      </c>
      <c r="T398" s="87"/>
      <c r="U398" s="87">
        <v>0.5862068965517242</v>
      </c>
      <c r="V398" s="90" t="s">
        <v>1994</v>
      </c>
    </row>
    <row r="399" ht="15" customHeight="1" spans="1:23" x14ac:dyDescent="0.25">
      <c r="A399" s="85">
        <v>37742</v>
      </c>
      <c r="B399" s="85" t="s">
        <v>1995</v>
      </c>
      <c r="C399" s="85" t="s">
        <v>357</v>
      </c>
      <c r="D399" s="85" t="s">
        <v>504</v>
      </c>
      <c r="E399" s="85" t="s">
        <v>505</v>
      </c>
      <c r="F399" s="85" t="s">
        <v>155</v>
      </c>
      <c r="G399" s="85"/>
      <c r="H399" s="85"/>
      <c r="I399" s="86"/>
      <c r="J399" s="86"/>
      <c r="K399" s="87"/>
      <c r="L399" s="87"/>
      <c r="M399" s="88"/>
      <c r="N399" s="89"/>
      <c r="O399" s="87"/>
      <c r="P399" s="87"/>
      <c r="Q399" s="87"/>
      <c r="R399" s="87"/>
      <c r="S399" s="87">
        <v>0.49808429118773945</v>
      </c>
      <c r="T399" s="87">
        <v>0.49808429118773945</v>
      </c>
      <c r="U399" s="87">
        <v>0.49808429118773945</v>
      </c>
      <c r="V399" s="90" t="s">
        <v>1996</v>
      </c>
    </row>
    <row r="400" ht="15" customHeight="1" spans="1:23" x14ac:dyDescent="0.25">
      <c r="A400" s="85">
        <v>37742</v>
      </c>
      <c r="B400" s="85" t="s">
        <v>1995</v>
      </c>
      <c r="C400" s="85" t="s">
        <v>357</v>
      </c>
      <c r="D400" s="85" t="s">
        <v>504</v>
      </c>
      <c r="E400" s="85" t="s">
        <v>505</v>
      </c>
      <c r="F400" s="85" t="s">
        <v>1062</v>
      </c>
      <c r="G400" s="85" t="s">
        <v>1016</v>
      </c>
      <c r="H400" s="85" t="s">
        <v>505</v>
      </c>
      <c r="I400" s="86">
        <v>261</v>
      </c>
      <c r="J400" s="86">
        <v>130</v>
      </c>
      <c r="K400" s="87">
        <v>0.49808429118773945</v>
      </c>
      <c r="L400" s="87">
        <v>1</v>
      </c>
      <c r="M400" s="88">
        <v>0.49808429118773945</v>
      </c>
      <c r="N400" s="89"/>
      <c r="O400" s="87"/>
      <c r="P400" s="87"/>
      <c r="Q400" s="87"/>
      <c r="R400" s="87"/>
      <c r="S400" s="87">
        <v>0.49808429118773945</v>
      </c>
      <c r="T400" s="87"/>
      <c r="U400" s="87">
        <v>0.49808429118773945</v>
      </c>
      <c r="V400" s="90" t="s">
        <v>1996</v>
      </c>
    </row>
    <row r="401" ht="15" customHeight="1" spans="1:23" x14ac:dyDescent="0.25">
      <c r="A401" s="85">
        <v>37764</v>
      </c>
      <c r="B401" s="85" t="s">
        <v>1997</v>
      </c>
      <c r="C401" s="85" t="s">
        <v>357</v>
      </c>
      <c r="D401" s="85" t="s">
        <v>803</v>
      </c>
      <c r="E401" s="85"/>
      <c r="F401" s="85" t="s">
        <v>155</v>
      </c>
      <c r="G401" s="85"/>
      <c r="H401" s="85"/>
      <c r="I401" s="86"/>
      <c r="J401" s="86"/>
      <c r="K401" s="87"/>
      <c r="L401" s="87"/>
      <c r="M401" s="88"/>
      <c r="N401" s="89"/>
      <c r="O401" s="87"/>
      <c r="P401" s="87"/>
      <c r="Q401" s="87"/>
      <c r="R401" s="87"/>
      <c r="S401" s="87">
        <v>1</v>
      </c>
      <c r="T401" s="87">
        <v>1</v>
      </c>
      <c r="U401" s="87">
        <v>1</v>
      </c>
      <c r="V401" s="90" t="s">
        <v>1583</v>
      </c>
    </row>
    <row r="402" ht="15" customHeight="1" spans="1:23" x14ac:dyDescent="0.25">
      <c r="A402" s="85">
        <v>37764</v>
      </c>
      <c r="B402" s="85" t="s">
        <v>1997</v>
      </c>
      <c r="C402" s="85" t="s">
        <v>357</v>
      </c>
      <c r="D402" s="85" t="s">
        <v>803</v>
      </c>
      <c r="E402" s="85"/>
      <c r="F402" s="85" t="s">
        <v>1062</v>
      </c>
      <c r="G402" s="85" t="s">
        <v>1016</v>
      </c>
      <c r="H402" s="85" t="s">
        <v>170</v>
      </c>
      <c r="I402" s="86">
        <v>261</v>
      </c>
      <c r="J402" s="86">
        <v>261</v>
      </c>
      <c r="K402" s="87">
        <v>1</v>
      </c>
      <c r="L402" s="87">
        <v>1</v>
      </c>
      <c r="M402" s="88">
        <v>1</v>
      </c>
      <c r="N402" s="89"/>
      <c r="O402" s="87"/>
      <c r="P402" s="87"/>
      <c r="Q402" s="87"/>
      <c r="R402" s="87"/>
      <c r="S402" s="87">
        <v>1</v>
      </c>
      <c r="T402" s="87"/>
      <c r="U402" s="87">
        <v>1</v>
      </c>
      <c r="V402" s="90" t="s">
        <v>1583</v>
      </c>
    </row>
    <row r="403" ht="15" customHeight="1" spans="1:23" x14ac:dyDescent="0.25">
      <c r="A403" s="85">
        <v>37860</v>
      </c>
      <c r="B403" s="85" t="s">
        <v>1998</v>
      </c>
      <c r="C403" s="85" t="s">
        <v>357</v>
      </c>
      <c r="D403" s="85" t="s">
        <v>208</v>
      </c>
      <c r="E403" s="85"/>
      <c r="F403" s="85" t="s">
        <v>155</v>
      </c>
      <c r="G403" s="85"/>
      <c r="H403" s="85"/>
      <c r="I403" s="86"/>
      <c r="J403" s="86"/>
      <c r="K403" s="87"/>
      <c r="L403" s="87"/>
      <c r="M403" s="88"/>
      <c r="N403" s="89"/>
      <c r="O403" s="87"/>
      <c r="P403" s="87"/>
      <c r="Q403" s="87"/>
      <c r="R403" s="87"/>
      <c r="S403" s="87">
        <v>1</v>
      </c>
      <c r="T403" s="87">
        <v>1</v>
      </c>
      <c r="U403" s="87">
        <v>1</v>
      </c>
      <c r="V403" s="90" t="s">
        <v>1581</v>
      </c>
    </row>
    <row r="404" ht="15" customHeight="1" spans="1:23" x14ac:dyDescent="0.25">
      <c r="A404" s="85">
        <v>37860</v>
      </c>
      <c r="B404" s="85" t="s">
        <v>1998</v>
      </c>
      <c r="C404" s="85" t="s">
        <v>357</v>
      </c>
      <c r="D404" s="85" t="s">
        <v>208</v>
      </c>
      <c r="E404" s="85"/>
      <c r="F404" s="85" t="s">
        <v>1062</v>
      </c>
      <c r="G404" s="85" t="s">
        <v>1016</v>
      </c>
      <c r="H404" s="85" t="s">
        <v>170</v>
      </c>
      <c r="I404" s="86">
        <v>261</v>
      </c>
      <c r="J404" s="86">
        <v>261</v>
      </c>
      <c r="K404" s="87">
        <v>1</v>
      </c>
      <c r="L404" s="87">
        <v>1</v>
      </c>
      <c r="M404" s="88">
        <v>1</v>
      </c>
      <c r="N404" s="89"/>
      <c r="O404" s="87"/>
      <c r="P404" s="87"/>
      <c r="Q404" s="87"/>
      <c r="R404" s="87"/>
      <c r="S404" s="87">
        <v>1</v>
      </c>
      <c r="T404" s="87"/>
      <c r="U404" s="87">
        <v>1</v>
      </c>
      <c r="V404" s="90" t="s">
        <v>1581</v>
      </c>
    </row>
    <row r="405" ht="15" customHeight="1" spans="1:23" x14ac:dyDescent="0.25">
      <c r="A405" s="85">
        <v>38073</v>
      </c>
      <c r="B405" s="85" t="s">
        <v>1999</v>
      </c>
      <c r="C405" s="85" t="s">
        <v>357</v>
      </c>
      <c r="D405" s="85" t="s">
        <v>634</v>
      </c>
      <c r="E405" s="85"/>
      <c r="F405" s="85" t="s">
        <v>155</v>
      </c>
      <c r="G405" s="85"/>
      <c r="H405" s="85"/>
      <c r="I405" s="86"/>
      <c r="J405" s="86"/>
      <c r="K405" s="87"/>
      <c r="L405" s="87"/>
      <c r="M405" s="88"/>
      <c r="N405" s="89"/>
      <c r="O405" s="87"/>
      <c r="P405" s="87"/>
      <c r="Q405" s="87"/>
      <c r="R405" s="87"/>
      <c r="S405" s="87">
        <v>0.25287356321839083</v>
      </c>
      <c r="T405" s="87">
        <v>0.25287356321839083</v>
      </c>
      <c r="U405" s="87"/>
      <c r="V405" s="90" t="s">
        <v>1062</v>
      </c>
    </row>
    <row r="406" ht="15" customHeight="1" spans="1:23" x14ac:dyDescent="0.25">
      <c r="A406" s="85">
        <v>38073</v>
      </c>
      <c r="B406" s="85" t="s">
        <v>1999</v>
      </c>
      <c r="C406" s="85" t="s">
        <v>357</v>
      </c>
      <c r="D406" s="85" t="s">
        <v>634</v>
      </c>
      <c r="E406" s="85"/>
      <c r="F406" s="85" t="s">
        <v>1062</v>
      </c>
      <c r="G406" s="85" t="s">
        <v>634</v>
      </c>
      <c r="H406" s="85" t="s">
        <v>170</v>
      </c>
      <c r="I406" s="86">
        <v>261</v>
      </c>
      <c r="J406" s="86">
        <v>66</v>
      </c>
      <c r="K406" s="87">
        <v>0.25287356321839083</v>
      </c>
      <c r="L406" s="87">
        <v>1</v>
      </c>
      <c r="M406" s="88">
        <v>0.25287356321839083</v>
      </c>
      <c r="N406" s="89"/>
      <c r="O406" s="87"/>
      <c r="P406" s="87"/>
      <c r="Q406" s="87"/>
      <c r="R406" s="87"/>
      <c r="S406" s="87">
        <v>0.25287356321839083</v>
      </c>
      <c r="T406" s="87"/>
      <c r="U406" s="87">
        <v>0</v>
      </c>
      <c r="V406" s="90" t="s">
        <v>1062</v>
      </c>
    </row>
    <row r="407" ht="15" customHeight="1" spans="1:23" x14ac:dyDescent="0.25">
      <c r="A407" s="85">
        <v>38400</v>
      </c>
      <c r="B407" s="85" t="s">
        <v>2000</v>
      </c>
      <c r="C407" s="85" t="s">
        <v>161</v>
      </c>
      <c r="D407" s="85" t="s">
        <v>169</v>
      </c>
      <c r="E407" s="85" t="s">
        <v>170</v>
      </c>
      <c r="F407" s="85" t="s">
        <v>155</v>
      </c>
      <c r="G407" s="85"/>
      <c r="H407" s="85"/>
      <c r="I407" s="86"/>
      <c r="J407" s="86"/>
      <c r="K407" s="87"/>
      <c r="L407" s="87"/>
      <c r="M407" s="88"/>
      <c r="N407" s="89"/>
      <c r="O407" s="87"/>
      <c r="P407" s="87"/>
      <c r="Q407" s="87"/>
      <c r="R407" s="87"/>
      <c r="S407" s="87">
        <v>0.3371647509578544</v>
      </c>
      <c r="T407" s="87">
        <v>0.3371647509578544</v>
      </c>
      <c r="U407" s="87">
        <v>0.3371647509578544</v>
      </c>
      <c r="V407" s="90" t="s">
        <v>2001</v>
      </c>
    </row>
    <row r="408" ht="15" customHeight="1" spans="1:23" x14ac:dyDescent="0.25">
      <c r="A408" s="85">
        <v>38400</v>
      </c>
      <c r="B408" s="85" t="s">
        <v>2000</v>
      </c>
      <c r="C408" s="85" t="s">
        <v>161</v>
      </c>
      <c r="D408" s="85" t="s">
        <v>169</v>
      </c>
      <c r="E408" s="85" t="s">
        <v>170</v>
      </c>
      <c r="F408" s="85" t="s">
        <v>1062</v>
      </c>
      <c r="G408" s="85" t="s">
        <v>169</v>
      </c>
      <c r="H408" s="85" t="s">
        <v>170</v>
      </c>
      <c r="I408" s="86">
        <v>261</v>
      </c>
      <c r="J408" s="86">
        <v>88</v>
      </c>
      <c r="K408" s="87">
        <v>0.3371647509578544</v>
      </c>
      <c r="L408" s="87">
        <v>1</v>
      </c>
      <c r="M408" s="88">
        <v>0.3371647509578544</v>
      </c>
      <c r="N408" s="89"/>
      <c r="O408" s="87"/>
      <c r="P408" s="87"/>
      <c r="Q408" s="87"/>
      <c r="R408" s="87"/>
      <c r="S408" s="87">
        <v>0.3371647509578544</v>
      </c>
      <c r="T408" s="87"/>
      <c r="U408" s="87">
        <v>0.3371647509578544</v>
      </c>
      <c r="V408" s="90" t="s">
        <v>2001</v>
      </c>
    </row>
    <row r="409" ht="15" customHeight="1" spans="1:23" x14ac:dyDescent="0.25">
      <c r="A409" s="85">
        <v>38509</v>
      </c>
      <c r="B409" s="85" t="s">
        <v>2002</v>
      </c>
      <c r="C409" s="85" t="s">
        <v>357</v>
      </c>
      <c r="D409" s="85" t="s">
        <v>169</v>
      </c>
      <c r="E409" s="85"/>
      <c r="F409" s="85" t="s">
        <v>155</v>
      </c>
      <c r="G409" s="85"/>
      <c r="H409" s="85"/>
      <c r="I409" s="86"/>
      <c r="J409" s="86"/>
      <c r="K409" s="87"/>
      <c r="L409" s="87"/>
      <c r="M409" s="88"/>
      <c r="N409" s="89"/>
      <c r="O409" s="87"/>
      <c r="P409" s="87"/>
      <c r="Q409" s="87"/>
      <c r="R409" s="87"/>
      <c r="S409" s="87">
        <v>0.3371647509578544</v>
      </c>
      <c r="T409" s="87">
        <v>0.3371647509578544</v>
      </c>
      <c r="U409" s="87">
        <v>0.3371647509578544</v>
      </c>
      <c r="V409" s="90" t="s">
        <v>2003</v>
      </c>
    </row>
    <row r="410" ht="15" customHeight="1" spans="1:23" x14ac:dyDescent="0.25">
      <c r="A410" s="85">
        <v>38509</v>
      </c>
      <c r="B410" s="85" t="s">
        <v>2002</v>
      </c>
      <c r="C410" s="85" t="s">
        <v>357</v>
      </c>
      <c r="D410" s="85" t="s">
        <v>169</v>
      </c>
      <c r="E410" s="85"/>
      <c r="F410" s="85" t="s">
        <v>1062</v>
      </c>
      <c r="G410" s="85" t="s">
        <v>169</v>
      </c>
      <c r="H410" s="85" t="s">
        <v>170</v>
      </c>
      <c r="I410" s="86">
        <v>261</v>
      </c>
      <c r="J410" s="86">
        <v>88</v>
      </c>
      <c r="K410" s="87">
        <v>0.3371647509578544</v>
      </c>
      <c r="L410" s="87">
        <v>1</v>
      </c>
      <c r="M410" s="88">
        <v>0.3371647509578544</v>
      </c>
      <c r="N410" s="89"/>
      <c r="O410" s="87"/>
      <c r="P410" s="87"/>
      <c r="Q410" s="87"/>
      <c r="R410" s="87"/>
      <c r="S410" s="87">
        <v>0.3371647509578544</v>
      </c>
      <c r="T410" s="87"/>
      <c r="U410" s="87">
        <v>0.3371647509578544</v>
      </c>
      <c r="V410" s="90" t="s">
        <v>2003</v>
      </c>
    </row>
    <row r="411" ht="15" customHeight="1" spans="1:23" x14ac:dyDescent="0.25">
      <c r="A411" s="85">
        <v>38576</v>
      </c>
      <c r="B411" s="85" t="s">
        <v>2004</v>
      </c>
      <c r="C411" s="85" t="s">
        <v>161</v>
      </c>
      <c r="D411" s="85" t="s">
        <v>169</v>
      </c>
      <c r="E411" s="85"/>
      <c r="F411" s="85" t="s">
        <v>155</v>
      </c>
      <c r="G411" s="85"/>
      <c r="H411" s="85"/>
      <c r="I411" s="86"/>
      <c r="J411" s="86"/>
      <c r="K411" s="87"/>
      <c r="L411" s="87"/>
      <c r="M411" s="88"/>
      <c r="N411" s="89"/>
      <c r="O411" s="87"/>
      <c r="P411" s="87"/>
      <c r="Q411" s="87"/>
      <c r="R411" s="87"/>
      <c r="S411" s="87">
        <v>0.3371647509578544</v>
      </c>
      <c r="T411" s="87">
        <v>0.3371647509578544</v>
      </c>
      <c r="U411" s="87">
        <v>0.3371647509578544</v>
      </c>
      <c r="V411" s="90" t="s">
        <v>2005</v>
      </c>
    </row>
    <row r="412" ht="15" customHeight="1" spans="1:23" x14ac:dyDescent="0.25">
      <c r="A412" s="85">
        <v>38576</v>
      </c>
      <c r="B412" s="85" t="s">
        <v>2004</v>
      </c>
      <c r="C412" s="85" t="s">
        <v>161</v>
      </c>
      <c r="D412" s="85" t="s">
        <v>169</v>
      </c>
      <c r="E412" s="85"/>
      <c r="F412" s="85" t="s">
        <v>1062</v>
      </c>
      <c r="G412" s="85" t="s">
        <v>169</v>
      </c>
      <c r="H412" s="85" t="s">
        <v>170</v>
      </c>
      <c r="I412" s="86">
        <v>261</v>
      </c>
      <c r="J412" s="86">
        <v>88</v>
      </c>
      <c r="K412" s="87">
        <v>0.3371647509578544</v>
      </c>
      <c r="L412" s="87">
        <v>1</v>
      </c>
      <c r="M412" s="88">
        <v>0.3371647509578544</v>
      </c>
      <c r="N412" s="89"/>
      <c r="O412" s="87"/>
      <c r="P412" s="87"/>
      <c r="Q412" s="87"/>
      <c r="R412" s="87"/>
      <c r="S412" s="87">
        <v>0.3371647509578544</v>
      </c>
      <c r="T412" s="87"/>
      <c r="U412" s="87">
        <v>0.3371647509578544</v>
      </c>
      <c r="V412" s="90" t="s">
        <v>2005</v>
      </c>
    </row>
    <row r="413" ht="15" customHeight="1" spans="1:23" x14ac:dyDescent="0.25">
      <c r="A413" s="85">
        <v>38577</v>
      </c>
      <c r="B413" s="85" t="s">
        <v>2006</v>
      </c>
      <c r="C413" s="85" t="s">
        <v>161</v>
      </c>
      <c r="D413" s="85" t="s">
        <v>169</v>
      </c>
      <c r="E413" s="85"/>
      <c r="F413" s="85" t="s">
        <v>155</v>
      </c>
      <c r="G413" s="85"/>
      <c r="H413" s="85"/>
      <c r="I413" s="86"/>
      <c r="J413" s="86"/>
      <c r="K413" s="87"/>
      <c r="L413" s="87"/>
      <c r="M413" s="88"/>
      <c r="N413" s="89"/>
      <c r="O413" s="87"/>
      <c r="P413" s="87"/>
      <c r="Q413" s="87"/>
      <c r="R413" s="87">
        <v>0.027586206896551724</v>
      </c>
      <c r="S413" s="87">
        <v>0.3095785440613027</v>
      </c>
      <c r="T413" s="87">
        <v>0.3371647509578544</v>
      </c>
      <c r="U413" s="87">
        <v>0.3095785440613027</v>
      </c>
      <c r="V413" s="90" t="s">
        <v>2007</v>
      </c>
    </row>
    <row r="414" ht="15" customHeight="1" spans="1:23" x14ac:dyDescent="0.25">
      <c r="A414" s="85">
        <v>38577</v>
      </c>
      <c r="B414" s="85" t="s">
        <v>2006</v>
      </c>
      <c r="C414" s="85" t="s">
        <v>161</v>
      </c>
      <c r="D414" s="85" t="s">
        <v>169</v>
      </c>
      <c r="E414" s="85"/>
      <c r="F414" s="85" t="s">
        <v>1062</v>
      </c>
      <c r="G414" s="85" t="s">
        <v>2008</v>
      </c>
      <c r="H414" s="85" t="s">
        <v>170</v>
      </c>
      <c r="I414" s="86">
        <v>261</v>
      </c>
      <c r="J414" s="86">
        <v>36</v>
      </c>
      <c r="K414" s="87">
        <v>0.13793103448275862</v>
      </c>
      <c r="L414" s="87">
        <v>1</v>
      </c>
      <c r="M414" s="88">
        <v>0.13793103448275862</v>
      </c>
      <c r="N414" s="89">
        <v>0.2</v>
      </c>
      <c r="O414" s="87">
        <v>0.027586206896551724</v>
      </c>
      <c r="P414" s="87"/>
      <c r="Q414" s="87"/>
      <c r="R414" s="87">
        <v>0.027586206896551724</v>
      </c>
      <c r="S414" s="87">
        <v>0.1103448275862069</v>
      </c>
      <c r="T414" s="87"/>
      <c r="U414" s="87">
        <v>0.1103448275862069</v>
      </c>
      <c r="V414" s="90" t="s">
        <v>2009</v>
      </c>
    </row>
    <row r="415" ht="15" customHeight="1" spans="1:23" x14ac:dyDescent="0.25">
      <c r="A415" s="85">
        <v>38577</v>
      </c>
      <c r="B415" s="85" t="s">
        <v>2006</v>
      </c>
      <c r="C415" s="85" t="s">
        <v>161</v>
      </c>
      <c r="D415" s="85" t="s">
        <v>169</v>
      </c>
      <c r="E415" s="85"/>
      <c r="F415" s="85" t="s">
        <v>1062</v>
      </c>
      <c r="G415" s="85" t="s">
        <v>169</v>
      </c>
      <c r="H415" s="85" t="s">
        <v>2010</v>
      </c>
      <c r="I415" s="86">
        <v>261</v>
      </c>
      <c r="J415" s="86">
        <v>52</v>
      </c>
      <c r="K415" s="87">
        <v>0.19923371647509577</v>
      </c>
      <c r="L415" s="87">
        <v>1</v>
      </c>
      <c r="M415" s="88">
        <v>0.19923371647509577</v>
      </c>
      <c r="N415" s="89"/>
      <c r="O415" s="87"/>
      <c r="P415" s="87"/>
      <c r="Q415" s="87"/>
      <c r="R415" s="87"/>
      <c r="S415" s="87">
        <v>0.19923371647509577</v>
      </c>
      <c r="T415" s="87"/>
      <c r="U415" s="87">
        <v>0.19923371647509577</v>
      </c>
      <c r="V415" s="90" t="s">
        <v>2011</v>
      </c>
    </row>
    <row r="416" ht="15" customHeight="1" spans="1:23" x14ac:dyDescent="0.25">
      <c r="A416" s="85">
        <v>39168</v>
      </c>
      <c r="B416" s="85" t="s">
        <v>2012</v>
      </c>
      <c r="C416" s="85" t="s">
        <v>942</v>
      </c>
      <c r="D416" s="85" t="s">
        <v>848</v>
      </c>
      <c r="E416" s="85"/>
      <c r="F416" s="85" t="s">
        <v>155</v>
      </c>
      <c r="G416" s="85"/>
      <c r="H416" s="85"/>
      <c r="I416" s="86"/>
      <c r="J416" s="86"/>
      <c r="K416" s="87"/>
      <c r="L416" s="87"/>
      <c r="M416" s="88"/>
      <c r="N416" s="89"/>
      <c r="O416" s="87"/>
      <c r="P416" s="87"/>
      <c r="Q416" s="87"/>
      <c r="R416" s="87"/>
      <c r="S416" s="87">
        <v>0.8352490421455939</v>
      </c>
      <c r="T416" s="87">
        <v>0.8352490421455939</v>
      </c>
      <c r="U416" s="87">
        <v>0.8352490421455939</v>
      </c>
      <c r="V416" s="90" t="s">
        <v>2013</v>
      </c>
    </row>
    <row r="417" ht="15" customHeight="1" spans="1:23" x14ac:dyDescent="0.25">
      <c r="A417" s="85">
        <v>39168</v>
      </c>
      <c r="B417" s="85" t="s">
        <v>2012</v>
      </c>
      <c r="C417" s="85" t="s">
        <v>942</v>
      </c>
      <c r="D417" s="85" t="s">
        <v>848</v>
      </c>
      <c r="E417" s="85"/>
      <c r="F417" s="85" t="s">
        <v>1062</v>
      </c>
      <c r="G417" s="85" t="s">
        <v>848</v>
      </c>
      <c r="H417" s="85" t="s">
        <v>170</v>
      </c>
      <c r="I417" s="86">
        <v>261</v>
      </c>
      <c r="J417" s="86">
        <v>218</v>
      </c>
      <c r="K417" s="87">
        <v>0.8352490421455939</v>
      </c>
      <c r="L417" s="87">
        <v>1</v>
      </c>
      <c r="M417" s="88">
        <v>0.8352490421455939</v>
      </c>
      <c r="N417" s="89"/>
      <c r="O417" s="87"/>
      <c r="P417" s="87"/>
      <c r="Q417" s="87"/>
      <c r="R417" s="87"/>
      <c r="S417" s="87">
        <v>0.8352490421455939</v>
      </c>
      <c r="T417" s="87"/>
      <c r="U417" s="87">
        <v>0.8352490421455939</v>
      </c>
      <c r="V417" s="90" t="s">
        <v>2013</v>
      </c>
    </row>
    <row r="418" ht="15" customHeight="1" spans="1:23" x14ac:dyDescent="0.25">
      <c r="A418" s="85">
        <v>39265</v>
      </c>
      <c r="B418" s="85" t="s">
        <v>2014</v>
      </c>
      <c r="C418" s="85" t="s">
        <v>161</v>
      </c>
      <c r="D418" s="85" t="s">
        <v>169</v>
      </c>
      <c r="E418" s="85"/>
      <c r="F418" s="85" t="s">
        <v>155</v>
      </c>
      <c r="G418" s="85"/>
      <c r="H418" s="85"/>
      <c r="I418" s="86"/>
      <c r="J418" s="86"/>
      <c r="K418" s="87"/>
      <c r="L418" s="87"/>
      <c r="M418" s="88"/>
      <c r="N418" s="89"/>
      <c r="O418" s="87"/>
      <c r="P418" s="87"/>
      <c r="Q418" s="87"/>
      <c r="R418" s="87"/>
      <c r="S418" s="87">
        <v>0.3371647509578544</v>
      </c>
      <c r="T418" s="87">
        <v>0.3371647509578544</v>
      </c>
      <c r="U418" s="87">
        <v>0.3371647509578545</v>
      </c>
      <c r="V418" s="90" t="s">
        <v>2015</v>
      </c>
    </row>
    <row r="419" ht="15" customHeight="1" spans="1:23" x14ac:dyDescent="0.25">
      <c r="A419" s="85">
        <v>39265</v>
      </c>
      <c r="B419" s="85" t="s">
        <v>2014</v>
      </c>
      <c r="C419" s="85" t="s">
        <v>161</v>
      </c>
      <c r="D419" s="85" t="s">
        <v>169</v>
      </c>
      <c r="E419" s="85"/>
      <c r="F419" s="85" t="s">
        <v>1062</v>
      </c>
      <c r="G419" s="85" t="s">
        <v>169</v>
      </c>
      <c r="H419" s="85" t="s">
        <v>170</v>
      </c>
      <c r="I419" s="86">
        <v>261</v>
      </c>
      <c r="J419" s="86">
        <v>88</v>
      </c>
      <c r="K419" s="87">
        <v>0.3371647509578544</v>
      </c>
      <c r="L419" s="87">
        <v>1</v>
      </c>
      <c r="M419" s="88">
        <v>0.3371647509578544</v>
      </c>
      <c r="N419" s="89"/>
      <c r="O419" s="87"/>
      <c r="P419" s="87"/>
      <c r="Q419" s="87"/>
      <c r="R419" s="87"/>
      <c r="S419" s="87">
        <v>0.3371647509578544</v>
      </c>
      <c r="T419" s="87"/>
      <c r="U419" s="87">
        <v>0.3371647509578545</v>
      </c>
      <c r="V419" s="90" t="s">
        <v>2015</v>
      </c>
    </row>
    <row r="420" ht="15" customHeight="1" spans="1:23" x14ac:dyDescent="0.25">
      <c r="A420" s="85">
        <v>39318</v>
      </c>
      <c r="B420" s="85" t="s">
        <v>2016</v>
      </c>
      <c r="C420" s="85" t="s">
        <v>161</v>
      </c>
      <c r="D420" s="85" t="s">
        <v>213</v>
      </c>
      <c r="E420" s="85"/>
      <c r="F420" s="85" t="s">
        <v>155</v>
      </c>
      <c r="G420" s="85"/>
      <c r="H420" s="85"/>
      <c r="I420" s="86"/>
      <c r="J420" s="86"/>
      <c r="K420" s="87"/>
      <c r="L420" s="87"/>
      <c r="M420" s="88"/>
      <c r="N420" s="89"/>
      <c r="O420" s="87"/>
      <c r="P420" s="87"/>
      <c r="Q420" s="87"/>
      <c r="R420" s="87"/>
      <c r="S420" s="87">
        <v>1</v>
      </c>
      <c r="T420" s="87">
        <v>1</v>
      </c>
      <c r="U420" s="87"/>
      <c r="V420" s="90" t="s">
        <v>1062</v>
      </c>
    </row>
    <row r="421" ht="15" customHeight="1" spans="1:23" x14ac:dyDescent="0.25">
      <c r="A421" s="85">
        <v>39318</v>
      </c>
      <c r="B421" s="85" t="s">
        <v>2016</v>
      </c>
      <c r="C421" s="85" t="s">
        <v>161</v>
      </c>
      <c r="D421" s="85" t="s">
        <v>213</v>
      </c>
      <c r="E421" s="85"/>
      <c r="F421" s="85" t="s">
        <v>1062</v>
      </c>
      <c r="G421" s="85" t="s">
        <v>1016</v>
      </c>
      <c r="H421" s="85" t="s">
        <v>170</v>
      </c>
      <c r="I421" s="86">
        <v>261</v>
      </c>
      <c r="J421" s="86">
        <v>261</v>
      </c>
      <c r="K421" s="87">
        <v>1</v>
      </c>
      <c r="L421" s="87">
        <v>1</v>
      </c>
      <c r="M421" s="88">
        <v>1</v>
      </c>
      <c r="N421" s="89"/>
      <c r="O421" s="87"/>
      <c r="P421" s="87"/>
      <c r="Q421" s="87"/>
      <c r="R421" s="87"/>
      <c r="S421" s="87">
        <v>1</v>
      </c>
      <c r="T421" s="87"/>
      <c r="U421" s="87">
        <v>0</v>
      </c>
      <c r="V421" s="90" t="s">
        <v>1062</v>
      </c>
    </row>
    <row r="422" ht="15" customHeight="1" spans="1:23" x14ac:dyDescent="0.25">
      <c r="A422" s="85">
        <v>39330</v>
      </c>
      <c r="B422" s="85" t="s">
        <v>2017</v>
      </c>
      <c r="C422" s="85" t="s">
        <v>161</v>
      </c>
      <c r="D422" s="85" t="s">
        <v>169</v>
      </c>
      <c r="E422" s="85"/>
      <c r="F422" s="85" t="s">
        <v>155</v>
      </c>
      <c r="G422" s="85"/>
      <c r="H422" s="85"/>
      <c r="I422" s="86"/>
      <c r="J422" s="86"/>
      <c r="K422" s="87"/>
      <c r="L422" s="87"/>
      <c r="M422" s="88"/>
      <c r="N422" s="89"/>
      <c r="O422" s="87"/>
      <c r="P422" s="87"/>
      <c r="Q422" s="87"/>
      <c r="R422" s="87"/>
      <c r="S422" s="87">
        <v>0.3371647509578544</v>
      </c>
      <c r="T422" s="87">
        <v>0.3371647509578544</v>
      </c>
      <c r="U422" s="87"/>
      <c r="V422" s="90" t="s">
        <v>1062</v>
      </c>
    </row>
    <row r="423" ht="15" customHeight="1" spans="1:23" x14ac:dyDescent="0.25">
      <c r="A423" s="85">
        <v>39330</v>
      </c>
      <c r="B423" s="85" t="s">
        <v>2017</v>
      </c>
      <c r="C423" s="85" t="s">
        <v>161</v>
      </c>
      <c r="D423" s="85" t="s">
        <v>169</v>
      </c>
      <c r="E423" s="85"/>
      <c r="F423" s="85" t="s">
        <v>1062</v>
      </c>
      <c r="G423" s="85" t="s">
        <v>169</v>
      </c>
      <c r="H423" s="85" t="s">
        <v>170</v>
      </c>
      <c r="I423" s="86">
        <v>261</v>
      </c>
      <c r="J423" s="86">
        <v>88</v>
      </c>
      <c r="K423" s="87">
        <v>0.3371647509578544</v>
      </c>
      <c r="L423" s="87">
        <v>1</v>
      </c>
      <c r="M423" s="88">
        <v>0.3371647509578544</v>
      </c>
      <c r="N423" s="89"/>
      <c r="O423" s="87"/>
      <c r="P423" s="87"/>
      <c r="Q423" s="87"/>
      <c r="R423" s="87"/>
      <c r="S423" s="87">
        <v>0.3371647509578544</v>
      </c>
      <c r="T423" s="87"/>
      <c r="U423" s="87">
        <v>0</v>
      </c>
      <c r="V423" s="90" t="s">
        <v>1062</v>
      </c>
    </row>
    <row r="424" ht="15" customHeight="1" spans="1:23" x14ac:dyDescent="0.25">
      <c r="A424" s="85">
        <v>39408</v>
      </c>
      <c r="B424" s="85" t="s">
        <v>2018</v>
      </c>
      <c r="C424" s="85" t="s">
        <v>357</v>
      </c>
      <c r="D424" s="85" t="s">
        <v>758</v>
      </c>
      <c r="E424" s="85" t="s">
        <v>759</v>
      </c>
      <c r="F424" s="85" t="s">
        <v>155</v>
      </c>
      <c r="G424" s="85"/>
      <c r="H424" s="85"/>
      <c r="I424" s="86"/>
      <c r="J424" s="86"/>
      <c r="K424" s="87"/>
      <c r="L424" s="87"/>
      <c r="M424" s="88"/>
      <c r="N424" s="89"/>
      <c r="O424" s="87"/>
      <c r="P424" s="87"/>
      <c r="Q424" s="87"/>
      <c r="R424" s="87"/>
      <c r="S424" s="87">
        <v>0.16475095785440613</v>
      </c>
      <c r="T424" s="87">
        <v>0.16475095785440613</v>
      </c>
      <c r="U424" s="87">
        <v>0.16475095785440613</v>
      </c>
      <c r="V424" s="90" t="s">
        <v>2019</v>
      </c>
    </row>
    <row r="425" ht="15" customHeight="1" spans="1:23" x14ac:dyDescent="0.25">
      <c r="A425" s="85">
        <v>39408</v>
      </c>
      <c r="B425" s="85" t="s">
        <v>2018</v>
      </c>
      <c r="C425" s="85" t="s">
        <v>357</v>
      </c>
      <c r="D425" s="85" t="s">
        <v>758</v>
      </c>
      <c r="E425" s="85" t="s">
        <v>759</v>
      </c>
      <c r="F425" s="85" t="s">
        <v>1062</v>
      </c>
      <c r="G425" s="85" t="s">
        <v>1016</v>
      </c>
      <c r="H425" s="85" t="s">
        <v>759</v>
      </c>
      <c r="I425" s="86">
        <v>261</v>
      </c>
      <c r="J425" s="86">
        <v>43</v>
      </c>
      <c r="K425" s="87">
        <v>0.16475095785440613</v>
      </c>
      <c r="L425" s="87">
        <v>1</v>
      </c>
      <c r="M425" s="88">
        <v>0.16475095785440613</v>
      </c>
      <c r="N425" s="89"/>
      <c r="O425" s="87"/>
      <c r="P425" s="87"/>
      <c r="Q425" s="87"/>
      <c r="R425" s="87"/>
      <c r="S425" s="87">
        <v>0.16475095785440613</v>
      </c>
      <c r="T425" s="87"/>
      <c r="U425" s="87">
        <v>0.16475095785440613</v>
      </c>
      <c r="V425" s="90" t="s">
        <v>2019</v>
      </c>
    </row>
    <row r="426" ht="15" customHeight="1" spans="1:23" x14ac:dyDescent="0.25">
      <c r="A426" s="85">
        <v>40322</v>
      </c>
      <c r="B426" s="85" t="s">
        <v>2020</v>
      </c>
      <c r="C426" s="85" t="s">
        <v>357</v>
      </c>
      <c r="D426" s="85" t="s">
        <v>533</v>
      </c>
      <c r="E426" s="85"/>
      <c r="F426" s="85" t="s">
        <v>155</v>
      </c>
      <c r="G426" s="85"/>
      <c r="H426" s="85"/>
      <c r="I426" s="86"/>
      <c r="J426" s="86"/>
      <c r="K426" s="87"/>
      <c r="L426" s="87"/>
      <c r="M426" s="88"/>
      <c r="N426" s="89"/>
      <c r="O426" s="87"/>
      <c r="P426" s="87"/>
      <c r="Q426" s="87"/>
      <c r="R426" s="87"/>
      <c r="S426" s="87">
        <v>1</v>
      </c>
      <c r="T426" s="87">
        <v>1</v>
      </c>
      <c r="U426" s="87">
        <v>1</v>
      </c>
      <c r="V426" s="90" t="s">
        <v>1558</v>
      </c>
    </row>
    <row r="427" ht="15" customHeight="1" spans="1:23" x14ac:dyDescent="0.25">
      <c r="A427" s="85">
        <v>40322</v>
      </c>
      <c r="B427" s="85" t="s">
        <v>2020</v>
      </c>
      <c r="C427" s="85" t="s">
        <v>357</v>
      </c>
      <c r="D427" s="85" t="s">
        <v>533</v>
      </c>
      <c r="E427" s="85"/>
      <c r="F427" s="85" t="s">
        <v>1062</v>
      </c>
      <c r="G427" s="85" t="s">
        <v>1016</v>
      </c>
      <c r="H427" s="85" t="s">
        <v>170</v>
      </c>
      <c r="I427" s="86">
        <v>261</v>
      </c>
      <c r="J427" s="86">
        <v>261</v>
      </c>
      <c r="K427" s="87">
        <v>1</v>
      </c>
      <c r="L427" s="87">
        <v>1</v>
      </c>
      <c r="M427" s="88">
        <v>1</v>
      </c>
      <c r="N427" s="89"/>
      <c r="O427" s="87"/>
      <c r="P427" s="87"/>
      <c r="Q427" s="87"/>
      <c r="R427" s="87"/>
      <c r="S427" s="87">
        <v>1</v>
      </c>
      <c r="T427" s="87"/>
      <c r="U427" s="87">
        <v>1</v>
      </c>
      <c r="V427" s="90" t="s">
        <v>1558</v>
      </c>
    </row>
    <row r="428" ht="15" customHeight="1" spans="1:23" x14ac:dyDescent="0.25">
      <c r="A428" s="85">
        <v>40880</v>
      </c>
      <c r="B428" s="85" t="s">
        <v>2021</v>
      </c>
      <c r="C428" s="85" t="s">
        <v>357</v>
      </c>
      <c r="D428" s="85" t="s">
        <v>382</v>
      </c>
      <c r="E428" s="85" t="s">
        <v>383</v>
      </c>
      <c r="F428" s="85" t="s">
        <v>155</v>
      </c>
      <c r="G428" s="85"/>
      <c r="H428" s="85"/>
      <c r="I428" s="86"/>
      <c r="J428" s="86"/>
      <c r="K428" s="87"/>
      <c r="L428" s="87"/>
      <c r="M428" s="88"/>
      <c r="N428" s="89"/>
      <c r="O428" s="87"/>
      <c r="P428" s="87"/>
      <c r="Q428" s="87">
        <v>0.06513409961685823</v>
      </c>
      <c r="R428" s="87"/>
      <c r="S428" s="87">
        <v>1</v>
      </c>
      <c r="T428" s="87">
        <v>1</v>
      </c>
      <c r="U428" s="87">
        <v>1</v>
      </c>
      <c r="V428" s="90" t="s">
        <v>2022</v>
      </c>
    </row>
    <row r="429" ht="15" customHeight="1" spans="1:23" x14ac:dyDescent="0.25">
      <c r="A429" s="85">
        <v>40880</v>
      </c>
      <c r="B429" s="85" t="s">
        <v>2021</v>
      </c>
      <c r="C429" s="85" t="s">
        <v>357</v>
      </c>
      <c r="D429" s="85" t="s">
        <v>382</v>
      </c>
      <c r="E429" s="85" t="s">
        <v>383</v>
      </c>
      <c r="F429" s="85" t="s">
        <v>1062</v>
      </c>
      <c r="G429" s="85" t="s">
        <v>383</v>
      </c>
      <c r="H429" s="85" t="s">
        <v>170</v>
      </c>
      <c r="I429" s="86">
        <v>261</v>
      </c>
      <c r="J429" s="86">
        <v>228</v>
      </c>
      <c r="K429" s="87">
        <v>0.8735632183908046</v>
      </c>
      <c r="L429" s="87">
        <v>1</v>
      </c>
      <c r="M429" s="88">
        <v>0.8735632183908046</v>
      </c>
      <c r="N429" s="89"/>
      <c r="O429" s="87"/>
      <c r="P429" s="87">
        <v>17</v>
      </c>
      <c r="Q429" s="87"/>
      <c r="R429" s="87"/>
      <c r="S429" s="87">
        <v>0.8735632183908046</v>
      </c>
      <c r="T429" s="87"/>
      <c r="U429" s="87">
        <v>0.8735632183908046</v>
      </c>
      <c r="V429" s="90" t="s">
        <v>2023</v>
      </c>
    </row>
    <row r="430" ht="15" customHeight="1" spans="1:23" x14ac:dyDescent="0.25">
      <c r="A430" s="85">
        <v>40880</v>
      </c>
      <c r="B430" s="85" t="s">
        <v>2021</v>
      </c>
      <c r="C430" s="85" t="s">
        <v>357</v>
      </c>
      <c r="D430" s="85" t="s">
        <v>382</v>
      </c>
      <c r="E430" s="85" t="s">
        <v>383</v>
      </c>
      <c r="F430" s="85" t="s">
        <v>1062</v>
      </c>
      <c r="G430" s="85" t="s">
        <v>2024</v>
      </c>
      <c r="H430" s="85" t="s">
        <v>2025</v>
      </c>
      <c r="I430" s="86">
        <v>261</v>
      </c>
      <c r="J430" s="86">
        <v>17</v>
      </c>
      <c r="K430" s="87">
        <v>0.06513409961685823</v>
      </c>
      <c r="L430" s="87">
        <v>1</v>
      </c>
      <c r="M430" s="88">
        <v>0.06513409961685823</v>
      </c>
      <c r="N430" s="89">
        <v>1</v>
      </c>
      <c r="O430" s="87">
        <v>0.06513409961685823</v>
      </c>
      <c r="P430" s="87">
        <v>17</v>
      </c>
      <c r="Q430" s="87">
        <v>0.06513409961685823</v>
      </c>
      <c r="R430" s="87"/>
      <c r="S430" s="87">
        <v>0.06513409961685823</v>
      </c>
      <c r="T430" s="87"/>
      <c r="U430" s="87">
        <v>0.06513409961685823</v>
      </c>
      <c r="V430" s="90" t="s">
        <v>2026</v>
      </c>
    </row>
    <row r="431" ht="15" customHeight="1" spans="1:23" x14ac:dyDescent="0.25">
      <c r="A431" s="85">
        <v>40880</v>
      </c>
      <c r="B431" s="85" t="s">
        <v>2021</v>
      </c>
      <c r="C431" s="85" t="s">
        <v>357</v>
      </c>
      <c r="D431" s="85" t="s">
        <v>382</v>
      </c>
      <c r="E431" s="85" t="s">
        <v>383</v>
      </c>
      <c r="F431" s="85" t="s">
        <v>1062</v>
      </c>
      <c r="G431" s="85" t="s">
        <v>1016</v>
      </c>
      <c r="H431" s="85" t="s">
        <v>2027</v>
      </c>
      <c r="I431" s="86">
        <v>261</v>
      </c>
      <c r="J431" s="86">
        <v>16</v>
      </c>
      <c r="K431" s="87">
        <v>0.06130268199233716</v>
      </c>
      <c r="L431" s="87">
        <v>1</v>
      </c>
      <c r="M431" s="88">
        <v>0.06130268199233716</v>
      </c>
      <c r="N431" s="89"/>
      <c r="O431" s="87"/>
      <c r="P431" s="87">
        <v>17</v>
      </c>
      <c r="Q431" s="87"/>
      <c r="R431" s="87"/>
      <c r="S431" s="87">
        <v>0.06130268199233716</v>
      </c>
      <c r="T431" s="87"/>
      <c r="U431" s="87">
        <v>0.06130268199233716</v>
      </c>
      <c r="V431" s="90" t="s">
        <v>2028</v>
      </c>
    </row>
    <row r="432" ht="15" customHeight="1" spans="1:23" x14ac:dyDescent="0.25">
      <c r="A432" s="85">
        <v>41153</v>
      </c>
      <c r="B432" s="85" t="s">
        <v>2029</v>
      </c>
      <c r="C432" s="85" t="s">
        <v>357</v>
      </c>
      <c r="D432" s="85" t="s">
        <v>838</v>
      </c>
      <c r="E432" s="85"/>
      <c r="F432" s="85" t="s">
        <v>155</v>
      </c>
      <c r="G432" s="85"/>
      <c r="H432" s="85"/>
      <c r="I432" s="86"/>
      <c r="J432" s="86"/>
      <c r="K432" s="87"/>
      <c r="L432" s="87"/>
      <c r="M432" s="88"/>
      <c r="N432" s="89"/>
      <c r="O432" s="87"/>
      <c r="P432" s="87"/>
      <c r="Q432" s="87"/>
      <c r="R432" s="87"/>
      <c r="S432" s="87">
        <v>1</v>
      </c>
      <c r="T432" s="87">
        <v>1</v>
      </c>
      <c r="U432" s="87">
        <v>1</v>
      </c>
      <c r="V432" s="90" t="s">
        <v>1573</v>
      </c>
    </row>
    <row r="433" ht="15" customHeight="1" spans="1:23" x14ac:dyDescent="0.25">
      <c r="A433" s="85">
        <v>41153</v>
      </c>
      <c r="B433" s="85" t="s">
        <v>2029</v>
      </c>
      <c r="C433" s="85" t="s">
        <v>357</v>
      </c>
      <c r="D433" s="85" t="s">
        <v>838</v>
      </c>
      <c r="E433" s="85"/>
      <c r="F433" s="85" t="s">
        <v>1062</v>
      </c>
      <c r="G433" s="85" t="s">
        <v>1016</v>
      </c>
      <c r="H433" s="85" t="s">
        <v>170</v>
      </c>
      <c r="I433" s="86">
        <v>261</v>
      </c>
      <c r="J433" s="86">
        <v>261</v>
      </c>
      <c r="K433" s="87">
        <v>1</v>
      </c>
      <c r="L433" s="87">
        <v>1</v>
      </c>
      <c r="M433" s="88">
        <v>1</v>
      </c>
      <c r="N433" s="89"/>
      <c r="O433" s="87"/>
      <c r="P433" s="87"/>
      <c r="Q433" s="87"/>
      <c r="R433" s="87"/>
      <c r="S433" s="87">
        <v>1</v>
      </c>
      <c r="T433" s="87"/>
      <c r="U433" s="87">
        <v>1</v>
      </c>
      <c r="V433" s="90" t="s">
        <v>1573</v>
      </c>
    </row>
    <row r="434" ht="15" customHeight="1" spans="1:23" x14ac:dyDescent="0.25">
      <c r="A434" s="85">
        <v>41250</v>
      </c>
      <c r="B434" s="85" t="s">
        <v>2030</v>
      </c>
      <c r="C434" s="85" t="s">
        <v>357</v>
      </c>
      <c r="D434" s="85" t="s">
        <v>663</v>
      </c>
      <c r="E434" s="85"/>
      <c r="F434" s="85" t="s">
        <v>155</v>
      </c>
      <c r="G434" s="85"/>
      <c r="H434" s="85"/>
      <c r="I434" s="86"/>
      <c r="J434" s="86"/>
      <c r="K434" s="87"/>
      <c r="L434" s="87"/>
      <c r="M434" s="88"/>
      <c r="N434" s="89"/>
      <c r="O434" s="87"/>
      <c r="P434" s="87"/>
      <c r="Q434" s="87"/>
      <c r="R434" s="87"/>
      <c r="S434" s="87">
        <v>1</v>
      </c>
      <c r="T434" s="87">
        <v>1</v>
      </c>
      <c r="U434" s="87"/>
      <c r="V434" s="90" t="s">
        <v>1062</v>
      </c>
    </row>
    <row r="435" ht="15" customHeight="1" spans="1:23" x14ac:dyDescent="0.25">
      <c r="A435" s="85">
        <v>41250</v>
      </c>
      <c r="B435" s="85" t="s">
        <v>2030</v>
      </c>
      <c r="C435" s="85" t="s">
        <v>357</v>
      </c>
      <c r="D435" s="85" t="s">
        <v>663</v>
      </c>
      <c r="E435" s="85"/>
      <c r="F435" s="85" t="s">
        <v>1062</v>
      </c>
      <c r="G435" s="85" t="s">
        <v>1016</v>
      </c>
      <c r="H435" s="85" t="s">
        <v>170</v>
      </c>
      <c r="I435" s="86">
        <v>261</v>
      </c>
      <c r="J435" s="86">
        <v>261</v>
      </c>
      <c r="K435" s="87">
        <v>1</v>
      </c>
      <c r="L435" s="87">
        <v>1</v>
      </c>
      <c r="M435" s="88">
        <v>1</v>
      </c>
      <c r="N435" s="89"/>
      <c r="O435" s="87"/>
      <c r="P435" s="87"/>
      <c r="Q435" s="87"/>
      <c r="R435" s="87"/>
      <c r="S435" s="87">
        <v>1</v>
      </c>
      <c r="T435" s="87"/>
      <c r="U435" s="87">
        <v>0</v>
      </c>
      <c r="V435" s="90" t="s">
        <v>1062</v>
      </c>
    </row>
    <row r="436" ht="15" customHeight="1" spans="1:23" x14ac:dyDescent="0.25">
      <c r="A436" s="85">
        <v>41285</v>
      </c>
      <c r="B436" s="85" t="s">
        <v>2031</v>
      </c>
      <c r="C436" s="85" t="s">
        <v>357</v>
      </c>
      <c r="D436" s="85" t="s">
        <v>493</v>
      </c>
      <c r="E436" s="85"/>
      <c r="F436" s="85" t="s">
        <v>155</v>
      </c>
      <c r="G436" s="85"/>
      <c r="H436" s="85"/>
      <c r="I436" s="86"/>
      <c r="J436" s="86"/>
      <c r="K436" s="87"/>
      <c r="L436" s="87"/>
      <c r="M436" s="88"/>
      <c r="N436" s="89"/>
      <c r="O436" s="87"/>
      <c r="P436" s="87"/>
      <c r="Q436" s="87"/>
      <c r="R436" s="87"/>
      <c r="S436" s="87">
        <v>1</v>
      </c>
      <c r="T436" s="87">
        <v>1</v>
      </c>
      <c r="U436" s="87"/>
      <c r="V436" s="90" t="s">
        <v>1062</v>
      </c>
    </row>
    <row r="437" ht="15" customHeight="1" spans="1:23" x14ac:dyDescent="0.25">
      <c r="A437" s="85">
        <v>41285</v>
      </c>
      <c r="B437" s="85" t="s">
        <v>2031</v>
      </c>
      <c r="C437" s="85" t="s">
        <v>357</v>
      </c>
      <c r="D437" s="85" t="s">
        <v>493</v>
      </c>
      <c r="E437" s="85"/>
      <c r="F437" s="85" t="s">
        <v>1062</v>
      </c>
      <c r="G437" s="85" t="s">
        <v>1016</v>
      </c>
      <c r="H437" s="85" t="s">
        <v>170</v>
      </c>
      <c r="I437" s="86">
        <v>261</v>
      </c>
      <c r="J437" s="86">
        <v>261</v>
      </c>
      <c r="K437" s="87">
        <v>1</v>
      </c>
      <c r="L437" s="87">
        <v>1</v>
      </c>
      <c r="M437" s="88">
        <v>1</v>
      </c>
      <c r="N437" s="89"/>
      <c r="O437" s="87"/>
      <c r="P437" s="87"/>
      <c r="Q437" s="87"/>
      <c r="R437" s="87"/>
      <c r="S437" s="87">
        <v>1</v>
      </c>
      <c r="T437" s="87"/>
      <c r="U437" s="87">
        <v>0</v>
      </c>
      <c r="V437" s="90" t="s">
        <v>1062</v>
      </c>
    </row>
    <row r="438" ht="15" customHeight="1" spans="1:23" x14ac:dyDescent="0.25">
      <c r="A438" s="85">
        <v>41344</v>
      </c>
      <c r="B438" s="85" t="s">
        <v>2032</v>
      </c>
      <c r="C438" s="85" t="s">
        <v>357</v>
      </c>
      <c r="D438" s="85" t="s">
        <v>893</v>
      </c>
      <c r="E438" s="85"/>
      <c r="F438" s="85" t="s">
        <v>155</v>
      </c>
      <c r="G438" s="85"/>
      <c r="H438" s="85"/>
      <c r="I438" s="86"/>
      <c r="J438" s="86"/>
      <c r="K438" s="87"/>
      <c r="L438" s="87"/>
      <c r="M438" s="88"/>
      <c r="N438" s="89"/>
      <c r="O438" s="87"/>
      <c r="P438" s="87"/>
      <c r="Q438" s="87"/>
      <c r="R438" s="87"/>
      <c r="S438" s="87">
        <v>1</v>
      </c>
      <c r="T438" s="87">
        <v>1</v>
      </c>
      <c r="U438" s="87">
        <v>1</v>
      </c>
      <c r="V438" s="90" t="s">
        <v>2033</v>
      </c>
    </row>
    <row r="439" ht="15" customHeight="1" spans="1:23" x14ac:dyDescent="0.25">
      <c r="A439" s="85">
        <v>41344</v>
      </c>
      <c r="B439" s="85" t="s">
        <v>2032</v>
      </c>
      <c r="C439" s="85" t="s">
        <v>357</v>
      </c>
      <c r="D439" s="85" t="s">
        <v>893</v>
      </c>
      <c r="E439" s="85"/>
      <c r="F439" s="85" t="s">
        <v>1062</v>
      </c>
      <c r="G439" s="85" t="s">
        <v>1016</v>
      </c>
      <c r="H439" s="85" t="s">
        <v>170</v>
      </c>
      <c r="I439" s="86">
        <v>261</v>
      </c>
      <c r="J439" s="86">
        <v>261</v>
      </c>
      <c r="K439" s="87">
        <v>1</v>
      </c>
      <c r="L439" s="87">
        <v>1</v>
      </c>
      <c r="M439" s="88">
        <v>1</v>
      </c>
      <c r="N439" s="89"/>
      <c r="O439" s="87"/>
      <c r="P439" s="87"/>
      <c r="Q439" s="87"/>
      <c r="R439" s="87"/>
      <c r="S439" s="87">
        <v>1</v>
      </c>
      <c r="T439" s="87"/>
      <c r="U439" s="87">
        <v>1</v>
      </c>
      <c r="V439" s="90" t="s">
        <v>2033</v>
      </c>
    </row>
    <row r="440" ht="15" customHeight="1" spans="1:23" x14ac:dyDescent="0.25">
      <c r="A440" s="85">
        <v>41668</v>
      </c>
      <c r="B440" s="85" t="s">
        <v>2034</v>
      </c>
      <c r="C440" s="85" t="s">
        <v>942</v>
      </c>
      <c r="D440" s="85" t="s">
        <v>1016</v>
      </c>
      <c r="E440" s="85"/>
      <c r="F440" s="85" t="s">
        <v>155</v>
      </c>
      <c r="G440" s="85"/>
      <c r="H440" s="85"/>
      <c r="I440" s="86"/>
      <c r="J440" s="86"/>
      <c r="K440" s="87"/>
      <c r="L440" s="87"/>
      <c r="M440" s="88"/>
      <c r="N440" s="89"/>
      <c r="O440" s="87"/>
      <c r="P440" s="87"/>
      <c r="Q440" s="87"/>
      <c r="R440" s="87"/>
      <c r="S440" s="87">
        <v>1</v>
      </c>
      <c r="T440" s="87">
        <v>1</v>
      </c>
      <c r="U440" s="87">
        <v>1</v>
      </c>
      <c r="V440" s="90" t="s">
        <v>2035</v>
      </c>
    </row>
    <row r="441" ht="15" customHeight="1" spans="1:23" x14ac:dyDescent="0.25">
      <c r="A441" s="85">
        <v>41668</v>
      </c>
      <c r="B441" s="85" t="s">
        <v>2034</v>
      </c>
      <c r="C441" s="85" t="s">
        <v>942</v>
      </c>
      <c r="D441" s="85" t="s">
        <v>1016</v>
      </c>
      <c r="E441" s="85"/>
      <c r="F441" s="85" t="s">
        <v>1062</v>
      </c>
      <c r="G441" s="85" t="s">
        <v>1016</v>
      </c>
      <c r="H441" s="85" t="s">
        <v>170</v>
      </c>
      <c r="I441" s="86">
        <v>261</v>
      </c>
      <c r="J441" s="86">
        <v>261</v>
      </c>
      <c r="K441" s="87">
        <v>1</v>
      </c>
      <c r="L441" s="87">
        <v>1</v>
      </c>
      <c r="M441" s="88">
        <v>1</v>
      </c>
      <c r="N441" s="89"/>
      <c r="O441" s="87"/>
      <c r="P441" s="87"/>
      <c r="Q441" s="87"/>
      <c r="R441" s="87"/>
      <c r="S441" s="87">
        <v>1</v>
      </c>
      <c r="T441" s="87"/>
      <c r="U441" s="87">
        <v>1</v>
      </c>
      <c r="V441" s="90" t="s">
        <v>2035</v>
      </c>
    </row>
    <row r="442" ht="15" customHeight="1" spans="1:23" x14ac:dyDescent="0.25">
      <c r="A442" s="85">
        <v>42108</v>
      </c>
      <c r="B442" s="85" t="s">
        <v>2036</v>
      </c>
      <c r="C442" s="85" t="s">
        <v>942</v>
      </c>
      <c r="D442" s="85" t="s">
        <v>1049</v>
      </c>
      <c r="E442" s="85"/>
      <c r="F442" s="85" t="s">
        <v>155</v>
      </c>
      <c r="G442" s="85"/>
      <c r="H442" s="85"/>
      <c r="I442" s="86"/>
      <c r="J442" s="86"/>
      <c r="K442" s="87"/>
      <c r="L442" s="87"/>
      <c r="M442" s="88"/>
      <c r="N442" s="89"/>
      <c r="O442" s="87"/>
      <c r="P442" s="87"/>
      <c r="Q442" s="87"/>
      <c r="R442" s="87"/>
      <c r="S442" s="87">
        <v>0.08812260536398467</v>
      </c>
      <c r="T442" s="87">
        <v>0.08812260536398467</v>
      </c>
      <c r="U442" s="87">
        <v>0.08812260536398467</v>
      </c>
      <c r="V442" s="90" t="s">
        <v>2037</v>
      </c>
    </row>
    <row r="443" ht="15" customHeight="1" spans="1:23" x14ac:dyDescent="0.25">
      <c r="A443" s="85">
        <v>42108</v>
      </c>
      <c r="B443" s="85" t="s">
        <v>2036</v>
      </c>
      <c r="C443" s="85" t="s">
        <v>942</v>
      </c>
      <c r="D443" s="85" t="s">
        <v>1049</v>
      </c>
      <c r="E443" s="85"/>
      <c r="F443" s="85" t="s">
        <v>1062</v>
      </c>
      <c r="G443" s="85" t="s">
        <v>1049</v>
      </c>
      <c r="H443" s="85" t="s">
        <v>170</v>
      </c>
      <c r="I443" s="86">
        <v>261</v>
      </c>
      <c r="J443" s="86">
        <v>23</v>
      </c>
      <c r="K443" s="87">
        <v>0.08812260536398467</v>
      </c>
      <c r="L443" s="87">
        <v>1</v>
      </c>
      <c r="M443" s="88">
        <v>0.08812260536398467</v>
      </c>
      <c r="N443" s="89"/>
      <c r="O443" s="87"/>
      <c r="P443" s="87"/>
      <c r="Q443" s="87"/>
      <c r="R443" s="87"/>
      <c r="S443" s="87">
        <v>0.08812260536398467</v>
      </c>
      <c r="T443" s="87"/>
      <c r="U443" s="87">
        <v>0.08812260536398467</v>
      </c>
      <c r="V443" s="90" t="s">
        <v>2037</v>
      </c>
    </row>
    <row r="444" ht="15" customHeight="1" spans="1:23" x14ac:dyDescent="0.25">
      <c r="A444" s="85">
        <v>42353</v>
      </c>
      <c r="B444" s="85" t="s">
        <v>2038</v>
      </c>
      <c r="C444" s="85" t="s">
        <v>161</v>
      </c>
      <c r="D444" s="85" t="s">
        <v>169</v>
      </c>
      <c r="E444" s="85"/>
      <c r="F444" s="85" t="s">
        <v>155</v>
      </c>
      <c r="G444" s="85"/>
      <c r="H444" s="85"/>
      <c r="I444" s="86"/>
      <c r="J444" s="86"/>
      <c r="K444" s="87"/>
      <c r="L444" s="87"/>
      <c r="M444" s="88"/>
      <c r="N444" s="89"/>
      <c r="O444" s="87"/>
      <c r="P444" s="87"/>
      <c r="Q444" s="87"/>
      <c r="R444" s="87"/>
      <c r="S444" s="87">
        <v>0.08812260536398467</v>
      </c>
      <c r="T444" s="87">
        <v>0.08812260536398467</v>
      </c>
      <c r="U444" s="87"/>
      <c r="V444" s="90" t="s">
        <v>1062</v>
      </c>
    </row>
    <row r="445" ht="15" customHeight="1" spans="1:23" x14ac:dyDescent="0.25">
      <c r="A445" s="85">
        <v>42353</v>
      </c>
      <c r="B445" s="85" t="s">
        <v>2038</v>
      </c>
      <c r="C445" s="85" t="s">
        <v>161</v>
      </c>
      <c r="D445" s="85" t="s">
        <v>169</v>
      </c>
      <c r="E445" s="85"/>
      <c r="F445" s="85" t="s">
        <v>1062</v>
      </c>
      <c r="G445" s="85" t="s">
        <v>1049</v>
      </c>
      <c r="H445" s="85" t="s">
        <v>170</v>
      </c>
      <c r="I445" s="86">
        <v>261</v>
      </c>
      <c r="J445" s="86">
        <v>23</v>
      </c>
      <c r="K445" s="87">
        <v>0.08812260536398467</v>
      </c>
      <c r="L445" s="87">
        <v>1</v>
      </c>
      <c r="M445" s="88">
        <v>0.08812260536398467</v>
      </c>
      <c r="N445" s="89"/>
      <c r="O445" s="87"/>
      <c r="P445" s="87"/>
      <c r="Q445" s="87"/>
      <c r="R445" s="87"/>
      <c r="S445" s="87">
        <v>0.08812260536398467</v>
      </c>
      <c r="T445" s="87"/>
      <c r="U445" s="87">
        <v>0</v>
      </c>
      <c r="V445" s="90" t="s">
        <v>1062</v>
      </c>
    </row>
    <row r="446" ht="15" customHeight="1" spans="1:23" x14ac:dyDescent="0.25">
      <c r="A446" s="85">
        <v>42353</v>
      </c>
      <c r="B446" s="85" t="s">
        <v>2038</v>
      </c>
      <c r="C446" s="85"/>
      <c r="D446" s="85" t="s">
        <v>169</v>
      </c>
      <c r="E446" s="85"/>
      <c r="F446" s="85" t="s">
        <v>1062</v>
      </c>
      <c r="G446" s="85" t="s">
        <v>169</v>
      </c>
      <c r="H446" s="85" t="s">
        <v>1587</v>
      </c>
      <c r="I446" s="86">
        <v>261</v>
      </c>
      <c r="J446" s="86">
        <v>65</v>
      </c>
      <c r="K446" s="87">
        <v>0.24904214559386972</v>
      </c>
      <c r="L446" s="87">
        <v>0</v>
      </c>
      <c r="M446" s="88">
        <v>0</v>
      </c>
      <c r="N446" s="89"/>
      <c r="O446" s="87"/>
      <c r="P446" s="87"/>
      <c r="Q446" s="87"/>
      <c r="R446" s="87"/>
      <c r="S446" s="87">
        <v>0</v>
      </c>
      <c r="T446" s="87"/>
      <c r="U446" s="87">
        <v>0</v>
      </c>
      <c r="V446" s="90" t="s">
        <v>1062</v>
      </c>
    </row>
    <row r="447" ht="15" customHeight="1" spans="1:23" x14ac:dyDescent="0.25">
      <c r="A447" s="85">
        <v>42829</v>
      </c>
      <c r="B447" s="85" t="s">
        <v>2039</v>
      </c>
      <c r="C447" s="85" t="s">
        <v>942</v>
      </c>
      <c r="D447" s="85" t="s">
        <v>944</v>
      </c>
      <c r="E447" s="85"/>
      <c r="F447" s="85" t="s">
        <v>155</v>
      </c>
      <c r="G447" s="85"/>
      <c r="H447" s="85"/>
      <c r="I447" s="86"/>
      <c r="J447" s="86"/>
      <c r="K447" s="87"/>
      <c r="L447" s="87"/>
      <c r="M447" s="88"/>
      <c r="N447" s="89"/>
      <c r="O447" s="87"/>
      <c r="P447" s="87"/>
      <c r="Q447" s="87"/>
      <c r="R447" s="87"/>
      <c r="S447" s="87">
        <v>0.4103448275862069</v>
      </c>
      <c r="T447" s="87">
        <v>0.4103448275862069</v>
      </c>
      <c r="U447" s="87">
        <v>0.4103448275862069</v>
      </c>
      <c r="V447" s="90" t="s">
        <v>2040</v>
      </c>
    </row>
    <row r="448" ht="15" customHeight="1" spans="1:23" x14ac:dyDescent="0.25">
      <c r="A448" s="85">
        <v>42829</v>
      </c>
      <c r="B448" s="85" t="s">
        <v>2039</v>
      </c>
      <c r="C448" s="85" t="s">
        <v>942</v>
      </c>
      <c r="D448" s="85" t="s">
        <v>944</v>
      </c>
      <c r="E448" s="85"/>
      <c r="F448" s="85" t="s">
        <v>1062</v>
      </c>
      <c r="G448" s="85" t="s">
        <v>944</v>
      </c>
      <c r="H448" s="85" t="s">
        <v>170</v>
      </c>
      <c r="I448" s="86">
        <v>261</v>
      </c>
      <c r="J448" s="86">
        <v>153</v>
      </c>
      <c r="K448" s="87">
        <v>0.5862068965517241</v>
      </c>
      <c r="L448" s="87">
        <v>0.7</v>
      </c>
      <c r="M448" s="88">
        <v>0.4103448275862069</v>
      </c>
      <c r="N448" s="89"/>
      <c r="O448" s="87"/>
      <c r="P448" s="87"/>
      <c r="Q448" s="87"/>
      <c r="R448" s="87"/>
      <c r="S448" s="87">
        <v>0.4103448275862069</v>
      </c>
      <c r="T448" s="87"/>
      <c r="U448" s="87">
        <v>0.4103448275862069</v>
      </c>
      <c r="V448" s="90" t="s">
        <v>2040</v>
      </c>
    </row>
    <row r="449" ht="15" customHeight="1" spans="1:23" x14ac:dyDescent="0.25">
      <c r="A449" s="85">
        <v>42830</v>
      </c>
      <c r="B449" s="85" t="s">
        <v>2041</v>
      </c>
      <c r="C449" s="85" t="s">
        <v>942</v>
      </c>
      <c r="D449" s="85" t="s">
        <v>962</v>
      </c>
      <c r="E449" s="85" t="s">
        <v>963</v>
      </c>
      <c r="F449" s="85" t="s">
        <v>155</v>
      </c>
      <c r="G449" s="85"/>
      <c r="H449" s="85"/>
      <c r="I449" s="86"/>
      <c r="J449" s="86"/>
      <c r="K449" s="87"/>
      <c r="L449" s="87"/>
      <c r="M449" s="88"/>
      <c r="N449" s="89"/>
      <c r="O449" s="87"/>
      <c r="P449" s="87"/>
      <c r="Q449" s="87"/>
      <c r="R449" s="87">
        <v>0.25287356321839083</v>
      </c>
      <c r="S449" s="87">
        <v>0.3425287356321839</v>
      </c>
      <c r="T449" s="87">
        <v>0.5954022988505747</v>
      </c>
      <c r="U449" s="87">
        <v>0.3425287356321839</v>
      </c>
      <c r="V449" s="90" t="s">
        <v>2042</v>
      </c>
    </row>
    <row r="450" ht="15" customHeight="1" spans="1:23" x14ac:dyDescent="0.25">
      <c r="A450" s="85">
        <v>42830</v>
      </c>
      <c r="B450" s="85" t="s">
        <v>2041</v>
      </c>
      <c r="C450" s="85" t="s">
        <v>942</v>
      </c>
      <c r="D450" s="85" t="s">
        <v>962</v>
      </c>
      <c r="E450" s="85" t="s">
        <v>963</v>
      </c>
      <c r="F450" s="85" t="s">
        <v>1062</v>
      </c>
      <c r="G450" s="85" t="s">
        <v>2043</v>
      </c>
      <c r="H450" s="85" t="s">
        <v>963</v>
      </c>
      <c r="I450" s="86">
        <v>261</v>
      </c>
      <c r="J450" s="86">
        <v>18</v>
      </c>
      <c r="K450" s="87">
        <v>0.06896551724137931</v>
      </c>
      <c r="L450" s="87">
        <v>0.8</v>
      </c>
      <c r="M450" s="88">
        <v>0.05517241379310345</v>
      </c>
      <c r="N450" s="89"/>
      <c r="O450" s="87"/>
      <c r="P450" s="87"/>
      <c r="Q450" s="87"/>
      <c r="R450" s="87"/>
      <c r="S450" s="87">
        <v>0.05517241379310345</v>
      </c>
      <c r="T450" s="87"/>
      <c r="U450" s="87">
        <v>0.05517241379310345</v>
      </c>
      <c r="V450" s="90" t="s">
        <v>2044</v>
      </c>
    </row>
    <row r="451" ht="15" customHeight="1" spans="1:23" x14ac:dyDescent="0.25">
      <c r="A451" s="85">
        <v>42830</v>
      </c>
      <c r="B451" s="85" t="s">
        <v>2041</v>
      </c>
      <c r="C451" s="85" t="s">
        <v>942</v>
      </c>
      <c r="D451" s="85" t="s">
        <v>962</v>
      </c>
      <c r="E451" s="85" t="s">
        <v>963</v>
      </c>
      <c r="F451" s="85" t="s">
        <v>1062</v>
      </c>
      <c r="G451" s="85" t="s">
        <v>2045</v>
      </c>
      <c r="H451" s="85" t="s">
        <v>752</v>
      </c>
      <c r="I451" s="86">
        <v>261</v>
      </c>
      <c r="J451" s="86">
        <v>66</v>
      </c>
      <c r="K451" s="87">
        <v>0.25287356321839083</v>
      </c>
      <c r="L451" s="87">
        <v>1</v>
      </c>
      <c r="M451" s="88">
        <v>0.25287356321839083</v>
      </c>
      <c r="N451" s="89">
        <v>1</v>
      </c>
      <c r="O451" s="87">
        <v>0.25287356321839083</v>
      </c>
      <c r="P451" s="87"/>
      <c r="Q451" s="87"/>
      <c r="R451" s="87">
        <v>0.25287356321839083</v>
      </c>
      <c r="S451" s="87">
        <v>0</v>
      </c>
      <c r="T451" s="87"/>
      <c r="U451" s="87">
        <v>0</v>
      </c>
      <c r="V451" s="90" t="s">
        <v>2046</v>
      </c>
    </row>
    <row r="452" ht="15" customHeight="1" spans="1:23" x14ac:dyDescent="0.25">
      <c r="A452" s="85">
        <v>42830</v>
      </c>
      <c r="B452" s="85" t="s">
        <v>2041</v>
      </c>
      <c r="C452" s="85" t="s">
        <v>942</v>
      </c>
      <c r="D452" s="85" t="s">
        <v>962</v>
      </c>
      <c r="E452" s="85" t="s">
        <v>963</v>
      </c>
      <c r="F452" s="85" t="s">
        <v>1062</v>
      </c>
      <c r="G452" s="85" t="s">
        <v>962</v>
      </c>
      <c r="H452" s="85" t="s">
        <v>2047</v>
      </c>
      <c r="I452" s="86">
        <v>261</v>
      </c>
      <c r="J452" s="86">
        <v>75</v>
      </c>
      <c r="K452" s="87">
        <v>0.28735632183908044</v>
      </c>
      <c r="L452" s="87">
        <v>1</v>
      </c>
      <c r="M452" s="88">
        <v>0.28735632183908044</v>
      </c>
      <c r="N452" s="89"/>
      <c r="O452" s="87"/>
      <c r="P452" s="87"/>
      <c r="Q452" s="87"/>
      <c r="R452" s="87"/>
      <c r="S452" s="87">
        <v>0.28735632183908044</v>
      </c>
      <c r="T452" s="87"/>
      <c r="U452" s="87">
        <v>0.28735632183908044</v>
      </c>
      <c r="V452" s="90" t="s">
        <v>2048</v>
      </c>
    </row>
    <row r="453" ht="15" customHeight="1" spans="1:23" x14ac:dyDescent="0.25">
      <c r="A453" s="85">
        <v>42836</v>
      </c>
      <c r="B453" s="85" t="s">
        <v>2049</v>
      </c>
      <c r="C453" s="85" t="s">
        <v>357</v>
      </c>
      <c r="D453" s="85" t="s">
        <v>634</v>
      </c>
      <c r="E453" s="85" t="s">
        <v>170</v>
      </c>
      <c r="F453" s="85" t="s">
        <v>155</v>
      </c>
      <c r="G453" s="85"/>
      <c r="H453" s="85"/>
      <c r="I453" s="86"/>
      <c r="J453" s="86"/>
      <c r="K453" s="87"/>
      <c r="L453" s="87"/>
      <c r="M453" s="88"/>
      <c r="N453" s="89"/>
      <c r="O453" s="87"/>
      <c r="P453" s="87"/>
      <c r="Q453" s="87"/>
      <c r="R453" s="87">
        <v>0.0006168582375478927</v>
      </c>
      <c r="S453" s="87">
        <v>0.17639463601532565</v>
      </c>
      <c r="T453" s="87">
        <v>0.17701149425287355</v>
      </c>
      <c r="U453" s="87">
        <v>0.17639463601532565</v>
      </c>
      <c r="V453" s="90" t="s">
        <v>2050</v>
      </c>
    </row>
    <row r="454" ht="15" customHeight="1" spans="1:23" x14ac:dyDescent="0.25">
      <c r="A454" s="85">
        <v>42836</v>
      </c>
      <c r="B454" s="85" t="s">
        <v>2049</v>
      </c>
      <c r="C454" s="85" t="s">
        <v>357</v>
      </c>
      <c r="D454" s="85" t="s">
        <v>634</v>
      </c>
      <c r="E454" s="85" t="s">
        <v>170</v>
      </c>
      <c r="F454" s="85" t="s">
        <v>1062</v>
      </c>
      <c r="G454" s="85" t="s">
        <v>1049</v>
      </c>
      <c r="H454" s="85" t="s">
        <v>170</v>
      </c>
      <c r="I454" s="86">
        <v>261</v>
      </c>
      <c r="J454" s="86">
        <v>23</v>
      </c>
      <c r="K454" s="87">
        <v>0.08812260536398467</v>
      </c>
      <c r="L454" s="87">
        <v>0.7</v>
      </c>
      <c r="M454" s="88">
        <v>0.06168582375478927</v>
      </c>
      <c r="N454" s="89">
        <v>0.006999999999999999</v>
      </c>
      <c r="O454" s="87">
        <v>0.0006168582375478927</v>
      </c>
      <c r="P454" s="87"/>
      <c r="Q454" s="87"/>
      <c r="R454" s="87">
        <v>0.0006168582375478927</v>
      </c>
      <c r="S454" s="87">
        <v>0.06106896551724137</v>
      </c>
      <c r="T454" s="87"/>
      <c r="U454" s="87">
        <v>0.06106896551724137</v>
      </c>
      <c r="V454" s="90" t="s">
        <v>2051</v>
      </c>
    </row>
    <row r="455" ht="15" customHeight="1" spans="1:23" x14ac:dyDescent="0.25">
      <c r="A455" s="85">
        <v>42836</v>
      </c>
      <c r="B455" s="85" t="s">
        <v>2049</v>
      </c>
      <c r="C455" s="85" t="s">
        <v>357</v>
      </c>
      <c r="D455" s="85" t="s">
        <v>634</v>
      </c>
      <c r="E455" s="85" t="s">
        <v>170</v>
      </c>
      <c r="F455" s="85" t="s">
        <v>1062</v>
      </c>
      <c r="G455" s="85" t="s">
        <v>634</v>
      </c>
      <c r="H455" s="85" t="s">
        <v>1587</v>
      </c>
      <c r="I455" s="86">
        <v>261</v>
      </c>
      <c r="J455" s="86">
        <v>43</v>
      </c>
      <c r="K455" s="87">
        <v>0.16475095785440613</v>
      </c>
      <c r="L455" s="87">
        <v>0.7</v>
      </c>
      <c r="M455" s="88">
        <v>0.11532567049808429</v>
      </c>
      <c r="N455" s="89"/>
      <c r="O455" s="87"/>
      <c r="P455" s="87"/>
      <c r="Q455" s="87"/>
      <c r="R455" s="87"/>
      <c r="S455" s="87">
        <v>0.11532567049808429</v>
      </c>
      <c r="T455" s="87"/>
      <c r="U455" s="87">
        <v>0.11532567049808429</v>
      </c>
      <c r="V455" s="90" t="s">
        <v>2052</v>
      </c>
    </row>
    <row r="456" ht="15" customHeight="1" spans="1:23" x14ac:dyDescent="0.25">
      <c r="A456" s="85">
        <v>42838</v>
      </c>
      <c r="B456" s="85" t="s">
        <v>2053</v>
      </c>
      <c r="C456" s="85" t="s">
        <v>357</v>
      </c>
      <c r="D456" s="85" t="s">
        <v>672</v>
      </c>
      <c r="E456" s="85" t="s">
        <v>639</v>
      </c>
      <c r="F456" s="85" t="s">
        <v>155</v>
      </c>
      <c r="G456" s="85"/>
      <c r="H456" s="85"/>
      <c r="I456" s="86"/>
      <c r="J456" s="86"/>
      <c r="K456" s="87"/>
      <c r="L456" s="87"/>
      <c r="M456" s="88"/>
      <c r="N456" s="89"/>
      <c r="O456" s="87"/>
      <c r="P456" s="87"/>
      <c r="Q456" s="87"/>
      <c r="R456" s="87"/>
      <c r="S456" s="87">
        <v>0.16475095785440613</v>
      </c>
      <c r="T456" s="87">
        <v>0.16475095785440613</v>
      </c>
      <c r="U456" s="87">
        <v>0.16475095785440616</v>
      </c>
      <c r="V456" s="90" t="s">
        <v>2054</v>
      </c>
    </row>
    <row r="457" ht="15" customHeight="1" spans="1:23" x14ac:dyDescent="0.25">
      <c r="A457" s="85">
        <v>42838</v>
      </c>
      <c r="B457" s="85" t="s">
        <v>2053</v>
      </c>
      <c r="C457" s="85" t="s">
        <v>357</v>
      </c>
      <c r="D457" s="85" t="s">
        <v>672</v>
      </c>
      <c r="E457" s="85" t="s">
        <v>639</v>
      </c>
      <c r="F457" s="85" t="s">
        <v>1062</v>
      </c>
      <c r="G457" s="85" t="s">
        <v>672</v>
      </c>
      <c r="H457" s="85" t="s">
        <v>170</v>
      </c>
      <c r="I457" s="86">
        <v>261</v>
      </c>
      <c r="J457" s="86">
        <v>43</v>
      </c>
      <c r="K457" s="87">
        <v>0.16475095785440613</v>
      </c>
      <c r="L457" s="87">
        <v>1</v>
      </c>
      <c r="M457" s="88">
        <v>0.16475095785440613</v>
      </c>
      <c r="N457" s="89"/>
      <c r="O457" s="87"/>
      <c r="P457" s="87"/>
      <c r="Q457" s="87"/>
      <c r="R457" s="87"/>
      <c r="S457" s="87">
        <v>0.16475095785440613</v>
      </c>
      <c r="T457" s="87"/>
      <c r="U457" s="87">
        <v>0.16475095785440616</v>
      </c>
      <c r="V457" s="90" t="s">
        <v>2054</v>
      </c>
    </row>
    <row r="458" ht="15" customHeight="1" spans="1:23" x14ac:dyDescent="0.25">
      <c r="A458" s="85">
        <v>42865</v>
      </c>
      <c r="B458" s="85" t="s">
        <v>2055</v>
      </c>
      <c r="C458" s="85" t="s">
        <v>161</v>
      </c>
      <c r="D458" s="85" t="s">
        <v>213</v>
      </c>
      <c r="E458" s="85"/>
      <c r="F458" s="85" t="s">
        <v>155</v>
      </c>
      <c r="G458" s="85"/>
      <c r="H458" s="85"/>
      <c r="I458" s="86"/>
      <c r="J458" s="86"/>
      <c r="K458" s="87"/>
      <c r="L458" s="87"/>
      <c r="M458" s="88"/>
      <c r="N458" s="89"/>
      <c r="O458" s="87"/>
      <c r="P458" s="87"/>
      <c r="Q458" s="87">
        <v>0.05747126436781609</v>
      </c>
      <c r="R458" s="87"/>
      <c r="S458" s="87">
        <v>1</v>
      </c>
      <c r="T458" s="87">
        <v>1</v>
      </c>
      <c r="U458" s="87"/>
      <c r="V458" s="90" t="s">
        <v>2056</v>
      </c>
    </row>
    <row r="459" ht="15" customHeight="1" spans="1:23" x14ac:dyDescent="0.25">
      <c r="A459" s="85">
        <v>42865</v>
      </c>
      <c r="B459" s="85" t="s">
        <v>2055</v>
      </c>
      <c r="C459" s="85" t="s">
        <v>161</v>
      </c>
      <c r="D459" s="85" t="s">
        <v>213</v>
      </c>
      <c r="E459" s="85"/>
      <c r="F459" s="85" t="s">
        <v>1062</v>
      </c>
      <c r="G459" s="85" t="s">
        <v>2057</v>
      </c>
      <c r="H459" s="85" t="s">
        <v>170</v>
      </c>
      <c r="I459" s="86">
        <v>261</v>
      </c>
      <c r="J459" s="86">
        <v>8</v>
      </c>
      <c r="K459" s="87">
        <v>0.03065134099616858</v>
      </c>
      <c r="L459" s="87">
        <v>1</v>
      </c>
      <c r="M459" s="88">
        <v>0.03065134099616858</v>
      </c>
      <c r="N459" s="89"/>
      <c r="O459" s="87"/>
      <c r="P459" s="87"/>
      <c r="Q459" s="87"/>
      <c r="R459" s="87"/>
      <c r="S459" s="87">
        <v>0.03065134099616858</v>
      </c>
      <c r="T459" s="87"/>
      <c r="U459" s="87">
        <v>0</v>
      </c>
      <c r="V459" s="90" t="s">
        <v>1062</v>
      </c>
    </row>
    <row r="460" ht="15" customHeight="1" spans="1:23" x14ac:dyDescent="0.25">
      <c r="A460" s="85">
        <v>42865</v>
      </c>
      <c r="B460" s="85" t="s">
        <v>2055</v>
      </c>
      <c r="C460" s="85" t="s">
        <v>161</v>
      </c>
      <c r="D460" s="85" t="s">
        <v>213</v>
      </c>
      <c r="E460" s="85"/>
      <c r="F460" s="85" t="s">
        <v>1062</v>
      </c>
      <c r="G460" s="85" t="s">
        <v>1049</v>
      </c>
      <c r="H460" s="85" t="s">
        <v>2058</v>
      </c>
      <c r="I460" s="86">
        <v>261</v>
      </c>
      <c r="J460" s="86">
        <v>15</v>
      </c>
      <c r="K460" s="87">
        <v>0.05747126436781609</v>
      </c>
      <c r="L460" s="87">
        <v>1</v>
      </c>
      <c r="M460" s="88">
        <v>0.05747126436781609</v>
      </c>
      <c r="N460" s="89">
        <v>1</v>
      </c>
      <c r="O460" s="87">
        <v>0.05747126436781609</v>
      </c>
      <c r="P460" s="87"/>
      <c r="Q460" s="87">
        <v>0.05747126436781609</v>
      </c>
      <c r="R460" s="87"/>
      <c r="S460" s="87">
        <v>0.05747126436781609</v>
      </c>
      <c r="T460" s="87"/>
      <c r="U460" s="87">
        <v>0</v>
      </c>
      <c r="V460" s="90" t="s">
        <v>2059</v>
      </c>
    </row>
    <row r="461" ht="15" customHeight="1" spans="1:23" x14ac:dyDescent="0.25">
      <c r="A461" s="85">
        <v>42865</v>
      </c>
      <c r="B461" s="85" t="s">
        <v>2055</v>
      </c>
      <c r="C461" s="85" t="s">
        <v>161</v>
      </c>
      <c r="D461" s="85" t="s">
        <v>213</v>
      </c>
      <c r="E461" s="85"/>
      <c r="F461" s="85" t="s">
        <v>1062</v>
      </c>
      <c r="G461" s="85" t="s">
        <v>1016</v>
      </c>
      <c r="H461" s="85" t="s">
        <v>1587</v>
      </c>
      <c r="I461" s="86">
        <v>261</v>
      </c>
      <c r="J461" s="86">
        <v>238</v>
      </c>
      <c r="K461" s="87">
        <v>0.9118773946360154</v>
      </c>
      <c r="L461" s="87">
        <v>1</v>
      </c>
      <c r="M461" s="88">
        <v>0.9118773946360154</v>
      </c>
      <c r="N461" s="89"/>
      <c r="O461" s="87"/>
      <c r="P461" s="87"/>
      <c r="Q461" s="87"/>
      <c r="R461" s="87"/>
      <c r="S461" s="87">
        <v>0.9118773946360154</v>
      </c>
      <c r="T461" s="87"/>
      <c r="U461" s="87">
        <v>0</v>
      </c>
      <c r="V461" s="90" t="s">
        <v>1062</v>
      </c>
    </row>
    <row r="462" spans="1:23" x14ac:dyDescent="0.25"/>
    <row r="465" spans="1:4" x14ac:dyDescent="0.25">
      <c r="D465" s="1"/>
    </row>
  </sheetData>
  <autoFilter ref="A1:V1"/>
  <conditionalFormatting sqref="A1:B1">
    <cfRule type="expression" dxfId="17" priority="30">
      <formula>AND(OR($I1&lt;&gt;"-",#REF!&lt;&gt;0,#REF!&lt;&gt;0,ISBLANK($M1)),ROW()&gt;2,$A1&lt;&gt;"")</formula>
    </cfRule>
  </conditionalFormatting>
  <conditionalFormatting sqref="A2:F461">
    <cfRule type="expression" dxfId="18" priority="11">
      <formula>$F2="x"</formula>
    </cfRule>
  </conditionalFormatting>
  <conditionalFormatting sqref="G2:N461">
    <cfRule type="expression" dxfId="19" priority="5">
      <formula>$F2="x"</formula>
    </cfRule>
  </conditionalFormatting>
  <conditionalFormatting sqref="I2:K461">
    <cfRule type="expression" dxfId="20" priority="6">
      <formula>1=1</formula>
    </cfRule>
  </conditionalFormatting>
  <conditionalFormatting sqref="L2:L461">
    <cfRule type="expression" dxfId="21" priority="8">
      <formula>1=1</formula>
    </cfRule>
  </conditionalFormatting>
  <conditionalFormatting sqref="N2:N461">
    <cfRule type="expression" dxfId="22" priority="7">
      <formula>1=1</formula>
    </cfRule>
  </conditionalFormatting>
  <conditionalFormatting sqref="O2:O461">
    <cfRule type="expression" dxfId="23" priority="9">
      <formula>1=1</formula>
    </cfRule>
  </conditionalFormatting>
  <conditionalFormatting sqref="O2:U461">
    <cfRule type="expression" dxfId="24" priority="1">
      <formula>$F2="x"</formula>
    </cfRule>
  </conditionalFormatting>
  <conditionalFormatting sqref="Q2:R461">
    <cfRule type="expression" dxfId="25" priority="4">
      <formula>1=1</formula>
    </cfRule>
  </conditionalFormatting>
  <conditionalFormatting sqref="S2:S461">
    <cfRule type="expression" dxfId="26" priority="3">
      <formula>1=1</formula>
    </cfRule>
  </conditionalFormatting>
  <conditionalFormatting sqref="U2:U461">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François-Xavier Montigny</cp:lastModifiedBy>
  <dcterms:created xsi:type="dcterms:W3CDTF">2020-03-26T00:32:42Z</dcterms:created>
  <dcterms:modified xsi:type="dcterms:W3CDTF">2026-03-24T09:52:12Z</dcterms:modified>
</cp:coreProperties>
</file>