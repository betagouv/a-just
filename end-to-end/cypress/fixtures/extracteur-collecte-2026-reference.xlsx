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3.xml" ContentType="application/vnd.openxmlformats-officedocument.spreadsheetml.worksheet+xml"/>
  <Override PartName="/xl/worksheets/sheet1.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9.xml" ContentType="application/vnd.openxmlformats-officedocument.spreadsheetml.worksheet+xml"/>
  <Override PartName="/xl/worksheets/sheet41.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8.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9.xml" ContentType="application/vnd.openxmlformats-officedocument.spreadsheetml.worksheet+xml"/>
  <Override PartName="/xl/worksheets/sheet17.xml" ContentType="application/vnd.openxmlformats-officedocument.spreadsheetml.worksheet+xml"/>
  <Override PartName="/xl/worksheets/sheet24.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Default Extension="vml" ContentType="application/vnd.openxmlformats-officedocument.vmlDrawing"/>
  <Override PartName="/xl/comments3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80" yWindow="780" windowWidth="30240" windowHeight="17180"/>
  </bookViews>
  <sheets>
    <sheet sheetId="33" name="ACCUEIL" state="visible" r:id="rId4"/>
    <sheet sheetId="1" name="ETPT A-JUST" state="visible" r:id="rId5"/>
    <sheet sheetId="9" name="ETPT Format DDG" state="visible" r:id="rId6"/>
    <sheet sheetId="10" name="Synthèse ETPT" state="visible" r:id="rId7"/>
    <sheet sheetId="19" name="Table_Fonctions" state="hidden" r:id="rId8"/>
    <sheet sheetId="41" name="ETPT Format DDG DETAIL" state="hidden" r:id="rId9"/>
    <sheet sheetId="25" name="ETPT_TJ" state="hidden" r:id="rId10"/>
    <sheet sheetId="26" name="ETPT_TPRX" state="hidden" r:id="rId11"/>
    <sheet sheetId="27" name="ETPT_CPH" state="hidden" r:id="rId12"/>
    <sheet sheetId="38" name="ETPT_ATTJ" state="hidden" r:id="rId13"/>
    <sheet sheetId="28" name="ETPT_TJ_DDG" state="visible" r:id="rId14"/>
    <sheet sheetId="29" name="ETPT_TPRX_DDG" state="visible" r:id="rId15"/>
    <sheet sheetId="30" name="ETPT_CPH_DDG" state="visible" r:id="rId16"/>
    <sheet sheetId="39" name="ETPT_ATTJ_DDG" state="visible" r:id="rId17"/>
    <sheet sheetId="17" name="Juridictions" state="hidden" r:id="rId18"/>
    <sheet sheetId="24" name="ETPT_TJ_corresp-SIEGE-TJ" state="hidden" r:id="rId19"/>
    <sheet sheetId="34" name="ETPT_TPROX_corresp-SIEGE-TPROX" state="hidden" r:id="rId20"/>
    <sheet sheetId="35" name="ETPT_TJ_corresp-GREFFE-TJ" state="hidden" r:id="rId21"/>
    <sheet sheetId="36" name="ETPT_TROX_corresp-GREFFE-TPROX" state="hidden" r:id="rId22"/>
    <sheet sheetId="37" name="ETPT_CPH_corresp-GREFFE-CPH" state="hidden" r:id="rId23"/>
    <sheet sheetId="40" name="ETPT_ATTACHES_JUSTICE  corresp" state="hidden" r:id="rId24"/>
  </sheets>
  <definedNames>
    <definedName name="_xlnm._FilterDatabase">'Table_Fonctions'!$A$1:$G$1</definedName>
    <definedName name="TJCPH">Juridictions!$J$1:$J$10</definedName>
  </definedNames>
  <calcPr calcId="171027"/>
</workbook>
</file>

<file path=xl/comments35.xml><?xml version="1.0" encoding="utf-8"?>
<comments xmlns="http://schemas.openxmlformats.org/spreadsheetml/2006/main">
  <authors>
    <author>Author</author>
  </authors>
  <commentList>
    <comment ref="V14" authorId="0">
      <text/>
    </comment>
    <comment ref="R15" authorId="0">
      <text/>
    </comment>
  </commentList>
</comments>
</file>

<file path=xl/sharedStrings.xml><?xml version="1.0" encoding="utf-8"?>
<sst xmlns="http://schemas.openxmlformats.org/spreadsheetml/2006/main" count="10108" uniqueCount="2680">
  <si>
    <t xml:space="preserve">  </t>
  </si>
  <si>
    <t>Bienvenue dans l'extraction de vos données d'effectifs !</t>
  </si>
  <si>
    <t>Ce fichier Excel a été extrait automatiquement de votre application A-JUST. Retrouvez ci-dessous quelques indications pour y naviguer en toute fluidité.</t>
  </si>
  <si>
    <t>Nom de l'onglet</t>
  </si>
  <si>
    <t>Description rapide</t>
  </si>
  <si>
    <t>Usage</t>
  </si>
  <si>
    <t>Pour une présentation complète</t>
  </si>
  <si>
    <t>ETPT A-JUST</t>
  </si>
  <si>
    <t>Retrouvez le détail des ventilations individuelles de chaque agent, agrégées sur la période pour laquelle vous avez extrait les données, à l'identique de ce que vous avez renseigné dans A-JUST.</t>
  </si>
  <si>
    <t xml:space="preserve">Tout au long de l'année, consultez le détail des affectations de chaque agent, calculées en ETPT, pour la période choisie. </t>
  </si>
  <si>
    <t>Consultez notre documentation en ligne ici.</t>
  </si>
  <si>
    <t>ETPT Format DDG</t>
  </si>
  <si>
    <t xml:space="preserve">Vous y trouverez les données individuelles, retraitées conformément aux règles de calcul de la Chancellerie, en procédant à la réintégration de certaines indisponibilités considérées comme de l'absentéisme, ne déduisant pas d'ETPT. </t>
  </si>
  <si>
    <t>Afin de préparer la collecte de vos ETPT dans les matrices de la DSJ certaines précisions doivent être apportées dans cet onglet.</t>
  </si>
  <si>
    <t>Pour une présentation de la méthodologie à suivre, consultez la documentation ici.</t>
  </si>
  <si>
    <t>Synthèse ETPT</t>
  </si>
  <si>
    <t>Pour chaque juridiction de l'arrondissement judiciaire, cette synthèse présente les ETPT affectés, par catégorie d'agent, à chaque contentieux ou sous-contentieux, l'absentéisme étant réintégré comme dans l'onglet "ETPT Format DDG".</t>
  </si>
  <si>
    <t>N'hésitez pas à la consulter toute l'année, pour les périodes de votre choix.</t>
  </si>
  <si>
    <t>ETPT_TJ_DDG</t>
  </si>
  <si>
    <t xml:space="preserve">Les tableaux de la Chancellerie, préremplis grâce aux informations saisies dans A-JUST et aux précisions apportées dans l'onglet ETPT Format DDG.
Pour les Tribunaux de proximité et CPH, sélectionnez la juridiction dans la cellule D5 et vos tableaux seront prêts !</t>
  </si>
  <si>
    <t>Ces données sont prérenseignées dans les tableaux de collecte des ETPT de la Chancellerie mais restent soumises à votre contrôle et éventuels ajustements avant transmission.</t>
  </si>
  <si>
    <t>Pour une présentation détaillée de la méthodologie à suivre, consultez la documentation en ligne, disponible ici.</t>
  </si>
  <si>
    <t>ETPT_TPRX-DDG</t>
  </si>
  <si>
    <t>ETPT_CPH_DDG</t>
  </si>
  <si>
    <t>ETPT_ATTACHES_JUSTICE_DDG</t>
  </si>
  <si>
    <r>
      <rPr>
        <b/>
        <color theme="1"/>
        <family val="2"/>
        <scheme val="minor"/>
        <sz val="11"/>
        <rFont val="Calibri"/>
      </rPr>
      <t>Ce fichier</t>
    </r>
    <r>
      <rPr>
        <color theme="1"/>
        <family val="2"/>
        <scheme val="minor"/>
        <sz val="11"/>
        <rFont val="Calibri"/>
      </rPr>
      <t>, permettant de remplir automatiquement les tableaux de collecte d'ETPT de la Chancellerie à partir des données A-JUST,</t>
    </r>
    <r>
      <rPr>
        <b/>
        <color theme="1"/>
        <family val="2"/>
        <scheme val="minor"/>
        <sz val="11"/>
        <rFont val="Calibri"/>
      </rPr>
      <t xml:space="preserve"> résulte de la collaboration de l'équipe de la start-up d'Etat A-JUST avec Mme Nathalie DE JONG</t>
    </r>
    <r>
      <rPr>
        <color theme="1"/>
        <family val="2"/>
        <scheme val="minor"/>
        <sz val="11"/>
        <rFont val="Calibri"/>
      </rPr>
      <t xml:space="preserve">, statisticienne du SAIR de la </t>
    </r>
    <r>
      <rPr>
        <b/>
        <color theme="1"/>
        <family val="2"/>
        <scheme val="minor"/>
        <sz val="11"/>
        <rFont val="Calibri"/>
      </rPr>
      <t>Cour d'Appel de LYON</t>
    </r>
    <r>
      <rPr>
        <color theme="1"/>
        <family val="2"/>
        <scheme val="minor"/>
        <sz val="11"/>
        <rFont val="Calibri"/>
      </rPr>
      <t xml:space="preserve">. </t>
    </r>
    <r>
      <rPr>
        <b/>
        <color theme="1"/>
        <family val="2"/>
        <scheme val="minor"/>
        <sz val="11"/>
        <rFont val="Calibri"/>
      </rPr>
      <t>Qu'elle soit ici vivement remerciée</t>
    </r>
    <r>
      <rPr>
        <color theme="1"/>
        <family val="2"/>
        <scheme val="minor"/>
        <sz val="11"/>
        <rFont val="Calibri"/>
      </rPr>
      <t xml:space="preserve">, ainsi que sa hiérarchie qui l'a autorisée à consacrer un temps aussi précieux qu'irremplaçable à écrire les formules de calcul permettant d'automatiser l'alimentation des tableaux DDG et faire ainsi gagner à nos utilisateurs un temps considérable chaque année. </t>
    </r>
  </si>
  <si>
    <t>Pour toute question, n'hésitez pas à contacter l'équipe A-JUST : support-utilisateurs@a-just.fr</t>
  </si>
  <si>
    <t xml:space="preserve">                  Extracteur de données d'effectifs</t>
  </si>
  <si>
    <t>Réf.</t>
  </si>
  <si>
    <t>Arrondissement</t>
  </si>
  <si>
    <t>Nom</t>
  </si>
  <si>
    <t>Prénom</t>
  </si>
  <si>
    <t>Matricule</t>
  </si>
  <si>
    <t>Catégorie</t>
  </si>
  <si>
    <t>Fonction</t>
  </si>
  <si>
    <t>Fonction recodée</t>
  </si>
  <si>
    <t>TJCPH</t>
  </si>
  <si>
    <t>Juridiction</t>
  </si>
  <si>
    <t>Jirs</t>
  </si>
  <si>
    <t>Date d'arrivée</t>
  </si>
  <si>
    <t>Date de départ</t>
  </si>
  <si>
    <t>ETPT sur la période (absentéisme et action 99 déduits)</t>
  </si>
  <si>
    <t>Temps ventilés sur la période (absentéisme et action 99 déduits)</t>
  </si>
  <si>
    <t>1. TOTAL CONTENTIEUX SOCIAL</t>
  </si>
  <si>
    <t>1.1. DÉPARTAGE PRUD'HOMAL</t>
  </si>
  <si>
    <t>1.2. CONTENTIEUX DE LA PROTECTION SOCIALE</t>
  </si>
  <si>
    <t>1.3. RÉFÉRÉS</t>
  </si>
  <si>
    <t>1.4. AUTRES CONTENTIEUX SOCIAUX</t>
  </si>
  <si>
    <t>2. TOTAL CONTENTIEUX JAF</t>
  </si>
  <si>
    <t>2.1. MARIAGES ET RÉGIMES MATRIMONIAUX</t>
  </si>
  <si>
    <t>2.2. DIVORCE - CONTENTIEUX</t>
  </si>
  <si>
    <t>2.3. APRÈS DIVORCE</t>
  </si>
  <si>
    <t>2.4. LIQUIDATIONS PARTAGES</t>
  </si>
  <si>
    <t>2.5. AUTORITÉ PARENTALE</t>
  </si>
  <si>
    <t>2.6. OBLIGATIONS À CARACTÈRE ALIMENTAIRE</t>
  </si>
  <si>
    <t>2.7. TUTELLES MINEURS</t>
  </si>
  <si>
    <t>2.8. RÉFÉRÉS ET MESURES URGENTES</t>
  </si>
  <si>
    <t>2.9. AUTRES JAF</t>
  </si>
  <si>
    <t>3. TOTAL CONTENTIEUX DE LA PROTECTION</t>
  </si>
  <si>
    <t>3.2. PROTECTION DES MAJEURS</t>
  </si>
  <si>
    <t>3.3. SURENDETTEMENT DES PARTICULIERS</t>
  </si>
  <si>
    <t>3.41. BAUX</t>
  </si>
  <si>
    <t>3.42. CRÉDIT À LA CONSOMMATION</t>
  </si>
  <si>
    <t>3.43. INJONCTIONS DE PAYER</t>
  </si>
  <si>
    <t>3.44. SAISIE DES RÉMUNÉRATIONS</t>
  </si>
  <si>
    <t>3.5. RÉFÉRÉS</t>
  </si>
  <si>
    <t>3.6. AUTRES CONTENTIEUX DE LA PROTECTION</t>
  </si>
  <si>
    <t>4. TOTAL CIVIL NON SPÉCIALISÉ</t>
  </si>
  <si>
    <t>4.0. CONTENTIEUX GÉNÉRAL &lt;10.000€</t>
  </si>
  <si>
    <t>4.1. DROIT DES PERSONNES</t>
  </si>
  <si>
    <t>4.2. DROIT DE LA FAMILLE</t>
  </si>
  <si>
    <t>4.3. CONTRATS</t>
  </si>
  <si>
    <t>4.4. RESPONSABILITÉ ET QUASI-CONTRATS</t>
  </si>
  <si>
    <t>4.5. DROIT DES BIENS</t>
  </si>
  <si>
    <t>4.6. CONSTRUCTION</t>
  </si>
  <si>
    <t>4.7. EXÉCUTION</t>
  </si>
  <si>
    <t>4.8. DROIT DES AFFAIRES</t>
  </si>
  <si>
    <t>4.9. PROCÉDURES COLLECTIVES CIVILES</t>
  </si>
  <si>
    <t>4.10. PROPRIÉTÉ INDUSTRIELLE</t>
  </si>
  <si>
    <t>4.11. PROPRIÉTÉ LITTÉRAIRE ET ARTISTIQUE</t>
  </si>
  <si>
    <t>4.12. SUIVI DES EXPERTISES</t>
  </si>
  <si>
    <t>4.13. AFFAIRES GRACIEUSES</t>
  </si>
  <si>
    <t>4.14. JURIDICTION DU PRÉSIDENT</t>
  </si>
  <si>
    <t>4.141. INTÉRÊTS CIVILS</t>
  </si>
  <si>
    <t>4.15. CIVI</t>
  </si>
  <si>
    <t>4.16. RÉFÉRÉS CIVILS</t>
  </si>
  <si>
    <t>4.17. AUTRES CIVIL NS</t>
  </si>
  <si>
    <t>5. TOTAL JLD CIVIL</t>
  </si>
  <si>
    <t>5.1. RÉTENTION DES ÉTRANGERS</t>
  </si>
  <si>
    <t>5.2. HO - CONTENTION</t>
  </si>
  <si>
    <t>5.3. AUTRES JLD CIVIL</t>
  </si>
  <si>
    <t>6. TOTAL JUGES DES ENFANTS</t>
  </si>
  <si>
    <t>6.1. ACTIVITÉ CIVILE</t>
  </si>
  <si>
    <t>6.2. ACTIVITÉ PÉNALE</t>
  </si>
  <si>
    <t>7. TOTAL SIÈGE PÉNAL</t>
  </si>
  <si>
    <t>7.1. COLLÉGIALES HORS JIRS</t>
  </si>
  <si>
    <t>7.14. CI</t>
  </si>
  <si>
    <t>7.13. JUGE UNIQUE</t>
  </si>
  <si>
    <t>7.2. CRPC</t>
  </si>
  <si>
    <t>7.15. CPPV</t>
  </si>
  <si>
    <t>7.4. COMPOSITIONS PÉNALES</t>
  </si>
  <si>
    <t>7.3. OP CORRECTIONNELLES</t>
  </si>
  <si>
    <t>7.5. COUR D'ASSISES HORS JIRS</t>
  </si>
  <si>
    <t>7.52. COUR CRIMINELLE</t>
  </si>
  <si>
    <t>7.6. TRIBUNAL DE POLICE</t>
  </si>
  <si>
    <t>7.7. OP CONTRAVENTIONNELLES</t>
  </si>
  <si>
    <t>7.51. COUR D'ASSISES JIRS</t>
  </si>
  <si>
    <t>7.12. COLLÉGIALES JIRS CRIM-ORG</t>
  </si>
  <si>
    <t>7.121. COLLÉGIALES JIRS ÉCO-FI</t>
  </si>
  <si>
    <t>7.122. COLLÉGIALES AUTRES SECTIONS SPÉCIALISÉES</t>
  </si>
  <si>
    <t>7.8. AUTRES SIÈGE PÉNAL</t>
  </si>
  <si>
    <t>8. TOTAL JUGES D'INSTRUCTION</t>
  </si>
  <si>
    <t>8.1. SERVICE GÉNÉRAL</t>
  </si>
  <si>
    <t>8.11. ECO-FI HORS JIRS</t>
  </si>
  <si>
    <t>8.2. JIRS ÉCO-FI</t>
  </si>
  <si>
    <t>8.3. JIRS CRIM-ORG</t>
  </si>
  <si>
    <t>8.4. AUTRES SECTIONS SPÉCIALISÉES</t>
  </si>
  <si>
    <t>9. TOTAL JAP</t>
  </si>
  <si>
    <t>9.1. MILIEU OUVERT</t>
  </si>
  <si>
    <t>9.2. MILIEU FERMÉ</t>
  </si>
  <si>
    <t>9.3. ORDONNANCES HORS CAP</t>
  </si>
  <si>
    <t>9.4. AUTRES JAP</t>
  </si>
  <si>
    <t>10. TOTAL JLD PÉNAL</t>
  </si>
  <si>
    <t>10.1. HORS JIRS</t>
  </si>
  <si>
    <t>10.2. JIRS</t>
  </si>
  <si>
    <t>11. TOTAL AUTRES ACTIVITÉS</t>
  </si>
  <si>
    <t>11.1. SOUTIEN (HORS FORMATIONS SUIVIES)</t>
  </si>
  <si>
    <t>11.2. FORMATIONS SUIVIES</t>
  </si>
  <si>
    <t>11.3. FORMATIONS DISPENSÉES</t>
  </si>
  <si>
    <t>11.4. ACCÈS AU DROIT ET À LA JUSTICE</t>
  </si>
  <si>
    <t>11.5. CSM</t>
  </si>
  <si>
    <t>11.51. ACCUEIL DU JUSTICIABLE (DONT SAUJ)</t>
  </si>
  <si>
    <t>11.6. AUTRES ACTIVITÉS NON JURIDICTIONNELLES</t>
  </si>
  <si>
    <t>11.7. FONCTIONNAIRES AFFECTÉS AU CPH</t>
  </si>
  <si>
    <t>11.8. FONCTIONNAIRES AFFECTÉS AUX ACTIVITÉS CIVILES ET COMMERCIALES DU PARQUET</t>
  </si>
  <si>
    <t>11.9. FONCTIONNAIRES AFFECTÉS À L'EXÉCUTION DES PEINES</t>
  </si>
  <si>
    <t>11.10. AUTRES FONCTIONNAIRES AFFECTÉS AU PARQUET</t>
  </si>
  <si>
    <t>12. TOTAL INDISPONIBILITÉ</t>
  </si>
  <si>
    <t>12.31. CONGÉ MALADIE ORDINAIRE</t>
  </si>
  <si>
    <t>12.32. CONGÉ MATERNITÉ/PATERNITÉ/ADOPTION</t>
  </si>
  <si>
    <t>12.2. COMPTE ÉPARGNE TEMPS</t>
  </si>
  <si>
    <t>12.6. AUTORISATION SPÉCIALE D'ABSENCE</t>
  </si>
  <si>
    <t>12.8. AUTRE ABSENTÉISME</t>
  </si>
  <si>
    <t>12.3. CONGÉ LONGUE MALADIE</t>
  </si>
  <si>
    <t>12.33. CONGÉ PARENTAL &lt; 6 MOIS</t>
  </si>
  <si>
    <t>12.4. TEMPS PARTIEL THÉRAPEUTIQUE</t>
  </si>
  <si>
    <t>12.41. CONGÉ DE FORMATION</t>
  </si>
  <si>
    <t>12.61. STAGE PROBATOIRE DANS UNE AUTRE JURIDICTION</t>
  </si>
  <si>
    <t>12.5. MISE À DISPOSITION</t>
  </si>
  <si>
    <t>12.7. AUTRES INDISPONIBILITÉS (ACTION 99)</t>
  </si>
  <si>
    <t>2138</t>
  </si>
  <si>
    <t>TJ TEST</t>
  </si>
  <si>
    <t>b91278f925</t>
  </si>
  <si>
    <t>c51311297e</t>
  </si>
  <si>
    <t>91bf04212f</t>
  </si>
  <si>
    <t>x</t>
  </si>
  <si>
    <t>2002-07-03</t>
  </si>
  <si>
    <t>19570</t>
  </si>
  <si>
    <t>02c70db6a9</t>
  </si>
  <si>
    <t>5fcad2a502</t>
  </si>
  <si>
    <t>caff50d8a4</t>
  </si>
  <si>
    <t>Magistrat</t>
  </si>
  <si>
    <t>VP</t>
  </si>
  <si>
    <t>2022-01-03</t>
  </si>
  <si>
    <t>38400</t>
  </si>
  <si>
    <t>08056ecce2</t>
  </si>
  <si>
    <t>f916bc29a5</t>
  </si>
  <si>
    <t>a7e1dae5a5</t>
  </si>
  <si>
    <t>J. PLACÉ</t>
  </si>
  <si>
    <t>2025-09-01</t>
  </si>
  <si>
    <t>2025-12-31</t>
  </si>
  <si>
    <t>8171</t>
  </si>
  <si>
    <t>085e1e9d3d</t>
  </si>
  <si>
    <t>e353e10428</t>
  </si>
  <si>
    <t>ce56caf5c1</t>
  </si>
  <si>
    <t>VPAP</t>
  </si>
  <si>
    <t>2021-09-01</t>
  </si>
  <si>
    <t>35310</t>
  </si>
  <si>
    <t>16838bf898</t>
  </si>
  <si>
    <t>8701a34b38</t>
  </si>
  <si>
    <t>5067515d3f</t>
  </si>
  <si>
    <t>VPLD</t>
  </si>
  <si>
    <t>2019-09-02</t>
  </si>
  <si>
    <t>17000</t>
  </si>
  <si>
    <t>2ba5d1a2b3</t>
  </si>
  <si>
    <t>7b8be38b5b</t>
  </si>
  <si>
    <t>f6c372fd25</t>
  </si>
  <si>
    <t>JI</t>
  </si>
  <si>
    <t>11341</t>
  </si>
  <si>
    <t>2d598b0c0c</t>
  </si>
  <si>
    <t>d1914eb043</t>
  </si>
  <si>
    <t>05202ea470</t>
  </si>
  <si>
    <t>JAP</t>
  </si>
  <si>
    <t>19552</t>
  </si>
  <si>
    <t>37ce92e2e7</t>
  </si>
  <si>
    <t>df6df7d850</t>
  </si>
  <si>
    <t>6ba324cf2d</t>
  </si>
  <si>
    <t>1VPA</t>
  </si>
  <si>
    <t>2020-09-01</t>
  </si>
  <si>
    <t>42353</t>
  </si>
  <si>
    <t>3eb02661a6</t>
  </si>
  <si>
    <t>b925cc5027</t>
  </si>
  <si>
    <t>6ff7235915</t>
  </si>
  <si>
    <t>19728</t>
  </si>
  <si>
    <t>53b8cd14be</t>
  </si>
  <si>
    <t>f8ef4ee7f9</t>
  </si>
  <si>
    <t>9fda9bc2dd</t>
  </si>
  <si>
    <t>J</t>
  </si>
  <si>
    <t>2023-09-01</t>
  </si>
  <si>
    <t>42865</t>
  </si>
  <si>
    <t>545186f572</t>
  </si>
  <si>
    <t>4f4ad4493f</t>
  </si>
  <si>
    <t>321e6118ad</t>
  </si>
  <si>
    <t>2024-09-02</t>
  </si>
  <si>
    <t>24600</t>
  </si>
  <si>
    <t>5f37b55220</t>
  </si>
  <si>
    <t>d20d016baf</t>
  </si>
  <si>
    <t>aa15549185</t>
  </si>
  <si>
    <t>VPE</t>
  </si>
  <si>
    <t>22218</t>
  </si>
  <si>
    <t>65b1c8035f</t>
  </si>
  <si>
    <t>2453821778</t>
  </si>
  <si>
    <t>08501f25b7</t>
  </si>
  <si>
    <t>2023-04-03</t>
  </si>
  <si>
    <t>14603</t>
  </si>
  <si>
    <t>6784fff1a8</t>
  </si>
  <si>
    <t>3e03320715</t>
  </si>
  <si>
    <t>01a29557a0</t>
  </si>
  <si>
    <t>2013-09-02</t>
  </si>
  <si>
    <t>8826</t>
  </si>
  <si>
    <t>6a2514f91c</t>
  </si>
  <si>
    <t>a5b1a8ddf1</t>
  </si>
  <si>
    <t>5f855efb1d</t>
  </si>
  <si>
    <t>2018-09-03</t>
  </si>
  <si>
    <t>29956</t>
  </si>
  <si>
    <t>6a5d55bdf5</t>
  </si>
  <si>
    <t>a44de63a23</t>
  </si>
  <si>
    <t>8f4c1d7f22</t>
  </si>
  <si>
    <t>39330</t>
  </si>
  <si>
    <t>6e37b197af</t>
  </si>
  <si>
    <t>993c5e350a</t>
  </si>
  <si>
    <t>c6ca7ef15a</t>
  </si>
  <si>
    <t>VPCP</t>
  </si>
  <si>
    <t>29931</t>
  </si>
  <si>
    <t>718253a255</t>
  </si>
  <si>
    <t>27d362e752</t>
  </si>
  <si>
    <t>66832a145a</t>
  </si>
  <si>
    <t>6375</t>
  </si>
  <si>
    <t>7659b7b58d</t>
  </si>
  <si>
    <t>026f64aa73</t>
  </si>
  <si>
    <t>02e903b05d</t>
  </si>
  <si>
    <t>JCP</t>
  </si>
  <si>
    <t>846</t>
  </si>
  <si>
    <t>7c7a55aec2</t>
  </si>
  <si>
    <t>dbfb696e12</t>
  </si>
  <si>
    <t>fc77664c4a</t>
  </si>
  <si>
    <t>JE</t>
  </si>
  <si>
    <t>2021-01-01</t>
  </si>
  <si>
    <t>19665</t>
  </si>
  <si>
    <t>8a951ed9aa</t>
  </si>
  <si>
    <t>5cd9e52efb</t>
  </si>
  <si>
    <t>49169ce048</t>
  </si>
  <si>
    <t>VPI</t>
  </si>
  <si>
    <t>2023-01-02</t>
  </si>
  <si>
    <t>39318</t>
  </si>
  <si>
    <t>8dc87fc673</t>
  </si>
  <si>
    <t>d0dadb3f01</t>
  </si>
  <si>
    <t>d30573ab2e</t>
  </si>
  <si>
    <t>1383</t>
  </si>
  <si>
    <t>923005a618</t>
  </si>
  <si>
    <t>952cd11ac8</t>
  </si>
  <si>
    <t>0af1996bc9</t>
  </si>
  <si>
    <t>14547</t>
  </si>
  <si>
    <t>97d5a32221</t>
  </si>
  <si>
    <t>09534b0a20</t>
  </si>
  <si>
    <t>fb9ab1e44f</t>
  </si>
  <si>
    <t>28863</t>
  </si>
  <si>
    <t>9a54960109</t>
  </si>
  <si>
    <t>4ed9e041c4</t>
  </si>
  <si>
    <t>4e96e1b010</t>
  </si>
  <si>
    <t>43005</t>
  </si>
  <si>
    <t>Absenteisme Simple</t>
  </si>
  <si>
    <t>Extracteur</t>
  </si>
  <si>
    <t>2025-01-01</t>
  </si>
  <si>
    <t>43006</t>
  </si>
  <si>
    <t>Action 99 Simple</t>
  </si>
  <si>
    <t>43002</t>
  </si>
  <si>
    <t>Basique</t>
  </si>
  <si>
    <t>43008</t>
  </si>
  <si>
    <t>CET &gt; 30Jours</t>
  </si>
  <si>
    <t>43011</t>
  </si>
  <si>
    <t>Indispo + Multi Ventilation</t>
  </si>
  <si>
    <t>43012</t>
  </si>
  <si>
    <t>IndispoSupETP</t>
  </si>
  <si>
    <t>43009</t>
  </si>
  <si>
    <t>Multi Indispo Mixtes</t>
  </si>
  <si>
    <t>43004</t>
  </si>
  <si>
    <t>Multi Ventilation</t>
  </si>
  <si>
    <t>43014</t>
  </si>
  <si>
    <t>No-Activity-Period</t>
  </si>
  <si>
    <t>2025-03-15</t>
  </si>
  <si>
    <t>43003</t>
  </si>
  <si>
    <t>Temps Partiel Simple</t>
  </si>
  <si>
    <t>30141</t>
  </si>
  <si>
    <t>a095ede12f</t>
  </si>
  <si>
    <t>7bcf85e837</t>
  </si>
  <si>
    <t>6e82cd72a5</t>
  </si>
  <si>
    <t>39265</t>
  </si>
  <si>
    <t>a994df71d0</t>
  </si>
  <si>
    <t>a431e979c0</t>
  </si>
  <si>
    <t>3cf295a533</t>
  </si>
  <si>
    <t>19587</t>
  </si>
  <si>
    <t>b1d5c281f1</t>
  </si>
  <si>
    <t>1aad6b04ae</t>
  </si>
  <si>
    <t>765516b676</t>
  </si>
  <si>
    <t>2022-11-02</t>
  </si>
  <si>
    <t>11180</t>
  </si>
  <si>
    <t>b289dd44bb</t>
  </si>
  <si>
    <t>5058dde9e3</t>
  </si>
  <si>
    <t>7f088acaf9</t>
  </si>
  <si>
    <t>2019-09-16</t>
  </si>
  <si>
    <t>38577</t>
  </si>
  <si>
    <t>b3d2af8cbf</t>
  </si>
  <si>
    <t>940f1cb485</t>
  </si>
  <si>
    <t>94ee2a3899</t>
  </si>
  <si>
    <t>VP PLACÉ</t>
  </si>
  <si>
    <t>11769</t>
  </si>
  <si>
    <t>ba93aa4947</t>
  </si>
  <si>
    <t>58b38cdb51</t>
  </si>
  <si>
    <t>292d4d6a0a</t>
  </si>
  <si>
    <t>2023-09-04</t>
  </si>
  <si>
    <t>38576</t>
  </si>
  <si>
    <t>c019fe4c97</t>
  </si>
  <si>
    <t>ccb937f7dc</t>
  </si>
  <si>
    <t>ef0c6f946a</t>
  </si>
  <si>
    <t>28067</t>
  </si>
  <si>
    <t>c59fb2a232</t>
  </si>
  <si>
    <t>4ec5a2f0e1</t>
  </si>
  <si>
    <t>0a81244b0d</t>
  </si>
  <si>
    <t>2022-09-28</t>
  </si>
  <si>
    <t>32669</t>
  </si>
  <si>
    <t>c77a79c6ba</t>
  </si>
  <si>
    <t>f61ed68463</t>
  </si>
  <si>
    <t>e6859ed51d</t>
  </si>
  <si>
    <t>31646</t>
  </si>
  <si>
    <t>c85ab38695</t>
  </si>
  <si>
    <t>e121e7dd96</t>
  </si>
  <si>
    <t>b3ca545227</t>
  </si>
  <si>
    <t>2012-01-02</t>
  </si>
  <si>
    <t>14185</t>
  </si>
  <si>
    <t>cb2c0d2b10</t>
  </si>
  <si>
    <t>dcbd85e06c</t>
  </si>
  <si>
    <t>8e672f4368</t>
  </si>
  <si>
    <t>1VP</t>
  </si>
  <si>
    <t>1550</t>
  </si>
  <si>
    <t>d430e6ab82</t>
  </si>
  <si>
    <t>cacb09b360</t>
  </si>
  <si>
    <t>106475e6a4</t>
  </si>
  <si>
    <t>24888</t>
  </si>
  <si>
    <t>d759d0117e</t>
  </si>
  <si>
    <t>fb113a4604</t>
  </si>
  <si>
    <t>0cee7e889b</t>
  </si>
  <si>
    <t>2017-09-04</t>
  </si>
  <si>
    <t>1352</t>
  </si>
  <si>
    <t>d75a73cc85</t>
  </si>
  <si>
    <t>4ab0803d13</t>
  </si>
  <si>
    <t>ff63c87f0e</t>
  </si>
  <si>
    <t>27435</t>
  </si>
  <si>
    <t>e3262b798b</t>
  </si>
  <si>
    <t>fc2e709350</t>
  </si>
  <si>
    <t>e31bc7f35a</t>
  </si>
  <si>
    <t>15446</t>
  </si>
  <si>
    <t>ed0e7ed80a</t>
  </si>
  <si>
    <t>1ae7d14d24</t>
  </si>
  <si>
    <t>752e545015</t>
  </si>
  <si>
    <t>2009-09-01</t>
  </si>
  <si>
    <t>30189</t>
  </si>
  <si>
    <t>045223b27e</t>
  </si>
  <si>
    <t>edf433c27e</t>
  </si>
  <si>
    <t>3ae937f403</t>
  </si>
  <si>
    <t>Greffe</t>
  </si>
  <si>
    <t>B</t>
  </si>
  <si>
    <t>16511</t>
  </si>
  <si>
    <t>04935aad22</t>
  </si>
  <si>
    <t>ebaa1dbc24</t>
  </si>
  <si>
    <t>2f39dc5ce0</t>
  </si>
  <si>
    <t>2023-06-06</t>
  </si>
  <si>
    <t>3699</t>
  </si>
  <si>
    <t>04f1e2f7d2</t>
  </si>
  <si>
    <t>3e7b1adbd8</t>
  </si>
  <si>
    <t>f25265de10</t>
  </si>
  <si>
    <t>CONT A JP</t>
  </si>
  <si>
    <t>23410</t>
  </si>
  <si>
    <t>05d2b0e300</t>
  </si>
  <si>
    <t>45e759235b</t>
  </si>
  <si>
    <t>e307915e9c</t>
  </si>
  <si>
    <t>17147</t>
  </si>
  <si>
    <t>083397a1d8</t>
  </si>
  <si>
    <t>03da8317d7</t>
  </si>
  <si>
    <t>888cd1e431</t>
  </si>
  <si>
    <t>2022-09-01</t>
  </si>
  <si>
    <t>40880</t>
  </si>
  <si>
    <t>0bf4b4576f</t>
  </si>
  <si>
    <t>d40420586d</t>
  </si>
  <si>
    <t>096c50fa50</t>
  </si>
  <si>
    <t>2017-08-31</t>
  </si>
  <si>
    <t>2025-02-16</t>
  </si>
  <si>
    <t>14021</t>
  </si>
  <si>
    <t>0c6a7fb8db</t>
  </si>
  <si>
    <t>073a34534e</t>
  </si>
  <si>
    <t>ffbe85ca96</t>
  </si>
  <si>
    <t>CB</t>
  </si>
  <si>
    <t>2009-03-02</t>
  </si>
  <si>
    <t>27870</t>
  </si>
  <si>
    <t>0d03dfd322</t>
  </si>
  <si>
    <t>5ec04119f2</t>
  </si>
  <si>
    <t>b6b76332a4</t>
  </si>
  <si>
    <t>17965</t>
  </si>
  <si>
    <t>10db76c23f</t>
  </si>
  <si>
    <t>f7948f664b</t>
  </si>
  <si>
    <t>4239829d00</t>
  </si>
  <si>
    <t>A</t>
  </si>
  <si>
    <t>25281</t>
  </si>
  <si>
    <t>11851c562f</t>
  </si>
  <si>
    <t>7fe595dc36</t>
  </si>
  <si>
    <t>57ffe31efa</t>
  </si>
  <si>
    <t>2024-03-05</t>
  </si>
  <si>
    <t>30981</t>
  </si>
  <si>
    <t>127c712a36</t>
  </si>
  <si>
    <t>0437fe7331</t>
  </si>
  <si>
    <t>859e1ad647</t>
  </si>
  <si>
    <t>12347</t>
  </si>
  <si>
    <t>13413720b9</t>
  </si>
  <si>
    <t>c668d0f1a8</t>
  </si>
  <si>
    <t>85337b4182</t>
  </si>
  <si>
    <t>2016-03-01</t>
  </si>
  <si>
    <t>14878</t>
  </si>
  <si>
    <t>1714e1fad1</t>
  </si>
  <si>
    <t>5d79590381</t>
  </si>
  <si>
    <t>6ae15df9b4</t>
  </si>
  <si>
    <t>2019-01-01</t>
  </si>
  <si>
    <t>20197</t>
  </si>
  <si>
    <t>17fdf4d8f1</t>
  </si>
  <si>
    <t>1fb97cdce3</t>
  </si>
  <si>
    <t>a1b2a943d8</t>
  </si>
  <si>
    <t>2020-10-01</t>
  </si>
  <si>
    <t>15551</t>
  </si>
  <si>
    <t>18702fa8ab</t>
  </si>
  <si>
    <t>10ddf7e5c8</t>
  </si>
  <si>
    <t>db5ecde0fb</t>
  </si>
  <si>
    <t>2017-06-01</t>
  </si>
  <si>
    <t>20871</t>
  </si>
  <si>
    <t>1d4c49c67d</t>
  </si>
  <si>
    <t>fbd2342144</t>
  </si>
  <si>
    <t>4b5677c0e7</t>
  </si>
  <si>
    <t>2019-03-01</t>
  </si>
  <si>
    <t>9689</t>
  </si>
  <si>
    <t>20073b41ab</t>
  </si>
  <si>
    <t>404c88bcbc</t>
  </si>
  <si>
    <t>866772cd69</t>
  </si>
  <si>
    <t>2022-12-30</t>
  </si>
  <si>
    <t>35410</t>
  </si>
  <si>
    <t>223f420f90</t>
  </si>
  <si>
    <t>436c44f1bb</t>
  </si>
  <si>
    <t>ce4ba3c668</t>
  </si>
  <si>
    <t>2011-11-03</t>
  </si>
  <si>
    <t>12702</t>
  </si>
  <si>
    <t>240d09387a</t>
  </si>
  <si>
    <t>5e597e659c</t>
  </si>
  <si>
    <t>53f54df230</t>
  </si>
  <si>
    <t>2019-09-01</t>
  </si>
  <si>
    <t>19120</t>
  </si>
  <si>
    <t>25568b4efe</t>
  </si>
  <si>
    <t>ee75901cbe</t>
  </si>
  <si>
    <t>anonyme</t>
  </si>
  <si>
    <t>2023-03-01</t>
  </si>
  <si>
    <t>28846</t>
  </si>
  <si>
    <t>2862902288</t>
  </si>
  <si>
    <t>4a648cb629</t>
  </si>
  <si>
    <t>70e5317504</t>
  </si>
  <si>
    <t>2025-09-04</t>
  </si>
  <si>
    <t>18868</t>
  </si>
  <si>
    <t>2997766593</t>
  </si>
  <si>
    <t>c52bb62c2f</t>
  </si>
  <si>
    <t>eb18df937f</t>
  </si>
  <si>
    <t>1994-06-20</t>
  </si>
  <si>
    <t>9023</t>
  </si>
  <si>
    <t>29be315d34</t>
  </si>
  <si>
    <t>3c2f30263c</t>
  </si>
  <si>
    <t>25458c5add</t>
  </si>
  <si>
    <t>2007-03-05</t>
  </si>
  <si>
    <t>5032</t>
  </si>
  <si>
    <t>2e7e0d5303</t>
  </si>
  <si>
    <t>5d0cfe029a</t>
  </si>
  <si>
    <t>102c646df3</t>
  </si>
  <si>
    <t>2011-09-01</t>
  </si>
  <si>
    <t>11310</t>
  </si>
  <si>
    <t>303bb1bbf5</t>
  </si>
  <si>
    <t>fbf07499c3</t>
  </si>
  <si>
    <t>98c70bcb61</t>
  </si>
  <si>
    <t>2016-01-01</t>
  </si>
  <si>
    <t>31856</t>
  </si>
  <si>
    <t>3233fe9cf0</t>
  </si>
  <si>
    <t>e559dcb1a5</t>
  </si>
  <si>
    <t>529c87736e</t>
  </si>
  <si>
    <t>2024-09-01</t>
  </si>
  <si>
    <t>15792</t>
  </si>
  <si>
    <t>35928846bf</t>
  </si>
  <si>
    <t>0a63d35355</t>
  </si>
  <si>
    <t>ec4c23fa76</t>
  </si>
  <si>
    <t>CONT B JP</t>
  </si>
  <si>
    <t>2020-12-01</t>
  </si>
  <si>
    <t>41285</t>
  </si>
  <si>
    <t>3b4ad982ca</t>
  </si>
  <si>
    <t>7b6100d670</t>
  </si>
  <si>
    <t>29bd9698eb</t>
  </si>
  <si>
    <t>2018-03-01</t>
  </si>
  <si>
    <t>20377</t>
  </si>
  <si>
    <t>3b64262030</t>
  </si>
  <si>
    <t>19ba35b74b</t>
  </si>
  <si>
    <t>fd01ccf997</t>
  </si>
  <si>
    <t>2020-05-19</t>
  </si>
  <si>
    <t>37742</t>
  </si>
  <si>
    <t>3dddc6b186</t>
  </si>
  <si>
    <t>b7ac96a0e3</t>
  </si>
  <si>
    <t>856bf93e48</t>
  </si>
  <si>
    <t>VAC</t>
  </si>
  <si>
    <t>2024-07-12</t>
  </si>
  <si>
    <t>2025-07-01</t>
  </si>
  <si>
    <t>20126</t>
  </si>
  <si>
    <t>40df7170bd</t>
  </si>
  <si>
    <t>3026299450</t>
  </si>
  <si>
    <t>e706790aba</t>
  </si>
  <si>
    <t>2014-03-01</t>
  </si>
  <si>
    <t>38509</t>
  </si>
  <si>
    <t>4114ff8ff9</t>
  </si>
  <si>
    <t>ef9e068459</t>
  </si>
  <si>
    <t>a4259b614f</t>
  </si>
  <si>
    <t>4282</t>
  </si>
  <si>
    <t>41fa4aa2bd</t>
  </si>
  <si>
    <t>db2055c2ad</t>
  </si>
  <si>
    <t>5e60c3e2d6</t>
  </si>
  <si>
    <t>2012-10-15</t>
  </si>
  <si>
    <t>29887</t>
  </si>
  <si>
    <t>445e21bbd3</t>
  </si>
  <si>
    <t>70c8bbdd52</t>
  </si>
  <si>
    <t>43963d5111</t>
  </si>
  <si>
    <t>2021-03-02</t>
  </si>
  <si>
    <t>8967</t>
  </si>
  <si>
    <t>449b64beab</t>
  </si>
  <si>
    <t>cb27109769</t>
  </si>
  <si>
    <t>9045a880f1</t>
  </si>
  <si>
    <t>21550</t>
  </si>
  <si>
    <t>44eed80dcf</t>
  </si>
  <si>
    <t>a408bc78c1</t>
  </si>
  <si>
    <t>d99120ec47</t>
  </si>
  <si>
    <t>2016-09-01</t>
  </si>
  <si>
    <t>18351</t>
  </si>
  <si>
    <t>45bea7eeb5</t>
  </si>
  <si>
    <t>576fe13168</t>
  </si>
  <si>
    <t>c6fe1ed8af</t>
  </si>
  <si>
    <t>1996-09-02</t>
  </si>
  <si>
    <t>5366</t>
  </si>
  <si>
    <t>46c7606036</t>
  </si>
  <si>
    <t>ad105406a9</t>
  </si>
  <si>
    <t>9d5c9d4d3d</t>
  </si>
  <si>
    <t>16883</t>
  </si>
  <si>
    <t>48f2698269</t>
  </si>
  <si>
    <t>937d66bffb</t>
  </si>
  <si>
    <t>220edba2cf</t>
  </si>
  <si>
    <t>2025-01-17</t>
  </si>
  <si>
    <t>30976</t>
  </si>
  <si>
    <t>4b87c18710</t>
  </si>
  <si>
    <t>d3c5ad1d9c</t>
  </si>
  <si>
    <t>1d1107848d</t>
  </si>
  <si>
    <t>2000-09-04</t>
  </si>
  <si>
    <t>32444</t>
  </si>
  <si>
    <t>4bba2d0133</t>
  </si>
  <si>
    <t>37c7688a45</t>
  </si>
  <si>
    <t>031cb26a46</t>
  </si>
  <si>
    <t>CONT CB</t>
  </si>
  <si>
    <t>2023-12-01</t>
  </si>
  <si>
    <t>11280</t>
  </si>
  <si>
    <t>4e839b841a</t>
  </si>
  <si>
    <t>6aab0238c8</t>
  </si>
  <si>
    <t>3cbbd427f7</t>
  </si>
  <si>
    <t>A GREFFIER</t>
  </si>
  <si>
    <t>6858</t>
  </si>
  <si>
    <t>513bf891dd</t>
  </si>
  <si>
    <t>283526c3f5</t>
  </si>
  <si>
    <t>d441ca7414</t>
  </si>
  <si>
    <t>2014-09-01</t>
  </si>
  <si>
    <t>15360</t>
  </si>
  <si>
    <t>51b8fdd6a8</t>
  </si>
  <si>
    <t>5f2f3e27eb</t>
  </si>
  <si>
    <t>1f21bfbeb1</t>
  </si>
  <si>
    <t>2022-03-01</t>
  </si>
  <si>
    <t>27372</t>
  </si>
  <si>
    <t>569f4c0133</t>
  </si>
  <si>
    <t>dd77128f5a</t>
  </si>
  <si>
    <t>32c6828cb7</t>
  </si>
  <si>
    <t>2022-06-07</t>
  </si>
  <si>
    <t>6994</t>
  </si>
  <si>
    <t>57efc72e52</t>
  </si>
  <si>
    <t>81a6179891</t>
  </si>
  <si>
    <t>1762e05ac2</t>
  </si>
  <si>
    <t>2021-07-01</t>
  </si>
  <si>
    <t>13624</t>
  </si>
  <si>
    <t>58c67a0711</t>
  </si>
  <si>
    <t>10e0c28021</t>
  </si>
  <si>
    <t>b49181816c</t>
  </si>
  <si>
    <t>12108</t>
  </si>
  <si>
    <t>60d0f509c6</t>
  </si>
  <si>
    <t>ac93fbbafe</t>
  </si>
  <si>
    <t>2bb7e4e6e4</t>
  </si>
  <si>
    <t>2021-10-01</t>
  </si>
  <si>
    <t>28776</t>
  </si>
  <si>
    <t>618f79d56f</t>
  </si>
  <si>
    <t>3c71bff295</t>
  </si>
  <si>
    <t>2024-10-01</t>
  </si>
  <si>
    <t>31837</t>
  </si>
  <si>
    <t>61a35a035a</t>
  </si>
  <si>
    <t>211d3eb3ee</t>
  </si>
  <si>
    <t>770dc61147</t>
  </si>
  <si>
    <t>A PLACÉ</t>
  </si>
  <si>
    <t>2025-02-28</t>
  </si>
  <si>
    <t>33385</t>
  </si>
  <si>
    <t>61f95b868c</t>
  </si>
  <si>
    <t>963a2a240d</t>
  </si>
  <si>
    <t>5f553d6c33</t>
  </si>
  <si>
    <t>12968</t>
  </si>
  <si>
    <t>62aec91c9b</t>
  </si>
  <si>
    <t>d69898ab28</t>
  </si>
  <si>
    <t>ee77afd79e</t>
  </si>
  <si>
    <t>26107</t>
  </si>
  <si>
    <t>62e53ca5e3</t>
  </si>
  <si>
    <t>4020f59b42</t>
  </si>
  <si>
    <t>71597fb6a0</t>
  </si>
  <si>
    <t>5973</t>
  </si>
  <si>
    <t>6857b4bd95</t>
  </si>
  <si>
    <t>66f9839799</t>
  </si>
  <si>
    <t>c062278835</t>
  </si>
  <si>
    <t>2018-08-01</t>
  </si>
  <si>
    <t>31566</t>
  </si>
  <si>
    <t>691d231b4e</t>
  </si>
  <si>
    <t>632d211fa7</t>
  </si>
  <si>
    <t>71f15fbd94</t>
  </si>
  <si>
    <t>2023-12-29</t>
  </si>
  <si>
    <t>25193</t>
  </si>
  <si>
    <t>6988ee0dfc</t>
  </si>
  <si>
    <t>239b110956</t>
  </si>
  <si>
    <t>7863ddd0f1</t>
  </si>
  <si>
    <t>2025-06-27</t>
  </si>
  <si>
    <t>38073</t>
  </si>
  <si>
    <t>6a52eff7c6</t>
  </si>
  <si>
    <t>66653db633</t>
  </si>
  <si>
    <t>cf652e96fa</t>
  </si>
  <si>
    <t>2025-10-01</t>
  </si>
  <si>
    <t>16972</t>
  </si>
  <si>
    <t>6dbe54f808</t>
  </si>
  <si>
    <t>6365e5ba41</t>
  </si>
  <si>
    <t>055e869e7a</t>
  </si>
  <si>
    <t>2026-02-28</t>
  </si>
  <si>
    <t>11524</t>
  </si>
  <si>
    <t>6e654ef66e</t>
  </si>
  <si>
    <t>a0021c41a5</t>
  </si>
  <si>
    <t>c0ce3c10cf</t>
  </si>
  <si>
    <t>1983-09-01</t>
  </si>
  <si>
    <t>29896</t>
  </si>
  <si>
    <t>6e7e9f6c30</t>
  </si>
  <si>
    <t>8656e24f43</t>
  </si>
  <si>
    <t>28d8e0ab11</t>
  </si>
  <si>
    <t>2008-09-01</t>
  </si>
  <si>
    <t>6926</t>
  </si>
  <si>
    <t>70ec8299fc</t>
  </si>
  <si>
    <t>f4c8d7a570</t>
  </si>
  <si>
    <t>04318d6648</t>
  </si>
  <si>
    <t>20591</t>
  </si>
  <si>
    <t>72cb633bfc</t>
  </si>
  <si>
    <t>50b47c1897</t>
  </si>
  <si>
    <t>8deeb5a2e7</t>
  </si>
  <si>
    <t>2021-03-01</t>
  </si>
  <si>
    <t>41250</t>
  </si>
  <si>
    <t>7304b2710b</t>
  </si>
  <si>
    <t>dcc4970953</t>
  </si>
  <si>
    <t>beec4ac371</t>
  </si>
  <si>
    <t>2018-01-01</t>
  </si>
  <si>
    <t>23629</t>
  </si>
  <si>
    <t>73770f912f</t>
  </si>
  <si>
    <t>a35ec4afaf</t>
  </si>
  <si>
    <t>494523ec29</t>
  </si>
  <si>
    <t>42838</t>
  </si>
  <si>
    <t>7434389d48</t>
  </si>
  <si>
    <t>bd440c8fcd</t>
  </si>
  <si>
    <t>80561d08a0</t>
  </si>
  <si>
    <t>2025-11-03</t>
  </si>
  <si>
    <t>7853</t>
  </si>
  <si>
    <t>751da56022</t>
  </si>
  <si>
    <t>0333e72a57</t>
  </si>
  <si>
    <t>7471199ee9</t>
  </si>
  <si>
    <t>17843</t>
  </si>
  <si>
    <t>766b33247e</t>
  </si>
  <si>
    <t>8ca3440ee6</t>
  </si>
  <si>
    <t>612e6cd48f</t>
  </si>
  <si>
    <t>2015-09-14</t>
  </si>
  <si>
    <t>5839</t>
  </si>
  <si>
    <t>76a45ef753</t>
  </si>
  <si>
    <t>53982c2eb2</t>
  </si>
  <si>
    <t>768cb51a79</t>
  </si>
  <si>
    <t>1991-09-02</t>
  </si>
  <si>
    <t>14208</t>
  </si>
  <si>
    <t>7774696147</t>
  </si>
  <si>
    <t>86a1d43ee5</t>
  </si>
  <si>
    <t>6e8467b6d2</t>
  </si>
  <si>
    <t>SA</t>
  </si>
  <si>
    <t>18602</t>
  </si>
  <si>
    <t>78ea042bc6</t>
  </si>
  <si>
    <t>0c545c98ed</t>
  </si>
  <si>
    <t>715415501b</t>
  </si>
  <si>
    <t>2017-09-01</t>
  </si>
  <si>
    <t>16977</t>
  </si>
  <si>
    <t>7bd4f78117</t>
  </si>
  <si>
    <t>f17de6b83c</t>
  </si>
  <si>
    <t>a2c1854350</t>
  </si>
  <si>
    <t>13497</t>
  </si>
  <si>
    <t>7cf86aed83</t>
  </si>
  <si>
    <t>ebd381823b</t>
  </si>
  <si>
    <t>601c8f221a</t>
  </si>
  <si>
    <t>16634</t>
  </si>
  <si>
    <t>8676b9161e</t>
  </si>
  <si>
    <t>1f87c677a4</t>
  </si>
  <si>
    <t>49194ce64b</t>
  </si>
  <si>
    <t>18432</t>
  </si>
  <si>
    <t>88363437c8</t>
  </si>
  <si>
    <t>af1d0b51ea</t>
  </si>
  <si>
    <t>a153665c9d</t>
  </si>
  <si>
    <t>2023-03-06</t>
  </si>
  <si>
    <t>32492</t>
  </si>
  <si>
    <t>8851404109</t>
  </si>
  <si>
    <t>c538c3b336</t>
  </si>
  <si>
    <t>b6de082a85</t>
  </si>
  <si>
    <t>28391</t>
  </si>
  <si>
    <t>8afdb80dd9</t>
  </si>
  <si>
    <t>97858ac806</t>
  </si>
  <si>
    <t>fb05822ab0</t>
  </si>
  <si>
    <t>12122</t>
  </si>
  <si>
    <t>8f143d78ca</t>
  </si>
  <si>
    <t>a8bb0514da</t>
  </si>
  <si>
    <t>5e0230c7b0</t>
  </si>
  <si>
    <t>5830</t>
  </si>
  <si>
    <t>928eea2848</t>
  </si>
  <si>
    <t>881b2c6a91</t>
  </si>
  <si>
    <t>88efbd4eb6</t>
  </si>
  <si>
    <t>1988-10-03</t>
  </si>
  <si>
    <t>29762</t>
  </si>
  <si>
    <t>94ea887917</t>
  </si>
  <si>
    <t>0f68e7e022</t>
  </si>
  <si>
    <t>36d6dee020</t>
  </si>
  <si>
    <t>24553</t>
  </si>
  <si>
    <t>958691d2dc</t>
  </si>
  <si>
    <t>6fd70b0f9d</t>
  </si>
  <si>
    <t>2f9e86b1e0</t>
  </si>
  <si>
    <t>31044</t>
  </si>
  <si>
    <t>979ac9c6fb</t>
  </si>
  <si>
    <t>bcc9fa4d01</t>
  </si>
  <si>
    <t>09b851db41</t>
  </si>
  <si>
    <t>2024-03-01</t>
  </si>
  <si>
    <t>24172</t>
  </si>
  <si>
    <t>97d4392eaf</t>
  </si>
  <si>
    <t>ae71f27da7</t>
  </si>
  <si>
    <t>fcab73ca8d</t>
  </si>
  <si>
    <t>34569</t>
  </si>
  <si>
    <t>9eaf5faa12</t>
  </si>
  <si>
    <t>e28cbd7704</t>
  </si>
  <si>
    <t>a45b7a55d4</t>
  </si>
  <si>
    <t>2025-10-31</t>
  </si>
  <si>
    <t>39408</t>
  </si>
  <si>
    <t>a06889f3e3</t>
  </si>
  <si>
    <t>b699720b42</t>
  </si>
  <si>
    <t>a57c4f60a2</t>
  </si>
  <si>
    <t>B PLACÉ</t>
  </si>
  <si>
    <t>2023-12-04</t>
  </si>
  <si>
    <t>2025-03-02</t>
  </si>
  <si>
    <t>28474</t>
  </si>
  <si>
    <t>a1c38dcb47</t>
  </si>
  <si>
    <t>d06bfbc5db</t>
  </si>
  <si>
    <t>580f859fac</t>
  </si>
  <si>
    <t>CT</t>
  </si>
  <si>
    <t>2017-11-01</t>
  </si>
  <si>
    <t>19823</t>
  </si>
  <si>
    <t>a33e62699c</t>
  </si>
  <si>
    <t>1c815c5d29</t>
  </si>
  <si>
    <t>4e0f969c44</t>
  </si>
  <si>
    <t>2021-06-20</t>
  </si>
  <si>
    <t>10460</t>
  </si>
  <si>
    <t>a34a30a4f7</t>
  </si>
  <si>
    <t>7bcede00a5</t>
  </si>
  <si>
    <t>9a8725bfe1</t>
  </si>
  <si>
    <t>2022-01-01</t>
  </si>
  <si>
    <t>34859</t>
  </si>
  <si>
    <t>a356a90611</t>
  </si>
  <si>
    <t>e01e6bc718</t>
  </si>
  <si>
    <t>f5702df111</t>
  </si>
  <si>
    <t>2024-06-12</t>
  </si>
  <si>
    <t>14344</t>
  </si>
  <si>
    <t>a5c6e4b415</t>
  </si>
  <si>
    <t>941fae7dbc</t>
  </si>
  <si>
    <t>72548ea0bb</t>
  </si>
  <si>
    <t>2022-04-01</t>
  </si>
  <si>
    <t>20307</t>
  </si>
  <si>
    <t>a6e1d46369</t>
  </si>
  <si>
    <t>dad2e6d655</t>
  </si>
  <si>
    <t>ad38368495</t>
  </si>
  <si>
    <t>26962</t>
  </si>
  <si>
    <t>a8979fafe1</t>
  </si>
  <si>
    <t>575d68fe07</t>
  </si>
  <si>
    <t>264920fe14</t>
  </si>
  <si>
    <t>3333</t>
  </si>
  <si>
    <t>aa03ffdb1b</t>
  </si>
  <si>
    <t>1d09767268</t>
  </si>
  <si>
    <t>6a4e4b3e0d</t>
  </si>
  <si>
    <t>2016-10-17</t>
  </si>
  <si>
    <t>37764</t>
  </si>
  <si>
    <t>b0d271b26b</t>
  </si>
  <si>
    <t>e30f0d7ada</t>
  </si>
  <si>
    <t>d71a54bd7b</t>
  </si>
  <si>
    <t>2023-11-01</t>
  </si>
  <si>
    <t>7048</t>
  </si>
  <si>
    <t>b22eda50e8</t>
  </si>
  <si>
    <t>245e8bf352</t>
  </si>
  <si>
    <t>915621665d</t>
  </si>
  <si>
    <t>2000-04-12</t>
  </si>
  <si>
    <t>7094</t>
  </si>
  <si>
    <t>c18e91cfa3</t>
  </si>
  <si>
    <t>4c34a56545</t>
  </si>
  <si>
    <t>eeca1ad058</t>
  </si>
  <si>
    <t>2004-07-07</t>
  </si>
  <si>
    <t>8422</t>
  </si>
  <si>
    <t>c4d61af364</t>
  </si>
  <si>
    <t>beaa2d5d2c</t>
  </si>
  <si>
    <t>4ad6c8b94a</t>
  </si>
  <si>
    <t>2018-09-01</t>
  </si>
  <si>
    <t>12930</t>
  </si>
  <si>
    <t>c63d485234</t>
  </si>
  <si>
    <t>d7e6af35cf</t>
  </si>
  <si>
    <t>1731b9d3b3</t>
  </si>
  <si>
    <t>2021-11-29</t>
  </si>
  <si>
    <t>9433</t>
  </si>
  <si>
    <t>c6efdbc3cd</t>
  </si>
  <si>
    <t>f162bd8b4c</t>
  </si>
  <si>
    <t>9ab0546c8f</t>
  </si>
  <si>
    <t>37860</t>
  </si>
  <si>
    <t>c8c62dca66</t>
  </si>
  <si>
    <t>2bd2f42b7c</t>
  </si>
  <si>
    <t>17440</t>
  </si>
  <si>
    <t>c9fe7eb36d</t>
  </si>
  <si>
    <t>a885fedf2a</t>
  </si>
  <si>
    <t>c3057c63e6</t>
  </si>
  <si>
    <t>41153</t>
  </si>
  <si>
    <t>d1fdd7ed63</t>
  </si>
  <si>
    <t>c3a317bd4d</t>
  </si>
  <si>
    <t>2024-01-04</t>
  </si>
  <si>
    <t>16159</t>
  </si>
  <si>
    <t>d2c18bcafe</t>
  </si>
  <si>
    <t>d1bd88d337</t>
  </si>
  <si>
    <t>f1e0a55c48</t>
  </si>
  <si>
    <t>2020-03-01</t>
  </si>
  <si>
    <t>37435</t>
  </si>
  <si>
    <t>d2da3ffbe2</t>
  </si>
  <si>
    <t>ffc0913895</t>
  </si>
  <si>
    <t>82eb127263</t>
  </si>
  <si>
    <t>2025-03-01</t>
  </si>
  <si>
    <t>10320</t>
  </si>
  <si>
    <t>d4927ea9ed</t>
  </si>
  <si>
    <t>eea85c9110</t>
  </si>
  <si>
    <t>2d21110f51</t>
  </si>
  <si>
    <t>9416</t>
  </si>
  <si>
    <t>d58ee8228e</t>
  </si>
  <si>
    <t>ac3a42b66c</t>
  </si>
  <si>
    <t>d30fd77e5a</t>
  </si>
  <si>
    <t>22298</t>
  </si>
  <si>
    <t>d5fb583998</t>
  </si>
  <si>
    <t>28eb63f220</t>
  </si>
  <si>
    <t>79b434438d</t>
  </si>
  <si>
    <t>28383</t>
  </si>
  <si>
    <t>d7cb04bb1d</t>
  </si>
  <si>
    <t>33145c40bd</t>
  </si>
  <si>
    <t>6f228ba9df</t>
  </si>
  <si>
    <t>1988-09-01</t>
  </si>
  <si>
    <t>13697</t>
  </si>
  <si>
    <t>dd48e39df3</t>
  </si>
  <si>
    <t>d258129f5e</t>
  </si>
  <si>
    <t>900e158ae3</t>
  </si>
  <si>
    <t>2019-06-11</t>
  </si>
  <si>
    <t>8436</t>
  </si>
  <si>
    <t>decad86d30</t>
  </si>
  <si>
    <t>1d7e5f8fbf</t>
  </si>
  <si>
    <t>3e4fbbb140</t>
  </si>
  <si>
    <t>2017-03-01</t>
  </si>
  <si>
    <t>20277</t>
  </si>
  <si>
    <t>e1ade5ae4a</t>
  </si>
  <si>
    <t>ffaf13d573</t>
  </si>
  <si>
    <t>61836da9f1</t>
  </si>
  <si>
    <t>2021-12-01</t>
  </si>
  <si>
    <t>18473</t>
  </si>
  <si>
    <t>e2689b7e9c</t>
  </si>
  <si>
    <t>e84afba3ff</t>
  </si>
  <si>
    <t>ff37cf61e8</t>
  </si>
  <si>
    <t>10477</t>
  </si>
  <si>
    <t>e6ebbef997</t>
  </si>
  <si>
    <t>543e30a273</t>
  </si>
  <si>
    <t>5f77a3cd45</t>
  </si>
  <si>
    <t>41344</t>
  </si>
  <si>
    <t>e82441ec42</t>
  </si>
  <si>
    <t>50fdd9a982</t>
  </si>
  <si>
    <t>50000d4da7</t>
  </si>
  <si>
    <t>1993-04-08</t>
  </si>
  <si>
    <t>3682</t>
  </si>
  <si>
    <t>e874318cf8</t>
  </si>
  <si>
    <t>7c50bf294a</t>
  </si>
  <si>
    <t>43f3f28fd5</t>
  </si>
  <si>
    <t>2013-03-01</t>
  </si>
  <si>
    <t>40322</t>
  </si>
  <si>
    <t>e9db58aec6</t>
  </si>
  <si>
    <t>80354c18bd</t>
  </si>
  <si>
    <t>912dcdc5eb</t>
  </si>
  <si>
    <t>42836</t>
  </si>
  <si>
    <t>ea0f49b601</t>
  </si>
  <si>
    <t>961aa4e0d6</t>
  </si>
  <si>
    <t>1cdea531f4</t>
  </si>
  <si>
    <t>36992</t>
  </si>
  <si>
    <t>ee6ed95a94</t>
  </si>
  <si>
    <t>898fae23cd</t>
  </si>
  <si>
    <t>5fa2b9f6aa</t>
  </si>
  <si>
    <t>2025-04-01</t>
  </si>
  <si>
    <t>2025-08-31</t>
  </si>
  <si>
    <t>8152</t>
  </si>
  <si>
    <t>f029ff6d26</t>
  </si>
  <si>
    <t>18433172e5</t>
  </si>
  <si>
    <t>30ac15c78b</t>
  </si>
  <si>
    <t>18199</t>
  </si>
  <si>
    <t>f21e140dff</t>
  </si>
  <si>
    <t>bbbec5a560</t>
  </si>
  <si>
    <t>2cd21154c0</t>
  </si>
  <si>
    <t>7931</t>
  </si>
  <si>
    <t>f2ddf48aae</t>
  </si>
  <si>
    <t>3055f67dce</t>
  </si>
  <si>
    <t>4aa065bbbb</t>
  </si>
  <si>
    <t>9874</t>
  </si>
  <si>
    <t>f42d5be397</t>
  </si>
  <si>
    <t>328a5e18e5</t>
  </si>
  <si>
    <t>72c4c5c7d8</t>
  </si>
  <si>
    <t>13503</t>
  </si>
  <si>
    <t>f6ca758a74</t>
  </si>
  <si>
    <t>196249336e</t>
  </si>
  <si>
    <t>a1421aa004</t>
  </si>
  <si>
    <t>3302</t>
  </si>
  <si>
    <t>f9873e3f5d</t>
  </si>
  <si>
    <t>c8224cbcd8</t>
  </si>
  <si>
    <t>52251ef6fe</t>
  </si>
  <si>
    <t>2003-06-01</t>
  </si>
  <si>
    <t>42829</t>
  </si>
  <si>
    <t>00daac63f0</t>
  </si>
  <si>
    <t>a7438c8f1d</t>
  </si>
  <si>
    <t>e6e2cc1399</t>
  </si>
  <si>
    <t>Autour du magistrat</t>
  </si>
  <si>
    <t>Att. J</t>
  </si>
  <si>
    <t>2025-06-02</t>
  </si>
  <si>
    <t>6961</t>
  </si>
  <si>
    <t>066d8771ab</t>
  </si>
  <si>
    <t>4f5d87f348</t>
  </si>
  <si>
    <t>aecc2fdce3</t>
  </si>
  <si>
    <t>22985</t>
  </si>
  <si>
    <t>09b9393747</t>
  </si>
  <si>
    <t>522700809b</t>
  </si>
  <si>
    <t>9b3aee73a4</t>
  </si>
  <si>
    <t>2023-06-01</t>
  </si>
  <si>
    <t>31381</t>
  </si>
  <si>
    <t>175758ca67</t>
  </si>
  <si>
    <t>af5fed5314</t>
  </si>
  <si>
    <t>ADJ</t>
  </si>
  <si>
    <t>42830</t>
  </si>
  <si>
    <t>19e92c19d5</t>
  </si>
  <si>
    <t>cd0106ad19</t>
  </si>
  <si>
    <t>271af868cc</t>
  </si>
  <si>
    <t>2025-04-18</t>
  </si>
  <si>
    <t>2025-11-26</t>
  </si>
  <si>
    <t>30564</t>
  </si>
  <si>
    <t>2825eda8b9</t>
  </si>
  <si>
    <t>6165192168</t>
  </si>
  <si>
    <t>7555df177e</t>
  </si>
  <si>
    <t>27096</t>
  </si>
  <si>
    <t>347d0ea765</t>
  </si>
  <si>
    <t>082c9a8948</t>
  </si>
  <si>
    <t>b83584c54c</t>
  </si>
  <si>
    <t>JA</t>
  </si>
  <si>
    <t>22864</t>
  </si>
  <si>
    <t>3d87654ada</t>
  </si>
  <si>
    <t>20ac575b67</t>
  </si>
  <si>
    <t>b020eea843</t>
  </si>
  <si>
    <t>35457</t>
  </si>
  <si>
    <t>433a149303</t>
  </si>
  <si>
    <t>952f54820e</t>
  </si>
  <si>
    <t>f30a5b03cc</t>
  </si>
  <si>
    <t>25627</t>
  </si>
  <si>
    <t>4968474212</t>
  </si>
  <si>
    <t>9263c8494a</t>
  </si>
  <si>
    <t>db2b7b57ad</t>
  </si>
  <si>
    <t>28084</t>
  </si>
  <si>
    <t>4b940568f2</t>
  </si>
  <si>
    <t>5283ea1bb3</t>
  </si>
  <si>
    <t>b11264ac48</t>
  </si>
  <si>
    <t>30185</t>
  </si>
  <si>
    <t>5cabef0f02</t>
  </si>
  <si>
    <t>ce2e306d60</t>
  </si>
  <si>
    <t>1306941e1b</t>
  </si>
  <si>
    <t>2022-12-05</t>
  </si>
  <si>
    <t>7953</t>
  </si>
  <si>
    <t>611d51ba9a</t>
  </si>
  <si>
    <t>77f881a2be</t>
  </si>
  <si>
    <t>2025-02-05</t>
  </si>
  <si>
    <t>28372</t>
  </si>
  <si>
    <t>6578010806</t>
  </si>
  <si>
    <t>f70c1eba91</t>
  </si>
  <si>
    <t>f4da5663e0</t>
  </si>
  <si>
    <t>2023-12-15</t>
  </si>
  <si>
    <t>30687</t>
  </si>
  <si>
    <t>6d56d6b070</t>
  </si>
  <si>
    <t>d450019766</t>
  </si>
  <si>
    <t>b83f7ad2c6</t>
  </si>
  <si>
    <t>2024-01-01</t>
  </si>
  <si>
    <t>37712</t>
  </si>
  <si>
    <t>70ad5afdf7</t>
  </si>
  <si>
    <t>9e2b1a5281</t>
  </si>
  <si>
    <t>140134ac3c</t>
  </si>
  <si>
    <t>2025-06-01</t>
  </si>
  <si>
    <t>41668</t>
  </si>
  <si>
    <t>70eff9b148</t>
  </si>
  <si>
    <t>982aadbb99</t>
  </si>
  <si>
    <t>11137</t>
  </si>
  <si>
    <t>7612a91e59</t>
  </si>
  <si>
    <t>69989219b3</t>
  </si>
  <si>
    <t>17fc259026</t>
  </si>
  <si>
    <t>2020-06-01</t>
  </si>
  <si>
    <t>35161</t>
  </si>
  <si>
    <t>87f10fd2f8</t>
  </si>
  <si>
    <t>98f896f3d0</t>
  </si>
  <si>
    <t>2025-03-31</t>
  </si>
  <si>
    <t>15461</t>
  </si>
  <si>
    <t>9682ac9359</t>
  </si>
  <si>
    <t>886c5d8a79</t>
  </si>
  <si>
    <t>ca8364e591</t>
  </si>
  <si>
    <t>2022-10-01</t>
  </si>
  <si>
    <t>30963</t>
  </si>
  <si>
    <t>9b7ece024a</t>
  </si>
  <si>
    <t>3ab77940cf</t>
  </si>
  <si>
    <t>f9c55dbd58</t>
  </si>
  <si>
    <t>CONT C JP</t>
  </si>
  <si>
    <t>2023-01-01</t>
  </si>
  <si>
    <t>39168</t>
  </si>
  <si>
    <t>c6b38c701e</t>
  </si>
  <si>
    <t>ce87fca89c</t>
  </si>
  <si>
    <t>b6548a3c9a</t>
  </si>
  <si>
    <t>31524</t>
  </si>
  <si>
    <t>d28287a386</t>
  </si>
  <si>
    <t>cf53e05d37</t>
  </si>
  <si>
    <t>7c9119c825</t>
  </si>
  <si>
    <t>2024-11-04</t>
  </si>
  <si>
    <t>42108</t>
  </si>
  <si>
    <t>f72da8476e</t>
  </si>
  <si>
    <t>bd6732f805</t>
  </si>
  <si>
    <t>2025-12-01</t>
  </si>
  <si>
    <r>
      <t xml:space="preserve">                  Extracteur de données d'effectifs - Format DDG (avec réintégration de l'absentéisme)
                  </t>
    </r>
    <r>
      <rPr>
        <b/>
        <color rgb="FFFF0000"/>
        <sz val="14"/>
        <rFont val="Calibri (Corps)"/>
      </rPr>
      <t>Les lignes en rouge invitent à des vérifications dans les colonnes R, S et T. Veillez à ne pas supprimer de ligne dans le tableau.</t>
    </r>
  </si>
  <si>
    <t>Code fonction par défaut</t>
  </si>
  <si>
    <t>Fonction agrégat</t>
  </si>
  <si>
    <t>ETPT sur la période absentéisme non déduit (hors action 99)</t>
  </si>
  <si>
    <t>Temps ventilés sur la période (hors action 99)</t>
  </si>
  <si>
    <t>Ecart → ventilations manquantes dans A-JUST</t>
  </si>
  <si>
    <t>Ecart JE → détails manquants, à rajouter dans A-JUST</t>
  </si>
  <si>
    <t>Ecart JI → détails manquants, à rajouter dans A-JUST</t>
  </si>
  <si>
    <t>12. TOTAL des INDISPONIBILITÉS relevant de l'action 99</t>
  </si>
  <si>
    <t>CET &gt; 30 jours</t>
  </si>
  <si>
    <t>CET &lt; 30 jours</t>
  </si>
  <si>
    <t>TOTAL absentéisme réintégré (CMO + Congé maternité + ASA + Autre absentéisme + CET &lt; 30 jours)</t>
  </si>
  <si>
    <t/>
  </si>
  <si>
    <t>ETPT global sur la période (incluant absentéisme et action 99)</t>
  </si>
  <si>
    <t>6332351916</t>
  </si>
  <si>
    <t>1EBCB7AF77</t>
  </si>
  <si>
    <t>M-TIT</t>
  </si>
  <si>
    <t>93911267A8</t>
  </si>
  <si>
    <t>J. PLACÉ ADDITIONNEL</t>
  </si>
  <si>
    <t>M-PLAC-ADD</t>
  </si>
  <si>
    <t>4F98D0F339</t>
  </si>
  <si>
    <t>E65BC139B2</t>
  </si>
  <si>
    <t>F8833B1832</t>
  </si>
  <si>
    <t>D1DFDB64D4</t>
  </si>
  <si>
    <t>C1DA1211F4</t>
  </si>
  <si>
    <t>869FD3B877</t>
  </si>
  <si>
    <t>C5ED098570</t>
  </si>
  <si>
    <t>29F4C48404</t>
  </si>
  <si>
    <t>F37DCE3C06</t>
  </si>
  <si>
    <t>4D20E09C0B</t>
  </si>
  <si>
    <t>EEA7BFC84E</t>
  </si>
  <si>
    <t>CEA54F2EDB</t>
  </si>
  <si>
    <t>1A294129FE</t>
  </si>
  <si>
    <t>106475E6A4</t>
  </si>
  <si>
    <t>2149141B0C</t>
  </si>
  <si>
    <t>A5D2BFA458</t>
  </si>
  <si>
    <t>48ADE5BA0F</t>
  </si>
  <si>
    <t>990EF38826</t>
  </si>
  <si>
    <t>095AC8AAB7</t>
  </si>
  <si>
    <t>36A2E53825</t>
  </si>
  <si>
    <t>C2D7004F1C</t>
  </si>
  <si>
    <t>5D6BA9FF19</t>
  </si>
  <si>
    <t>C24B42E7DF</t>
  </si>
  <si>
    <t>680A2DAED4</t>
  </si>
  <si>
    <t>DC2ED0C55C</t>
  </si>
  <si>
    <t>0955EE7893</t>
  </si>
  <si>
    <t>B4BA2ABECB</t>
  </si>
  <si>
    <t>VP PLACÉ ADDITIONNEL</t>
  </si>
  <si>
    <t>01107796A4</t>
  </si>
  <si>
    <t>5D26228CB3</t>
  </si>
  <si>
    <t>DEF68BCC16</t>
  </si>
  <si>
    <t>9E1C5F51C4</t>
  </si>
  <si>
    <t>264D0E10E6</t>
  </si>
  <si>
    <t>42DED0C2B9</t>
  </si>
  <si>
    <t>F7F4E3BF57</t>
  </si>
  <si>
    <t>5399CE9AC7</t>
  </si>
  <si>
    <t>F87A9A3A13</t>
  </si>
  <si>
    <t>043FEE5D4A</t>
  </si>
  <si>
    <t>17D823EFC4</t>
  </si>
  <si>
    <t>188512DDDF</t>
  </si>
  <si>
    <t>F-TIT</t>
  </si>
  <si>
    <t>A00CD6D4D5</t>
  </si>
  <si>
    <t>00A49DBCA1</t>
  </si>
  <si>
    <t>CONT A JP Siège</t>
  </si>
  <si>
    <t>C</t>
  </si>
  <si>
    <t>9023458A7F</t>
  </si>
  <si>
    <t>AF90040097</t>
  </si>
  <si>
    <t>336A883398</t>
  </si>
  <si>
    <t>35D99AE1E6</t>
  </si>
  <si>
    <t>2096A706A7</t>
  </si>
  <si>
    <t>08C5691969</t>
  </si>
  <si>
    <t>1A9F4D5B4B</t>
  </si>
  <si>
    <t>15A7948935</t>
  </si>
  <si>
    <t>CA293E6F26</t>
  </si>
  <si>
    <t>15FE93E7D7</t>
  </si>
  <si>
    <t>369ED4025B</t>
  </si>
  <si>
    <t>B755A7AB68</t>
  </si>
  <si>
    <t>7A41E35B02</t>
  </si>
  <si>
    <t>4A062CD364</t>
  </si>
  <si>
    <t>2151F378DD</t>
  </si>
  <si>
    <t>18C5BD1459</t>
  </si>
  <si>
    <t>E762FB758C</t>
  </si>
  <si>
    <t>3AB4DDB16D</t>
  </si>
  <si>
    <t>F3B1CFC360</t>
  </si>
  <si>
    <t>01C037C7A4</t>
  </si>
  <si>
    <t>72B9DC23BC</t>
  </si>
  <si>
    <t>0E124971DA</t>
  </si>
  <si>
    <t>B284A43C30</t>
  </si>
  <si>
    <t>2650500C59</t>
  </si>
  <si>
    <t>18E3A2DE56</t>
  </si>
  <si>
    <t>7019F84C94</t>
  </si>
  <si>
    <t>4A42A132F8</t>
  </si>
  <si>
    <t>7EDAED3B75</t>
  </si>
  <si>
    <t>109E64A53A</t>
  </si>
  <si>
    <t>6768E038CC</t>
  </si>
  <si>
    <t>8FE7CEE533</t>
  </si>
  <si>
    <t>A48CD97A18</t>
  </si>
  <si>
    <t>B73BA4750E</t>
  </si>
  <si>
    <t>D5C1A82B2B</t>
  </si>
  <si>
    <t>D9AD23C83A</t>
  </si>
  <si>
    <t>8B0AFC1E0F</t>
  </si>
  <si>
    <t>F17CD8AED2</t>
  </si>
  <si>
    <t>327492953F</t>
  </si>
  <si>
    <t>01F94AED90</t>
  </si>
  <si>
    <t>3B665660B4</t>
  </si>
  <si>
    <t>AF9F758B44</t>
  </si>
  <si>
    <t>5F8A014757</t>
  </si>
  <si>
    <t>D93736C902</t>
  </si>
  <si>
    <t>2F41E6FB97</t>
  </si>
  <si>
    <t>562DE831A2</t>
  </si>
  <si>
    <t>A PLACÉ ADDITIONNEL</t>
  </si>
  <si>
    <t>F-PLAC-ADD</t>
  </si>
  <si>
    <t>836F78F9E3</t>
  </si>
  <si>
    <t>F16C2B4CE0</t>
  </si>
  <si>
    <t>5E3203B5DB</t>
  </si>
  <si>
    <t>AB19CAA8A6</t>
  </si>
  <si>
    <t>60AF250E7D</t>
  </si>
  <si>
    <t>BA023FAD03</t>
  </si>
  <si>
    <t>C971A0BAD5</t>
  </si>
  <si>
    <t>2FEFB9E464</t>
  </si>
  <si>
    <t>57B623EA85</t>
  </si>
  <si>
    <t>86CF3EB362</t>
  </si>
  <si>
    <t>49893A3D6D</t>
  </si>
  <si>
    <t>01BA956670</t>
  </si>
  <si>
    <t>8786D0FC21</t>
  </si>
  <si>
    <t>7BB0B98C4E</t>
  </si>
  <si>
    <t>20B941A4B0</t>
  </si>
  <si>
    <t>3871F3CA99</t>
  </si>
  <si>
    <t>DACDC8B442</t>
  </si>
  <si>
    <t>308B3DA28D</t>
  </si>
  <si>
    <t>79662D8F3D</t>
  </si>
  <si>
    <t>A4179B8363</t>
  </si>
  <si>
    <t>0056BE1F5B</t>
  </si>
  <si>
    <t>F5607056C4</t>
  </si>
  <si>
    <t>B9300EC7E9</t>
  </si>
  <si>
    <t>52858CCB81</t>
  </si>
  <si>
    <t>F0217C627A</t>
  </si>
  <si>
    <t>85AAE55351</t>
  </si>
  <si>
    <t>B0F8DCD60B</t>
  </si>
  <si>
    <t>91B76E2034</t>
  </si>
  <si>
    <t>0191D57450</t>
  </si>
  <si>
    <t>C1D0D8AAF6</t>
  </si>
  <si>
    <t>183962245E</t>
  </si>
  <si>
    <t>B PLACÉ ADDITIONNEL</t>
  </si>
  <si>
    <t>7F4243FFCA</t>
  </si>
  <si>
    <t>A5657F44F3</t>
  </si>
  <si>
    <t>6503BE19B8</t>
  </si>
  <si>
    <t>5157048566</t>
  </si>
  <si>
    <t>743B14DCC8</t>
  </si>
  <si>
    <t>21C1A8F919</t>
  </si>
  <si>
    <t>48FDDD424A</t>
  </si>
  <si>
    <t>F083C31B38</t>
  </si>
  <si>
    <t>D37AF99792</t>
  </si>
  <si>
    <t>0156063B9D</t>
  </si>
  <si>
    <t>E6804520E9</t>
  </si>
  <si>
    <t>B295DDCE7F</t>
  </si>
  <si>
    <t>EF17B0365F</t>
  </si>
  <si>
    <t>5FE87A76D1</t>
  </si>
  <si>
    <t>66E40F3522</t>
  </si>
  <si>
    <t>6D059F0CD7</t>
  </si>
  <si>
    <t>FD2AE6352D</t>
  </si>
  <si>
    <t>BF9A07A7A1</t>
  </si>
  <si>
    <t>F65F153F6E</t>
  </si>
  <si>
    <t>2138EAC627</t>
  </si>
  <si>
    <t>70735972C9</t>
  </si>
  <si>
    <t>E49A3274C6</t>
  </si>
  <si>
    <t>6A6DBC053A</t>
  </si>
  <si>
    <t>6AB07A101A</t>
  </si>
  <si>
    <t>0E56DA7998</t>
  </si>
  <si>
    <t>3EED925B36</t>
  </si>
  <si>
    <t>214F0F0577</t>
  </si>
  <si>
    <t>7B37856592</t>
  </si>
  <si>
    <t>BB94B8671E</t>
  </si>
  <si>
    <t>546136178F</t>
  </si>
  <si>
    <t>75DEE533CB</t>
  </si>
  <si>
    <t>48FE57E876</t>
  </si>
  <si>
    <t>0D3EFB9EAB</t>
  </si>
  <si>
    <t>BB63DB9B72</t>
  </si>
  <si>
    <t>Att. J Siège autres</t>
  </si>
  <si>
    <t>05520D1E4F</t>
  </si>
  <si>
    <t>53DE25CD1B</t>
  </si>
  <si>
    <t>224890FB43</t>
  </si>
  <si>
    <t>4BA5FE370A</t>
  </si>
  <si>
    <t>7F349FC532</t>
  </si>
  <si>
    <t>JA Siège autres</t>
  </si>
  <si>
    <t>0B938C0F3E</t>
  </si>
  <si>
    <t>088BFE452C</t>
  </si>
  <si>
    <t>75A732CE20</t>
  </si>
  <si>
    <t>10FB969AC0</t>
  </si>
  <si>
    <t>3C4F696BB5</t>
  </si>
  <si>
    <t>AF28CCCF7C</t>
  </si>
  <si>
    <t>95F7E20B2E</t>
  </si>
  <si>
    <t>8F48480E4E</t>
  </si>
  <si>
    <t>0283FCEF5E</t>
  </si>
  <si>
    <t>5496659677</t>
  </si>
  <si>
    <t>E031035892</t>
  </si>
  <si>
    <t>7445828A11</t>
  </si>
  <si>
    <t>24E781650A</t>
  </si>
  <si>
    <t xml:space="preserve">                     Synthèse ETPT</t>
  </si>
  <si>
    <t>Agrégats DDG</t>
  </si>
  <si>
    <t>Selectionner une juridiction</t>
  </si>
  <si>
    <t>Code</t>
  </si>
  <si>
    <t>Les lignes à fond rouge invitent à des vérifications lors de l'établissement des tableaux de collecte pour les DDG. Pour plus d'informations sur les agents concernés, se référer à l'onglet ETPT Format DDG.</t>
  </si>
  <si>
    <t>SIEGE</t>
  </si>
  <si>
    <t>GREFFE</t>
  </si>
  <si>
    <t>EQUIPE AUTOUR DU MAGISTRAT</t>
  </si>
  <si>
    <t>Magistrats hors placés</t>
  </si>
  <si>
    <t>%age de l'ETPT</t>
  </si>
  <si>
    <t>Magistrats placés additionnels</t>
  </si>
  <si>
    <t>Magistrats placés de substitution</t>
  </si>
  <si>
    <t>Contractuels et vacataires</t>
  </si>
  <si>
    <t>TOTAL SIEGE</t>
  </si>
  <si>
    <t>Fonctionnaires hors placés</t>
  </si>
  <si>
    <t>Fonctionnaires placés additionnels</t>
  </si>
  <si>
    <t>Fonctionnaires placés de substitution</t>
  </si>
  <si>
    <t>TOTAL GREFFE</t>
  </si>
  <si>
    <t>13. TOTAL des INDISPONIBILITÉS relevant de l'absentéisme (réintégrés dans les valeurs des rubriques et sous-rubriques)</t>
  </si>
  <si>
    <t>CONCAT</t>
  </si>
  <si>
    <t>Label</t>
  </si>
  <si>
    <t>Position</t>
  </si>
  <si>
    <t>Fonction recodée DDG</t>
  </si>
  <si>
    <t>Fonction onglet agrégat</t>
  </si>
  <si>
    <t>MagistratP</t>
  </si>
  <si>
    <t>PRÉSIDENT</t>
  </si>
  <si>
    <t>Titulaire</t>
  </si>
  <si>
    <t>P</t>
  </si>
  <si>
    <t>Magistrat SIEGE NS</t>
  </si>
  <si>
    <t>Magistrat1VP</t>
  </si>
  <si>
    <t>PREMIER VICE-PRÉSIDENT</t>
  </si>
  <si>
    <t>Magistrat1VPA</t>
  </si>
  <si>
    <t>PREMIER VICE-PRÉSIDENT ADJOINT</t>
  </si>
  <si>
    <t>Magistrat1VPCP</t>
  </si>
  <si>
    <t>PREMIER VICE-PRÉSIDENT CHARGÉ DES FONCTIONS DE JUGE DES CONTENTIEUX DE LA PROTECTION</t>
  </si>
  <si>
    <t>1VPCP</t>
  </si>
  <si>
    <t>Magistrat SIEGE S</t>
  </si>
  <si>
    <t>Magistrat1VPE</t>
  </si>
  <si>
    <t>PREMIER VICE-PRÉSIDENT CHARGÉ DES FONCTIONS DE JUGE DES ENFANTS</t>
  </si>
  <si>
    <t>1VPE</t>
  </si>
  <si>
    <t>Magistrat1VPI</t>
  </si>
  <si>
    <t>PREMIER VICE-PRÉSIDENT CHARGÉ DES FONCTIONS DE JUGE D'INSTRUCTION</t>
  </si>
  <si>
    <t>1VPI</t>
  </si>
  <si>
    <t>MagistratVPSG</t>
  </si>
  <si>
    <t>VICE-PRÉSIDENT CHARGÉ D'UN SECRÉTARIAT GÉNÉRAL</t>
  </si>
  <si>
    <t>VPSG</t>
  </si>
  <si>
    <t>Magistrat1VPAP</t>
  </si>
  <si>
    <t>PREMIER VICE-PRÉSIDENT CHARGÉ DES FONCTIONS DE JUGE DE L'APPLICATION DES PEINES</t>
  </si>
  <si>
    <t>1VPAP</t>
  </si>
  <si>
    <t>Magistrat1VPLD</t>
  </si>
  <si>
    <t>PREMIER VICE-PRÉSIDENT CHARGÉ DES FONCTIONS DE JUGE DES LIBERTÉS ET DE LA DÉTENTION</t>
  </si>
  <si>
    <t>1VPLD</t>
  </si>
  <si>
    <t>MagistratVP</t>
  </si>
  <si>
    <t>VICE-PRÉSIDENT</t>
  </si>
  <si>
    <t>MagistratVPCP</t>
  </si>
  <si>
    <t>VICE-PRÉSIDENT CHARGÉ DES FONCTIONS DE JUGE DES CONTENTIEUX DE LA PROTECTION</t>
  </si>
  <si>
    <t>MagistratVPE</t>
  </si>
  <si>
    <t>VICE-PRÉSIDENT CHARGÉ DES FONCTIONS DE JUGE DES ENFANTS</t>
  </si>
  <si>
    <t>MagistratVPI</t>
  </si>
  <si>
    <t>VICE-PRÉSIDENT CHARGÉ DES FONCTIONS DE JUGE D'INSTRUCTION</t>
  </si>
  <si>
    <t>MagistratVPAP</t>
  </si>
  <si>
    <t>VICE-PRÉSIDENT CHARGÉ DES FONCTIONS DE JUGE DE L'APPLICATION DES PEINES</t>
  </si>
  <si>
    <t>MagistratVPLD</t>
  </si>
  <si>
    <t>VICE-PRÉSIDENT CHARGÉ DES FONCTIONS DE JUGE DES LIBERTÉS ET DE LA DÉTENTION</t>
  </si>
  <si>
    <t>MagistratJ</t>
  </si>
  <si>
    <t>JUGE</t>
  </si>
  <si>
    <t>MagistratJCP</t>
  </si>
  <si>
    <t>JUGE DES CONTENTIEUX DE LA PROTECTION</t>
  </si>
  <si>
    <t>MagistratJE</t>
  </si>
  <si>
    <t>JUGE DES ENFANTS</t>
  </si>
  <si>
    <t>MagistratJI</t>
  </si>
  <si>
    <t>JUGE D'INSTRUCTION</t>
  </si>
  <si>
    <t>MagistratJAP</t>
  </si>
  <si>
    <t>JUGE D'APPLICATION DES PEINES</t>
  </si>
  <si>
    <t>MagistratVP PLACÉ</t>
  </si>
  <si>
    <t>VICE-PRÉSIDENT PLACÉ</t>
  </si>
  <si>
    <t>Placé</t>
  </si>
  <si>
    <t>MagistratVP PLACÉ ADDITIONNEL</t>
  </si>
  <si>
    <t>VICE-PRÉSIDENT PLACÉ ADDITIONNEL</t>
  </si>
  <si>
    <t>Magistrat placé ADD</t>
  </si>
  <si>
    <t>MagistratVP PLACÉ SUBSTITUTION</t>
  </si>
  <si>
    <t>VICE-PRÉSIDENT PLACÉ SUBSTITUTION</t>
  </si>
  <si>
    <t>VP PLACÉ SUBSTITUTION</t>
  </si>
  <si>
    <t>Magistrat placé SUB</t>
  </si>
  <si>
    <t>M-PLAC-SUB</t>
  </si>
  <si>
    <t>MagistratJ. PLACÉ</t>
  </si>
  <si>
    <t>JUGE PLACÉ</t>
  </si>
  <si>
    <t>MagistratJ. PLACÉ ADDITIONNEL</t>
  </si>
  <si>
    <t>JUGE PLACÉ ADDITIONNEL</t>
  </si>
  <si>
    <t>MagistratJ. PLACÉ SUBSTITUTION</t>
  </si>
  <si>
    <t>JUGE PLACÉ SUBSTITUTION</t>
  </si>
  <si>
    <t>J. PLACÉ SUBSTITUTION</t>
  </si>
  <si>
    <t>MagistratMHFJ</t>
  </si>
  <si>
    <t>MAGISTRAT HONORAIRE JURIDICTIONNEL</t>
  </si>
  <si>
    <t>Contractuel</t>
  </si>
  <si>
    <t>MHFJ</t>
  </si>
  <si>
    <t>M-CONT</t>
  </si>
  <si>
    <t>MagistratMHFNJ</t>
  </si>
  <si>
    <t>MAGISTRAT HONORAIRE NON JURIDICTIONNEL</t>
  </si>
  <si>
    <t>MHFNJ</t>
  </si>
  <si>
    <t>MagistratMTT</t>
  </si>
  <si>
    <t>MAGISTRAT A TITRE TEMPORAIRE</t>
  </si>
  <si>
    <t>MTT</t>
  </si>
  <si>
    <t>MagistratMRES</t>
  </si>
  <si>
    <t>MAGISTRAT RESERVISTE</t>
  </si>
  <si>
    <t>MRES</t>
  </si>
  <si>
    <t>GreffeDG</t>
  </si>
  <si>
    <t>DG</t>
  </si>
  <si>
    <t>Fonctionnaire A-B-CBUR</t>
  </si>
  <si>
    <t>GreffeDSGJ</t>
  </si>
  <si>
    <t>DSGJ</t>
  </si>
  <si>
    <t>GreffeCHCAB</t>
  </si>
  <si>
    <t>CHEF DE CABINET</t>
  </si>
  <si>
    <t>CHCAB</t>
  </si>
  <si>
    <t>GreffeA</t>
  </si>
  <si>
    <t>GreffeA GREFFIER</t>
  </si>
  <si>
    <t>GreffeB</t>
  </si>
  <si>
    <t>B GREFFIER</t>
  </si>
  <si>
    <t>GreffeA PLACÉ ADDITIONNEL</t>
  </si>
  <si>
    <t>Fonctionnaire A-B-CBUR placé ADD</t>
  </si>
  <si>
    <t>GreffeA PLACÉ SUBSTITUTION</t>
  </si>
  <si>
    <t>A PLACÉ SUBSTITUTION</t>
  </si>
  <si>
    <t>Fonctionnaire A-B-CBUR placé SUB</t>
  </si>
  <si>
    <t>F-PLAC-SUB</t>
  </si>
  <si>
    <t>GreffeSA</t>
  </si>
  <si>
    <t>GreffeB GREF  PLACÉ ADDITIONNEL</t>
  </si>
  <si>
    <t>B GREFFIER PLACÉ ADDITIONNEL</t>
  </si>
  <si>
    <t>B GREF  PLACÉ ADDITIONNEL</t>
  </si>
  <si>
    <t>GreffeB GREF  PLACÉ SUBSTITUTION</t>
  </si>
  <si>
    <t>B GREFFIER PLACÉ SUBSTITUTION</t>
  </si>
  <si>
    <t>B GREF  PLACÉ SUBSTITUTION</t>
  </si>
  <si>
    <t>GreffeCB</t>
  </si>
  <si>
    <t>GreffeB PLACÉ ADDITIONNEL</t>
  </si>
  <si>
    <t>GreffeB PLACÉ SUBSTITUTION</t>
  </si>
  <si>
    <t>B PLACÉ SUBSTITUTION</t>
  </si>
  <si>
    <t>GreffeCT</t>
  </si>
  <si>
    <t>Fonctionnaire CTECH</t>
  </si>
  <si>
    <t>GreffeCB PLACÉ ADDITIONNEL</t>
  </si>
  <si>
    <t>CB PLACÉ ADDITIONNEL</t>
  </si>
  <si>
    <t>GreffeCB PLACÉ SUBSTITUTION</t>
  </si>
  <si>
    <t>CB PLACÉ SUBSTITUTION</t>
  </si>
  <si>
    <t>GreffeDSGJ PLACÉ</t>
  </si>
  <si>
    <t>DSGJ PLACÉ</t>
  </si>
  <si>
    <t>GreffeDSGJ PLACÉ ADDITIONNEL</t>
  </si>
  <si>
    <t>DSGJ PLACÉ ADDITIONNEL</t>
  </si>
  <si>
    <t>GreffeDSGJ PLACÉ SUBSTITUTION</t>
  </si>
  <si>
    <t>DSGJ PLACÉ SUBSTITUTION</t>
  </si>
  <si>
    <t>GreffeA PLACÉ</t>
  </si>
  <si>
    <t>GreffeCT PLACÉ ADDITIONNEL</t>
  </si>
  <si>
    <t>CT PLACÉ ADDITIONNEL</t>
  </si>
  <si>
    <t>Fonctionnaire CTECH placé ADD</t>
  </si>
  <si>
    <t>GreffeCT PLACÉ SUBSTITUTION</t>
  </si>
  <si>
    <t>CT PLACÉ SUBSTITUTION</t>
  </si>
  <si>
    <t>Fonctionnaire CTECH placé SUB</t>
  </si>
  <si>
    <t>GreffeB GREF  PLACÉ</t>
  </si>
  <si>
    <t>B GREFFIER PLACÉ</t>
  </si>
  <si>
    <t>B GREF  PLACÉ</t>
  </si>
  <si>
    <t>GreffeB PLACÉ</t>
  </si>
  <si>
    <t>GreffeCONT A Autres</t>
  </si>
  <si>
    <t>CONTRACTUEL A</t>
  </si>
  <si>
    <t>CONT A Autres</t>
  </si>
  <si>
    <t>GreffeCONT A VIF Parquet</t>
  </si>
  <si>
    <t>CONT A VIF Parquet</t>
  </si>
  <si>
    <t>GreffeCONT A VIF Siège</t>
  </si>
  <si>
    <t>CONT A VIF Siège</t>
  </si>
  <si>
    <t>GreffeCB PLACÉ</t>
  </si>
  <si>
    <t>CB PLACÉ</t>
  </si>
  <si>
    <t>GreffeCT PLACÉ</t>
  </si>
  <si>
    <t>CT PLACÉ</t>
  </si>
  <si>
    <t>GreffeGRES</t>
  </si>
  <si>
    <t>GREFFIER RESERVISTE</t>
  </si>
  <si>
    <t>GRES</t>
  </si>
  <si>
    <t>GreffeCONT A</t>
  </si>
  <si>
    <t>CONT A</t>
  </si>
  <si>
    <t>GreffeCONT B</t>
  </si>
  <si>
    <t>CONTRACTUEL B</t>
  </si>
  <si>
    <t>CONT B</t>
  </si>
  <si>
    <t>GreffeCONT A JP Parquet</t>
  </si>
  <si>
    <t>CONTRACTUEL A JUSTICE DE PROXIMITE</t>
  </si>
  <si>
    <t>CONT A JP Parquet</t>
  </si>
  <si>
    <t>GreffeCONT A JP Siège</t>
  </si>
  <si>
    <t>GreffeCONT C</t>
  </si>
  <si>
    <t>CONTRACTUEL C</t>
  </si>
  <si>
    <t>CONT C</t>
  </si>
  <si>
    <t>GreffeCONT CB</t>
  </si>
  <si>
    <t>CONTRACTUEL CB</t>
  </si>
  <si>
    <t>GreffeCONT CT</t>
  </si>
  <si>
    <t>CONTRACTUEL CT</t>
  </si>
  <si>
    <t>CONT CT</t>
  </si>
  <si>
    <t>GreffeVAC</t>
  </si>
  <si>
    <t>VACATAIRE</t>
  </si>
  <si>
    <t>GreffeCONT A JP</t>
  </si>
  <si>
    <t>GreffeCONT B JP</t>
  </si>
  <si>
    <t>CONTRACTUEL B JUSTICE DE PROXIMITE</t>
  </si>
  <si>
    <t>GreffeCONT C JP</t>
  </si>
  <si>
    <t>CONTRACTUEL C JUSTICE DE PROXIMITE</t>
  </si>
  <si>
    <t>Autour du magistratCHCAB</t>
  </si>
  <si>
    <t>Autour du magistratAtt. J JAP</t>
  </si>
  <si>
    <t>ATTACHÉ DE JUSTICE JAP</t>
  </si>
  <si>
    <t>Att. J JAP</t>
  </si>
  <si>
    <t>JA/AttJ JAP</t>
  </si>
  <si>
    <t>Autour du magistratAtt. J JE</t>
  </si>
  <si>
    <t>ATTACHÉ DE JUSTICE JE</t>
  </si>
  <si>
    <t>Att. J JE</t>
  </si>
  <si>
    <t>JA/AttJ JE</t>
  </si>
  <si>
    <t>Autour du magistratAtt. J JI</t>
  </si>
  <si>
    <t>ATTACHÉ DE JUSTICE JI</t>
  </si>
  <si>
    <t>Att. J JI</t>
  </si>
  <si>
    <t>JA/AttJ JI</t>
  </si>
  <si>
    <t>Autour du magistratAtt. J JLD PÉNAL</t>
  </si>
  <si>
    <t>ATTACHÉ DE JUSTICE JLD PÉNAL</t>
  </si>
  <si>
    <t>Att. J JLD PÉNAL</t>
  </si>
  <si>
    <t>JA/AttJ JLD PÉNAL</t>
  </si>
  <si>
    <t>Autour du magistratAtt. J Parquet</t>
  </si>
  <si>
    <t>ATTACHÉ DE JUSTICE Parquet</t>
  </si>
  <si>
    <t>Att. J Parquet</t>
  </si>
  <si>
    <t>JA/AttJ Parquet</t>
  </si>
  <si>
    <t>Autour du magistratAtt. J Siege Assises</t>
  </si>
  <si>
    <t>ATTACHÉ DE JUSTICE SIEGE ASSISES</t>
  </si>
  <si>
    <t>Att. J Siege Assises</t>
  </si>
  <si>
    <t>JA/AttJ Siege Assises</t>
  </si>
  <si>
    <t>Autour du magistratAtt. J Siege CCD</t>
  </si>
  <si>
    <t>ATTACHÉ DE JUSTICE SIEGE CCD</t>
  </si>
  <si>
    <t>Att. J Siege CCD</t>
  </si>
  <si>
    <t>JA/AttJ Siege CCD</t>
  </si>
  <si>
    <t>Autour du magistratAtt. J Siège autres</t>
  </si>
  <si>
    <t>ATTACHÉ DE JUSTICE JA Siège autres</t>
  </si>
  <si>
    <t>JA/AttJ Siège autres</t>
  </si>
  <si>
    <t>Autour du magistratAtt. J Social</t>
  </si>
  <si>
    <t>ATTACHÉ DE JUSTICE pôle Social</t>
  </si>
  <si>
    <t>Att. J Social</t>
  </si>
  <si>
    <t>JA/AttJ Social</t>
  </si>
  <si>
    <t>Autour du magistratCMISSION</t>
  </si>
  <si>
    <t>CHARGE DE MISSION</t>
  </si>
  <si>
    <t>CMISSION</t>
  </si>
  <si>
    <t>Autour du magistratAS</t>
  </si>
  <si>
    <t>ASSISTANT SPECIALISE</t>
  </si>
  <si>
    <t>AS</t>
  </si>
  <si>
    <t>Autour du magistratJA JAP</t>
  </si>
  <si>
    <t>JURISTE ASSISTANT JAP</t>
  </si>
  <si>
    <t>JA JAP</t>
  </si>
  <si>
    <t>Autour du magistratJA JE</t>
  </si>
  <si>
    <t>JURISTE ASSISTANT JE</t>
  </si>
  <si>
    <t>JA JE</t>
  </si>
  <si>
    <t>Autour du magistratJA JI</t>
  </si>
  <si>
    <t>JURISTE ASSISTANT JI</t>
  </si>
  <si>
    <t>JA JI</t>
  </si>
  <si>
    <t>Autour du magistratJA JLD</t>
  </si>
  <si>
    <t>JURISTE ASSISTANT JLD</t>
  </si>
  <si>
    <t>JA JLD</t>
  </si>
  <si>
    <t>JA/AttJ JLD</t>
  </si>
  <si>
    <t>Autour du magistratJA Parquet</t>
  </si>
  <si>
    <t>JURISTE ASSISTANT Parquet</t>
  </si>
  <si>
    <t>JA Parquet</t>
  </si>
  <si>
    <t>Autour du magistratJA Siège autres</t>
  </si>
  <si>
    <t>JURISTE ASSISTANT JA Siège autres</t>
  </si>
  <si>
    <t>Autour du magistratJA Social</t>
  </si>
  <si>
    <t>JURISTE ASSISTANT pôle Social</t>
  </si>
  <si>
    <t>JA Social</t>
  </si>
  <si>
    <t>Autour du magistratAtt. J</t>
  </si>
  <si>
    <t>ATTACHÉ DE JUSTICE</t>
  </si>
  <si>
    <t>Autour du magistratCONT A JP Parquet</t>
  </si>
  <si>
    <t>Autour du magistratCONT A JP Siège</t>
  </si>
  <si>
    <t>Autour du magistratJA</t>
  </si>
  <si>
    <t>JURISTE ASSISTANT</t>
  </si>
  <si>
    <t>Autour du magistratADJ</t>
  </si>
  <si>
    <t>ASSISTANT DE JUSTICE</t>
  </si>
  <si>
    <t>Autour du magistratCONT A JP</t>
  </si>
  <si>
    <t>Autour du magistratCONT B JP</t>
  </si>
  <si>
    <t>Autour du magistratCONT C JP</t>
  </si>
  <si>
    <t>Autour du magistratPPI</t>
  </si>
  <si>
    <t>ELEVE AVOCAT</t>
  </si>
  <si>
    <t>PPI</t>
  </si>
  <si>
    <t>Nom/Prénom/Matricule</t>
  </si>
  <si>
    <t>Date de début du segment</t>
  </si>
  <si>
    <t>Date de fin du segment</t>
  </si>
  <si>
    <t>Nombre jour ouvré sur période total extaction</t>
  </si>
  <si>
    <t>Nombre jour ouvré segment</t>
  </si>
  <si>
    <t xml:space="preserve">Ratio Jour : 
Nb jour ouvré segment /
Nb jour ouvré total </t>
  </si>
  <si>
    <t>Temps de travail en ETPT saisie</t>
  </si>
  <si>
    <t>Valeur de l'ETPT sur période total d'extraction (ETPT saisi x Ratio Jour)</t>
  </si>
  <si>
    <t>Indisponibilité saisie</t>
  </si>
  <si>
    <t>Valeur de l'indisponibilité sur la période total d'extraction (Indisponibilité saisie en%/100 x Ratio Jour)</t>
  </si>
  <si>
    <t>Nb jour ouvré CET sur toute la période d'extraction</t>
  </si>
  <si>
    <t>Valeur de l'absentéisme</t>
  </si>
  <si>
    <t>Valeur de l'action 99</t>
  </si>
  <si>
    <t>ETPT effectif sur la période total (ETPT- action 99 + absentéisme) x Ratio Jour</t>
  </si>
  <si>
    <t>ETPT ventilé</t>
  </si>
  <si>
    <t xml:space="preserve">     Détails de la ventilation (arrondi au millième) :</t>
  </si>
  <si>
    <t>dbfb696e12 7c7a55aec2 fc77664c4a</t>
  </si>
  <si>
    <t>6. TOTAL JUGES DES ENFANTS =&gt; 0.91 · 7. TOTAL SIÈGE PÉNAL =&gt; 0.02 · 11. TOTAL AUTRES ACTIVITÉS =&gt; 0.07</t>
  </si>
  <si>
    <t>2025-12-12</t>
  </si>
  <si>
    <t>4ab0803d13 d75a73cc85 ff63c87f0e</t>
  </si>
  <si>
    <t>4. TOTAL CIVIL NON SPÉCIALISÉ =&gt; 0.8 · 11. TOTAL AUTRES ACTIVITÉS =&gt; 0.2</t>
  </si>
  <si>
    <t>952cd11ac8 923005a618 0af1996bc9</t>
  </si>
  <si>
    <t>4. TOTAL CIVIL NON SPÉCIALISÉ =&gt; 0.835 · 7. TOTAL SIÈGE PÉNAL =&gt; 0.03 · 10. TOTAL JLD PÉNAL =&gt; 0.05 · 11. TOTAL AUTRES ACTIVITÉS =&gt; 0.085</t>
  </si>
  <si>
    <t>4. TOTAL CIVIL NON SPÉCIALISÉ =&gt; 0.835 · 10. TOTAL JLD PÉNAL =&gt; 0.05 · 7. TOTAL SIÈGE PÉNAL =&gt; 0.03 · 11. TOTAL AUTRES ACTIVITÉS =&gt; 0.085</t>
  </si>
  <si>
    <t>cacb09b360 d430e6ab82 106475e6a4</t>
  </si>
  <si>
    <t>7. TOTAL SIÈGE PÉNAL =&gt; 0.025 · 8. TOTAL JUGES D'INSTRUCTION =&gt; 0.93 · 11. TOTAL AUTRES ACTIVITÉS =&gt; 0.045</t>
  </si>
  <si>
    <t>8. TOTAL JUGES D'INSTRUCTION =&gt; 0.93 · 7. TOTAL SIÈGE PÉNAL =&gt; 0.025 · 11. TOTAL AUTRES ACTIVITÉS =&gt; 0.045</t>
  </si>
  <si>
    <t>c51311297e b91278f925 91bf04212f</t>
  </si>
  <si>
    <t>7. TOTAL SIÈGE PÉNAL =&gt; 0 · 11. TOTAL AUTRES ACTIVITÉS =&gt; 0</t>
  </si>
  <si>
    <t>c8224cbcd8 f9873e3f5d 52251ef6fe</t>
  </si>
  <si>
    <t>1d09767268 aa03ffdb1b 6a4e4b3e0d</t>
  </si>
  <si>
    <t>7c50bf294a e874318cf8 43f3f28fd5</t>
  </si>
  <si>
    <t>1. TOTAL CONTENTIEUX SOCIAL =&gt; 0.483 · 1.1. DÉPARTAGE PRUD'HOMAL =&gt; 0.4 · 1.4. AUTRES CONTENTIEUX SOCIAUX =&gt; 0.083 · 11. TOTAL AUTRES ACTIVITÉS =&gt; 0.317 · 11.1. SOUTIEN (HORS FORMATIONS SUIVIES) =&gt; 0.08 · 11.51. ACCUEIL DU JUSTICIABLE (DONT SAUJ) =&gt; 0.237</t>
  </si>
  <si>
    <t>1. TOTAL CONTENTIEUX SOCIAL =&gt; 0.297 · 1.1. DÉPARTAGE PRUD'HOMAL =&gt; 0.297 · 11. TOTAL AUTRES ACTIVITÉS =&gt; 0.297 · 11.1. SOUTIEN (HORS FORMATIONS SUIVIES) =&gt; 0.059 · 11.51. ACCUEIL DU JUSTICIABLE (DONT SAUJ) =&gt; 0.237</t>
  </si>
  <si>
    <t>1. TOTAL CONTENTIEUX SOCIAL =&gt; 0.186 · 1.1. DÉPARTAGE PRUD'HOMAL =&gt; 0.103 · 1.4. AUTRES CONTENTIEUX SOCIAUX =&gt; 0.083 · 11. TOTAL AUTRES ACTIVITÉS =&gt; 0.021 · 11.1. SOUTIEN (HORS FORMATIONS SUIVIES) =&gt; 0.021</t>
  </si>
  <si>
    <t>3e7b1adbd8 04f1e2f7d2 f25265de10</t>
  </si>
  <si>
    <t>7. TOTAL SIÈGE PÉNAL =&gt; 1 · 7.52. COUR CRIMINELLE =&gt; 1</t>
  </si>
  <si>
    <t>db2055c2ad 41fa4aa2bd 5e60c3e2d6</t>
  </si>
  <si>
    <t>11. TOTAL AUTRES ACTIVITÉS =&gt; 1 · 11.4. ACCÈS AU DROIT ET À LA JUSTICE =&gt; 1</t>
  </si>
  <si>
    <t>5d0cfe029a 2e7e0d5303 102c646df3</t>
  </si>
  <si>
    <t>11. TOTAL AUTRES ACTIVITÉS =&gt; 1 · 11.1. SOUTIEN (HORS FORMATIONS SUIVIES) =&gt; 0.871 · 11.2. FORMATIONS SUIVIES =&gt; 0.022 · 11.3. FORMATIONS DISPENSÉES =&gt; 0.057 · 11.7. FONCTIONNAIRES AFFECTÉS AU CPH =&gt; 0.05</t>
  </si>
  <si>
    <t>11. TOTAL AUTRES ACTIVITÉS =&gt; 1 · 11.2. FORMATIONS SUIVIES =&gt; 0.022 · 11.3. FORMATIONS DISPENSÉES =&gt; 0.057 · 11.1. SOUTIEN (HORS FORMATIONS SUIVIES) =&gt; 0.871 · 11.7. FONCTIONNAIRES AFFECTÉS AU CPH =&gt; 0.05</t>
  </si>
  <si>
    <t>ad105406a9 46c7606036 9d5c9d4d3d</t>
  </si>
  <si>
    <t>11. TOTAL AUTRES ACTIVITÉS =&gt; 1 · 11.2. FORMATIONS SUIVIES =&gt; 0 · 11.10. AUTRES FONCTIONNAIRES AFFECTÉS AU PARQUET =&gt; 1</t>
  </si>
  <si>
    <t>11.10. AUTRES FONCTIONNAIRES AFFECTÉS AU PARQUET =&gt; 1 · 11. TOTAL AUTRES ACTIVITÉS =&gt; 1 · 11.2. FORMATIONS SUIVIES =&gt; 0</t>
  </si>
  <si>
    <t>881b2c6a91 928eea2848 88efbd4eb6</t>
  </si>
  <si>
    <t>11. TOTAL AUTRES ACTIVITÉS =&gt; 1 · 11.1. SOUTIEN (HORS FORMATIONS SUIVIES) =&gt; 1 · 12.31. CONGÉ MALADIE ORDINAIRE =&gt; 1</t>
  </si>
  <si>
    <t>11. TOTAL AUTRES ACTIVITÉS =&gt; 1 · 11.1. SOUTIEN (HORS FORMATIONS SUIVIES) =&gt; 1 · Congé maladie ordinaire =&gt; 1</t>
  </si>
  <si>
    <t>53982c2eb2 76a45ef753 768cb51a79</t>
  </si>
  <si>
    <t>6. TOTAL JUGES DES ENFANTS =&gt; 1 · 6.2. ACTIVITÉ PÉNALE =&gt; 1</t>
  </si>
  <si>
    <t>66f9839799 6857b4bd95 c062278835</t>
  </si>
  <si>
    <t>026f64aa73 7659b7b58d 02e903b05d</t>
  </si>
  <si>
    <t>283526c3f5 513bf891dd d441ca7414</t>
  </si>
  <si>
    <t>11. TOTAL AUTRES ACTIVITÉS =&gt; 1 · 11.1. SOUTIEN (HORS FORMATIONS SUIVIES) =&gt; 1</t>
  </si>
  <si>
    <t>f4c8d7a570 70ec8299fc 04318d6648</t>
  </si>
  <si>
    <t>4f5d87f348 066d8771ab aecc2fdce3</t>
  </si>
  <si>
    <t>81a6179891 57efc72e52 1762e05ac2</t>
  </si>
  <si>
    <t>245e8bf352 b22eda50e8 915621665d</t>
  </si>
  <si>
    <t>12. TOTAL INDISPONIBILITÉ =&gt; 0.5 · 12.7. AUTRES INDISPONIBILITÉS (ACTION 99) =&gt; 0.5</t>
  </si>
  <si>
    <t>Autres indisponibilités (action 99) =&gt; 0.5 · TOTAL INDISPONIBILITÉS =&gt; 0.5</t>
  </si>
  <si>
    <t>4c34a56545 c18e91cfa3 eeca1ad058</t>
  </si>
  <si>
    <t>11. TOTAL AUTRES ACTIVITÉS =&gt; 1 · 11.51. ACCUEIL DU JUSTICIABLE (DONT SAUJ) =&gt; 1</t>
  </si>
  <si>
    <t>0333e72a57 751da56022 7471199ee9</t>
  </si>
  <si>
    <t>4. TOTAL CIVIL NON SPÉCIALISÉ =&gt; 1</t>
  </si>
  <si>
    <t>3055f67dce f2ddf48aae 4aa065bbbb</t>
  </si>
  <si>
    <t>6. TOTAL JUGES DES ENFANTS =&gt; 1 · 6.1. ACTIVITÉ CIVILE =&gt; 1 · 12.8. AUTRE ABSENTÉISME =&gt; 0.04</t>
  </si>
  <si>
    <t>6. TOTAL JUGES DES ENFANTS =&gt; 0.04 · 6.1. ACTIVITÉ CIVILE =&gt; 0.04 · Autre absentéisme =&gt; 0.04</t>
  </si>
  <si>
    <t>2025-11-30</t>
  </si>
  <si>
    <t>6. TOTAL JUGES DES ENFANTS =&gt; 0.96 · 6.1. ACTIVITÉ CIVILE =&gt; 0.96</t>
  </si>
  <si>
    <t>77f881a2be 611d51ba9a 8f4c1d7f22</t>
  </si>
  <si>
    <t>4. TOTAL CIVIL NON SPÉCIALISÉ =&gt; 0.105</t>
  </si>
  <si>
    <t>18433172e5 f029ff6d26 30ac15c78b</t>
  </si>
  <si>
    <t>7. TOTAL SIÈGE PÉNAL =&gt; 0.3 · 7.4. COMPOSITIONS PÉNALES =&gt; 0.3 · 11. TOTAL AUTRES ACTIVITÉS =&gt; 0.7 · 11.10. AUTRES FONCTIONNAIRES AFFECTÉS AU PARQUET =&gt; 0.7</t>
  </si>
  <si>
    <t>7. TOTAL SIÈGE PÉNAL =&gt; 0.012 · 7.4. COMPOSITIONS PÉNALES =&gt; 0.012 · 11. TOTAL AUTRES ACTIVITÉS =&gt; 0.028 · 11.10. AUTRES FONCTIONNAIRES AFFECTÉS AU PARQUET =&gt; 0.028</t>
  </si>
  <si>
    <t>11.10. AUTRES FONCTIONNAIRES AFFECTÉS AU PARQUET =&gt; 0.672 · 7. TOTAL SIÈGE PÉNAL =&gt; 0.288 · 7.4. COMPOSITIONS PÉNALES =&gt; 0.288 · 11. TOTAL AUTRES ACTIVITÉS =&gt; 0.672</t>
  </si>
  <si>
    <t>e353e10428 085e1e9d3d ce56caf5c1</t>
  </si>
  <si>
    <t>7. TOTAL SIÈGE PÉNAL =&gt; 0.14 · 7.1. COLLÉGIALES HORS JIRS =&gt; 0.1 · 7.14. CI =&gt; 0.03 · 7.5. COUR D'ASSISES HORS JIRS =&gt; 0.01 · 9. TOTAL JAP =&gt; 0.77 · 11. TOTAL AUTRES ACTIVITÉS =&gt; 0.09 · 11.1. SOUTIEN (HORS FORMATIONS SUIVIES) =&gt; 0.066 · 11.2. FORMATIONS SUIVIES =&gt; 0.024</t>
  </si>
  <si>
    <t>9. TOTAL JAP =&gt; 0.77 · 7. TOTAL SIÈGE PÉNAL =&gt; 0.14 · 7.1. COLLÉGIALES HORS JIRS =&gt; 0.1 · 7.14. CI =&gt; 0.03 · 7.5. COUR D'ASSISES HORS JIRS =&gt; 0.01 · 11. TOTAL AUTRES ACTIVITÉS =&gt; 0.09 · 11.1. SOUTIEN (HORS FORMATIONS SUIVIES) =&gt; 0.066 · 11.2. FORMATIONS SUIVIES =&gt; 0.024</t>
  </si>
  <si>
    <t>beaa2d5d2c c4d61af364 4ad6c8b94a</t>
  </si>
  <si>
    <t>11. TOTAL AUTRES ACTIVITÉS =&gt; 1 · 11.10. AUTRES FONCTIONNAIRES AFFECTÉS AU PARQUET =&gt; 1</t>
  </si>
  <si>
    <t>1d7e5f8fbf decad86d30 3e4fbbb140</t>
  </si>
  <si>
    <t>11. TOTAL AUTRES ACTIVITÉS =&gt; 1 · 11.1. SOUTIEN (HORS FORMATIONS SUIVIES) =&gt; 0.1 · 11.7. FONCTIONNAIRES AFFECTÉS AU CPH =&gt; 0.9</t>
  </si>
  <si>
    <t>11.1. SOUTIEN (HORS FORMATIONS SUIVIES) =&gt; 0.1 · 11. TOTAL AUTRES ACTIVITÉS =&gt; 1 · 11.7. FONCTIONNAIRES AFFECTÉS AU CPH =&gt; 0.9</t>
  </si>
  <si>
    <t>a5b1a8ddf1 6a2514f91c 5f855efb1d</t>
  </si>
  <si>
    <t>4. TOTAL CIVIL NON SPÉCIALISÉ =&gt; 0.92 · 4.3. CONTRATS =&gt; 0.25 · 4.4. RESPONSABILITÉ ET QUASI-CONTRATS =&gt; 0.465 · 4.14. JURIDICTION DU PRÉSIDENT =&gt; 0.005 · 4.15. CIVI =&gt; 0.2 · 7. TOTAL SIÈGE PÉNAL =&gt; 0.05 · 7.1. COLLÉGIALES HORS JIRS =&gt; 0.03 · 7.5. COUR D'ASSISES HORS JIRS =&gt; 0.02 · 11. TOTAL AUTRES ACTIVITÉS =&gt; 0.03 · 11.1. SOUTIEN (HORS FORMATIONS SUIVIES) =&gt; 0.01 · 11.2. FORMATIONS SUIVIES =&gt; 0.02 · 12.32. CONGÉ MATERNITÉ/PATERNITÉ/ADOPTION =&gt; 0.218</t>
  </si>
  <si>
    <t>2025-03-18</t>
  </si>
  <si>
    <t>4. TOTAL CIVIL NON SPÉCIALISÉ =&gt; 0.72 · 4.3. CONTRATS =&gt; 0.196 · 4.4. RESPONSABILITÉ ET QUASI-CONTRATS =&gt; 0.364 · 4.14. JURIDICTION DU PRÉSIDENT =&gt; 0.004 · 4.15. CIVI =&gt; 0.156 · 7. TOTAL SIÈGE PÉNAL =&gt; 0.039 · 7.1. COLLÉGIALES HORS JIRS =&gt; 0.023 · 7.5. COUR D'ASSISES HORS JIRS =&gt; 0.016 · 11. TOTAL AUTRES ACTIVITÉS =&gt; 0.023 · 11.1. SOUTIEN (HORS FORMATIONS SUIVIES) =&gt; 0.008 · 11.2. FORMATIONS SUIVIES =&gt; 0.016</t>
  </si>
  <si>
    <t>2025-03-17</t>
  </si>
  <si>
    <t>4. TOTAL CIVIL NON SPÉCIALISÉ =&gt; 0.2 · 4.3. CONTRATS =&gt; 0.054 · 4.4. RESPONSABILITÉ ET QUASI-CONTRATS =&gt; 0.101 · 4.14. JURIDICTION DU PRÉSIDENT =&gt; 0.001 · 4.15. CIVI =&gt; 0.044 · 7. TOTAL SIÈGE PÉNAL =&gt; 0.011 · 7.1. COLLÉGIALES HORS JIRS =&gt; 0.007 · 7.5. COUR D'ASSISES HORS JIRS =&gt; 0.004 · 11. TOTAL AUTRES ACTIVITÉS =&gt; 0.007 · 11.1. SOUTIEN (HORS FORMATIONS SUIVIES) =&gt; 0.002 · 11.2. FORMATIONS SUIVIES =&gt; 0.004 · Congé maternité/paternité/adoption =&gt; 0.218</t>
  </si>
  <si>
    <t>cb27109769 449b64beab 9045a880f1</t>
  </si>
  <si>
    <t>3c2f30263c 29be315d34 25458c5add</t>
  </si>
  <si>
    <t>ac3a42b66c d58ee8228e d30fd77e5a</t>
  </si>
  <si>
    <t>f162bd8b4c c6efdbc3cd 9ab0546c8f</t>
  </si>
  <si>
    <t>404c88bcbc 20073b41ab 866772cd69</t>
  </si>
  <si>
    <t>328a5e18e5 f42d5be397 72c4c5c7d8</t>
  </si>
  <si>
    <t>eea85c9110 d4927ea9ed 2d21110f51</t>
  </si>
  <si>
    <t>7bcede00a5 a34a30a4f7 9a8725bfe1</t>
  </si>
  <si>
    <t>543e30a273 e6ebbef997 5f77a3cd45</t>
  </si>
  <si>
    <t>69989219b3 7612a91e59 17fc259026</t>
  </si>
  <si>
    <t>4. TOTAL CIVIL NON SPÉCIALISÉ =&gt; 0.99 · 4.11. PROPRIÉTÉ LITTÉRAIRE ET ARTISTIQUE =&gt; 0.99 · 11. TOTAL AUTRES ACTIVITÉS =&gt; 0.01 · 11.1. SOUTIEN (HORS FORMATIONS SUIVIES) =&gt; 0.01</t>
  </si>
  <si>
    <t>5058dde9e3 b289dd44bb 7f088acaf9</t>
  </si>
  <si>
    <t>6aab0238c8 4e839b841a 3cbbd427f7</t>
  </si>
  <si>
    <t>fbf07499c3 303bb1bbf5 98c70bcb61</t>
  </si>
  <si>
    <t>3. TOTAL CONTENTIEUX DE LA PROTECTION =&gt; 0.484 · 3.43. INJONCTIONS DE PAYER =&gt; 0.484</t>
  </si>
  <si>
    <t>2025-01-11</t>
  </si>
  <si>
    <t>2025-01-10</t>
  </si>
  <si>
    <t>d1914eb043 2d598b0c0c 05202ea470</t>
  </si>
  <si>
    <t>7. TOTAL SIÈGE PÉNAL =&gt; 0.065 · 7.1. COLLÉGIALES HORS JIRS =&gt; 0.006 · 7.14. CI =&gt; 0.03 · 7.5. COUR D'ASSISES HORS JIRS =&gt; 0.01 · 7.52. COUR CRIMINELLE =&gt; 0.019 · 9. TOTAL JAP =&gt; 0.887 · 11. TOTAL AUTRES ACTIVITÉS =&gt; 0.048 · 11.2. FORMATIONS SUIVIES =&gt; 0.024 · 11.6. AUTRES ACTIVITÉS NON JURIDICTIONNELLES =&gt; 0.024</t>
  </si>
  <si>
    <t>7.1. COLLÉGIALES HORS JIRS =&gt; 0.006 · 7.14. CI =&gt; 0.03 · 7.5. COUR D'ASSISES HORS JIRS =&gt; 0.01 · 11.2. FORMATIONS SUIVIES =&gt; 0.024 · 11. TOTAL AUTRES ACTIVITÉS =&gt; 0.048 · 7. TOTAL SIÈGE PÉNAL =&gt; 0.065 · 7.52. COUR CRIMINELLE =&gt; 0.019 · 9. TOTAL JAP =&gt; 0.887 · 11.6. AUTRES ACTIVITÉS NON JURIDICTIONNELLES =&gt; 0.024</t>
  </si>
  <si>
    <t>a0021c41a5 6e654ef66e c0ce3c10cf</t>
  </si>
  <si>
    <t>11. TOTAL AUTRES ACTIVITÉS =&gt; 1 · 11.7. FONCTIONNAIRES AFFECTÉS AU CPH =&gt; 1</t>
  </si>
  <si>
    <t>58b38cdb51 ba93aa4947 292d4d6a0a</t>
  </si>
  <si>
    <t>7. TOTAL SIÈGE PÉNAL =&gt; 0.05 · 9. TOTAL JAP =&gt; 0.8 · 11. TOTAL AUTRES ACTIVITÉS =&gt; 0.15 · 11.1. SOUTIEN (HORS FORMATIONS SUIVIES) =&gt; 0.125 · 11.2. FORMATIONS SUIVIES =&gt; 0.025</t>
  </si>
  <si>
    <t>11.2. FORMATIONS SUIVIES =&gt; 0.025 · 11. TOTAL AUTRES ACTIVITÉS =&gt; 0.15 · 11.1. SOUTIEN (HORS FORMATIONS SUIVIES) =&gt; 0.125 · 7. TOTAL SIÈGE PÉNAL =&gt; 0.05 · 9. TOTAL JAP =&gt; 0.8</t>
  </si>
  <si>
    <t>ac93fbbafe 60d0f509c6 2bb7e4e6e4</t>
  </si>
  <si>
    <t>a8bb0514da 8f143d78ca 5e0230c7b0</t>
  </si>
  <si>
    <t>7. TOTAL SIÈGE PÉNAL =&gt; 0.8</t>
  </si>
  <si>
    <t>c668d0f1a8 13413720b9 85337b4182</t>
  </si>
  <si>
    <t>5e597e659c 240d09387a 53f54df230</t>
  </si>
  <si>
    <t>11. TOTAL AUTRES ACTIVITÉS =&gt; 0.988 · 11.4. ACCÈS AU DROIT ET À LA JUSTICE =&gt; 0.988 · 12. TOTAL INDISPONIBILITÉ =&gt; 0.012 · 12.6. AUTORISATION SPÉCIALE D'ABSENCE =&gt; 0.052 · 12.8. AUTRE ABSENTÉISME =&gt; 0.008 · 12.7. AUTRES INDISPONIBILITÉS (ACTION 99) =&gt; 0.012</t>
  </si>
  <si>
    <t>2025-09-06</t>
  </si>
  <si>
    <t>11. TOTAL AUTRES ACTIVITÉS =&gt; 0.282 · 11.4. ACCÈS AU DROIT ET À LA JUSTICE =&gt; 0.282</t>
  </si>
  <si>
    <t>2025-09-05</t>
  </si>
  <si>
    <t>11. TOTAL AUTRES ACTIVITÉS =&gt; 0.004 · 11.4. ACCÈS AU DROIT ET À LA JUSTICE =&gt; 0.004 · Autorisation spéciale d'absence =&gt; 0.004</t>
  </si>
  <si>
    <t>11. TOTAL AUTRES ACTIVITÉS =&gt; 0.456 · 11.4. ACCÈS AU DROIT ET À LA JUSTICE =&gt; 0.456</t>
  </si>
  <si>
    <t>11. TOTAL AUTRES ACTIVITÉS =&gt; 0.004 · 11.4. ACCÈS AU DROIT ET À LA JUSTICE =&gt; 0.004 · Autre absentéisme =&gt; 0.004</t>
  </si>
  <si>
    <t>2025-03-08</t>
  </si>
  <si>
    <t>2025-03-30</t>
  </si>
  <si>
    <t>11. TOTAL AUTRES ACTIVITÉS =&gt; 0.06 · 11.4. ACCÈS AU DROIT ET À LA JUSTICE =&gt; 0.06</t>
  </si>
  <si>
    <t>2025-03-07</t>
  </si>
  <si>
    <t>11. TOTAL AUTRES ACTIVITÉS =&gt; 0 · 11.4. ACCÈS AU DROIT ET À LA JUSTICE =&gt; 0 · Autres indisponibilités (action 99) =&gt; 0.004 · TOTAL INDISPONIBILITÉS =&gt; 0.004</t>
  </si>
  <si>
    <t>2025-03-04</t>
  </si>
  <si>
    <t>2025-03-06</t>
  </si>
  <si>
    <t>11. TOTAL AUTRES ACTIVITÉS =&gt; 0.012 · 11.4. ACCÈS AU DROIT ET À LA JUSTICE =&gt; 0.012</t>
  </si>
  <si>
    <t>2025-03-03</t>
  </si>
  <si>
    <t>2025-01-29</t>
  </si>
  <si>
    <t>11. TOTAL AUTRES ACTIVITÉS =&gt; 0.093 · 11.4. ACCÈS AU DROIT ET À LA JUSTICE =&gt; 0.093</t>
  </si>
  <si>
    <t>2025-01-28</t>
  </si>
  <si>
    <t>2025-01-21</t>
  </si>
  <si>
    <t>2025-01-27</t>
  </si>
  <si>
    <t>11. TOTAL AUTRES ACTIVITÉS =&gt; 0.02 · 11.4. ACCÈS AU DROIT ET À LA JUSTICE =&gt; 0.02</t>
  </si>
  <si>
    <t>2025-01-20</t>
  </si>
  <si>
    <t>2025-01-13</t>
  </si>
  <si>
    <t>11. TOTAL AUTRES ACTIVITÉS =&gt; 0.02 · 11.4. ACCÈS AU DROIT ET À LA JUSTICE =&gt; 0.02 · Autorisation spéciale d'absence =&gt; 0.02</t>
  </si>
  <si>
    <t>2025-01-06</t>
  </si>
  <si>
    <t>2025-01-02</t>
  </si>
  <si>
    <t>2025-01-03</t>
  </si>
  <si>
    <t>11. TOTAL AUTRES ACTIVITÉS =&gt; 0.008 · 11.4. ACCÈS AU DROIT ET À LA JUSTICE =&gt; 0.008 · Autorisation spéciale d'absence =&gt; 0.008</t>
  </si>
  <si>
    <t>11. TOTAL AUTRES ACTIVITÉS =&gt; 0.004 · 11.4. ACCÈS AU DROIT ET À LA JUSTICE =&gt; 0.004</t>
  </si>
  <si>
    <t>d7e6af35cf c63d485234 1731b9d3b3</t>
  </si>
  <si>
    <t>d69898ab28 62aec91c9b ee77afd79e</t>
  </si>
  <si>
    <t>3. TOTAL CONTENTIEUX DE LA PROTECTION =&gt; 0.349 · 3.44. SAISIE DES RÉMUNÉRATIONS =&gt; 0.349 · 4. TOTAL CIVIL NON SPÉCIALISÉ =&gt; 0.349 · 11. TOTAL AUTRES ACTIVITÉS =&gt; 0.302 · 11.10. AUTRES FONCTIONNAIRES AFFECTÉS AU PARQUET =&gt; 0.302 · 12.31. CONGÉ MALADIE ORDINAIRE =&gt; 0.024</t>
  </si>
  <si>
    <t>11. TOTAL AUTRES ACTIVITÉS =&gt; 0.302 · 11.10. AUTRES FONCTIONNAIRES AFFECTÉS AU PARQUET =&gt; 0.302</t>
  </si>
  <si>
    <t>2025-04-04</t>
  </si>
  <si>
    <t>3. TOTAL CONTENTIEUX DE LA PROTECTION =&gt; 0.214 · 3.44. SAISIE DES RÉMUNÉRATIONS =&gt; 0.214 · 4. TOTAL CIVIL NON SPÉCIALISÉ =&gt; 0.214</t>
  </si>
  <si>
    <t>2025-03-27</t>
  </si>
  <si>
    <t>2025-04-03</t>
  </si>
  <si>
    <t>3. TOTAL CONTENTIEUX DE LA PROTECTION =&gt; 0.012 · 3.44. SAISIE DES RÉMUNÉRATIONS =&gt; 0.012 · 4. TOTAL CIVIL NON SPÉCIALISÉ =&gt; 0.012 · Congé maladie ordinaire =&gt; 0.024</t>
  </si>
  <si>
    <t>2025-03-26</t>
  </si>
  <si>
    <t>3. TOTAL CONTENTIEUX DE LA PROTECTION =&gt; 0.123 · 3.44. SAISIE DES RÉMUNÉRATIONS =&gt; 0.123 · 4. TOTAL CIVIL NON SPÉCIALISÉ =&gt; 0.123</t>
  </si>
  <si>
    <t>ebd381823b 7cf86aed83 601c8f221a</t>
  </si>
  <si>
    <t>196249336e f6ca758a74 a1421aa004</t>
  </si>
  <si>
    <t>10e0c28021 58c67a0711 b49181816c</t>
  </si>
  <si>
    <t>d258129f5e dd48e39df3 900e158ae3</t>
  </si>
  <si>
    <t>073a34534e 0c6a7fb8db ffbe85ca96</t>
  </si>
  <si>
    <t>dcbd85e06c cb2c0d2b10 8e672f4368</t>
  </si>
  <si>
    <t>3. TOTAL CONTENTIEUX DE LA PROTECTION =&gt; 0.02 · 3.44. SAISIE DES RÉMUNÉRATIONS =&gt; 0.02 · 4. TOTAL CIVIL NON SPÉCIALISÉ =&gt; 0.62 · 5. TOTAL JLD CIVIL =&gt; 0.02 · 5.3. AUTRES JLD CIVIL =&gt; 0.02 · 7. TOTAL SIÈGE PÉNAL =&gt; 0.09 · 7.14. CI =&gt; 0.07 · 7.5. COUR D'ASSISES HORS JIRS =&gt; 0.02 · 10. TOTAL JLD PÉNAL =&gt; 0.05 · 10.1. HORS JIRS =&gt; 0.05 · 11. TOTAL AUTRES ACTIVITÉS =&gt; 0.2 · 11.1. SOUTIEN (HORS FORMATIONS SUIVIES) =&gt; 0.18 · 11.2. FORMATIONS SUIVIES =&gt; 0.02</t>
  </si>
  <si>
    <t>86a1d43ee5 7774696147 6e8467b6d2</t>
  </si>
  <si>
    <t>941fae7dbc a5c6e4b415 72548ea0bb</t>
  </si>
  <si>
    <t>09534b0a20 97d5a32221 fb9ab1e44f</t>
  </si>
  <si>
    <t>3e03320715 6784fff1a8 01a29557a0</t>
  </si>
  <si>
    <t>5d79590381 1714e1fad1 6ae15df9b4</t>
  </si>
  <si>
    <t>1. TOTAL CONTENTIEUX SOCIAL =&gt; 1 · 1.2. CONTENTIEUX DE LA PROTECTION SOCIALE =&gt; 1</t>
  </si>
  <si>
    <t>5f2f3e27eb 51b8fdd6a8 1f21bfbeb1</t>
  </si>
  <si>
    <t>1ae7d14d24 ed0e7ed80a 752e545015</t>
  </si>
  <si>
    <t>4. TOTAL CIVIL NON SPÉCIALISÉ =&gt; 0.45 · 4.9. PROCÉDURES COLLECTIVES CIVILES =&gt; 0.1 · 4.12. SUIVI DES EXPERTISES =&gt; 0.03 · 4.14. JURIDICTION DU PRÉSIDENT =&gt; 0.05 · 4.16. RÉFÉRÉS CIVILS =&gt; 0.1 · 4.17. AUTRES CIVIL NS =&gt; 0.17 · 7. TOTAL SIÈGE PÉNAL =&gt; 0.03 · 7.1. COLLÉGIALES HORS JIRS =&gt; 0.03 · 10. TOTAL JLD PÉNAL =&gt; 0.02 · 10.1. HORS JIRS =&gt; 0.02 · 11. TOTAL AUTRES ACTIVITÉS =&gt; 0.5 · 11.1. SOUTIEN (HORS FORMATIONS SUIVIES) =&gt; 0.35 · 11.3. FORMATIONS DISPENSÉES =&gt; 0.05 · 11.4. ACCÈS AU DROIT ET À LA JUSTICE =&gt; 0.1</t>
  </si>
  <si>
    <t>11. TOTAL AUTRES ACTIVITÉS =&gt; 0.5 · 11.1. SOUTIEN (HORS FORMATIONS SUIVIES) =&gt; 0.35 · 11.3. FORMATIONS DISPENSÉES =&gt; 0.05 · 11.4. ACCÈS AU DROIT ET À LA JUSTICE =&gt; 0.1 · 7. TOTAL SIÈGE PÉNAL =&gt; 0.03 · 4.9. PROCÉDURES COLLECTIVES CIVILES =&gt; 0.1 · 4.12. SUIVI DES EXPERTISES =&gt; 0.03 · 4.14. JURIDICTION DU PRÉSIDENT =&gt; 0.05 · 4.16. RÉFÉRÉS CIVILS =&gt; 0.1 · 4.17. AUTRES CIVIL NS =&gt; 0.17 · 7.1. COLLÉGIALES HORS JIRS =&gt; 0.03 · 10. TOTAL JLD PÉNAL =&gt; 0.02 · 10.1. HORS JIRS =&gt; 0.02 · 4. TOTAL CIVIL NON SPÉCIALISÉ =&gt; 0.45</t>
  </si>
  <si>
    <t>886c5d8a79 9682ac9359 ca8364e591</t>
  </si>
  <si>
    <t>2. TOTAL CONTENTIEUX JAF =&gt; 0.25 · 2.1. MARIAGES ET RÉGIMES MATRIMONIAUX =&gt; 0.25 · 4. TOTAL CIVIL NON SPÉCIALISÉ =&gt; 0.75 · 4.7. EXÉCUTION =&gt; 0.5 · 4.16. RÉFÉRÉS CIVILS =&gt; 0.25</t>
  </si>
  <si>
    <t>10ddf7e5c8 18702fa8ab db5ecde0fb</t>
  </si>
  <si>
    <t>9. TOTAL JAP =&gt; 1</t>
  </si>
  <si>
    <t>9. TOTAL JAP =&gt; 0.04</t>
  </si>
  <si>
    <t>9. TOTAL JAP =&gt; 0.96</t>
  </si>
  <si>
    <t>0a63d35355 35928846bf ec4c23fa76</t>
  </si>
  <si>
    <t>11. TOTAL AUTRES ACTIVITÉS =&gt; 1 · 11.9. FONCTIONNAIRES AFFECTÉS À L'EXÉCUTION DES PEINES =&gt; 0.1 · 11.10. AUTRES FONCTIONNAIRES AFFECTÉS AU PARQUET =&gt; 0.9 · 12.31. CONGÉ MALADIE ORDINAIRE =&gt; 0.181</t>
  </si>
  <si>
    <t>2025-06-14</t>
  </si>
  <si>
    <t>11. TOTAL AUTRES ACTIVITÉS =&gt; 0.524 · 11.9. FONCTIONNAIRES AFFECTÉS À L'EXÉCUTION DES PEINES =&gt; 0.052 · 11.10. AUTRES FONCTIONNAIRES AFFECTÉS AU PARQUET =&gt; 0.472</t>
  </si>
  <si>
    <t>2025-05-17</t>
  </si>
  <si>
    <t>2025-06-13</t>
  </si>
  <si>
    <t>11. TOTAL AUTRES ACTIVITÉS =&gt; 0.081 · 11.9. FONCTIONNAIRES AFFECTÉS À L'EXÉCUTION DES PEINES =&gt; 0.008 · 11.10. AUTRES FONCTIONNAIRES AFFECTÉS AU PARQUET =&gt; 0.073 · Congé maladie ordinaire =&gt; 0.081</t>
  </si>
  <si>
    <t>2025-05-01</t>
  </si>
  <si>
    <t>2025-05-16</t>
  </si>
  <si>
    <t>11. TOTAL AUTRES ACTIVITÉS =&gt; 0.048 · 11.9. FONCTIONNAIRES AFFECTÉS À L'EXÉCUTION DES PEINES =&gt; 0.005 · 11.10. AUTRES FONCTIONNAIRES AFFECTÉS AU PARQUET =&gt; 0.044 · Congé maladie ordinaire =&gt; 0.048</t>
  </si>
  <si>
    <t>2025-04-17</t>
  </si>
  <si>
    <t>2025-04-30</t>
  </si>
  <si>
    <t>11. TOTAL AUTRES ACTIVITÉS =&gt; 0.04 · 11.9. FONCTIONNAIRES AFFECTÉS À L'EXÉCUTION DES PEINES =&gt; 0.004 · 11.10. AUTRES FONCTIONNAIRES AFFECTÉS AU PARQUET =&gt; 0.036 · Congé maladie ordinaire =&gt; 0.04</t>
  </si>
  <si>
    <t>2025-01-04</t>
  </si>
  <si>
    <t>2025-04-16</t>
  </si>
  <si>
    <t>11. TOTAL AUTRES ACTIVITÉS =&gt; 0.294 · 11.9. FONCTIONNAIRES AFFECTÉS À L'EXÉCUTION DES PEINES =&gt; 0.029 · 11.10. AUTRES FONCTIONNAIRES AFFECTÉS AU PARQUET =&gt; 0.265</t>
  </si>
  <si>
    <t>11. TOTAL AUTRES ACTIVITÉS =&gt; 0.012 · 11.9. FONCTIONNAIRES AFFECTÉS À L'EXÉCUTION DES PEINES =&gt; 0.001 · 11.10. AUTRES FONCTIONNAIRES AFFECTÉS AU PARQUET =&gt; 0.011 · Congé maladie ordinaire =&gt; 0.012</t>
  </si>
  <si>
    <t>d1bd88d337 d2c18bcafe f1e0a55c48</t>
  </si>
  <si>
    <t>11. TOTAL AUTRES ACTIVITÉS =&gt; 0.857 · 11.1. SOUTIEN (HORS FORMATIONS SUIVIES) =&gt; 0.857 · 12. TOTAL INDISPONIBILITÉ =&gt; 0.121 · 12.31. CONGÉ MALADIE ORDINAIRE =&gt; 0.736 · 12.4. TEMPS PARTIEL THÉRAPEUTIQUE =&gt; 0.121</t>
  </si>
  <si>
    <t>2025-09-22</t>
  </si>
  <si>
    <t>11. TOTAL AUTRES ACTIVITÉS =&gt; 0.121 · 11.1. SOUTIEN (HORS FORMATIONS SUIVIES) =&gt; 0.121 · Temps partiel thérapeutique =&gt; 0.121 · TOTAL INDISPONIBILITÉS =&gt; 0.121</t>
  </si>
  <si>
    <t>2025-07-07</t>
  </si>
  <si>
    <t>2025-09-19</t>
  </si>
  <si>
    <t>11. TOTAL AUTRES ACTIVITÉS =&gt; 0.222 · 11.1. SOUTIEN (HORS FORMATIONS SUIVIES) =&gt; 0.222 · Congé maladie ordinaire =&gt; 0.222</t>
  </si>
  <si>
    <t>2025-05-30</t>
  </si>
  <si>
    <t>2025-07-06</t>
  </si>
  <si>
    <t>11. TOTAL AUTRES ACTIVITÉS =&gt; 0.105 · 11.1. SOUTIEN (HORS FORMATIONS SUIVIES) =&gt; 0.105 · Congé maladie ordinaire =&gt; 0.105</t>
  </si>
  <si>
    <t>2025-04-26</t>
  </si>
  <si>
    <t>2025-05-29</t>
  </si>
  <si>
    <t>11. TOTAL AUTRES ACTIVITÉS =&gt; 0.097 · 11.1. SOUTIEN (HORS FORMATIONS SUIVIES) =&gt; 0.097 · Congé maladie ordinaire =&gt; 0.097</t>
  </si>
  <si>
    <t>2025-02-25</t>
  </si>
  <si>
    <t>2025-04-25</t>
  </si>
  <si>
    <t>11. TOTAL AUTRES ACTIVITÉS =&gt; 0.177 · 11.1. SOUTIEN (HORS FORMATIONS SUIVIES) =&gt; 0.177 · Congé maladie ordinaire =&gt; 0.177</t>
  </si>
  <si>
    <t>2025-01-16</t>
  </si>
  <si>
    <t>2025-02-24</t>
  </si>
  <si>
    <t>11. TOTAL AUTRES ACTIVITÉS =&gt; 0.113 · 11.1. SOUTIEN (HORS FORMATIONS SUIVIES) =&gt; 0.113 · Congé maladie ordinaire =&gt; 0.113</t>
  </si>
  <si>
    <t>2025-01-15</t>
  </si>
  <si>
    <t>11. TOTAL AUTRES ACTIVITÉS =&gt; 0.022 · 11.1. SOUTIEN (HORS FORMATIONS SUIVIES) =&gt; 0.022 · Congé maladie ordinaire =&gt; 0.022</t>
  </si>
  <si>
    <t>ebaa1dbc24 04935aad22 2f39dc5ce0</t>
  </si>
  <si>
    <t>4. TOTAL CIVIL NON SPÉCIALISÉ =&gt; 0.53 · 4.14. JURIDICTION DU PRÉSIDENT =&gt; 0.1 · 4.16. RÉFÉRÉS CIVILS =&gt; 0.43 · 5. TOTAL JLD CIVIL =&gt; 0.02 · 5.2. HO - CONTENTION =&gt; 0.02 · 11. TOTAL AUTRES ACTIVITÉS =&gt; 0.45 · 11.1. SOUTIEN (HORS FORMATIONS SUIVIES) =&gt; 0.45</t>
  </si>
  <si>
    <t>4.14. JURIDICTION DU PRÉSIDENT =&gt; 0.1 · 5.2. HO - CONTENTION =&gt; 0.02 · 11. TOTAL AUTRES ACTIVITÉS =&gt; 0.45 · 11.1. SOUTIEN (HORS FORMATIONS SUIVIES) =&gt; 0.45 · 4. TOTAL CIVIL NON SPÉCIALISÉ =&gt; 0.53 · 4.16. RÉFÉRÉS CIVILS =&gt; 0.43 · 5. TOTAL JLD CIVIL =&gt; 0.02</t>
  </si>
  <si>
    <t>1f87c677a4 8676b9161e 49194ce64b</t>
  </si>
  <si>
    <t>937d66bffb 48f2698269 220edba2cf</t>
  </si>
  <si>
    <t>6365e5ba41 6dbe54f808 055e869e7a</t>
  </si>
  <si>
    <t>11. TOTAL AUTRES ACTIVITÉS =&gt; 1 · 11.9. FONCTIONNAIRES AFFECTÉS À L'EXÉCUTION DES PEINES =&gt; 1</t>
  </si>
  <si>
    <t>f17de6b83c 7bd4f78117 a2c1854350</t>
  </si>
  <si>
    <t>7b8be38b5b 2ba5d1a2b3 f6c372fd25</t>
  </si>
  <si>
    <t>03da8317d7 083397a1d8 888cd1e431</t>
  </si>
  <si>
    <t>a885fedf2a c9fe7eb36d c3057c63e6</t>
  </si>
  <si>
    <t>8ca3440ee6 766b33247e 612e6cd48f</t>
  </si>
  <si>
    <t>11. TOTAL AUTRES ACTIVITÉS =&gt; 0.904 · 11.10. AUTRES FONCTIONNAIRES AFFECTÉS AU PARQUET =&gt; 0.904 · 12.32. CONGÉ MATERNITÉ/PATERNITÉ/ADOPTION =&gt; 0.48</t>
  </si>
  <si>
    <t>11. TOTAL AUTRES ACTIVITÉS =&gt; 0.384 · 11.10. AUTRES FONCTIONNAIRES AFFECTÉS AU PARQUET =&gt; 0.384</t>
  </si>
  <si>
    <t>2025-06-17</t>
  </si>
  <si>
    <t>2025-06-30</t>
  </si>
  <si>
    <t>11. TOTAL AUTRES ACTIVITÉS =&gt; 0.04 · 11.10. AUTRES FONCTIONNAIRES AFFECTÉS AU PARQUET =&gt; 0.04</t>
  </si>
  <si>
    <t>2025-06-16</t>
  </si>
  <si>
    <t>11. TOTAL AUTRES ACTIVITÉS =&gt; 0.48 · 11.10. AUTRES FONCTIONNAIRES AFFECTÉS AU PARQUET =&gt; 0.48 · Congé maternité/paternité/adoption =&gt; 0.48</t>
  </si>
  <si>
    <t>f7948f664b 10db76c23f 4239829d00</t>
  </si>
  <si>
    <t>bbbec5a560 f21e140dff 2cd21154c0</t>
  </si>
  <si>
    <t>576fe13168 45bea7eeb5 c6fe1ed8af</t>
  </si>
  <si>
    <t>af1d0b51ea 88363437c8 a153665c9d</t>
  </si>
  <si>
    <t>e84afba3ff e2689b7e9c ff37cf61e8</t>
  </si>
  <si>
    <t>0c545c98ed 78ea042bc6 715415501b</t>
  </si>
  <si>
    <t>c52bb62c2f 2997766593 eb18df937f</t>
  </si>
  <si>
    <t>ee75901cbe 25568b4efe anonyme</t>
  </si>
  <si>
    <t>df6df7d850 37ce92e2e7 6ba324cf2d</t>
  </si>
  <si>
    <t>4. TOTAL CIVIL NON SPÉCIALISÉ =&gt; 0.638 · 7. TOTAL SIÈGE PÉNAL =&gt; 0.049 · 7.5. COUR D'ASSISES HORS JIRS =&gt; 0.014 · 7.8. AUTRES SIÈGE PÉNAL =&gt; 0.035 · 11. TOTAL AUTRES ACTIVITÉS =&gt; 0.014 · 11.2. FORMATIONS SUIVIES =&gt; 0.014</t>
  </si>
  <si>
    <t>5fcad2a502 02c70db6a9 caff50d8a4</t>
  </si>
  <si>
    <t>2. TOTAL CONTENTIEUX JAF =&gt; 0.91 · 7. TOTAL SIÈGE PÉNAL =&gt; 0.07 · 7.5. COUR D'ASSISES HORS JIRS =&gt; 0.02 · 7.8. AUTRES SIÈGE PÉNAL =&gt; 0.05 · 11. TOTAL AUTRES ACTIVITÉS =&gt; 0.02 · 11.2. FORMATIONS SUIVIES =&gt; 0.02</t>
  </si>
  <si>
    <t>1aad6b04ae b1d5c281f1 765516b676</t>
  </si>
  <si>
    <t>7. TOTAL SIÈGE PÉNAL =&gt; 0.98 · 7.5. COUR D'ASSISES HORS JIRS =&gt; 0.02 · 7.12. COLLÉGIALES JIRS CRIM-ORG =&gt; 0.91 · 7.8. AUTRES SIÈGE PÉNAL =&gt; 0.05 · 11. TOTAL AUTRES ACTIVITÉS =&gt; 0.02 · 11.2. FORMATIONS SUIVIES =&gt; 0.02</t>
  </si>
  <si>
    <t>7. TOTAL SIÈGE PÉNAL =&gt; 0.98 · 7.8. AUTRES SIÈGE PÉNAL =&gt; 0.05 · 11.2. FORMATIONS SUIVIES =&gt; 0.02 · 11. TOTAL AUTRES ACTIVITÉS =&gt; 0.02 · 7.5. COUR D'ASSISES HORS JIRS =&gt; 0.02 · 7.12. COLLÉGIALES JIRS CRIM-ORG =&gt; 0.91</t>
  </si>
  <si>
    <t>5cd9e52efb 8a951ed9aa 49169ce048</t>
  </si>
  <si>
    <t>7. TOTAL SIÈGE PÉNAL =&gt; 0.07 · 7.5. COUR D'ASSISES HORS JIRS =&gt; 0.02 · 7.8. AUTRES SIÈGE PÉNAL =&gt; 0.05 · 8. TOTAL JUGES D'INSTRUCTION =&gt; 0.91 · 8.1. SERVICE GÉNÉRAL =&gt; 0.91 · 11. TOTAL AUTRES ACTIVITÉS =&gt; 0.02 · 11.2. FORMATIONS SUIVIES =&gt; 0.02</t>
  </si>
  <si>
    <t>f8ef4ee7f9 53b8cd14be 9fda9bc2dd</t>
  </si>
  <si>
    <t>4. TOTAL CIVIL NON SPÉCIALISÉ =&gt; 0.91 · 7. TOTAL SIÈGE PÉNAL =&gt; 0.07 · 7.5. COUR D'ASSISES HORS JIRS =&gt; 0.02 · 7.8. AUTRES SIÈGE PÉNAL =&gt; 0.05 · 11. TOTAL AUTRES ACTIVITÉS =&gt; 0.02 · 11.2. FORMATIONS SUIVIES =&gt; 0.02</t>
  </si>
  <si>
    <t>1c815c5d29 a33e62699c 4e0f969c44</t>
  </si>
  <si>
    <t>3026299450 40df7170bd e706790aba</t>
  </si>
  <si>
    <t>1fb97cdce3 17fdf4d8f1 a1b2a943d8</t>
  </si>
  <si>
    <t>ffaf13d573 e1ade5ae4a 61836da9f1</t>
  </si>
  <si>
    <t>dad2e6d655 a6e1d46369 ad38368495</t>
  </si>
  <si>
    <t>19ba35b74b 3b64262030 fd01ccf997</t>
  </si>
  <si>
    <t>50b47c1897 72cb633bfc 8deeb5a2e7</t>
  </si>
  <si>
    <t>fbd2342144 1d4c49c67d 4b5677c0e7</t>
  </si>
  <si>
    <t>11. TOTAL AUTRES ACTIVITÉS =&gt; 0.8 · 11.1. SOUTIEN (HORS FORMATIONS SUIVIES) =&gt; 0.8</t>
  </si>
  <si>
    <t>a408bc78c1 44eed80dcf d99120ec47</t>
  </si>
  <si>
    <t>3. TOTAL CONTENTIEUX DE LA PROTECTION =&gt; 0.4 · 3.2. PROTECTION DES MAJEURS =&gt; 0.2 · 3.3. SURENDETTEMENT DES PARTICULIERS =&gt; 0.2 · 4. TOTAL CIVIL NON SPÉCIALISÉ =&gt; 0.15 · 4.1. DROIT DES PERSONNES =&gt; 0.1 · 4.17. AUTRES CIVIL NS =&gt; 0.05 · 11. TOTAL AUTRES ACTIVITÉS =&gt; 0.45 · 11.1. SOUTIEN (HORS FORMATIONS SUIVIES) =&gt; 0.45</t>
  </si>
  <si>
    <t>2453821778 65b1c8035f 08501f25b7</t>
  </si>
  <si>
    <t>7. TOTAL SIÈGE PÉNAL =&gt; 0.05 · 9. TOTAL JAP =&gt; 0.91 · 11. TOTAL AUTRES ACTIVITÉS =&gt; 0.04 · 11.2. FORMATIONS SUIVIES =&gt; 0.02 · 11.3. FORMATIONS DISPENSÉES =&gt; 0.02 · 12.32. CONGÉ MATERNITÉ/PATERNITÉ/ADOPTION =&gt; 0.032</t>
  </si>
  <si>
    <t>7. TOTAL SIÈGE PÉNAL =&gt; 0.048 · 11.3. FORMATIONS DISPENSÉES =&gt; 0.019 · 9. TOTAL JAP =&gt; 0.881 · 11. TOTAL AUTRES ACTIVITÉS =&gt; 0.039 · 11.2. FORMATIONS SUIVIES =&gt; 0.019</t>
  </si>
  <si>
    <t>7. TOTAL SIÈGE PÉNAL =&gt; 0.002 · 9. TOTAL JAP =&gt; 0.029 · 11. TOTAL AUTRES ACTIVITÉS =&gt; 0.001 · 11.2. FORMATIONS SUIVIES =&gt; 0.001 · 11.3. FORMATIONS DISPENSÉES =&gt; 0.001 · Congé maternité/paternité/adoption =&gt; 0.032</t>
  </si>
  <si>
    <t>28eb63f220 d5fb583998 79b434438d</t>
  </si>
  <si>
    <t>3. TOTAL CONTENTIEUX DE LA PROTECTION =&gt; 0.8 · 3.44. SAISIE DES RÉMUNÉRATIONS =&gt; 0.8</t>
  </si>
  <si>
    <t>20ac575b67 3d87654ada b020eea843</t>
  </si>
  <si>
    <t>1. TOTAL CONTENTIEUX SOCIAL =&gt; 0.3 · 4. TOTAL CIVIL NON SPÉCIALISÉ =&gt; 0.7 · 4.3. CONTRATS =&gt; 0.3 · 4.16. RÉFÉRÉS CIVILS =&gt; 0.4 · 12.31. CONGÉ MALADIE ORDINAIRE =&gt; 0.06</t>
  </si>
  <si>
    <t>2025-10-11</t>
  </si>
  <si>
    <t>1. TOTAL CONTENTIEUX SOCIAL =&gt; 0.054 · 4. TOTAL CIVIL NON SPÉCIALISÉ =&gt; 0.127 · 4.3. CONTRATS =&gt; 0.054 · 4.16. RÉFÉRÉS CIVILS =&gt; 0.073</t>
  </si>
  <si>
    <t>2025-10-10</t>
  </si>
  <si>
    <t>1. TOTAL CONTENTIEUX SOCIAL =&gt; 0.018 · 4. TOTAL CIVIL NON SPÉCIALISÉ =&gt; 0.042 · 4.3. CONTRATS =&gt; 0.018 · 4.16. RÉFÉRÉS CIVILS =&gt; 0.024 · Congé maladie ordinaire =&gt; 0.06</t>
  </si>
  <si>
    <t>2025-09-21</t>
  </si>
  <si>
    <t>1. TOTAL CONTENTIEUX SOCIAL =&gt; 0.227 · 4. TOTAL CIVIL NON SPÉCIALISÉ =&gt; 0.531 · 4.3. CONTRATS =&gt; 0.227 · 4.16. RÉFÉRÉS CIVILS =&gt; 0.303</t>
  </si>
  <si>
    <t>522700809b 09b9393747 9b3aee73a4</t>
  </si>
  <si>
    <t>4. TOTAL CIVIL NON SPÉCIALISÉ =&gt; 1 · 4.141. INTÉRÊTS CIVILS =&gt; 0.65 · 4.15. CIVI =&gt; 0.25 · 4.17. AUTRES CIVIL NS =&gt; 0.1</t>
  </si>
  <si>
    <t>45e759235b 05d2b0e300 e307915e9c</t>
  </si>
  <si>
    <t>6. TOTAL JUGES DES ENFANTS =&gt; 1 · 6.1. ACTIVITÉ CIVILE =&gt; 0.6 · 6.2. ACTIVITÉ PÉNALE =&gt; 0.4</t>
  </si>
  <si>
    <t>a35ec4afaf 73770f912f 494523ec29</t>
  </si>
  <si>
    <t>ae71f27da7 97d4392eaf fcab73ca8d</t>
  </si>
  <si>
    <t>3. TOTAL CONTENTIEUX DE LA PROTECTION =&gt; 0.628 · 3.3. SURENDETTEMENT DES PARTICULIERS =&gt; 0.174 · 3.44. SAISIE DES RÉMUNÉRATIONS =&gt; 0.105 · 3.6. AUTRES CONTENTIEUX DE LA PROTECTION =&gt; 0.349 · 9. TOTAL JAP =&gt; 0.272 · 11. TOTAL AUTRES ACTIVITÉS =&gt; 0.1 · 11.1. SOUTIEN (HORS FORMATIONS SUIVIES) =&gt; 0.1</t>
  </si>
  <si>
    <t>9. TOTAL JAP =&gt; 0.272 · 11. TOTAL AUTRES ACTIVITÉS =&gt; 0.03 · 11.1. SOUTIEN (HORS FORMATIONS SUIVIES) =&gt; 0.03</t>
  </si>
  <si>
    <t>3. TOTAL CONTENTIEUX DE LA PROTECTION =&gt; 0.628 · 3.3. SURENDETTEMENT DES PARTICULIERS =&gt; 0.174 · 3.44. SAISIE DES RÉMUNÉRATIONS =&gt; 0.105 · 3.6. AUTRES CONTENTIEUX DE LA PROTECTION =&gt; 0.349 · 11. TOTAL AUTRES ACTIVITÉS =&gt; 0.07 · 11.1. SOUTIEN (HORS FORMATIONS SUIVIES) =&gt; 0.07</t>
  </si>
  <si>
    <t>6fd70b0f9d 958691d2dc 2f9e86b1e0</t>
  </si>
  <si>
    <t>11. TOTAL AUTRES ACTIVITÉS =&gt; 0.083 · 11.2. FORMATIONS SUIVIES =&gt; 0.003 · 11.51. ACCUEIL DU JUSTICIABLE (DONT SAUJ) =&gt; 0.08</t>
  </si>
  <si>
    <t>undefined =&gt; 0.717 · undefined =&gt; 0.717 · 11. TOTAL AUTRES ACTIVITÉS =&gt; 0.083 · 11.2. FORMATIONS SUIVIES =&gt; 0.003 · 11.51. ACCUEIL DU JUSTICIABLE (DONT SAUJ) =&gt; 0.08</t>
  </si>
  <si>
    <t>d20d016baf 5f37b55220 aa15549185</t>
  </si>
  <si>
    <t>6. TOTAL JUGES DES ENFANTS =&gt; 0.627 · 6.1. ACTIVITÉ CIVILE =&gt; 0.501 · 6.2. ACTIVITÉ PÉNALE =&gt; 0.126 · 7. TOTAL SIÈGE PÉNAL =&gt; 0.014 · 7.5. COUR D'ASSISES HORS JIRS =&gt; 0.014 · 10. TOTAL JLD PÉNAL =&gt; 0.025 · 11. TOTAL AUTRES ACTIVITÉS =&gt; 0.035 · 11.1. SOUTIEN (HORS FORMATIONS SUIVIES) =&gt; 0.035</t>
  </si>
  <si>
    <t>11. TOTAL AUTRES ACTIVITÉS =&gt; 0.035 · 11.1. SOUTIEN (HORS FORMATIONS SUIVIES) =&gt; 0.035 · 6. TOTAL JUGES DES ENFANTS =&gt; 0.627 · 6.1. ACTIVITÉ CIVILE =&gt; 0.501 · 6.2. ACTIVITÉ PÉNALE =&gt; 0.126 · 7. TOTAL SIÈGE PÉNAL =&gt; 0.014 · 7.5. COUR D'ASSISES HORS JIRS =&gt; 0.014 · 10. TOTAL JLD PÉNAL =&gt; 0.025</t>
  </si>
  <si>
    <t>fb113a4604 d759d0117e 0cee7e889b</t>
  </si>
  <si>
    <t>5. TOTAL JLD CIVIL =&gt; 0.317 · 5.1. RÉTENTION DES ÉTRANGERS =&gt; 0.228 · 5.2. HO - CONTENTION =&gt; 0.089 · 7. TOTAL SIÈGE PÉNAL =&gt; 0.072 · 7.13. JUGE UNIQUE =&gt; 0.053 · 7.5. COUR D'ASSISES HORS JIRS =&gt; 0.019 · 10. TOTAL JLD PÉNAL =&gt; 0.382 · 11. TOTAL AUTRES ACTIVITÉS =&gt; 0.229 · 11.1. SOUTIEN (HORS FORMATIONS SUIVIES) =&gt; 0.2 · 11.2. FORMATIONS SUIVIES =&gt; 0.029</t>
  </si>
  <si>
    <t>11.2. FORMATIONS SUIVIES =&gt; 0.029 · 7.5. COUR D'ASSISES HORS JIRS =&gt; 0.019 · 5. TOTAL JLD CIVIL =&gt; 0.317 · 5.1. RÉTENTION DES ÉTRANGERS =&gt; 0.228 · 5.2. HO - CONTENTION =&gt; 0.089 · 7. TOTAL SIÈGE PÉNAL =&gt; 0.072 · 7.13. JUGE UNIQUE =&gt; 0.053 · 10. TOTAL JLD PÉNAL =&gt; 0.382 · 11. TOTAL AUTRES ACTIVITÉS =&gt; 0.229 · 11.1. SOUTIEN (HORS FORMATIONS SUIVIES) =&gt; 0.2</t>
  </si>
  <si>
    <t>239b110956 6988ee0dfc 7863ddd0f1</t>
  </si>
  <si>
    <t>3. TOTAL CONTENTIEUX DE LA PROTECTION =&gt; 0.516 · 3.2. PROTECTION DES MAJEURS =&gt; 0.345 · 3.43. INJONCTIONS DE PAYER =&gt; 0.171</t>
  </si>
  <si>
    <t>3. TOTAL CONTENTIEUX DE LA PROTECTION =&gt; 0.343 · 3.2. PROTECTION DES MAJEURS =&gt; 0.171 · 3.43. INJONCTIONS DE PAYER =&gt; 0.171</t>
  </si>
  <si>
    <t>3. TOTAL CONTENTIEUX DE LA PROTECTION =&gt; 0.173 · 3.2. PROTECTION DES MAJEURS =&gt; 0.173</t>
  </si>
  <si>
    <t>7fe595dc36 11851c562f 57ffe31efa</t>
  </si>
  <si>
    <t>6. TOTAL JUGES DES ENFANTS =&gt; 1 · 6.1. ACTIVITÉ CIVILE =&gt; 0.65 · 6.2. ACTIVITÉ PÉNALE =&gt; 0.35</t>
  </si>
  <si>
    <t>9263c8494a 4968474212 db2b7b57ad</t>
  </si>
  <si>
    <t>4020f59b42 62e53ca5e3 71597fb6a0</t>
  </si>
  <si>
    <t>5. TOTAL JLD CIVIL =&gt; 0.241 · 7. TOTAL SIÈGE PÉNAL =&gt; 0.017 · 8. TOTAL JUGES D'INSTRUCTION =&gt; 0.5 · 10. TOTAL JLD PÉNAL =&gt; 0.241</t>
  </si>
  <si>
    <t>5. TOTAL JLD CIVIL =&gt; 0.207 · 8. TOTAL JUGES D'INSTRUCTION =&gt; 0.413 · 10. TOTAL JLD PÉNAL =&gt; 0.207</t>
  </si>
  <si>
    <t>10. TOTAL JLD PÉNAL =&gt; 0.035 · 8. TOTAL JUGES D'INSTRUCTION =&gt; 0.087 · 5. TOTAL JLD CIVIL =&gt; 0.035 · 7. TOTAL SIÈGE PÉNAL =&gt; 0.017</t>
  </si>
  <si>
    <t>575d68fe07 a8979fafe1 264920fe14</t>
  </si>
  <si>
    <t>11. TOTAL AUTRES ACTIVITÉS =&gt; 1 · 11.1. SOUTIEN (HORS FORMATIONS SUIVIES) =&gt; 1 · 12.8. AUTRE ABSENTÉISME =&gt; 0.02</t>
  </si>
  <si>
    <t>2025-12-08</t>
  </si>
  <si>
    <t>11. TOTAL AUTRES ACTIVITÉS =&gt; 0.02 · 11.1. SOUTIEN (HORS FORMATIONS SUIVIES) =&gt; 0.02 · Autre absentéisme =&gt; 0.02</t>
  </si>
  <si>
    <t>2025-12-07</t>
  </si>
  <si>
    <t>11. TOTAL AUTRES ACTIVITÉS =&gt; 0.98 · 11.1. SOUTIEN (HORS FORMATIONS SUIVIES) =&gt; 0.98</t>
  </si>
  <si>
    <t>082c9a8948 347d0ea765 b83584c54c</t>
  </si>
  <si>
    <t>8. TOTAL JUGES D'INSTRUCTION =&gt; 0.98 · 8.3. JIRS CRIM-ORG =&gt; 0.98 · 11. TOTAL AUTRES ACTIVITÉS =&gt; 0.02 · 11.1. SOUTIEN (HORS FORMATIONS SUIVIES) =&gt; 0.02</t>
  </si>
  <si>
    <t>11. TOTAL AUTRES ACTIVITÉS =&gt; 0.02 · 11.1. SOUTIEN (HORS FORMATIONS SUIVIES) =&gt; 0.02 · 8. TOTAL JUGES D'INSTRUCTION =&gt; 0.98 · 8.3. JIRS CRIM-ORG =&gt; 0.98</t>
  </si>
  <si>
    <t>dd77128f5a 569f4c0133 32c6828cb7</t>
  </si>
  <si>
    <t>fc2e709350 e3262b798b e31bc7f35a</t>
  </si>
  <si>
    <t>5. TOTAL JLD CIVIL =&gt; 0.275 · 10. TOTAL JLD PÉNAL =&gt; 0.64 · 11. TOTAL AUTRES ACTIVITÉS =&gt; 0.085 · 11.1. SOUTIEN (HORS FORMATIONS SUIVIES) =&gt; 0.085</t>
  </si>
  <si>
    <t>5ec04119f2 0d03dfd322 b6b76332a4</t>
  </si>
  <si>
    <t>11. TOTAL AUTRES ACTIVITÉS =&gt; 0.702 · 11.10. AUTRES FONCTIONNAIRES AFFECTÉS AU PARQUET =&gt; 0.702 · 12.31. CONGÉ MALADIE ORDINAIRE =&gt; 0.06 · 12.6. AUTORISATION SPÉCIALE D'ABSENCE =&gt; 0.02</t>
  </si>
  <si>
    <t>2025-04-05</t>
  </si>
  <si>
    <t>11. TOTAL AUTRES ACTIVITÉS =&gt; 0.427 · 11.10. AUTRES FONCTIONNAIRES AFFECTÉS AU PARQUET =&gt; 0.427</t>
  </si>
  <si>
    <t>11. TOTAL AUTRES ACTIVITÉS =&gt; 0.02 · 11.10. AUTRES FONCTIONNAIRES AFFECTÉS AU PARQUET =&gt; 0.02 · Autorisation spéciale d'absence =&gt; 0.02</t>
  </si>
  <si>
    <t>2025-02-01</t>
  </si>
  <si>
    <t>11. TOTAL AUTRES ACTIVITÉS =&gt; 0.161 · 11.10. AUTRES FONCTIONNAIRES AFFECTÉS AU PARQUET =&gt; 0.161</t>
  </si>
  <si>
    <t>2025-01-31</t>
  </si>
  <si>
    <t>11. TOTAL AUTRES ACTIVITÉS =&gt; 0.06 · 11.10. AUTRES FONCTIONNAIRES AFFECTÉS AU PARQUET =&gt; 0.06 · Congé maladie ordinaire =&gt; 0.06</t>
  </si>
  <si>
    <t>2025-01-12</t>
  </si>
  <si>
    <t>11. TOTAL AUTRES ACTIVITÉS =&gt; 0.032 · 11.10. AUTRES FONCTIONNAIRES AFFECTÉS AU PARQUET =&gt; 0.032</t>
  </si>
  <si>
    <t>4ec5a2f0e1 c59fb2a232 0a81244b0d</t>
  </si>
  <si>
    <t>5283ea1bb3 4b940568f2 b11264ac48</t>
  </si>
  <si>
    <t>1. TOTAL CONTENTIEUX SOCIAL =&gt; 0.5 · 1.2. CONTENTIEUX DE LA PROTECTION SOCIALE =&gt; 0.5 · 3. TOTAL CONTENTIEUX DE LA PROTECTION =&gt; 0.5</t>
  </si>
  <si>
    <t>f70c1eba91 6578010806 f4da5663e0</t>
  </si>
  <si>
    <t>11. TOTAL AUTRES ACTIVITÉS =&gt; 1 · 11.1. SOUTIEN (HORS FORMATIONS SUIVIES) =&gt; 0.346 · 11.2. FORMATIONS SUIVIES =&gt; 0.024 · 11.10. AUTRES FONCTIONNAIRES AFFECTÉS AU PARQUET =&gt; 0.63</t>
  </si>
  <si>
    <t>11.2. FORMATIONS SUIVIES =&gt; 0.024 · 11. TOTAL AUTRES ACTIVITÉS =&gt; 1 · 11.1. SOUTIEN (HORS FORMATIONS SUIVIES) =&gt; 0.346 · 11.10. AUTRES FONCTIONNAIRES AFFECTÉS AU PARQUET =&gt; 0.63</t>
  </si>
  <si>
    <t>33145c40bd d7cb04bb1d 6f228ba9df</t>
  </si>
  <si>
    <t>97858ac806 8afdb80dd9 fb05822ab0</t>
  </si>
  <si>
    <t>3. TOTAL CONTENTIEUX DE LA PROTECTION =&gt; 0.66 · 3.2. PROTECTION DES MAJEURS =&gt; 0.66</t>
  </si>
  <si>
    <t>3. TOTAL CONTENTIEUX DE LA PROTECTION =&gt; 0.242 · 3.2. PROTECTION DES MAJEURS =&gt; 0.242</t>
  </si>
  <si>
    <t>3. TOTAL CONTENTIEUX DE LA PROTECTION =&gt; 0.419 · 3.2. PROTECTION DES MAJEURS =&gt; 0.419</t>
  </si>
  <si>
    <t>d06bfbc5db a1c38dcb47 580f859fac</t>
  </si>
  <si>
    <t>11. TOTAL AUTRES ACTIVITÉS =&gt; 1 · 11.1. SOUTIEN (HORS FORMATIONS SUIVIES) =&gt; 0.984 · 11.2. FORMATIONS SUIVIES =&gt; 0.016 · 12.31. CONGÉ MALADIE ORDINAIRE =&gt; 0.012</t>
  </si>
  <si>
    <t>2025-12-09</t>
  </si>
  <si>
    <t>11. TOTAL AUTRES ACTIVITÉS =&gt; 0.016 · 11.1. SOUTIEN (HORS FORMATIONS SUIVIES) =&gt; 0.016</t>
  </si>
  <si>
    <t>11. TOTAL AUTRES ACTIVITÉS =&gt; 0.004 · 11.2. FORMATIONS SUIVIES =&gt; 0.004</t>
  </si>
  <si>
    <t>2025-06-05</t>
  </si>
  <si>
    <t>11. TOTAL AUTRES ACTIVITÉS =&gt; 0.532 · 11.1. SOUTIEN (HORS FORMATIONS SUIVIES) =&gt; 0.532</t>
  </si>
  <si>
    <t>2025-06-04</t>
  </si>
  <si>
    <t>11. TOTAL AUTRES ACTIVITÉS =&gt; 0.012 · 11.2. FORMATIONS SUIVIES =&gt; 0.012</t>
  </si>
  <si>
    <t>2025-01-30</t>
  </si>
  <si>
    <t>11. TOTAL AUTRES ACTIVITÉS =&gt; 0.351 · 11.1. SOUTIEN (HORS FORMATIONS SUIVIES) =&gt; 0.351</t>
  </si>
  <si>
    <t>11. TOTAL AUTRES ACTIVITÉS =&gt; 0.012 · 11.1. SOUTIEN (HORS FORMATIONS SUIVIES) =&gt; 0.012 · Congé maladie ordinaire =&gt; 0.012</t>
  </si>
  <si>
    <t>2025-01-26</t>
  </si>
  <si>
    <t>11. TOTAL AUTRES ACTIVITÉS =&gt; 0.073 · 11.1. SOUTIEN (HORS FORMATIONS SUIVIES) =&gt; 0.073</t>
  </si>
  <si>
    <t>3c71bff295 618f79d56f 096c50fa50</t>
  </si>
  <si>
    <t>7. TOTAL SIÈGE PÉNAL =&gt; 1</t>
  </si>
  <si>
    <t>4a648cb629 2862902288 70e5317504</t>
  </si>
  <si>
    <t>12. TOTAL INDISPONIBILITÉ =&gt; 0.131 · 12.31. CONGÉ MALADIE ORDINAIRE =&gt; 0.111 · 12.4. TEMPS PARTIEL THÉRAPEUTIQUE =&gt; 0.131</t>
  </si>
  <si>
    <t>2025-12-04</t>
  </si>
  <si>
    <t>Congé maladie ordinaire =&gt; 0.028</t>
  </si>
  <si>
    <t>2025-10-08</t>
  </si>
  <si>
    <t>2025-12-03</t>
  </si>
  <si>
    <t>Congé maladie ordinaire =&gt; 0.083 · Temps partiel thérapeutique =&gt; 0.083 · TOTAL INDISPONIBILITÉS =&gt; 0.083</t>
  </si>
  <si>
    <t>2025-10-07</t>
  </si>
  <si>
    <t>Temps partiel thérapeutique =&gt; 0.048 · TOTAL INDISPONIBILITÉS =&gt; 0.048</t>
  </si>
  <si>
    <t>4ed9e041c4 9a54960109 4e96e1b010</t>
  </si>
  <si>
    <t>7. TOTAL SIÈGE PÉNAL =&gt; 0.088 · 7.52. COUR CRIMINELLE =&gt; 0.008 · 7.7. OP CONTRAVENTIONNELLES =&gt; 0.005 · 7.8. AUTRES SIÈGE PÉNAL =&gt; 0.075 · 8. TOTAL JUGES D'INSTRUCTION =&gt; 0.04 · 8.1. SERVICE GÉNÉRAL =&gt; 0.04 · 9. TOTAL JAP =&gt; 0.472 · 10. TOTAL JLD PÉNAL =&gt; 0.04 · 11. TOTAL AUTRES ACTIVITÉS =&gt; 0.157 · 11.1. SOUTIEN (HORS FORMATIONS SUIVIES) =&gt; 0.157 · 12.31. CONGÉ MALADIE ORDINAIRE =&gt; 0.061 · 12.32. CONGÉ MATERNITÉ/PATERNITÉ/ADOPTION =&gt; 0.439</t>
  </si>
  <si>
    <t>7. TOTAL SIÈGE PÉNAL =&gt; 0.027 · 7.52. COUR CRIMINELLE =&gt; 0.002 · 7.7. OP CONTRAVENTIONNELLES =&gt; 0.001 · 7.8. AUTRES SIÈGE PÉNAL =&gt; 0.023 · 8. TOTAL JUGES D'INSTRUCTION =&gt; 0.012 · 8.1. SERVICE GÉNÉRAL =&gt; 0.012 · 9. TOTAL JAP =&gt; 0.143 · 10. TOTAL JLD PÉNAL =&gt; 0.012 · 11. TOTAL AUTRES ACTIVITÉS =&gt; 0.047 · 11.1. SOUTIEN (HORS FORMATIONS SUIVIES) =&gt; 0.047</t>
  </si>
  <si>
    <t>2025-02-21</t>
  </si>
  <si>
    <t>7. TOTAL SIÈGE PÉNAL =&gt; 0.048 · 7.52. COUR CRIMINELLE =&gt; 0.004 · 7.7. OP CONTRAVENTIONNELLES =&gt; 0.003 · 7.8. AUTRES SIÈGE PÉNAL =&gt; 0.041 · 8. TOTAL JUGES D'INSTRUCTION =&gt; 0.022 · 8.1. SERVICE GÉNÉRAL =&gt; 0.022 · 9. TOTAL JAP =&gt; 0.259 · 10. TOTAL JLD PÉNAL =&gt; 0.022 · 11. TOTAL AUTRES ACTIVITÉS =&gt; 0.086 · 11.1. SOUTIEN (HORS FORMATIONS SUIVIES) =&gt; 0.086 · Congé maternité/paternité/adoption =&gt; 0.439</t>
  </si>
  <si>
    <t>2025-02-20</t>
  </si>
  <si>
    <t>7. TOTAL SIÈGE PÉNAL =&gt; 0.007 · 7.52. COUR CRIMINELLE =&gt; 0.001 · 7.7. OP CONTRAVENTIONNELLES =&gt; 0 · 7.8. AUTRES SIÈGE PÉNAL =&gt; 0.006 · 8. TOTAL JUGES D'INSTRUCTION =&gt; 0.003 · 8.1. SERVICE GÉNÉRAL =&gt; 0.003 · 9. TOTAL JAP =&gt; 0.036 · 10. TOTAL JLD PÉNAL =&gt; 0.003 · 11. TOTAL AUTRES ACTIVITÉS =&gt; 0.012 · 11.1. SOUTIEN (HORS FORMATIONS SUIVIES) =&gt; 0.012 · Congé maladie ordinaire =&gt; 0.061</t>
  </si>
  <si>
    <t>7. TOTAL SIÈGE PÉNAL =&gt; 0.006 · 7.52. COUR CRIMINELLE =&gt; 0.001 · 7.7. OP CONTRAVENTIONNELLES =&gt; 0 · 7.8. AUTRES SIÈGE PÉNAL =&gt; 0.005 · 8. TOTAL JUGES D'INSTRUCTION =&gt; 0.003 · 8.1. SERVICE GÉNÉRAL =&gt; 0.003 · 9. TOTAL JAP =&gt; 0.034 · 10. TOTAL JLD PÉNAL =&gt; 0.003 · 11. TOTAL AUTRES ACTIVITÉS =&gt; 0.011 · 11.1. SOUTIEN (HORS FORMATIONS SUIVIES) =&gt; 0.011</t>
  </si>
  <si>
    <t>0f68e7e022 94ea887917 36d6dee020</t>
  </si>
  <si>
    <t>70c8bbdd52 445e21bbd3 43963d5111</t>
  </si>
  <si>
    <t>8656e24f43 6e7e9f6c30 28d8e0ab11</t>
  </si>
  <si>
    <t>27d362e752 718253a255 66832a145a</t>
  </si>
  <si>
    <t>a44de63a23 6a5d55bdf5 8f4c1d7f22</t>
  </si>
  <si>
    <t>5. TOTAL JLD CIVIL =&gt; 0.05 · 6. TOTAL JUGES DES ENFANTS =&gt; 0.8 · 6.1. ACTIVITÉ CIVILE =&gt; 0.5 · 6.2. ACTIVITÉ PÉNALE =&gt; 0.3 · 7. TOTAL SIÈGE PÉNAL =&gt; 0.03 · 7.1. COLLÉGIALES HORS JIRS =&gt; 0.03 · 10. TOTAL JLD PÉNAL =&gt; 0.05 · 11. TOTAL AUTRES ACTIVITÉS =&gt; 0.07 · 11.2. FORMATIONS SUIVIES =&gt; 0.07</t>
  </si>
  <si>
    <t>6.1. ACTIVITÉ CIVILE =&gt; 0.5 · 6. TOTAL JUGES DES ENFANTS =&gt; 0.8 · 6.2. ACTIVITÉ PÉNALE =&gt; 0.3 · 5. TOTAL JLD CIVIL =&gt; 0.05 · 10. TOTAL JLD PÉNAL =&gt; 0.05 · 7. TOTAL SIÈGE PÉNAL =&gt; 0.03 · 7.1. COLLÉGIALES HORS JIRS =&gt; 0.03 · 11. TOTAL AUTRES ACTIVITÉS =&gt; 0.07 · 11.2. FORMATIONS SUIVIES =&gt; 0.07</t>
  </si>
  <si>
    <t>7bcf85e837 a095ede12f 6e82cd72a5</t>
  </si>
  <si>
    <t>ce2e306d60 5cabef0f02 1306941e1b</t>
  </si>
  <si>
    <t>edf433c27e 045223b27e 3ae937f403</t>
  </si>
  <si>
    <t>8. TOTAL JUGES D'INSTRUCTION =&gt; 1 · 8.1. SERVICE GÉNÉRAL =&gt; 1</t>
  </si>
  <si>
    <t>6165192168 2825eda8b9 7555df177e</t>
  </si>
  <si>
    <t>11. TOTAL AUTRES ACTIVITÉS =&gt; 0.698 · 11.1. SOUTIEN (HORS FORMATIONS SUIVIES) =&gt; 0.698</t>
  </si>
  <si>
    <t>d450019766 6d56d6b070 b83f7ad2c6</t>
  </si>
  <si>
    <t>3. TOTAL CONTENTIEUX DE LA PROTECTION =&gt; 0.288 · 3.41. BAUX =&gt; 0.063 · 3.43. INJONCTIONS DE PAYER =&gt; 0.209 · 3.6. AUTRES CONTENTIEUX DE LA PROTECTION =&gt; 0.016 · 4. TOTAL CIVIL NON SPÉCIALISÉ =&gt; 0.363 · 4.14. JURIDICTION DU PRÉSIDENT =&gt; 0.201 · 4.16. RÉFÉRÉS CIVILS =&gt; 0.145 · 4.17. AUTRES CIVIL NS =&gt; 0.016 · 11. TOTAL AUTRES ACTIVITÉS =&gt; 0.35 · 11.1. SOUTIEN (HORS FORMATIONS SUIVIES) =&gt; 0.35 · 12.32. CONGÉ MATERNITÉ/PATERNITÉ/ADOPTION =&gt; 0.001</t>
  </si>
  <si>
    <t>4. TOTAL CIVIL NON SPÉCIALISÉ =&gt; 0.107 · 4.14. JURIDICTION DU PRÉSIDENT =&gt; 0.046 · 4.16. RÉFÉRÉS CIVILS =&gt; 0.044 · 4.17. AUTRES CIVIL NS =&gt; 0.016 · 11. TOTAL AUTRES ACTIVITÉS =&gt; 0.107 · 11.1. SOUTIEN (HORS FORMATIONS SUIVIES) =&gt; 0.107</t>
  </si>
  <si>
    <t>2025-08-13</t>
  </si>
  <si>
    <t>2025-09-30</t>
  </si>
  <si>
    <t>3.43. INJONCTIONS DE PAYER =&gt; 0.038 · 3. TOTAL CONTENTIEUX DE LA PROTECTION =&gt; 0.052 · 3.6. AUTRES CONTENTIEUX DE LA PROTECTION =&gt; 0.003 · 4.14. JURIDICTION DU PRÉSIDENT =&gt; 0.028 · 4. TOTAL CIVIL NON SPÉCIALISÉ =&gt; 0.046 · 11. TOTAL AUTRES ACTIVITÉS =&gt; 0.044 · 11.1. SOUTIEN (HORS FORMATIONS SUIVIES) =&gt; 0.044 · 4.16. RÉFÉRÉS CIVILS =&gt; 0.018 · 3.41. BAUX =&gt; 0.011</t>
  </si>
  <si>
    <t>2025-07-15</t>
  </si>
  <si>
    <t>2025-08-12</t>
  </si>
  <si>
    <t>3.43. INJONCTIONS DE PAYER =&gt; 0.023 · 3. TOTAL CONTENTIEUX DE LA PROTECTION =&gt; 0.031 · 3.6. AUTRES CONTENTIEUX DE LA PROTECTION =&gt; 0.002 · 4.14. JURIDICTION DU PRÉSIDENT =&gt; 0.017 · 4. TOTAL CIVIL NON SPÉCIALISÉ =&gt; 0.028 · 11. TOTAL AUTRES ACTIVITÉS =&gt; 0.026 · 11.1. SOUTIEN (HORS FORMATIONS SUIVIES) =&gt; 0.026 · 4.16. RÉFÉRÉS CIVILS =&gt; 0.011 · 3.41. BAUX =&gt; 0.007 · Congé maternité/paternité/adoption =&gt; 0.001</t>
  </si>
  <si>
    <t>2025-07-14</t>
  </si>
  <si>
    <t>3.43. INJONCTIONS DE PAYER =&gt; 0.149 · 3. TOTAL CONTENTIEUX DE LA PROTECTION =&gt; 0.205 · 3.6. AUTRES CONTENTIEUX DE LA PROTECTION =&gt; 0.011 · 4.14. JURIDICTION DU PRÉSIDENT =&gt; 0.11 · 4. TOTAL CIVIL NON SPÉCIALISÉ =&gt; 0.182 · 11. TOTAL AUTRES ACTIVITÉS =&gt; 0.173 · 11.1. SOUTIEN (HORS FORMATIONS SUIVIES) =&gt; 0.173 · 4.16. RÉFÉRÉS CIVILS =&gt; 0.072 · 3.41. BAUX =&gt; 0.045</t>
  </si>
  <si>
    <t>3ab77940cf 9b7ece024a f9c55dbd58</t>
  </si>
  <si>
    <t>d3c5ad1d9c 4b87c18710 1d1107848d</t>
  </si>
  <si>
    <t>0437fe7331 127c712a36 859e1ad647</t>
  </si>
  <si>
    <t>bcc9fa4d01 979ac9c6fb 09b851db41</t>
  </si>
  <si>
    <t>af5fed5314 175758ca67 cf652e96fa</t>
  </si>
  <si>
    <t>2. TOTAL CONTENTIEUX JAF =&gt; 0.4 · 2.2. DIVORCE - CONTENTIEUX =&gt; 0.2 · 2.5. AUTORITÉ PARENTALE =&gt; 0.2</t>
  </si>
  <si>
    <t>cf53e05d37 d28287a386 7c9119c825</t>
  </si>
  <si>
    <t>2. TOTAL CONTENTIEUX JAF =&gt; 1 · 12.31. CONGÉ MALADIE ORDINAIRE =&gt; 0.077 · 12.32. CONGÉ MATERNITÉ/PATERNITÉ/ADOPTION =&gt; 0.323 · 12.8. AUTRE ABSENTÉISME =&gt; 0.06</t>
  </si>
  <si>
    <t>2025-11-24</t>
  </si>
  <si>
    <t>2. TOTAL CONTENTIEUX JAF =&gt; 0.06 · Autre absentéisme =&gt; 0.06</t>
  </si>
  <si>
    <t>2025-11-23</t>
  </si>
  <si>
    <t>2. TOTAL CONTENTIEUX JAF =&gt; 0.242</t>
  </si>
  <si>
    <t>2025-08-05</t>
  </si>
  <si>
    <t>2. TOTAL CONTENTIEUX JAF =&gt; 0.077 · Congé maladie ordinaire =&gt; 0.077</t>
  </si>
  <si>
    <t>2025-04-15</t>
  </si>
  <si>
    <t>2025-08-04</t>
  </si>
  <si>
    <t>2. TOTAL CONTENTIEUX JAF =&gt; 0.323 · Congé maternité/paternité/adoption =&gt; 0.323</t>
  </si>
  <si>
    <t>2025-04-14</t>
  </si>
  <si>
    <t>2. TOTAL CONTENTIEUX JAF =&gt; 0.298</t>
  </si>
  <si>
    <t>632d211fa7 691d231b4e 71f15fbd94</t>
  </si>
  <si>
    <t>2. TOTAL CONTENTIEUX JAF =&gt; 1 · 12.31. CONGÉ MALADIE ORDINAIRE =&gt; 0.012</t>
  </si>
  <si>
    <t>2025-03-24</t>
  </si>
  <si>
    <t>2. TOTAL CONTENTIEUX JAF =&gt; 0.766</t>
  </si>
  <si>
    <t>2025-03-19</t>
  </si>
  <si>
    <t>2025-03-23</t>
  </si>
  <si>
    <t>2. TOTAL CONTENTIEUX JAF =&gt; 0.012 · Congé maladie ordinaire =&gt; 0.012</t>
  </si>
  <si>
    <t>2. TOTAL CONTENTIEUX JAF =&gt; 0.222</t>
  </si>
  <si>
    <t>e121e7dd96 c85ab38695 b3ca545227</t>
  </si>
  <si>
    <t>2. TOTAL CONTENTIEUX JAF =&gt; 0.86 · 7. TOTAL SIÈGE PÉNAL =&gt; 0.04 · 7.14. CI =&gt; 0.03 · 7.5. COUR D'ASSISES HORS JIRS =&gt; 0.01 · 11. TOTAL AUTRES ACTIVITÉS =&gt; 0.1 · 11.1. SOUTIEN (HORS FORMATIONS SUIVIES) =&gt; 0.1</t>
  </si>
  <si>
    <t>211d3eb3ee 61a35a035a 770dc61147</t>
  </si>
  <si>
    <t>11. TOTAL AUTRES ACTIVITÉS =&gt; 0.173 · 11.1. SOUTIEN (HORS FORMATIONS SUIVIES) =&gt; 0.173</t>
  </si>
  <si>
    <t>e559dcb1a5 3233fe9cf0 529c87736e</t>
  </si>
  <si>
    <t>11. TOTAL AUTRES ACTIVITÉS =&gt; 0.001 · 11.2. FORMATIONS SUIVIES =&gt; 0 · 11.51. ACCUEIL DU JUSTICIABLE (DONT SAUJ) =&gt; 0</t>
  </si>
  <si>
    <t>undefined =&gt; 1 · undefined =&gt; 1 · 11. TOTAL AUTRES ACTIVITÉS =&gt; 0.001 · 11.2. FORMATIONS SUIVIES =&gt; 0 · 11.51. ACCUEIL DU JUSTICIABLE (DONT SAUJ) =&gt; 0</t>
  </si>
  <si>
    <t>37c7688a45 4bba2d0133 031cb26a46</t>
  </si>
  <si>
    <t>7. TOTAL SIÈGE PÉNAL =&gt; 1 · 7.7. OP CONTRAVENTIONNELLES =&gt; 1</t>
  </si>
  <si>
    <t>c538c3b336 8851404109 b6de082a85</t>
  </si>
  <si>
    <t>9. TOTAL JAP =&gt; 0.9</t>
  </si>
  <si>
    <t>f61ed68463 c77a79c6ba e6859ed51d</t>
  </si>
  <si>
    <t>2. TOTAL CONTENTIEUX JAF =&gt; 0.833 · 7. TOTAL SIÈGE PÉNAL =&gt; 0.085 · 7.14. CI =&gt; 0.022 · 7.5. COUR D'ASSISES HORS JIRS =&gt; 0.04 · 7.52. COUR CRIMINELLE =&gt; 0.023 · 11. TOTAL AUTRES ACTIVITÉS =&gt; 0.082 · 11.1. SOUTIEN (HORS FORMATIONS SUIVIES) =&gt; 0.058 · 11.2. FORMATIONS SUIVIES =&gt; 0.024 · 12.32. CONGÉ MATERNITÉ/PATERNITÉ/ADOPTION =&gt; 0.262</t>
  </si>
  <si>
    <t>2025-09-15</t>
  </si>
  <si>
    <t>2. TOTAL CONTENTIEUX JAF =&gt; 0.218 · 7. TOTAL SIÈGE PÉNAL =&gt; 0.022 · 7.14. CI =&gt; 0.006 · 7.5. COUR D'ASSISES HORS JIRS =&gt; 0.01 · 7.52. COUR CRIMINELLE =&gt; 0.006 · 11. TOTAL AUTRES ACTIVITÉS =&gt; 0.021 · 11.1. SOUTIEN (HORS FORMATIONS SUIVIES) =&gt; 0.015 · 11.2. FORMATIONS SUIVIES =&gt; 0.006 · Congé maternité/paternité/adoption =&gt; 0.262</t>
  </si>
  <si>
    <t>2025-09-14</t>
  </si>
  <si>
    <t>2. TOTAL CONTENTIEUX JAF =&gt; 0.615 · 7. TOTAL SIÈGE PÉNAL =&gt; 0.063 · 7.14. CI =&gt; 0.016 · 7.5. COUR D'ASSISES HORS JIRS =&gt; 0.03 · 7.52. COUR CRIMINELLE =&gt; 0.017 · 11. TOTAL AUTRES ACTIVITÉS =&gt; 0.061 · 11.1. SOUTIEN (HORS FORMATIONS SUIVIES) =&gt; 0.043 · 11.2. FORMATIONS SUIVIES =&gt; 0.018</t>
  </si>
  <si>
    <t>963a2a240d 61f95b868c 5f553d6c33</t>
  </si>
  <si>
    <t>7. TOTAL SIÈGE PÉNAL =&gt; 1 · 7.1. COLLÉGIALES HORS JIRS =&gt; 0.2 · 7.14. CI =&gt; 0.8 · 12.31. CONGÉ MALADIE ORDINAIRE =&gt; 0.02 · 12.8. AUTRE ABSENTÉISME =&gt; 0.012</t>
  </si>
  <si>
    <t>2025-02-22</t>
  </si>
  <si>
    <t>7. TOTAL SIÈGE PÉNAL =&gt; 0.847 · 7.1. COLLÉGIALES HORS JIRS =&gt; 0.169 · 7.14. CI =&gt; 0.677</t>
  </si>
  <si>
    <t>2025-02-19</t>
  </si>
  <si>
    <t>7. TOTAL SIÈGE PÉNAL =&gt; 0.012 · 7.1. COLLÉGIALES HORS JIRS =&gt; 0.002 · 7.14. CI =&gt; 0.01 · Autre absentéisme =&gt; 0.012</t>
  </si>
  <si>
    <t>2025-02-18</t>
  </si>
  <si>
    <t>7. TOTAL SIÈGE PÉNAL =&gt; 0.048 · 7.1. COLLÉGIALES HORS JIRS =&gt; 0.01 · 7.14. CI =&gt; 0.039</t>
  </si>
  <si>
    <t>7. TOTAL SIÈGE PÉNAL =&gt; 0.02 · 7.1. COLLÉGIALES HORS JIRS =&gt; 0.004 · 7.14. CI =&gt; 0.016 · Congé maladie ordinaire =&gt; 0.02</t>
  </si>
  <si>
    <t>7. TOTAL SIÈGE PÉNAL =&gt; 0.073 · 7.1. COLLÉGIALES HORS JIRS =&gt; 0.015 · 7.14. CI =&gt; 0.058</t>
  </si>
  <si>
    <t>e28cbd7704 9eaf5faa12 a45b7a55d4</t>
  </si>
  <si>
    <t>3. TOTAL CONTENTIEUX DE LA PROTECTION =&gt; 0.125</t>
  </si>
  <si>
    <t>e01e6bc718 a356a90611 f5702df111</t>
  </si>
  <si>
    <t>98f896f3d0 87f10fd2f8 a7e1dae5a5</t>
  </si>
  <si>
    <t>8701a34b38 16838bf898 5067515d3f</t>
  </si>
  <si>
    <t>5. TOTAL JLD CIVIL =&gt; 0.224 · 10. TOTAL JLD PÉNAL =&gt; 0.4 · 11. TOTAL AUTRES ACTIVITÉS =&gt; 0.176 · 11.1. SOUTIEN (HORS FORMATIONS SUIVIES) =&gt; 0.064 · 11.2. FORMATIONS SUIVIES =&gt; 0.016 · 11.3. FORMATIONS DISPENSÉES =&gt; 0.096</t>
  </si>
  <si>
    <t>436c44f1bb 223f420f90 ce4ba3c668</t>
  </si>
  <si>
    <t>952f54820e 433a149303 f30a5b03cc</t>
  </si>
  <si>
    <t>4. TOTAL CIVIL NON SPÉCIALISÉ =&gt; 0.785 · 4.16. RÉFÉRÉS CIVILS =&gt; 0.785 · 11. TOTAL AUTRES ACTIVITÉS =&gt; 0.041 · 11.1. SOUTIEN (HORS FORMATIONS SUIVIES) =&gt; 0.041</t>
  </si>
  <si>
    <t>898fae23cd ee6ed95a94 5fa2b9f6aa</t>
  </si>
  <si>
    <t>3. TOTAL CONTENTIEUX DE LA PROTECTION =&gt; 0.44 · 3.44. SAISIE DES RÉMUNÉRATIONS =&gt; 0.44</t>
  </si>
  <si>
    <t>ffc0913895 d2da3ffbe2 82eb127263</t>
  </si>
  <si>
    <t>9e2b1a5281 70ad5afdf7 140134ac3c</t>
  </si>
  <si>
    <t>8. TOTAL JUGES D'INSTRUCTION =&gt; 0.158 · 8.1. SERVICE GÉNÉRAL =&gt; 0.158 · 10. TOTAL JLD PÉNAL =&gt; 0.35 · 11. TOTAL AUTRES ACTIVITÉS =&gt; 0.056 · 11.1. SOUTIEN (HORS FORMATIONS SUIVIES) =&gt; 0.056</t>
  </si>
  <si>
    <t>b7ac96a0e3 3dddc6b186 856bf93e48</t>
  </si>
  <si>
    <t>2. TOTAL CONTENTIEUX JAF =&gt; 0.524</t>
  </si>
  <si>
    <t>e30f0d7ada b0d271b26b d71a54bd7b</t>
  </si>
  <si>
    <t>2bd2f42b7c c8c62dca66 a57c4f60a2</t>
  </si>
  <si>
    <t>66653db633 6a52eff7c6 cf652e96fa</t>
  </si>
  <si>
    <t>f916bc29a5 08056ecce2 a7e1dae5a5</t>
  </si>
  <si>
    <t>10. TOTAL JLD PÉNAL =&gt; 0.302</t>
  </si>
  <si>
    <t>ef9e068459 4114ff8ff9 a4259b614f</t>
  </si>
  <si>
    <t>5. TOTAL JLD CIVIL =&gt; 0.181 · 10. TOTAL JLD PÉNAL =&gt; 0.121</t>
  </si>
  <si>
    <t>ccb937f7dc c019fe4c97 ef0c6f946a</t>
  </si>
  <si>
    <t>3. TOTAL CONTENTIEUX DE LA PROTECTION =&gt; 0.2 · 3.2. PROTECTION DES MAJEURS =&gt; 0.1 · 3.41. BAUX =&gt; 0.048 · 3.42. CRÉDIT À LA CONSOMMATION =&gt; 0.036 · 3.43. INJONCTIONS DE PAYER =&gt; 0.015 · 4. TOTAL CIVIL NON SPÉCIALISÉ =&gt; 0.021 · 4.0. CONTENTIEUX GÉNÉRAL &lt;10.000€ =&gt; 0.021 · 5. TOTAL JLD CIVIL =&gt; 0.03 · 5.2. HO - CONTENTION =&gt; 0.03 · 7. TOTAL SIÈGE PÉNAL =&gt; 0.027 · 7.1. COLLÉGIALES HORS JIRS =&gt; 0.009 · 7.5. COUR D'ASSISES HORS JIRS =&gt; 0.006 · 7.52. COUR CRIMINELLE =&gt; 0.012 · 11. TOTAL AUTRES ACTIVITÉS =&gt; 0.024 · 11.1. SOUTIEN (HORS FORMATIONS SUIVIES) =&gt; 0.009 · 11.2. FORMATIONS SUIVIES =&gt; 0.015</t>
  </si>
  <si>
    <t>940f1cb485 b3d2af8cbf 94ee2a3899</t>
  </si>
  <si>
    <t>10. TOTAL JLD PÉNAL =&gt; 0.27 · 10.1. HORS JIRS =&gt; 0.27 · 11. TOTAL AUTRES ACTIVITÉS =&gt; 0.014 · 11.1. SOUTIEN (HORS FORMATIONS SUIVIES) =&gt; 0.014 · 12. TOTAL INDISPONIBILITÉ =&gt; 0.019 · 12.4. TEMPS PARTIEL THÉRAPEUTIQUE =&gt; 0.019</t>
  </si>
  <si>
    <t>2025-11-12</t>
  </si>
  <si>
    <t>10. TOTAL JLD PÉNAL =&gt; 0.07 · 10.1. HORS JIRS =&gt; 0.07 · 11. TOTAL AUTRES ACTIVITÉS =&gt; 0.004 · 11.1. SOUTIEN (HORS FORMATIONS SUIVIES) =&gt; 0.004 · Temps partiel thérapeutique =&gt; 0.019 · TOTAL INDISPONIBILITÉS =&gt; 0.019</t>
  </si>
  <si>
    <t>2025-11-11</t>
  </si>
  <si>
    <t>10. TOTAL JLD PÉNAL =&gt; 0.199 · 10.1. HORS JIRS =&gt; 0.199 · 11. TOTAL AUTRES ACTIVITÉS =&gt; 0.01 · 11.1. SOUTIEN (HORS FORMATIONS SUIVIES) =&gt; 0.01</t>
  </si>
  <si>
    <t>ce87fca89c c6b38c701e b6548a3c9a</t>
  </si>
  <si>
    <t>10. TOTAL JLD PÉNAL =&gt; 0.827</t>
  </si>
  <si>
    <t>a431e979c0 a994df71d0 3cf295a533</t>
  </si>
  <si>
    <t>4. TOTAL CIVIL NON SPÉCIALISÉ =&gt; 0.06 · 4.0. CONTENTIEUX GÉNÉRAL &lt;10.000€ =&gt; 0.03 · 4.4. RESPONSABILITÉ ET QUASI-CONTRATS =&gt; 0.03 · 6. TOTAL JUGES DES ENFANTS =&gt; 0.181 · 6.1. ACTIVITÉ CIVILE =&gt; 0.091 · 6.2. ACTIVITÉ PÉNALE =&gt; 0.091 · 7. TOTAL SIÈGE PÉNAL =&gt; 0.03 · 7.1. COLLÉGIALES HORS JIRS =&gt; 0.015 · 7.14. CI =&gt; 0.015 · 11. TOTAL AUTRES ACTIVITÉS =&gt; 0.03 · 11.1. SOUTIEN (HORS FORMATIONS SUIVIES) =&gt; 0.03</t>
  </si>
  <si>
    <t>d0dadb3f01 8dc87fc673 d30573ab2e</t>
  </si>
  <si>
    <t>993c5e350a 6e37b197af c6ca7ef15a</t>
  </si>
  <si>
    <t>b699720b42 a06889f3e3 a57c4f60a2</t>
  </si>
  <si>
    <t>3. TOTAL CONTENTIEUX DE LA PROTECTION =&gt; 0.113 · 3.3. SURENDETTEMENT DES PARTICULIERS =&gt; 0.113 · 4. TOTAL CIVIL NON SPÉCIALISÉ =&gt; 0.061 · 4.0. CONTENTIEUX GÉNÉRAL &lt;10.000€ =&gt; 0.061</t>
  </si>
  <si>
    <t>80354c18bd e9db58aec6 912dcdc5eb</t>
  </si>
  <si>
    <t>d40420586d 0bf4b4576f 096c50fa50</t>
  </si>
  <si>
    <t>8. TOTAL JUGES D'INSTRUCTION =&gt; 1 · 8.3. JIRS CRIM-ORG =&gt; 1</t>
  </si>
  <si>
    <t>8. TOTAL JUGES D'INSTRUCTION =&gt; 0.867 · 8.3. JIRS CRIM-ORG =&gt; 0.867</t>
  </si>
  <si>
    <t>2025-01-23</t>
  </si>
  <si>
    <t>2025-02-14</t>
  </si>
  <si>
    <t>8. TOTAL JUGES D'INSTRUCTION =&gt; 0.069 · 8.3. JIRS CRIM-ORG =&gt; 0.069 · Compte épargne temps =&gt; 0.069</t>
  </si>
  <si>
    <t>2025-01-22</t>
  </si>
  <si>
    <t>8. TOTAL JUGES D'INSTRUCTION =&gt; 0.065 · 8.3. JIRS CRIM-ORG =&gt; 0.065</t>
  </si>
  <si>
    <t>c3a317bd4d d1fdd7ed63 c6ca7ef15a</t>
  </si>
  <si>
    <t>dcc4970953 7304b2710b beec4ac371</t>
  </si>
  <si>
    <t>7b6100d670 3b4ad982ca 29bd9698eb</t>
  </si>
  <si>
    <t>50fdd9a982 e82441ec42 50000d4da7</t>
  </si>
  <si>
    <t>6. TOTAL JUGES DES ENFANTS =&gt; 1 · 6.1. ACTIVITÉ CIVILE =&gt; 0.5 · 6.2. ACTIVITÉ PÉNALE =&gt; 0.5</t>
  </si>
  <si>
    <t>982aadbb99 70eff9b148 494523ec29</t>
  </si>
  <si>
    <t>3. TOTAL CONTENTIEUX DE LA PROTECTION =&gt; 0.5 · 4. TOTAL CIVIL NON SPÉCIALISÉ =&gt; 0.5 · 4.7. EXÉCUTION =&gt; 0.5</t>
  </si>
  <si>
    <t>bd6732f805 f72da8476e ff63c87f0e</t>
  </si>
  <si>
    <t>7. TOTAL SIÈGE PÉNAL =&gt; 0.04</t>
  </si>
  <si>
    <t>b925cc5027 3eb02661a6 6ff7235915</t>
  </si>
  <si>
    <t>a7438c8f1d 00daac63f0 e6e2cc1399</t>
  </si>
  <si>
    <t>7. TOTAL SIÈGE PÉNAL =&gt; 0.336 · 7.14. CI =&gt; 0.119 · 7.5. COUR D'ASSISES HORS JIRS =&gt; 0.04 · 7.52. COUR CRIMINELLE =&gt; 0.158 · 7.51. COUR D'ASSISES JIRS =&gt; 0.02 · 11. TOTAL AUTRES ACTIVITÉS =&gt; 0.059 · 11.1. SOUTIEN (HORS FORMATIONS SUIVIES) =&gt; 0.059</t>
  </si>
  <si>
    <t>cd0106ad19 19e92c19d5 271af868cc</t>
  </si>
  <si>
    <t>7. TOTAL SIÈGE PÉNAL =&gt; 0.36 · 7.1. COLLÉGIALES HORS JIRS =&gt; 0.202 · 7.5. COUR D'ASSISES HORS JIRS =&gt; 0.072 · 7.52. COUR CRIMINELLE =&gt; 0.014 · 7.51. COUR D'ASSISES JIRS =&gt; 0.072 · 12. TOTAL INDISPONIBILITÉ =&gt; 0.266 · 12.33. CONGÉ PARENTAL &lt; 6 MOIS =&gt; 0.266</t>
  </si>
  <si>
    <t>2025-11-01</t>
  </si>
  <si>
    <t>7. TOTAL SIÈGE PÉNAL =&gt; 0.058 · 7.1. COLLÉGIALES HORS JIRS =&gt; 0.033 · 7.5. COUR D'ASSISES HORS JIRS =&gt; 0.012 · 7.52. COUR CRIMINELLE =&gt; 0.002 · 7.51. COUR D'ASSISES JIRS =&gt; 0.012</t>
  </si>
  <si>
    <t>2025-08-01</t>
  </si>
  <si>
    <t>7. TOTAL SIÈGE PÉNAL =&gt; 0 · 7.1. COLLÉGIALES HORS JIRS =&gt; 0 · 7.5. COUR D'ASSISES HORS JIRS =&gt; 0 · 7.52. COUR CRIMINELLE =&gt; 0 · 7.51. COUR D'ASSISES JIRS =&gt; 0 · Congé parental &lt; 6 mois =&gt; 0.266 · TOTAL INDISPONIBILITÉS =&gt; 0.266</t>
  </si>
  <si>
    <t>2025-07-31</t>
  </si>
  <si>
    <t>7. TOTAL SIÈGE PÉNAL =&gt; 0.302 · 7.1. COLLÉGIALES HORS JIRS =&gt; 0.169 · 7.5. COUR D'ASSISES HORS JIRS =&gt; 0.06 · 7.52. COUR CRIMINELLE =&gt; 0.012 · 7.51. COUR D'ASSISES JIRS =&gt; 0.06</t>
  </si>
  <si>
    <t>961aa4e0d6 ea0f49b601 1cdea531f4</t>
  </si>
  <si>
    <t>10. TOTAL JLD PÉNAL =&gt; 0.149 · 12. TOTAL INDISPONIBILITÉ =&gt; 0 · 12.7. AUTRES INDISPONIBILITÉS (ACTION 99) =&gt; 0</t>
  </si>
  <si>
    <t>10. TOTAL JLD PÉNAL =&gt; 0.028 · Autres indisponibilités (action 99) =&gt; 0 · TOTAL INDISPONIBILITÉS =&gt; 0</t>
  </si>
  <si>
    <t>10. TOTAL JLD PÉNAL =&gt; 0.121</t>
  </si>
  <si>
    <t>bd440c8fcd 7434389d48 80561d08a0</t>
  </si>
  <si>
    <t>5. TOTAL JLD CIVIL =&gt; 0.06 · 5.2. HO - CONTENTION =&gt; 0.024 · 5.3. AUTRES JLD CIVIL =&gt; 0.036 · 10. TOTAL JLD PÉNAL =&gt; 0.048 · 10.1. HORS JIRS =&gt; 0.048 · 11. TOTAL AUTRES ACTIVITÉS =&gt; 0.012 · 11.4. ACCÈS AU DROIT ET À LA JUSTICE =&gt; 0.012</t>
  </si>
  <si>
    <t>4f4ad4493f 545186f572 321e6118ad</t>
  </si>
  <si>
    <t>12.31. CONGÉ MALADIE ORDINAIRE =&gt; 0.04</t>
  </si>
  <si>
    <t>Congé maladie ordinaire =&gt; 0.04</t>
  </si>
  <si>
    <t>Extracteur Basique</t>
  </si>
  <si>
    <t>3. TOTAL CONTENTIEUX DE LA PROTECTION =&gt; 1</t>
  </si>
  <si>
    <t xml:space="preserve">Extracteur Basique </t>
  </si>
  <si>
    <t>Extracteur Temps Partiel Simple</t>
  </si>
  <si>
    <t>3. TOTAL CONTENTIEUX DE LA PROTECTION =&gt; 0.8</t>
  </si>
  <si>
    <t xml:space="preserve">Extracteur Temps Partiel Simple </t>
  </si>
  <si>
    <t>Extracteur Multi Ventilation</t>
  </si>
  <si>
    <t>2. TOTAL CONTENTIEUX JAF =&gt; 0.4 · 3. TOTAL CONTENTIEUX DE LA PROTECTION =&gt; 0.6</t>
  </si>
  <si>
    <t xml:space="preserve">Extracteur Multi Ventilation </t>
  </si>
  <si>
    <t>3. TOTAL CONTENTIEUX DE LA PROTECTION =&gt; 0.6 · 2. TOTAL CONTENTIEUX JAF =&gt; 0.4</t>
  </si>
  <si>
    <t>Extracteur Absenteisme Simple</t>
  </si>
  <si>
    <t>3. TOTAL CONTENTIEUX DE LA PROTECTION =&gt; 1 · 12.31. CONGÉ MALADIE ORDINAIRE =&gt; 0.15</t>
  </si>
  <si>
    <t xml:space="preserve">Extracteur Absenteisme Simple </t>
  </si>
  <si>
    <t>3. TOTAL CONTENTIEUX DE LA PROTECTION =&gt; 1 · Congé maladie ordinaire =&gt; 0.15</t>
  </si>
  <si>
    <t>Extracteur Action 99 Simple</t>
  </si>
  <si>
    <t>3. TOTAL CONTENTIEUX DE LA PROTECTION =&gt; 0.8 · 12. TOTAL INDISPONIBILITÉ =&gt; 0.2 · 12.7. AUTRES INDISPONIBILITÉS (ACTION 99) =&gt; 0.2</t>
  </si>
  <si>
    <t xml:space="preserve">Extracteur Action 99 Simple </t>
  </si>
  <si>
    <t>3. TOTAL CONTENTIEUX DE LA PROTECTION =&gt; 0.8 · Autres indisponibilités (action 99) =&gt; 0.2 · TOTAL INDISPONIBILITÉS =&gt; 0.2</t>
  </si>
  <si>
    <t>Extracteur CET &gt; 30Jours</t>
  </si>
  <si>
    <t>3. TOTAL CONTENTIEUX DE LA PROTECTION =&gt; 0.85 · 12. TOTAL INDISPONIBILITÉ =&gt; 0.15</t>
  </si>
  <si>
    <t xml:space="preserve">Extracteur CET &gt; 30Jours </t>
  </si>
  <si>
    <t>3. TOTAL CONTENTIEUX DE LA PROTECTION =&gt; 0.85 · Compte épargne temps =&gt; 0.15 · TOTAL INDISPONIBILITÉS =&gt; 0.15</t>
  </si>
  <si>
    <t>Extracteur Multi Indispo Mixtes</t>
  </si>
  <si>
    <t>3. TOTAL CONTENTIEUX DE LA PROTECTION =&gt; 0.85 · 12. TOTAL INDISPONIBILITÉ =&gt; 0.15 · 12.31. CONGÉ MALADIE ORDINAIRE =&gt; 0.1 · 12.7. AUTRES INDISPONIBILITÉS (ACTION 99) =&gt; 0.15</t>
  </si>
  <si>
    <t xml:space="preserve">Extracteur Multi Indispo Mixtes </t>
  </si>
  <si>
    <t>3. TOTAL CONTENTIEUX DE LA PROTECTION =&gt; 0.85 · Congé maladie ordinaire =&gt; 0.1 · Autres indisponibilités (action 99) =&gt; 0.15 · TOTAL INDISPONIBILITÉS =&gt; 0.15</t>
  </si>
  <si>
    <t>Extracteur Indispo + Multi Ventilation</t>
  </si>
  <si>
    <t>2. TOTAL CONTENTIEUX JAF =&gt; 0.4 · 3. TOTAL CONTENTIEUX DE LA PROTECTION =&gt; 0.6 · 12.31. CONGÉ MALADIE ORDINAIRE =&gt; 0.2</t>
  </si>
  <si>
    <t xml:space="preserve">Extracteur Indispo + Multi Ventilation </t>
  </si>
  <si>
    <t>3. TOTAL CONTENTIEUX DE LA PROTECTION =&gt; 0.6 · 2. TOTAL CONTENTIEUX JAF =&gt; 0.4 · Congé maladie ordinaire =&gt; 0.2</t>
  </si>
  <si>
    <t>Extracteur IndispoSupETP</t>
  </si>
  <si>
    <t>3. TOTAL CONTENTIEUX DE LA PROTECTION =&gt; 0.533 · 12. TOTAL INDISPONIBILITÉ =&gt; 0.267 · 12.31. CONGÉ MALADIE ORDINAIRE =&gt; 0.533 · 12.4. TEMPS PARTIEL THÉRAPEUTIQUE =&gt; 0.267</t>
  </si>
  <si>
    <t xml:space="preserve">Extracteur IndispoSupETP </t>
  </si>
  <si>
    <t>3. TOTAL CONTENTIEUX DE LA PROTECTION =&gt; 0.533 · Congé maladie ordinaire =&gt; 0.533 · Temps partiel thérapeutique =&gt; 0.267 · TOTAL INDISPONIBILITÉS =&gt; 0.267</t>
  </si>
  <si>
    <t>Extracteur No-Activity-Period</t>
  </si>
  <si>
    <t>3. TOTAL CONTENTIEUX DE LA PROTECTION =&gt; 0.653</t>
  </si>
  <si>
    <t xml:space="preserve">Extracteur No-Activity-Period </t>
  </si>
  <si>
    <t>DÉCLARATION ETPT TJ</t>
  </si>
  <si>
    <t>CTECH</t>
  </si>
  <si>
    <t>Total fonctionnaires techniques</t>
  </si>
  <si>
    <t>A-B-CBUR</t>
  </si>
  <si>
    <t>Total fonctionnaires administratifs</t>
  </si>
  <si>
    <t>SIEGE S</t>
  </si>
  <si>
    <t>Total magistrats du siège spécialisés</t>
  </si>
  <si>
    <t>SIEGE NS</t>
  </si>
  <si>
    <t>Total magistrats du siège non spécialisés</t>
  </si>
  <si>
    <t>PRQT</t>
  </si>
  <si>
    <t>Total magistrats du parquet</t>
  </si>
  <si>
    <t>FONCTIONNAIRES_C_TECHNIQUES_SPEC</t>
  </si>
  <si>
    <t>FONCTIONNAIRES_ACTIVITE_CIV_PRQT</t>
  </si>
  <si>
    <t>FONCTIONNAIRES_BEX_APP</t>
  </si>
  <si>
    <t>FONCTIONNAIRES_ASSISES</t>
  </si>
  <si>
    <t>FONC_COUR_CRIM</t>
  </si>
  <si>
    <t>FONCTIONNAIRES_JIRS_ECOFI</t>
  </si>
  <si>
    <t>FONCTIONNAIRES_JIRS_CRIMO</t>
  </si>
  <si>
    <t>FONCTIONNAIRES_JIRS_SS</t>
  </si>
  <si>
    <t>FONC_TJ_TUT_MAJ</t>
  </si>
  <si>
    <t>FONC_TJ_SURENDETTEMENT</t>
  </si>
  <si>
    <t>FONC_TJ_IP_SR</t>
  </si>
  <si>
    <t>FONC_CTX_GEN_INF_DIX_MIL</t>
  </si>
  <si>
    <t>FONC_P_SOC</t>
  </si>
  <si>
    <t>FONCTIONNAIRES_HORS_FONCT_SPEC</t>
  </si>
  <si>
    <t>JCP_TJ_TUT_MAJ</t>
  </si>
  <si>
    <t>JCP_TJ_SURENDETTEMENT</t>
  </si>
  <si>
    <t>J_INSTRUCTION</t>
  </si>
  <si>
    <t>J_INSTRUCTION_JIRS_ECOFI</t>
  </si>
  <si>
    <t>J_INSTRUCTION_JIRS_CRIMO</t>
  </si>
  <si>
    <t>J_INSTRUCTION_JIRS_SS</t>
  </si>
  <si>
    <t>JLD_JNS</t>
  </si>
  <si>
    <t>MAG_SIEGE_ASSISES</t>
  </si>
  <si>
    <t>JNS_COUR_CRIM</t>
  </si>
  <si>
    <t>MAG_SIEGE_JIRS_ECOFI</t>
  </si>
  <si>
    <t>MAG_SIEGE_JIRS_CRIMO</t>
  </si>
  <si>
    <t>MAG_SIEGE_JIRS_SS</t>
  </si>
  <si>
    <t>MAG_SIEGE_CONTRAV</t>
  </si>
  <si>
    <t>TI_ACT_J_DEPARTITEUR</t>
  </si>
  <si>
    <t>JUGE_CTX_GEN_INF_DIX_MIL</t>
  </si>
  <si>
    <t>JUGE_TJ_IP_SR</t>
  </si>
  <si>
    <t>JUGE_TASS_JNS</t>
  </si>
  <si>
    <t>JAF_JNS</t>
  </si>
  <si>
    <t>J_SPEC_ACT_NON_SPEC</t>
  </si>
  <si>
    <t>AUTRES_JNS</t>
  </si>
  <si>
    <t>PARQUET_ACTIVITE_CIV_COM</t>
  </si>
  <si>
    <t>PARQUET_EXE_APP_PEINES</t>
  </si>
  <si>
    <t>PARQUET_JIRS_ECOFI</t>
  </si>
  <si>
    <t>PARQUET_JIRS_CRIMO</t>
  </si>
  <si>
    <t>PARQUET_JIRS_SS</t>
  </si>
  <si>
    <t>PARQUET_ASSISES</t>
  </si>
  <si>
    <t>PQT_COUR_CRIM</t>
  </si>
  <si>
    <t>PARQUET_TI</t>
  </si>
  <si>
    <t>AUTRES_PARQUET</t>
  </si>
  <si>
    <t>UO</t>
  </si>
  <si>
    <t>Code de la juridiction</t>
  </si>
  <si>
    <t>Code sous action</t>
  </si>
  <si>
    <t>Action</t>
  </si>
  <si>
    <t>Fonctionnaires Catégorie C Technique spécialisés</t>
  </si>
  <si>
    <t>Fonctionnaires activité civile et commerciale du parquet</t>
  </si>
  <si>
    <t>Fonctionnaires exécution des peines</t>
  </si>
  <si>
    <t>Fonctionnaires Assises</t>
  </si>
  <si>
    <t>Fonctionnaires Cour criminelle</t>
  </si>
  <si>
    <t>Fonctionnaires JIRS éco-fi</t>
  </si>
  <si>
    <t>Fonctionnaires JIRS crim-org</t>
  </si>
  <si>
    <t>Fonctionnaires sections spécialisées</t>
  </si>
  <si>
    <t>Fonctionnaires TJ Tutelles majeurs</t>
  </si>
  <si>
    <t>Fonctionnaires TJ au surendettement et au hors surendettement</t>
  </si>
  <si>
    <t>Fonctionnaires affectés aux fonctions JI, JE, JAP, JLD (pénal uniquement)</t>
  </si>
  <si>
    <t>Fonctionnaires TJ  IP_Saisies Rém</t>
  </si>
  <si>
    <t>Fonctionnaires TJ Contentieux général &lt; 10 000 EUR</t>
  </si>
  <si>
    <t>Fonctionnaires affectés aux pôles sociaux</t>
  </si>
  <si>
    <t xml:space="preserve">Fonctionnaires hors fonctions spécifiques </t>
  </si>
  <si>
    <t>JCP TJ Tutelles majeurs</t>
  </si>
  <si>
    <t>JCP TJ surendettement et hors surendettement</t>
  </si>
  <si>
    <t>Juges Instruction - service général</t>
  </si>
  <si>
    <t>Juges Instruction JIRS éco-fi</t>
  </si>
  <si>
    <t>Juges Instruction JIRS crim-org</t>
  </si>
  <si>
    <t>Juges Instruction sections spécialisées</t>
  </si>
  <si>
    <t>Juges des Enfants</t>
  </si>
  <si>
    <t>JLD (pénal uniquement)</t>
  </si>
  <si>
    <t>Magistrats du Siège assises</t>
  </si>
  <si>
    <t>Magistrats du siège Cour criminelle</t>
  </si>
  <si>
    <t>Magistrat du siège JIRS éco-fi</t>
  </si>
  <si>
    <t>Magistrat du siège JIRS crim-org</t>
  </si>
  <si>
    <t>Magistrat du siège sections spécialisées</t>
  </si>
  <si>
    <t>Magistrats du Siège activité contraventionnelle</t>
  </si>
  <si>
    <t>Magistrats activité juge départiteur</t>
  </si>
  <si>
    <t>Juges TJ Contentieux général &lt; 10 000 EUR</t>
  </si>
  <si>
    <t>Juges TJ  IP et Saisies Rém</t>
  </si>
  <si>
    <t>Juges du Pôle social</t>
  </si>
  <si>
    <t>JAF</t>
  </si>
  <si>
    <t>Activités non spécialisés des juges spécialisés</t>
  </si>
  <si>
    <t>JNS - HO - CRA - Contention (ex JLD civil)</t>
  </si>
  <si>
    <t>Autres Magistrats du Siège non spécialisés</t>
  </si>
  <si>
    <t>Magistrats du Parquet - activité civile et commerciale</t>
  </si>
  <si>
    <t>Magistrats du Parquet - exécution et appl. des peines</t>
  </si>
  <si>
    <t>Magistrats du Parquet JIRS éco-fi</t>
  </si>
  <si>
    <t>Magistrats du Parquet JIRS crim-org</t>
  </si>
  <si>
    <t>Magistrats du Parquet JIRS sections spécialisées</t>
  </si>
  <si>
    <t>Magistrats du Parquet assises</t>
  </si>
  <si>
    <t>Magistrats du Parquet Cour criminelle</t>
  </si>
  <si>
    <t>Magistrats du Parquet - activité contraventionnelle</t>
  </si>
  <si>
    <t>Autres Magistrats du Parquet</t>
  </si>
  <si>
    <t>ETPT_TJ</t>
  </si>
  <si>
    <t>166-01-NC</t>
  </si>
  <si>
    <t>Action 1 - Traitement et jugement des contentieux civils</t>
  </si>
  <si>
    <t>166-02-NC</t>
  </si>
  <si>
    <t>Action 2 - Traitement et jugement des affaires pénales</t>
  </si>
  <si>
    <t xml:space="preserve">
</t>
  </si>
  <si>
    <t>166-04-NC</t>
  </si>
  <si>
    <t>Action 4 - Conseil supérieur de la magistrature</t>
  </si>
  <si>
    <t xml:space="preserve">
</t>
  </si>
  <si>
    <t xml:space="preserve">
</t>
  </si>
  <si>
    <t>166-06-99</t>
  </si>
  <si>
    <t>Action 6 - Accueil du justiciable (inclus SAUJ)</t>
  </si>
  <si>
    <t>166-06-NC</t>
  </si>
  <si>
    <t>Action 6 - Soutien (Hors accueil du justiciable)</t>
  </si>
  <si>
    <t>166-07-NC</t>
  </si>
  <si>
    <t>Action 7 - Formation dispensée</t>
  </si>
  <si>
    <t>166-08-NC</t>
  </si>
  <si>
    <t>Action 8 - Support à l'accès au droit et à la justice</t>
  </si>
  <si>
    <t>166-99-NC</t>
  </si>
  <si>
    <t>Action 99 - Personnel concourant au programme - à reventiler</t>
  </si>
  <si>
    <t>166-NC-NC</t>
  </si>
  <si>
    <t>Etpt autres personnels à reventiler (dont droit local,commercial- rcs, mise à disposition)</t>
  </si>
  <si>
    <t>166-PA-NC</t>
  </si>
  <si>
    <t>Etpt placés additionnels</t>
  </si>
  <si>
    <t>166-PS-NC</t>
  </si>
  <si>
    <t>Etpt placés de substitution</t>
  </si>
  <si>
    <t>TOTAL ETPT</t>
  </si>
  <si>
    <t>Attention : par défaut, l'activité pénale recensée au niveau des TPR est comptabilisée sur le TJ</t>
  </si>
  <si>
    <t>Indisponibilité des placés à reporter sur le SAR, ligne "Etpt placés absents non affectés", colonne C-TECH</t>
  </si>
  <si>
    <t>Indisponibilité des placés à reporter sur le SAR, ligne "Etpt placés absents non affectés", colonne ABC-BUR</t>
  </si>
  <si>
    <t>Indisponibilité des placés à reporter sur la cour, ligne "Etpt placés absents non affectés", colonne "Autres Magistrats du Siège non spécialisés"</t>
  </si>
  <si>
    <t xml:space="preserve">DÉCLARATION ETPT TPRX
</t>
  </si>
  <si>
    <t>Total magistrats du siège activités spécifiques</t>
  </si>
  <si>
    <t>SIEGE  S</t>
  </si>
  <si>
    <t>Total magistrats du siège autres activités</t>
  </si>
  <si>
    <t>FONCTIONNAIRES_TI_DRT_LOCAL_RCS</t>
  </si>
  <si>
    <t>FONCTIONNAIRES_TI_AG_PACS_NAT</t>
  </si>
  <si>
    <t>FONCTIONNAIRES_TI_SURENDET</t>
  </si>
  <si>
    <t>FONCTIONNAIRES_TI_TUTELLES</t>
  </si>
  <si>
    <t>FONC_TPRX_JAF</t>
  </si>
  <si>
    <t>FONC_TPRX_TUT_MIN</t>
  </si>
  <si>
    <t>FONC_TPRX_CORREC</t>
  </si>
  <si>
    <t>FONC_TPRX_POLICE</t>
  </si>
  <si>
    <t>FONC_TPRX_AUT_CTX_TJ</t>
  </si>
  <si>
    <t>JUGE_LIVRE_FONCIER_JNS</t>
  </si>
  <si>
    <t>MAGISTRATS_TI_SR_IP</t>
  </si>
  <si>
    <t>MAGISTRATS_TI_SURENDET</t>
  </si>
  <si>
    <t>MAGISTRATS_TI_TUTELLES</t>
  </si>
  <si>
    <t>MAGISTRAT_TPRX_JAF</t>
  </si>
  <si>
    <t>MAGISTRAT_TPRX_TUT_MIN</t>
  </si>
  <si>
    <t>MAGISTRAT_TPRX_CORREC</t>
  </si>
  <si>
    <t>MAGISTRAT_TPRX_POLICE</t>
  </si>
  <si>
    <t>MAGISTRAT_TPRX_AUT_CTX_TJ</t>
  </si>
  <si>
    <t>MAGISTRATS_TGI_TI</t>
  </si>
  <si>
    <t>Fonctionnaires TPRX, Droit Local, Livre foncier, RCS,etc.</t>
  </si>
  <si>
    <t>Fonctionnaires TPRX IP, Saisies rém, Nationalité, actes de greffe, etc.</t>
  </si>
  <si>
    <t>Fonctionnaires TPRX affectés au surendettement et au Hors surendettement</t>
  </si>
  <si>
    <t>Fonctionnaires TPRX tutelles majeurs et vérification des comptes</t>
  </si>
  <si>
    <t>Fonctionnaires TPRX sur activité déléguée du TJ en matière : JAF</t>
  </si>
  <si>
    <t>Fonctionnaires TPRX sur activité déléguée du TJ en matière : Tutelles mineurs</t>
  </si>
  <si>
    <t>Fonctionnaires TPRX sur activité déléguée du TJ en matière  correctionnelle</t>
  </si>
  <si>
    <t>Fonctionnaires TPRX sur activité déléguée du TJ en matière de police</t>
  </si>
  <si>
    <t>Fonctionnaires TPRX sur activité déléguèe du TJ : Autres contentieux</t>
  </si>
  <si>
    <t>Juges du Livre Foncier + Juge d'Instance RCS et Droit Local</t>
  </si>
  <si>
    <t>Magistrats TPRX affectés aux saisies sur rémunération et IP</t>
  </si>
  <si>
    <t xml:space="preserve">Magistrats TPRX affectés au surendettement et au Hors surendettement </t>
  </si>
  <si>
    <t>Magistrats suivi tutelles majeurs et comptes</t>
  </si>
  <si>
    <t>Magistrat TPRX sur activité déléguée du TJ en matière : JAF</t>
  </si>
  <si>
    <t>Magistrat TPRX sur activité déléguée du TJ en matière : Tutelles mineurs</t>
  </si>
  <si>
    <t>Magistrat TPRX sur activité déléguée du TJ en matière correctionnelle</t>
  </si>
  <si>
    <t>Magistrat TPRX sur activité déléguée du TJ en matière de police</t>
  </si>
  <si>
    <t>Magistrat TPRX sur activité déléguée du TJ : Autres contentieux</t>
  </si>
  <si>
    <t>Magistrats du TJ affectés au TPRX</t>
  </si>
  <si>
    <t>ETPT_TPRX</t>
  </si>
  <si>
    <t>DÉCLARATION ETPT CPH</t>
  </si>
  <si>
    <t>JURISTE AS</t>
  </si>
  <si>
    <t>Total juristes assistants</t>
  </si>
  <si>
    <t>JUR_ASS_SIEGE</t>
  </si>
  <si>
    <t>Juristes assistants siège Autres</t>
  </si>
  <si>
    <t>ETPT_CPH</t>
  </si>
  <si>
    <t xml:space="preserve">                Agrégats DDG</t>
  </si>
  <si>
    <t xml:space="preserve">                 Déclaration des ETPT Attachés de Justice</t>
  </si>
  <si>
    <t>Total ETPT AJ_JA</t>
  </si>
  <si>
    <t>JUR_ASS_CH_SOC</t>
  </si>
  <si>
    <t>JA_CONT_A_JP</t>
  </si>
  <si>
    <t>JUR_ASS_TASS</t>
  </si>
  <si>
    <t>JUR_ASS_PARQUET</t>
  </si>
  <si>
    <t>JUR_ASS_JAP</t>
  </si>
  <si>
    <t>JUR_ASS_JE</t>
  </si>
  <si>
    <t>JUR_ASS_JINST</t>
  </si>
  <si>
    <t>JUR_ASS_JLD</t>
  </si>
  <si>
    <t>Sous action</t>
  </si>
  <si>
    <t>Contractuels A J Prox et A VIF</t>
  </si>
  <si>
    <t>Contractuels A J Prox et A VIF au Parquet</t>
  </si>
  <si>
    <t>Attachés de justice siège</t>
  </si>
  <si>
    <t>Attachés de justice siège affectés aux assises</t>
  </si>
  <si>
    <t>Attachés de justice siège affectés au CCD</t>
  </si>
  <si>
    <t>Attachés de justice au parquet</t>
  </si>
  <si>
    <t>Attachés de justice parquet affectés aux assises</t>
  </si>
  <si>
    <t>Attachés de justice parquet affectés aux CDD</t>
  </si>
  <si>
    <t>Attachés de justice affectés aux JAP</t>
  </si>
  <si>
    <t>Attachés de justice affectés aux JE</t>
  </si>
  <si>
    <t>Attachés de justice affectés aux Juge d'instruction</t>
  </si>
  <si>
    <t>Attachés de justice affectés aux JLD (pénal uniquement)</t>
  </si>
  <si>
    <t>ETPT_ATTACHES_JUSTICE</t>
  </si>
  <si>
    <t xml:space="preserve">                 DÉCLARATION ETPT TJ</t>
  </si>
  <si>
    <t xml:space="preserve">Fonctionnaires Assises (inclus JIRS) </t>
  </si>
  <si>
    <t>Magistrats du Siège assises (inclus JIRS)</t>
  </si>
  <si>
    <t>Magistrats du Parquet JIRS éco-fi (correctionnel)</t>
  </si>
  <si>
    <t>Magistrats du Parquet JIRS crim-org (correctionnel)</t>
  </si>
  <si>
    <t>Magistrats du Parquet JIRS sections spécialisées (correctionnel)</t>
  </si>
  <si>
    <t xml:space="preserve">Magistrats du Parquet assises (inclus JIRS) </t>
  </si>
  <si>
    <r>
      <t xml:space="preserve">Attention : 
- par défaut, l'activité pénale recensée au niveau des TPRX est comptabilisée sur le TJ, tout comme les activités éventuellement déléguées dans les TPRX et le soutien des agents affectés au CPH</t>
    </r>
    <r>
      <rPr>
        <b/>
        <color rgb="FF002060"/>
        <family val="2"/>
        <sz val="10"/>
        <rFont val="Arial"/>
      </rPr>
      <t xml:space="preserve"> </t>
    </r>
    <r>
      <rPr>
        <color rgb="FF002060"/>
        <family val="2"/>
        <sz val="10"/>
        <rFont val="Arial"/>
      </rPr>
      <t>: si vous souhaitez affiner à ce niveau de détail, il vous appartient de déduire les ETPT concernés des rubriques afférentes du TJ pour les reporter manuellement dans les cases ad hoc du TPRX ou du CPH.</t>
    </r>
    <r>
      <rPr>
        <b/>
        <color rgb="FFFF0000"/>
        <family val="2"/>
        <sz val="10"/>
        <rFont val="Arial"/>
      </rPr>
      <t xml:space="preserve">
- les indisponibilités des fonctionnaires et magistrats placés figurant dans les cases vertes supra ne sont calculées qu'à titre indicatif </t>
    </r>
    <r>
      <rPr>
        <color rgb="FF002060"/>
        <family val="2"/>
        <sz val="10"/>
        <rFont val="Arial"/>
      </rPr>
      <t>pour pouvoir être éventuellement communiquées à la CA et au SAR, en charge de ces effectifs.</t>
    </r>
  </si>
  <si>
    <t xml:space="preserve">                 DÉCLARATION ETPT TPRX</t>
  </si>
  <si>
    <t>Fonctionnaires hors fonctions spécifiques</t>
  </si>
  <si>
    <t>Magistrats TPRX affectés au surendettement et au Hors surendettement</t>
  </si>
  <si>
    <t>Magistrats du TJ affectés au TPRX (contentieux civil &lt; 10 000 EUR)</t>
  </si>
  <si>
    <r>
      <rPr>
        <b/>
        <color rgb="FF2D46E0"/>
        <family val="2"/>
        <scheme val="minor"/>
        <sz val="12"/>
        <rFont val="Calibri"/>
      </rPr>
      <t>→ Sélectionner la juridiction souhaitée à partir du menu déroulant qui se trouve dans la cellule D5 identifiée en</t>
    </r>
    <r>
      <rPr>
        <b/>
        <color rgb="FF860000"/>
        <family val="2"/>
        <scheme val="minor"/>
        <sz val="12"/>
        <rFont val="Calibri"/>
      </rPr>
      <t xml:space="preserve"> </t>
    </r>
    <r>
      <rPr>
        <b/>
        <color theme="5"/>
        <family val="2"/>
        <scheme val="minor"/>
        <sz val="12"/>
        <rFont val="Calibri"/>
      </rPr>
      <t>orange.</t>
    </r>
  </si>
  <si>
    <r>
      <t xml:space="preserve">Attention : par défaut, l'activité pénale recensée au niveau des TPRX est comptabilisée sur le TJ, tout comme les activités éventuellement déléguées dans les TPRX. 
</t>
    </r>
    <r>
      <rPr>
        <color rgb="FF002060"/>
        <family val="2"/>
        <sz val="11"/>
        <rFont val="Arial"/>
      </rPr>
      <t>Si des activités sont formellement déléguées du TJ au TPRX, ou si vous voulez faire apparaitre dans ce fichier les ETPT dédiés à l'activité pénale du TPRX, les ETPT correspondant doivent être manuellement reportés dans ce tableau et corrélativement soustraits des cases afférentes de l'onglet ETPT_TJ_DDG.</t>
    </r>
  </si>
  <si>
    <t xml:space="preserve">                 DÉCLARATION ETPT CPH</t>
  </si>
  <si>
    <r>
      <t xml:space="preserve">Attention : Les actions 6, 7, 8 et 99 des agents affectés au CPH ne peuvent être automatiquement reportées dans ce tableau et figurent par défaut dans l'onglet ETPT-TJ-DDG.
</t>
    </r>
    <r>
      <rPr>
        <color rgb="FF002060"/>
        <family val="2"/>
        <sz val="11"/>
        <rFont val="Arial"/>
      </rPr>
      <t>Si vous souhaitez détailler ces actions pour les agents affectés au CPH, il convient de les reporter manuellement dans le tableau ci-dessus et de les soustraire corrélativement des ETPT du TJ</t>
    </r>
  </si>
  <si>
    <t xml:space="preserve">                 DÉCLARATION ETPT ATTACHÉS DE JUSTICE</t>
  </si>
  <si>
    <t>TJ</t>
  </si>
  <si>
    <t>TPROX</t>
  </si>
  <si>
    <t>CPH</t>
  </si>
  <si>
    <t>CPH détachés</t>
  </si>
  <si>
    <t>#! END_ROW</t>
  </si>
  <si>
    <t>#! FINISH</t>
  </si>
  <si>
    <t>JNS_HO_CRA_CONTENTION_(EX JLD CIVIL)</t>
  </si>
  <si>
    <t>JLD</t>
  </si>
  <si>
    <r>
      <t xml:space="preserve">3.2 Protection des majeurs
</t>
    </r>
    <r>
      <rPr>
        <b/>
        <color rgb="FF0070C0"/>
        <family val="2"/>
        <sz val="7"/>
        <rFont val="Arial"/>
      </rPr>
      <t>(Pour Fonction recodée = Magistrats SIEGE S et NS)</t>
    </r>
    <r>
      <rPr>
        <family val="2"/>
        <sz val="7"/>
        <rFont val="Arial"/>
      </rPr>
      <t xml:space="preserve">
</t>
    </r>
    <r>
      <rPr>
        <b/>
        <color rgb="FFFF0000"/>
        <family val="2"/>
        <sz val="7"/>
        <rFont val="Arial"/>
      </rPr>
      <t xml:space="preserve">
Critère sur le TJ OU CPH</t>
    </r>
  </si>
  <si>
    <r>
      <t xml:space="preserve">3. Contentieux de la Protection - 3.2 Protection des majeurs - 3.43 Injonctions de payer - 3.44 Saisies des rémunérations
</t>
    </r>
    <r>
      <rPr>
        <b/>
        <color rgb="FF0070C0"/>
        <family val="2"/>
        <sz val="7"/>
        <rFont val="Arial"/>
      </rPr>
      <t xml:space="preserve">(Pour Fonction recodée = Magistrats SIEGE S et NS)
</t>
    </r>
    <r>
      <rPr>
        <b/>
        <color rgb="FFFF0000"/>
        <family val="2"/>
        <sz val="7"/>
        <rFont val="Arial"/>
      </rPr>
      <t>Critère sur le TJ OU CPH</t>
    </r>
  </si>
  <si>
    <r>
      <t xml:space="preserve">6.1 JE : activité civile
</t>
    </r>
    <r>
      <rPr>
        <b/>
        <color rgb="FF0070C0"/>
        <family val="2"/>
        <sz val="7"/>
        <rFont val="Arial"/>
      </rPr>
      <t xml:space="preserve">(Pour Fonction recodée = Magistrats SIEGE S et NS)
</t>
    </r>
    <r>
      <rPr>
        <family val="2"/>
        <sz val="7"/>
        <rFont val="Arial"/>
      </rPr>
      <t xml:space="preserve">
</t>
    </r>
    <r>
      <rPr>
        <b/>
        <color rgb="FFFF0000"/>
        <family val="2"/>
        <sz val="7"/>
        <rFont val="Arial"/>
      </rPr>
      <t>TJ et TPR ou CPH (donc pas de critère sur le TJ)</t>
    </r>
  </si>
  <si>
    <r>
      <rPr>
        <b/>
        <color rgb="FFFF0000"/>
        <family val="2"/>
        <sz val="7"/>
        <rFont val="Arial"/>
      </rPr>
      <t xml:space="preserve">1.1 Départage prud'homal 
</t>
    </r>
    <r>
      <rPr>
        <family val="2"/>
        <sz val="7"/>
        <rFont val="Arial"/>
      </rPr>
      <t xml:space="preserve">
</t>
    </r>
    <r>
      <rPr>
        <b/>
        <color rgb="FF0070C0"/>
        <family val="2"/>
        <sz val="7"/>
        <rFont val="Arial"/>
      </rPr>
      <t>(Pour Fonction recodée = Magistrats SIEGE S et NS)</t>
    </r>
    <r>
      <rPr>
        <family val="2"/>
        <sz val="7"/>
        <rFont val="Arial"/>
      </rPr>
      <t xml:space="preserve">
</t>
    </r>
    <r>
      <rPr>
        <b/>
        <color rgb="FFFF0000"/>
        <family val="2"/>
        <sz val="7"/>
        <rFont val="Arial"/>
      </rPr>
      <t xml:space="preserve">
Critère sur le TJ OU CPH</t>
    </r>
  </si>
  <si>
    <r>
      <t xml:space="preserve">4.0 Contentieux général &lt; 10000 euros
</t>
    </r>
    <r>
      <rPr>
        <b/>
        <color rgb="FF0070C0"/>
        <family val="2"/>
        <sz val="7"/>
        <rFont val="Arial"/>
      </rPr>
      <t xml:space="preserve">(Pour Fonction recodée = Magistrats SIEGE S et NS)
</t>
    </r>
    <r>
      <rPr>
        <b/>
        <color rgb="FFFF0000"/>
        <family val="2"/>
        <sz val="7"/>
        <rFont val="Arial"/>
      </rPr>
      <t xml:space="preserve">
Critère sur le TJ OU CPH</t>
    </r>
  </si>
  <si>
    <r>
      <t xml:space="preserve">3.43 Injonctions de payer + 3.44 Saisies des rémunérations
</t>
    </r>
    <r>
      <rPr>
        <b/>
        <color rgb="FF0070C0"/>
        <family val="2"/>
        <sz val="7"/>
        <rFont val="Arial"/>
      </rPr>
      <t>(Pour Fonction recodée = Magistrats SIEGE S et NS)</t>
    </r>
    <r>
      <rPr>
        <family val="2"/>
        <sz val="7"/>
        <rFont val="Arial"/>
      </rPr>
      <t xml:space="preserve">
</t>
    </r>
    <r>
      <rPr>
        <b/>
        <color rgb="FFFF0000"/>
        <family val="2"/>
        <sz val="7"/>
        <rFont val="Arial"/>
      </rPr>
      <t xml:space="preserve">
Critère sur le TJ OU CPH</t>
    </r>
  </si>
  <si>
    <r>
      <t xml:space="preserve">1. TOTAL CONTENTIEUX SOCIAL  
-
</t>
    </r>
    <r>
      <rPr>
        <b/>
        <color rgb="FFFF0000"/>
        <family val="2"/>
        <sz val="7"/>
        <rFont val="Arial"/>
      </rPr>
      <t xml:space="preserve">1.1 Départage prud'homal 
</t>
    </r>
    <r>
      <rPr>
        <family val="2"/>
        <sz val="7"/>
        <rFont val="Arial"/>
      </rPr>
      <t xml:space="preserve">
</t>
    </r>
    <r>
      <rPr>
        <b/>
        <color rgb="FF0070C0"/>
        <family val="2"/>
        <sz val="7"/>
        <rFont val="Arial"/>
      </rPr>
      <t xml:space="preserve">(Pour Fonction recodée = Magistrats SIEGE S et NS)
</t>
    </r>
    <r>
      <rPr>
        <b/>
        <color rgb="FFFF0000"/>
        <family val="2"/>
        <sz val="7"/>
        <rFont val="Arial"/>
      </rPr>
      <t>Critère sur le TJ OU CPH</t>
    </r>
  </si>
  <si>
    <r>
      <t xml:space="preserve">2. TOTAL CONTENTIEUX JAF
</t>
    </r>
    <r>
      <rPr>
        <b/>
        <color rgb="FF0070C0"/>
        <family val="2"/>
        <sz val="7"/>
        <rFont val="Arial"/>
      </rPr>
      <t>(Pour Fonction recodée = Magistrats SIEGE S et NS)</t>
    </r>
    <r>
      <rPr>
        <family val="2"/>
        <sz val="7"/>
        <rFont val="Arial"/>
      </rPr>
      <t xml:space="preserve">
</t>
    </r>
    <r>
      <rPr>
        <b/>
        <color rgb="FFFF0000"/>
        <family val="2"/>
        <sz val="7"/>
        <rFont val="Arial"/>
      </rPr>
      <t xml:space="preserve">
TJ et TPR et CPH (donc pas de critère sur le TJ)</t>
    </r>
  </si>
  <si>
    <r>
      <t xml:space="preserve">4. TOTAL CIVIL NON SPÉCIALISÉ 
-
4.0 Contentieux général &lt; 10000 euros
</t>
    </r>
    <r>
      <rPr>
        <b/>
        <color rgb="FF0070C0"/>
        <family val="2"/>
        <sz val="7"/>
        <rFont val="Arial"/>
      </rPr>
      <t xml:space="preserve">(Pour Fonction recodée = Magistrats SIEGE S)
</t>
    </r>
    <r>
      <rPr>
        <family val="2"/>
        <sz val="7"/>
        <rFont val="Arial"/>
      </rPr>
      <t xml:space="preserve">
</t>
    </r>
    <r>
      <rPr>
        <b/>
        <color rgb="FFFF0000"/>
        <family val="2"/>
        <sz val="7"/>
        <rFont val="Arial"/>
      </rPr>
      <t>Critère sur le TJ ou CPH</t>
    </r>
  </si>
  <si>
    <t xml:space="preserve">5. TOTAL JLD CIVIL
(Pour Fonction recodée = Magistrats SIEGE S et NS)
TJ et TPR ou CPH (donc pas de critère sur le TJ)</t>
  </si>
  <si>
    <r>
      <t xml:space="preserve">4. TOTAL CIVIL NON SPÉCIALISÉ - 4.0 Contentieux général &lt; 10000 euros
</t>
    </r>
    <r>
      <rPr>
        <b/>
        <color rgb="FF0070C0"/>
        <family val="2"/>
        <sz val="7"/>
        <rFont val="Arial"/>
      </rPr>
      <t xml:space="preserve">(Pour Fonction recodée = Magistrats SIEGE NS)
</t>
    </r>
    <r>
      <rPr>
        <family val="2"/>
        <sz val="7"/>
        <rFont val="Arial"/>
      </rPr>
      <t xml:space="preserve">
</t>
    </r>
    <r>
      <rPr>
        <b/>
        <color rgb="FFFF0000"/>
        <family val="2"/>
        <sz val="7"/>
        <rFont val="Arial"/>
      </rPr>
      <t>Critère sur le TJ ou CPH</t>
    </r>
  </si>
  <si>
    <r>
      <t xml:space="preserve">8.1 Service général
</t>
    </r>
    <r>
      <rPr>
        <b/>
        <color rgb="FF0070C0"/>
        <family val="2"/>
        <sz val="7"/>
        <rFont val="Arial"/>
      </rPr>
      <t>(Pour Fonction recodée = Magistrats SIEGE S et NS)</t>
    </r>
    <r>
      <rPr>
        <family val="2"/>
        <sz val="7"/>
        <rFont val="Arial"/>
      </rPr>
      <t xml:space="preserve">
</t>
    </r>
    <r>
      <rPr>
        <b/>
        <color rgb="FFFF0000"/>
        <family val="2"/>
        <sz val="7"/>
        <rFont val="Arial"/>
      </rPr>
      <t xml:space="preserve">
TJ et TPR et CPH  (donc pas de critère sur le TJ)</t>
    </r>
  </si>
  <si>
    <r>
      <t xml:space="preserve">8.2 JIRS eco-fi
</t>
    </r>
    <r>
      <rPr>
        <b/>
        <color rgb="FF0070C0"/>
        <family val="2"/>
        <sz val="7"/>
        <rFont val="Arial"/>
      </rPr>
      <t>(Pour Fonction recodée = Magistrats SIEGE S et NS)</t>
    </r>
    <r>
      <rPr>
        <family val="2"/>
        <sz val="7"/>
        <rFont val="Arial"/>
      </rPr>
      <t xml:space="preserve">
</t>
    </r>
    <r>
      <rPr>
        <b/>
        <color rgb="FFFF0000"/>
        <family val="2"/>
        <sz val="7"/>
        <rFont val="Arial"/>
      </rPr>
      <t xml:space="preserve">
TJ et TPR et CPH (donc pas de critère sur le TJ)</t>
    </r>
  </si>
  <si>
    <r>
      <t xml:space="preserve">8.3 JIRS crim-org
</t>
    </r>
    <r>
      <rPr>
        <b/>
        <color rgb="FF0070C0"/>
        <family val="2"/>
        <sz val="7"/>
        <rFont val="Arial"/>
      </rPr>
      <t xml:space="preserve">(Pour Fonction recodée = Magistrats SIEGE S et NS)
</t>
    </r>
    <r>
      <rPr>
        <family val="2"/>
        <sz val="7"/>
        <rFont val="Arial"/>
      </rPr>
      <t xml:space="preserve">
</t>
    </r>
    <r>
      <rPr>
        <b/>
        <color rgb="FFFF0000"/>
        <family val="2"/>
        <sz val="7"/>
        <rFont val="Arial"/>
      </rPr>
      <t>TJ et TPR et CPH (donc pas de critère sur le TJ)</t>
    </r>
  </si>
  <si>
    <r>
      <t xml:space="preserve">8.4 autres sections spécialisées
</t>
    </r>
    <r>
      <rPr>
        <color theme="1"/>
        <family val="2"/>
        <sz val="7"/>
        <rFont val="Arial"/>
      </rPr>
      <t xml:space="preserve">+
8.11 ECO-FI HORS JIRS
</t>
    </r>
    <r>
      <rPr>
        <family val="2"/>
        <sz val="7"/>
        <rFont val="Arial"/>
      </rPr>
      <t xml:space="preserve">
</t>
    </r>
    <r>
      <rPr>
        <b/>
        <color rgb="FF0070C0"/>
        <family val="2"/>
        <sz val="7"/>
        <rFont val="Arial"/>
      </rPr>
      <t xml:space="preserve">(Pour Fonction recodée = Magistrats SIEGE S et NS)
</t>
    </r>
    <r>
      <rPr>
        <family val="2"/>
        <sz val="7"/>
        <rFont val="Arial"/>
      </rPr>
      <t xml:space="preserve">
</t>
    </r>
    <r>
      <rPr>
        <b/>
        <color rgb="FFFF0000"/>
        <family val="2"/>
        <sz val="7"/>
        <rFont val="Arial"/>
      </rPr>
      <t>TJ et TPR et CPH (donc pas de critère sur le TJ)</t>
    </r>
  </si>
  <si>
    <r>
      <t xml:space="preserve">9. TOTAL JAP
</t>
    </r>
    <r>
      <rPr>
        <b/>
        <color rgb="FF0070C0"/>
        <family val="2"/>
        <sz val="7"/>
        <rFont val="Arial"/>
      </rPr>
      <t>(Pour Fonction recodée = Magistrats SIEGE S et NS)</t>
    </r>
    <r>
      <rPr>
        <b/>
        <family val="2"/>
        <sz val="7"/>
        <rFont val="Arial"/>
      </rPr>
      <t xml:space="preserve">
</t>
    </r>
    <r>
      <rPr>
        <b/>
        <color rgb="FFFF0000"/>
        <family val="2"/>
        <sz val="7"/>
        <rFont val="Arial"/>
      </rPr>
      <t xml:space="preserve">
TJ et TPR et CPH (donc pas de critère sur le TJ)</t>
    </r>
  </si>
  <si>
    <r>
      <t xml:space="preserve">6.2 JE : activité pénale
</t>
    </r>
    <r>
      <rPr>
        <b/>
        <color rgb="FF0070C0"/>
        <family val="2"/>
        <sz val="7"/>
        <rFont val="Arial"/>
      </rPr>
      <t>(Pour Fonction recodée = Magistrats SIEGE S et NS)</t>
    </r>
    <r>
      <rPr>
        <color rgb="FF0070C0"/>
        <family val="2"/>
        <sz val="7"/>
        <rFont val="Arial"/>
      </rPr>
      <t xml:space="preserve">
</t>
    </r>
    <r>
      <rPr>
        <b/>
        <color rgb="FFFF0000"/>
        <family val="2"/>
        <sz val="7"/>
        <rFont val="Arial"/>
      </rPr>
      <t xml:space="preserve">
TJ et TPR et CPH (donc pas de critère sur le TJ)</t>
    </r>
  </si>
  <si>
    <r>
      <t xml:space="preserve">10. TOTAL JLD PÉNAL
</t>
    </r>
    <r>
      <rPr>
        <b/>
        <color rgb="FF0070C0"/>
        <family val="2"/>
        <sz val="7"/>
        <rFont val="Arial"/>
      </rPr>
      <t xml:space="preserve">(Pour Fonction recodée = Magistrats SIEGE S et NS)
</t>
    </r>
    <r>
      <rPr>
        <family val="2"/>
        <sz val="7"/>
        <rFont val="Arial"/>
      </rPr>
      <t xml:space="preserve">
</t>
    </r>
    <r>
      <rPr>
        <b/>
        <color rgb="FFFF0000"/>
        <family val="2"/>
        <sz val="7"/>
        <rFont val="Arial"/>
      </rPr>
      <t>TJ et TPR (donc pas de critère sur le TJ)</t>
    </r>
  </si>
  <si>
    <r>
      <t xml:space="preserve">7.5 + 7.51 Cour d'assises JIRS et hors JIRS
</t>
    </r>
    <r>
      <rPr>
        <b/>
        <color theme="8" tint="-0.249977111117893"/>
        <family val="2"/>
        <sz val="7"/>
        <rFont val="Arial"/>
      </rPr>
      <t xml:space="preserve">(Pour Fonction recodée = Magistrats SIEGE S et NS)
</t>
    </r>
    <r>
      <rPr>
        <b/>
        <color rgb="FFFF0000"/>
        <family val="2"/>
        <sz val="7"/>
        <rFont val="Arial"/>
      </rPr>
      <t>TJ et TPR et CPH (donc pas de critère sur le TJ)</t>
    </r>
  </si>
  <si>
    <r>
      <t>7.52 cour criminelle</t>
    </r>
    <r>
      <rPr>
        <b/>
        <color rgb="FFFF0000"/>
        <family val="2"/>
        <sz val="7"/>
        <rFont val="Arial"/>
      </rPr>
      <t xml:space="preserve">
</t>
    </r>
    <r>
      <rPr>
        <family val="2"/>
        <sz val="7"/>
        <rFont val="Arial"/>
      </rPr>
      <t xml:space="preserve">
</t>
    </r>
    <r>
      <rPr>
        <b/>
        <color theme="8" tint="-0.249977111117893"/>
        <family val="2"/>
        <sz val="7"/>
        <rFont val="Arial"/>
      </rPr>
      <t xml:space="preserve"> (Pour Fonction recodée = Magistrats SIEGE S et NS)
</t>
    </r>
    <r>
      <rPr>
        <b/>
        <color rgb="FFFF0000"/>
        <family val="2"/>
        <sz val="7"/>
        <rFont val="Arial"/>
      </rPr>
      <t>TJ et TPR et CPH (donc pas de critère sur le TJ)</t>
    </r>
  </si>
  <si>
    <r>
      <t xml:space="preserve">7.121 Collégiales JIRS eco-fi POUR LES JURIDICTIONS JIRS
</t>
    </r>
    <r>
      <rPr>
        <b/>
        <color rgb="FFFF0000"/>
        <family val="2"/>
        <sz val="7"/>
        <rFont val="Arial"/>
      </rPr>
      <t xml:space="preserve">
</t>
    </r>
    <r>
      <rPr>
        <b/>
        <color rgb="FF0070C0"/>
        <family val="2"/>
        <sz val="7"/>
        <rFont val="Arial"/>
      </rPr>
      <t xml:space="preserve"> (Pour Fonction recodée = Magistrats SIEGE S et NS)
</t>
    </r>
    <r>
      <rPr>
        <b/>
        <color rgb="FFFF0000"/>
        <family val="2"/>
        <sz val="7"/>
        <rFont val="Arial"/>
      </rPr>
      <t xml:space="preserve">
TJ et TPR et CPH (donc pas de critère sur le TJ)</t>
    </r>
  </si>
  <si>
    <r>
      <t xml:space="preserve">7.12 Collégiales JIRS crim-org
</t>
    </r>
    <r>
      <rPr>
        <b/>
        <color rgb="FFFF0000"/>
        <family val="2"/>
        <sz val="7"/>
        <rFont val="Arial"/>
      </rPr>
      <t xml:space="preserve">
 </t>
    </r>
    <r>
      <rPr>
        <b/>
        <color rgb="FF0070C0"/>
        <family val="2"/>
        <sz val="7"/>
        <rFont val="Arial"/>
      </rPr>
      <t>(Pour Fonction recodée = Magistrats SIEGE S et NS)</t>
    </r>
    <r>
      <rPr>
        <b/>
        <color rgb="FFFF0000"/>
        <family val="2"/>
        <sz val="7"/>
        <rFont val="Arial"/>
      </rPr>
      <t xml:space="preserve">
TJ et TPR et CPH (donc pas de critère sur le TJ)</t>
    </r>
  </si>
  <si>
    <r>
      <t xml:space="preserve">7.122 Collégiales autres sections spécialisées + 7.121 Collégiales eco-fi POUR LES JURIDICTIONS NON JIRS
</t>
    </r>
    <r>
      <rPr>
        <b/>
        <color rgb="FFFF0000"/>
        <family val="2"/>
        <sz val="7"/>
        <rFont val="Arial"/>
      </rPr>
      <t xml:space="preserve">
 </t>
    </r>
    <r>
      <rPr>
        <b/>
        <color rgb="FF0070C0"/>
        <family val="2"/>
        <sz val="7"/>
        <rFont val="Arial"/>
      </rPr>
      <t>(Pour Fonction recodée = Magistrats SIEGE S et NS)</t>
    </r>
    <r>
      <rPr>
        <b/>
        <color rgb="FFFF0000"/>
        <family val="2"/>
        <sz val="7"/>
        <rFont val="Arial"/>
      </rPr>
      <t xml:space="preserve">
TJ et TPR et CPH (donc pas de critère sur le TJ)</t>
    </r>
  </si>
  <si>
    <r>
      <t xml:space="preserve">7.6 Tribunal de police + 7.7 OP contraventionnelles
</t>
    </r>
    <r>
      <rPr>
        <b/>
        <color rgb="FFFF0000"/>
        <family val="2"/>
        <sz val="7"/>
        <rFont val="Arial"/>
      </rPr>
      <t xml:space="preserve">
</t>
    </r>
    <r>
      <rPr>
        <b/>
        <color rgb="FF0070C0"/>
        <family val="2"/>
        <sz val="7"/>
        <rFont val="Arial"/>
      </rPr>
      <t xml:space="preserve"> (Pour Fonction recodée = Magistrats SIEGE S et NS)
</t>
    </r>
    <r>
      <rPr>
        <b/>
        <color rgb="FFFF0000"/>
        <family val="2"/>
        <sz val="7"/>
        <rFont val="Arial"/>
      </rPr>
      <t xml:space="preserve">
TJ et TPR et CPH (donc pas de critère sur le TJ)</t>
    </r>
  </si>
  <si>
    <r>
      <t>7. TOTAL SIÈGE PÉNAL - 7.5. COUR D'ASSISES HORS JIRS - 7.51. COUR D'ASSISES JIRS - 7.52. COUR CRIMINELLE - 7.121. COLLÉGIALES JIRS ÉCO-FI - 7.12. COLLÉGIALES JIRS CRIM-ORG - 7.122. COLLÉGIALES AUTRES SECTIONS SPÉCIALISÉES - 7.6. TRIBUNAL DE POLICE - 7.7. OP CONTRAVENTIONNELLES</t>
    </r>
    <r>
      <rPr>
        <b/>
        <color rgb="FFFF0000"/>
        <family val="2"/>
        <sz val="7"/>
        <rFont val="Arial"/>
      </rPr>
      <t xml:space="preserve">
</t>
    </r>
    <r>
      <rPr>
        <family val="2"/>
        <sz val="7"/>
        <rFont val="Arial"/>
      </rPr>
      <t xml:space="preserve">
</t>
    </r>
    <r>
      <rPr>
        <b/>
        <color rgb="FF0070C0"/>
        <family val="2"/>
        <sz val="7"/>
        <rFont val="Arial"/>
      </rPr>
      <t xml:space="preserve">(Pour Fonction recodée = Magistrats SIEGE S)
</t>
    </r>
    <r>
      <rPr>
        <b/>
        <color rgb="FFFF0000"/>
        <family val="2"/>
        <sz val="7"/>
        <rFont val="Arial"/>
      </rPr>
      <t xml:space="preserve">
TJ et TPR et CPH (donc pas de critère sur le TJ)</t>
    </r>
  </si>
  <si>
    <r>
      <t>7. TOTAL SIÈGE PÉNAL - 7.5. COUR D'ASSISES HORS JIRS - 7.51. COUR D'ASSISES JIRS - 7.52. COUR CRIMINELLE - 7.121. COLLÉGIALES JIRS ÉCO-FI - 7.12. COLLÉGIALES JIRS CRIM-ORG - 7.122. COLLÉGIALES AUTRES SECTIONS SPÉCIALISÉES - 7.6. TRIBUNAL DE POLICE - 7.7. OP CONTRAVENTIONNELLES</t>
    </r>
    <r>
      <rPr>
        <b/>
        <color rgb="FFFF0000"/>
        <family val="2"/>
        <sz val="7"/>
        <rFont val="Arial"/>
      </rPr>
      <t xml:space="preserve">
</t>
    </r>
    <r>
      <rPr>
        <family val="2"/>
        <sz val="7"/>
        <rFont val="Arial"/>
      </rPr>
      <t xml:space="preserve">
</t>
    </r>
    <r>
      <rPr>
        <b/>
        <color rgb="FF0070C0"/>
        <family val="2"/>
        <sz val="7"/>
        <rFont val="Arial"/>
      </rPr>
      <t xml:space="preserve">(Pour Fonction recodée = Magistrats SIEGE NS)
</t>
    </r>
    <r>
      <rPr>
        <b/>
        <color rgb="FFFF0000"/>
        <family val="2"/>
        <sz val="7"/>
        <rFont val="Arial"/>
      </rPr>
      <t xml:space="preserve">
TJ et TPR et CPH (donc pas de critère sur le TJ)</t>
    </r>
  </si>
  <si>
    <r>
      <t xml:space="preserve">11.5 CSM
</t>
    </r>
    <r>
      <rPr>
        <b/>
        <color rgb="FF0070C0"/>
        <family val="2"/>
        <sz val="7"/>
        <rFont val="Arial"/>
      </rPr>
      <t xml:space="preserve">(pour Fonction JCP seulement)
</t>
    </r>
    <r>
      <rPr>
        <family val="2"/>
        <sz val="7"/>
        <rFont val="Arial"/>
      </rPr>
      <t xml:space="preserve">
</t>
    </r>
    <r>
      <rPr>
        <b/>
        <color rgb="FFFF0000"/>
        <family val="2"/>
        <sz val="7"/>
        <rFont val="Arial"/>
      </rPr>
      <t>Critère sur le TJ et le CPH</t>
    </r>
  </si>
  <si>
    <r>
      <t xml:space="preserve">11.5 CSM
</t>
    </r>
    <r>
      <rPr>
        <b/>
        <color rgb="FF0070C0"/>
        <family val="2"/>
        <sz val="7"/>
        <rFont val="Arial"/>
      </rPr>
      <t>(pour Fonction JI seulement)</t>
    </r>
    <r>
      <rPr>
        <family val="2"/>
        <sz val="7"/>
        <rFont val="Arial"/>
      </rPr>
      <t xml:space="preserve">
</t>
    </r>
    <r>
      <rPr>
        <b/>
        <color rgb="FFFF0000"/>
        <family val="2"/>
        <sz val="7"/>
        <rFont val="Arial"/>
      </rPr>
      <t xml:space="preserve">
Critère sur le TJ et CPH</t>
    </r>
  </si>
  <si>
    <r>
      <t xml:space="preserve">11.5 CSM
</t>
    </r>
    <r>
      <rPr>
        <b/>
        <color rgb="FF0070C0"/>
        <family val="2"/>
        <sz val="7"/>
        <rFont val="Arial"/>
      </rPr>
      <t xml:space="preserve">(pour Fonction JAP seulement)
</t>
    </r>
    <r>
      <rPr>
        <family val="2"/>
        <sz val="7"/>
        <rFont val="Arial"/>
      </rPr>
      <t xml:space="preserve">
</t>
    </r>
    <r>
      <rPr>
        <b/>
        <color rgb="FFFF0000"/>
        <family val="2"/>
        <sz val="7"/>
        <rFont val="Arial"/>
      </rPr>
      <t>Critère sur le TJ et CPH</t>
    </r>
  </si>
  <si>
    <r>
      <t xml:space="preserve">11.5 CSM
</t>
    </r>
    <r>
      <rPr>
        <b/>
        <color rgb="FF0070C0"/>
        <family val="2"/>
        <sz val="7"/>
        <rFont val="Arial"/>
      </rPr>
      <t>(pour Fonction JE seulement)</t>
    </r>
    <r>
      <rPr>
        <family val="2"/>
        <sz val="7"/>
        <rFont val="Arial"/>
      </rPr>
      <t xml:space="preserve">
</t>
    </r>
    <r>
      <rPr>
        <b/>
        <color rgb="FFFF0000"/>
        <family val="2"/>
        <sz val="7"/>
        <rFont val="Arial"/>
      </rPr>
      <t xml:space="preserve">
Critère sur le TJ et CPH</t>
    </r>
  </si>
  <si>
    <r>
      <t xml:space="preserve">11.5 CSM
</t>
    </r>
    <r>
      <rPr>
        <b/>
        <color rgb="FF0070C0"/>
        <family val="2"/>
        <sz val="7"/>
        <rFont val="Arial"/>
      </rPr>
      <t xml:space="preserve">(pour Fonction JLD seulement)
</t>
    </r>
    <r>
      <rPr>
        <family val="2"/>
        <sz val="7"/>
        <rFont val="Arial"/>
      </rPr>
      <t xml:space="preserve">
</t>
    </r>
    <r>
      <rPr>
        <b/>
        <color rgb="FFFF0000"/>
        <family val="2"/>
        <sz val="7"/>
        <rFont val="Arial"/>
      </rPr>
      <t>Critère sur le TJ et CPH</t>
    </r>
  </si>
  <si>
    <r>
      <t xml:space="preserve">11.5 CSM
</t>
    </r>
    <r>
      <rPr>
        <b/>
        <color rgb="FF0070C0"/>
        <family val="2"/>
        <sz val="7"/>
        <rFont val="Arial"/>
      </rPr>
      <t xml:space="preserve">(Pour Fonction recodée = Magistrats SIEGE NS)
</t>
    </r>
    <r>
      <rPr>
        <family val="2"/>
        <sz val="7"/>
        <rFont val="Arial"/>
      </rPr>
      <t xml:space="preserve">
</t>
    </r>
    <r>
      <rPr>
        <b/>
        <color rgb="FFFF0000"/>
        <family val="2"/>
        <sz val="7"/>
        <rFont val="Arial"/>
      </rPr>
      <t>Critère sur le TJ et CPH</t>
    </r>
  </si>
  <si>
    <r>
      <t xml:space="preserve">11.51 Accueil du justiciable
</t>
    </r>
    <r>
      <rPr>
        <b/>
        <color rgb="FF0070C0"/>
        <family val="2"/>
        <sz val="7"/>
        <rFont val="Arial"/>
      </rPr>
      <t xml:space="preserve">(pour Fonction JCP seulement)
</t>
    </r>
    <r>
      <rPr>
        <family val="2"/>
        <sz val="7"/>
        <rFont val="Arial"/>
      </rPr>
      <t xml:space="preserve">
</t>
    </r>
    <r>
      <rPr>
        <b/>
        <color rgb="FFFF0000"/>
        <family val="2"/>
        <sz val="7"/>
        <rFont val="Arial"/>
      </rPr>
      <t>Critère sur le TJ et CPH</t>
    </r>
  </si>
  <si>
    <r>
      <t xml:space="preserve">11.51 Accueil du justiciable
</t>
    </r>
    <r>
      <rPr>
        <b/>
        <color rgb="FF0070C0"/>
        <family val="2"/>
        <sz val="7"/>
        <rFont val="Arial"/>
      </rPr>
      <t xml:space="preserve">(pour Fonction JI seulement)
</t>
    </r>
    <r>
      <rPr>
        <family val="2"/>
        <sz val="7"/>
        <rFont val="Arial"/>
      </rPr>
      <t xml:space="preserve">
</t>
    </r>
    <r>
      <rPr>
        <b/>
        <color rgb="FFFF0000"/>
        <family val="2"/>
        <sz val="7"/>
        <rFont val="Arial"/>
      </rPr>
      <t>Critère sur le TJ et CPH</t>
    </r>
  </si>
  <si>
    <r>
      <t xml:space="preserve">11.51 Accueil du justiciable
</t>
    </r>
    <r>
      <rPr>
        <b/>
        <color rgb="FF0070C0"/>
        <family val="2"/>
        <sz val="7"/>
        <rFont val="Arial"/>
      </rPr>
      <t xml:space="preserve">(pour Fonction JAP seulement)
</t>
    </r>
    <r>
      <rPr>
        <family val="2"/>
        <sz val="7"/>
        <rFont val="Arial"/>
      </rPr>
      <t xml:space="preserve">
</t>
    </r>
    <r>
      <rPr>
        <b/>
        <color rgb="FFFF0000"/>
        <family val="2"/>
        <sz val="7"/>
        <rFont val="Arial"/>
      </rPr>
      <t>Critère sur le TJ et CPH</t>
    </r>
  </si>
  <si>
    <r>
      <t xml:space="preserve">11.51 Accueil du justiciable
</t>
    </r>
    <r>
      <rPr>
        <b/>
        <color rgb="FF0070C0"/>
        <family val="2"/>
        <sz val="7"/>
        <rFont val="Arial"/>
      </rPr>
      <t>(pour Fonction JE seulement)</t>
    </r>
    <r>
      <rPr>
        <family val="2"/>
        <sz val="7"/>
        <rFont val="Arial"/>
      </rPr>
      <t xml:space="preserve">
</t>
    </r>
    <r>
      <rPr>
        <b/>
        <color rgb="FFFF0000"/>
        <family val="2"/>
        <sz val="7"/>
        <rFont val="Arial"/>
      </rPr>
      <t xml:space="preserve">
Critère sur le TJ et CPH</t>
    </r>
  </si>
  <si>
    <r>
      <t xml:space="preserve">11.51 Accueil du justiciable
</t>
    </r>
    <r>
      <rPr>
        <b/>
        <color rgb="FF0070C0"/>
        <family val="2"/>
        <sz val="7"/>
        <rFont val="Arial"/>
      </rPr>
      <t>(pour Fonction JLD seulement)</t>
    </r>
    <r>
      <rPr>
        <family val="2"/>
        <sz val="7"/>
        <rFont val="Arial"/>
      </rPr>
      <t xml:space="preserve">
</t>
    </r>
    <r>
      <rPr>
        <b/>
        <color rgb="FFFF0000"/>
        <family val="2"/>
        <sz val="7"/>
        <rFont val="Arial"/>
      </rPr>
      <t xml:space="preserve">
Critère sur le TJ et CPH</t>
    </r>
  </si>
  <si>
    <r>
      <t xml:space="preserve">11.51 Accueil du justiciable
</t>
    </r>
    <r>
      <rPr>
        <b/>
        <color rgb="FF0070C0"/>
        <family val="2"/>
        <sz val="7"/>
        <rFont val="Arial"/>
      </rPr>
      <t xml:space="preserve">(Pour Fonction recodée = Magistrats SIEGE NS)
</t>
    </r>
    <r>
      <rPr>
        <family val="2"/>
        <sz val="7"/>
        <rFont val="Arial"/>
      </rPr>
      <t xml:space="preserve">
</t>
    </r>
    <r>
      <rPr>
        <b/>
        <color rgb="FFFF0000"/>
        <family val="2"/>
        <sz val="7"/>
        <rFont val="Arial"/>
      </rPr>
      <t>Critère sur le TJ et CPH</t>
    </r>
  </si>
  <si>
    <r>
      <t>11.1 Soutien + 11.2 Formations suivies +</t>
    </r>
    <r>
      <rPr>
        <b/>
        <color rgb="FFFF0000"/>
        <family val="2"/>
        <sz val="7"/>
        <rFont val="Arial"/>
      </rPr>
      <t xml:space="preserve"> 11.6 Autres activités non juridictionnelles
 </t>
    </r>
    <r>
      <rPr>
        <family val="2"/>
        <sz val="7"/>
        <rFont val="Arial"/>
      </rPr>
      <t xml:space="preserve">
</t>
    </r>
    <r>
      <rPr>
        <b/>
        <color rgb="FF0070C0"/>
        <family val="2"/>
        <sz val="7"/>
        <rFont val="Arial"/>
      </rPr>
      <t xml:space="preserve">(pour Fonction JCP seulement)
</t>
    </r>
    <r>
      <rPr>
        <family val="2"/>
        <sz val="7"/>
        <rFont val="Arial"/>
      </rPr>
      <t xml:space="preserve">
</t>
    </r>
    <r>
      <rPr>
        <b/>
        <color rgb="FFFF0000"/>
        <family val="2"/>
        <sz val="7"/>
        <rFont val="Arial"/>
      </rPr>
      <t>Critère sur le TJ et CPH</t>
    </r>
  </si>
  <si>
    <r>
      <t xml:space="preserve">11.1 Soutien + 11.2 Formations suivies + </t>
    </r>
    <r>
      <rPr>
        <b/>
        <color rgb="FFFF0000"/>
        <family val="2"/>
        <sz val="7"/>
        <rFont val="Arial"/>
      </rPr>
      <t xml:space="preserve">11.6 Autres activités non juridictionnelles 
</t>
    </r>
    <r>
      <rPr>
        <family val="2"/>
        <sz val="7"/>
        <rFont val="Arial"/>
      </rPr>
      <t xml:space="preserve">
</t>
    </r>
    <r>
      <rPr>
        <b/>
        <color rgb="FF0070C0"/>
        <family val="2"/>
        <sz val="7"/>
        <rFont val="Arial"/>
      </rPr>
      <t xml:space="preserve">(pour Fonction JI seulement)
</t>
    </r>
    <r>
      <rPr>
        <family val="2"/>
        <sz val="7"/>
        <rFont val="Arial"/>
      </rPr>
      <t xml:space="preserve">
</t>
    </r>
    <r>
      <rPr>
        <b/>
        <color rgb="FFFF0000"/>
        <family val="2"/>
        <sz val="7"/>
        <rFont val="Arial"/>
      </rPr>
      <t>Critère sur le TJ et CPH</t>
    </r>
  </si>
  <si>
    <r>
      <t xml:space="preserve">11.1 Soutien + 11.2 Formations suivies + </t>
    </r>
    <r>
      <rPr>
        <b/>
        <color rgb="FFFF0000"/>
        <family val="2"/>
        <sz val="7"/>
        <rFont val="Arial"/>
      </rPr>
      <t>11.6 Autres activités non juridictionnelles</t>
    </r>
    <r>
      <rPr>
        <family val="2"/>
        <sz val="7"/>
        <rFont val="Arial"/>
      </rPr>
      <t xml:space="preserve"> 
</t>
    </r>
    <r>
      <rPr>
        <b/>
        <color rgb="FF0070C0"/>
        <family val="2"/>
        <sz val="7"/>
        <rFont val="Arial"/>
      </rPr>
      <t xml:space="preserve">(pour Fonction JAP seulement)
</t>
    </r>
    <r>
      <rPr>
        <family val="2"/>
        <sz val="7"/>
        <rFont val="Arial"/>
      </rPr>
      <t xml:space="preserve">
</t>
    </r>
    <r>
      <rPr>
        <b/>
        <color rgb="FFFF0000"/>
        <family val="2"/>
        <sz val="7"/>
        <rFont val="Arial"/>
      </rPr>
      <t>Critère sur le TJ et CPH</t>
    </r>
  </si>
  <si>
    <r>
      <t>11.1 Soutien + 11.2 Formations suivies +</t>
    </r>
    <r>
      <rPr>
        <b/>
        <color rgb="FFFF0000"/>
        <family val="2"/>
        <sz val="7"/>
        <rFont val="Arial"/>
      </rPr>
      <t xml:space="preserve"> 11.6 Autres activités non juridictionnelles 
</t>
    </r>
    <r>
      <rPr>
        <family val="2"/>
        <sz val="7"/>
        <rFont val="Arial"/>
      </rPr>
      <t xml:space="preserve">
</t>
    </r>
    <r>
      <rPr>
        <b/>
        <color rgb="FF0070C0"/>
        <family val="2"/>
        <sz val="7"/>
        <rFont val="Arial"/>
      </rPr>
      <t xml:space="preserve">(pour Fonction JE seulement)
</t>
    </r>
    <r>
      <rPr>
        <family val="2"/>
        <sz val="7"/>
        <rFont val="Arial"/>
      </rPr>
      <t xml:space="preserve">
</t>
    </r>
    <r>
      <rPr>
        <b/>
        <color rgb="FFFF0000"/>
        <family val="2"/>
        <sz val="7"/>
        <rFont val="Arial"/>
      </rPr>
      <t>Critère sur le TJ et CPH</t>
    </r>
  </si>
  <si>
    <r>
      <t>11.1 Soutien + 11.2 Formations suivies +</t>
    </r>
    <r>
      <rPr>
        <b/>
        <color rgb="FFFF0000"/>
        <family val="2"/>
        <sz val="7"/>
        <rFont val="Arial"/>
      </rPr>
      <t xml:space="preserve"> 11.6 Autres activités non juridictionnelles 
</t>
    </r>
    <r>
      <rPr>
        <family val="2"/>
        <sz val="7"/>
        <rFont val="Arial"/>
      </rPr>
      <t xml:space="preserve">
</t>
    </r>
    <r>
      <rPr>
        <b/>
        <color rgb="FF0070C0"/>
        <family val="2"/>
        <sz val="7"/>
        <rFont val="Arial"/>
      </rPr>
      <t xml:space="preserve">(pour Fonction JLD seulement)
</t>
    </r>
    <r>
      <rPr>
        <family val="2"/>
        <sz val="7"/>
        <rFont val="Arial"/>
      </rPr>
      <t xml:space="preserve">
</t>
    </r>
    <r>
      <rPr>
        <b/>
        <color rgb="FFFF0000"/>
        <family val="2"/>
        <sz val="7"/>
        <rFont val="Arial"/>
      </rPr>
      <t>Critère sur le TJ et CPH</t>
    </r>
  </si>
  <si>
    <r>
      <t>11.1 Soutien + 11.2 Formations suivies +</t>
    </r>
    <r>
      <rPr>
        <b/>
        <color rgb="FFFF0000"/>
        <family val="2"/>
        <sz val="7"/>
        <rFont val="Arial"/>
      </rPr>
      <t xml:space="preserve"> 11.6 Autres activités non juridictionnelles
 </t>
    </r>
    <r>
      <rPr>
        <family val="2"/>
        <sz val="7"/>
        <rFont val="Arial"/>
      </rPr>
      <t xml:space="preserve">
</t>
    </r>
    <r>
      <rPr>
        <b/>
        <color rgb="FF0070C0"/>
        <family val="2"/>
        <sz val="7"/>
        <rFont val="Arial"/>
      </rPr>
      <t xml:space="preserve">(Pour Fonction recodée = Magistrats SIEGE NS)
</t>
    </r>
    <r>
      <rPr>
        <family val="2"/>
        <sz val="7"/>
        <rFont val="Arial"/>
      </rPr>
      <t xml:space="preserve">
</t>
    </r>
    <r>
      <rPr>
        <b/>
        <color rgb="FFFF0000"/>
        <family val="2"/>
        <sz val="7"/>
        <rFont val="Arial"/>
      </rPr>
      <t>Critère sur le TJ et CPH</t>
    </r>
  </si>
  <si>
    <r>
      <t xml:space="preserve">11.3 Formations dispensées
</t>
    </r>
    <r>
      <rPr>
        <b/>
        <color rgb="FF0070C0"/>
        <family val="2"/>
        <sz val="7"/>
        <rFont val="Arial"/>
      </rPr>
      <t xml:space="preserve">(pour Fonction JCP seulement)
</t>
    </r>
    <r>
      <rPr>
        <family val="2"/>
        <sz val="7"/>
        <rFont val="Arial"/>
      </rPr>
      <t xml:space="preserve">
</t>
    </r>
    <r>
      <rPr>
        <b/>
        <color rgb="FFFF0000"/>
        <family val="2"/>
        <sz val="7"/>
        <rFont val="Arial"/>
      </rPr>
      <t>Critère sur le TJ et CPH</t>
    </r>
  </si>
  <si>
    <r>
      <t xml:space="preserve">11.3 Formations dispensées
</t>
    </r>
    <r>
      <rPr>
        <b/>
        <color rgb="FF0070C0"/>
        <family val="2"/>
        <sz val="7"/>
        <rFont val="Arial"/>
      </rPr>
      <t xml:space="preserve">(pour Fonction JI seulement)
</t>
    </r>
    <r>
      <rPr>
        <family val="2"/>
        <sz val="7"/>
        <rFont val="Arial"/>
      </rPr>
      <t xml:space="preserve">
</t>
    </r>
    <r>
      <rPr>
        <b/>
        <color rgb="FFFF0000"/>
        <family val="2"/>
        <sz val="7"/>
        <rFont val="Arial"/>
      </rPr>
      <t>Critère sur le TJ et CPH</t>
    </r>
  </si>
  <si>
    <r>
      <t xml:space="preserve">11.3 Formations dispensées
</t>
    </r>
    <r>
      <rPr>
        <b/>
        <color rgb="FF0070C0"/>
        <family val="2"/>
        <sz val="7"/>
        <rFont val="Arial"/>
      </rPr>
      <t xml:space="preserve">(pour Fonction JAP seulement)
</t>
    </r>
    <r>
      <rPr>
        <family val="2"/>
        <sz val="7"/>
        <rFont val="Arial"/>
      </rPr>
      <t xml:space="preserve">
</t>
    </r>
    <r>
      <rPr>
        <b/>
        <color rgb="FFFF0000"/>
        <family val="2"/>
        <sz val="7"/>
        <rFont val="Arial"/>
      </rPr>
      <t>Critère sur le TJ et CPH</t>
    </r>
  </si>
  <si>
    <r>
      <t xml:space="preserve">11.3 Formations dispensées
</t>
    </r>
    <r>
      <rPr>
        <b/>
        <color rgb="FF0070C0"/>
        <family val="2"/>
        <sz val="7"/>
        <rFont val="Arial"/>
      </rPr>
      <t xml:space="preserve">(pour Fonction JE seulement)
</t>
    </r>
    <r>
      <rPr>
        <family val="2"/>
        <sz val="7"/>
        <rFont val="Arial"/>
      </rPr>
      <t xml:space="preserve">
</t>
    </r>
    <r>
      <rPr>
        <b/>
        <color rgb="FFFF0000"/>
        <family val="2"/>
        <sz val="7"/>
        <rFont val="Arial"/>
      </rPr>
      <t>Critère sur le TJ et CPH</t>
    </r>
  </si>
  <si>
    <r>
      <t xml:space="preserve">11.3 Formations dispensées
</t>
    </r>
    <r>
      <rPr>
        <b/>
        <color rgb="FF0070C0"/>
        <family val="2"/>
        <sz val="7"/>
        <rFont val="Arial"/>
      </rPr>
      <t xml:space="preserve">(pour Fonction JLD  seulement)
</t>
    </r>
    <r>
      <rPr>
        <family val="2"/>
        <sz val="7"/>
        <rFont val="Arial"/>
      </rPr>
      <t xml:space="preserve">
</t>
    </r>
    <r>
      <rPr>
        <b/>
        <color rgb="FFFF0000"/>
        <family val="2"/>
        <sz val="7"/>
        <rFont val="Arial"/>
      </rPr>
      <t>Critère sur le TJ et CPH</t>
    </r>
  </si>
  <si>
    <r>
      <t xml:space="preserve">11.3 Formations dispensées
</t>
    </r>
    <r>
      <rPr>
        <b/>
        <color rgb="FF0070C0"/>
        <family val="2"/>
        <sz val="7"/>
        <rFont val="Arial"/>
      </rPr>
      <t xml:space="preserve">(Pour Fonction recodée = Magistrats SIEGE NS)
</t>
    </r>
    <r>
      <rPr>
        <family val="2"/>
        <sz val="7"/>
        <rFont val="Arial"/>
      </rPr>
      <t xml:space="preserve">
</t>
    </r>
    <r>
      <rPr>
        <b/>
        <color rgb="FFFF0000"/>
        <family val="2"/>
        <sz val="7"/>
        <rFont val="Arial"/>
      </rPr>
      <t>Critère sur le TJ et CPH</t>
    </r>
  </si>
  <si>
    <r>
      <t xml:space="preserve">11.4 Accès au droit et à la justice
</t>
    </r>
    <r>
      <rPr>
        <b/>
        <color rgb="FF0070C0"/>
        <family val="2"/>
        <sz val="7"/>
        <rFont val="Arial"/>
      </rPr>
      <t xml:space="preserve">(pour Fonction JCP seulement)
</t>
    </r>
    <r>
      <rPr>
        <family val="2"/>
        <sz val="7"/>
        <rFont val="Arial"/>
      </rPr>
      <t xml:space="preserve">
</t>
    </r>
    <r>
      <rPr>
        <b/>
        <color rgb="FFFF0000"/>
        <family val="2"/>
        <sz val="7"/>
        <rFont val="Arial"/>
      </rPr>
      <t>Critère sur le TJ et CPH</t>
    </r>
  </si>
  <si>
    <r>
      <t xml:space="preserve">11.4 Accès au droit et à la justice
</t>
    </r>
    <r>
      <rPr>
        <b/>
        <color rgb="FF0070C0"/>
        <family val="2"/>
        <sz val="7"/>
        <rFont val="Arial"/>
      </rPr>
      <t xml:space="preserve">(pour Fonction JI seulement)
</t>
    </r>
    <r>
      <rPr>
        <family val="2"/>
        <sz val="7"/>
        <rFont val="Arial"/>
      </rPr>
      <t xml:space="preserve">
</t>
    </r>
    <r>
      <rPr>
        <b/>
        <color rgb="FFFF0000"/>
        <family val="2"/>
        <sz val="7"/>
        <rFont val="Arial"/>
      </rPr>
      <t>Critère sur le TJ et CPH</t>
    </r>
  </si>
  <si>
    <r>
      <t xml:space="preserve">11.4 Accès au droit et à la justice
</t>
    </r>
    <r>
      <rPr>
        <b/>
        <color rgb="FF0070C0"/>
        <family val="2"/>
        <sz val="7"/>
        <rFont val="Arial"/>
      </rPr>
      <t xml:space="preserve">(pour Fonction JAP seulement)
</t>
    </r>
    <r>
      <rPr>
        <family val="2"/>
        <sz val="7"/>
        <rFont val="Arial"/>
      </rPr>
      <t xml:space="preserve">
</t>
    </r>
    <r>
      <rPr>
        <b/>
        <color rgb="FFFF0000"/>
        <family val="2"/>
        <sz val="7"/>
        <rFont val="Arial"/>
      </rPr>
      <t>Critère sur le TJ et CPH</t>
    </r>
  </si>
  <si>
    <r>
      <t xml:space="preserve">11.4 Accès au droit et à la justice
</t>
    </r>
    <r>
      <rPr>
        <b/>
        <color rgb="FF0070C0"/>
        <family val="2"/>
        <sz val="7"/>
        <rFont val="Arial"/>
      </rPr>
      <t xml:space="preserve">(pour Fonction JE seulement)
</t>
    </r>
    <r>
      <rPr>
        <family val="2"/>
        <sz val="7"/>
        <rFont val="Arial"/>
      </rPr>
      <t xml:space="preserve">
</t>
    </r>
    <r>
      <rPr>
        <b/>
        <color rgb="FFFF0000"/>
        <family val="2"/>
        <sz val="7"/>
        <rFont val="Arial"/>
      </rPr>
      <t>Critère sur le TJ et CPH</t>
    </r>
  </si>
  <si>
    <r>
      <t xml:space="preserve">11.4 Accès au droit et à la justice
</t>
    </r>
    <r>
      <rPr>
        <b/>
        <color rgb="FF0070C0"/>
        <family val="2"/>
        <sz val="7"/>
        <rFont val="Arial"/>
      </rPr>
      <t xml:space="preserve">(pour Fonction JLD  seulement)
</t>
    </r>
    <r>
      <rPr>
        <family val="2"/>
        <sz val="7"/>
        <rFont val="Arial"/>
      </rPr>
      <t xml:space="preserve">
</t>
    </r>
    <r>
      <rPr>
        <b/>
        <color rgb="FFFF0000"/>
        <family val="2"/>
        <sz val="7"/>
        <rFont val="Arial"/>
      </rPr>
      <t>Critère sur le TJ et CPH</t>
    </r>
  </si>
  <si>
    <r>
      <t xml:space="preserve">11.4 Accès au droit et à la justice
</t>
    </r>
    <r>
      <rPr>
        <b/>
        <color rgb="FF0070C0"/>
        <family val="2"/>
        <sz val="7"/>
        <rFont val="Arial"/>
      </rPr>
      <t xml:space="preserve">(Pour Fonction recodée = Magistrats SIEGE NS)
</t>
    </r>
    <r>
      <rPr>
        <family val="2"/>
        <sz val="7"/>
        <rFont val="Arial"/>
      </rPr>
      <t xml:space="preserve">
</t>
    </r>
    <r>
      <rPr>
        <b/>
        <color rgb="FFFF0000"/>
        <family val="2"/>
        <sz val="7"/>
        <rFont val="Arial"/>
      </rPr>
      <t>Critère sur le TJ et CPH</t>
    </r>
  </si>
  <si>
    <r>
      <t xml:space="preserve">12. TOTAL des INDISPONIBILITÉS relevant de l'action 99
-
12.5 MISE A DISPOSITION
</t>
    </r>
    <r>
      <rPr>
        <b/>
        <color rgb="FF0070C0"/>
        <family val="2"/>
        <sz val="7"/>
        <rFont val="Arial"/>
      </rPr>
      <t xml:space="preserve">
(pour Fonction JCP seulement)</t>
    </r>
    <r>
      <rPr>
        <family val="2"/>
        <sz val="7"/>
        <rFont val="Arial"/>
      </rPr>
      <t xml:space="preserve">
</t>
    </r>
    <r>
      <rPr>
        <b/>
        <color rgb="FFFF0000"/>
        <family val="2"/>
        <sz val="7"/>
        <rFont val="Arial"/>
      </rPr>
      <t xml:space="preserve">
Critère sur le TJ et CPH</t>
    </r>
  </si>
  <si>
    <r>
      <t xml:space="preserve">12. TOTAL des INDISPONIBILITÉS relevant de l'action 99
-
12.5 MISE A DISPOSITION
</t>
    </r>
    <r>
      <rPr>
        <b/>
        <color rgb="FF0070C0"/>
        <family val="2"/>
        <sz val="7"/>
        <rFont val="Arial"/>
      </rPr>
      <t xml:space="preserve">
(pour Fonction JI seulement)</t>
    </r>
    <r>
      <rPr>
        <family val="2"/>
        <sz val="7"/>
        <rFont val="Arial"/>
      </rPr>
      <t xml:space="preserve">
</t>
    </r>
    <r>
      <rPr>
        <b/>
        <color rgb="FFFF0000"/>
        <family val="2"/>
        <sz val="7"/>
        <rFont val="Arial"/>
      </rPr>
      <t xml:space="preserve">
Critère sur le TJ et CPH</t>
    </r>
  </si>
  <si>
    <r>
      <t xml:space="preserve">12. TOTAL des INDISPONIBILITÉS relevant de l'action 99
-
12.5 MISE A DISPOSITION
</t>
    </r>
    <r>
      <rPr>
        <b/>
        <color rgb="FF0070C0"/>
        <family val="2"/>
        <sz val="7"/>
        <rFont val="Arial"/>
      </rPr>
      <t xml:space="preserve">
(pour Fonction JAP seulement)</t>
    </r>
    <r>
      <rPr>
        <family val="2"/>
        <sz val="7"/>
        <rFont val="Arial"/>
      </rPr>
      <t xml:space="preserve">
</t>
    </r>
    <r>
      <rPr>
        <b/>
        <color rgb="FFFF0000"/>
        <family val="2"/>
        <sz val="7"/>
        <rFont val="Arial"/>
      </rPr>
      <t xml:space="preserve">
Critère sur le TJ et CPH</t>
    </r>
  </si>
  <si>
    <r>
      <t xml:space="preserve">12. TOTAL des INDISPONIBILITÉS relevant de l'action 99
-
12.5 MISE A DISPOSITION
</t>
    </r>
    <r>
      <rPr>
        <b/>
        <color rgb="FF0070C0"/>
        <family val="2"/>
        <sz val="7"/>
        <rFont val="Arial"/>
      </rPr>
      <t xml:space="preserve">
(pour Fonction JE seulement)</t>
    </r>
    <r>
      <rPr>
        <family val="2"/>
        <sz val="7"/>
        <rFont val="Arial"/>
      </rPr>
      <t xml:space="preserve">
</t>
    </r>
    <r>
      <rPr>
        <b/>
        <color rgb="FFFF0000"/>
        <family val="2"/>
        <sz val="7"/>
        <rFont val="Arial"/>
      </rPr>
      <t xml:space="preserve">
Critère sur le TJ et CPH</t>
    </r>
  </si>
  <si>
    <r>
      <t xml:space="preserve">12. TOTAL des INDISPONIBILITÉS relevant de l'action 99
-
12.5 MISE A DISPOSITION
</t>
    </r>
    <r>
      <rPr>
        <b/>
        <color rgb="FF0070C0"/>
        <family val="2"/>
        <sz val="7"/>
        <rFont val="Arial"/>
      </rPr>
      <t xml:space="preserve">
(pour Fonction JLD seulement)</t>
    </r>
    <r>
      <rPr>
        <family val="2"/>
        <sz val="7"/>
        <rFont val="Arial"/>
      </rPr>
      <t xml:space="preserve">
</t>
    </r>
    <r>
      <rPr>
        <b/>
        <color rgb="FFFF0000"/>
        <family val="2"/>
        <sz val="7"/>
        <rFont val="Arial"/>
      </rPr>
      <t xml:space="preserve">
Critère sur le TJ et CPH</t>
    </r>
  </si>
  <si>
    <r>
      <t xml:space="preserve">12. TOTAL des INDISPONIBILITÉS relevant de l'action 99
-
12.5 MISE A DISPOSITION
</t>
    </r>
    <r>
      <rPr>
        <b/>
        <color rgb="FF0070C0"/>
        <family val="2"/>
        <sz val="7"/>
        <rFont val="Arial"/>
      </rPr>
      <t xml:space="preserve">(Pour Fonction recodée = Magistrats SIEGE NS)
</t>
    </r>
    <r>
      <rPr>
        <family val="2"/>
        <sz val="7"/>
        <rFont val="Arial"/>
      </rPr>
      <t xml:space="preserve">
</t>
    </r>
    <r>
      <rPr>
        <b/>
        <color rgb="FFFF0000"/>
        <family val="2"/>
        <sz val="7"/>
        <rFont val="Arial"/>
      </rPr>
      <t>Critère sur le TJ et CPH</t>
    </r>
  </si>
  <si>
    <r>
      <t xml:space="preserve">12.5 MISE A DISPOSITION
</t>
    </r>
    <r>
      <rPr>
        <b/>
        <color rgb="FF0070C0"/>
        <family val="2"/>
        <sz val="7"/>
        <rFont val="Arial"/>
      </rPr>
      <t xml:space="preserve">
(pour Fonction JCP seulement)</t>
    </r>
    <r>
      <rPr>
        <family val="2"/>
        <sz val="7"/>
        <rFont val="Arial"/>
      </rPr>
      <t xml:space="preserve">
</t>
    </r>
    <r>
      <rPr>
        <b/>
        <color rgb="FFFF0000"/>
        <family val="2"/>
        <sz val="7"/>
        <rFont val="Arial"/>
      </rPr>
      <t xml:space="preserve">
Critère sur le TJ et CPH</t>
    </r>
  </si>
  <si>
    <r>
      <t xml:space="preserve">12.5 MISE A DISPOSITION
</t>
    </r>
    <r>
      <rPr>
        <b/>
        <color rgb="FF0070C0"/>
        <family val="2"/>
        <sz val="7"/>
        <rFont val="Arial"/>
      </rPr>
      <t xml:space="preserve">
(pour Fonction JI seulement)</t>
    </r>
    <r>
      <rPr>
        <family val="2"/>
        <sz val="7"/>
        <rFont val="Arial"/>
      </rPr>
      <t xml:space="preserve">
</t>
    </r>
    <r>
      <rPr>
        <b/>
        <color rgb="FFFF0000"/>
        <family val="2"/>
        <sz val="7"/>
        <rFont val="Arial"/>
      </rPr>
      <t xml:space="preserve">
Critère sur le TJ et CPH</t>
    </r>
  </si>
  <si>
    <r>
      <t xml:space="preserve">12.5 MISE A DISPOSITION
</t>
    </r>
    <r>
      <rPr>
        <b/>
        <color rgb="FF0070C0"/>
        <family val="2"/>
        <sz val="7"/>
        <rFont val="Arial"/>
      </rPr>
      <t xml:space="preserve">
(pour Fonction JAP seulement)</t>
    </r>
    <r>
      <rPr>
        <family val="2"/>
        <sz val="7"/>
        <rFont val="Arial"/>
      </rPr>
      <t xml:space="preserve">
</t>
    </r>
    <r>
      <rPr>
        <b/>
        <color rgb="FFFF0000"/>
        <family val="2"/>
        <sz val="7"/>
        <rFont val="Arial"/>
      </rPr>
      <t xml:space="preserve">
Critère sur le TJ et CPH</t>
    </r>
  </si>
  <si>
    <r>
      <t xml:space="preserve">12.5 MISE A DISPOSITION
</t>
    </r>
    <r>
      <rPr>
        <b/>
        <color rgb="FF0070C0"/>
        <family val="2"/>
        <sz val="7"/>
        <rFont val="Arial"/>
      </rPr>
      <t xml:space="preserve">
(pour Fonction JE seulement)</t>
    </r>
    <r>
      <rPr>
        <family val="2"/>
        <sz val="7"/>
        <rFont val="Arial"/>
      </rPr>
      <t xml:space="preserve">
</t>
    </r>
    <r>
      <rPr>
        <b/>
        <color rgb="FFFF0000"/>
        <family val="2"/>
        <sz val="7"/>
        <rFont val="Arial"/>
      </rPr>
      <t xml:space="preserve">
Critère sur le TJ et CPH</t>
    </r>
  </si>
  <si>
    <r>
      <t xml:space="preserve">12.5 MISE A DISPOSITION
</t>
    </r>
    <r>
      <rPr>
        <b/>
        <color rgb="FF0070C0"/>
        <family val="2"/>
        <sz val="7"/>
        <rFont val="Arial"/>
      </rPr>
      <t xml:space="preserve">
(pour Fonction JLD seulement)</t>
    </r>
    <r>
      <rPr>
        <family val="2"/>
        <sz val="7"/>
        <rFont val="Arial"/>
      </rPr>
      <t xml:space="preserve">
</t>
    </r>
    <r>
      <rPr>
        <b/>
        <color rgb="FFFF0000"/>
        <family val="2"/>
        <sz val="7"/>
        <rFont val="Arial"/>
      </rPr>
      <t xml:space="preserve">
Critère sur le TJ et CPH</t>
    </r>
  </si>
  <si>
    <r>
      <t xml:space="preserve">13. Contentieux locaux spécifiques
</t>
    </r>
    <r>
      <rPr>
        <b/>
        <color rgb="FF0070C0"/>
        <family val="2"/>
        <sz val="7"/>
        <rFont val="Arial"/>
      </rPr>
      <t xml:space="preserve">
(Pour Fonction recodée = Magistrats SIEGE S)</t>
    </r>
    <r>
      <rPr>
        <family val="2"/>
        <sz val="7"/>
        <rFont val="Arial"/>
      </rPr>
      <t xml:space="preserve">
</t>
    </r>
    <r>
      <rPr>
        <b/>
        <color rgb="FFFF0000"/>
        <family val="2"/>
        <sz val="7"/>
        <rFont val="Arial"/>
      </rPr>
      <t xml:space="preserve">
Critère sur le TJ et CPH</t>
    </r>
  </si>
  <si>
    <r>
      <t xml:space="preserve">12.5 MISE A DISPOSITION 
+
13. Contentieux locaux spécifiques
</t>
    </r>
    <r>
      <rPr>
        <b/>
        <color rgb="FF0070C0"/>
        <family val="2"/>
        <sz val="7"/>
        <rFont val="Arial"/>
      </rPr>
      <t xml:space="preserve">
(Pour Fonction recodée = Magistrats SIEGE NS)</t>
    </r>
    <r>
      <rPr>
        <family val="2"/>
        <sz val="7"/>
        <rFont val="Arial"/>
      </rPr>
      <t xml:space="preserve">
</t>
    </r>
    <r>
      <rPr>
        <b/>
        <color rgb="FFFF0000"/>
        <family val="2"/>
        <sz val="7"/>
        <rFont val="Arial"/>
      </rPr>
      <t xml:space="preserve">
Critère sur le TJ et CPH</t>
    </r>
  </si>
  <si>
    <r>
      <rPr>
        <b/>
        <color rgb="FFFF0000"/>
        <family val="2"/>
        <sz val="7"/>
        <rFont val="Arial"/>
      </rPr>
      <t>3.2 Protection des majeurs*</t>
    </r>
    <r>
      <rPr>
        <family val="2"/>
        <sz val="7"/>
        <rFont val="Arial"/>
      </rPr>
      <t xml:space="preserve">
</t>
    </r>
    <r>
      <rPr>
        <b/>
        <color rgb="FF0070C0"/>
        <family val="2"/>
        <sz val="7"/>
        <rFont val="Arial"/>
      </rPr>
      <t>(Pour Fonction recodée = Magistrat Placé ADD)</t>
    </r>
    <r>
      <rPr>
        <family val="2"/>
        <sz val="7"/>
        <rFont val="Arial"/>
      </rPr>
      <t xml:space="preserve">
</t>
    </r>
    <r>
      <rPr>
        <b/>
        <color rgb="FFFF0000"/>
        <family val="2"/>
        <sz val="7"/>
        <rFont val="Arial"/>
      </rPr>
      <t xml:space="preserve">
Critère sur le TJ OU CPH
</t>
    </r>
    <r>
      <rPr>
        <color rgb="FFFF0000"/>
        <family val="2"/>
        <sz val="7"/>
        <rFont val="Arial"/>
      </rPr>
      <t>*figurant dans l'onglet ETPT A-JUST</t>
    </r>
  </si>
  <si>
    <r>
      <rPr>
        <b/>
        <color rgb="FFFF0000"/>
        <family val="2"/>
        <sz val="7"/>
        <rFont val="Arial"/>
      </rPr>
      <t>3. Contentieux de la Protection - 3.2 Protection des majeurs - 3.43 Injonctions de payer - 3.44 Saisies des rémunérations*</t>
    </r>
    <r>
      <rPr>
        <family val="2"/>
        <sz val="7"/>
        <rFont val="Arial"/>
      </rPr>
      <t xml:space="preserve">
</t>
    </r>
    <r>
      <rPr>
        <b/>
        <color rgb="FF0070C0"/>
        <family val="2"/>
        <sz val="7"/>
        <rFont val="Arial"/>
      </rPr>
      <t xml:space="preserve">(Pour Fonction recodée = Magistrat Placé ADD)
</t>
    </r>
    <r>
      <rPr>
        <b/>
        <color rgb="FFFF0000"/>
        <family val="2"/>
        <sz val="7"/>
        <rFont val="Arial"/>
      </rPr>
      <t xml:space="preserve">Critère sur le TJ OU CPH
</t>
    </r>
    <r>
      <rPr>
        <color rgb="FFFF0000"/>
        <family val="2"/>
        <sz val="7"/>
        <rFont val="Arial"/>
      </rPr>
      <t xml:space="preserve">
*figurant dans l'onglet ETPT A-JUST</t>
    </r>
  </si>
  <si>
    <r>
      <rPr>
        <b/>
        <color rgb="FFFF0000"/>
        <family val="2"/>
        <sz val="7"/>
        <rFont val="Arial"/>
      </rPr>
      <t>8.1 Service général*</t>
    </r>
    <r>
      <rPr>
        <family val="2"/>
        <sz val="7"/>
        <rFont val="Arial"/>
      </rPr>
      <t xml:space="preserve">
</t>
    </r>
    <r>
      <rPr>
        <b/>
        <color rgb="FF0070C0"/>
        <family val="2"/>
        <sz val="7"/>
        <rFont val="Arial"/>
      </rPr>
      <t>(Pour Fonction recodée = Magistrat Placé ADD)</t>
    </r>
    <r>
      <rPr>
        <family val="2"/>
        <sz val="7"/>
        <rFont val="Arial"/>
      </rPr>
      <t xml:space="preserve">
</t>
    </r>
    <r>
      <rPr>
        <b/>
        <color rgb="FFFF0000"/>
        <family val="2"/>
        <sz val="7"/>
        <rFont val="Arial"/>
      </rPr>
      <t xml:space="preserve">
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</si>
  <si>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8.2 JIRS eco-fi*</t>
    </r>
    <r>
      <rPr>
        <family val="2"/>
        <sz val="7"/>
        <rFont val="Arial"/>
      </rPr>
      <t xml:space="preserve">
</t>
    </r>
    <r>
      <rPr>
        <b/>
        <color rgb="FF0070C0"/>
        <family val="2"/>
        <sz val="7"/>
        <rFont val="Arial"/>
      </rPr>
      <t xml:space="preserve">(Pour Fonction recodée = Magistrat Placé ADD)
</t>
    </r>
    <r>
      <rPr>
        <b/>
        <color rgb="FFFF0000"/>
        <family val="2"/>
        <sz val="7"/>
        <rFont val="Arial"/>
      </rPr>
      <t xml:space="preserve">
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</si>
  <si>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8.3 JIRS crim-org*</t>
    </r>
    <r>
      <rPr>
        <family val="2"/>
        <sz val="7"/>
        <rFont val="Arial"/>
      </rPr>
      <t xml:space="preserve">
</t>
    </r>
    <r>
      <rPr>
        <b/>
        <color rgb="FF0070C0"/>
        <family val="2"/>
        <sz val="7"/>
        <rFont val="Arial"/>
      </rPr>
      <t xml:space="preserve">(Pour Fonction recodée = Magistrat Placé ADD)
</t>
    </r>
    <r>
      <rPr>
        <family val="2"/>
        <sz val="7"/>
        <rFont val="Arial"/>
      </rPr>
      <t xml:space="preserve">
</t>
    </r>
    <r>
      <rPr>
        <b/>
        <color rgb="FFFF0000"/>
        <family val="2"/>
        <sz val="7"/>
        <rFont val="Arial"/>
      </rPr>
      <t>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</si>
  <si>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 xml:space="preserve">8.4 autres sections spécialisées
+
8.11 ECO-FI HORS JIRS*
</t>
    </r>
    <r>
      <rPr>
        <family val="2"/>
        <sz val="7"/>
        <rFont val="Arial"/>
      </rPr>
      <t xml:space="preserve">
</t>
    </r>
    <r>
      <rPr>
        <b/>
        <color rgb="FF0070C0"/>
        <family val="2"/>
        <sz val="7"/>
        <rFont val="Arial"/>
      </rPr>
      <t xml:space="preserve">(Pour Fonction recodée = Magistrat Placé ADD)
</t>
    </r>
    <r>
      <rPr>
        <family val="2"/>
        <sz val="7"/>
        <rFont val="Arial"/>
      </rPr>
      <t xml:space="preserve">
</t>
    </r>
    <r>
      <rPr>
        <b/>
        <color rgb="FFFF0000"/>
        <family val="2"/>
        <sz val="7"/>
        <rFont val="Arial"/>
      </rPr>
      <t>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</si>
  <si>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9. TOTAL JAP*</t>
    </r>
    <r>
      <rPr>
        <family val="2"/>
        <sz val="7"/>
        <rFont val="Arial"/>
      </rPr>
      <t xml:space="preserve">
</t>
    </r>
    <r>
      <rPr>
        <b/>
        <color rgb="FF0070C0"/>
        <family val="2"/>
        <sz val="7"/>
        <rFont val="Arial"/>
      </rPr>
      <t>(Pour Fonction recodée = Magistrat Placé ADD)</t>
    </r>
    <r>
      <rPr>
        <b/>
        <family val="2"/>
        <sz val="7"/>
        <rFont val="Arial"/>
      </rPr>
      <t xml:space="preserve">
</t>
    </r>
    <r>
      <rPr>
        <b/>
        <color rgb="FFFF0000"/>
        <family val="2"/>
        <sz val="7"/>
        <rFont val="Arial"/>
      </rPr>
      <t xml:space="preserve">
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</si>
  <si>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6.1 JE : activité civile + 6.2 JE : activité pénale*</t>
    </r>
    <r>
      <rPr>
        <family val="2"/>
        <sz val="7"/>
        <rFont val="Arial"/>
      </rPr>
      <t xml:space="preserve">
</t>
    </r>
    <r>
      <rPr>
        <b/>
        <color rgb="FFFF0000"/>
        <family val="2"/>
        <sz val="7"/>
        <rFont val="Arial"/>
      </rPr>
      <t xml:space="preserve">
</t>
    </r>
    <r>
      <rPr>
        <b/>
        <color rgb="FF0070C0"/>
        <family val="2"/>
        <sz val="7"/>
        <rFont val="Arial"/>
      </rPr>
      <t xml:space="preserve">(Pour Fonction recodée = Magistrat Placé ADD)
</t>
    </r>
    <r>
      <rPr>
        <b/>
        <color rgb="FFFF0000"/>
        <family val="2"/>
        <sz val="7"/>
        <rFont val="Arial"/>
      </rPr>
      <t>TJ et TPR et CPH  (donc pas de critère sur le TJ)</t>
    </r>
    <r>
      <rPr>
        <family val="2"/>
        <sz val="7"/>
        <rFont val="Arial"/>
      </rPr>
      <t xml:space="preserve">
</t>
    </r>
    <r>
      <rPr>
        <color rgb="FFFF0000"/>
        <family val="2"/>
        <sz val="7"/>
        <rFont val="Arial"/>
      </rPr>
      <t xml:space="preserve">
*figurant dans l'onglet ETPT A-JUST</t>
    </r>
  </si>
  <si>
    <r>
      <rPr>
        <b/>
        <color rgb="FFFF0000"/>
        <family val="2"/>
        <sz val="7"/>
        <rFont val="Arial"/>
      </rPr>
      <t>10. TOTAL JLD PÉNAL*</t>
    </r>
    <r>
      <rPr>
        <family val="2"/>
        <sz val="7"/>
        <rFont val="Arial"/>
      </rPr>
      <t xml:space="preserve">
</t>
    </r>
    <r>
      <rPr>
        <b/>
        <color rgb="FFFF0000"/>
        <family val="2"/>
        <sz val="7"/>
        <rFont val="Arial"/>
      </rPr>
      <t xml:space="preserve">
</t>
    </r>
    <r>
      <rPr>
        <b/>
        <color rgb="FF0070C0"/>
        <family val="2"/>
        <sz val="7"/>
        <rFont val="Arial"/>
      </rPr>
      <t xml:space="preserve">(Pour Fonction recodée = Magistrat Placé ADD)
</t>
    </r>
    <r>
      <rPr>
        <b/>
        <color rgb="FFFF0000"/>
        <family val="2"/>
        <sz val="7"/>
        <rFont val="Arial"/>
      </rPr>
      <t xml:space="preserve">
TJ et TPR et CPH  (donc pas de critère sur le TJ)
</t>
    </r>
    <r>
      <rPr>
        <color rgb="FFFF0000"/>
        <family val="2"/>
        <sz val="7"/>
        <rFont val="Arial"/>
      </rPr>
      <t>*figurant dans l'onglet ETPT A-JUST</t>
    </r>
  </si>
  <si>
    <r>
      <rPr>
        <b/>
        <color rgb="FFFF0000"/>
        <family val="2"/>
        <sz val="7"/>
        <rFont val="Arial"/>
      </rPr>
      <t>7.5 + 7.51 Cour d'assises JIRS et hors JIRS*</t>
    </r>
    <r>
      <rPr>
        <family val="2"/>
        <sz val="7"/>
        <rFont val="Arial"/>
      </rPr>
      <t xml:space="preserve">
</t>
    </r>
    <r>
      <rPr>
        <b/>
        <color theme="8" tint="-0.249977111117893"/>
        <family val="2"/>
        <sz val="7"/>
        <rFont val="Arial"/>
      </rPr>
      <t xml:space="preserve">(Pour Fonction recodée = Magistrat Placé ADD)
</t>
    </r>
    <r>
      <rPr>
        <b/>
        <color rgb="FFFF0000"/>
        <family val="2"/>
        <sz val="7"/>
        <rFont val="Arial"/>
      </rPr>
      <t>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</si>
  <si>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 xml:space="preserve">7.52 cour criminelle*
</t>
    </r>
    <r>
      <rPr>
        <family val="2"/>
        <sz val="7"/>
        <rFont val="Arial"/>
      </rPr>
      <t xml:space="preserve">
</t>
    </r>
    <r>
      <rPr>
        <b/>
        <color theme="8" tint="-0.249977111117893"/>
        <family val="2"/>
        <sz val="7"/>
        <rFont val="Arial"/>
      </rPr>
      <t xml:space="preserve">(Pour Fonction recodée = Magistrat Placé ADD)
</t>
    </r>
    <r>
      <rPr>
        <b/>
        <color rgb="FFFF0000"/>
        <family val="2"/>
        <sz val="7"/>
        <rFont val="Arial"/>
      </rPr>
      <t xml:space="preserve">TJ et TPR et CPH (donc pas de critère sur le TJ)
</t>
    </r>
    <r>
      <rPr>
        <color rgb="FFFF0000"/>
        <family val="2"/>
        <sz val="7"/>
        <rFont val="Arial"/>
      </rPr>
      <t>*figurant dans l'onglet ETPT A-JUST</t>
    </r>
  </si>
  <si>
    <r>
      <rPr>
        <b/>
        <color rgb="FFFF0000"/>
        <family val="2"/>
        <sz val="7"/>
        <rFont val="Arial"/>
      </rPr>
      <t>7.121 Collégiales JIRS eco-fi POUR LES JURIDICTIONS JIRS*</t>
    </r>
    <r>
      <rPr>
        <family val="2"/>
        <sz val="7"/>
        <rFont val="Arial"/>
      </rPr>
      <t xml:space="preserve">
</t>
    </r>
    <r>
      <rPr>
        <b/>
        <color rgb="FFFF0000"/>
        <family val="2"/>
        <sz val="7"/>
        <rFont val="Arial"/>
      </rPr>
      <t xml:space="preserve">
</t>
    </r>
    <r>
      <rPr>
        <b/>
        <color rgb="FF0070C0"/>
        <family val="2"/>
        <sz val="7"/>
        <rFont val="Arial"/>
      </rPr>
      <t xml:space="preserve">(Pour Fonction recodée = Magistrat Placé ADD)
</t>
    </r>
    <r>
      <rPr>
        <b/>
        <color rgb="FFFF0000"/>
        <family val="2"/>
        <sz val="7"/>
        <rFont val="Arial"/>
      </rPr>
      <t xml:space="preserve">
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</si>
  <si>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7.12 Collégiales JIRS crim-org*</t>
    </r>
    <r>
      <rPr>
        <family val="2"/>
        <sz val="7"/>
        <rFont val="Arial"/>
      </rPr>
      <t xml:space="preserve">
</t>
    </r>
    <r>
      <rPr>
        <b/>
        <color rgb="FFFF0000"/>
        <family val="2"/>
        <sz val="7"/>
        <rFont val="Arial"/>
      </rPr>
      <t xml:space="preserve">
</t>
    </r>
    <r>
      <rPr>
        <b/>
        <color rgb="FF0070C0"/>
        <family val="2"/>
        <sz val="7"/>
        <rFont val="Arial"/>
      </rPr>
      <t>(Pour Fonction recodée = Magistrat Placé ADD)</t>
    </r>
    <r>
      <rPr>
        <b/>
        <color rgb="FFFF0000"/>
        <family val="2"/>
        <sz val="7"/>
        <rFont val="Arial"/>
      </rPr>
      <t xml:space="preserve">
TJ et TPR et CPH (donc pas de critère sur le TJ)</t>
    </r>
    <r>
      <rPr>
        <family val="2"/>
        <sz val="7"/>
        <rFont val="Arial"/>
      </rPr>
      <t xml:space="preserve">
</t>
    </r>
    <r>
      <rPr>
        <color rgb="FFFF0000"/>
        <family val="2"/>
        <sz val="7"/>
        <rFont val="Arial"/>
      </rPr>
      <t xml:space="preserve">
*figurant dans l'onglet ETPT A-JUST</t>
    </r>
  </si>
  <si>
    <r>
      <rPr>
        <b/>
        <color rgb="FFFF0000"/>
        <family val="2"/>
        <sz val="7"/>
        <rFont val="Arial"/>
      </rPr>
      <t>7.122 Collégiales autres sections spécialisées + 7.121 Collégiales eco-fi POUR LES JURIDICTIONS NON JIRS*</t>
    </r>
    <r>
      <rPr>
        <family val="2"/>
        <sz val="7"/>
        <rFont val="Arial"/>
      </rPr>
      <t xml:space="preserve">
</t>
    </r>
    <r>
      <rPr>
        <b/>
        <color rgb="FFFF0000"/>
        <family val="2"/>
        <sz val="7"/>
        <rFont val="Arial"/>
      </rPr>
      <t xml:space="preserve">
</t>
    </r>
    <r>
      <rPr>
        <b/>
        <color rgb="FF0070C0"/>
        <family val="2"/>
        <sz val="7"/>
        <rFont val="Arial"/>
      </rPr>
      <t xml:space="preserve">(Pour Fonction recodée = Magistrat Placé ADD)
</t>
    </r>
    <r>
      <rPr>
        <b/>
        <color rgb="FFFF0000"/>
        <family val="2"/>
        <sz val="7"/>
        <rFont val="Arial"/>
      </rPr>
      <t xml:space="preserve">
TJ et TPR et CPH (donc pas de critère sur le TJ)</t>
    </r>
    <r>
      <rPr>
        <color rgb="FFFF0000"/>
        <family val="2"/>
        <sz val="7"/>
        <rFont val="Arial"/>
      </rPr>
      <t xml:space="preserve">
*figurant dans l'onglet ETPT A-JUST</t>
    </r>
  </si>
  <si>
    <r>
      <rPr>
        <b/>
        <color rgb="FFFF0000"/>
        <family val="2"/>
        <sz val="7"/>
        <rFont val="Arial"/>
      </rPr>
      <t>7.6 Tribunal de police + 7.7 OP contraventionnelles*</t>
    </r>
    <r>
      <rPr>
        <family val="2"/>
        <sz val="7"/>
        <rFont val="Arial"/>
      </rPr>
      <t xml:space="preserve">
</t>
    </r>
    <r>
      <rPr>
        <b/>
        <color rgb="FFFF0000"/>
        <family val="2"/>
        <sz val="7"/>
        <rFont val="Arial"/>
      </rPr>
      <t xml:space="preserve">
</t>
    </r>
    <r>
      <rPr>
        <b/>
        <color rgb="FF0070C0"/>
        <family val="2"/>
        <sz val="7"/>
        <rFont val="Arial"/>
      </rPr>
      <t xml:space="preserve">(Pour Fonction recodée = Magistrat Placé ADD)
</t>
    </r>
    <r>
      <rPr>
        <b/>
        <color rgb="FFFF0000"/>
        <family val="2"/>
        <sz val="7"/>
        <rFont val="Arial"/>
      </rPr>
      <t xml:space="preserve">
TJ et TPR et CPH (donc pas de critère sur le TJ)
</t>
    </r>
    <r>
      <rPr>
        <color rgb="FFFF0000"/>
        <family val="2"/>
        <sz val="7"/>
        <rFont val="Arial"/>
      </rPr>
      <t xml:space="preserve">
*figurant dans l'onglet ETPT A-JUST</t>
    </r>
  </si>
  <si>
    <r>
      <rPr>
        <b/>
        <color rgb="FFFF0000"/>
        <family val="2"/>
        <sz val="7"/>
        <rFont val="Arial"/>
      </rPr>
      <t xml:space="preserve">1.1 Départage prud'homal* 
</t>
    </r>
    <r>
      <rPr>
        <family val="2"/>
        <sz val="7"/>
        <rFont val="Arial"/>
      </rPr>
      <t xml:space="preserve">
</t>
    </r>
    <r>
      <rPr>
        <b/>
        <color rgb="FF0070C0"/>
        <family val="2"/>
        <sz val="7"/>
        <rFont val="Arial"/>
      </rPr>
      <t>(Pour Fonction recodée = Magistrat Placé ADD)</t>
    </r>
    <r>
      <rPr>
        <family val="2"/>
        <sz val="7"/>
        <rFont val="Arial"/>
      </rPr>
      <t xml:space="preserve">
</t>
    </r>
    <r>
      <rPr>
        <b/>
        <color rgb="FFFF0000"/>
        <family val="2"/>
        <sz val="7"/>
        <rFont val="Arial"/>
      </rPr>
      <t xml:space="preserve">
Critère sur le TJ OU CPH 
</t>
    </r>
    <r>
      <rPr>
        <color rgb="FFFF0000"/>
        <family val="2"/>
        <sz val="7"/>
        <rFont val="Arial"/>
      </rPr>
      <t>*figurant dans l'onglet ETPT A-JUST</t>
    </r>
  </si>
  <si>
    <r>
      <rPr>
        <b/>
        <color rgb="FFFF0000"/>
        <family val="2"/>
        <sz val="7"/>
        <rFont val="Arial"/>
      </rPr>
      <t>4.0 Contentieux général &lt; 10000 euros*</t>
    </r>
    <r>
      <rPr>
        <family val="2"/>
        <sz val="7"/>
        <rFont val="Arial"/>
      </rPr>
      <t xml:space="preserve">
</t>
    </r>
    <r>
      <rPr>
        <b/>
        <color rgb="FF0070C0"/>
        <family val="2"/>
        <sz val="7"/>
        <rFont val="Arial"/>
      </rPr>
      <t xml:space="preserve">(Pour Fonction recodée = Magistrat Placé ADD)
</t>
    </r>
    <r>
      <rPr>
        <b/>
        <color rgb="FFFF0000"/>
        <family val="2"/>
        <sz val="7"/>
        <rFont val="Arial"/>
      </rPr>
      <t xml:space="preserve">
Critère sur le TJ OU CPH
</t>
    </r>
    <r>
      <rPr>
        <color rgb="FFFF0000"/>
        <family val="2"/>
        <sz val="7"/>
        <rFont val="Arial"/>
      </rPr>
      <t>*figurant dans l'onglet ETPT A-JUST</t>
    </r>
  </si>
  <si>
    <r>
      <rPr>
        <b/>
        <color rgb="FFFF0000"/>
        <family val="2"/>
        <sz val="7"/>
        <rFont val="Arial"/>
      </rPr>
      <t>3.43 Injonctions de payer + 3.44 Saisies des rémunérations*</t>
    </r>
    <r>
      <rPr>
        <family val="2"/>
        <sz val="7"/>
        <rFont val="Arial"/>
      </rPr>
      <t xml:space="preserve">
</t>
    </r>
    <r>
      <rPr>
        <b/>
        <color rgb="FF0070C0"/>
        <family val="2"/>
        <sz val="7"/>
        <rFont val="Arial"/>
      </rPr>
      <t>(Pour Fonction recodée = Magistrat Placé ADD)</t>
    </r>
    <r>
      <rPr>
        <family val="2"/>
        <sz val="7"/>
        <rFont val="Arial"/>
      </rPr>
      <t xml:space="preserve">
</t>
    </r>
    <r>
      <rPr>
        <b/>
        <color rgb="FFFF0000"/>
        <family val="2"/>
        <sz val="7"/>
        <rFont val="Arial"/>
      </rPr>
      <t xml:space="preserve">
Critère sur le TJ OU CPH</t>
    </r>
    <r>
      <rPr>
        <family val="2"/>
        <sz val="7"/>
        <rFont val="Arial"/>
      </rPr>
      <t xml:space="preserve">
</t>
    </r>
    <r>
      <rPr>
        <color rgb="FFFF0000"/>
        <family val="2"/>
        <sz val="7"/>
        <rFont val="Arial"/>
      </rPr>
      <t>*figurant dans l'onglet ETPT A-JUST</t>
    </r>
  </si>
  <si>
    <r>
      <rPr>
        <b/>
        <color rgb="FFFF0000"/>
        <family val="2"/>
        <sz val="7"/>
        <rFont val="Arial"/>
      </rPr>
      <t xml:space="preserve">1. TOTAL CONTENTIEUX SOCIAL  
-
1.1 Départage prud'homal* 
</t>
    </r>
    <r>
      <rPr>
        <family val="2"/>
        <sz val="7"/>
        <rFont val="Arial"/>
      </rPr>
      <t xml:space="preserve">
</t>
    </r>
    <r>
      <rPr>
        <b/>
        <color rgb="FF0070C0"/>
        <family val="2"/>
        <sz val="7"/>
        <rFont val="Arial"/>
      </rPr>
      <t xml:space="preserve">(Pour Fonction recodée = Magistrat Placé ADD)
</t>
    </r>
    <r>
      <rPr>
        <b/>
        <color rgb="FFFF0000"/>
        <family val="2"/>
        <sz val="7"/>
        <rFont val="Arial"/>
      </rPr>
      <t>Critère sur le TJ OU CPH</t>
    </r>
    <r>
      <rPr>
        <family val="2"/>
        <sz val="7"/>
        <rFont val="Arial"/>
      </rPr>
      <t xml:space="preserve">
</t>
    </r>
    <r>
      <rPr>
        <color rgb="FFFF0000"/>
        <family val="2"/>
        <sz val="7"/>
        <rFont val="Arial"/>
      </rPr>
      <t>*figurant dans l'onglet ETPT A-JUST</t>
    </r>
  </si>
  <si>
    <r>
      <rPr>
        <b/>
        <color rgb="FFFF0000"/>
        <family val="2"/>
        <sz val="7"/>
        <rFont val="Arial"/>
      </rPr>
      <t>2. TOTAL CONTENTIEUX JAF*</t>
    </r>
    <r>
      <rPr>
        <family val="2"/>
        <sz val="7"/>
        <rFont val="Arial"/>
      </rPr>
      <t xml:space="preserve">
</t>
    </r>
    <r>
      <rPr>
        <color rgb="FF0070C0"/>
        <family val="2"/>
        <sz val="7"/>
        <rFont val="Arial"/>
      </rPr>
      <t xml:space="preserve">
</t>
    </r>
    <r>
      <rPr>
        <b/>
        <color rgb="FF0070C0"/>
        <family val="2"/>
        <sz val="7"/>
        <rFont val="Arial"/>
      </rPr>
      <t xml:space="preserve">(Pour Fonction recodée = Magistrat Placé ADD)
</t>
    </r>
    <r>
      <rPr>
        <b/>
        <color rgb="FFFF0000"/>
        <family val="2"/>
        <sz val="7"/>
        <rFont val="Arial"/>
      </rPr>
      <t xml:space="preserve">
TJ et TPR et CPH (donc pas de critère sur le TJ)
</t>
    </r>
    <r>
      <rPr>
        <color rgb="FFFF0000"/>
        <family val="2"/>
        <sz val="7"/>
        <rFont val="Arial"/>
      </rPr>
      <t>*figurant dans l'onglet ETPT A-JUST</t>
    </r>
  </si>
  <si>
    <r>
      <rPr>
        <b/>
        <color rgb="FFFF0000"/>
        <family val="2"/>
        <sz val="7"/>
        <rFont val="Arial"/>
      </rPr>
      <t>5. TOTAL JLD CIVIL*</t>
    </r>
    <r>
      <rPr>
        <family val="2"/>
        <sz val="7"/>
        <rFont val="Arial"/>
      </rPr>
      <t xml:space="preserve">
</t>
    </r>
    <r>
      <rPr>
        <color rgb="FF0070C0"/>
        <family val="2"/>
        <sz val="7"/>
        <rFont val="Arial"/>
      </rPr>
      <t xml:space="preserve">
</t>
    </r>
    <r>
      <rPr>
        <b/>
        <color rgb="FF0070C0"/>
        <family val="2"/>
        <sz val="7"/>
        <rFont val="Arial"/>
      </rPr>
      <t xml:space="preserve">(Pour Fonction recodée = Magistrat Placé ADD)
</t>
    </r>
    <r>
      <rPr>
        <b/>
        <color rgb="FFFF0000"/>
        <family val="2"/>
        <sz val="7"/>
        <rFont val="Arial"/>
      </rPr>
      <t xml:space="preserve">
TJ et TPR et CPH (donc pas de critère sur le TJ)
</t>
    </r>
    <r>
      <rPr>
        <color rgb="FFFF0000"/>
        <family val="2"/>
        <sz val="7"/>
        <rFont val="Arial"/>
      </rPr>
      <t>*figurant dans l'onglet ETPT A-JUST</t>
    </r>
  </si>
  <si>
    <r>
      <rPr>
        <b/>
        <color rgb="FFFF0000"/>
        <family val="2"/>
        <sz val="7"/>
        <rFont val="Arial"/>
      </rPr>
      <t xml:space="preserve">4. TOTAL CIVIL NON SPÉCIALISÉ - 4.0 Contentieux général &lt; 10000 euros*
+
13. Contentieux locaux spécifiques *
+ 
11.51. ACCUEIL DU JUSTICIABLE (DONT SAUJ) + 11.1. SOUTIEN (HORS FORMATIONS SUIVIES) + 11.2. FORMATIONS SUIVIES + 11.6. AUTRES ACTIVITÉS NON JURIDICTIONNELLES + 11.3. FORMATIONS DISPENSÉES + 11.4. ACCÈS AU DROIT ET À LA JUSTICE + 11.5. CSM*
</t>
    </r>
    <r>
      <rPr>
        <family val="2"/>
        <sz val="7"/>
        <rFont val="Arial"/>
      </rPr>
      <t xml:space="preserve">
</t>
    </r>
    <r>
      <rPr>
        <b/>
        <color rgb="FF0070C0"/>
        <family val="2"/>
        <sz val="7"/>
        <rFont val="Arial"/>
      </rPr>
      <t>(Pour Fonction recodée = Magistrat placé ADD)</t>
    </r>
    <r>
      <rPr>
        <b/>
        <color rgb="FFFF0000"/>
        <family val="2"/>
        <sz val="7"/>
        <rFont val="Arial"/>
      </rPr>
      <t xml:space="preserve">
</t>
    </r>
    <r>
      <rPr>
        <family val="2"/>
        <sz val="7"/>
        <rFont val="Arial"/>
      </rPr>
      <t xml:space="preserve">
</t>
    </r>
    <r>
      <rPr>
        <b/>
        <color rgb="FFFF0000"/>
        <family val="2"/>
        <sz val="7"/>
        <rFont val="Arial"/>
      </rPr>
      <t xml:space="preserve">Critère sur le TJ ou CPH
+
7. TOTAL SIÈGE PÉNAL - 7.5. COUR D'ASSISES HORS JIRS - 7.51. COUR D'ASSISES JIRS - 7.52. COUR CRIMINELLE - 7.121. COLLÉGIALES JIRS ÉCO-FI - 7.12. COLLÉGIALES JIRS CRIM-ORG - 7.122. COLLÉGIALES AUTRES SECTIONS SPÉCIALISÉES - 7.6. TRIBUNAL DE POLICE - 7.7. OP CONTRAVENTIONNELLES*
</t>
    </r>
    <r>
      <rPr>
        <family val="2"/>
        <sz val="7"/>
        <rFont val="Arial"/>
      </rPr>
      <t xml:space="preserve">
</t>
    </r>
    <r>
      <rPr>
        <b/>
        <color rgb="FF0070C0"/>
        <family val="2"/>
        <sz val="7"/>
        <rFont val="Arial"/>
      </rPr>
      <t xml:space="preserve">(Pour Fonction recodée = Magistrat placé ADD)
</t>
    </r>
    <r>
      <rPr>
        <family val="2"/>
        <sz val="7"/>
        <rFont val="Arial"/>
      </rPr>
      <t xml:space="preserve">
</t>
    </r>
    <r>
      <rPr>
        <b/>
        <color rgb="FFFF0000"/>
        <family val="2"/>
        <sz val="7"/>
        <rFont val="Arial"/>
      </rPr>
      <t xml:space="preserve">TJ et TPR et CPH (donc pas de critère sur le TJ)
</t>
    </r>
    <r>
      <rPr>
        <color rgb="FFFF0000"/>
        <family val="2"/>
        <sz val="7"/>
        <rFont val="Arial"/>
      </rPr>
      <t>*figurant dans l'onglet ETPT A-JUST</t>
    </r>
  </si>
  <si>
    <r>
      <rPr>
        <b/>
        <color rgb="FFFF0000"/>
        <family val="2"/>
        <sz val="7"/>
        <rFont val="Arial"/>
      </rPr>
      <t>3.2 Protection des majeurs*</t>
    </r>
    <r>
      <rPr>
        <family val="2"/>
        <sz val="7"/>
        <rFont val="Arial"/>
      </rPr>
      <t xml:space="preserve">
</t>
    </r>
    <r>
      <rPr>
        <b/>
        <color rgb="FF0070C0"/>
        <family val="2"/>
        <sz val="7"/>
        <rFont val="Arial"/>
      </rPr>
      <t>(Pour Fonction recodée = Magistrat Placé SUB)</t>
    </r>
    <r>
      <rPr>
        <family val="2"/>
        <sz val="7"/>
        <rFont val="Arial"/>
      </rPr>
      <t xml:space="preserve">
</t>
    </r>
    <r>
      <rPr>
        <b/>
        <color rgb="FFFF0000"/>
        <family val="2"/>
        <sz val="7"/>
        <rFont val="Arial"/>
      </rPr>
      <t xml:space="preserve">
Critère sur le TJ OU CPH
</t>
    </r>
    <r>
      <rPr>
        <color rgb="FFFF0000"/>
        <family val="2"/>
        <sz val="7"/>
        <rFont val="Arial"/>
      </rPr>
      <t>*figurant dans l'onglet ETPT A-JUST</t>
    </r>
  </si>
  <si>
    <r>
      <rPr>
        <b/>
        <color rgb="FFFF0000"/>
        <family val="2"/>
        <sz val="7"/>
        <rFont val="Arial"/>
      </rPr>
      <t>3. Contentieux de la Protection - 3.2 Protection des majeurs - 3.43 Injonctions de payer - 3.44 Saisies des rémunérations*</t>
    </r>
    <r>
      <rPr>
        <family val="2"/>
        <sz val="7"/>
        <rFont val="Arial"/>
      </rPr>
      <t xml:space="preserve">
</t>
    </r>
    <r>
      <rPr>
        <b/>
        <color rgb="FF0070C0"/>
        <family val="2"/>
        <sz val="7"/>
        <rFont val="Arial"/>
      </rPr>
      <t xml:space="preserve">(Pour Fonction recodée = Magistrat Placé SUB)
</t>
    </r>
    <r>
      <rPr>
        <b/>
        <color rgb="FFFF0000"/>
        <family val="2"/>
        <sz val="7"/>
        <rFont val="Arial"/>
      </rPr>
      <t xml:space="preserve">Critère sur le TJ OU CPH
</t>
    </r>
    <r>
      <rPr>
        <color rgb="FFFF0000"/>
        <family val="2"/>
        <sz val="7"/>
        <rFont val="Arial"/>
      </rPr>
      <t xml:space="preserve">
*figurant dans l'onglet ETPT A-JUST</t>
    </r>
  </si>
  <si>
    <r>
      <rPr>
        <b/>
        <color rgb="FFFF0000"/>
        <family val="2"/>
        <sz val="7"/>
        <rFont val="Arial"/>
      </rPr>
      <t>8.1 Service général*</t>
    </r>
    <r>
      <rPr>
        <family val="2"/>
        <sz val="7"/>
        <rFont val="Arial"/>
      </rPr>
      <t xml:space="preserve">
</t>
    </r>
    <r>
      <rPr>
        <b/>
        <color rgb="FF0070C0"/>
        <family val="2"/>
        <sz val="7"/>
        <rFont val="Arial"/>
      </rPr>
      <t>(Pour Fonction recodée = Magistrat Placé SUB)</t>
    </r>
    <r>
      <rPr>
        <family val="2"/>
        <sz val="7"/>
        <rFont val="Arial"/>
      </rPr>
      <t xml:space="preserve">
</t>
    </r>
    <r>
      <rPr>
        <b/>
        <color rgb="FFFF0000"/>
        <family val="2"/>
        <sz val="7"/>
        <rFont val="Arial"/>
      </rPr>
      <t xml:space="preserve">
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</si>
  <si>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8.2 JIRS eco-fi*</t>
    </r>
    <r>
      <rPr>
        <family val="2"/>
        <sz val="7"/>
        <rFont val="Arial"/>
      </rPr>
      <t xml:space="preserve">
</t>
    </r>
    <r>
      <rPr>
        <b/>
        <color rgb="FF0070C0"/>
        <family val="2"/>
        <sz val="7"/>
        <rFont val="Arial"/>
      </rPr>
      <t xml:space="preserve">(Pour Fonction recodée = Magistrat Placé SUB)
</t>
    </r>
    <r>
      <rPr>
        <b/>
        <color rgb="FFFF0000"/>
        <family val="2"/>
        <sz val="7"/>
        <rFont val="Arial"/>
      </rPr>
      <t xml:space="preserve">
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</si>
  <si>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8.3 JIRS crim-org*</t>
    </r>
    <r>
      <rPr>
        <family val="2"/>
        <sz val="7"/>
        <rFont val="Arial"/>
      </rPr>
      <t xml:space="preserve">
</t>
    </r>
    <r>
      <rPr>
        <b/>
        <color rgb="FF0070C0"/>
        <family val="2"/>
        <sz val="7"/>
        <rFont val="Arial"/>
      </rPr>
      <t xml:space="preserve">(Pour Fonction recodée = Magistrat Placé SUB)
</t>
    </r>
    <r>
      <rPr>
        <family val="2"/>
        <sz val="7"/>
        <rFont val="Arial"/>
      </rPr>
      <t xml:space="preserve">
</t>
    </r>
    <r>
      <rPr>
        <b/>
        <color rgb="FFFF0000"/>
        <family val="2"/>
        <sz val="7"/>
        <rFont val="Arial"/>
      </rPr>
      <t>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</si>
  <si>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 xml:space="preserve">8.4 autres sections spécialisées
+
8.11 ECO-FI HORS JIRS*
</t>
    </r>
    <r>
      <rPr>
        <family val="2"/>
        <sz val="7"/>
        <rFont val="Arial"/>
      </rPr>
      <t xml:space="preserve">
</t>
    </r>
    <r>
      <rPr>
        <b/>
        <color rgb="FF0070C0"/>
        <family val="2"/>
        <sz val="7"/>
        <rFont val="Arial"/>
      </rPr>
      <t xml:space="preserve">(Pour Fonction recodée = Magistrat Placé SUB)
</t>
    </r>
    <r>
      <rPr>
        <family val="2"/>
        <sz val="7"/>
        <rFont val="Arial"/>
      </rPr>
      <t xml:space="preserve">
</t>
    </r>
    <r>
      <rPr>
        <b/>
        <color rgb="FFFF0000"/>
        <family val="2"/>
        <sz val="7"/>
        <rFont val="Arial"/>
      </rPr>
      <t>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</si>
  <si>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9. TOTAL JAP*</t>
    </r>
    <r>
      <rPr>
        <family val="2"/>
        <sz val="7"/>
        <rFont val="Arial"/>
      </rPr>
      <t xml:space="preserve">
</t>
    </r>
    <r>
      <rPr>
        <b/>
        <color rgb="FF0070C0"/>
        <family val="2"/>
        <sz val="7"/>
        <rFont val="Arial"/>
      </rPr>
      <t>(Pour Fonction recodée = Magistrat Placé SUB)</t>
    </r>
    <r>
      <rPr>
        <b/>
        <family val="2"/>
        <sz val="7"/>
        <rFont val="Arial"/>
      </rPr>
      <t xml:space="preserve">
</t>
    </r>
    <r>
      <rPr>
        <b/>
        <color rgb="FFFF0000"/>
        <family val="2"/>
        <sz val="7"/>
        <rFont val="Arial"/>
      </rPr>
      <t xml:space="preserve">
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</si>
  <si>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6.1 JE : activité civile + 6.2 JE : activité pénale*</t>
    </r>
    <r>
      <rPr>
        <family val="2"/>
        <sz val="7"/>
        <rFont val="Arial"/>
      </rPr>
      <t xml:space="preserve">
</t>
    </r>
    <r>
      <rPr>
        <b/>
        <color rgb="FFFF0000"/>
        <family val="2"/>
        <sz val="7"/>
        <rFont val="Arial"/>
      </rPr>
      <t xml:space="preserve">
</t>
    </r>
    <r>
      <rPr>
        <b/>
        <color rgb="FF0070C0"/>
        <family val="2"/>
        <sz val="7"/>
        <rFont val="Arial"/>
      </rPr>
      <t xml:space="preserve">(Pour Fonction recodée = Magistrat Placé SUB)
</t>
    </r>
    <r>
      <rPr>
        <b/>
        <color rgb="FFFF0000"/>
        <family val="2"/>
        <sz val="7"/>
        <rFont val="Arial"/>
      </rPr>
      <t>TJ et TPR et CPH  (donc pas de critère sur le TJ)</t>
    </r>
    <r>
      <rPr>
        <family val="2"/>
        <sz val="7"/>
        <rFont val="Arial"/>
      </rPr>
      <t xml:space="preserve">
</t>
    </r>
    <r>
      <rPr>
        <color rgb="FFFF0000"/>
        <family val="2"/>
        <sz val="7"/>
        <rFont val="Arial"/>
      </rPr>
      <t xml:space="preserve">
*figurant dans l'onglet ETPT A-JUST</t>
    </r>
  </si>
  <si>
    <r>
      <rPr>
        <b/>
        <color rgb="FFFF0000"/>
        <family val="2"/>
        <sz val="7"/>
        <rFont val="Arial"/>
      </rPr>
      <t>10. TOTAL JLD PÉNAL*</t>
    </r>
    <r>
      <rPr>
        <family val="2"/>
        <sz val="7"/>
        <rFont val="Arial"/>
      </rPr>
      <t xml:space="preserve">
</t>
    </r>
    <r>
      <rPr>
        <b/>
        <color rgb="FFFF0000"/>
        <family val="2"/>
        <sz val="7"/>
        <rFont val="Arial"/>
      </rPr>
      <t xml:space="preserve">
</t>
    </r>
    <r>
      <rPr>
        <b/>
        <color rgb="FF0070C0"/>
        <family val="2"/>
        <sz val="7"/>
        <rFont val="Arial"/>
      </rPr>
      <t xml:space="preserve">(Pour Fonction recodée = Magistrat Placé SUB)
</t>
    </r>
    <r>
      <rPr>
        <b/>
        <color rgb="FFFF0000"/>
        <family val="2"/>
        <sz val="7"/>
        <rFont val="Arial"/>
      </rPr>
      <t xml:space="preserve">
TJ et TPR et CPH  (donc pas de critère sur le TJ)
</t>
    </r>
    <r>
      <rPr>
        <color rgb="FFFF0000"/>
        <family val="2"/>
        <sz val="7"/>
        <rFont val="Arial"/>
      </rPr>
      <t>*figurant dans l'onglet ETPT A-JUST</t>
    </r>
  </si>
  <si>
    <r>
      <rPr>
        <b/>
        <color rgb="FFFF0000"/>
        <family val="2"/>
        <sz val="7"/>
        <rFont val="Arial"/>
      </rPr>
      <t>7.5 + 7.51 Cour d'assises JIRS et hors JIRS*</t>
    </r>
    <r>
      <rPr>
        <family val="2"/>
        <sz val="7"/>
        <rFont val="Arial"/>
      </rPr>
      <t xml:space="preserve">
</t>
    </r>
    <r>
      <rPr>
        <b/>
        <color theme="8" tint="-0.249977111117893"/>
        <family val="2"/>
        <sz val="7"/>
        <rFont val="Arial"/>
      </rPr>
      <t xml:space="preserve">(Pour Fonction recodée = Magistrat Placé SUB)
</t>
    </r>
    <r>
      <rPr>
        <b/>
        <color rgb="FFFF0000"/>
        <family val="2"/>
        <sz val="7"/>
        <rFont val="Arial"/>
      </rPr>
      <t>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</si>
  <si>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 xml:space="preserve">7.52 cour criminelle*
</t>
    </r>
    <r>
      <rPr>
        <family val="2"/>
        <sz val="7"/>
        <rFont val="Arial"/>
      </rPr>
      <t xml:space="preserve">
</t>
    </r>
    <r>
      <rPr>
        <b/>
        <color theme="8" tint="-0.249977111117893"/>
        <family val="2"/>
        <sz val="7"/>
        <rFont val="Arial"/>
      </rPr>
      <t xml:space="preserve">(Pour Fonction recodée = Magistrat Placé SUB)
</t>
    </r>
    <r>
      <rPr>
        <b/>
        <color rgb="FFFF0000"/>
        <family val="2"/>
        <sz val="7"/>
        <rFont val="Arial"/>
      </rPr>
      <t xml:space="preserve">TJ et TPR et CPH (donc pas de critère sur le TJ)
</t>
    </r>
    <r>
      <rPr>
        <color rgb="FFFF0000"/>
        <family val="2"/>
        <sz val="7"/>
        <rFont val="Arial"/>
      </rPr>
      <t>*figurant dans l'onglet ETPT A-JUST</t>
    </r>
  </si>
  <si>
    <r>
      <rPr>
        <b/>
        <color rgb="FFFF0000"/>
        <family val="2"/>
        <sz val="7"/>
        <rFont val="Arial"/>
      </rPr>
      <t>7.121 Collégiales JIRS eco-fi POUR LES JURIDICTIONS JIRS*</t>
    </r>
    <r>
      <rPr>
        <family val="2"/>
        <sz val="7"/>
        <rFont val="Arial"/>
      </rPr>
      <t xml:space="preserve">
</t>
    </r>
    <r>
      <rPr>
        <b/>
        <color rgb="FFFF0000"/>
        <family val="2"/>
        <sz val="7"/>
        <rFont val="Arial"/>
      </rPr>
      <t xml:space="preserve">
</t>
    </r>
    <r>
      <rPr>
        <b/>
        <color rgb="FF0070C0"/>
        <family val="2"/>
        <sz val="7"/>
        <rFont val="Arial"/>
      </rPr>
      <t xml:space="preserve">(Pour Fonction recodée = Magistrat Placé SUB)
</t>
    </r>
    <r>
      <rPr>
        <b/>
        <color rgb="FFFF0000"/>
        <family val="2"/>
        <sz val="7"/>
        <rFont val="Arial"/>
      </rPr>
      <t xml:space="preserve">
TJ et TPR et CPH (donc pas de critère sur le TJ)</t>
    </r>
    <r>
      <rPr>
        <family val="2"/>
        <sz val="7"/>
        <rFont val="Arial"/>
      </rPr>
      <t xml:space="preserve">
</t>
    </r>
    <r>
      <rPr>
        <color rgb="FFFF0000"/>
        <family val="2"/>
        <sz val="7"/>
        <rFont val="Arial"/>
      </rPr>
      <t>*figurant dans l'onglet ETPT A-JUST</t>
    </r>
  </si>
  <si>
    <r>
      <rPr>
        <b/>
        <color rgb="FFFF0000"/>
        <family val="2"/>
        <sz val="7"/>
        <rFont val="Arial"/>
      </rPr>
      <t>7.12 Collégiales JIRS crim-org*</t>
    </r>
    <r>
      <rPr>
        <family val="2"/>
        <sz val="7"/>
        <rFont val="Arial"/>
      </rPr>
      <t xml:space="preserve">
</t>
    </r>
    <r>
      <rPr>
        <b/>
        <color rgb="FFFF0000"/>
        <family val="2"/>
        <sz val="7"/>
        <rFont val="Arial"/>
      </rPr>
      <t xml:space="preserve">
</t>
    </r>
    <r>
      <rPr>
        <b/>
        <color rgb="FF0070C0"/>
        <family val="2"/>
        <sz val="7"/>
        <rFont val="Arial"/>
      </rPr>
      <t>(Pour Fonction recodée = Magistrat Placé SUB)</t>
    </r>
    <r>
      <rPr>
        <b/>
        <color rgb="FFFF0000"/>
        <family val="2"/>
        <sz val="7"/>
        <rFont val="Arial"/>
      </rPr>
      <t xml:space="preserve">
TJ et TPR et CPH (donc pas de critère sur le TJ)</t>
    </r>
    <r>
      <rPr>
        <family val="2"/>
        <sz val="7"/>
        <rFont val="Arial"/>
      </rPr>
      <t xml:space="preserve">
</t>
    </r>
    <r>
      <rPr>
        <color rgb="FFFF0000"/>
        <family val="2"/>
        <sz val="7"/>
        <rFont val="Arial"/>
      </rPr>
      <t xml:space="preserve">
*figurant dans l'onglet ETPT A-JUST</t>
    </r>
  </si>
  <si>
    <r>
      <rPr>
        <b/>
        <color rgb="FFFF0000"/>
        <family val="2"/>
        <sz val="7"/>
        <rFont val="Arial"/>
      </rPr>
      <t>7.122 Collégiales autres sections spécialisées + 7.121 Collégiales eco-fi POUR LES JURIDICTIONS NON JIRS*</t>
    </r>
    <r>
      <rPr>
        <family val="2"/>
        <sz val="7"/>
        <rFont val="Arial"/>
      </rPr>
      <t xml:space="preserve">
</t>
    </r>
    <r>
      <rPr>
        <b/>
        <color rgb="FFFF0000"/>
        <family val="2"/>
        <sz val="7"/>
        <rFont val="Arial"/>
      </rPr>
      <t xml:space="preserve">
</t>
    </r>
    <r>
      <rPr>
        <b/>
        <color rgb="FF0070C0"/>
        <family val="2"/>
        <sz val="7"/>
        <rFont val="Arial"/>
      </rPr>
      <t xml:space="preserve">(Pour Fonction recodée = Magistrat Placé SUB)
</t>
    </r>
    <r>
      <rPr>
        <b/>
        <color rgb="FFFF0000"/>
        <family val="2"/>
        <sz val="7"/>
        <rFont val="Arial"/>
      </rPr>
      <t xml:space="preserve">
TJ et TPR et CPH (donc pas de critère sur le TJ)</t>
    </r>
    <r>
      <rPr>
        <color rgb="FFFF0000"/>
        <family val="2"/>
        <sz val="7"/>
        <rFont val="Arial"/>
      </rPr>
      <t xml:space="preserve">
*figurant dans l'onglet ETPT A-JUST</t>
    </r>
  </si>
  <si>
    <r>
      <rPr>
        <b/>
        <color rgb="FFFF0000"/>
        <family val="2"/>
        <sz val="7"/>
        <rFont val="Arial"/>
      </rPr>
      <t>7.6 Tribunal de police + 7.7 OP contraventionnelles*</t>
    </r>
    <r>
      <rPr>
        <family val="2"/>
        <sz val="7"/>
        <rFont val="Arial"/>
      </rPr>
      <t xml:space="preserve">
</t>
    </r>
    <r>
      <rPr>
        <b/>
        <color rgb="FFFF0000"/>
        <family val="2"/>
        <sz val="7"/>
        <rFont val="Arial"/>
      </rPr>
      <t xml:space="preserve">
</t>
    </r>
    <r>
      <rPr>
        <b/>
        <color rgb="FF0070C0"/>
        <family val="2"/>
        <sz val="7"/>
        <rFont val="Arial"/>
      </rPr>
      <t xml:space="preserve">(Pour Fonction recodée = Magistrat Placé SUB)
</t>
    </r>
    <r>
      <rPr>
        <b/>
        <color rgb="FFFF0000"/>
        <family val="2"/>
        <sz val="7"/>
        <rFont val="Arial"/>
      </rPr>
      <t xml:space="preserve">
TJ et TPR et CPH (donc pas de critère sur le TJ)
</t>
    </r>
    <r>
      <rPr>
        <color rgb="FFFF0000"/>
        <family val="2"/>
        <sz val="7"/>
        <rFont val="Arial"/>
      </rPr>
      <t xml:space="preserve">
*figurant dans l'onglet ETPT A-JUST</t>
    </r>
  </si>
  <si>
    <r>
      <rPr>
        <b/>
        <color rgb="FFFF0000"/>
        <family val="2"/>
        <sz val="7"/>
        <rFont val="Arial"/>
      </rPr>
      <t xml:space="preserve">1.1 Départage prud'homal* 
</t>
    </r>
    <r>
      <rPr>
        <family val="2"/>
        <sz val="7"/>
        <rFont val="Arial"/>
      </rPr>
      <t xml:space="preserve">
</t>
    </r>
    <r>
      <rPr>
        <b/>
        <color rgb="FF0070C0"/>
        <family val="2"/>
        <sz val="7"/>
        <rFont val="Arial"/>
      </rPr>
      <t>(Pour Fonction recodée = Magistrat Placé SUB)</t>
    </r>
    <r>
      <rPr>
        <family val="2"/>
        <sz val="7"/>
        <rFont val="Arial"/>
      </rPr>
      <t xml:space="preserve">
</t>
    </r>
    <r>
      <rPr>
        <b/>
        <color rgb="FFFF0000"/>
        <family val="2"/>
        <sz val="7"/>
        <rFont val="Arial"/>
      </rPr>
      <t xml:space="preserve">
Critère sur le TJ OU CPH 
</t>
    </r>
    <r>
      <rPr>
        <color rgb="FFFF0000"/>
        <family val="2"/>
        <sz val="7"/>
        <rFont val="Arial"/>
      </rPr>
      <t>*figurant dans l'onglet ETPT A-JUST</t>
    </r>
  </si>
  <si>
    <r>
      <rPr>
        <b/>
        <color rgb="FFFF0000"/>
        <family val="2"/>
        <sz val="7"/>
        <rFont val="Arial"/>
      </rPr>
      <t>4.0 Contentieux général &lt; 10000 euros*</t>
    </r>
    <r>
      <rPr>
        <family val="2"/>
        <sz val="7"/>
        <rFont val="Arial"/>
      </rPr>
      <t xml:space="preserve">
</t>
    </r>
    <r>
      <rPr>
        <b/>
        <color rgb="FF0070C0"/>
        <family val="2"/>
        <sz val="7"/>
        <rFont val="Arial"/>
      </rPr>
      <t xml:space="preserve">(Pour Fonction recodée = Magistrat Placé SUB)
</t>
    </r>
    <r>
      <rPr>
        <b/>
        <color rgb="FFFF0000"/>
        <family val="2"/>
        <sz val="7"/>
        <rFont val="Arial"/>
      </rPr>
      <t xml:space="preserve">
Critère sur le TJ OU CPH
</t>
    </r>
    <r>
      <rPr>
        <color rgb="FFFF0000"/>
        <family val="2"/>
        <sz val="7"/>
        <rFont val="Arial"/>
      </rPr>
      <t>*figurant dans l'onglet ETPT A-JUST</t>
    </r>
  </si>
  <si>
    <r>
      <rPr>
        <b/>
        <color rgb="FFFF0000"/>
        <family val="2"/>
        <sz val="7"/>
        <rFont val="Arial"/>
      </rPr>
      <t>3.43 Injonctions de payer + 3.44 Saisies des rémunérations*</t>
    </r>
    <r>
      <rPr>
        <family val="2"/>
        <sz val="7"/>
        <rFont val="Arial"/>
      </rPr>
      <t xml:space="preserve">
</t>
    </r>
    <r>
      <rPr>
        <b/>
        <color rgb="FF0070C0"/>
        <family val="2"/>
        <sz val="7"/>
        <rFont val="Arial"/>
      </rPr>
      <t>(Pour Fonction recodée = Magistrat Placé SUB)</t>
    </r>
    <r>
      <rPr>
        <family val="2"/>
        <sz val="7"/>
        <rFont val="Arial"/>
      </rPr>
      <t xml:space="preserve">
</t>
    </r>
    <r>
      <rPr>
        <b/>
        <color rgb="FFFF0000"/>
        <family val="2"/>
        <sz val="7"/>
        <rFont val="Arial"/>
      </rPr>
      <t xml:space="preserve">
Critère sur le TJ OU CPH</t>
    </r>
    <r>
      <rPr>
        <family val="2"/>
        <sz val="7"/>
        <rFont val="Arial"/>
      </rPr>
      <t xml:space="preserve">
</t>
    </r>
    <r>
      <rPr>
        <color rgb="FFFF0000"/>
        <family val="2"/>
        <sz val="7"/>
        <rFont val="Arial"/>
      </rPr>
      <t>*figurant dans l'onglet ETPT A-JUST</t>
    </r>
  </si>
  <si>
    <r>
      <rPr>
        <b/>
        <color rgb="FFFF0000"/>
        <family val="2"/>
        <sz val="7"/>
        <rFont val="Arial"/>
      </rPr>
      <t xml:space="preserve">1. TOTAL CONTENTIEUX SOCIAL  
-
1.1 Départage prud'homal* 
</t>
    </r>
    <r>
      <rPr>
        <family val="2"/>
        <sz val="7"/>
        <rFont val="Arial"/>
      </rPr>
      <t xml:space="preserve">
</t>
    </r>
    <r>
      <rPr>
        <b/>
        <color rgb="FF0070C0"/>
        <family val="2"/>
        <sz val="7"/>
        <rFont val="Arial"/>
      </rPr>
      <t xml:space="preserve">(Pour Fonction recodée = Magistrat Placé SUB)
</t>
    </r>
    <r>
      <rPr>
        <b/>
        <color rgb="FFFF0000"/>
        <family val="2"/>
        <sz val="7"/>
        <rFont val="Arial"/>
      </rPr>
      <t>Critère sur le TJ OU CPH</t>
    </r>
    <r>
      <rPr>
        <family val="2"/>
        <sz val="7"/>
        <rFont val="Arial"/>
      </rPr>
      <t xml:space="preserve">
</t>
    </r>
    <r>
      <rPr>
        <color rgb="FFFF0000"/>
        <family val="2"/>
        <sz val="7"/>
        <rFont val="Arial"/>
      </rPr>
      <t>*figurant dans l'onglet ETPT A-JUST</t>
    </r>
  </si>
  <si>
    <r>
      <rPr>
        <b/>
        <color rgb="FFFF0000"/>
        <family val="2"/>
        <sz val="7"/>
        <rFont val="Arial"/>
      </rPr>
      <t>2. TOTAL CONTENTIEUX JAF*</t>
    </r>
    <r>
      <rPr>
        <family val="2"/>
        <sz val="7"/>
        <rFont val="Arial"/>
      </rPr>
      <t xml:space="preserve">
</t>
    </r>
    <r>
      <rPr>
        <color rgb="FF0070C0"/>
        <family val="2"/>
        <sz val="7"/>
        <rFont val="Arial"/>
      </rPr>
      <t xml:space="preserve">
</t>
    </r>
    <r>
      <rPr>
        <b/>
        <color rgb="FF0070C0"/>
        <family val="2"/>
        <sz val="7"/>
        <rFont val="Arial"/>
      </rPr>
      <t xml:space="preserve">(Pour Fonction recodée = Magistrat Placé SUB)
</t>
    </r>
    <r>
      <rPr>
        <b/>
        <color rgb="FFFF0000"/>
        <family val="2"/>
        <sz val="7"/>
        <rFont val="Arial"/>
      </rPr>
      <t xml:space="preserve">
TJ et TPR et CPH (donc pas de critère sur le TJ)
</t>
    </r>
    <r>
      <rPr>
        <color rgb="FFFF0000"/>
        <family val="2"/>
        <sz val="7"/>
        <rFont val="Arial"/>
      </rPr>
      <t>*figurant dans l'onglet ETPT A-JUST</t>
    </r>
  </si>
  <si>
    <r>
      <rPr>
        <b/>
        <color rgb="FFFF0000"/>
        <family val="2"/>
        <sz val="7"/>
        <rFont val="Arial"/>
      </rPr>
      <t>5. TOTAL JLD CIVIL*</t>
    </r>
    <r>
      <rPr>
        <family val="2"/>
        <sz val="7"/>
        <rFont val="Arial"/>
      </rPr>
      <t xml:space="preserve">
</t>
    </r>
    <r>
      <rPr>
        <color rgb="FF0070C0"/>
        <family val="2"/>
        <sz val="7"/>
        <rFont val="Arial"/>
      </rPr>
      <t xml:space="preserve">
</t>
    </r>
    <r>
      <rPr>
        <b/>
        <color rgb="FF0070C0"/>
        <family val="2"/>
        <sz val="7"/>
        <rFont val="Arial"/>
      </rPr>
      <t xml:space="preserve">(Pour Fonction recodée = Magistrat Placé SUB)
</t>
    </r>
    <r>
      <rPr>
        <b/>
        <color rgb="FFFF0000"/>
        <family val="2"/>
        <sz val="7"/>
        <rFont val="Arial"/>
      </rPr>
      <t xml:space="preserve">
TJ et TPR et CPH (donc pas de critère sur le TJ)
</t>
    </r>
    <r>
      <rPr>
        <color rgb="FFFF0000"/>
        <family val="2"/>
        <sz val="7"/>
        <rFont val="Arial"/>
      </rPr>
      <t>*figurant dans l'onglet ETPT A-JUST</t>
    </r>
  </si>
  <si>
    <r>
      <rPr>
        <b/>
        <color rgb="FFFF0000"/>
        <family val="2"/>
        <sz val="7"/>
        <rFont val="Arial"/>
      </rPr>
      <t xml:space="preserve">4. TOTAL CIVIL NON SPÉCIALISÉ - 4.0 Contentieux général &lt; 10000 euros*
+
13. Contentieux locaux spécifiques *
+ 
11.51. ACCUEIL DU JUSTICIABLE (DONT SAUJ) + 11.1. SOUTIEN (HORS FORMATIONS SUIVIES) + 11.2. FORMATIONS SUIVIES + 11.6. AUTRES ACTIVITÉS NON JURIDICTIONNELLES + 11.3. FORMATIONS DISPENSÉES + 11.4. ACCÈS AU DROIT ET À LA JUSTICE + 11.5. CSM*
</t>
    </r>
    <r>
      <rPr>
        <family val="2"/>
        <sz val="7"/>
        <rFont val="Arial"/>
      </rPr>
      <t xml:space="preserve">
</t>
    </r>
    <r>
      <rPr>
        <b/>
        <color rgb="FF0070C0"/>
        <family val="2"/>
        <sz val="7"/>
        <rFont val="Arial"/>
      </rPr>
      <t>(Pour Fonction recodée = Magistrat placé SUB)</t>
    </r>
    <r>
      <rPr>
        <b/>
        <color rgb="FFFF0000"/>
        <family val="2"/>
        <sz val="7"/>
        <rFont val="Arial"/>
      </rPr>
      <t xml:space="preserve">
</t>
    </r>
    <r>
      <rPr>
        <family val="2"/>
        <sz val="7"/>
        <rFont val="Arial"/>
      </rPr>
      <t xml:space="preserve">
</t>
    </r>
    <r>
      <rPr>
        <b/>
        <color rgb="FFFF0000"/>
        <family val="2"/>
        <sz val="7"/>
        <rFont val="Arial"/>
      </rPr>
      <t xml:space="preserve">Critère sur le TJ ou CPH
+
7. TOTAL SIÈGE PÉNAL - 7.5. COUR D'ASSISES HORS JIRS - 7.51. COUR D'ASSISES JIRS - 7.52. COUR CRIMINELLE - 7.121. COLLÉGIALES JIRS ÉCO-FI - 7.12. COLLÉGIALES JIRS CRIM-ORG - 7.122. COLLÉGIALES AUTRES SECTIONS SPÉCIALISÉES - 7.6. TRIBUNAL DE POLICE - 7.7. OP CONTRAVENTIONNELLES*
</t>
    </r>
    <r>
      <rPr>
        <family val="2"/>
        <sz val="7"/>
        <rFont val="Arial"/>
      </rPr>
      <t xml:space="preserve">
</t>
    </r>
    <r>
      <rPr>
        <b/>
        <color rgb="FF0070C0"/>
        <family val="2"/>
        <sz val="7"/>
        <rFont val="Arial"/>
      </rPr>
      <t xml:space="preserve">(Pour Fonction recodée = Magistrat placé SUB)
</t>
    </r>
    <r>
      <rPr>
        <family val="2"/>
        <sz val="7"/>
        <rFont val="Arial"/>
      </rPr>
      <t xml:space="preserve">
</t>
    </r>
    <r>
      <rPr>
        <b/>
        <color rgb="FFFF0000"/>
        <family val="2"/>
        <sz val="7"/>
        <rFont val="Arial"/>
      </rPr>
      <t xml:space="preserve">TJ et TPR et CPH (donc pas de critère sur le TJ)
</t>
    </r>
    <r>
      <rPr>
        <color rgb="FFFF0000"/>
        <family val="2"/>
        <sz val="7"/>
        <rFont val="Arial"/>
      </rPr>
      <t>*figurant dans l'onglet ETPT A-JUST</t>
    </r>
  </si>
  <si>
    <r>
      <rPr>
        <b/>
        <color rgb="FFFF0000"/>
        <family val="2"/>
        <sz val="7"/>
        <rFont val="Arial"/>
      </rPr>
      <t>12. TOTAL INDISPONIBILITÉ*</t>
    </r>
    <r>
      <rPr>
        <family val="2"/>
        <sz val="7"/>
        <rFont val="Arial"/>
      </rPr>
      <t xml:space="preserve">
</t>
    </r>
    <r>
      <rPr>
        <b/>
        <color rgb="FF0070C0"/>
        <family val="2"/>
        <sz val="7"/>
        <rFont val="Arial"/>
      </rPr>
      <t xml:space="preserve">(Pour Fonctions recodées = Magistrats placé ADD  ou Magistrat placé SUB)
</t>
    </r>
    <r>
      <rPr>
        <b/>
        <color rgb="FFFF0000"/>
        <family val="2"/>
        <sz val="7"/>
        <rFont val="Arial"/>
      </rPr>
      <t xml:space="preserve">Critère sur le TJ ou CPH
</t>
    </r>
    <r>
      <rPr>
        <color rgb="FFFF0000"/>
        <family val="2"/>
        <sz val="7"/>
        <rFont val="Arial"/>
      </rPr>
      <t>*figurant dans l'onglet ETPT A-JUST</t>
    </r>
  </si>
  <si>
    <r>
      <t xml:space="preserve">3.43 Injonctions de payer + 3.44 Saisies des rémunérations
</t>
    </r>
    <r>
      <rPr>
        <b/>
        <color rgb="FF0070C0"/>
        <family val="2"/>
        <sz val="7"/>
        <rFont val="Arial"/>
      </rPr>
      <t>(Pour Fonction recodée = Magistrats SIEGE S + Magistrats SIEGE NS)</t>
    </r>
    <r>
      <rPr>
        <b/>
        <color rgb="FFFF0000"/>
        <family val="2"/>
        <sz val="7"/>
        <rFont val="Arial"/>
      </rPr>
      <t xml:space="preserve">
</t>
    </r>
    <r>
      <rPr>
        <family val="2"/>
        <sz val="7"/>
        <rFont val="Arial"/>
      </rPr>
      <t xml:space="preserve">
</t>
    </r>
    <r>
      <rPr>
        <b/>
        <color rgb="FFFF0000"/>
        <family val="2"/>
        <sz val="7"/>
        <rFont val="Arial"/>
      </rPr>
      <t>Critère sur le TPRX</t>
    </r>
  </si>
  <si>
    <r>
      <t xml:space="preserve">3. Contentieux de la Protection - 3.2 Protection des majeurs - 3.43 Injonctions de payer - 3.44 Saisies des rémunérations
</t>
    </r>
    <r>
      <rPr>
        <b/>
        <color rgb="FF0070C0"/>
        <family val="2"/>
        <sz val="7"/>
        <rFont val="Arial"/>
      </rPr>
      <t xml:space="preserve">
(Pour Fonction recodée = Magistrats SIEGE S + Magistrats SIEGE NS)
</t>
    </r>
    <r>
      <rPr>
        <b/>
        <color rgb="FFFF0000"/>
        <family val="2"/>
        <sz val="7"/>
        <rFont val="Arial"/>
      </rPr>
      <t>Critère sur le TPRX</t>
    </r>
  </si>
  <si>
    <r>
      <t xml:space="preserve">3.2 Protection des majeurs
</t>
    </r>
    <r>
      <rPr>
        <b/>
        <color rgb="FF0070C0"/>
        <family val="2"/>
        <sz val="7"/>
        <rFont val="Arial"/>
      </rPr>
      <t xml:space="preserve">
(Pour Fonction recodée = Magistrats SIEGE S + Magistrats SIEGE NS)</t>
    </r>
    <r>
      <rPr>
        <b/>
        <color rgb="FFFF0000"/>
        <family val="2"/>
        <sz val="7"/>
        <rFont val="Arial"/>
      </rPr>
      <t xml:space="preserve">
</t>
    </r>
    <r>
      <rPr>
        <family val="2"/>
        <sz val="7"/>
        <rFont val="Arial"/>
      </rPr>
      <t xml:space="preserve">
</t>
    </r>
    <r>
      <rPr>
        <b/>
        <color rgb="FFFF0000"/>
        <family val="2"/>
        <sz val="7"/>
        <rFont val="Arial"/>
      </rPr>
      <t>Critère sur le TPRX</t>
    </r>
  </si>
  <si>
    <t>Pas identifiable avec A-JUST (à reporter à la la main s'il existe une délégation formelle - dans ce cas, penser à les ôter des ETPT JAF du TJ = AA5)</t>
  </si>
  <si>
    <t>Pas identifiable avec A-JUST (à reporter à la la main s'il existe une délégation formelle - dans ce cas, penser à les ôter des ETPT du TJ dans la rubrique correspondante)</t>
  </si>
  <si>
    <r>
      <t>Magistrats du TJ qui sont délégués au TPROX pour faire autre chose que du JCP ou du départage ou une activité formellement déléguée</t>
    </r>
    <r>
      <rPr>
        <b/>
        <color rgb="FFFF66CC"/>
        <family val="2"/>
        <sz val="7"/>
        <rFont val="Arial"/>
      </rPr>
      <t xml:space="preserve">
</t>
    </r>
    <r>
      <rPr>
        <family val="2"/>
        <sz val="7"/>
        <rFont val="Arial"/>
      </rPr>
      <t xml:space="preserve">
 Pas identifiable avec A-JUST (à reporter à la la main)</t>
    </r>
  </si>
  <si>
    <r>
      <t xml:space="preserve">1.1 Départage prud'homal </t>
    </r>
    <r>
      <rPr>
        <b/>
        <color rgb="FFFF0000"/>
        <family val="2"/>
        <sz val="7"/>
        <rFont val="Arial"/>
      </rPr>
      <t xml:space="preserve">
</t>
    </r>
    <r>
      <rPr>
        <family val="2"/>
        <sz val="7"/>
        <rFont val="Arial"/>
      </rPr>
      <t xml:space="preserve">
</t>
    </r>
    <r>
      <rPr>
        <b/>
        <color rgb="FF0070C0"/>
        <family val="2"/>
        <sz val="7"/>
        <rFont val="Arial"/>
      </rPr>
      <t>(Pour Fonction recodée = Magistrats SIEGE S  + Magistrats SIEGE NS)</t>
    </r>
    <r>
      <rPr>
        <b/>
        <color rgb="FFFF0000"/>
        <family val="2"/>
        <sz val="7"/>
        <rFont val="Arial"/>
      </rPr>
      <t xml:space="preserve">
</t>
    </r>
    <r>
      <rPr>
        <family val="2"/>
        <sz val="7"/>
        <rFont val="Arial"/>
      </rPr>
      <t xml:space="preserve">
</t>
    </r>
    <r>
      <rPr>
        <b/>
        <color rgb="FFFF0000"/>
        <family val="2"/>
        <sz val="7"/>
        <rFont val="Arial"/>
      </rPr>
      <t>Critère sur le TPRX</t>
    </r>
  </si>
  <si>
    <r>
      <t xml:space="preserve">1. TOTAL CONTENTIEUX SOCIAL - 1.1 DEPARTAGE PRUD'HOMAL + 4. TOTAL CIVIL NON SPÉCIALISÉ
</t>
    </r>
    <r>
      <rPr>
        <b/>
        <color rgb="FF0070C0"/>
        <family val="2"/>
        <sz val="7"/>
        <rFont val="Arial"/>
      </rPr>
      <t xml:space="preserve">
(Pour Fonction recodée = Mag
istrats SIEGE S et NS)</t>
    </r>
    <r>
      <rPr>
        <family val="2"/>
        <sz val="7"/>
        <rFont val="Arial"/>
      </rPr>
      <t xml:space="preserve">
</t>
    </r>
    <r>
      <rPr>
        <b/>
        <color rgb="FFFF0000"/>
        <family val="2"/>
        <sz val="7"/>
        <rFont val="Arial"/>
      </rPr>
      <t xml:space="preserve">
Critère sur le TPRX</t>
    </r>
  </si>
  <si>
    <t>Pas identifiable avec A-JUST (à reporter à la la main s'il existe une délégation formelle - dans ce cas, penser à les ôter des ETPT du TJ affectés à l'activité correctionnelle = AB6 pour les juges spécialisés et AC6 pour les non spécialisés)</t>
  </si>
  <si>
    <t>Pas identifiable avec A-JUST (à reporter à la la main s'il existe une délégation formelle - dans ce cas, penser à les ôter des ETPT du TJ affectés à l'activité contraventionnelle = V6)</t>
  </si>
  <si>
    <r>
      <t>Magistrats du TJ qui sont délégués au TPROX pour faire autre chose que du JCP ou du départage ou une activité formellement déléguée</t>
    </r>
    <r>
      <rPr>
        <b/>
        <color rgb="FFFF66CC"/>
        <family val="2"/>
        <sz val="7"/>
        <rFont val="Arial"/>
      </rPr>
      <t xml:space="preserve">
</t>
    </r>
    <r>
      <rPr>
        <family val="2"/>
        <sz val="7"/>
        <rFont val="Arial"/>
      </rPr>
      <t xml:space="preserve">
 Pas identifiable avec A-JUST (à reporter à la la main) dans ce cas, penser à les ôter des ETPT du TJ dans la rubrique correspondante)</t>
    </r>
  </si>
  <si>
    <r>
      <t xml:space="preserve">11.5 CSM
</t>
    </r>
    <r>
      <rPr>
        <b/>
        <color rgb="FF0070C0"/>
        <family val="2"/>
        <sz val="7"/>
        <rFont val="Arial"/>
      </rPr>
      <t xml:space="preserve">(Pour Fonction recodée = Magistrats SIEGE S et NS)
</t>
    </r>
    <r>
      <rPr>
        <family val="2"/>
        <sz val="7"/>
        <rFont val="Arial"/>
      </rPr>
      <t xml:space="preserve">
</t>
    </r>
    <r>
      <rPr>
        <b/>
        <color rgb="FFFF0000"/>
        <family val="2"/>
        <sz val="7"/>
        <rFont val="Arial"/>
      </rPr>
      <t>Critère sur le TPRX</t>
    </r>
  </si>
  <si>
    <r>
      <t xml:space="preserve">11.51 Accueil du justiciable
</t>
    </r>
    <r>
      <rPr>
        <b/>
        <color rgb="FF0070C0"/>
        <family val="2"/>
        <sz val="7"/>
        <rFont val="Arial"/>
      </rPr>
      <t xml:space="preserve">(Pour Fonction recodée = Magistrats SIEGE S et NS)
</t>
    </r>
    <r>
      <rPr>
        <family val="2"/>
        <sz val="7"/>
        <rFont val="Arial"/>
      </rPr>
      <t xml:space="preserve">
</t>
    </r>
    <r>
      <rPr>
        <b/>
        <color rgb="FFFF0000"/>
        <family val="2"/>
        <sz val="7"/>
        <rFont val="Arial"/>
      </rPr>
      <t>Critère sur le TPRX</t>
    </r>
  </si>
  <si>
    <r>
      <t xml:space="preserve">11.1 Soutien + 11.2 Formations suivies + 11.6 Autres activités non juridictionnelles
</t>
    </r>
    <r>
      <rPr>
        <b/>
        <color rgb="FF0070C0"/>
        <family val="2"/>
        <sz val="7"/>
        <rFont val="Arial"/>
      </rPr>
      <t xml:space="preserve">(Pour Fonction recodée = Magistrats SIEGE S et NS)
</t>
    </r>
    <r>
      <rPr>
        <family val="2"/>
        <sz val="7"/>
        <rFont val="Arial"/>
      </rPr>
      <t xml:space="preserve">
</t>
    </r>
    <r>
      <rPr>
        <b/>
        <color rgb="FFFF0000"/>
        <family val="2"/>
        <sz val="7"/>
        <rFont val="Arial"/>
      </rPr>
      <t>Critère sur le TPRX</t>
    </r>
  </si>
  <si>
    <r>
      <t xml:space="preserve">11.3. Formations dispensées
</t>
    </r>
    <r>
      <rPr>
        <b/>
        <color rgb="FF0070C0"/>
        <family val="2"/>
        <sz val="7"/>
        <rFont val="Arial"/>
      </rPr>
      <t xml:space="preserve">(Pour Fonction recodée = Magistrats SIEGE S et NS)
</t>
    </r>
    <r>
      <rPr>
        <family val="2"/>
        <sz val="7"/>
        <rFont val="Arial"/>
      </rPr>
      <t xml:space="preserve">
</t>
    </r>
    <r>
      <rPr>
        <b/>
        <color rgb="FFFF0000"/>
        <family val="2"/>
        <sz val="7"/>
        <rFont val="Arial"/>
      </rPr>
      <t>Critère sur le TPRX</t>
    </r>
  </si>
  <si>
    <r>
      <t xml:space="preserve">11.4 Accès au droit et à la justice
</t>
    </r>
    <r>
      <rPr>
        <b/>
        <color rgb="FF0070C0"/>
        <family val="2"/>
        <sz val="7"/>
        <rFont val="Arial"/>
      </rPr>
      <t xml:space="preserve">(Pour Fonction recodée = Magistrats SIEGE S et NS)
</t>
    </r>
    <r>
      <rPr>
        <family val="2"/>
        <sz val="7"/>
        <rFont val="Arial"/>
      </rPr>
      <t xml:space="preserve">
</t>
    </r>
    <r>
      <rPr>
        <b/>
        <color rgb="FFFF0000"/>
        <family val="2"/>
        <sz val="7"/>
        <rFont val="Arial"/>
      </rPr>
      <t>Critère sur le TPRX</t>
    </r>
  </si>
  <si>
    <r>
      <t xml:space="preserve">12. TOTAL des INDISPONIBILITÉS relevant de l'action 99 - 12.5 MISE A DISPOSITN
</t>
    </r>
    <r>
      <rPr>
        <b/>
        <color rgb="FF0070C0"/>
        <family val="2"/>
        <sz val="7"/>
        <rFont val="Arial"/>
      </rPr>
      <t xml:space="preserve">
(Pour Fonction recodée = Magistrats SIEGE S  + Magistrats SIEGE NS)</t>
    </r>
    <r>
      <rPr>
        <b/>
        <color rgb="FFFF0000"/>
        <family val="2"/>
        <sz val="7"/>
        <rFont val="Arial"/>
      </rPr>
      <t xml:space="preserve">
</t>
    </r>
    <r>
      <rPr>
        <color rgb="FFFF0000"/>
        <family val="2"/>
        <sz val="7"/>
        <rFont val="Arial"/>
      </rPr>
      <t xml:space="preserve">
</t>
    </r>
    <r>
      <rPr>
        <b/>
        <color rgb="FFFF0000"/>
        <family val="2"/>
        <sz val="7"/>
        <rFont val="Arial"/>
      </rPr>
      <t>Critère sur le TPRX</t>
    </r>
  </si>
  <si>
    <r>
      <rPr>
        <family val="2"/>
        <sz val="7"/>
        <rFont val="Arial"/>
      </rPr>
      <t>13. Contentieux locaux spécifiques</t>
    </r>
    <r>
      <rPr>
        <b/>
        <color rgb="FFFF0000"/>
        <family val="2"/>
        <sz val="7"/>
        <rFont val="Arial"/>
      </rPr>
      <t xml:space="preserve">
</t>
    </r>
    <r>
      <rPr>
        <b/>
        <color rgb="FF0070C0"/>
        <family val="2"/>
        <sz val="7"/>
        <rFont val="Arial"/>
      </rPr>
      <t>(Pour Fonction recodée = Magistrats SIEGE S  + Magistrats SIEGE NS)</t>
    </r>
    <r>
      <rPr>
        <b/>
        <color rgb="FFFF0000"/>
        <family val="2"/>
        <sz val="7"/>
        <rFont val="Arial"/>
      </rPr>
      <t xml:space="preserve"> 
Critère sur le TPRX</t>
    </r>
  </si>
  <si>
    <r>
      <t xml:space="preserve">12.5 MISE A DISPOSITION
</t>
    </r>
    <r>
      <rPr>
        <b/>
        <color rgb="FF0070C0"/>
        <family val="2"/>
        <sz val="7"/>
        <rFont val="Arial"/>
      </rPr>
      <t xml:space="preserve">(Pour Fonction recodée = Magistrats SIEGE S  + Magistrats SIEGE NS) </t>
    </r>
    <r>
      <rPr>
        <b/>
        <color rgb="FFFF0000"/>
        <family val="2"/>
        <sz val="7"/>
        <rFont val="Arial"/>
      </rPr>
      <t xml:space="preserve">
</t>
    </r>
    <r>
      <rPr>
        <color rgb="FFFFFF00"/>
        <family val="2"/>
        <sz val="7"/>
        <rFont val="Arial"/>
      </rPr>
      <t xml:space="preserve">
</t>
    </r>
    <r>
      <rPr>
        <b/>
        <color rgb="FFFF0000"/>
        <family val="2"/>
        <sz val="7"/>
        <rFont val="Arial"/>
      </rPr>
      <t>Critère sur le TPRX</t>
    </r>
  </si>
  <si>
    <r>
      <t xml:space="preserve">13. Contentieux locaux spécifiques*
</t>
    </r>
    <r>
      <rPr>
        <b/>
        <color rgb="FF0070C0"/>
        <family val="2"/>
        <sz val="7"/>
        <rFont val="Arial"/>
      </rPr>
      <t xml:space="preserve">(Pour Fonction recodée = Magistrat placé ADD)
</t>
    </r>
    <r>
      <rPr>
        <b/>
        <color rgb="FFFF0000"/>
        <family val="2"/>
        <sz val="7"/>
        <rFont val="Arial"/>
      </rPr>
      <t xml:space="preserve">
Critère sur le TPRX
</t>
    </r>
    <r>
      <rPr>
        <color rgb="FFFF0000"/>
        <family val="2"/>
        <sz val="7"/>
        <rFont val="Arial"/>
      </rPr>
      <t>*figurant dans l'onglet ETPT A-JUST</t>
    </r>
  </si>
  <si>
    <r>
      <rPr>
        <b/>
        <color rgb="FFFF0000"/>
        <family val="2"/>
        <sz val="7"/>
        <rFont val="Arial"/>
      </rPr>
      <t xml:space="preserve">3.43 Injonctions de payer + 3.44 Saisies des rémunérations* </t>
    </r>
    <r>
      <rPr>
        <family val="2"/>
        <sz val="7"/>
        <rFont val="Arial"/>
      </rPr>
      <t xml:space="preserve">
</t>
    </r>
    <r>
      <rPr>
        <b/>
        <color rgb="FF0070C0"/>
        <family val="2"/>
        <sz val="7"/>
        <rFont val="Arial"/>
      </rPr>
      <t>(Pour Fonction recodée = Magistrat placé ADD)</t>
    </r>
    <r>
      <rPr>
        <family val="2"/>
        <sz val="7"/>
        <rFont val="Arial"/>
      </rPr>
      <t xml:space="preserve">
</t>
    </r>
    <r>
      <rPr>
        <b/>
        <color rgb="FFFF0000"/>
        <family val="2"/>
        <sz val="7"/>
        <rFont val="Arial"/>
      </rPr>
      <t>Critère sur le TPRX</t>
    </r>
    <r>
      <rPr>
        <family val="2"/>
        <sz val="7"/>
        <rFont val="Arial"/>
      </rPr>
      <t xml:space="preserve">
</t>
    </r>
    <r>
      <rPr>
        <color rgb="FFFF0000"/>
        <family val="2"/>
        <sz val="7"/>
        <rFont val="Arial"/>
      </rPr>
      <t>*figurant dans l'onglet ETPT A-JUST</t>
    </r>
  </si>
  <si>
    <r>
      <rPr>
        <b/>
        <color rgb="FFFF0000"/>
        <family val="2"/>
        <sz val="7"/>
        <rFont val="Arial"/>
      </rPr>
      <t xml:space="preserve">3. Contentieux de la Protection - 3.2 Protection des majeurs - 3.43 Injonctions de payer - 3.44 Saisies des rémunérations*
</t>
    </r>
    <r>
      <rPr>
        <family val="2"/>
        <sz val="7"/>
        <rFont val="Arial"/>
      </rPr>
      <t xml:space="preserve">
</t>
    </r>
    <r>
      <rPr>
        <b/>
        <color rgb="FF0070C0"/>
        <family val="2"/>
        <sz val="7"/>
        <rFont val="Arial"/>
      </rPr>
      <t>(Pour Fonction recodée = Magistrat placé ADD)</t>
    </r>
    <r>
      <rPr>
        <family val="2"/>
        <sz val="7"/>
        <rFont val="Arial"/>
      </rPr>
      <t xml:space="preserve">
</t>
    </r>
    <r>
      <rPr>
        <b/>
        <color rgb="FFFF0000"/>
        <family val="2"/>
        <sz val="7"/>
        <rFont val="Arial"/>
      </rPr>
      <t>Critère sur le TPRX</t>
    </r>
    <r>
      <rPr>
        <family val="2"/>
        <sz val="7"/>
        <rFont val="Arial"/>
      </rPr>
      <t xml:space="preserve">
</t>
    </r>
    <r>
      <rPr>
        <color rgb="FFFF0000"/>
        <family val="2"/>
        <sz val="7"/>
        <rFont val="Arial"/>
      </rPr>
      <t>*figurant dans l'onglet ETPT A-JUST</t>
    </r>
  </si>
  <si>
    <r>
      <rPr>
        <b/>
        <color rgb="FFFF0000"/>
        <family val="2"/>
        <sz val="7"/>
        <rFont val="Arial"/>
      </rPr>
      <t>3.2 Protection des majeurs*</t>
    </r>
    <r>
      <rPr>
        <family val="2"/>
        <sz val="7"/>
        <rFont val="Arial"/>
      </rPr>
      <t xml:space="preserve">
</t>
    </r>
    <r>
      <rPr>
        <b/>
        <color rgb="FF0070C0"/>
        <family val="2"/>
        <sz val="7"/>
        <rFont val="Arial"/>
      </rPr>
      <t>(Pour Fonction recodée = Magistrat placé ADD)</t>
    </r>
    <r>
      <rPr>
        <family val="2"/>
        <sz val="7"/>
        <rFont val="Arial"/>
      </rPr>
      <t xml:space="preserve">
</t>
    </r>
    <r>
      <rPr>
        <b/>
        <color rgb="FFFF0000"/>
        <family val="2"/>
        <sz val="7"/>
        <rFont val="Arial"/>
      </rPr>
      <t>Critère sur le TPRX</t>
    </r>
    <r>
      <rPr>
        <family val="2"/>
        <sz val="7"/>
        <rFont val="Arial"/>
      </rPr>
      <t xml:space="preserve">
</t>
    </r>
    <r>
      <rPr>
        <color rgb="FFFF0000"/>
        <family val="2"/>
        <sz val="7"/>
        <rFont val="Arial"/>
      </rPr>
      <t>*figurant dans l'onglet ETPT A-JUST</t>
    </r>
  </si>
  <si>
    <r>
      <rPr>
        <b/>
        <color rgb="FFFF0000"/>
        <family val="2"/>
        <sz val="7"/>
        <rFont val="Arial"/>
      </rPr>
      <t>1.1 Départage prud'homal *</t>
    </r>
    <r>
      <rPr>
        <color theme="1"/>
        <family val="2"/>
        <sz val="7"/>
        <rFont val="Arial"/>
      </rPr>
      <t xml:space="preserve">
</t>
    </r>
    <r>
      <rPr>
        <family val="2"/>
        <sz val="7"/>
        <rFont val="Arial"/>
      </rPr>
      <t xml:space="preserve">
</t>
    </r>
    <r>
      <rPr>
        <b/>
        <color rgb="FF0070C0"/>
        <family val="2"/>
        <sz val="7"/>
        <rFont val="Arial"/>
      </rPr>
      <t>(Pour Fonction recodée = Magistrat placé ADD)</t>
    </r>
    <r>
      <rPr>
        <b/>
        <color rgb="FFFF0000"/>
        <family val="2"/>
        <sz val="7"/>
        <rFont val="Arial"/>
      </rPr>
      <t xml:space="preserve">
</t>
    </r>
    <r>
      <rPr>
        <family val="2"/>
        <sz val="7"/>
        <rFont val="Arial"/>
      </rPr>
      <t xml:space="preserve">
</t>
    </r>
    <r>
      <rPr>
        <b/>
        <color rgb="FFFF0000"/>
        <family val="2"/>
        <sz val="7"/>
        <rFont val="Arial"/>
      </rPr>
      <t xml:space="preserve">Critère sur le TPRX
</t>
    </r>
    <r>
      <rPr>
        <color rgb="FFFF0000"/>
        <family val="2"/>
        <sz val="7"/>
        <rFont val="Arial"/>
      </rPr>
      <t xml:space="preserve">
*figurant dans l'onglet ETPT A-JUST</t>
    </r>
  </si>
  <si>
    <r>
      <rPr>
        <b/>
        <color rgb="FFFF0000"/>
        <family val="2"/>
        <sz val="7"/>
        <rFont val="Arial"/>
      </rPr>
      <t>Temps ventilés sur la période (absentéisme et action 99 déduits)*</t>
    </r>
    <r>
      <rPr>
        <family val="2"/>
        <sz val="7"/>
        <rFont val="Arial"/>
      </rPr>
      <t xml:space="preserve"> 
-
somme colonnes précédentes
</t>
    </r>
    <r>
      <rPr>
        <b/>
        <color rgb="FF0070C0"/>
        <family val="2"/>
        <sz val="7"/>
        <rFont val="Arial"/>
      </rPr>
      <t>(Pour Fonction recodée = Magistrat placé ADD)</t>
    </r>
    <r>
      <rPr>
        <b/>
        <color rgb="FFFF0000"/>
        <family val="2"/>
        <sz val="7"/>
        <rFont val="Arial"/>
      </rPr>
      <t xml:space="preserve">
</t>
    </r>
    <r>
      <rPr>
        <family val="2"/>
        <sz val="7"/>
        <rFont val="Arial"/>
      </rPr>
      <t xml:space="preserve">
</t>
    </r>
    <r>
      <rPr>
        <b/>
        <color rgb="FFFF0000"/>
        <family val="2"/>
        <sz val="7"/>
        <rFont val="Arial"/>
      </rPr>
      <t xml:space="preserve">Critère sur le TPRX
</t>
    </r>
    <r>
      <rPr>
        <color rgb="FFFF0000"/>
        <family val="2"/>
        <sz val="7"/>
        <rFont val="Arial"/>
      </rPr>
      <t>*figurant dans l'onglet ETPT A-JUST</t>
    </r>
  </si>
  <si>
    <r>
      <t xml:space="preserve">13. Contentieux locaux spécifiques*
</t>
    </r>
    <r>
      <rPr>
        <b/>
        <color rgb="FF0070C0"/>
        <family val="2"/>
        <sz val="7"/>
        <rFont val="Arial"/>
      </rPr>
      <t xml:space="preserve">(Pour Fonction recodée = Magistrat placé SUB)
</t>
    </r>
    <r>
      <rPr>
        <b/>
        <color rgb="FFFF0000"/>
        <family val="2"/>
        <sz val="7"/>
        <rFont val="Arial"/>
      </rPr>
      <t xml:space="preserve">
Critère sur le TPRX
</t>
    </r>
    <r>
      <rPr>
        <color rgb="FFFF0000"/>
        <family val="2"/>
        <sz val="7"/>
        <rFont val="Arial"/>
      </rPr>
      <t>*figurant dans l'onglet ETPT A-JUST</t>
    </r>
  </si>
  <si>
    <r>
      <rPr>
        <b/>
        <color rgb="FFFF0000"/>
        <family val="2"/>
        <sz val="7"/>
        <rFont val="Arial"/>
      </rPr>
      <t xml:space="preserve">3.43 Injonctions de payer + 3.44 Saisies des rémunérations* </t>
    </r>
    <r>
      <rPr>
        <family val="2"/>
        <sz val="7"/>
        <rFont val="Arial"/>
      </rPr>
      <t xml:space="preserve">
</t>
    </r>
    <r>
      <rPr>
        <b/>
        <color rgb="FF0070C0"/>
        <family val="2"/>
        <sz val="7"/>
        <rFont val="Arial"/>
      </rPr>
      <t>(Pour Fonction recodée = Magistrat placé SUB)</t>
    </r>
    <r>
      <rPr>
        <family val="2"/>
        <sz val="7"/>
        <rFont val="Arial"/>
      </rPr>
      <t xml:space="preserve">
</t>
    </r>
    <r>
      <rPr>
        <b/>
        <color rgb="FFFF0000"/>
        <family val="2"/>
        <sz val="7"/>
        <rFont val="Arial"/>
      </rPr>
      <t>Critère sur le TPRX</t>
    </r>
    <r>
      <rPr>
        <family val="2"/>
        <sz val="7"/>
        <rFont val="Arial"/>
      </rPr>
      <t xml:space="preserve">
</t>
    </r>
    <r>
      <rPr>
        <color rgb="FFFF0000"/>
        <family val="2"/>
        <sz val="7"/>
        <rFont val="Arial"/>
      </rPr>
      <t>*figurant dans l'onglet ETPT A-JUST</t>
    </r>
  </si>
  <si>
    <r>
      <rPr>
        <b/>
        <color rgb="FFFF0000"/>
        <family val="2"/>
        <sz val="7"/>
        <rFont val="Arial"/>
      </rPr>
      <t xml:space="preserve">3. Contentieux de la Protection - 3.2 Protection des majeurs - 3.43 Injonctions de payer - 3.44 Saisies des rémunérations*
</t>
    </r>
    <r>
      <rPr>
        <family val="2"/>
        <sz val="7"/>
        <rFont val="Arial"/>
      </rPr>
      <t xml:space="preserve">
</t>
    </r>
    <r>
      <rPr>
        <b/>
        <color rgb="FF0070C0"/>
        <family val="2"/>
        <sz val="7"/>
        <rFont val="Arial"/>
      </rPr>
      <t>(Pour Fonction recodée = Magistrat placé SUB)</t>
    </r>
    <r>
      <rPr>
        <family val="2"/>
        <sz val="7"/>
        <rFont val="Arial"/>
      </rPr>
      <t xml:space="preserve">
</t>
    </r>
    <r>
      <rPr>
        <b/>
        <color rgb="FFFF0000"/>
        <family val="2"/>
        <sz val="7"/>
        <rFont val="Arial"/>
      </rPr>
      <t>Critère sur le TPRX</t>
    </r>
    <r>
      <rPr>
        <family val="2"/>
        <sz val="7"/>
        <rFont val="Arial"/>
      </rPr>
      <t xml:space="preserve">
</t>
    </r>
    <r>
      <rPr>
        <color rgb="FFFF0000"/>
        <family val="2"/>
        <sz val="7"/>
        <rFont val="Arial"/>
      </rPr>
      <t>*figurant dans l'onglet ETPT A-JUST</t>
    </r>
  </si>
  <si>
    <r>
      <rPr>
        <b/>
        <color rgb="FFFF0000"/>
        <family val="2"/>
        <sz val="7"/>
        <rFont val="Arial"/>
      </rPr>
      <t>3.2 Protection des majeurs*</t>
    </r>
    <r>
      <rPr>
        <family val="2"/>
        <sz val="7"/>
        <rFont val="Arial"/>
      </rPr>
      <t xml:space="preserve">
</t>
    </r>
    <r>
      <rPr>
        <b/>
        <color rgb="FF0070C0"/>
        <family val="2"/>
        <sz val="7"/>
        <rFont val="Arial"/>
      </rPr>
      <t>(Pour Fonction recodée = Magistrat placé SUB)</t>
    </r>
    <r>
      <rPr>
        <family val="2"/>
        <sz val="7"/>
        <rFont val="Arial"/>
      </rPr>
      <t xml:space="preserve">
</t>
    </r>
    <r>
      <rPr>
        <b/>
        <color rgb="FFFF0000"/>
        <family val="2"/>
        <sz val="7"/>
        <rFont val="Arial"/>
      </rPr>
      <t>Critère sur le TPRX</t>
    </r>
    <r>
      <rPr>
        <family val="2"/>
        <sz val="7"/>
        <rFont val="Arial"/>
      </rPr>
      <t xml:space="preserve">
</t>
    </r>
    <r>
      <rPr>
        <color rgb="FFFF0000"/>
        <family val="2"/>
        <sz val="7"/>
        <rFont val="Arial"/>
      </rPr>
      <t>*figurant dans l'onglet ETPT A-JUST</t>
    </r>
  </si>
  <si>
    <r>
      <rPr>
        <b/>
        <color rgb="FFFF0000"/>
        <family val="2"/>
        <sz val="7"/>
        <rFont val="Arial"/>
      </rPr>
      <t>1.1 Départage prud'homal *</t>
    </r>
    <r>
      <rPr>
        <color theme="1"/>
        <family val="2"/>
        <sz val="7"/>
        <rFont val="Arial"/>
      </rPr>
      <t xml:space="preserve">
</t>
    </r>
    <r>
      <rPr>
        <family val="2"/>
        <sz val="7"/>
        <rFont val="Arial"/>
      </rPr>
      <t xml:space="preserve">
</t>
    </r>
    <r>
      <rPr>
        <b/>
        <color rgb="FF0070C0"/>
        <family val="2"/>
        <sz val="7"/>
        <rFont val="Arial"/>
      </rPr>
      <t>(Pour Fonction recodée = Magistrat placé SUB)</t>
    </r>
    <r>
      <rPr>
        <b/>
        <color rgb="FFFF0000"/>
        <family val="2"/>
        <sz val="7"/>
        <rFont val="Arial"/>
      </rPr>
      <t xml:space="preserve">
</t>
    </r>
    <r>
      <rPr>
        <family val="2"/>
        <sz val="7"/>
        <rFont val="Arial"/>
      </rPr>
      <t xml:space="preserve">
</t>
    </r>
    <r>
      <rPr>
        <b/>
        <color rgb="FFFF0000"/>
        <family val="2"/>
        <sz val="7"/>
        <rFont val="Arial"/>
      </rPr>
      <t xml:space="preserve">Critère sur le TPRX
</t>
    </r>
    <r>
      <rPr>
        <color rgb="FFFF0000"/>
        <family val="2"/>
        <sz val="7"/>
        <rFont val="Arial"/>
      </rPr>
      <t xml:space="preserve">
*figurant dans l'onglet ETPT A-JUST</t>
    </r>
  </si>
  <si>
    <r>
      <rPr>
        <b/>
        <color rgb="FFFF0000"/>
        <family val="2"/>
        <sz val="7"/>
        <rFont val="Arial"/>
      </rPr>
      <t>Temps ventilés sur la période (absentéisme et action 99 déduits)*</t>
    </r>
    <r>
      <rPr>
        <family val="2"/>
        <sz val="7"/>
        <rFont val="Arial"/>
      </rPr>
      <t xml:space="preserve"> 
-
somme colonnes précédentes
</t>
    </r>
    <r>
      <rPr>
        <b/>
        <color rgb="FF0070C0"/>
        <family val="2"/>
        <sz val="7"/>
        <rFont val="Arial"/>
      </rPr>
      <t>(Pour Fonction recodée = Magistrat placé SUB)</t>
    </r>
    <r>
      <rPr>
        <b/>
        <color rgb="FFFF0000"/>
        <family val="2"/>
        <sz val="7"/>
        <rFont val="Arial"/>
      </rPr>
      <t xml:space="preserve">
</t>
    </r>
    <r>
      <rPr>
        <family val="2"/>
        <sz val="7"/>
        <rFont val="Arial"/>
      </rPr>
      <t xml:space="preserve">
</t>
    </r>
    <r>
      <rPr>
        <b/>
        <color rgb="FFFF0000"/>
        <family val="2"/>
        <sz val="7"/>
        <rFont val="Arial"/>
      </rPr>
      <t xml:space="preserve">Critère sur le TPRX
</t>
    </r>
    <r>
      <rPr>
        <color rgb="FFFF0000"/>
        <family val="2"/>
        <sz val="7"/>
        <rFont val="Arial"/>
      </rPr>
      <t>*figurant dans l'onglet ETPT A-JUST</t>
    </r>
  </si>
  <si>
    <t>Fonctionnaires affectés aux fonctions JI, JE, JAP, JLD</t>
  </si>
  <si>
    <r>
      <t xml:space="preserve">1. TOTAL CONTENTIEUX SOCIAL + 2. TOTAL CONTENTIEUX JAF + 3. TOTAL CONTENTIEUX DE LA PROTECTION + 4. TOTAL CIVIL NON SPÉCIALISÉ + 5. TOTAL JLD CIVIL + 6.1. ACTIVITÉ CIVILE + 11.7 Fonctionnaires affectés au CPH + 11.8. FONCTIONNAIRES AFFECTÉS AUX ACTIVITÉS CIVILES ET COMMERCIALES DU PARQUET
</t>
    </r>
    <r>
      <rPr>
        <b/>
        <color rgb="FF0070C0"/>
        <family val="2"/>
        <sz val="10"/>
        <rFont val="Arial"/>
      </rPr>
      <t>(Pour Fonction recodée = Fonctionnaire CTECH)</t>
    </r>
    <r>
      <rPr>
        <family val="2"/>
        <sz val="10"/>
        <rFont val="Arial"/>
      </rPr>
      <t xml:space="preserve">
</t>
    </r>
    <r>
      <rPr>
        <b/>
        <color rgb="FFFF0000"/>
        <family val="2"/>
        <sz val="10"/>
        <rFont val="Arial"/>
      </rPr>
      <t>Critère sur le TJ OU CPH</t>
    </r>
  </si>
  <si>
    <r>
      <t xml:space="preserve">11.8. FONCTIONNAIRES AFFECTÉS AUX ACTIVITÉS CIVILES ET COMMERCIALES DU PARQUET
</t>
    </r>
    <r>
      <rPr>
        <b/>
        <color rgb="FF0070C0"/>
        <family val="2"/>
        <sz val="10"/>
        <rFont val="Arial"/>
      </rPr>
      <t>(Pour Fonction recodée = Fonctionnaire A-B-CBUR)</t>
    </r>
    <r>
      <rPr>
        <family val="2"/>
        <sz val="10"/>
        <rFont val="Arial"/>
      </rPr>
      <t xml:space="preserve">
</t>
    </r>
    <r>
      <rPr>
        <b/>
        <color rgb="FFFF0000"/>
        <family val="2"/>
        <sz val="10"/>
        <rFont val="Arial"/>
      </rPr>
      <t>Critère sur le TJ OU CPH</t>
    </r>
  </si>
  <si>
    <r>
      <t xml:space="preserve">3.2 Protection des majeurs
</t>
    </r>
    <r>
      <rPr>
        <b/>
        <color rgb="FF0070C0"/>
        <family val="2"/>
        <sz val="10"/>
        <rFont val="Arial"/>
      </rPr>
      <t>(Pour Fonction recodée = Fonctionnaire A-B-CBUR)</t>
    </r>
    <r>
      <rPr>
        <b/>
        <color rgb="FFFF0000"/>
        <family val="2"/>
        <sz val="10"/>
        <rFont val="Arial"/>
      </rPr>
      <t xml:space="preserve">
</t>
    </r>
    <r>
      <rPr>
        <family val="2"/>
        <sz val="10"/>
        <rFont val="Arial"/>
      </rPr>
      <t xml:space="preserve">
</t>
    </r>
    <r>
      <rPr>
        <b/>
        <color rgb="FFFF0000"/>
        <family val="2"/>
        <sz val="10"/>
        <rFont val="Arial"/>
      </rPr>
      <t>Critère sur le TJ  OU CPH</t>
    </r>
  </si>
  <si>
    <r>
      <t xml:space="preserve">3. Contentieux de la Protection - 3.2 Protection des majeurs - 3.43 IP - 3.44 Saisies rémunérations
</t>
    </r>
    <r>
      <rPr>
        <b/>
        <color rgb="FF0070C0"/>
        <family val="2"/>
        <sz val="10"/>
        <rFont val="Arial"/>
      </rPr>
      <t>(Pour Fonction recodée = Fonctionnaire A-B-CBUR)</t>
    </r>
    <r>
      <rPr>
        <b/>
        <color rgb="FFFF0000"/>
        <family val="2"/>
        <sz val="10"/>
        <rFont val="Arial"/>
      </rPr>
      <t xml:space="preserve">
</t>
    </r>
    <r>
      <rPr>
        <family val="2"/>
        <sz val="10"/>
        <rFont val="Arial"/>
      </rPr>
      <t xml:space="preserve">
</t>
    </r>
    <r>
      <rPr>
        <b/>
        <color rgb="FFFF0000"/>
        <family val="2"/>
        <sz val="10"/>
        <rFont val="Arial"/>
      </rPr>
      <t>Critère sur le TJ OU CPH</t>
    </r>
  </si>
  <si>
    <r>
      <t xml:space="preserve">6.1. ACTIVITÉ CIVILE
</t>
    </r>
    <r>
      <rPr>
        <b/>
        <color rgb="FF0070C0"/>
        <family val="2"/>
        <sz val="10"/>
        <rFont val="Arial"/>
      </rPr>
      <t>(Pour Fonction recodée = Fonctionnaire A-B-CBUR)</t>
    </r>
    <r>
      <rPr>
        <b/>
        <color rgb="FFFF0000"/>
        <family val="2"/>
        <sz val="10"/>
        <rFont val="Arial"/>
      </rPr>
      <t xml:space="preserve">
</t>
    </r>
    <r>
      <rPr>
        <family val="2"/>
        <sz val="10"/>
        <rFont val="Arial"/>
      </rPr>
      <t xml:space="preserve">
</t>
    </r>
    <r>
      <rPr>
        <b/>
        <color rgb="FFFF0000"/>
        <family val="2"/>
        <sz val="10"/>
        <rFont val="Arial"/>
      </rPr>
      <t>Critère sur le TJ OU CPH</t>
    </r>
  </si>
  <si>
    <r>
      <t xml:space="preserve">3.43 Injonctions de payer + 3.44 Saisies des rémunérations
</t>
    </r>
    <r>
      <rPr>
        <b/>
        <color rgb="FF0070C0"/>
        <family val="2"/>
        <sz val="10"/>
        <rFont val="Arial"/>
      </rPr>
      <t>(Pour Fonction recodée = Fonctionnaire A-B-CBUR)</t>
    </r>
    <r>
      <rPr>
        <family val="2"/>
        <sz val="10"/>
        <rFont val="Arial"/>
      </rPr>
      <t xml:space="preserve">
</t>
    </r>
    <r>
      <rPr>
        <b/>
        <color rgb="FFFF0000"/>
        <family val="2"/>
        <sz val="10"/>
        <rFont val="Arial"/>
      </rPr>
      <t>Critère sur le TJ OU CPH</t>
    </r>
  </si>
  <si>
    <r>
      <t xml:space="preserve">4.0 Contentieux général &lt; 10000 euros
</t>
    </r>
    <r>
      <rPr>
        <b/>
        <color rgb="FF0070C0"/>
        <family val="2"/>
        <sz val="10"/>
        <rFont val="Arial"/>
      </rPr>
      <t>(Pour Fonction recodée = Fonctionnaire A-B-CBUR)</t>
    </r>
    <r>
      <rPr>
        <b/>
        <color rgb="FFFF0000"/>
        <family val="2"/>
        <sz val="10"/>
        <rFont val="Arial"/>
      </rPr>
      <t xml:space="preserve">
</t>
    </r>
    <r>
      <rPr>
        <family val="2"/>
        <sz val="10"/>
        <rFont val="Arial"/>
      </rPr>
      <t xml:space="preserve">
</t>
    </r>
    <r>
      <rPr>
        <b/>
        <color rgb="FFFF0000"/>
        <family val="2"/>
        <sz val="10"/>
        <rFont val="Arial"/>
      </rPr>
      <t>Critère sur le TJ OU CPH</t>
    </r>
  </si>
  <si>
    <r>
      <t xml:space="preserve">1. TOTAL CONTENTIEUX SOCIAL
</t>
    </r>
    <r>
      <rPr>
        <color rgb="FF0070C0"/>
        <family val="2"/>
        <sz val="10"/>
        <rFont val="Arial"/>
      </rPr>
      <t xml:space="preserve">
</t>
    </r>
    <r>
      <rPr>
        <b/>
        <color rgb="FF0070C0"/>
        <family val="2"/>
        <sz val="10"/>
        <rFont val="Arial"/>
      </rPr>
      <t xml:space="preserve">(Pour Fonction recodée = Fonctionnaire A-B-CBUR)
</t>
    </r>
    <r>
      <rPr>
        <family val="2"/>
        <sz val="10"/>
        <rFont val="Arial"/>
      </rPr>
      <t xml:space="preserve">
</t>
    </r>
    <r>
      <rPr>
        <b/>
        <color rgb="FFFF0000"/>
        <family val="2"/>
        <sz val="10"/>
        <rFont val="Arial"/>
      </rPr>
      <t>Critère sur le TJ OU CPH</t>
    </r>
  </si>
  <si>
    <r>
      <t xml:space="preserve">2. TOTAL CONTENTIEUX JAF  + 4. TOTAL CIVIL NON SPÉCIALISÉ + </t>
    </r>
    <r>
      <rPr>
        <u/>
        <family val="2"/>
        <sz val="10"/>
        <rFont val="Arial"/>
      </rPr>
      <t>5. TOTAL JLD CIVIL</t>
    </r>
    <r>
      <rPr>
        <family val="2"/>
        <sz val="10"/>
        <rFont val="Arial"/>
      </rPr>
      <t xml:space="preserve">
-
4.0. Contentieux général &lt; 10000 euros
</t>
    </r>
    <r>
      <rPr>
        <b/>
        <u/>
        <family val="2"/>
        <sz val="10"/>
        <rFont val="Arial"/>
      </rPr>
      <t xml:space="preserve">
</t>
    </r>
    <r>
      <rPr>
        <b/>
        <color rgb="FF0070C0"/>
        <family val="2"/>
        <sz val="10"/>
        <rFont val="Arial"/>
      </rPr>
      <t>(Pour Fonction recodée = Fonctionnaire A-B-CBUR)</t>
    </r>
    <r>
      <rPr>
        <b/>
        <u/>
        <family val="2"/>
        <sz val="10"/>
        <rFont val="Arial"/>
      </rPr>
      <t xml:space="preserve">
</t>
    </r>
    <r>
      <rPr>
        <family val="2"/>
        <sz val="10"/>
        <rFont val="Arial"/>
      </rPr>
      <t xml:space="preserve">
</t>
    </r>
    <r>
      <rPr>
        <b/>
        <color rgb="FFFF0000"/>
        <family val="2"/>
        <sz val="10"/>
        <rFont val="Arial"/>
      </rPr>
      <t>Critère sur le TJ OU CPH</t>
    </r>
  </si>
  <si>
    <r>
      <t xml:space="preserve">6.2. ACTIVITÉ PÉNALE + 7. TOTAL SIÈGE PÉNAL + 8. TOTAL JUGES D'INSTRUCTION + 
9. TOTAL JAP + 10. TOTAL JLD PÉNAL + 11.9 Fonctionnaires affectés à l'exécution des peines + 11.10 AUTRES FONCTIONNAIRES AFFECTÉS AU PARQUET 
</t>
    </r>
    <r>
      <rPr>
        <b/>
        <color rgb="FF0070C0"/>
        <family val="2"/>
        <sz val="10"/>
        <rFont val="Arial"/>
      </rPr>
      <t>(Pour Fonction recodée = Fonctionnaire CTECH)</t>
    </r>
    <r>
      <rPr>
        <b/>
        <color rgb="FFFF0000"/>
        <family val="2"/>
        <sz val="10"/>
        <rFont val="Arial"/>
      </rPr>
      <t xml:space="preserve">
TJ et TPR et CPH (donc pas de critère sur le TJ)</t>
    </r>
  </si>
  <si>
    <r>
      <t xml:space="preserve">11.9 Fonctionnaires affectés à l'exécution des peines
</t>
    </r>
    <r>
      <rPr>
        <b/>
        <color rgb="FF0070C0"/>
        <family val="2"/>
        <sz val="10"/>
        <rFont val="Arial"/>
      </rPr>
      <t xml:space="preserve">(Pour Fonction recodée = Fonctionnaire A-B-CBUR)
</t>
    </r>
    <r>
      <rPr>
        <family val="2"/>
        <sz val="10"/>
        <rFont val="Arial"/>
      </rPr>
      <t xml:space="preserve">
</t>
    </r>
    <r>
      <rPr>
        <b/>
        <color rgb="FFFF0000"/>
        <family val="2"/>
        <sz val="10"/>
        <rFont val="Arial"/>
      </rPr>
      <t>TJ et TPR  et CPH (donc pas de critère sur le TJ)</t>
    </r>
  </si>
  <si>
    <r>
      <t xml:space="preserve">7.5 + 7.51 Cour d'assises JIRS et hors JIRS
</t>
    </r>
    <r>
      <rPr>
        <b/>
        <color rgb="FF0070C0"/>
        <family val="2"/>
        <sz val="10"/>
        <rFont val="Arial"/>
      </rPr>
      <t xml:space="preserve">(Pour Fonction recodée = Fonctionnaire A-B-CBUR)
</t>
    </r>
    <r>
      <rPr>
        <family val="2"/>
        <sz val="10"/>
        <rFont val="Arial"/>
      </rPr>
      <t xml:space="preserve">
</t>
    </r>
    <r>
      <rPr>
        <b/>
        <color rgb="FFFF0000"/>
        <family val="2"/>
        <sz val="10"/>
        <rFont val="Arial"/>
      </rPr>
      <t>TJ et TPR et CPH (donc pas de critère sur le TJ)</t>
    </r>
  </si>
  <si>
    <r>
      <t xml:space="preserve">7.52 cour criminelle
</t>
    </r>
    <r>
      <rPr>
        <b/>
        <color rgb="FF0070C0"/>
        <family val="2"/>
        <sz val="10"/>
        <rFont val="Arial"/>
      </rPr>
      <t xml:space="preserve">(Pour Fonction recodée = Fonctionnaire A-B-CBUR)
</t>
    </r>
    <r>
      <rPr>
        <family val="2"/>
        <sz val="10"/>
        <rFont val="Arial"/>
      </rPr>
      <t xml:space="preserve">
</t>
    </r>
    <r>
      <rPr>
        <b/>
        <color rgb="FFFF0000"/>
        <family val="2"/>
        <sz val="10"/>
        <rFont val="Arial"/>
      </rPr>
      <t>TJ et TPR et CPH (donc pas de critère sur le TJ)</t>
    </r>
  </si>
  <si>
    <r>
      <t xml:space="preserve">7.121. COLLÉGIALES JIRS ÉCO-FI POUR LES JURIDICTIONS JIRS
</t>
    </r>
    <r>
      <rPr>
        <b/>
        <color rgb="FF0070C0"/>
        <family val="2"/>
        <sz val="10"/>
        <rFont val="Arial"/>
      </rPr>
      <t>(Pour Fonction recodée = Fonctionnaire A-B-CBUR)</t>
    </r>
    <r>
      <rPr>
        <family val="2"/>
        <sz val="10"/>
        <rFont val="Arial"/>
      </rPr>
      <t xml:space="preserve">
</t>
    </r>
    <r>
      <rPr>
        <b/>
        <color rgb="FFFF0000"/>
        <family val="2"/>
        <sz val="10"/>
        <rFont val="Arial"/>
      </rPr>
      <t>TJ et TPR et CPH (donc pas de critère sur le TJ)</t>
    </r>
  </si>
  <si>
    <r>
      <t xml:space="preserve"> 7.12 Collégiales JIRS crim-org
</t>
    </r>
    <r>
      <rPr>
        <b/>
        <color rgb="FF0070C0"/>
        <family val="2"/>
        <sz val="10"/>
        <rFont val="Arial"/>
      </rPr>
      <t xml:space="preserve">(Pour Fonction recodée = Fonctionnaire A-B-CBUR)
</t>
    </r>
    <r>
      <rPr>
        <family val="2"/>
        <sz val="10"/>
        <rFont val="Arial"/>
      </rPr>
      <t xml:space="preserve">
</t>
    </r>
    <r>
      <rPr>
        <b/>
        <color rgb="FFFF0000"/>
        <family val="2"/>
        <sz val="10"/>
        <rFont val="Arial"/>
      </rPr>
      <t>TJ et TPR et CPH (donc pas de critère sur le TJ)</t>
    </r>
  </si>
  <si>
    <r>
      <t>7.122 Collégiales autres sections spécialisées + 7.121 Collégiales eco-fi POUR LES JURIDICTIONS NON JIRS</t>
    </r>
    <r>
      <rPr>
        <b/>
        <color rgb="FFFF0000"/>
        <family val="2"/>
        <sz val="10"/>
        <rFont val="Arial"/>
      </rPr>
      <t xml:space="preserve">
</t>
    </r>
    <r>
      <rPr>
        <family val="2"/>
        <sz val="10"/>
        <rFont val="Arial"/>
      </rPr>
      <t xml:space="preserve">
</t>
    </r>
    <r>
      <rPr>
        <b/>
        <color rgb="FF0070C0"/>
        <family val="2"/>
        <sz val="10"/>
        <rFont val="Arial"/>
      </rPr>
      <t>(Pour Fonction recodée = Fonctionnaire A-B-CBUR)</t>
    </r>
    <r>
      <rPr>
        <family val="2"/>
        <sz val="10"/>
        <rFont val="Arial"/>
      </rPr>
      <t xml:space="preserve">
</t>
    </r>
    <r>
      <rPr>
        <b/>
        <color rgb="FFFF0000"/>
        <family val="2"/>
        <sz val="10"/>
        <rFont val="Arial"/>
      </rPr>
      <t>TJ et TPR et CPH (donc pas de critère sur le TJ)</t>
    </r>
  </si>
  <si>
    <r>
      <t>6.2 Activité pénale + 8. Juge d'instruction + 9. JAP + 10. JLD pénal</t>
    </r>
    <r>
      <rPr>
        <b/>
        <color rgb="FFFF0000"/>
        <family val="2"/>
        <sz val="10"/>
        <rFont val="Arial"/>
      </rPr>
      <t xml:space="preserve">
</t>
    </r>
    <r>
      <rPr>
        <b/>
        <color rgb="FF0070C0"/>
        <family val="2"/>
        <sz val="10"/>
        <rFont val="Arial"/>
      </rPr>
      <t>(Pour Fonction recodée = Fonctionnaire A-B-CBUR)</t>
    </r>
    <r>
      <rPr>
        <b/>
        <color rgb="FFFF0000"/>
        <family val="2"/>
        <sz val="10"/>
        <rFont val="Arial"/>
      </rPr>
      <t xml:space="preserve">
</t>
    </r>
    <r>
      <rPr>
        <family val="2"/>
        <sz val="10"/>
        <rFont val="Arial"/>
      </rPr>
      <t xml:space="preserve">
</t>
    </r>
    <r>
      <rPr>
        <b/>
        <color rgb="FFFF0000"/>
        <family val="2"/>
        <sz val="10"/>
        <rFont val="Arial"/>
      </rPr>
      <t>TJ et TPR et CPH (donc pas de critère sur le TJ)</t>
    </r>
  </si>
  <si>
    <r>
      <rPr>
        <family val="2"/>
        <sz val="10"/>
        <rFont val="Arial"/>
      </rPr>
      <t>7. TOTAL SIÈGE PÉNAL + 11.10 AUTRES FONCTIONNAIRES AFFECTÉS AU PARQUET - 7.5. COUR D'ASSISES HORS JIRS - 7.51. COUR D'ASSISES JIRS - 7.52. COUR CRIMINELLE - 7.121. COLLÉGIALES JIRS ÉCO-FI - 7.12. COLLÉGIALES JIRS CRIM-ORG - 7.122. COLLÉGIALES AUTRES SECTIONS SPÉCIALISÉES</t>
    </r>
    <r>
      <rPr>
        <u/>
        <family val="2"/>
        <sz val="10"/>
        <rFont val="Arial"/>
      </rPr>
      <t xml:space="preserve">
</t>
    </r>
    <r>
      <rPr>
        <b/>
        <u/>
        <color rgb="FFFF0000"/>
        <family val="2"/>
        <sz val="10"/>
        <rFont val="Arial"/>
      </rPr>
      <t xml:space="preserve"> 
</t>
    </r>
    <r>
      <rPr>
        <b/>
        <color rgb="FF0070C0"/>
        <family val="2"/>
        <sz val="10"/>
        <rFont val="Arial"/>
      </rPr>
      <t>(Pour Fonction recodée = Fonctionnaire A-B-CBUR)</t>
    </r>
    <r>
      <rPr>
        <b/>
        <color rgb="FFFF0000"/>
        <family val="2"/>
        <sz val="10"/>
        <rFont val="Arial"/>
      </rPr>
      <t xml:space="preserve">
TJ et TPR et CPH (donc pas de critère sur le TJ)</t>
    </r>
  </si>
  <si>
    <r>
      <t xml:space="preserve">11.51 Accueil du justiciable
</t>
    </r>
    <r>
      <rPr>
        <b/>
        <color rgb="FF0070C0"/>
        <family val="2"/>
        <sz val="10"/>
        <rFont val="Arial"/>
      </rPr>
      <t>(Pour Fonction recodée = Fonctionnaire CTECH)</t>
    </r>
    <r>
      <rPr>
        <b/>
        <color rgb="FFFF0000"/>
        <family val="2"/>
        <sz val="10"/>
        <rFont val="Arial"/>
      </rPr>
      <t xml:space="preserve">
</t>
    </r>
    <r>
      <rPr>
        <family val="2"/>
        <sz val="10"/>
        <rFont val="Arial"/>
      </rPr>
      <t xml:space="preserve">
</t>
    </r>
    <r>
      <rPr>
        <b/>
        <color rgb="FFFF0000"/>
        <family val="2"/>
        <sz val="10"/>
        <rFont val="Arial"/>
      </rPr>
      <t>Critère sur le TJ OU CPH</t>
    </r>
  </si>
  <si>
    <r>
      <t xml:space="preserve">11.51 Accueil du justiciable
</t>
    </r>
    <r>
      <rPr>
        <color rgb="FF0070C0"/>
        <family val="2"/>
        <sz val="10"/>
        <rFont val="Arial"/>
      </rPr>
      <t xml:space="preserve">
</t>
    </r>
    <r>
      <rPr>
        <b/>
        <color rgb="FF0070C0"/>
        <family val="2"/>
        <sz val="10"/>
        <rFont val="Arial"/>
      </rPr>
      <t xml:space="preserve">(Pour Fonction recodée = Fonctionnaire A-B-CBUR)
</t>
    </r>
    <r>
      <rPr>
        <family val="2"/>
        <sz val="10"/>
        <rFont val="Arial"/>
      </rPr>
      <t xml:space="preserve">
</t>
    </r>
    <r>
      <rPr>
        <b/>
        <color rgb="FFFF0000"/>
        <family val="2"/>
        <sz val="10"/>
        <rFont val="Arial"/>
      </rPr>
      <t>Critère sur le TJ et CPH</t>
    </r>
  </si>
  <si>
    <r>
      <t xml:space="preserve">11.1 Soutien + 11.2 Formations suivies + 11.6 Autres activités non juridictionnelles
</t>
    </r>
    <r>
      <rPr>
        <b/>
        <color rgb="FF0070C0"/>
        <family val="2"/>
        <sz val="10"/>
        <rFont val="Arial"/>
      </rPr>
      <t xml:space="preserve">(Pour Fonction recodée = Fonctionnaire CTECH)
</t>
    </r>
    <r>
      <rPr>
        <family val="2"/>
        <sz val="10"/>
        <rFont val="Arial"/>
      </rPr>
      <t xml:space="preserve">
</t>
    </r>
    <r>
      <rPr>
        <b/>
        <color rgb="FFFF0000"/>
        <family val="2"/>
        <sz val="10"/>
        <rFont val="Arial"/>
      </rPr>
      <t>Critère sur le TJ OU CPH</t>
    </r>
  </si>
  <si>
    <r>
      <t xml:space="preserve">11.1 Soutien + 11.2 Formations suivies + 11.6 Autres activités non juridictionnelles
</t>
    </r>
    <r>
      <rPr>
        <b/>
        <color rgb="FF0070C0"/>
        <family val="2"/>
        <sz val="10"/>
        <rFont val="Arial"/>
      </rPr>
      <t>(Pour Fonction recodée = Fonctionnaire A-B-CBUR )</t>
    </r>
    <r>
      <rPr>
        <family val="2"/>
        <sz val="10"/>
        <rFont val="Arial"/>
      </rPr>
      <t xml:space="preserve">
</t>
    </r>
    <r>
      <rPr>
        <b/>
        <color rgb="FFFF0000"/>
        <family val="2"/>
        <sz val="10"/>
        <rFont val="Arial"/>
      </rPr>
      <t>Critère sur le TJ et CPH</t>
    </r>
  </si>
  <si>
    <r>
      <t xml:space="preserve">11.3 Formations dispensées
</t>
    </r>
    <r>
      <rPr>
        <b/>
        <color rgb="FF0070C0"/>
        <family val="2"/>
        <sz val="10"/>
        <rFont val="Arial"/>
      </rPr>
      <t>(Pour Fonction recodée = Fonctionnaire CTECH)</t>
    </r>
    <r>
      <rPr>
        <family val="2"/>
        <sz val="10"/>
        <rFont val="Arial"/>
      </rPr>
      <t xml:space="preserve">
</t>
    </r>
    <r>
      <rPr>
        <b/>
        <color rgb="FFFF0000"/>
        <family val="2"/>
        <sz val="10"/>
        <rFont val="Arial"/>
      </rPr>
      <t>Critère sur le TJ OU CPH</t>
    </r>
  </si>
  <si>
    <r>
      <t xml:space="preserve">11.3 Formations dispensées
</t>
    </r>
    <r>
      <rPr>
        <color rgb="FF0070C0"/>
        <family val="2"/>
        <sz val="10"/>
        <rFont val="Arial"/>
      </rPr>
      <t xml:space="preserve">
</t>
    </r>
    <r>
      <rPr>
        <b/>
        <color rgb="FF0070C0"/>
        <family val="2"/>
        <sz val="10"/>
        <rFont val="Arial"/>
      </rPr>
      <t>(Pour Fonction recodée = Fonctionnaire A-B-CBUR )</t>
    </r>
    <r>
      <rPr>
        <color rgb="FF0070C0"/>
        <family val="2"/>
        <sz val="10"/>
        <rFont val="Arial"/>
      </rPr>
      <t xml:space="preserve">
</t>
    </r>
    <r>
      <rPr>
        <family val="2"/>
        <sz val="10"/>
        <rFont val="Arial"/>
      </rPr>
      <t xml:space="preserve">
</t>
    </r>
    <r>
      <rPr>
        <b/>
        <color rgb="FFFF0000"/>
        <family val="2"/>
        <sz val="10"/>
        <rFont val="Arial"/>
      </rPr>
      <t>Critère sur le TJ et CPH</t>
    </r>
  </si>
  <si>
    <r>
      <t xml:space="preserve">11.4 Accès au droit et à la justice
</t>
    </r>
    <r>
      <rPr>
        <b/>
        <color rgb="FF0070C0"/>
        <family val="2"/>
        <sz val="10"/>
        <rFont val="Arial"/>
      </rPr>
      <t>(Pour Fonction recodée = Fonctionnaire CTECH)</t>
    </r>
    <r>
      <rPr>
        <b/>
        <color rgb="FFFF0000"/>
        <family val="2"/>
        <sz val="10"/>
        <rFont val="Arial"/>
      </rPr>
      <t xml:space="preserve">
</t>
    </r>
    <r>
      <rPr>
        <family val="2"/>
        <sz val="10"/>
        <rFont val="Arial"/>
      </rPr>
      <t xml:space="preserve">
</t>
    </r>
    <r>
      <rPr>
        <b/>
        <color rgb="FFFF0000"/>
        <family val="2"/>
        <sz val="10"/>
        <rFont val="Arial"/>
      </rPr>
      <t>Critère sur le TJ OU CPH</t>
    </r>
  </si>
  <si>
    <r>
      <t xml:space="preserve">11.4 Accès au droit et à la justice
</t>
    </r>
    <r>
      <rPr>
        <b/>
        <color rgb="FF0070C0"/>
        <family val="2"/>
        <sz val="10"/>
        <rFont val="Arial"/>
      </rPr>
      <t xml:space="preserve">
(Pour Fonction recodée = Fonctionnaire A-B-CBUR )
</t>
    </r>
    <r>
      <rPr>
        <b/>
        <color rgb="FFFF0000"/>
        <family val="2"/>
        <sz val="10"/>
        <rFont val="Arial"/>
      </rPr>
      <t xml:space="preserve">
Critère sur le TJ et CPH</t>
    </r>
  </si>
  <si>
    <r>
      <t xml:space="preserve">12. TOTAL des INDISPONIBILITÉS relevant de l'action 99 - 12.5 Mise à disposition
</t>
    </r>
    <r>
      <rPr>
        <b/>
        <color rgb="FF0070C0"/>
        <family val="2"/>
        <sz val="10"/>
        <rFont val="Arial"/>
      </rPr>
      <t>(Pour Fonction recodée = Fonctionnaire CTECH)</t>
    </r>
    <r>
      <rPr>
        <family val="2"/>
        <sz val="10"/>
        <rFont val="Arial"/>
      </rPr>
      <t xml:space="preserve">
</t>
    </r>
    <r>
      <rPr>
        <b/>
        <color rgb="FFFF0000"/>
        <family val="2"/>
        <sz val="10"/>
        <rFont val="Arial"/>
      </rPr>
      <t>Critère sur le TJ OU CPH</t>
    </r>
  </si>
  <si>
    <r>
      <t xml:space="preserve">12. TOTAL des INDISPONIBILITÉS relevant de l'action 99 - 12.5 Mise à disposition
</t>
    </r>
    <r>
      <rPr>
        <b/>
        <color rgb="FFFF0000"/>
        <family val="2"/>
        <sz val="10"/>
        <rFont val="Arial"/>
      </rPr>
      <t xml:space="preserve">
</t>
    </r>
    <r>
      <rPr>
        <b/>
        <color rgb="FF0070C0"/>
        <family val="2"/>
        <sz val="10"/>
        <rFont val="Arial"/>
      </rPr>
      <t>(Pour Fonction recodée = Fonctionnaire A-B-CBUR )</t>
    </r>
    <r>
      <rPr>
        <b/>
        <color rgb="FFFF0000"/>
        <family val="2"/>
        <sz val="10"/>
        <rFont val="Arial"/>
      </rPr>
      <t xml:space="preserve">
Critère sur le TJ et CPH</t>
    </r>
  </si>
  <si>
    <r>
      <t xml:space="preserve">12.5 Mise à disposition + 13. Contentieux locaux spécifiques
</t>
    </r>
    <r>
      <rPr>
        <b/>
        <color rgb="FF0070C0"/>
        <family val="2"/>
        <sz val="10"/>
        <rFont val="Arial"/>
      </rPr>
      <t>(Pour Fonction recodée = Fonctionnaire CTECH)</t>
    </r>
    <r>
      <rPr>
        <family val="2"/>
        <sz val="10"/>
        <rFont val="Arial"/>
      </rPr>
      <t xml:space="preserve">
</t>
    </r>
    <r>
      <rPr>
        <b/>
        <color rgb="FFFF0000"/>
        <family val="2"/>
        <sz val="10"/>
        <rFont val="Arial"/>
      </rPr>
      <t>Critère sur le TJ OU CPH</t>
    </r>
  </si>
  <si>
    <r>
      <t xml:space="preserve">12.5 Mise à disposition + 13. Contentieux locaux spécifiques
</t>
    </r>
    <r>
      <rPr>
        <b/>
        <color rgb="FFFF0000"/>
        <family val="2"/>
        <sz val="10"/>
        <rFont val="Arial"/>
      </rPr>
      <t xml:space="preserve">
</t>
    </r>
    <r>
      <rPr>
        <b/>
        <color rgb="FF0070C0"/>
        <family val="2"/>
        <sz val="10"/>
        <rFont val="Arial"/>
      </rPr>
      <t>(Pour Fonction recodée = Fonctionnaire A-B-CBUR )</t>
    </r>
    <r>
      <rPr>
        <b/>
        <color rgb="FFFF0000"/>
        <family val="2"/>
        <sz val="10"/>
        <rFont val="Arial"/>
      </rPr>
      <t xml:space="preserve">
Critère sur le TJ et CPH</t>
    </r>
  </si>
  <si>
    <r>
      <rPr>
        <b/>
        <color rgb="FFFF0000"/>
        <family val="2"/>
        <sz val="10"/>
        <rFont val="Arial"/>
      </rPr>
      <t>Temps ventilé sur la période A-JUST*</t>
    </r>
    <r>
      <rPr>
        <family val="2"/>
        <sz val="10"/>
        <rFont val="Arial"/>
      </rPr>
      <t xml:space="preserve"> (absentéisme et action 99 déduits)
</t>
    </r>
    <r>
      <rPr>
        <b/>
        <color rgb="FF0070C0"/>
        <family val="2"/>
        <sz val="10"/>
        <rFont val="Arial"/>
      </rPr>
      <t>(Pour fonction recodée = Fonctionnaire CTECH placé ADD)</t>
    </r>
    <r>
      <rPr>
        <b/>
        <color rgb="FFFF000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</si>
  <si>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11.8. FONCTIONNAIRES AFFECTÉS AUX ACTIVITÉS CIVILES ET COMMERCIALES DU PARQUET*</t>
    </r>
    <r>
      <rPr>
        <family val="2"/>
        <sz val="10"/>
        <rFont val="Arial"/>
      </rPr>
      <t xml:space="preserve">
</t>
    </r>
    <r>
      <rPr>
        <b/>
        <color rgb="FF0070C0"/>
        <family val="2"/>
        <sz val="10"/>
        <rFont val="Arial"/>
      </rPr>
      <t>(Pour fonction recodée =Fonctionnaire A-B-CBUR placé ADD)</t>
    </r>
    <r>
      <rPr>
        <b/>
        <color rgb="FFFF000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</si>
  <si>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11.9 Fonctionnaires affectés à l'exécution des peines*</t>
    </r>
    <r>
      <rPr>
        <family val="2"/>
        <sz val="10"/>
        <rFont val="Arial"/>
      </rPr>
      <t xml:space="preserve">
</t>
    </r>
    <r>
      <rPr>
        <b/>
        <color rgb="FF0070C0"/>
        <family val="2"/>
        <sz val="10"/>
        <rFont val="Arial"/>
      </rPr>
      <t>(Pour fonction recodée =Fonctionnaire A-B-CBUR placé ADD)</t>
    </r>
    <r>
      <rPr>
        <family val="2"/>
        <sz val="10"/>
        <rFont val="Arial"/>
      </rPr>
      <t xml:space="preserve">
</t>
    </r>
    <r>
      <rPr>
        <b/>
        <color rgb="FFFF0000"/>
        <family val="2"/>
        <sz val="10"/>
        <rFont val="Arial"/>
      </rPr>
      <t xml:space="preserve">TJ ET TPROX ET CPH (pas de critère sur le TJ)
</t>
    </r>
    <r>
      <rPr>
        <color rgb="FFFF0000"/>
        <family val="2"/>
        <sz val="10"/>
        <rFont val="Arial"/>
      </rPr>
      <t>*figurant dans l'onglet ETPT A-JUST</t>
    </r>
  </si>
  <si>
    <r>
      <rPr>
        <b/>
        <color rgb="FFFF0000"/>
        <family val="2"/>
        <sz val="10"/>
        <rFont val="Arial"/>
      </rPr>
      <t>7.5 + 7.51 Cour d'assises JIRS et hors JIRS*</t>
    </r>
    <r>
      <rPr>
        <family val="2"/>
        <sz val="10"/>
        <rFont val="Arial"/>
      </rPr>
      <t xml:space="preserve">
</t>
    </r>
    <r>
      <rPr>
        <b/>
        <color rgb="FF0070C0"/>
        <family val="2"/>
        <sz val="10"/>
        <rFont val="Arial"/>
      </rPr>
      <t>(Pour fonction recodée =Fonctionnaire A-B-CBUR placé ADD)</t>
    </r>
    <r>
      <rPr>
        <family val="2"/>
        <sz val="10"/>
        <rFont val="Arial"/>
      </rPr>
      <t xml:space="preserve">
</t>
    </r>
    <r>
      <rPr>
        <b/>
        <color rgb="FFFF0000"/>
        <family val="2"/>
        <sz val="10"/>
        <rFont val="Arial"/>
      </rPr>
      <t xml:space="preserve">TJ ET TPROX ET CPH (pas de critère sur le TJ)
</t>
    </r>
    <r>
      <rPr>
        <color rgb="FFFF0000"/>
        <family val="2"/>
        <sz val="10"/>
        <rFont val="Arial"/>
      </rPr>
      <t>*figurant dans l'onglet ETPT A-JUST</t>
    </r>
  </si>
  <si>
    <r>
      <rPr>
        <b/>
        <color rgb="FFFF0000"/>
        <family val="2"/>
        <sz val="10"/>
        <rFont val="Arial"/>
      </rPr>
      <t>7.52 cour criminelle*</t>
    </r>
    <r>
      <rPr>
        <family val="2"/>
        <sz val="10"/>
        <rFont val="Arial"/>
      </rPr>
      <t xml:space="preserve">
</t>
    </r>
    <r>
      <rPr>
        <b/>
        <color rgb="FFFF0000"/>
        <family val="2"/>
        <sz val="10"/>
        <rFont val="Arial"/>
      </rPr>
      <t xml:space="preserve">
</t>
    </r>
    <r>
      <rPr>
        <b/>
        <color rgb="FF0070C0"/>
        <family val="2"/>
        <sz val="10"/>
        <rFont val="Arial"/>
      </rPr>
      <t>(Pour fonction recodée =Fonctionnaire A-B-CBUR placé ADD)</t>
    </r>
    <r>
      <rPr>
        <b/>
        <color rgb="FFFF0000"/>
        <family val="2"/>
        <sz val="10"/>
        <rFont val="Arial"/>
      </rPr>
      <t xml:space="preserve">
</t>
    </r>
    <r>
      <rPr>
        <family val="2"/>
        <sz val="10"/>
        <rFont val="Arial"/>
      </rPr>
      <t xml:space="preserve">
</t>
    </r>
    <r>
      <rPr>
        <b/>
        <color rgb="FFFF0000"/>
        <family val="2"/>
        <sz val="10"/>
        <rFont val="Arial"/>
      </rPr>
      <t xml:space="preserve">TJ ET TPROX ET CPH (pas de critère sur le TJ)
</t>
    </r>
    <r>
      <rPr>
        <color rgb="FFFF0000"/>
        <family val="2"/>
        <sz val="10"/>
        <rFont val="Arial"/>
      </rPr>
      <t>*figurant dans l'onglet ETPT A-JUST</t>
    </r>
  </si>
  <si>
    <r>
      <rPr>
        <b/>
        <color rgb="FFFF0000"/>
        <family val="2"/>
        <sz val="10"/>
        <rFont val="Arial"/>
      </rPr>
      <t>7.121. COLLÉGIALES JIRS ÉCO-FI POUR LES JURIDICTIONS JIRS*</t>
    </r>
    <r>
      <rPr>
        <family val="2"/>
        <sz val="10"/>
        <rFont val="Arial"/>
      </rPr>
      <t xml:space="preserve">
</t>
    </r>
    <r>
      <rPr>
        <b/>
        <color rgb="FFFF0000"/>
        <family val="2"/>
        <sz val="10"/>
        <rFont val="Arial"/>
      </rPr>
      <t xml:space="preserve">
</t>
    </r>
    <r>
      <rPr>
        <b/>
        <color rgb="FF0070C0"/>
        <family val="2"/>
        <sz val="10"/>
        <rFont val="Arial"/>
      </rPr>
      <t>(Pour fonction recodée =Fonctionnaire A-B-CBUR placé ADD)</t>
    </r>
    <r>
      <rPr>
        <b/>
        <color rgb="FFFF0000"/>
        <family val="2"/>
        <sz val="10"/>
        <rFont val="Arial"/>
      </rPr>
      <t xml:space="preserve">
TJ ET TPROX ET CPH (pas de critère sur le TJ)</t>
    </r>
    <r>
      <rPr>
        <family val="2"/>
        <sz val="10"/>
        <rFont val="Arial"/>
      </rPr>
      <t xml:space="preserve">
</t>
    </r>
    <r>
      <rPr>
        <color rgb="FFFF0000"/>
        <family val="2"/>
        <sz val="10"/>
        <rFont val="Arial"/>
      </rPr>
      <t>*figurant dans l'onglet ETPT A-JUST</t>
    </r>
  </si>
  <si>
    <r>
      <rPr>
        <b/>
        <color rgb="FFFF0000"/>
        <family val="2"/>
        <sz val="10"/>
        <rFont val="Arial"/>
      </rPr>
      <t xml:space="preserve">7.12 Collégiales JIRS crim-org* </t>
    </r>
    <r>
      <rPr>
        <family val="2"/>
        <sz val="10"/>
        <rFont val="Arial"/>
      </rPr>
      <t xml:space="preserve">
</t>
    </r>
    <r>
      <rPr>
        <b/>
        <color rgb="FFFF0000"/>
        <family val="2"/>
        <sz val="10"/>
        <rFont val="Arial"/>
      </rPr>
      <t xml:space="preserve">
</t>
    </r>
    <r>
      <rPr>
        <b/>
        <color rgb="FF0070C0"/>
        <family val="2"/>
        <sz val="10"/>
        <rFont val="Arial"/>
      </rPr>
      <t xml:space="preserve">(Pour fonction recodée =Fonctionnaire A-B-CBUR placé ADD)
</t>
    </r>
    <r>
      <rPr>
        <b/>
        <color rgb="FFFF0000"/>
        <family val="2"/>
        <sz val="10"/>
        <rFont val="Arial"/>
      </rPr>
      <t xml:space="preserve">
TJ ET TPROX ET CPH (pas de critère sur le TJ)
</t>
    </r>
    <r>
      <rPr>
        <color rgb="FFFF0000"/>
        <family val="2"/>
        <sz val="10"/>
        <rFont val="Arial"/>
      </rPr>
      <t xml:space="preserve">
*figurant dans l'onglet ETPT A-JUST</t>
    </r>
  </si>
  <si>
    <r>
      <rPr>
        <b/>
        <color rgb="FFFF0000"/>
        <family val="2"/>
        <sz val="10"/>
        <rFont val="Arial"/>
      </rPr>
      <t>7.122 Collégiales autres sections spécialisées + 7.121 Collégiales eco-fi POUR LES JURIDICTIONS NON JIRS*</t>
    </r>
    <r>
      <rPr>
        <family val="2"/>
        <sz val="10"/>
        <rFont val="Arial"/>
      </rPr>
      <t xml:space="preserve">
</t>
    </r>
    <r>
      <rPr>
        <b/>
        <color rgb="FFFF0000"/>
        <family val="2"/>
        <sz val="10"/>
        <rFont val="Arial"/>
      </rPr>
      <t xml:space="preserve">
</t>
    </r>
    <r>
      <rPr>
        <b/>
        <color rgb="FF0070C0"/>
        <family val="2"/>
        <sz val="10"/>
        <rFont val="Arial"/>
      </rPr>
      <t>(Pour fonction recodée =Fonctionnaire A-B-CBUR placé ADD)</t>
    </r>
    <r>
      <rPr>
        <b/>
        <color rgb="FFFF0000"/>
        <family val="2"/>
        <sz val="10"/>
        <rFont val="Arial"/>
      </rPr>
      <t xml:space="preserve">
TJ ET TPROX ET CPH (pas de critère sur le TJ)</t>
    </r>
    <r>
      <rPr>
        <family val="2"/>
        <sz val="10"/>
        <rFont val="Arial"/>
      </rPr>
      <t xml:space="preserve">
</t>
    </r>
    <r>
      <rPr>
        <color rgb="FFFF0000"/>
        <family val="2"/>
        <sz val="10"/>
        <rFont val="Arial"/>
      </rPr>
      <t xml:space="preserve">
*figurant dans l'onglet ETPT A-JUST</t>
    </r>
  </si>
  <si>
    <r>
      <rPr>
        <b/>
        <color rgb="FFFF0000"/>
        <family val="2"/>
        <sz val="10"/>
        <rFont val="Arial"/>
      </rPr>
      <t>3.2 Protection des majeurs*</t>
    </r>
    <r>
      <rPr>
        <family val="2"/>
        <sz val="10"/>
        <rFont val="Arial"/>
      </rPr>
      <t xml:space="preserve">
</t>
    </r>
    <r>
      <rPr>
        <b/>
        <color rgb="FF0070C0"/>
        <family val="2"/>
        <sz val="10"/>
        <rFont val="Arial"/>
      </rPr>
      <t>(Pour fonction recodée =Fonctionnaire A-B-CBUR placé ADD)</t>
    </r>
    <r>
      <rPr>
        <b/>
        <color rgb="FFFF000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</si>
  <si>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 xml:space="preserve">3. Contentieux de la Protection - 3.2 Protection des majeurs - 3.43 IP - 3.44 Saisies rémunérations*
</t>
    </r>
    <r>
      <rPr>
        <color rgb="FF0070C0"/>
        <family val="2"/>
        <sz val="10"/>
        <rFont val="Arial"/>
      </rPr>
      <t xml:space="preserve">
</t>
    </r>
    <r>
      <rPr>
        <family val="2"/>
        <sz val="10"/>
        <rFont val="Arial"/>
      </rPr>
      <t>(</t>
    </r>
    <r>
      <rPr>
        <b/>
        <color rgb="FF0070C0"/>
        <family val="2"/>
        <sz val="10"/>
        <rFont val="Arial"/>
      </rPr>
      <t>Pour fonction recodée =Fonctionnaire A-B-CBUR placé ADD</t>
    </r>
    <r>
      <rPr>
        <family val="2"/>
        <sz val="10"/>
        <rFont val="Arial"/>
      </rPr>
      <t>)</t>
    </r>
    <r>
      <rPr>
        <color rgb="FF0070C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</si>
  <si>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 xml:space="preserve">6.Juge des enfants + 8. Juge d'instruction + 9. JAP + 10. JLD pénal*
</t>
    </r>
    <r>
      <rPr>
        <b/>
        <color rgb="FF0070C0"/>
        <family val="2"/>
        <sz val="10"/>
        <rFont val="Arial"/>
      </rPr>
      <t>(Pour fonction recodée =Fonctionnaire A-B-CBUR placé ADD)</t>
    </r>
    <r>
      <rPr>
        <b/>
        <color rgb="FFFF0000"/>
        <family val="2"/>
        <sz val="10"/>
        <rFont val="Arial"/>
      </rPr>
      <t xml:space="preserve">
TJ ET TPROX ET CPH (pas de critère sur le TJ)
</t>
    </r>
    <r>
      <rPr>
        <color rgb="FFFF0000"/>
        <family val="2"/>
        <sz val="10"/>
        <rFont val="Arial"/>
      </rPr>
      <t>*figurant dans l'onglet ETPT A-JUST</t>
    </r>
  </si>
  <si>
    <r>
      <rPr>
        <b/>
        <color rgb="FFFF0000"/>
        <family val="2"/>
        <sz val="10"/>
        <rFont val="Arial"/>
      </rPr>
      <t>3.43 Injonctions de payer + 3.44 Saisies des rémunérations*</t>
    </r>
    <r>
      <rPr>
        <family val="2"/>
        <sz val="10"/>
        <rFont val="Arial"/>
      </rPr>
      <t xml:space="preserve">
</t>
    </r>
    <r>
      <rPr>
        <b/>
        <color rgb="FF0070C0"/>
        <family val="2"/>
        <sz val="10"/>
        <rFont val="Arial"/>
      </rPr>
      <t>(Pour fonction recodée =Fonctionnaire A-B-CBUR placé ADD)</t>
    </r>
    <r>
      <rPr>
        <b/>
        <color rgb="FFFF000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</si>
  <si>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4.0 Contentieux général &lt; 10000 euros*</t>
    </r>
    <r>
      <rPr>
        <family val="2"/>
        <sz val="10"/>
        <rFont val="Arial"/>
      </rPr>
      <t xml:space="preserve">
</t>
    </r>
    <r>
      <rPr>
        <b/>
        <color rgb="FF0070C0"/>
        <family val="2"/>
        <sz val="10"/>
        <rFont val="Arial"/>
      </rPr>
      <t>(Pour fonction recodée =Fonctionnaire A-B-CBUR placé ADD)</t>
    </r>
    <r>
      <rPr>
        <b/>
        <color rgb="FFFF000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</si>
  <si>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 xml:space="preserve">1. TOTAL CONTENTIEUX SOCIAL*
</t>
    </r>
    <r>
      <rPr>
        <b/>
        <color rgb="FF0070C0"/>
        <family val="2"/>
        <sz val="10"/>
        <rFont val="Arial"/>
      </rPr>
      <t>(Pour fonction recodée =Fonctionnaire A-B-CBUR placé ADD)</t>
    </r>
    <r>
      <rPr>
        <b/>
        <color rgb="FFFF000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</si>
  <si>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2. TOTAL CONTENTIEUX JAF + 4. TOTAL CIVIL NON SPÉCIALISÉ + 5. TOTAL JLD CIVIL  + 13. Contentieux locaux spécifiques - 4.0 Contentieux général &lt; 10000 euros *</t>
    </r>
    <r>
      <rPr>
        <family val="2"/>
        <sz val="10"/>
        <rFont val="Arial"/>
      </rPr>
      <t xml:space="preserve">
+
</t>
    </r>
    <r>
      <rPr>
        <b/>
        <color rgb="FFFF0000"/>
        <family val="2"/>
        <sz val="10"/>
        <rFont val="Arial"/>
      </rPr>
      <t>11.51. ACCUEIL DU JUSTICIABLE (DONT SAUJ) + 11.1. SOUTIEN (HORS FORMATIONS SUIVIES) + 11.2. FORMATIONS SUIVIES + 11.6. AUTRES ACTIVITÉS NON JURIDICTIONNELLES + 11.3. FORMATIONS DISPENSÉES + 11.4. ACCÈS AU DROIT ET À LA JUSTICE*</t>
    </r>
    <r>
      <rPr>
        <family val="2"/>
        <sz val="10"/>
        <rFont val="Arial"/>
      </rPr>
      <t xml:space="preserve">
</t>
    </r>
    <r>
      <rPr>
        <b/>
        <color rgb="FF0070C0"/>
        <family val="2"/>
        <sz val="10"/>
        <rFont val="Arial"/>
      </rPr>
      <t>(Pour fonction recodée =Fonctionnaire A-B-CBUR placé ADD)</t>
    </r>
    <r>
      <rPr>
        <color rgb="FF0070C0"/>
        <family val="2"/>
        <sz val="10"/>
        <rFont val="Arial"/>
      </rPr>
      <t xml:space="preserve">
</t>
    </r>
    <r>
      <rPr>
        <family val="2"/>
        <sz val="10"/>
        <rFont val="Arial"/>
      </rPr>
      <t xml:space="preserve">
</t>
    </r>
    <r>
      <rPr>
        <b/>
        <color rgb="FFFF0000"/>
        <family val="2"/>
        <sz val="10"/>
        <rFont val="Arial"/>
      </rPr>
      <t>Critère sur le TJ OU CPH</t>
    </r>
    <r>
      <rPr>
        <family val="2"/>
        <sz val="10"/>
        <rFont val="Arial"/>
      </rPr>
      <t xml:space="preserve">
+ 
</t>
    </r>
    <r>
      <rPr>
        <b/>
        <color rgb="FFFF0000"/>
        <family val="2"/>
        <sz val="10"/>
        <rFont val="Arial"/>
      </rPr>
      <t xml:space="preserve">7. TOTAL SIÈGE PÉNAL + 11.10 AUTRES FONCTIONNAIRES AFFECTÉS AU PARQUET - 7.5. COUR D'ASSISES HORS JIRS - 7.51. COUR D'ASSISES JIRS - 7.52. COUR CRIMINELLE - 7.121. COLLÉGIALES JIRS ÉCO-FI - 7.12. COLLÉGIALES JIRS CRIM-ORG - 7.122. COLLÉGIALES AUTRES SECTIONS SPÉCIALISÉES*
</t>
    </r>
    <r>
      <rPr>
        <family val="2"/>
        <sz val="10"/>
        <rFont val="Arial"/>
      </rPr>
      <t xml:space="preserve">
</t>
    </r>
    <r>
      <rPr>
        <b/>
        <color rgb="FF0070C0"/>
        <family val="2"/>
        <sz val="10"/>
        <rFont val="Arial"/>
      </rPr>
      <t>(Fonction recodée = fonctionnaire A-B-CBUR placé ADD)</t>
    </r>
    <r>
      <rPr>
        <family val="2"/>
        <sz val="10"/>
        <rFont val="Arial"/>
      </rPr>
      <t xml:space="preserve">
</t>
    </r>
    <r>
      <rPr>
        <b/>
        <color rgb="FFFF0000"/>
        <family val="2"/>
        <sz val="10"/>
        <rFont val="Arial"/>
      </rPr>
      <t xml:space="preserve">TJ et TPRX et CPH (pas de critère sur le TJ)
</t>
    </r>
    <r>
      <rPr>
        <color rgb="FFFF0000"/>
        <family val="2"/>
        <sz val="10"/>
        <rFont val="Arial"/>
      </rPr>
      <t xml:space="preserve">
*figurant dans l'onglet ETPT A-JUST</t>
    </r>
  </si>
  <si>
    <r>
      <rPr>
        <b/>
        <color rgb="FFFF0000"/>
        <family val="2"/>
        <sz val="10"/>
        <rFont val="Arial"/>
      </rPr>
      <t>Temps ventilé sur la période A-JUST*</t>
    </r>
    <r>
      <rPr>
        <family val="2"/>
        <sz val="10"/>
        <rFont val="Arial"/>
      </rPr>
      <t xml:space="preserve"> (absentéisme et action 99 déduits)
</t>
    </r>
    <r>
      <rPr>
        <b/>
        <color rgb="FF0070C0"/>
        <family val="2"/>
        <sz val="10"/>
        <rFont val="Arial"/>
      </rPr>
      <t>(Pour fonction recodée = Fonctionnaire CTECH placé SUB)</t>
    </r>
    <r>
      <rPr>
        <b/>
        <color rgb="FFFF000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</si>
  <si>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11.8. FONCTIONNAIRES AFFECTÉS AUX ACTIVITÉS CIVILES ET COMMERCIALES DU PARQUET*</t>
    </r>
    <r>
      <rPr>
        <family val="2"/>
        <sz val="10"/>
        <rFont val="Arial"/>
      </rPr>
      <t xml:space="preserve">
</t>
    </r>
    <r>
      <rPr>
        <b/>
        <color rgb="FF0070C0"/>
        <family val="2"/>
        <sz val="10"/>
        <rFont val="Arial"/>
      </rPr>
      <t>(Pour fonction recodée =Fonctionnaire A-B-CBUR placé SUB)</t>
    </r>
    <r>
      <rPr>
        <b/>
        <color rgb="FFFF000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</si>
  <si>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11.9 Fonctionnaires affectés à l'exécution des peines*</t>
    </r>
    <r>
      <rPr>
        <family val="2"/>
        <sz val="10"/>
        <rFont val="Arial"/>
      </rPr>
      <t xml:space="preserve">
</t>
    </r>
    <r>
      <rPr>
        <b/>
        <color rgb="FF0070C0"/>
        <family val="2"/>
        <sz val="10"/>
        <rFont val="Arial"/>
      </rPr>
      <t>(Pour fonction recodée =Fonctionnaire A-B-CBUR placé SUB)</t>
    </r>
    <r>
      <rPr>
        <family val="2"/>
        <sz val="10"/>
        <rFont val="Arial"/>
      </rPr>
      <t xml:space="preserve">
</t>
    </r>
    <r>
      <rPr>
        <b/>
        <color rgb="FFFF0000"/>
        <family val="2"/>
        <sz val="10"/>
        <rFont val="Arial"/>
      </rPr>
      <t xml:space="preserve">TJ ET TPROX ET CPH (pas de critère sur le TJ)
</t>
    </r>
    <r>
      <rPr>
        <color rgb="FFFF0000"/>
        <family val="2"/>
        <sz val="10"/>
        <rFont val="Arial"/>
      </rPr>
      <t>*figurant dans l'onglet ETPT A-JUST</t>
    </r>
  </si>
  <si>
    <r>
      <rPr>
        <b/>
        <color rgb="FFFF0000"/>
        <family val="2"/>
        <sz val="10"/>
        <rFont val="Arial"/>
      </rPr>
      <t>7.5 + 7.51 Cour d'assises JIRS et hors JIRS*</t>
    </r>
    <r>
      <rPr>
        <family val="2"/>
        <sz val="10"/>
        <rFont val="Arial"/>
      </rPr>
      <t xml:space="preserve">
</t>
    </r>
    <r>
      <rPr>
        <b/>
        <color rgb="FF0070C0"/>
        <family val="2"/>
        <sz val="10"/>
        <rFont val="Arial"/>
      </rPr>
      <t>(Pour fonction recodée =Fonctionnaire A-B-CBUR placé SUB)</t>
    </r>
    <r>
      <rPr>
        <family val="2"/>
        <sz val="10"/>
        <rFont val="Arial"/>
      </rPr>
      <t xml:space="preserve">
</t>
    </r>
    <r>
      <rPr>
        <b/>
        <color rgb="FFFF0000"/>
        <family val="2"/>
        <sz val="10"/>
        <rFont val="Arial"/>
      </rPr>
      <t xml:space="preserve">TJ ET TPROX ET CPH (pas de critère sur le TJ)
</t>
    </r>
    <r>
      <rPr>
        <color rgb="FFFF0000"/>
        <family val="2"/>
        <sz val="10"/>
        <rFont val="Arial"/>
      </rPr>
      <t>*figurant dans l'onglet ETPT A-JUST</t>
    </r>
  </si>
  <si>
    <r>
      <rPr>
        <b/>
        <color rgb="FFFF0000"/>
        <family val="2"/>
        <sz val="10"/>
        <rFont val="Arial"/>
      </rPr>
      <t>7.52 cour criminelle*</t>
    </r>
    <r>
      <rPr>
        <family val="2"/>
        <sz val="10"/>
        <rFont val="Arial"/>
      </rPr>
      <t xml:space="preserve">
</t>
    </r>
    <r>
      <rPr>
        <b/>
        <color rgb="FFFF0000"/>
        <family val="2"/>
        <sz val="10"/>
        <rFont val="Arial"/>
      </rPr>
      <t xml:space="preserve">
</t>
    </r>
    <r>
      <rPr>
        <b/>
        <color rgb="FF0070C0"/>
        <family val="2"/>
        <sz val="10"/>
        <rFont val="Arial"/>
      </rPr>
      <t>(Pour fonction recodée =Fonctionnaire A-B-CBUR placé SUB)</t>
    </r>
    <r>
      <rPr>
        <b/>
        <color rgb="FFFF0000"/>
        <family val="2"/>
        <sz val="10"/>
        <rFont val="Arial"/>
      </rPr>
      <t xml:space="preserve">
</t>
    </r>
    <r>
      <rPr>
        <family val="2"/>
        <sz val="10"/>
        <rFont val="Arial"/>
      </rPr>
      <t xml:space="preserve">
</t>
    </r>
    <r>
      <rPr>
        <b/>
        <color rgb="FFFF0000"/>
        <family val="2"/>
        <sz val="10"/>
        <rFont val="Arial"/>
      </rPr>
      <t xml:space="preserve">TJ ET TPROX ET CPH (pas de critère sur le TJ)
</t>
    </r>
    <r>
      <rPr>
        <color rgb="FFFF0000"/>
        <family val="2"/>
        <sz val="10"/>
        <rFont val="Arial"/>
      </rPr>
      <t>*figurant dans l'onglet ETPT A-JUST</t>
    </r>
  </si>
  <si>
    <r>
      <rPr>
        <b/>
        <color rgb="FFFF0000"/>
        <family val="2"/>
        <sz val="10"/>
        <rFont val="Arial"/>
      </rPr>
      <t>7.121. COLLÉGIALES JIRS ÉCO-FI POUR LES JURIDICTIONS JIRS*</t>
    </r>
    <r>
      <rPr>
        <family val="2"/>
        <sz val="10"/>
        <rFont val="Arial"/>
      </rPr>
      <t xml:space="preserve">
</t>
    </r>
    <r>
      <rPr>
        <b/>
        <color rgb="FFFF0000"/>
        <family val="2"/>
        <sz val="10"/>
        <rFont val="Arial"/>
      </rPr>
      <t xml:space="preserve">
</t>
    </r>
    <r>
      <rPr>
        <b/>
        <color rgb="FF0070C0"/>
        <family val="2"/>
        <sz val="10"/>
        <rFont val="Arial"/>
      </rPr>
      <t>(Pour fonction recodée =Fonctionnaire A-B-CBUR placé SUB)</t>
    </r>
    <r>
      <rPr>
        <b/>
        <color rgb="FFFF0000"/>
        <family val="2"/>
        <sz val="10"/>
        <rFont val="Arial"/>
      </rPr>
      <t xml:space="preserve">
TJ ET TPROX ET CPH (pas de critère sur le TJ)</t>
    </r>
    <r>
      <rPr>
        <family val="2"/>
        <sz val="10"/>
        <rFont val="Arial"/>
      </rPr>
      <t xml:space="preserve">
</t>
    </r>
    <r>
      <rPr>
        <color rgb="FFFF0000"/>
        <family val="2"/>
        <sz val="10"/>
        <rFont val="Arial"/>
      </rPr>
      <t>*figurant dans l'onglet ETPT A-JUST</t>
    </r>
  </si>
  <si>
    <r>
      <rPr>
        <b/>
        <color rgb="FFFF0000"/>
        <family val="2"/>
        <sz val="10"/>
        <rFont val="Arial"/>
      </rPr>
      <t xml:space="preserve">7.12 Collégiales JIRS crim-org* </t>
    </r>
    <r>
      <rPr>
        <family val="2"/>
        <sz val="10"/>
        <rFont val="Arial"/>
      </rPr>
      <t xml:space="preserve">
</t>
    </r>
    <r>
      <rPr>
        <b/>
        <color rgb="FFFF0000"/>
        <family val="2"/>
        <sz val="10"/>
        <rFont val="Arial"/>
      </rPr>
      <t xml:space="preserve">
</t>
    </r>
    <r>
      <rPr>
        <b/>
        <color rgb="FF0070C0"/>
        <family val="2"/>
        <sz val="10"/>
        <rFont val="Arial"/>
      </rPr>
      <t xml:space="preserve">(Pour fonction recodée =Fonctionnaire A-B-CBUR placé SUB)
</t>
    </r>
    <r>
      <rPr>
        <b/>
        <color rgb="FFFF0000"/>
        <family val="2"/>
        <sz val="10"/>
        <rFont val="Arial"/>
      </rPr>
      <t xml:space="preserve">
TJ ET TPROX ET CPH (pas de critère sur le TJ)
</t>
    </r>
    <r>
      <rPr>
        <color rgb="FFFF0000"/>
        <family val="2"/>
        <sz val="10"/>
        <rFont val="Arial"/>
      </rPr>
      <t xml:space="preserve">
*figurant dans l'onglet ETPT A-JUST</t>
    </r>
  </si>
  <si>
    <r>
      <rPr>
        <b/>
        <color rgb="FFFF0000"/>
        <family val="2"/>
        <sz val="10"/>
        <rFont val="Arial"/>
      </rPr>
      <t>7.122 Collégiales autres sections spécialisées + 7.121 Collégiales eco-fi POUR LES JURIDICTIONS NON JIRS*</t>
    </r>
    <r>
      <rPr>
        <family val="2"/>
        <sz val="10"/>
        <rFont val="Arial"/>
      </rPr>
      <t xml:space="preserve">
</t>
    </r>
    <r>
      <rPr>
        <b/>
        <color rgb="FFFF0000"/>
        <family val="2"/>
        <sz val="10"/>
        <rFont val="Arial"/>
      </rPr>
      <t xml:space="preserve">
</t>
    </r>
    <r>
      <rPr>
        <b/>
        <color rgb="FF0070C0"/>
        <family val="2"/>
        <sz val="10"/>
        <rFont val="Arial"/>
      </rPr>
      <t>(Pour fonction recodée =Fonctionnaire A-B-CBUR placé SUB)</t>
    </r>
    <r>
      <rPr>
        <b/>
        <color rgb="FFFF0000"/>
        <family val="2"/>
        <sz val="10"/>
        <rFont val="Arial"/>
      </rPr>
      <t xml:space="preserve">
TJ ET TPROX ET CPH (pas de critère sur le TJ)</t>
    </r>
    <r>
      <rPr>
        <family val="2"/>
        <sz val="10"/>
        <rFont val="Arial"/>
      </rPr>
      <t xml:space="preserve">
</t>
    </r>
    <r>
      <rPr>
        <color rgb="FFFF0000"/>
        <family val="2"/>
        <sz val="10"/>
        <rFont val="Arial"/>
      </rPr>
      <t xml:space="preserve">
*figurant dans l'onglet ETPT A-JUST</t>
    </r>
  </si>
  <si>
    <r>
      <rPr>
        <b/>
        <color rgb="FFFF0000"/>
        <family val="2"/>
        <sz val="10"/>
        <rFont val="Arial"/>
      </rPr>
      <t>3.2 Protection des majeurs*</t>
    </r>
    <r>
      <rPr>
        <family val="2"/>
        <sz val="10"/>
        <rFont val="Arial"/>
      </rPr>
      <t xml:space="preserve">
</t>
    </r>
    <r>
      <rPr>
        <b/>
        <color rgb="FF0070C0"/>
        <family val="2"/>
        <sz val="10"/>
        <rFont val="Arial"/>
      </rPr>
      <t>(Pour fonction recodée =Fonctionnaire A-B-CBUR placé SUB)</t>
    </r>
    <r>
      <rPr>
        <b/>
        <color rgb="FFFF000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</si>
  <si>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 xml:space="preserve">3. Contentieux de la Protection - 3.2 Protection des majeurs - 3.43 IP - 3.44 Saisies rémunérations*
</t>
    </r>
    <r>
      <rPr>
        <color rgb="FF0070C0"/>
        <family val="2"/>
        <sz val="10"/>
        <rFont val="Arial"/>
      </rPr>
      <t xml:space="preserve">
</t>
    </r>
    <r>
      <rPr>
        <family val="2"/>
        <sz val="10"/>
        <rFont val="Arial"/>
      </rPr>
      <t>(</t>
    </r>
    <r>
      <rPr>
        <b/>
        <color rgb="FF0070C0"/>
        <family val="2"/>
        <sz val="10"/>
        <rFont val="Arial"/>
      </rPr>
      <t>Pour fonction recodée =Fonctionnaire A-B-CBUR placé SUB</t>
    </r>
    <r>
      <rPr>
        <family val="2"/>
        <sz val="10"/>
        <rFont val="Arial"/>
      </rPr>
      <t>)</t>
    </r>
    <r>
      <rPr>
        <color rgb="FF0070C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</si>
  <si>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 xml:space="preserve">6.Juge des enfants + 8. Juge d'instruction + 9. JAP + 10. JLD pénal*
</t>
    </r>
    <r>
      <rPr>
        <b/>
        <color rgb="FF0070C0"/>
        <family val="2"/>
        <sz val="10"/>
        <rFont val="Arial"/>
      </rPr>
      <t>(Pour fonction recodée =Fonctionnaire A-B-CBUR placé SUB)</t>
    </r>
    <r>
      <rPr>
        <b/>
        <color rgb="FFFF0000"/>
        <family val="2"/>
        <sz val="10"/>
        <rFont val="Arial"/>
      </rPr>
      <t xml:space="preserve">
TJ ET TPROX ET CPH (pas de critère sur le TJ)
</t>
    </r>
    <r>
      <rPr>
        <color rgb="FFFF0000"/>
        <family val="2"/>
        <sz val="10"/>
        <rFont val="Arial"/>
      </rPr>
      <t>*figurant dans l'onglet ETPT A-JUST</t>
    </r>
  </si>
  <si>
    <r>
      <rPr>
        <b/>
        <color rgb="FFFF0000"/>
        <family val="2"/>
        <sz val="10"/>
        <rFont val="Arial"/>
      </rPr>
      <t>3.43 Injonctions de payer + 3.44 Saisies des rémunérations*</t>
    </r>
    <r>
      <rPr>
        <family val="2"/>
        <sz val="10"/>
        <rFont val="Arial"/>
      </rPr>
      <t xml:space="preserve">
</t>
    </r>
    <r>
      <rPr>
        <b/>
        <color rgb="FF0070C0"/>
        <family val="2"/>
        <sz val="10"/>
        <rFont val="Arial"/>
      </rPr>
      <t>(Pour fonction recodée =Fonctionnaire A-B-CBUR placé SUB)</t>
    </r>
    <r>
      <rPr>
        <b/>
        <color rgb="FFFF000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</si>
  <si>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4.0 Contentieux général &lt; 10000 euros*</t>
    </r>
    <r>
      <rPr>
        <family val="2"/>
        <sz val="10"/>
        <rFont val="Arial"/>
      </rPr>
      <t xml:space="preserve">
</t>
    </r>
    <r>
      <rPr>
        <b/>
        <color rgb="FF0070C0"/>
        <family val="2"/>
        <sz val="10"/>
        <rFont val="Arial"/>
      </rPr>
      <t>(Pour fonction recodée =Fonctionnaire A-B-CBUR placé SUB)</t>
    </r>
    <r>
      <rPr>
        <b/>
        <color rgb="FFFF000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</si>
  <si>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rPr>
        <b/>
        <color rgb="FFFF0000"/>
        <family val="2"/>
        <sz val="10"/>
        <rFont val="Arial"/>
      </rPr>
      <t xml:space="preserve">1. TOTAL CONTENTIEUX SOCIAL*
</t>
    </r>
    <r>
      <rPr>
        <b/>
        <color rgb="FF0070C0"/>
        <family val="2"/>
        <sz val="10"/>
        <rFont val="Arial"/>
      </rPr>
      <t>(Pour fonction recodée =Fonctionnaire A-B-CBUR placé SUB)</t>
    </r>
    <r>
      <rPr>
        <b/>
        <color rgb="FFFF0000"/>
        <family val="2"/>
        <sz val="10"/>
        <rFont val="Arial"/>
      </rPr>
      <t xml:space="preserve">
</t>
    </r>
    <r>
      <rPr>
        <family val="2"/>
        <sz val="10"/>
        <rFont val="Arial"/>
      </rPr>
      <t xml:space="preserve">
</t>
    </r>
    <r>
      <rPr>
        <b/>
        <color rgb="FFFF0000"/>
        <family val="2"/>
        <sz val="10"/>
        <rFont val="Arial"/>
      </rPr>
      <t xml:space="preserve">Critère sur le TJ OU CPH
</t>
    </r>
    <r>
      <rPr>
        <color rgb="FFFF0000"/>
        <family val="2"/>
        <sz val="10"/>
        <rFont val="Arial"/>
      </rPr>
      <t>*figurant dans l'onglet ETPT A-JUST</t>
    </r>
  </si>
  <si>
    <r>
      <t>2. TOTAL CONTENTIEUX JAF + 4. TOTAL CIVIL NON SPÉCIALISÉ + 5. TOTAL JLD CIVIL + 13. Contentieux locaux spécifiques - 4.0 Contentieux général &lt; 10000 euros *</t>
    </r>
    <r>
      <rPr>
        <family val="2"/>
        <sz val="10"/>
        <rFont val="Arial"/>
      </rPr>
      <t xml:space="preserve">
+
</t>
    </r>
    <r>
      <rPr>
        <b/>
        <color rgb="FFFF0000"/>
        <family val="2"/>
        <sz val="10"/>
        <rFont val="Arial"/>
      </rPr>
      <t>11.51. ACCUEIL DU JUSTICIABLE (DONT SAUJ) + 11.1. SOUTIEN (HORS FORMATIONS SUIVIES) + 11.2. FORMATIONS SUIVIES + 11.6. AUTRES ACTIVITÉS NON JURIDICTIONNELLES + 11.3. FORMATIONS DISPENSÉES + 11.4. ACCÈS AU DROIT ET À LA JUSTICE*</t>
    </r>
    <r>
      <rPr>
        <family val="2"/>
        <sz val="10"/>
        <rFont val="Arial"/>
      </rPr>
      <t xml:space="preserve">
</t>
    </r>
    <r>
      <rPr>
        <b/>
        <color rgb="FF0070C0"/>
        <family val="2"/>
        <sz val="10"/>
        <rFont val="Arial"/>
      </rPr>
      <t>(Pour fonction recodée =Fonctionnaire A-B-CBUR placé SUB)</t>
    </r>
    <r>
      <rPr>
        <color rgb="FF0070C0"/>
        <family val="2"/>
        <sz val="10"/>
        <rFont val="Arial"/>
      </rPr>
      <t xml:space="preserve">
</t>
    </r>
    <r>
      <rPr>
        <family val="2"/>
        <sz val="10"/>
        <rFont val="Arial"/>
      </rPr>
      <t xml:space="preserve">
</t>
    </r>
    <r>
      <rPr>
        <b/>
        <color rgb="FFFF0000"/>
        <family val="2"/>
        <sz val="10"/>
        <rFont val="Arial"/>
      </rPr>
      <t>Critère sur le TJ OU CPH</t>
    </r>
    <r>
      <rPr>
        <family val="2"/>
        <sz val="10"/>
        <rFont val="Arial"/>
      </rPr>
      <t xml:space="preserve">
+ 
</t>
    </r>
    <r>
      <rPr>
        <b/>
        <color rgb="FFFF0000"/>
        <family val="2"/>
        <sz val="10"/>
        <rFont val="Arial"/>
      </rPr>
      <t xml:space="preserve">7. TOTAL SIÈGE PÉNAL + 11.10 AUTRES FONCTIONNAIRES AFFECTÉS AU PARQUET - 7.5. COUR D'ASSISES HORS JIRS - 7.51. COUR D'ASSISES JIRS - 7.52. COUR CRIMINELLE - 7.121. COLLÉGIALES JIRS ÉCO-FI - 7.12. COLLÉGIALES JIRS CRIM-ORG - 7.122. COLLÉGIALES AUTRES SECTIONS SPÉCIALISÉES*
</t>
    </r>
    <r>
      <rPr>
        <family val="2"/>
        <sz val="10"/>
        <rFont val="Arial"/>
      </rPr>
      <t xml:space="preserve">
</t>
    </r>
    <r>
      <rPr>
        <b/>
        <color rgb="FF0070C0"/>
        <family val="2"/>
        <sz val="10"/>
        <rFont val="Arial"/>
      </rPr>
      <t>(Fonction recodée = fonctionnaire A-B-CBUR placé SUB)</t>
    </r>
    <r>
      <rPr>
        <family val="2"/>
        <sz val="10"/>
        <rFont val="Arial"/>
      </rPr>
      <t xml:space="preserve">
</t>
    </r>
    <r>
      <rPr>
        <b/>
        <color rgb="FFFF0000"/>
        <family val="2"/>
        <sz val="10"/>
        <rFont val="Arial"/>
      </rPr>
      <t xml:space="preserve">TJ et TPRX et CPH (pas de critère sur le TJ)
</t>
    </r>
    <r>
      <rPr>
        <color rgb="FFFF0000"/>
        <family val="2"/>
        <sz val="10"/>
        <rFont val="Arial"/>
      </rPr>
      <t xml:space="preserve">
*figurant dans l'onglet ETPT A-JUST</t>
    </r>
  </si>
  <si>
    <r>
      <rPr>
        <b/>
        <color rgb="FFFF0000"/>
        <family val="2"/>
        <sz val="10"/>
        <rFont val="Arial"/>
      </rPr>
      <t xml:space="preserve">12. TOTAL INDISPONIBILITÉ*
</t>
    </r>
    <r>
      <rPr>
        <family val="2"/>
        <sz val="10"/>
        <rFont val="Arial"/>
      </rPr>
      <t xml:space="preserve">
</t>
    </r>
    <r>
      <rPr>
        <b/>
        <color rgb="FF0070C0"/>
        <family val="2"/>
        <sz val="10"/>
        <rFont val="Arial"/>
      </rPr>
      <t>(Pour Fonctions recodées = Fonctionnaire CTECH placé ADD  ou Fonctionnaire Fonctionnaire CTECH placé SUB)</t>
    </r>
    <r>
      <rPr>
        <family val="2"/>
        <sz val="10"/>
        <rFont val="Arial"/>
      </rPr>
      <t xml:space="preserve">
</t>
    </r>
    <r>
      <rPr>
        <b/>
        <color rgb="FFFF0000"/>
        <family val="2"/>
        <sz val="10"/>
        <rFont val="Arial"/>
      </rPr>
      <t>Critère sur le TJ</t>
    </r>
    <r>
      <rPr>
        <b/>
        <family val="2"/>
        <sz val="10"/>
        <rFont val="Arial"/>
      </rPr>
      <t xml:space="preserve"> </t>
    </r>
    <r>
      <rPr>
        <b/>
        <color rgb="FFFF0000"/>
        <family val="2"/>
        <sz val="10"/>
        <rFont val="Arial"/>
      </rPr>
      <t>OU CPH</t>
    </r>
    <r>
      <rPr>
        <family val="2"/>
        <sz val="10"/>
        <rFont val="Arial"/>
      </rPr>
      <t xml:space="preserve">
</t>
    </r>
    <r>
      <rPr>
        <color rgb="FFFF0000"/>
        <family val="2"/>
        <sz val="10"/>
        <rFont val="Arial"/>
      </rPr>
      <t>*figurant dans l'onglet ETPT A-JUST</t>
    </r>
  </si>
  <si>
    <r>
      <rPr>
        <b/>
        <color rgb="FFFF0000"/>
        <family val="2"/>
        <sz val="10"/>
        <rFont val="Arial"/>
      </rPr>
      <t>12. TOTAL INDISPONIBILITÉ*</t>
    </r>
    <r>
      <rPr>
        <family val="2"/>
        <sz val="10"/>
        <rFont val="Arial"/>
      </rPr>
      <t xml:space="preserve">
</t>
    </r>
    <r>
      <rPr>
        <b/>
        <color rgb="FF0070C0"/>
        <family val="2"/>
        <sz val="10"/>
        <rFont val="Arial"/>
      </rPr>
      <t xml:space="preserve">(Pour Fonctions recodées = Fonctionnaire A-B-CBUR placé ADD  ou Fonctionnaire A-B-CBUR placé SUB)
</t>
    </r>
    <r>
      <rPr>
        <b/>
        <color rgb="FFFF0000"/>
        <family val="2"/>
        <sz val="10"/>
        <rFont val="Arial"/>
      </rPr>
      <t>Critère sur le TJ ou CPH</t>
    </r>
    <r>
      <rPr>
        <family val="2"/>
        <sz val="10"/>
        <rFont val="Arial"/>
      </rPr>
      <t xml:space="preserve">
</t>
    </r>
    <r>
      <rPr>
        <color rgb="FFFF0000"/>
        <family val="2"/>
        <sz val="10"/>
        <rFont val="Arial"/>
      </rPr>
      <t>*figurant dans l'onglet ETPT A-JUST</t>
    </r>
  </si>
  <si>
    <r>
      <t xml:space="preserve">1. TOTAL CONTENTIEUX SOCIAL + 2. TOTAL CONTENTIEUX JAF + 3. TOTAL CONTENTIEUX DE LA PROTECTION + 4. TOTAL CIVIL NON SPÉCIALISÉ + 5. TOTAL JLD CIVIL + 6.1. ACTIVITÉ CIVILE + 11.7 Fonctionnaires affectés au CPH + 11.8. FONCTIONNAIRES AFFECTÉS AUX ACTIVITÉS CIVILES ET COMMERCIALES DU PARQUET
</t>
    </r>
    <r>
      <rPr>
        <b/>
        <color rgb="FF0070C0"/>
        <family val="2"/>
        <sz val="10"/>
        <rFont val="Arial"/>
      </rPr>
      <t>(Pour Fonction recodée = Fonctionnaire CTECH)</t>
    </r>
    <r>
      <rPr>
        <family val="2"/>
        <sz val="10"/>
        <rFont val="Arial"/>
      </rPr>
      <t xml:space="preserve">
</t>
    </r>
    <r>
      <rPr>
        <b/>
        <color rgb="FFFF0000"/>
        <family val="2"/>
        <sz val="10"/>
        <rFont val="Arial"/>
      </rPr>
      <t>Critère sur le TPRX</t>
    </r>
  </si>
  <si>
    <r>
      <t xml:space="preserve">3.43 Injonctions de payer + 3.44 Saisies des rémunérations
</t>
    </r>
    <r>
      <rPr>
        <b/>
        <color rgb="FF0070C0"/>
        <family val="2"/>
        <sz val="10"/>
        <rFont val="Arial"/>
      </rPr>
      <t>(Pour Fonction recodée = Fonctionnaire A-B-CBUR)</t>
    </r>
    <r>
      <rPr>
        <family val="2"/>
        <sz val="10"/>
        <rFont val="Arial"/>
      </rPr>
      <t xml:space="preserve">
</t>
    </r>
    <r>
      <rPr>
        <b/>
        <color rgb="FFFF0000"/>
        <family val="2"/>
        <sz val="10"/>
        <rFont val="Arial"/>
      </rPr>
      <t>Critère sur le TPRX</t>
    </r>
  </si>
  <si>
    <r>
      <t xml:space="preserve">Soustraction
3. Contentieux de la Protection - 3.2 Protection des majeurs - 3.43 IP - 3.44 Saisies rémunérations
</t>
    </r>
    <r>
      <rPr>
        <b/>
        <color rgb="FF0070C0"/>
        <family val="2"/>
        <sz val="10"/>
        <rFont val="Arial"/>
      </rPr>
      <t>(Pour Fonction recodée = Fonctionnaire A-B-CBUR)</t>
    </r>
    <r>
      <rPr>
        <b/>
        <color rgb="FFFF0000"/>
        <family val="2"/>
        <sz val="10"/>
        <rFont val="Arial"/>
      </rPr>
      <t xml:space="preserve">
</t>
    </r>
    <r>
      <rPr>
        <family val="2"/>
        <sz val="10"/>
        <rFont val="Arial"/>
      </rPr>
      <t xml:space="preserve">
</t>
    </r>
    <r>
      <rPr>
        <b/>
        <color rgb="FFFF0000"/>
        <family val="2"/>
        <sz val="10"/>
        <rFont val="Arial"/>
      </rPr>
      <t>Critère sur le TPRX</t>
    </r>
  </si>
  <si>
    <r>
      <t xml:space="preserve">3.2 Protection des majeurs
</t>
    </r>
    <r>
      <rPr>
        <b/>
        <color rgb="FF0070C0"/>
        <family val="2"/>
        <sz val="10"/>
        <rFont val="Arial"/>
      </rPr>
      <t>(Pour Fonction recodée = Fonctionnaire A-B-CBUR)</t>
    </r>
    <r>
      <rPr>
        <b/>
        <color rgb="FFFF0000"/>
        <family val="2"/>
        <sz val="10"/>
        <rFont val="Arial"/>
      </rPr>
      <t xml:space="preserve">
</t>
    </r>
    <r>
      <rPr>
        <family val="2"/>
        <sz val="10"/>
        <rFont val="Arial"/>
      </rPr>
      <t xml:space="preserve">
</t>
    </r>
    <r>
      <rPr>
        <b/>
        <color rgb="FFFF0000"/>
        <family val="2"/>
        <sz val="10"/>
        <rFont val="Arial"/>
      </rPr>
      <t>Critère sur le TPRX</t>
    </r>
  </si>
  <si>
    <r>
      <t xml:space="preserve">1. TOTAL CONTENTIEUX SOCIAL + 2. TOTAL CONTENTIEUX JAF + 4. TOTAL CIVIL NON SPÉCIALISÉ + 5. TOTAL JLD CIVIL + 6.1. ACTIVITÉ CIVILE + 11.8. FONCTIONNAIRES AFFECTÉS AUX ACTIVITÉS CIVILES ET COMMERCIALES DU PARQUET
</t>
    </r>
    <r>
      <rPr>
        <b/>
        <u/>
        <family val="2"/>
        <sz val="10"/>
        <rFont val="Arial"/>
      </rPr>
      <t xml:space="preserve">
</t>
    </r>
    <r>
      <rPr>
        <b/>
        <color rgb="FF0070C0"/>
        <family val="2"/>
        <sz val="10"/>
        <rFont val="Arial"/>
      </rPr>
      <t>(Pour Fonction recodée = Fonctionnaire A-B-CBUR)</t>
    </r>
    <r>
      <rPr>
        <b/>
        <u/>
        <family val="2"/>
        <sz val="10"/>
        <rFont val="Arial"/>
      </rPr>
      <t xml:space="preserve">
</t>
    </r>
    <r>
      <rPr>
        <family val="2"/>
        <sz val="10"/>
        <rFont val="Arial"/>
      </rPr>
      <t xml:space="preserve">
</t>
    </r>
    <r>
      <rPr>
        <b/>
        <color rgb="FFFF0000"/>
        <family val="2"/>
        <sz val="10"/>
        <rFont val="Arial"/>
      </rPr>
      <t>Critère sur le TPRX</t>
    </r>
  </si>
  <si>
    <r>
      <t xml:space="preserve">11.51 Accueil du justiciable
</t>
    </r>
    <r>
      <rPr>
        <color rgb="FF0070C0"/>
        <family val="2"/>
        <sz val="10"/>
        <rFont val="Arial"/>
      </rPr>
      <t xml:space="preserve">
</t>
    </r>
    <r>
      <rPr>
        <b/>
        <color rgb="FF0070C0"/>
        <family val="2"/>
        <sz val="10"/>
        <rFont val="Arial"/>
      </rPr>
      <t xml:space="preserve">(Pour Fonction recodée = Fonctionnaire CTECH)
</t>
    </r>
    <r>
      <rPr>
        <family val="2"/>
        <sz val="10"/>
        <rFont val="Arial"/>
      </rPr>
      <t xml:space="preserve">
</t>
    </r>
    <r>
      <rPr>
        <b/>
        <color rgb="FFFF0000"/>
        <family val="2"/>
        <sz val="10"/>
        <rFont val="Arial"/>
      </rPr>
      <t>Critère sur le TPRX</t>
    </r>
  </si>
  <si>
    <r>
      <t xml:space="preserve">11.51 Accueil du justiciable
</t>
    </r>
    <r>
      <rPr>
        <b/>
        <color rgb="FF0070C0"/>
        <family val="2"/>
        <sz val="10"/>
        <rFont val="Arial"/>
      </rPr>
      <t xml:space="preserve">(Pour Fonction recodée = Fonctionnaire A-B-CBUR)
</t>
    </r>
    <r>
      <rPr>
        <family val="2"/>
        <sz val="10"/>
        <rFont val="Arial"/>
      </rPr>
      <t xml:space="preserve">
</t>
    </r>
    <r>
      <rPr>
        <b/>
        <color rgb="FFFF0000"/>
        <family val="2"/>
        <sz val="10"/>
        <rFont val="Arial"/>
      </rPr>
      <t>Critère sur le TPRX</t>
    </r>
  </si>
  <si>
    <r>
      <t xml:space="preserve">11.1 Soutien + 11.2 Formations suivies + 11.6 Autres activités non juridictionnelles
</t>
    </r>
    <r>
      <rPr>
        <b/>
        <color rgb="FF0070C0"/>
        <family val="2"/>
        <sz val="10"/>
        <rFont val="Arial"/>
      </rPr>
      <t>(Pour Fonction recodée = Fonctionnaire CTECH)</t>
    </r>
    <r>
      <rPr>
        <b/>
        <color rgb="FFFF0000"/>
        <family val="2"/>
        <sz val="10"/>
        <rFont val="Arial"/>
      </rPr>
      <t xml:space="preserve">
</t>
    </r>
    <r>
      <rPr>
        <family val="2"/>
        <sz val="10"/>
        <rFont val="Arial"/>
      </rPr>
      <t xml:space="preserve">
</t>
    </r>
    <r>
      <rPr>
        <b/>
        <color rgb="FFFF0000"/>
        <family val="2"/>
        <sz val="10"/>
        <rFont val="Arial"/>
      </rPr>
      <t>Critère sur le TPRX</t>
    </r>
  </si>
  <si>
    <r>
      <t xml:space="preserve">11.1 Soutien + 11.2 Formations suivies + 11.6 Autres activités non juridictionnelles
</t>
    </r>
    <r>
      <rPr>
        <b/>
        <color rgb="FF0070C0"/>
        <family val="2"/>
        <sz val="10"/>
        <rFont val="Arial"/>
      </rPr>
      <t xml:space="preserve">(Pour Fonction recodée = Fonctionnaire A-B-CBUR )
</t>
    </r>
    <r>
      <rPr>
        <b/>
        <color rgb="FFFF0000"/>
        <family val="2"/>
        <sz val="10"/>
        <rFont val="Arial"/>
      </rPr>
      <t>Critère sur le TPRX</t>
    </r>
  </si>
  <si>
    <r>
      <t xml:space="preserve">11.3 Formations dispensées
</t>
    </r>
    <r>
      <rPr>
        <b/>
        <color rgb="FF0070C0"/>
        <family val="2"/>
        <sz val="10"/>
        <rFont val="Arial"/>
      </rPr>
      <t>(Pour Fonction recodée = Fonctionnaire CTECH)</t>
    </r>
    <r>
      <rPr>
        <family val="2"/>
        <sz val="10"/>
        <rFont val="Arial"/>
      </rPr>
      <t xml:space="preserve">
</t>
    </r>
    <r>
      <rPr>
        <b/>
        <color rgb="FFFF0000"/>
        <family val="2"/>
        <sz val="10"/>
        <rFont val="Arial"/>
      </rPr>
      <t>Critère sur le TPRX</t>
    </r>
  </si>
  <si>
    <r>
      <t xml:space="preserve">11.3 Formations dispensées
</t>
    </r>
    <r>
      <rPr>
        <b/>
        <color rgb="FF0070C0"/>
        <family val="2"/>
        <sz val="10"/>
        <rFont val="Arial"/>
      </rPr>
      <t>(Pour Fonction recodée = Fonctionnaire A-B-CBUR )</t>
    </r>
    <r>
      <rPr>
        <family val="2"/>
        <sz val="10"/>
        <rFont val="Arial"/>
      </rPr>
      <t xml:space="preserve">
</t>
    </r>
    <r>
      <rPr>
        <b/>
        <color rgb="FFFF0000"/>
        <family val="2"/>
        <sz val="10"/>
        <rFont val="Arial"/>
      </rPr>
      <t>Critère sur le TPRX</t>
    </r>
  </si>
  <si>
    <r>
      <t xml:space="preserve">11.4 Accès au droit et à la justice
</t>
    </r>
    <r>
      <rPr>
        <b/>
        <color rgb="FF0070C0"/>
        <family val="2"/>
        <sz val="10"/>
        <rFont val="Arial"/>
      </rPr>
      <t>(Pour Fonction recodée = Fonctionnaire CTECH)</t>
    </r>
    <r>
      <rPr>
        <b/>
        <color rgb="FFFF0000"/>
        <family val="2"/>
        <sz val="10"/>
        <rFont val="Arial"/>
      </rPr>
      <t xml:space="preserve">
</t>
    </r>
    <r>
      <rPr>
        <family val="2"/>
        <sz val="10"/>
        <rFont val="Arial"/>
      </rPr>
      <t xml:space="preserve">
</t>
    </r>
    <r>
      <rPr>
        <b/>
        <color rgb="FFFF0000"/>
        <family val="2"/>
        <sz val="10"/>
        <rFont val="Arial"/>
      </rPr>
      <t>Critère sur le TPRX</t>
    </r>
  </si>
  <si>
    <r>
      <t xml:space="preserve">11.4 Accès au droit et à la justice
</t>
    </r>
    <r>
      <rPr>
        <b/>
        <color rgb="FFFF0000"/>
        <family val="2"/>
        <sz val="10"/>
        <rFont val="Arial"/>
      </rPr>
      <t xml:space="preserve">
</t>
    </r>
    <r>
      <rPr>
        <b/>
        <color rgb="FF0070C0"/>
        <family val="2"/>
        <sz val="10"/>
        <rFont val="Arial"/>
      </rPr>
      <t>(Pour Fonction recodée = Fonctionnaire A-B-CBUR )</t>
    </r>
    <r>
      <rPr>
        <b/>
        <color rgb="FFFF0000"/>
        <family val="2"/>
        <sz val="10"/>
        <rFont val="Arial"/>
      </rPr>
      <t xml:space="preserve">
Critère sur le TPRX</t>
    </r>
  </si>
  <si>
    <r>
      <t xml:space="preserve">12. TOTAL INDISPONIBILITÉ - 12.5 Mise à disposition
</t>
    </r>
    <r>
      <rPr>
        <b/>
        <color rgb="FF0070C0"/>
        <family val="2"/>
        <sz val="10"/>
        <rFont val="Arial"/>
      </rPr>
      <t>(Pour Fonction recodée = Fonctionnaire CTECH)</t>
    </r>
    <r>
      <rPr>
        <family val="2"/>
        <sz val="10"/>
        <rFont val="Arial"/>
      </rPr>
      <t xml:space="preserve">
</t>
    </r>
    <r>
      <rPr>
        <b/>
        <color rgb="FFFF0000"/>
        <family val="2"/>
        <sz val="10"/>
        <rFont val="Arial"/>
      </rPr>
      <t>Critère sur le TJ</t>
    </r>
  </si>
  <si>
    <r>
      <t xml:space="preserve">12. TOTAL INDISPONIBILITÉ - 12.5 Mise à disposition
</t>
    </r>
    <r>
      <rPr>
        <b/>
        <color rgb="FFFF0000"/>
        <family val="2"/>
        <sz val="10"/>
        <rFont val="Arial"/>
      </rPr>
      <t xml:space="preserve">
(Pour Fonction recodée = Fonctionnaire A-B-CBUR )
Critère sur le TPRX</t>
    </r>
  </si>
  <si>
    <r>
      <t xml:space="preserve">12.5 Mise à disposition +
13. Contentieux locaux spécifiques
</t>
    </r>
    <r>
      <rPr>
        <b/>
        <color rgb="FF0070C0"/>
        <family val="2"/>
        <sz val="10"/>
        <rFont val="Arial"/>
      </rPr>
      <t>(Pour Fonction recodée = Fonctionnaire CTECH)</t>
    </r>
    <r>
      <rPr>
        <family val="2"/>
        <sz val="10"/>
        <rFont val="Arial"/>
      </rPr>
      <t xml:space="preserve">
</t>
    </r>
    <r>
      <rPr>
        <b/>
        <color rgb="FFFF0000"/>
        <family val="2"/>
        <sz val="10"/>
        <rFont val="Arial"/>
      </rPr>
      <t>Critère sur le TPRX</t>
    </r>
  </si>
  <si>
    <r>
      <t xml:space="preserve">13. Contentieux locaux spécifiques
</t>
    </r>
    <r>
      <rPr>
        <b/>
        <color rgb="FF0070C0"/>
        <family val="2"/>
        <sz val="10"/>
        <rFont val="Arial"/>
      </rPr>
      <t>(Pour Fonction recodée = Fonctionnaire A-B-CBUR )</t>
    </r>
    <r>
      <rPr>
        <family val="2"/>
        <sz val="10"/>
        <rFont val="Arial"/>
      </rPr>
      <t xml:space="preserve">
</t>
    </r>
    <r>
      <rPr>
        <b/>
        <color rgb="FFFF0000"/>
        <family val="2"/>
        <sz val="10"/>
        <rFont val="Arial"/>
      </rPr>
      <t>Critère sur le TPRX</t>
    </r>
  </si>
  <si>
    <r>
      <t xml:space="preserve">12.5 Mise à disposition
</t>
    </r>
    <r>
      <rPr>
        <b/>
        <color rgb="FFFF0000"/>
        <family val="2"/>
        <sz val="10"/>
        <rFont val="Arial"/>
      </rPr>
      <t xml:space="preserve">
</t>
    </r>
    <r>
      <rPr>
        <b/>
        <color rgb="FF0070C0"/>
        <family val="2"/>
        <sz val="10"/>
        <rFont val="Arial"/>
      </rPr>
      <t>(Pour Fonction recodée = Fonctionnaire A-B-CBUR )</t>
    </r>
    <r>
      <rPr>
        <b/>
        <color rgb="FFFF0000"/>
        <family val="2"/>
        <sz val="10"/>
        <rFont val="Arial"/>
      </rPr>
      <t xml:space="preserve">
Critère sur le TPRX</t>
    </r>
  </si>
  <si>
    <r>
      <rPr>
        <b/>
        <color rgb="FFFF0000"/>
        <family val="2"/>
        <sz val="10"/>
        <rFont val="Arial"/>
      </rPr>
      <t>Temps ventilé sur la période A-JUST*</t>
    </r>
    <r>
      <rPr>
        <family val="2"/>
        <sz val="10"/>
        <rFont val="Arial"/>
      </rPr>
      <t xml:space="preserve"> (absentéisme et action 99 déduits)
</t>
    </r>
    <r>
      <rPr>
        <b/>
        <color rgb="FF0070C0"/>
        <family val="2"/>
        <sz val="10"/>
        <rFont val="Arial"/>
      </rPr>
      <t>(Pour fonction recodée = Fonctionnaire CTECH placé ADD)</t>
    </r>
    <r>
      <rPr>
        <b/>
        <color rgb="FFFF0000"/>
        <family val="2"/>
        <sz val="10"/>
        <rFont val="Arial"/>
      </rPr>
      <t xml:space="preserve">
</t>
    </r>
    <r>
      <rPr>
        <family val="2"/>
        <sz val="10"/>
        <rFont val="Arial"/>
      </rPr>
      <t xml:space="preserve">
</t>
    </r>
    <r>
      <rPr>
        <b/>
        <color rgb="FFFF0000"/>
        <family val="2"/>
        <sz val="10"/>
        <rFont val="Arial"/>
      </rPr>
      <t xml:space="preserve">Critère sur le TPRX
</t>
    </r>
    <r>
      <rPr>
        <color rgb="FFFF0000"/>
        <family val="2"/>
        <sz val="10"/>
        <rFont val="Arial"/>
      </rPr>
      <t>*figurant dans l'onglet ETPT A-JUST</t>
    </r>
  </si>
  <si>
    <r>
      <rPr>
        <b/>
        <color rgb="FFFF0000"/>
        <family val="2"/>
        <sz val="10"/>
        <rFont val="Arial"/>
      </rPr>
      <t>13. Contentieux locaux spécifiques*</t>
    </r>
    <r>
      <rPr>
        <family val="2"/>
        <sz val="10"/>
        <rFont val="Arial"/>
      </rPr>
      <t xml:space="preserve">
</t>
    </r>
    <r>
      <rPr>
        <b/>
        <color rgb="FF0070C0"/>
        <family val="2"/>
        <sz val="10"/>
        <rFont val="Arial"/>
      </rPr>
      <t>(Pour fonction recodée =Fonctionnaire A-B-CBUR placé ADD)</t>
    </r>
    <r>
      <rPr>
        <family val="2"/>
        <sz val="10"/>
        <rFont val="Arial"/>
      </rPr>
      <t xml:space="preserve">
</t>
    </r>
    <r>
      <rPr>
        <b/>
        <color rgb="FFFF0000"/>
        <family val="2"/>
        <sz val="10"/>
        <rFont val="Arial"/>
      </rPr>
      <t xml:space="preserve">Critère sur le TPRX
</t>
    </r>
    <r>
      <rPr>
        <color rgb="FFFF0000"/>
        <family val="2"/>
        <sz val="10"/>
        <rFont val="Arial"/>
      </rPr>
      <t>*figurant dans l'onglet ETPT A-JUST</t>
    </r>
  </si>
  <si>
    <r>
      <rPr>
        <b/>
        <color rgb="FFFF0000"/>
        <family val="2"/>
        <sz val="10"/>
        <rFont val="Arial"/>
      </rPr>
      <t>3.43 Injonctions de payer + 3.44 Saisies des rémunérations*</t>
    </r>
    <r>
      <rPr>
        <family val="2"/>
        <sz val="10"/>
        <rFont val="Arial"/>
      </rPr>
      <t xml:space="preserve">
</t>
    </r>
    <r>
      <rPr>
        <b/>
        <color rgb="FF0070C0"/>
        <family val="2"/>
        <sz val="10"/>
        <rFont val="Arial"/>
      </rPr>
      <t>(Pour fonction recodée =Fonctionnaire A-B-CBUR placé ADD)</t>
    </r>
    <r>
      <rPr>
        <b/>
        <color rgb="FFFF0000"/>
        <family val="2"/>
        <sz val="10"/>
        <rFont val="Arial"/>
      </rPr>
      <t xml:space="preserve">
</t>
    </r>
    <r>
      <rPr>
        <family val="2"/>
        <sz val="10"/>
        <rFont val="Arial"/>
      </rPr>
      <t xml:space="preserve">
</t>
    </r>
    <r>
      <rPr>
        <b/>
        <color rgb="FFFF0000"/>
        <family val="2"/>
        <sz val="10"/>
        <rFont val="Arial"/>
      </rPr>
      <t>Critère sur le TPRX</t>
    </r>
    <r>
      <rPr>
        <family val="2"/>
        <sz val="10"/>
        <rFont val="Arial"/>
      </rPr>
      <t xml:space="preserve">
</t>
    </r>
    <r>
      <rPr>
        <color rgb="FFFF0000"/>
        <family val="2"/>
        <sz val="10"/>
        <rFont val="Arial"/>
      </rPr>
      <t>*figurant dans l'onglet ETPT A-JUST</t>
    </r>
  </si>
  <si>
    <r>
      <rPr>
        <b/>
        <color rgb="FFFF0000"/>
        <family val="2"/>
        <sz val="10"/>
        <rFont val="Arial"/>
      </rPr>
      <t xml:space="preserve">3. Contentieux de la Protection - 3.2 Protection des majeurs - 3.43 IP - 3.44 Saisies rémunérations*
</t>
    </r>
    <r>
      <rPr>
        <family val="2"/>
        <sz val="10"/>
        <rFont val="Arial"/>
      </rPr>
      <t xml:space="preserve">
</t>
    </r>
    <r>
      <rPr>
        <b/>
        <color rgb="FF0070C0"/>
        <family val="2"/>
        <sz val="10"/>
        <rFont val="Arial"/>
      </rPr>
      <t>(Pour fonction recodée =Fonctionnaire A-B-CBUR placé ADD)</t>
    </r>
    <r>
      <rPr>
        <b/>
        <color rgb="FFFF0000"/>
        <family val="2"/>
        <sz val="10"/>
        <rFont val="Arial"/>
      </rPr>
      <t xml:space="preserve">
</t>
    </r>
    <r>
      <rPr>
        <family val="2"/>
        <sz val="10"/>
        <rFont val="Arial"/>
      </rPr>
      <t xml:space="preserve">
</t>
    </r>
    <r>
      <rPr>
        <b/>
        <color rgb="FFFF0000"/>
        <family val="2"/>
        <sz val="10"/>
        <rFont val="Arial"/>
      </rPr>
      <t>Critère sur le TPRX</t>
    </r>
    <r>
      <rPr>
        <family val="2"/>
        <sz val="10"/>
        <rFont val="Arial"/>
      </rPr>
      <t xml:space="preserve">
</t>
    </r>
    <r>
      <rPr>
        <color rgb="FFFF0000"/>
        <family val="2"/>
        <sz val="10"/>
        <rFont val="Arial"/>
      </rPr>
      <t>*figurant dans l'onglet ETPT A-JUST</t>
    </r>
  </si>
  <si>
    <r>
      <rPr>
        <b/>
        <color rgb="FFFF0000"/>
        <family val="2"/>
        <sz val="10"/>
        <rFont val="Arial"/>
      </rPr>
      <t>3.2 Protection des majeurs*</t>
    </r>
    <r>
      <rPr>
        <family val="2"/>
        <sz val="10"/>
        <rFont val="Arial"/>
      </rPr>
      <t xml:space="preserve">
</t>
    </r>
    <r>
      <rPr>
        <b/>
        <color rgb="FF0070C0"/>
        <family val="2"/>
        <sz val="10"/>
        <rFont val="Arial"/>
      </rPr>
      <t>(Pour fonction recodée =Fonctionnaire A-B-CBUR placé ADD)</t>
    </r>
    <r>
      <rPr>
        <b/>
        <color rgb="FFFF0000"/>
        <family val="2"/>
        <sz val="10"/>
        <rFont val="Arial"/>
      </rPr>
      <t xml:space="preserve">
</t>
    </r>
    <r>
      <rPr>
        <family val="2"/>
        <sz val="10"/>
        <rFont val="Arial"/>
      </rPr>
      <t xml:space="preserve">
</t>
    </r>
    <r>
      <rPr>
        <b/>
        <color rgb="FFFF0000"/>
        <family val="2"/>
        <sz val="10"/>
        <rFont val="Arial"/>
      </rPr>
      <t xml:space="preserve">Critère sur le TPRX
</t>
    </r>
    <r>
      <rPr>
        <color rgb="FFFF0000"/>
        <family val="2"/>
        <sz val="10"/>
        <rFont val="Arial"/>
      </rPr>
      <t>*figurant dans l'onglet ETPT A-JUST</t>
    </r>
  </si>
  <si>
    <r>
      <rPr>
        <b/>
        <color rgb="FFFF0000"/>
        <family val="2"/>
        <sz val="10"/>
        <rFont val="Arial"/>
      </rPr>
      <t xml:space="preserve">1. TOTAL CONTENTIEUX SOCIAL + 2. TOTAL CONTENTIEUX JAF + 4. TOTAL CIVIL NON SPÉCIALISÉ + 5. TOTAL JLD CIVIL + 6.1. ACTIVITÉ CIVILE + 11.8. FONCTIONNAIRES AFFECTÉS AUX ACTIVITÉS CIVILES ET COMMERCIALES DU PARQUET*
+
11.51. ACCUEIL DU JUSTICIABLE (DONT SAUJ) + 11.1. SOUTIEN (HORS FORMATIONS SUIVIES) + 11.2. FORMATIONS SUIVIES + 11.6. AUTRES ACTIVITÉS NON JURIDICTIONNELLES + 11.3. FORMATIONS DISPENSÉES + 11.4. ACCÈS AU DROIT ET À LA JUSTICE*
</t>
    </r>
    <r>
      <rPr>
        <b/>
        <u/>
        <family val="2"/>
        <sz val="10"/>
        <rFont val="Arial"/>
      </rPr>
      <t xml:space="preserve">
</t>
    </r>
    <r>
      <rPr>
        <b/>
        <color rgb="FF0070C0"/>
        <family val="2"/>
        <sz val="10"/>
        <rFont val="Arial"/>
      </rPr>
      <t>(Pour fonction recodée =Fonctionnaire A-B-CBUR placé ADD)</t>
    </r>
    <r>
      <rPr>
        <b/>
        <u/>
        <family val="2"/>
        <sz val="10"/>
        <rFont val="Arial"/>
      </rPr>
      <t xml:space="preserve">
</t>
    </r>
    <r>
      <rPr>
        <family val="2"/>
        <sz val="10"/>
        <rFont val="Arial"/>
      </rPr>
      <t xml:space="preserve">
</t>
    </r>
    <r>
      <rPr>
        <b/>
        <color rgb="FFFF0000"/>
        <family val="2"/>
        <sz val="10"/>
        <rFont val="Arial"/>
      </rPr>
      <t>Critère sur le TPRX</t>
    </r>
    <r>
      <rPr>
        <family val="2"/>
        <sz val="10"/>
        <rFont val="Arial"/>
      </rPr>
      <t xml:space="preserve">
</t>
    </r>
    <r>
      <rPr>
        <color rgb="FFFF0000"/>
        <family val="2"/>
        <sz val="10"/>
        <rFont val="Arial"/>
      </rPr>
      <t>*figurant dans l'onglet ETPT A-JUST</t>
    </r>
  </si>
  <si>
    <r>
      <rPr>
        <b/>
        <color rgb="FFFF0000"/>
        <family val="2"/>
        <sz val="10"/>
        <rFont val="Arial"/>
      </rPr>
      <t>Temps ventilé sur la période A-JUST*</t>
    </r>
    <r>
      <rPr>
        <family val="2"/>
        <sz val="10"/>
        <rFont val="Arial"/>
      </rPr>
      <t xml:space="preserve"> (absentéisme et action 99 déduits)
</t>
    </r>
    <r>
      <rPr>
        <b/>
        <color rgb="FF0070C0"/>
        <family val="2"/>
        <sz val="10"/>
        <rFont val="Arial"/>
      </rPr>
      <t>(Pour fonction recodée = Fonctionnaire CTECH placé SUB)</t>
    </r>
    <r>
      <rPr>
        <b/>
        <color rgb="FFFF0000"/>
        <family val="2"/>
        <sz val="10"/>
        <rFont val="Arial"/>
      </rPr>
      <t xml:space="preserve">
</t>
    </r>
    <r>
      <rPr>
        <family val="2"/>
        <sz val="10"/>
        <rFont val="Arial"/>
      </rPr>
      <t xml:space="preserve">
</t>
    </r>
    <r>
      <rPr>
        <b/>
        <color rgb="FFFF0000"/>
        <family val="2"/>
        <sz val="10"/>
        <rFont val="Arial"/>
      </rPr>
      <t xml:space="preserve">Critère sur le TPRX
</t>
    </r>
    <r>
      <rPr>
        <color rgb="FFFF0000"/>
        <family val="2"/>
        <sz val="10"/>
        <rFont val="Arial"/>
      </rPr>
      <t>*figurant dans l'onglet ETPT A-JUST</t>
    </r>
  </si>
  <si>
    <r>
      <rPr>
        <b/>
        <color rgb="FFFF0000"/>
        <family val="2"/>
        <sz val="10"/>
        <rFont val="Arial"/>
      </rPr>
      <t>13. Contentieux locaux spécifiques*</t>
    </r>
    <r>
      <rPr>
        <family val="2"/>
        <sz val="10"/>
        <rFont val="Arial"/>
      </rPr>
      <t xml:space="preserve">
</t>
    </r>
    <r>
      <rPr>
        <b/>
        <color rgb="FF0070C0"/>
        <family val="2"/>
        <sz val="10"/>
        <rFont val="Arial"/>
      </rPr>
      <t>(Pour fonction recodée =Fonctionnaire A-B-CBUR placé SUB)</t>
    </r>
    <r>
      <rPr>
        <family val="2"/>
        <sz val="10"/>
        <rFont val="Arial"/>
      </rPr>
      <t xml:space="preserve">
</t>
    </r>
    <r>
      <rPr>
        <b/>
        <color rgb="FFFF0000"/>
        <family val="2"/>
        <sz val="10"/>
        <rFont val="Arial"/>
      </rPr>
      <t xml:space="preserve">Critère sur le TPRX
</t>
    </r>
    <r>
      <rPr>
        <color rgb="FFFF0000"/>
        <family val="2"/>
        <sz val="10"/>
        <rFont val="Arial"/>
      </rPr>
      <t>*figurant dans l'onglet ETPT A-JUST</t>
    </r>
  </si>
  <si>
    <r>
      <rPr>
        <b/>
        <color rgb="FFFF0000"/>
        <family val="2"/>
        <sz val="10"/>
        <rFont val="Arial"/>
      </rPr>
      <t>3.43 Injonctions de payer + 3.44 Saisies des rémunérations*</t>
    </r>
    <r>
      <rPr>
        <family val="2"/>
        <sz val="10"/>
        <rFont val="Arial"/>
      </rPr>
      <t xml:space="preserve">
</t>
    </r>
    <r>
      <rPr>
        <b/>
        <color rgb="FF0070C0"/>
        <family val="2"/>
        <sz val="10"/>
        <rFont val="Arial"/>
      </rPr>
      <t>(Pour fonction recodée =Fonctionnaire A-B-CBUR placé SUB)</t>
    </r>
    <r>
      <rPr>
        <b/>
        <color rgb="FFFF0000"/>
        <family val="2"/>
        <sz val="10"/>
        <rFont val="Arial"/>
      </rPr>
      <t xml:space="preserve">
</t>
    </r>
    <r>
      <rPr>
        <family val="2"/>
        <sz val="10"/>
        <rFont val="Arial"/>
      </rPr>
      <t xml:space="preserve">
</t>
    </r>
    <r>
      <rPr>
        <b/>
        <color rgb="FFFF0000"/>
        <family val="2"/>
        <sz val="10"/>
        <rFont val="Arial"/>
      </rPr>
      <t>Critère sur le TPRX</t>
    </r>
    <r>
      <rPr>
        <family val="2"/>
        <sz val="10"/>
        <rFont val="Arial"/>
      </rPr>
      <t xml:space="preserve">
</t>
    </r>
    <r>
      <rPr>
        <color rgb="FFFF0000"/>
        <family val="2"/>
        <sz val="10"/>
        <rFont val="Arial"/>
      </rPr>
      <t>*figurant dans l'onglet ETPT A-JUST</t>
    </r>
  </si>
  <si>
    <r>
      <rPr>
        <b/>
        <color rgb="FFFF0000"/>
        <family val="2"/>
        <sz val="10"/>
        <rFont val="Arial"/>
      </rPr>
      <t xml:space="preserve">3. Contentieux de la Protection - 3.2 Protection des majeurs - 3.43 IP - 3.44 Saisies rémunérations*
</t>
    </r>
    <r>
      <rPr>
        <family val="2"/>
        <sz val="10"/>
        <rFont val="Arial"/>
      </rPr>
      <t xml:space="preserve">
</t>
    </r>
    <r>
      <rPr>
        <b/>
        <color rgb="FF0070C0"/>
        <family val="2"/>
        <sz val="10"/>
        <rFont val="Arial"/>
      </rPr>
      <t>(Pour fonction recodée =Fonctionnaire A-B-CBUR placé SUB)</t>
    </r>
    <r>
      <rPr>
        <b/>
        <color rgb="FFFF0000"/>
        <family val="2"/>
        <sz val="10"/>
        <rFont val="Arial"/>
      </rPr>
      <t xml:space="preserve">
</t>
    </r>
    <r>
      <rPr>
        <family val="2"/>
        <sz val="10"/>
        <rFont val="Arial"/>
      </rPr>
      <t xml:space="preserve">
</t>
    </r>
    <r>
      <rPr>
        <b/>
        <color rgb="FFFF0000"/>
        <family val="2"/>
        <sz val="10"/>
        <rFont val="Arial"/>
      </rPr>
      <t>Critère sur le TPRX</t>
    </r>
    <r>
      <rPr>
        <family val="2"/>
        <sz val="10"/>
        <rFont val="Arial"/>
      </rPr>
      <t xml:space="preserve">
</t>
    </r>
    <r>
      <rPr>
        <color rgb="FFFF0000"/>
        <family val="2"/>
        <sz val="10"/>
        <rFont val="Arial"/>
      </rPr>
      <t>*figurant dans l'onglet ETPT A-JUST</t>
    </r>
  </si>
  <si>
    <r>
      <rPr>
        <b/>
        <color rgb="FFFF0000"/>
        <family val="2"/>
        <sz val="10"/>
        <rFont val="Arial"/>
      </rPr>
      <t>3.2 Protection des majeurs*</t>
    </r>
    <r>
      <rPr>
        <family val="2"/>
        <sz val="10"/>
        <rFont val="Arial"/>
      </rPr>
      <t xml:space="preserve">
</t>
    </r>
    <r>
      <rPr>
        <b/>
        <color rgb="FF0070C0"/>
        <family val="2"/>
        <sz val="10"/>
        <rFont val="Arial"/>
      </rPr>
      <t>(Pour fonction recodée =Fonctionnaire A-B-CBUR placé SUB)</t>
    </r>
    <r>
      <rPr>
        <b/>
        <color rgb="FFFF0000"/>
        <family val="2"/>
        <sz val="10"/>
        <rFont val="Arial"/>
      </rPr>
      <t xml:space="preserve">
</t>
    </r>
    <r>
      <rPr>
        <family val="2"/>
        <sz val="10"/>
        <rFont val="Arial"/>
      </rPr>
      <t xml:space="preserve">
</t>
    </r>
    <r>
      <rPr>
        <b/>
        <color rgb="FFFF0000"/>
        <family val="2"/>
        <sz val="10"/>
        <rFont val="Arial"/>
      </rPr>
      <t xml:space="preserve">Critère sur le TPRX
</t>
    </r>
    <r>
      <rPr>
        <color rgb="FFFF0000"/>
        <family val="2"/>
        <sz val="10"/>
        <rFont val="Arial"/>
      </rPr>
      <t>*figurant dans l'onglet ETPT A-JUST</t>
    </r>
  </si>
  <si>
    <r>
      <rPr>
        <b/>
        <color rgb="FFFF0000"/>
        <family val="2"/>
        <sz val="10"/>
        <rFont val="Arial"/>
      </rPr>
      <t xml:space="preserve">1. TOTAL CONTENTIEUX SOCIAL + 2. TOTAL CONTENTIEUX JAF + 4. TOTAL CIVIL NON SPÉCIALISÉ + 5. TOTAL JLD CIVIL + 6.1. ACTIVITÉ CIVILE + 11.8. FONCTIONNAIRES AFFECTÉS AUX ACTIVITÉS CIVILES ET COMMERCIALES DU PARQUET*
+
11.51. ACCUEIL DU JUSTICIABLE (DONT SAUJ) + 11.1. SOUTIEN (HORS FORMATIONS SUIVIES) + 11.2. FORMATIONS SUIVIES + 11.6. AUTRES ACTIVITÉS NON JURIDICTIONNELLES + 11.3. FORMATIONS DISPENSÉES + 11.4. ACCÈS AU DROIT ET À LA JUSTICE*
</t>
    </r>
    <r>
      <rPr>
        <b/>
        <u/>
        <family val="2"/>
        <sz val="10"/>
        <rFont val="Arial"/>
      </rPr>
      <t xml:space="preserve">
</t>
    </r>
    <r>
      <rPr>
        <b/>
        <color rgb="FF0070C0"/>
        <family val="2"/>
        <sz val="10"/>
        <rFont val="Arial"/>
      </rPr>
      <t>(Pour fonction recodée =Fonctionnaire A-B-CBUR placé SUB)</t>
    </r>
    <r>
      <rPr>
        <b/>
        <u/>
        <family val="2"/>
        <sz val="10"/>
        <rFont val="Arial"/>
      </rPr>
      <t xml:space="preserve">
</t>
    </r>
    <r>
      <rPr>
        <family val="2"/>
        <sz val="10"/>
        <rFont val="Arial"/>
      </rPr>
      <t xml:space="preserve">
</t>
    </r>
    <r>
      <rPr>
        <b/>
        <color rgb="FFFF0000"/>
        <family val="2"/>
        <sz val="10"/>
        <rFont val="Arial"/>
      </rPr>
      <t>Critère sur le TPRX</t>
    </r>
    <r>
      <rPr>
        <family val="2"/>
        <sz val="10"/>
        <rFont val="Arial"/>
      </rPr>
      <t xml:space="preserve">
</t>
    </r>
    <r>
      <rPr>
        <color rgb="FFFF0000"/>
        <family val="2"/>
        <sz val="10"/>
        <rFont val="Arial"/>
      </rPr>
      <t>*figurant dans l'onglet ETPT A-JUST</t>
    </r>
  </si>
  <si>
    <r>
      <rPr>
        <b/>
        <color rgb="FFFF0000"/>
        <family val="2"/>
        <sz val="10"/>
        <rFont val="Arial"/>
      </rPr>
      <t xml:space="preserve">12. TOTAL INDISPONIBILITÉ*
</t>
    </r>
    <r>
      <rPr>
        <family val="2"/>
        <sz val="10"/>
        <rFont val="Arial"/>
      </rPr>
      <t xml:space="preserve">
</t>
    </r>
    <r>
      <rPr>
        <b/>
        <color rgb="FF0070C0"/>
        <family val="2"/>
        <sz val="10"/>
        <rFont val="Arial"/>
      </rPr>
      <t>(Pour Fonctions recodées = Fonctionnaire CTECH placé ADD  ou Fonctionnaire Fonctionnaire CTECH placé SUB)</t>
    </r>
    <r>
      <rPr>
        <family val="2"/>
        <sz val="10"/>
        <rFont val="Arial"/>
      </rPr>
      <t xml:space="preserve">
</t>
    </r>
    <r>
      <rPr>
        <b/>
        <color rgb="FFFF0000"/>
        <family val="2"/>
        <sz val="10"/>
        <rFont val="Arial"/>
      </rPr>
      <t>Critère sur le TPRX</t>
    </r>
    <r>
      <rPr>
        <family val="2"/>
        <sz val="10"/>
        <rFont val="Arial"/>
      </rPr>
      <t xml:space="preserve">
</t>
    </r>
    <r>
      <rPr>
        <color rgb="FFFF0000"/>
        <family val="2"/>
        <sz val="10"/>
        <rFont val="Arial"/>
      </rPr>
      <t>*figurant dans l'onglet ETPT A-JUST</t>
    </r>
  </si>
  <si>
    <r>
      <rPr>
        <b/>
        <color rgb="FFFF0000"/>
        <family val="2"/>
        <sz val="10"/>
        <rFont val="Arial"/>
      </rPr>
      <t>12. TOTAL INDISPONIBILITÉ*</t>
    </r>
    <r>
      <rPr>
        <family val="2"/>
        <sz val="10"/>
        <rFont val="Arial"/>
      </rPr>
      <t xml:space="preserve">
</t>
    </r>
    <r>
      <rPr>
        <b/>
        <color rgb="FF0070C0"/>
        <family val="2"/>
        <sz val="10"/>
        <rFont val="Arial"/>
      </rPr>
      <t xml:space="preserve">(Pour Fonctions recodées = Fonctionnaire A-B-CBUR placé ADD  ou Fonctionnaire A-B-CBUR placé SUB)
</t>
    </r>
    <r>
      <rPr>
        <b/>
        <color rgb="FFFF0000"/>
        <family val="2"/>
        <sz val="10"/>
        <rFont val="Arial"/>
      </rPr>
      <t>Critère sur le TPRX</t>
    </r>
    <r>
      <rPr>
        <family val="2"/>
        <sz val="10"/>
        <rFont val="Arial"/>
      </rPr>
      <t xml:space="preserve">
</t>
    </r>
    <r>
      <rPr>
        <color rgb="FFFF0000"/>
        <family val="2"/>
        <sz val="10"/>
        <rFont val="Arial"/>
      </rPr>
      <t>*figurant dans l'onglet ETPT A-JUST</t>
    </r>
  </si>
  <si>
    <r>
      <t xml:space="preserve">11.7 Fonctionnaires affectés au CPH
</t>
    </r>
    <r>
      <rPr>
        <b/>
        <color rgb="FF0070C0"/>
        <family val="2"/>
        <sz val="7"/>
        <rFont val="Arial"/>
      </rPr>
      <t>(Pour Fonction recodée = Fonctionnaire A-B-CBUR)</t>
    </r>
    <r>
      <rPr>
        <color rgb="FF333333"/>
        <family val="2"/>
        <sz val="7"/>
        <rFont val="Arial"/>
      </rPr>
      <t xml:space="preserve">
</t>
    </r>
    <r>
      <rPr>
        <b/>
        <color rgb="FFFF0000"/>
        <family val="2"/>
        <sz val="7"/>
        <rFont val="Arial"/>
      </rPr>
      <t>Critère sur le TJ OU TPRX OU CPH</t>
    </r>
  </si>
  <si>
    <r>
      <rPr>
        <b/>
        <color rgb="FFFF0000"/>
        <family val="2"/>
        <sz val="7"/>
        <rFont val="Arial"/>
      </rPr>
      <t>11.7 Fonctionnaires affectés au CPH*</t>
    </r>
    <r>
      <rPr>
        <color rgb="FF333333"/>
        <family val="2"/>
        <sz val="7"/>
        <rFont val="Arial"/>
      </rPr>
      <t xml:space="preserve">
</t>
    </r>
    <r>
      <rPr>
        <b/>
        <color rgb="FFFF0000"/>
        <family val="2"/>
        <sz val="7"/>
        <rFont val="Arial"/>
      </rPr>
      <t xml:space="preserve">
</t>
    </r>
    <r>
      <rPr>
        <b/>
        <color rgb="FF0070C0"/>
        <family val="2"/>
        <sz val="7"/>
        <rFont val="Arial"/>
      </rPr>
      <t>(Pour fonction recodée =Fonctionnaire A-B-CBUR placé ADD)</t>
    </r>
    <r>
      <rPr>
        <color rgb="FF333333"/>
        <family val="2"/>
        <sz val="7"/>
        <rFont val="Arial"/>
      </rPr>
      <t xml:space="preserve">
</t>
    </r>
    <r>
      <rPr>
        <b/>
        <color rgb="FFFF0000"/>
        <family val="2"/>
        <sz val="7"/>
        <rFont val="Arial"/>
      </rPr>
      <t xml:space="preserve">Critère sur le TJ OU TPRX OU CPH
</t>
    </r>
    <r>
      <rPr>
        <color rgb="FFFF0000"/>
        <family val="2"/>
        <sz val="7"/>
        <rFont val="Arial"/>
      </rPr>
      <t>*figurant dans l'onglet ETPT A-JUST</t>
    </r>
  </si>
  <si>
    <r>
      <rPr>
        <b/>
        <color rgb="FFFF0000"/>
        <family val="2"/>
        <sz val="7"/>
        <rFont val="Arial"/>
      </rPr>
      <t>11.7 Fonctionnaires affectés au CPH*</t>
    </r>
    <r>
      <rPr>
        <color rgb="FF333333"/>
        <family val="2"/>
        <sz val="7"/>
        <rFont val="Arial"/>
      </rPr>
      <t xml:space="preserve">
</t>
    </r>
    <r>
      <rPr>
        <b/>
        <color rgb="FF0070C0"/>
        <family val="2"/>
        <sz val="7"/>
        <rFont val="Arial"/>
      </rPr>
      <t>(Pour fonction recodée =Fonctionnaire A-B-CBUR placé SUB)</t>
    </r>
    <r>
      <rPr>
        <b/>
        <color rgb="FFFF0000"/>
        <family val="2"/>
        <sz val="7"/>
        <rFont val="Arial"/>
      </rPr>
      <t xml:space="preserve">
</t>
    </r>
    <r>
      <rPr>
        <color rgb="FF333333"/>
        <family val="2"/>
        <sz val="7"/>
        <rFont val="Arial"/>
      </rPr>
      <t xml:space="preserve">
</t>
    </r>
    <r>
      <rPr>
        <b/>
        <color rgb="FFFF0000"/>
        <family val="2"/>
        <sz val="7"/>
        <rFont val="Arial"/>
      </rPr>
      <t xml:space="preserve">Critère sur le TJ OU TPRX OU CPH
</t>
    </r>
    <r>
      <rPr>
        <color rgb="FFFF0000"/>
        <family val="2"/>
        <sz val="7"/>
        <rFont val="Arial"/>
      </rPr>
      <t>*figurant dans l'onglet ETPT A-JUST</t>
    </r>
  </si>
  <si>
    <t>DÉCLARATION ETPT ATTACHES DE JUSTICE (JURISTES ASSISTANTS)</t>
  </si>
  <si>
    <t>ATT J</t>
  </si>
  <si>
    <t>CONT_A_JP_VIF_PARQUET</t>
  </si>
  <si>
    <t>ETPT de contractuels a j prox et a vif</t>
  </si>
  <si>
    <t>ETPT juristes assistants siège autres</t>
  </si>
  <si>
    <t>Attachés de justice siège affectés aux CCD</t>
  </si>
  <si>
    <t>ETPT attachés de justice au parquet</t>
  </si>
  <si>
    <t>Attachés de justice parquet affectés aux CCD</t>
  </si>
  <si>
    <t>ETPT de contractuels a j prox et a vif au parquet</t>
  </si>
  <si>
    <t>ETPT attachés de justice affectés aux jap</t>
  </si>
  <si>
    <t>ETPT attachés de justice affectés aux je</t>
  </si>
  <si>
    <t>ETPT attachés de justice affectés aux juge d'instruction</t>
  </si>
  <si>
    <t>ETPT attachés de justice affectés aux jld pénal</t>
  </si>
  <si>
    <r>
      <t xml:space="preserve">1. TOTAL CONTENTIEUX SOCIAL + 2. TOTAL CONTENTIEUX JAF + 3. TOTAL CONTENTIEUX DE LA PROTECTION + 4. TOTAL CIVIL NON SPÉCIALISÉ + 5. TOTAL JLD CIVIL + 6.1. ACTIVITÉ CIVILE +  11.7. FONCTIONNAIRES AFFECTÉS AU CPH
</t>
    </r>
    <r>
      <rPr>
        <b/>
        <color rgb="FF0070C0"/>
        <family val="2"/>
        <sz val="10"/>
        <rFont val="Arial"/>
      </rPr>
      <t xml:space="preserve">Fonction recodée = CONT A JP SIEGE + CONT A VIF SIEGE + CONT A JP PARQUET + CONT A VIF PARQUET
</t>
    </r>
    <r>
      <rPr>
        <color theme="1"/>
        <family val="2"/>
        <sz val="10"/>
        <rFont val="Arial"/>
      </rPr>
      <t xml:space="preserve">
</t>
    </r>
    <r>
      <rPr>
        <b/>
        <color rgb="FFFF0000"/>
        <family val="2"/>
        <sz val="10"/>
        <rFont val="Arial"/>
      </rPr>
      <t>Critère sur le TJ ou le TPROX ou le CPH</t>
    </r>
  </si>
  <si>
    <r>
      <t xml:space="preserve">1. TOTAL CONTENTIEUX SOCIAL + 2. TOTAL CONTENTIEUX JAF + 3. TOTAL CONTENTIEUX DE LA PROTECTION + 4. TOTAL CIVIL NON SPÉCIALISÉ + + 5. TOTAL JLD CIVIL + 11.7. FONCTIONNAIRES AFFECTÉS AU CPH
</t>
    </r>
    <r>
      <rPr>
        <b/>
        <color rgb="FF0070C0"/>
        <family val="2"/>
        <sz val="10"/>
        <rFont val="Arial"/>
      </rPr>
      <t>Fonction recodée = Att.J/JA PARQUET + Att.J/JA SIEGE AUTRES + Att.J/JA JAP + Att.J/JA JE + Att.J/JA JI + Att.J/AJ JLD PENAL + Att.J SIEGE ASSISES + Att.J SIEGE CCD</t>
    </r>
    <r>
      <rPr>
        <color theme="1"/>
        <family val="2"/>
        <sz val="10"/>
        <rFont val="Arial"/>
      </rPr>
      <t xml:space="preserve">
</t>
    </r>
    <r>
      <rPr>
        <b/>
        <color indexed="2"/>
        <family val="2"/>
        <sz val="10"/>
        <rFont val="Arial"/>
      </rPr>
      <t xml:space="preserve">
Critère sur le TJ ou le TPROX ou le CPH</t>
    </r>
  </si>
  <si>
    <r>
      <t xml:space="preserve">11.8. FONCTIONNAIRES AFFECTÉS AUX ACTIVITÉS CIVILES ET COMMERCIALES DU PARQUET
</t>
    </r>
    <r>
      <rPr>
        <b/>
        <color rgb="FF0070C0"/>
        <family val="2"/>
        <sz val="10"/>
        <rFont val="Arial"/>
      </rPr>
      <t xml:space="preserve">Fonction recodée = Att.J/JA PARQUET + Att.J/JA SIEGE AUTRES + Att.J/JA SOCIAL + Att.J/JA JAP + Att.J/JA JE + Att.J/JA JI + Att.J/AJ JLD </t>
    </r>
    <r>
      <rPr>
        <color theme="1"/>
        <family val="2"/>
        <sz val="10"/>
        <rFont val="Arial"/>
      </rPr>
      <t xml:space="preserve">
</t>
    </r>
    <r>
      <rPr>
        <b/>
        <color rgb="FFFF0000"/>
        <family val="2"/>
        <sz val="10"/>
        <rFont val="Arial"/>
      </rPr>
      <t xml:space="preserve">
Critère sur le TJ ou le TPROX ou le CPH</t>
    </r>
  </si>
  <si>
    <r>
      <t xml:space="preserve">11.8. FONCTIONNAIRES AFFECTÉS AUX ACTIVITÉS CIVILES ET COMMERCIALES DU PARQUET
</t>
    </r>
    <r>
      <rPr>
        <b/>
        <color rgb="FF0070C0"/>
        <family val="2"/>
        <sz val="10"/>
        <rFont val="Arial"/>
      </rPr>
      <t>Fonction recodée = CONT A JP SIEGE + CONT A VIF SIEGE + CONT A JP PARQUET + CONT A VIF PARQUET</t>
    </r>
    <r>
      <rPr>
        <color theme="1"/>
        <family val="2"/>
        <sz val="10"/>
        <rFont val="Arial"/>
      </rPr>
      <t xml:space="preserve">
</t>
    </r>
    <r>
      <rPr>
        <b/>
        <color rgb="FFFF0000"/>
        <family val="2"/>
        <sz val="10"/>
        <rFont val="Arial"/>
      </rPr>
      <t xml:space="preserve">
Critère sur le TJ ou le TPROX ou le CPH</t>
    </r>
  </si>
  <si>
    <r>
      <t xml:space="preserve">6.1. ACTIVITÉ CIVILE
</t>
    </r>
    <r>
      <rPr>
        <b/>
        <color rgb="FF0070C0"/>
        <family val="2"/>
        <sz val="10"/>
        <rFont val="Arial"/>
      </rPr>
      <t>Fonction recodée = Att.J/JA PARQUET + Att.J/JA SIEGE AUTRES + Att.J/JA SOCIAL + Att.J/JA JAP + Att.J/JA JE + Att.J/JA JI + Att.J/AJ JLD</t>
    </r>
    <r>
      <rPr>
        <color theme="1"/>
        <family val="2"/>
        <sz val="10"/>
        <rFont val="Arial"/>
      </rPr>
      <t xml:space="preserve">
</t>
    </r>
    <r>
      <rPr>
        <b/>
        <color rgb="FFFF0000"/>
        <family val="2"/>
        <sz val="10"/>
        <rFont val="Arial"/>
      </rPr>
      <t>Critère sur le TJ ou le TPROX ou le CPH</t>
    </r>
  </si>
  <si>
    <r>
      <t xml:space="preserve">6.2. ACTIVITÉ PÉNALE + 7. TOTAL SIÈGE PÉNAL + 8. TOTAL JUGES D'INSTRUCTION + 
9. TOTAL JAP + 10. TOTAL JLD PÉNAL 
</t>
    </r>
    <r>
      <rPr>
        <b/>
        <color rgb="FF0070C0"/>
        <family val="2"/>
        <sz val="10"/>
        <rFont val="Arial"/>
      </rPr>
      <t xml:space="preserve">
Fonction recodée = CONT A JP SIEGE + CONT A VIF SIEGE + CONT A JP PARQUET + CONT A VIF PARQUET
</t>
    </r>
    <r>
      <rPr>
        <color theme="1"/>
        <family val="2"/>
        <sz val="10"/>
        <rFont val="Arial"/>
      </rPr>
      <t xml:space="preserve">
</t>
    </r>
    <r>
      <rPr>
        <b/>
        <color rgb="FFFF0000"/>
        <family val="2"/>
        <sz val="10"/>
        <rFont val="Arial"/>
      </rPr>
      <t>Critère sur le TJ ou le TPROX ou le CPH</t>
    </r>
  </si>
  <si>
    <t xml:space="preserve">7. TOTAL SIÈGE PÉNAL
Fonction recodée = Att.J/JA PARQUET + Att.J/JA SIEGE AUTRES + Att.J/JA JAP + Att.J/JA JE + Att.J/JA JI + Att.J/AJ JLD PENAL + Att.J SIEGE ASSISES + Att.J SIEGE CCD
Critère sur le TJ ou le TPROX ou le CPH</t>
  </si>
  <si>
    <t xml:space="preserve">7.5. COUR D'ASSISES HORS JIRS +
7.51. COUR D'ASSISES JIRS
Fonction recodée = Att.J/JA PARQUET + Att.J/JA SIEGE AUTRES + Att.J/JA JAP + Att.J/JA JE + Att.J/JA JI + Att.J/AJ JLD PENAL + Att.J SIEGE ASSISES + Att.J SIEGE CCD
Critère sur le TJ ou le TPROX ou le CPH</t>
  </si>
  <si>
    <t xml:space="preserve">7.52 COUR CRIM
Fonction recodée = Att.J/JA PARQUET + Att.J/JA SIEGE AUTRES + Att.J/JA JAP + Att.J/JA JE + Att.J/JA JI + Att.J/AJ JLD PENAL + Att.J SIEGE ASSISES + Att.J SIEGE CCD
Critère sur le TJ ou le TPROX ou le CPH</t>
  </si>
  <si>
    <r>
      <t xml:space="preserve"> 11.9. FONCTIONNAIRES AFFECTÉS À L'EXÉCUTION DES PEINES + 11.10 AUTRES FONCTIONNAIRES AFFECTÉS AU PARQUET 
</t>
    </r>
    <r>
      <rPr>
        <b/>
        <color rgb="FF0070C0"/>
        <family val="2"/>
        <sz val="10"/>
        <rFont val="Arial"/>
      </rPr>
      <t>Fonction recodée = Att.J/JA PARQUET + Att.J/JA SIEGE AUTRES + Att.J/JA SOCIAL + Att.J/JA JAP + Att.J/JA JE + Att.J/JA JI + Att.J/AJ JLD</t>
    </r>
    <r>
      <rPr>
        <color theme="1"/>
        <family val="2"/>
        <sz val="10"/>
        <rFont val="Arial"/>
      </rPr>
      <t xml:space="preserve">
</t>
    </r>
    <r>
      <rPr>
        <b/>
        <color rgb="FFFF0000"/>
        <family val="2"/>
        <sz val="10"/>
        <rFont val="Arial"/>
      </rPr>
      <t>Critère sur le TJ ou le TPROX ou le CPH</t>
    </r>
  </si>
  <si>
    <r>
      <t xml:space="preserve">11.9. FONCTIONNAIRES AFFECTÉS À L'EXÉCUTION DES PEINES + 11.10 AUTRES FONCTIONNAIRES AFFECTÉS AU PARQUET 
</t>
    </r>
    <r>
      <rPr>
        <b/>
        <color rgb="FF0070C0"/>
        <family val="2"/>
        <sz val="10"/>
        <rFont val="Arial"/>
      </rPr>
      <t>Fonction recodée = CONT A JP SIEGE + CONT A VIF SIEGE + CONT A JP PARQUET + CONT A VIF PARQUET</t>
    </r>
    <r>
      <rPr>
        <color theme="1"/>
        <family val="2"/>
        <sz val="10"/>
        <rFont val="Arial"/>
      </rPr>
      <t xml:space="preserve">
</t>
    </r>
    <r>
      <rPr>
        <b/>
        <color rgb="FFFF0000"/>
        <family val="2"/>
        <sz val="10"/>
        <rFont val="Arial"/>
      </rPr>
      <t>Critère sur le TJ ou le TPROX ou le CPH</t>
    </r>
  </si>
  <si>
    <r>
      <t xml:space="preserve">9. TOTAL JAP
</t>
    </r>
    <r>
      <rPr>
        <b/>
        <color rgb="FF0070C0"/>
        <family val="2"/>
        <sz val="10"/>
        <rFont val="Arial"/>
      </rPr>
      <t>Fonction recodée = Att.J/JA PARQUET + Att.J/JA SIEGE AUTRES + Att.J/JA SOCIAL + Att.J/JA JAP + Att.J/JA JE + Att.J/JA JI + Att.J/AJ JLD</t>
    </r>
    <r>
      <rPr>
        <color theme="1"/>
        <family val="2"/>
        <sz val="10"/>
        <rFont val="Arial"/>
      </rPr>
      <t xml:space="preserve">
</t>
    </r>
    <r>
      <rPr>
        <b/>
        <color rgb="FFFF0000"/>
        <family val="2"/>
        <sz val="10"/>
        <rFont val="Arial"/>
      </rPr>
      <t>Critère sur le TJ ou le TPROX ou le CPH</t>
    </r>
  </si>
  <si>
    <r>
      <t xml:space="preserve">6.2. ACTIVITÉ PÉNALE
</t>
    </r>
    <r>
      <rPr>
        <b/>
        <color rgb="FF0070C0"/>
        <family val="2"/>
        <sz val="10"/>
        <rFont val="Arial"/>
      </rPr>
      <t xml:space="preserve">
Fonction recodée = Att.J/JA PARQUET + Att.J/JA SIEGE AUTRES + Att.J/JA SOCIAL + Att.J/JA JAP + Att.J/JA JE + Att.J/JA JI + Att.J/AJ JLD
</t>
    </r>
    <r>
      <rPr>
        <color theme="1"/>
        <family val="2"/>
        <sz val="10"/>
        <rFont val="Arial"/>
      </rPr>
      <t xml:space="preserve">
</t>
    </r>
    <r>
      <rPr>
        <b/>
        <color rgb="FFFF0000"/>
        <family val="2"/>
        <sz val="10"/>
        <rFont val="Arial"/>
      </rPr>
      <t>Critère sur le TJ ou le TPROX ou le CPH</t>
    </r>
  </si>
  <si>
    <r>
      <t xml:space="preserve"> 8. TOTAL JUGES D'INSTRUCTION
</t>
    </r>
    <r>
      <rPr>
        <b/>
        <color rgb="FF0070C0"/>
        <family val="2"/>
        <sz val="10"/>
        <rFont val="Arial"/>
      </rPr>
      <t>Fonction recodée = Att.J/JA PARQUET + Att.J/JA SIEGE AUTRES + Att.J/JA SOCIAL + Att.J/JA JAP + Att.J/JA JE + Att.J/JA JI + Att.J/AJ JLD</t>
    </r>
    <r>
      <rPr>
        <color theme="1"/>
        <family val="2"/>
        <sz val="10"/>
        <rFont val="Arial"/>
      </rPr>
      <t xml:space="preserve">
</t>
    </r>
    <r>
      <rPr>
        <b/>
        <color rgb="FFFF0000"/>
        <family val="2"/>
        <sz val="10"/>
        <rFont val="Arial"/>
      </rPr>
      <t>Critère sur le TJ ou le TPROX ou le CPH</t>
    </r>
  </si>
  <si>
    <r>
      <t xml:space="preserve">10. TOTAL JLD PÉNAL
</t>
    </r>
    <r>
      <rPr>
        <b/>
        <color rgb="FF0070C0"/>
        <family val="2"/>
        <sz val="10"/>
        <rFont val="Arial"/>
      </rPr>
      <t>Fonction recodée = Att.J/JA PARQUET + Att.J/JA SIEGE AUTRES + Att.J/JA SOCIAL + Att.J/JA JAP + Att.J/JA JE + Att.J/JA JI + Att.J/AJ JLD</t>
    </r>
    <r>
      <rPr>
        <color theme="1"/>
        <family val="2"/>
        <sz val="10"/>
        <rFont val="Arial"/>
      </rPr>
      <t xml:space="preserve">
</t>
    </r>
    <r>
      <rPr>
        <b/>
        <color rgb="FFFF0000"/>
        <family val="2"/>
        <sz val="10"/>
        <rFont val="Arial"/>
      </rPr>
      <t>Critère sur le TJ ou le TPROX ou le CPH</t>
    </r>
  </si>
  <si>
    <r>
      <t xml:space="preserve">11.51. ACCUEIL DU JUSTICIABLE (DONT SAUJ)
</t>
    </r>
    <r>
      <rPr>
        <b/>
        <color rgb="FF0070C0"/>
        <family val="2"/>
        <sz val="10"/>
        <rFont val="Arial"/>
      </rPr>
      <t>Fonction recodée = CONT A JP SIEGE + CONT A VIF SIEGE</t>
    </r>
    <r>
      <rPr>
        <b/>
        <color theme="1"/>
        <family val="2"/>
        <sz val="10"/>
        <rFont val="Arial"/>
      </rPr>
      <t xml:space="preserve">
</t>
    </r>
    <r>
      <rPr>
        <b/>
        <color rgb="FFFF0000"/>
        <family val="2"/>
        <sz val="10"/>
        <rFont val="Arial"/>
      </rPr>
      <t>Critère sur le TJ ou le TPROX ou le CPH</t>
    </r>
  </si>
  <si>
    <r>
      <t xml:space="preserve">11.51. ACCUEIL DU JUSTICIABLE (DONT SAUJ)
</t>
    </r>
    <r>
      <rPr>
        <b/>
        <color rgb="FF0070C0"/>
        <family val="2"/>
        <sz val="10"/>
        <rFont val="Arial"/>
      </rPr>
      <t xml:space="preserve">Fonction recodée = Att.J/JA SIEGE AUTRES </t>
    </r>
    <r>
      <rPr>
        <color theme="1"/>
        <family val="2"/>
        <sz val="10"/>
        <rFont val="Arial"/>
      </rPr>
      <t xml:space="preserve">
</t>
    </r>
    <r>
      <rPr>
        <b/>
        <color indexed="2"/>
        <family val="2"/>
        <sz val="10"/>
        <rFont val="Arial"/>
      </rPr>
      <t>Critère sur le TJ ou le TPROX ou le CPH</t>
    </r>
  </si>
  <si>
    <r>
      <t xml:space="preserve">11.51. ACCUEIL DU JUSTICIABLE (DONT SAUJ)
</t>
    </r>
    <r>
      <rPr>
        <b/>
        <color rgb="FF0070C0"/>
        <family val="2"/>
        <sz val="10"/>
        <rFont val="Arial"/>
      </rPr>
      <t>Fonction recodée = Att.J/JA SIEGE ASSISES</t>
    </r>
    <r>
      <rPr>
        <color theme="1"/>
        <family val="2"/>
        <sz val="10"/>
        <rFont val="Arial"/>
      </rPr>
      <t xml:space="preserve">
</t>
    </r>
    <r>
      <rPr>
        <b/>
        <color indexed="2"/>
        <family val="2"/>
        <sz val="10"/>
        <rFont val="Arial"/>
      </rPr>
      <t>Critère sur le TJ ou le TPROX ou le CPH</t>
    </r>
  </si>
  <si>
    <r>
      <t xml:space="preserve">11.51. ACCUEIL DU JUSTICIABLE (DONT SAUJ)
</t>
    </r>
    <r>
      <rPr>
        <b/>
        <color rgb="FF0070C0"/>
        <family val="2"/>
        <sz val="10"/>
        <rFont val="Arial"/>
      </rPr>
      <t>Fonction recodée = Att.J/JA SIEGE CCD</t>
    </r>
    <r>
      <rPr>
        <color theme="1"/>
        <family val="2"/>
        <sz val="10"/>
        <rFont val="Arial"/>
      </rPr>
      <t xml:space="preserve">
</t>
    </r>
    <r>
      <rPr>
        <b/>
        <color indexed="2"/>
        <family val="2"/>
        <sz val="10"/>
        <rFont val="Arial"/>
      </rPr>
      <t>Critère sur le TJ ou le TPROX ou le CPH</t>
    </r>
  </si>
  <si>
    <r>
      <t xml:space="preserve">11.51. ACCUEIL DU JUSTICIABLE (DONT SAUJ)
</t>
    </r>
    <r>
      <rPr>
        <b/>
        <color rgb="FF0070C0"/>
        <family val="2"/>
        <sz val="10"/>
        <rFont val="Arial"/>
      </rPr>
      <t>Fonction recodée = Att.J/JA PARQUET</t>
    </r>
    <r>
      <rPr>
        <color theme="1"/>
        <family val="2"/>
        <sz val="10"/>
        <rFont val="Arial"/>
      </rPr>
      <t xml:space="preserve">
</t>
    </r>
    <r>
      <rPr>
        <b/>
        <color rgb="FFFF0000"/>
        <family val="2"/>
        <sz val="10"/>
        <rFont val="Arial"/>
      </rPr>
      <t>Critère sur le TJ ou le TPROX ou le CPH</t>
    </r>
  </si>
  <si>
    <r>
      <t xml:space="preserve">11.51. ACCUEIL DU JUSTICIABLE (DONT SAUJ)
</t>
    </r>
    <r>
      <rPr>
        <b/>
        <color rgb="FF0070C0"/>
        <family val="2"/>
        <sz val="10"/>
        <rFont val="Arial"/>
      </rPr>
      <t>Fonction recodée = CONT A JP PARQUET + CONT A VIF PARQUET</t>
    </r>
    <r>
      <rPr>
        <b/>
        <color theme="1"/>
        <family val="2"/>
        <sz val="10"/>
        <rFont val="Arial"/>
      </rPr>
      <t xml:space="preserve">
</t>
    </r>
    <r>
      <rPr>
        <b/>
        <color rgb="FFFF0000"/>
        <family val="2"/>
        <sz val="10"/>
        <rFont val="Arial"/>
      </rPr>
      <t>Critère sur le TJ ou le TPROX ou le CPH</t>
    </r>
  </si>
  <si>
    <r>
      <t xml:space="preserve">11.51. ACCUEIL DU JUSTICIABLE (DONT SAUJ)
</t>
    </r>
    <r>
      <rPr>
        <b/>
        <color rgb="FF0070C0"/>
        <family val="2"/>
        <sz val="10"/>
        <rFont val="Arial"/>
      </rPr>
      <t>Fonction recodée = Att.J/JA JAP</t>
    </r>
    <r>
      <rPr>
        <color theme="1"/>
        <family val="2"/>
        <sz val="10"/>
        <rFont val="Arial"/>
      </rPr>
      <t xml:space="preserve">
</t>
    </r>
    <r>
      <rPr>
        <b/>
        <color rgb="FFFF0000"/>
        <family val="2"/>
        <sz val="10"/>
        <rFont val="Arial"/>
      </rPr>
      <t>Critère sur le TJ ou le TPROX ou le CPH</t>
    </r>
  </si>
  <si>
    <r>
      <t xml:space="preserve">11.51. ACCUEIL DU JUSTICIABLE (DONT SAUJ)
</t>
    </r>
    <r>
      <rPr>
        <b/>
        <color rgb="FF0070C0"/>
        <family val="2"/>
        <sz val="10"/>
        <rFont val="Arial"/>
      </rPr>
      <t>Fonction recodée = Att.J/JA JE</t>
    </r>
    <r>
      <rPr>
        <color theme="1"/>
        <family val="2"/>
        <sz val="10"/>
        <rFont val="Arial"/>
      </rPr>
      <t xml:space="preserve">
</t>
    </r>
    <r>
      <rPr>
        <b/>
        <color rgb="FFFF0000"/>
        <family val="2"/>
        <sz val="10"/>
        <rFont val="Arial"/>
      </rPr>
      <t>Critère sur le TJ ou le TPROX ou le CPH</t>
    </r>
  </si>
  <si>
    <r>
      <t xml:space="preserve">11.51. ACCUEIL DU JUSTICIABLE (DONT SAUJ)
</t>
    </r>
    <r>
      <rPr>
        <b/>
        <color rgb="FF0070C0"/>
        <family val="2"/>
        <sz val="10"/>
        <rFont val="Arial"/>
      </rPr>
      <t>Fonction recodée = Att.J/JA JI</t>
    </r>
    <r>
      <rPr>
        <color theme="1"/>
        <family val="2"/>
        <sz val="10"/>
        <rFont val="Arial"/>
      </rPr>
      <t xml:space="preserve">
</t>
    </r>
    <r>
      <rPr>
        <b/>
        <color rgb="FFFF0000"/>
        <family val="2"/>
        <sz val="10"/>
        <rFont val="Arial"/>
      </rPr>
      <t>Critère sur le TJ ou le TPROX ou le CPH</t>
    </r>
  </si>
  <si>
    <r>
      <t xml:space="preserve">11.51. ACCUEIL DU JUSTICIABLE (DONT SAUJ)
</t>
    </r>
    <r>
      <rPr>
        <b/>
        <color rgb="FF0070C0"/>
        <family val="2"/>
        <sz val="10"/>
        <rFont val="Arial"/>
      </rPr>
      <t>Fonction recodée = Att.J/JA JLD</t>
    </r>
    <r>
      <rPr>
        <color theme="1"/>
        <family val="2"/>
        <sz val="10"/>
        <rFont val="Arial"/>
      </rPr>
      <t xml:space="preserve">
</t>
    </r>
    <r>
      <rPr>
        <b/>
        <color rgb="FFFF0000"/>
        <family val="2"/>
        <sz val="10"/>
        <rFont val="Arial"/>
      </rPr>
      <t>Critère sur le TJ ou le TPROX ou le CPH</t>
    </r>
  </si>
  <si>
    <r>
      <t xml:space="preserve">11.1. SOUTIEN (HORS FORMATIONS SUIVIES) + 11.2. FORMATIONS SUIVIES + 11.6. AUTRES ACTIVITÉS NON JURIDICTIONNELLES
</t>
    </r>
    <r>
      <rPr>
        <b/>
        <color rgb="FF0070C0"/>
        <family val="2"/>
        <sz val="10"/>
        <rFont val="Arial"/>
      </rPr>
      <t xml:space="preserve">Fonction recodée = CONT A JP SIEGE + CONT A VIF SIEGE
</t>
    </r>
    <r>
      <rPr>
        <color theme="1"/>
        <family val="2"/>
        <sz val="10"/>
        <rFont val="Arial"/>
      </rPr>
      <t xml:space="preserve">
</t>
    </r>
    <r>
      <rPr>
        <b/>
        <color rgb="FFFF0000"/>
        <family val="2"/>
        <sz val="10"/>
        <rFont val="Arial"/>
      </rPr>
      <t>Critère sur le TJ ou le TPROX ou le CPH</t>
    </r>
  </si>
  <si>
    <r>
      <t xml:space="preserve">11.1. SOUTIEN (HORS FORMATIONS SUIVIES) + 11.2. FORMATIONS SUIVIES + 11.6. AUTRES ACTIVITÉS NON JURIDICTIONNELLES
</t>
    </r>
    <r>
      <rPr>
        <b/>
        <color rgb="FF0070C0"/>
        <family val="2"/>
        <sz val="10"/>
        <rFont val="Arial"/>
      </rPr>
      <t xml:space="preserve">Fonction recodée = Att.J/JA SIEGE AUTRES </t>
    </r>
    <r>
      <rPr>
        <color theme="1"/>
        <family val="2"/>
        <sz val="10"/>
        <rFont val="Arial"/>
      </rPr>
      <t xml:space="preserve">
</t>
    </r>
    <r>
      <rPr>
        <b/>
        <color indexed="2"/>
        <family val="2"/>
        <sz val="10"/>
        <rFont val="Arial"/>
      </rPr>
      <t>Critère sur le TJ ou le TPROX ou le CPH</t>
    </r>
  </si>
  <si>
    <r>
      <t xml:space="preserve">11.1. SOUTIEN (HORS FORMATIONS SUIVIES) + 11.2. FORMATIONS SUIVIES + 11.6. AUTRES ACTIVITÉS NON JURIDICTIONNELLES
</t>
    </r>
    <r>
      <rPr>
        <b/>
        <color rgb="FF0070C0"/>
        <family val="2"/>
        <sz val="10"/>
        <rFont val="Arial"/>
      </rPr>
      <t>Fonction recodée = Att.J/JA SIEGE ASSISES</t>
    </r>
    <r>
      <rPr>
        <color theme="1"/>
        <family val="2"/>
        <sz val="10"/>
        <rFont val="Arial"/>
      </rPr>
      <t xml:space="preserve">
</t>
    </r>
    <r>
      <rPr>
        <b/>
        <color indexed="2"/>
        <family val="2"/>
        <sz val="10"/>
        <rFont val="Arial"/>
      </rPr>
      <t>Critère sur le TJ ou le TPROX ou le CPH</t>
    </r>
  </si>
  <si>
    <r>
      <t xml:space="preserve">11.1. SOUTIEN (HORS FORMATIONS SUIVIES) + 11.2. FORMATIONS SUIVIES + 11.6. AUTRES ACTIVITÉS NON JURIDICTIONNELLES
</t>
    </r>
    <r>
      <rPr>
        <b/>
        <color rgb="FF0070C0"/>
        <family val="2"/>
        <sz val="10"/>
        <rFont val="Arial"/>
      </rPr>
      <t>Fonction recodée = Att.J/JA SIEGE CCD</t>
    </r>
    <r>
      <rPr>
        <color theme="1"/>
        <family val="2"/>
        <sz val="10"/>
        <rFont val="Arial"/>
      </rPr>
      <t xml:space="preserve">
</t>
    </r>
    <r>
      <rPr>
        <b/>
        <color indexed="2"/>
        <family val="2"/>
        <sz val="10"/>
        <rFont val="Arial"/>
      </rPr>
      <t>Critère sur le TJ ou le TPROX ou le CPH</t>
    </r>
  </si>
  <si>
    <r>
      <t xml:space="preserve">11.1. SOUTIEN (HORS FORMATIONS SUIVIES) + 11.2. FORMATIONS SUIVIES + 11.6. AUTRES ACTIVITÉS NON JURIDICTIONNELLES
</t>
    </r>
    <r>
      <rPr>
        <b/>
        <color rgb="FF0070C0"/>
        <family val="2"/>
        <sz val="10"/>
        <rFont val="Arial"/>
      </rPr>
      <t>Fonction recodée = Att.J/JA PARQUET</t>
    </r>
    <r>
      <rPr>
        <color theme="1"/>
        <family val="2"/>
        <sz val="10"/>
        <rFont val="Arial"/>
      </rPr>
      <t xml:space="preserve">
</t>
    </r>
    <r>
      <rPr>
        <b/>
        <color rgb="FFFF0000"/>
        <family val="2"/>
        <sz val="10"/>
        <rFont val="Arial"/>
      </rPr>
      <t>Critère sur le TJ ou le TPROX ou le CPH</t>
    </r>
  </si>
  <si>
    <r>
      <t xml:space="preserve">11.1. SOUTIEN (HORS FORMATIONS SUIVIES) + 11.2. FORMATIONS SUIVIES + 11.6. AUTRES ACTIVITÉS NON JURIDICTIONNELLES
</t>
    </r>
    <r>
      <rPr>
        <b/>
        <color rgb="FF0070C0"/>
        <family val="2"/>
        <sz val="10"/>
        <rFont val="Arial"/>
      </rPr>
      <t>Fonction recodée = CONT A JP PARQUET + CONT A VIF PARQUET</t>
    </r>
    <r>
      <rPr>
        <color theme="1"/>
        <family val="2"/>
        <sz val="10"/>
        <rFont val="Arial"/>
      </rPr>
      <t xml:space="preserve">
</t>
    </r>
    <r>
      <rPr>
        <b/>
        <color rgb="FFFF0000"/>
        <family val="2"/>
        <sz val="10"/>
        <rFont val="Arial"/>
      </rPr>
      <t>Critère sur le TJ ou le TPROX ou le CPH</t>
    </r>
  </si>
  <si>
    <r>
      <t xml:space="preserve">11.1. SOUTIEN (HORS FORMATIONS SUIVIES) + 11.2. FORMATIONS SUIVIES + 11.6. AUTRES ACTIVITÉS NON JURIDICTIONNELLES
</t>
    </r>
    <r>
      <rPr>
        <b/>
        <color rgb="FF0070C0"/>
        <family val="2"/>
        <sz val="10"/>
        <rFont val="Arial"/>
      </rPr>
      <t>Fonction recodée = Att.J/JA JAP</t>
    </r>
    <r>
      <rPr>
        <color theme="1"/>
        <family val="2"/>
        <sz val="10"/>
        <rFont val="Arial"/>
      </rPr>
      <t xml:space="preserve">
</t>
    </r>
    <r>
      <rPr>
        <b/>
        <color rgb="FFFF0000"/>
        <family val="2"/>
        <sz val="10"/>
        <rFont val="Arial"/>
      </rPr>
      <t>Critère sur le TJ ou le TPROX ou le CPH</t>
    </r>
  </si>
  <si>
    <r>
      <t xml:space="preserve">11.1. SOUTIEN (HORS FORMATIONS SUIVIES) + 11.2. FORMATIONS SUIVIES + 11.6. AUTRES ACTIVITÉS NON JURIDICTIONNELLES
</t>
    </r>
    <r>
      <rPr>
        <b/>
        <color rgb="FF0070C0"/>
        <family val="2"/>
        <sz val="10"/>
        <rFont val="Arial"/>
      </rPr>
      <t>Fonction recodée = Att.J/JA JE</t>
    </r>
    <r>
      <rPr>
        <color theme="1"/>
        <family val="2"/>
        <sz val="10"/>
        <rFont val="Arial"/>
      </rPr>
      <t xml:space="preserve">
</t>
    </r>
    <r>
      <rPr>
        <b/>
        <color rgb="FFFF0000"/>
        <family val="2"/>
        <sz val="10"/>
        <rFont val="Arial"/>
      </rPr>
      <t>Critère sur le TJ ou le TPROX ou le CPH</t>
    </r>
  </si>
  <si>
    <r>
      <t xml:space="preserve">11.1. SOUTIEN (HORS FORMATIONS SUIVIES) + 11.2. FORMATIONS SUIVIES + 11.6. AUTRES ACTIVITÉS NON JURIDICTIONNELLES
</t>
    </r>
    <r>
      <rPr>
        <b/>
        <color rgb="FF0070C0"/>
        <family val="2"/>
        <sz val="10"/>
        <rFont val="Arial"/>
      </rPr>
      <t>Fonction recodée = Att.J/JA JI</t>
    </r>
    <r>
      <rPr>
        <color theme="1"/>
        <family val="2"/>
        <sz val="10"/>
        <rFont val="Arial"/>
      </rPr>
      <t xml:space="preserve">
</t>
    </r>
    <r>
      <rPr>
        <b/>
        <color rgb="FFFF0000"/>
        <family val="2"/>
        <sz val="10"/>
        <rFont val="Arial"/>
      </rPr>
      <t>Critère sur le TJ ou le TPROX ou le CPH</t>
    </r>
  </si>
  <si>
    <r>
      <t xml:space="preserve">11.1. SOUTIEN (HORS FORMATIONS SUIVIES) + 11.2. FORMATIONS SUIVIES + 11.6. AUTRES ACTIVITÉS NON JURIDICTIONNELLES
</t>
    </r>
    <r>
      <rPr>
        <b/>
        <color rgb="FF0070C0"/>
        <family val="2"/>
        <sz val="10"/>
        <rFont val="Arial"/>
      </rPr>
      <t>Fonction recodée = Att.J/JA JLD</t>
    </r>
    <r>
      <rPr>
        <color theme="1"/>
        <family val="2"/>
        <sz val="10"/>
        <rFont val="Arial"/>
      </rPr>
      <t xml:space="preserve">
</t>
    </r>
    <r>
      <rPr>
        <b/>
        <color rgb="FFFF0000"/>
        <family val="2"/>
        <sz val="10"/>
        <rFont val="Arial"/>
      </rPr>
      <t>Critère sur le TJ ou le TPROX ou le CPH</t>
    </r>
  </si>
  <si>
    <r>
      <t xml:space="preserve">11.3. FORMATIONS DISPENSÉES
</t>
    </r>
    <r>
      <rPr>
        <b/>
        <color rgb="FF0070C0"/>
        <family val="2"/>
        <sz val="10"/>
        <rFont val="Arial"/>
      </rPr>
      <t xml:space="preserve">Fonction recodée = CONT A JP SIEGE + CONT A VIF SIEGE
</t>
    </r>
    <r>
      <rPr>
        <color theme="1"/>
        <family val="2"/>
        <sz val="10"/>
        <rFont val="Arial"/>
      </rPr>
      <t xml:space="preserve">
</t>
    </r>
    <r>
      <rPr>
        <b/>
        <color rgb="FFFF0000"/>
        <family val="2"/>
        <sz val="10"/>
        <rFont val="Arial"/>
      </rPr>
      <t>Critère sur le TJ ou le TPROX ou le CPH</t>
    </r>
  </si>
  <si>
    <r>
      <t xml:space="preserve">11.3. FORMATIONS DISPENSÉES
</t>
    </r>
    <r>
      <rPr>
        <b/>
        <color rgb="FF0070C0"/>
        <family val="2"/>
        <sz val="10"/>
        <rFont val="Arial"/>
      </rPr>
      <t xml:space="preserve">Fonction recodée = Att.J/JA SIEGE AUTRES </t>
    </r>
    <r>
      <rPr>
        <color theme="1"/>
        <family val="2"/>
        <sz val="10"/>
        <rFont val="Arial"/>
      </rPr>
      <t xml:space="preserve">
</t>
    </r>
    <r>
      <rPr>
        <b/>
        <color indexed="2"/>
        <family val="2"/>
        <sz val="10"/>
        <rFont val="Arial"/>
      </rPr>
      <t>Critère sur le TJ ou le TPROX ou le CPH</t>
    </r>
  </si>
  <si>
    <r>
      <t xml:space="preserve">11.3. FORMATIONS DISPENSÉES
</t>
    </r>
    <r>
      <rPr>
        <b/>
        <color rgb="FF0070C0"/>
        <family val="2"/>
        <sz val="10"/>
        <rFont val="Arial"/>
      </rPr>
      <t xml:space="preserve">Fonction recodée = Att.J/JA SIEGE ASSISES </t>
    </r>
    <r>
      <rPr>
        <color theme="1"/>
        <family val="2"/>
        <sz val="10"/>
        <rFont val="Arial"/>
      </rPr>
      <t xml:space="preserve">
</t>
    </r>
    <r>
      <rPr>
        <b/>
        <color indexed="2"/>
        <family val="2"/>
        <sz val="10"/>
        <rFont val="Arial"/>
      </rPr>
      <t>Critère sur le TJ ou le TPROX ou le CPH</t>
    </r>
  </si>
  <si>
    <r>
      <t xml:space="preserve">11.3. FORMATIONS DISPENSÉES
</t>
    </r>
    <r>
      <rPr>
        <b/>
        <color rgb="FF0070C0"/>
        <family val="2"/>
        <sz val="10"/>
        <rFont val="Arial"/>
      </rPr>
      <t>Fonction recodée = Att.J/JA SIEGE CCD</t>
    </r>
    <r>
      <rPr>
        <color theme="1"/>
        <family val="2"/>
        <sz val="10"/>
        <rFont val="Arial"/>
      </rPr>
      <t xml:space="preserve">
</t>
    </r>
    <r>
      <rPr>
        <b/>
        <color indexed="2"/>
        <family val="2"/>
        <sz val="10"/>
        <rFont val="Arial"/>
      </rPr>
      <t>Critère sur le TJ ou le TPROX ou le CPH</t>
    </r>
  </si>
  <si>
    <r>
      <t xml:space="preserve">11.3. FORMATIONS DISPENSÉES
</t>
    </r>
    <r>
      <rPr>
        <b/>
        <color rgb="FF0070C0"/>
        <family val="2"/>
        <sz val="10"/>
        <rFont val="Arial"/>
      </rPr>
      <t>Fonction recodée = Att.J/JA PARQUET</t>
    </r>
    <r>
      <rPr>
        <color theme="1"/>
        <family val="2"/>
        <sz val="10"/>
        <rFont val="Arial"/>
      </rPr>
      <t xml:space="preserve">
</t>
    </r>
    <r>
      <rPr>
        <b/>
        <color rgb="FFFF0000"/>
        <family val="2"/>
        <sz val="10"/>
        <rFont val="Arial"/>
      </rPr>
      <t>Critère sur le TJ ou le TPROX ou le CPH</t>
    </r>
  </si>
  <si>
    <r>
      <t xml:space="preserve">11.3. FORMATIONS DISPENSÉES
</t>
    </r>
    <r>
      <rPr>
        <b/>
        <color rgb="FF0070C0"/>
        <family val="2"/>
        <sz val="10"/>
        <rFont val="Arial"/>
      </rPr>
      <t>Fonction recodée = CONT A JP PARQUET + CONT A VIF PARQUET</t>
    </r>
    <r>
      <rPr>
        <color theme="1"/>
        <family val="2"/>
        <sz val="10"/>
        <rFont val="Arial"/>
      </rPr>
      <t xml:space="preserve">
</t>
    </r>
    <r>
      <rPr>
        <b/>
        <color rgb="FFFF0000"/>
        <family val="2"/>
        <sz val="10"/>
        <rFont val="Arial"/>
      </rPr>
      <t>Critère sur le TJ ou le TPROX ou le CPH</t>
    </r>
  </si>
  <si>
    <r>
      <t xml:space="preserve">11.3. FORMATIONS DISPENSÉES
</t>
    </r>
    <r>
      <rPr>
        <b/>
        <color rgb="FF0070C0"/>
        <family val="2"/>
        <sz val="10"/>
        <rFont val="Arial"/>
      </rPr>
      <t>Fonction recodée = Att.J/JA JAP</t>
    </r>
    <r>
      <rPr>
        <color theme="1"/>
        <family val="2"/>
        <sz val="10"/>
        <rFont val="Arial"/>
      </rPr>
      <t xml:space="preserve">
</t>
    </r>
    <r>
      <rPr>
        <b/>
        <color rgb="FFFF0000"/>
        <family val="2"/>
        <sz val="10"/>
        <rFont val="Arial"/>
      </rPr>
      <t>Critère sur le TJ ou le TPROX ou le CPH</t>
    </r>
  </si>
  <si>
    <r>
      <t xml:space="preserve">11.3. FORMATIONS DISPENSÉES
</t>
    </r>
    <r>
      <rPr>
        <b/>
        <color rgb="FF0070C0"/>
        <family val="2"/>
        <sz val="10"/>
        <rFont val="Arial"/>
      </rPr>
      <t>Fonction recodée = Att.J/JA JE</t>
    </r>
    <r>
      <rPr>
        <color theme="1"/>
        <family val="2"/>
        <sz val="10"/>
        <rFont val="Arial"/>
      </rPr>
      <t xml:space="preserve">
</t>
    </r>
    <r>
      <rPr>
        <b/>
        <color rgb="FFFF0000"/>
        <family val="2"/>
        <sz val="10"/>
        <rFont val="Arial"/>
      </rPr>
      <t>Critère sur le TJ ou le TPROX ou le CPH</t>
    </r>
  </si>
  <si>
    <r>
      <t xml:space="preserve">11.3. FORMATIONS DISPENSÉES
</t>
    </r>
    <r>
      <rPr>
        <b/>
        <color rgb="FF0070C0"/>
        <family val="2"/>
        <sz val="10"/>
        <rFont val="Arial"/>
      </rPr>
      <t>Fonction recodée = Att.J/JA JI</t>
    </r>
    <r>
      <rPr>
        <color theme="1"/>
        <family val="2"/>
        <sz val="10"/>
        <rFont val="Arial"/>
      </rPr>
      <t xml:space="preserve">
</t>
    </r>
    <r>
      <rPr>
        <b/>
        <color rgb="FFFF0000"/>
        <family val="2"/>
        <sz val="10"/>
        <rFont val="Arial"/>
      </rPr>
      <t>Critère sur le TJ ou le TPROX ou le CPH</t>
    </r>
  </si>
  <si>
    <r>
      <t xml:space="preserve">11.3. FORMATIONS DISPENSÉES
</t>
    </r>
    <r>
      <rPr>
        <b/>
        <color rgb="FF0070C0"/>
        <family val="2"/>
        <sz val="10"/>
        <rFont val="Arial"/>
      </rPr>
      <t>Fonction recodée = Att.J/JA JLD</t>
    </r>
    <r>
      <rPr>
        <color theme="1"/>
        <family val="2"/>
        <sz val="10"/>
        <rFont val="Arial"/>
      </rPr>
      <t xml:space="preserve">
</t>
    </r>
    <r>
      <rPr>
        <b/>
        <color rgb="FFFF0000"/>
        <family val="2"/>
        <sz val="10"/>
        <rFont val="Arial"/>
      </rPr>
      <t>Critère sur le TJ ou le TPROX ou le CPH</t>
    </r>
  </si>
  <si>
    <r>
      <t xml:space="preserve">11.4. ACCÈS AU DROIT ET À LA JUSTICE
</t>
    </r>
    <r>
      <rPr>
        <b/>
        <color rgb="FF0070C0"/>
        <family val="2"/>
        <sz val="10"/>
        <rFont val="Arial"/>
      </rPr>
      <t>Fonction recodée = CONT A JP SIEGE + CONT A VIF SIEGE</t>
    </r>
    <r>
      <rPr>
        <color theme="1"/>
        <family val="2"/>
        <sz val="10"/>
        <rFont val="Arial"/>
      </rPr>
      <t xml:space="preserve">
</t>
    </r>
    <r>
      <rPr>
        <b/>
        <color rgb="FFFF0000"/>
        <family val="2"/>
        <sz val="10"/>
        <rFont val="Arial"/>
      </rPr>
      <t>Critère sur le TJ ou le TPROX ou le CPH</t>
    </r>
  </si>
  <si>
    <r>
      <t xml:space="preserve">11.4. ACCÈS AU DROIT ET À LA JUSTICE
</t>
    </r>
    <r>
      <rPr>
        <b/>
        <color rgb="FF0070C0"/>
        <family val="2"/>
        <sz val="10"/>
        <rFont val="Arial"/>
      </rPr>
      <t xml:space="preserve">Fonction recodée = Att.J/JA SIEGE AUTRES </t>
    </r>
    <r>
      <rPr>
        <color theme="1"/>
        <family val="2"/>
        <sz val="10"/>
        <rFont val="Arial"/>
      </rPr>
      <t xml:space="preserve">
</t>
    </r>
    <r>
      <rPr>
        <b/>
        <color indexed="2"/>
        <family val="2"/>
        <sz val="10"/>
        <rFont val="Arial"/>
      </rPr>
      <t>Critère sur le TJ ou le TPROX ou le CPH</t>
    </r>
  </si>
  <si>
    <r>
      <t xml:space="preserve">11.4. ACCÈS AU DROIT ET À LA JUSTICE
</t>
    </r>
    <r>
      <rPr>
        <b/>
        <color rgb="FF0070C0"/>
        <family val="2"/>
        <sz val="10"/>
        <rFont val="Arial"/>
      </rPr>
      <t>Fonction recodée = Att.J/JA SIEGE ASSISES</t>
    </r>
    <r>
      <rPr>
        <color theme="1"/>
        <family val="2"/>
        <sz val="10"/>
        <rFont val="Arial"/>
      </rPr>
      <t xml:space="preserve">
</t>
    </r>
    <r>
      <rPr>
        <b/>
        <color indexed="2"/>
        <family val="2"/>
        <sz val="10"/>
        <rFont val="Arial"/>
      </rPr>
      <t>Critère sur le TJ ou le TPROX ou le CPH</t>
    </r>
  </si>
  <si>
    <r>
      <t xml:space="preserve">11.4. ACCÈS AU DROIT ET À LA JUSTICE
</t>
    </r>
    <r>
      <rPr>
        <b/>
        <color rgb="FF0070C0"/>
        <family val="2"/>
        <sz val="10"/>
        <rFont val="Arial"/>
      </rPr>
      <t xml:space="preserve">Fonction recodée = Att.J/JA SIEGE CCD
</t>
    </r>
    <r>
      <rPr>
        <b/>
        <color indexed="2"/>
        <family val="2"/>
        <sz val="10"/>
        <rFont val="Arial"/>
      </rPr>
      <t>Critère sur le TJ ou le TPROX ou le CPH</t>
    </r>
  </si>
  <si>
    <r>
      <t xml:space="preserve">11.4. ACCÈS AU DROIT ET À LA JUSTICE
</t>
    </r>
    <r>
      <rPr>
        <b/>
        <color rgb="FF0070C0"/>
        <family val="2"/>
        <sz val="10"/>
        <rFont val="Arial"/>
      </rPr>
      <t>Fonction recodée = Att.J/JA PARQUET</t>
    </r>
    <r>
      <rPr>
        <color theme="1"/>
        <family val="2"/>
        <sz val="10"/>
        <rFont val="Arial"/>
      </rPr>
      <t xml:space="preserve">
</t>
    </r>
    <r>
      <rPr>
        <b/>
        <color rgb="FFFF0000"/>
        <family val="2"/>
        <sz val="10"/>
        <rFont val="Arial"/>
      </rPr>
      <t>Critère sur le TJ ou le TPROX ou le CPH</t>
    </r>
  </si>
  <si>
    <r>
      <t xml:space="preserve">11.4. ACCÈS AU DROIT ET À LA JUSTICE
</t>
    </r>
    <r>
      <rPr>
        <b/>
        <color rgb="FF0070C0"/>
        <family val="2"/>
        <sz val="10"/>
        <rFont val="Arial"/>
      </rPr>
      <t>Fonction recodée = CONT A JP PARQUET + CONT A VIF PARQUET</t>
    </r>
    <r>
      <rPr>
        <color theme="1"/>
        <family val="2"/>
        <sz val="10"/>
        <rFont val="Arial"/>
      </rPr>
      <t xml:space="preserve">
</t>
    </r>
    <r>
      <rPr>
        <b/>
        <color rgb="FFFF0000"/>
        <family val="2"/>
        <sz val="10"/>
        <rFont val="Arial"/>
      </rPr>
      <t>Critère sur le TJ ou le TPROX ou le CPH</t>
    </r>
  </si>
  <si>
    <r>
      <t xml:space="preserve">11.4. ACCÈS AU DROIT ET À LA JUSTICE
</t>
    </r>
    <r>
      <rPr>
        <b/>
        <color rgb="FF0070C0"/>
        <family val="2"/>
        <sz val="10"/>
        <rFont val="Arial"/>
      </rPr>
      <t>Fonction recodée = Att.J/JA JAP</t>
    </r>
    <r>
      <rPr>
        <color theme="1"/>
        <family val="2"/>
        <sz val="10"/>
        <rFont val="Arial"/>
      </rPr>
      <t xml:space="preserve">
</t>
    </r>
    <r>
      <rPr>
        <b/>
        <color rgb="FFFF0000"/>
        <family val="2"/>
        <sz val="10"/>
        <rFont val="Arial"/>
      </rPr>
      <t>Critère sur le TJ ou le TPROX ou le CPH</t>
    </r>
  </si>
  <si>
    <r>
      <t xml:space="preserve">11.4. ACCÈS AU DROIT ET À LA JUSTICE
</t>
    </r>
    <r>
      <rPr>
        <b/>
        <color rgb="FF0070C0"/>
        <family val="2"/>
        <sz val="10"/>
        <rFont val="Arial"/>
      </rPr>
      <t>Fonction recodée = Att.J/JA JE</t>
    </r>
    <r>
      <rPr>
        <color theme="1"/>
        <family val="2"/>
        <sz val="10"/>
        <rFont val="Arial"/>
      </rPr>
      <t xml:space="preserve">
</t>
    </r>
    <r>
      <rPr>
        <b/>
        <color rgb="FFFF0000"/>
        <family val="2"/>
        <sz val="10"/>
        <rFont val="Arial"/>
      </rPr>
      <t>Critère sur le TJ ou le TPROX ou le CPH</t>
    </r>
  </si>
  <si>
    <r>
      <t xml:space="preserve">11.4. ACCÈS AU DROIT ET À LA JUSTICE
</t>
    </r>
    <r>
      <rPr>
        <b/>
        <color rgb="FF0070C0"/>
        <family val="2"/>
        <sz val="10"/>
        <rFont val="Arial"/>
      </rPr>
      <t>Fonction recodée = Att.J/JA JI</t>
    </r>
    <r>
      <rPr>
        <color theme="1"/>
        <family val="2"/>
        <sz val="10"/>
        <rFont val="Arial"/>
      </rPr>
      <t xml:space="preserve">
</t>
    </r>
    <r>
      <rPr>
        <b/>
        <color rgb="FFFF0000"/>
        <family val="2"/>
        <sz val="10"/>
        <rFont val="Arial"/>
      </rPr>
      <t>Critère sur le TJ ou le TPROX ou le CPH</t>
    </r>
  </si>
  <si>
    <r>
      <t xml:space="preserve">11.4. ACCÈS AU DROIT ET À LA JUSTICE
</t>
    </r>
    <r>
      <rPr>
        <b/>
        <color rgb="FF0070C0"/>
        <family val="2"/>
        <sz val="10"/>
        <rFont val="Arial"/>
      </rPr>
      <t>Fonction recodée = Att.J/JA JLD</t>
    </r>
    <r>
      <rPr>
        <color theme="1"/>
        <family val="2"/>
        <sz val="10"/>
        <rFont val="Arial"/>
      </rPr>
      <t xml:space="preserve">
</t>
    </r>
    <r>
      <rPr>
        <b/>
        <color rgb="FFFF0000"/>
        <family val="2"/>
        <sz val="10"/>
        <rFont val="Arial"/>
      </rPr>
      <t>Critère sur le TJ ou le TPROX ou le CPH</t>
    </r>
  </si>
  <si>
    <r>
      <t xml:space="preserve">12. TOTAL des INDISPONIBILITÉS relevant de l'action 99 - 12.5. MISE À DISPOSITION
</t>
    </r>
    <r>
      <rPr>
        <b/>
        <color rgb="FF0070C0"/>
        <family val="2"/>
        <sz val="10"/>
        <rFont val="Arial"/>
      </rPr>
      <t>Fonction recodée = CONT A JP SIEGE + CONT A VIF SIEGE</t>
    </r>
    <r>
      <rPr>
        <color theme="1"/>
        <family val="2"/>
        <sz val="10"/>
        <rFont val="Arial"/>
      </rPr>
      <t xml:space="preserve">
</t>
    </r>
    <r>
      <rPr>
        <b/>
        <color rgb="FFFF0000"/>
        <family val="2"/>
        <sz val="10"/>
        <rFont val="Arial"/>
      </rPr>
      <t>Critère sur le TJ ou le TPROX ou le CPH</t>
    </r>
  </si>
  <si>
    <r>
      <t xml:space="preserve">12. TOTAL des INDISPONIBILITÉS relevant de l'action 99 - 12.5. MISE À DISPOSITION
</t>
    </r>
    <r>
      <rPr>
        <b/>
        <color rgb="FF0070C0"/>
        <family val="2"/>
        <sz val="10"/>
        <rFont val="Arial"/>
      </rPr>
      <t xml:space="preserve">Fonction recodée = Att.J/JA SIEGE AUTRES </t>
    </r>
    <r>
      <rPr>
        <color theme="1"/>
        <family val="2"/>
        <sz val="10"/>
        <rFont val="Arial"/>
      </rPr>
      <t xml:space="preserve">
</t>
    </r>
    <r>
      <rPr>
        <b/>
        <color indexed="2"/>
        <family val="2"/>
        <sz val="10"/>
        <rFont val="Arial"/>
      </rPr>
      <t>Critère sur le TJ ou le TPROX ou le CPH</t>
    </r>
  </si>
  <si>
    <r>
      <t xml:space="preserve">12. TOTAL des INDISPONIBILITÉS relevant de l'action 99 - 12.5. MISE À DISPOSITION
</t>
    </r>
    <r>
      <rPr>
        <b/>
        <color rgb="FF0070C0"/>
        <family val="2"/>
        <sz val="10"/>
        <rFont val="Arial"/>
      </rPr>
      <t>Fonction recodée = Att.J/JA SIEGE ASSISES</t>
    </r>
    <r>
      <rPr>
        <color theme="1"/>
        <family val="2"/>
        <sz val="10"/>
        <rFont val="Arial"/>
      </rPr>
      <t xml:space="preserve">
</t>
    </r>
    <r>
      <rPr>
        <b/>
        <color indexed="2"/>
        <family val="2"/>
        <sz val="10"/>
        <rFont val="Arial"/>
      </rPr>
      <t>Critère sur le TJ ou le TPROX ou le CPH</t>
    </r>
  </si>
  <si>
    <r>
      <t xml:space="preserve">12. TOTAL des INDISPONIBILITÉS relevant de l'action 99 - 12.5. MISE À DISPOSITION
</t>
    </r>
    <r>
      <rPr>
        <b/>
        <color rgb="FF0070C0"/>
        <family val="2"/>
        <sz val="10"/>
        <rFont val="Arial"/>
      </rPr>
      <t>Fonction recodée = Att.J/JA SIEGE CCD</t>
    </r>
    <r>
      <rPr>
        <color theme="1"/>
        <family val="2"/>
        <sz val="10"/>
        <rFont val="Arial"/>
      </rPr>
      <t xml:space="preserve">
</t>
    </r>
    <r>
      <rPr>
        <b/>
        <color indexed="2"/>
        <family val="2"/>
        <sz val="10"/>
        <rFont val="Arial"/>
      </rPr>
      <t>Critère sur le TJ ou le TPROX ou le CPH</t>
    </r>
  </si>
  <si>
    <r>
      <t xml:space="preserve">12. TOTAL des INDISPONIBILITÉS relevant de l'action 99 - 12.5. MISE À DISPOSITION
</t>
    </r>
    <r>
      <rPr>
        <b/>
        <color rgb="FF0070C0"/>
        <family val="2"/>
        <sz val="10"/>
        <rFont val="Arial"/>
      </rPr>
      <t>Fonction recodée = Att.J/JA PARQUET</t>
    </r>
    <r>
      <rPr>
        <color theme="1"/>
        <family val="2"/>
        <sz val="10"/>
        <rFont val="Arial"/>
      </rPr>
      <t xml:space="preserve">
</t>
    </r>
    <r>
      <rPr>
        <b/>
        <color rgb="FFFF0000"/>
        <family val="2"/>
        <sz val="10"/>
        <rFont val="Arial"/>
      </rPr>
      <t>Critère sur le TJ ou le TPROX ou le CPH</t>
    </r>
  </si>
  <si>
    <r>
      <t xml:space="preserve">12. TOTAL des INDISPONIBILITÉS relevant de l'action 99 - 12.5. MISE À DISPOSITION
</t>
    </r>
    <r>
      <rPr>
        <b/>
        <color rgb="FF0070C0"/>
        <family val="2"/>
        <sz val="10"/>
        <rFont val="Arial"/>
      </rPr>
      <t>Fonction recodée = CONT A JP PARQUET + CONT A VIF PARQUET</t>
    </r>
    <r>
      <rPr>
        <color theme="1"/>
        <family val="2"/>
        <sz val="10"/>
        <rFont val="Arial"/>
      </rPr>
      <t xml:space="preserve">
</t>
    </r>
    <r>
      <rPr>
        <b/>
        <color rgb="FFFF0000"/>
        <family val="2"/>
        <sz val="10"/>
        <rFont val="Arial"/>
      </rPr>
      <t>Critère sur le TJ ou le TPROX ou le CPH</t>
    </r>
  </si>
  <si>
    <r>
      <t xml:space="preserve">12. TOTAL des INDISPONIBILITÉS relevant de l'action 99 - 12.5. MISE À DISPOSITION
</t>
    </r>
    <r>
      <rPr>
        <b/>
        <color rgb="FF0070C0"/>
        <family val="2"/>
        <sz val="10"/>
        <rFont val="Arial"/>
      </rPr>
      <t>Fonction recodée = Att.J/JA JAP</t>
    </r>
    <r>
      <rPr>
        <color theme="1"/>
        <family val="2"/>
        <sz val="10"/>
        <rFont val="Arial"/>
      </rPr>
      <t xml:space="preserve">
</t>
    </r>
    <r>
      <rPr>
        <b/>
        <color rgb="FFFF0000"/>
        <family val="2"/>
        <sz val="10"/>
        <rFont val="Arial"/>
      </rPr>
      <t>Critère sur le TJ ou le TPROX ou le CPH</t>
    </r>
  </si>
  <si>
    <r>
      <t xml:space="preserve">12. TOTAL des INDISPONIBILITÉS relevant de l'action 99 - 12.5. MISE À DISPOSITION
</t>
    </r>
    <r>
      <rPr>
        <b/>
        <color rgb="FF0070C0"/>
        <family val="2"/>
        <sz val="10"/>
        <rFont val="Arial"/>
      </rPr>
      <t>Fonction recodée = Att.J/JA JE</t>
    </r>
    <r>
      <rPr>
        <color theme="1"/>
        <family val="2"/>
        <sz val="10"/>
        <rFont val="Arial"/>
      </rPr>
      <t xml:space="preserve">
</t>
    </r>
    <r>
      <rPr>
        <b/>
        <color rgb="FFFF0000"/>
        <family val="2"/>
        <sz val="10"/>
        <rFont val="Arial"/>
      </rPr>
      <t>Critère sur le TJ ou le TPROX ou le CPH</t>
    </r>
  </si>
  <si>
    <r>
      <t xml:space="preserve">12. TOTAL des INDISPONIBILITÉS relevant de l'action 99 - 12.5. MISE À DISPOSITION
</t>
    </r>
    <r>
      <rPr>
        <b/>
        <color rgb="FF0070C0"/>
        <family val="2"/>
        <sz val="10"/>
        <rFont val="Arial"/>
      </rPr>
      <t>Fonction recodée = Att.J/JA JI</t>
    </r>
    <r>
      <rPr>
        <color theme="1"/>
        <family val="2"/>
        <sz val="10"/>
        <rFont val="Arial"/>
      </rPr>
      <t xml:space="preserve">
</t>
    </r>
    <r>
      <rPr>
        <b/>
        <color rgb="FFFF0000"/>
        <family val="2"/>
        <sz val="10"/>
        <rFont val="Arial"/>
      </rPr>
      <t>Critère sur le TJ ou le TPROX ou le CPH</t>
    </r>
  </si>
  <si>
    <r>
      <t xml:space="preserve">12. TOTAL des INDISPONIBILITÉS relevant de l'action 99 - 12.5. MISE À DISPOSITION
</t>
    </r>
    <r>
      <rPr>
        <b/>
        <color rgb="FF0070C0"/>
        <family val="2"/>
        <sz val="10"/>
        <rFont val="Arial"/>
      </rPr>
      <t>Fonction recodée = Att.J/JA JLD</t>
    </r>
    <r>
      <rPr>
        <color theme="1"/>
        <family val="2"/>
        <sz val="10"/>
        <rFont val="Arial"/>
      </rPr>
      <t xml:space="preserve">
</t>
    </r>
    <r>
      <rPr>
        <b/>
        <color rgb="FFFF0000"/>
        <family val="2"/>
        <sz val="10"/>
        <rFont val="Arial"/>
      </rPr>
      <t>Critère sur le TJ ou le TPROX ou le CPH</t>
    </r>
  </si>
  <si>
    <r>
      <t xml:space="preserve">12.5. MISE À DISPOSITION + 13. TOTAL CONTENTIEUX LOCAUX SPÉCIFIQUES
</t>
    </r>
    <r>
      <rPr>
        <b/>
        <color rgb="FF0070C0"/>
        <family val="2"/>
        <sz val="10"/>
        <rFont val="Arial"/>
      </rPr>
      <t>Fonction recodée = CONT A JP SIEGE + CONT A VIF SIEGE</t>
    </r>
    <r>
      <rPr>
        <color theme="1"/>
        <family val="2"/>
        <sz val="10"/>
        <rFont val="Arial"/>
      </rPr>
      <t xml:space="preserve">
</t>
    </r>
    <r>
      <rPr>
        <b/>
        <color rgb="FFFF0000"/>
        <family val="2"/>
        <sz val="10"/>
        <rFont val="Arial"/>
      </rPr>
      <t>Critère sur le TJ ou le TPROX ou le CPH</t>
    </r>
  </si>
  <si>
    <r>
      <t xml:space="preserve">12.5. MISE À DISPOSITION + 13. TOTAL CONTENTIEUX LOCAUX SPÉCIFIQUES
</t>
    </r>
    <r>
      <rPr>
        <b/>
        <color rgb="FF0070C0"/>
        <family val="2"/>
        <sz val="10"/>
        <rFont val="Arial"/>
      </rPr>
      <t xml:space="preserve">Fonction recodée = Att.J/JA SIEGE AUTRES </t>
    </r>
    <r>
      <rPr>
        <color theme="1"/>
        <family val="2"/>
        <sz val="10"/>
        <rFont val="Arial"/>
      </rPr>
      <t xml:space="preserve">
</t>
    </r>
    <r>
      <rPr>
        <b/>
        <color indexed="2"/>
        <family val="2"/>
        <sz val="10"/>
        <rFont val="Arial"/>
      </rPr>
      <t>Critère sur le TJ ou le TPROX ou le CPH</t>
    </r>
  </si>
  <si>
    <r>
      <t xml:space="preserve">12.5. MISE À DISPOSITION + 13. TOTAL CONTENTIEUX LOCAUX SPÉCIFIQUES
</t>
    </r>
    <r>
      <rPr>
        <b/>
        <color rgb="FF0070C0"/>
        <family val="2"/>
        <sz val="10"/>
        <rFont val="Arial"/>
      </rPr>
      <t>Fonction recodée = Att.J/JA SIEGE ASSISES</t>
    </r>
    <r>
      <rPr>
        <color theme="1"/>
        <family val="2"/>
        <sz val="10"/>
        <rFont val="Arial"/>
      </rPr>
      <t xml:space="preserve">
</t>
    </r>
    <r>
      <rPr>
        <b/>
        <color indexed="2"/>
        <family val="2"/>
        <sz val="10"/>
        <rFont val="Arial"/>
      </rPr>
      <t>Critère sur le TJ ou le TPROX ou le CPH</t>
    </r>
  </si>
  <si>
    <r>
      <t xml:space="preserve">12.5. MISE À DISPOSITION + 13. TOTAL CONTENTIEUX LOCAUX SPÉCIFIQUES
</t>
    </r>
    <r>
      <rPr>
        <b/>
        <color rgb="FF0070C0"/>
        <family val="2"/>
        <sz val="10"/>
        <rFont val="Arial"/>
      </rPr>
      <t>Fonction recodée = Att.J/JA SIEGE CCD</t>
    </r>
    <r>
      <rPr>
        <color theme="1"/>
        <family val="2"/>
        <sz val="10"/>
        <rFont val="Arial"/>
      </rPr>
      <t xml:space="preserve">
</t>
    </r>
    <r>
      <rPr>
        <b/>
        <color indexed="2"/>
        <family val="2"/>
        <sz val="10"/>
        <rFont val="Arial"/>
      </rPr>
      <t>Critère sur le TJ ou le TPROX ou le CPH</t>
    </r>
  </si>
  <si>
    <r>
      <t xml:space="preserve">12.5. MISE À DISPOSITION + 13. TOTAL CONTENTIEUX LOCAUX SPÉCIFIQUES
</t>
    </r>
    <r>
      <rPr>
        <b/>
        <color rgb="FF0070C0"/>
        <family val="2"/>
        <sz val="10"/>
        <rFont val="Arial"/>
      </rPr>
      <t>Fonction recodée = Att.J/JA PARQUET</t>
    </r>
    <r>
      <rPr>
        <color theme="1"/>
        <family val="2"/>
        <sz val="10"/>
        <rFont val="Arial"/>
      </rPr>
      <t xml:space="preserve">
</t>
    </r>
    <r>
      <rPr>
        <b/>
        <color rgb="FFFF0000"/>
        <family val="2"/>
        <sz val="10"/>
        <rFont val="Arial"/>
      </rPr>
      <t>Critère sur le TJ ou le TPROX ou le CPH</t>
    </r>
  </si>
  <si>
    <r>
      <t xml:space="preserve">12.5. MISE À DISPOSITION + 13. TOTAL CONTENTIEUX LOCAUX SPÉCIFIQUES
</t>
    </r>
    <r>
      <rPr>
        <b/>
        <color rgb="FF0070C0"/>
        <family val="2"/>
        <sz val="10"/>
        <rFont val="Arial"/>
      </rPr>
      <t>Fonction recodée = CONT A JP PARQUET + CONT A VIF PARQUET</t>
    </r>
    <r>
      <rPr>
        <color theme="1"/>
        <family val="2"/>
        <sz val="10"/>
        <rFont val="Arial"/>
      </rPr>
      <t xml:space="preserve">
</t>
    </r>
    <r>
      <rPr>
        <b/>
        <color rgb="FFFF0000"/>
        <family val="2"/>
        <sz val="10"/>
        <rFont val="Arial"/>
      </rPr>
      <t>Critère sur le TJ ou le TPROX ou le CPH</t>
    </r>
  </si>
  <si>
    <r>
      <t xml:space="preserve">12.5. MISE À DISPOSITION + 13. TOTAL CONTENTIEUX LOCAUX SPÉCIFIQUES
</t>
    </r>
    <r>
      <rPr>
        <b/>
        <color rgb="FF0070C0"/>
        <family val="2"/>
        <sz val="10"/>
        <rFont val="Arial"/>
      </rPr>
      <t>Fonction recodée = Att.J/JA JAP</t>
    </r>
    <r>
      <rPr>
        <color theme="1"/>
        <family val="2"/>
        <sz val="10"/>
        <rFont val="Arial"/>
      </rPr>
      <t xml:space="preserve">
</t>
    </r>
    <r>
      <rPr>
        <b/>
        <color rgb="FFFF0000"/>
        <family val="2"/>
        <sz val="10"/>
        <rFont val="Arial"/>
      </rPr>
      <t>Critère sur le TJ ou le TPROX ou le CPH</t>
    </r>
  </si>
  <si>
    <r>
      <t xml:space="preserve">12.5. MISE À DISPOSITION + 13. TOTAL CONTENTIEUX LOCAUX SPÉCIFIQUES
</t>
    </r>
    <r>
      <rPr>
        <b/>
        <color rgb="FF0070C0"/>
        <family val="2"/>
        <sz val="10"/>
        <rFont val="Arial"/>
      </rPr>
      <t>Fonction recodée = Att.J/JA JE</t>
    </r>
    <r>
      <rPr>
        <color theme="1"/>
        <family val="2"/>
        <sz val="10"/>
        <rFont val="Arial"/>
      </rPr>
      <t xml:space="preserve">
</t>
    </r>
    <r>
      <rPr>
        <b/>
        <color rgb="FFFF0000"/>
        <family val="2"/>
        <sz val="10"/>
        <rFont val="Arial"/>
      </rPr>
      <t>Critère sur le TJ ou le TPROX ou le CPH</t>
    </r>
  </si>
  <si>
    <r>
      <t xml:space="preserve">12.5. MISE À DISPOSITION + 13. TOTAL CONTENTIEUX LOCAUX SPÉCIFIQUES
</t>
    </r>
    <r>
      <rPr>
        <b/>
        <color rgb="FF0070C0"/>
        <family val="2"/>
        <sz val="10"/>
        <rFont val="Arial"/>
      </rPr>
      <t>Fonction recodée = Att.J/JA JI</t>
    </r>
    <r>
      <rPr>
        <color theme="1"/>
        <family val="2"/>
        <sz val="10"/>
        <rFont val="Arial"/>
      </rPr>
      <t xml:space="preserve">
</t>
    </r>
    <r>
      <rPr>
        <b/>
        <color rgb="FFFF0000"/>
        <family val="2"/>
        <sz val="10"/>
        <rFont val="Arial"/>
      </rPr>
      <t>Critère sur le TJ ou le TPROX ou le CPH</t>
    </r>
  </si>
  <si>
    <r>
      <t xml:space="preserve">12.5. MISE À DISPOSITION + 13. TOTAL CONTENTIEUX LOCAUX SPÉCIFIQUES
</t>
    </r>
    <r>
      <rPr>
        <b/>
        <color rgb="FF0070C0"/>
        <family val="2"/>
        <sz val="10"/>
        <rFont val="Arial"/>
      </rPr>
      <t>Fonction recodée = Att.J/JA JLD</t>
    </r>
    <r>
      <rPr>
        <color theme="1"/>
        <family val="2"/>
        <sz val="10"/>
        <rFont val="Arial"/>
      </rPr>
      <t xml:space="preserve">
</t>
    </r>
    <r>
      <rPr>
        <b/>
        <color rgb="FFFF0000"/>
        <family val="2"/>
        <sz val="10"/>
        <rFont val="Arial"/>
      </rPr>
      <t>Critère sur le TJ ou le TPROX ou le CPH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</si>
</sst>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_-* #,##0.000_-;-* #,##0.000_-;_-* &quot;-&quot;??_-;_-@_-"/>
    <numFmt numFmtId="166" formatCode="0.0%"/>
    <numFmt numFmtId="167" formatCode="0.###"/>
    <numFmt numFmtId="168" formatCode="#,##0.00_ ;[Red]-#,##0.00 "/>
  </numFmts>
  <fonts count="60" x14ac:knownFonts="1">
    <font>
      <color theme="1"/>
      <family val="2"/>
      <scheme val="minor"/>
      <sz val="11"/>
      <name val="Calibri"/>
    </font>
    <font>
      <b/>
      <color theme="0"/>
      <family val="2"/>
      <scheme val="minor"/>
      <sz val="22"/>
      <name val="Calibri"/>
    </font>
    <font>
      <color theme="1"/>
      <family val="2"/>
      <scheme val="minor"/>
      <sz val="10"/>
      <name val="Calibri"/>
    </font>
    <font>
      <color theme="0"/>
      <family val="2"/>
      <scheme val="minor"/>
      <sz val="10"/>
      <name val="Calibri"/>
    </font>
    <font>
      <b/>
      <color theme="1"/>
      <family val="2"/>
      <scheme val="minor"/>
      <sz val="12"/>
      <name val="Calibri"/>
    </font>
    <font>
      <b/>
      <color theme="0"/>
      <family val="2"/>
      <scheme val="minor"/>
      <sz val="12"/>
      <name val="Calibri"/>
    </font>
    <font>
      <b/>
      <color theme="0"/>
      <family val="2"/>
      <scheme val="minor"/>
      <sz val="11"/>
      <name val="Calibri"/>
    </font>
    <font>
      <u/>
      <color theme="4"/>
      <family val="2"/>
      <scheme val="minor"/>
      <sz val="11"/>
      <name val="Calibri"/>
    </font>
    <font>
      <b/>
      <color theme="0" tint="-0.0499893185216834"/>
      <family val="2"/>
      <scheme val="minor"/>
      <sz val="22"/>
      <name val="Calibri"/>
    </font>
    <font>
      <b/>
      <i/>
      <color theme="0" tint="-0.0499893185216834"/>
      <family val="2"/>
      <scheme val="minor"/>
      <sz val="16"/>
      <name val="Calibri"/>
    </font>
    <font>
      <color theme="0"/>
      <family val="2"/>
      <scheme val="minor"/>
      <sz val="11"/>
      <name val="Calibri"/>
    </font>
    <font>
      <b/>
      <color theme="1"/>
      <family val="2"/>
      <scheme val="minor"/>
      <sz val="11"/>
      <name val="Calibri"/>
    </font>
    <font>
      <color theme="1"/>
      <family val="2"/>
      <scheme val="minor"/>
      <sz val="8"/>
      <name val="Calibri"/>
    </font>
    <font>
      <b/>
      <color rgb="FFFF0000"/>
      <family val="2"/>
      <scheme val="minor"/>
      <sz val="11"/>
      <name val="Calibri"/>
    </font>
    <font>
      <b/>
      <color theme="1"/>
      <family val="2"/>
      <scheme val="minor"/>
      <sz val="14"/>
      <name val="Calibri"/>
    </font>
    <font>
      <i/>
      <color theme="1"/>
      <family val="2"/>
      <scheme val="minor"/>
      <sz val="11"/>
      <name val="Calibri"/>
    </font>
    <font>
      <color rgb="FF000000"/>
      <family val="2"/>
      <scheme val="minor"/>
      <sz val="11"/>
      <name val="Calibri"/>
    </font>
    <font>
      <color rgb="FFFF0000"/>
      <family val="2"/>
      <scheme val="minor"/>
      <sz val="11"/>
      <name val="Calibri"/>
    </font>
    <font>
      <color theme="1"/>
      <family val="2"/>
      <scheme val="minor"/>
      <sz val="12"/>
      <name val="Calibri"/>
    </font>
    <font>
      <color rgb="FF333333"/>
      <family val="2"/>
      <sz val="9"/>
      <name val="Arial"/>
    </font>
    <font>
      <b/>
      <color rgb="FF333333"/>
      <family val="2"/>
      <sz val="8"/>
      <name val="Arial"/>
    </font>
    <font>
      <b/>
      <color rgb="FF333333"/>
      <family val="2"/>
      <sz val="7"/>
      <name val="Arial"/>
    </font>
    <font>
      <b/>
      <color rgb="FF000000"/>
      <family val="2"/>
      <sz val="7"/>
      <name val="Arial"/>
    </font>
    <font>
      <b/>
      <u/>
      <color rgb="FF000000"/>
      <family val="2"/>
      <sz val="7"/>
      <name val="Arial"/>
    </font>
    <font>
      <color rgb="FF000000"/>
      <family val="2"/>
      <sz val="7"/>
      <name val="Arial"/>
    </font>
    <font>
      <family val="2"/>
      <sz val="7"/>
      <name val="Arial"/>
    </font>
    <font>
      <b/>
      <family val="2"/>
      <sz val="7"/>
      <name val="Arial"/>
    </font>
    <font>
      <color rgb="FFFF0000"/>
      <family val="2"/>
      <sz val="7"/>
      <name val="Arial"/>
    </font>
    <font>
      <color theme="1"/>
      <family val="2"/>
      <sz val="7"/>
      <name val="Arial"/>
    </font>
    <font>
      <b/>
      <color rgb="FFFF0000"/>
      <family val="2"/>
      <scheme val="minor"/>
      <sz val="12"/>
      <name val="Calibri"/>
    </font>
    <font>
      <color theme="1"/>
      <family val="2"/>
      <sz val="10"/>
      <name val="Arial"/>
    </font>
    <font>
      <color theme="1"/>
      <family val="2"/>
      <scheme val="minor"/>
      <sz val="7"/>
      <name val="Calibri"/>
    </font>
    <font>
      <color rgb="FF333333"/>
      <family val="2"/>
      <sz val="8"/>
      <name val="Arial"/>
    </font>
    <font>
      <b/>
      <color rgb="FF333333"/>
      <family val="2"/>
      <sz val="9"/>
      <name val="Arial"/>
    </font>
    <font>
      <color rgb="FF333333"/>
      <family val="2"/>
      <sz val="7"/>
      <name val="Arial"/>
    </font>
    <font>
      <b/>
      <color rgb="FF333333"/>
      <family val="2"/>
      <sz val="10"/>
      <name val="Arial"/>
    </font>
    <font>
      <color rgb="FF000000"/>
      <family val="2"/>
      <sz val="10"/>
      <name val="Arial"/>
    </font>
    <font>
      <b/>
      <u/>
      <color rgb="FF000000"/>
      <family val="2"/>
      <sz val="10"/>
      <name val="Arial"/>
    </font>
    <font>
      <b/>
      <color theme="1"/>
      <family val="2"/>
      <sz val="7"/>
      <name val="Arial"/>
    </font>
    <font>
      <b/>
      <color rgb="FFFF0000"/>
      <family val="2"/>
      <sz val="7"/>
      <name val="Arial"/>
    </font>
    <font>
      <color theme="0"/>
      <family val="2"/>
      <sz val="7"/>
      <name val="Arial"/>
    </font>
    <font>
      <b/>
      <color rgb="FFFF0000"/>
      <family val="2"/>
      <sz val="10"/>
      <name val="Arial"/>
    </font>
    <font>
      <b/>
      <color rgb="FF860000"/>
      <family val="2"/>
      <sz val="7"/>
      <name val="Arial"/>
    </font>
    <font>
      <b/>
      <color rgb="FF860000"/>
      <family val="2"/>
      <scheme val="minor"/>
      <sz val="12"/>
      <name val="Calibri"/>
    </font>
    <font>
      <color rgb="FF860000"/>
      <family val="2"/>
      <sz val="10"/>
      <name val="Arial"/>
    </font>
    <font>
      <b/>
      <color theme="1"/>
      <family val="2"/>
      <sz val="10"/>
      <name val="Arial"/>
    </font>
    <font>
      <b/>
      <color rgb="FFFF0000"/>
      <family val="2"/>
      <sz val="8"/>
      <name val="Arial"/>
    </font>
    <font>
      <color rgb="FFFF0000"/>
      <family val="2"/>
      <scheme val="minor"/>
      <sz val="12"/>
      <name val="Calibri"/>
    </font>
    <font>
      <color theme="1"/>
      <family val="2"/>
      <sz val="9"/>
      <name val="Arial"/>
    </font>
    <font>
      <b/>
      <color rgb="FFFF66CC"/>
      <family val="2"/>
      <sz val="7"/>
      <name val="Arial"/>
    </font>
    <font>
      <color rgb="FF333333"/>
      <family val="2"/>
      <sz val="10"/>
      <name val="Arial"/>
    </font>
    <font>
      <b/>
      <color rgb="FF000000"/>
      <family val="2"/>
      <sz val="10"/>
      <name val="Arial"/>
    </font>
    <font>
      <b/>
      <family val="2"/>
      <sz val="10"/>
      <name val="Arial"/>
    </font>
    <font>
      <family val="2"/>
      <sz val="10"/>
      <name val="Arial"/>
    </font>
    <font>
      <color rgb="FFFF0000"/>
      <family val="2"/>
      <sz val="10"/>
      <name val="Arial"/>
    </font>
    <font>
      <family val="2"/>
      <sz val="8"/>
      <name val="Arial"/>
    </font>
    <font>
      <color rgb="FFFF0000"/>
      <family val="2"/>
      <sz val="8"/>
      <name val="Arial"/>
    </font>
    <font>
      <b/>
      <color rgb="FFFF0000"/>
      <family val="2"/>
      <scheme val="minor"/>
      <sz val="10"/>
      <name val="Calibri"/>
    </font>
    <font>
      <color rgb="FF000000"/>
      <family val="2"/>
      <sz val="8"/>
      <name val="Arial"/>
    </font>
    <font>
      <b/>
      <color rgb="FF000000"/>
      <family val="2"/>
      <sz val="8"/>
      <name val="Arial"/>
    </font>
  </fonts>
  <fills count="34">
    <fill>
      <patternFill patternType="none"/>
    </fill>
    <fill>
      <patternFill patternType="gray125"/>
    </fill>
    <fill>
      <patternFill patternType="solid">
        <fgColor rgb="FF333F4F"/>
        <bgColor indexed="64"/>
      </patternFill>
    </fill>
    <fill>
      <patternFill patternType="solid">
        <fgColor rgb="FFE64B85"/>
        <bgColor indexed="64"/>
      </patternFill>
    </fill>
    <fill>
      <patternFill patternType="solid">
        <fgColor rgb="FF2D46E0"/>
        <bgColor indexed="64"/>
      </patternFill>
    </fill>
    <fill>
      <patternFill patternType="solid">
        <fgColor rgb="FF0B0B97"/>
        <bgColor indexed="64"/>
      </patternFill>
    </fill>
    <fill>
      <patternFill patternType="solid">
        <fgColor rgb="FFFF0000"/>
        <bgColor indexed="64"/>
      </patternFill>
    </fill>
    <fill>
      <patternFill patternType="solid">
        <fgColor rgb="FFF7F02D"/>
        <bgColor indexed="64"/>
      </patternFill>
    </fill>
    <fill>
      <patternFill patternType="solid">
        <fgColor rgb="FF00B252"/>
        <bgColor indexed="64"/>
      </patternFill>
    </fill>
    <fill>
      <patternFill patternType="solid">
        <fgColor rgb="FF0070C0"/>
        <bgColor indexed="64"/>
      </patternFill>
    </fill>
    <fill>
      <patternFill patternType="solid">
        <fgColor theme="3" tint="-0.249977111117893"/>
        <bgColor indexed="64"/>
      </patternFill>
    </fill>
    <fill>
      <patternFill patternType="solid">
        <fgColor theme="3" tint="0.5999938962981048"/>
        <bgColor indexed="64"/>
      </patternFill>
    </fill>
    <fill>
      <patternFill patternType="solid">
        <fgColor theme="8" tint="0.7999816888943144"/>
        <bgColor indexed="64"/>
      </patternFill>
    </fill>
    <fill>
      <patternFill patternType="solid">
        <fgColor theme="1" tint="0.3499862666707358"/>
        <bgColor indexed="64"/>
      </patternFill>
    </fill>
    <fill>
      <patternFill patternType="solid">
        <fgColor theme="7" tint="0.7999816888943144"/>
        <bgColor indexed="64"/>
      </patternFill>
    </fill>
    <fill>
      <patternFill patternType="solid">
        <fgColor rgb="FFCCB1EE"/>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FFFFF"/>
        <bgColor rgb="FFFFFFFF"/>
      </patternFill>
    </fill>
    <fill>
      <patternFill patternType="solid">
        <fgColor rgb="FFCCFFFF"/>
        <bgColor rgb="FFFFFFFF"/>
      </patternFill>
    </fill>
    <fill>
      <patternFill patternType="solid">
        <fgColor theme="4" tint="0.7999816888943144"/>
        <bgColor rgb="FFFFFFFF"/>
      </patternFill>
    </fill>
    <fill>
      <patternFill patternType="solid">
        <fgColor theme="5" tint="0.7999816888943144"/>
        <bgColor rgb="FFFFFFFF"/>
      </patternFill>
    </fill>
    <fill>
      <patternFill patternType="solid">
        <fgColor theme="9" tint="0.7999816888943144"/>
        <bgColor rgb="FFFFFFFF"/>
      </patternFill>
    </fill>
    <fill>
      <patternFill patternType="solid">
        <fgColor rgb="FFFFC000"/>
        <bgColor rgb="FFFFFFFF"/>
      </patternFill>
    </fill>
    <fill>
      <patternFill patternType="solid">
        <fgColor rgb="FF92D050"/>
        <bgColor indexed="64"/>
      </patternFill>
    </fill>
    <fill>
      <patternFill patternType="solid">
        <fgColor theme="1" tint="0.249977111117893"/>
        <bgColor rgb="FFFFFFFF"/>
      </patternFill>
    </fill>
    <fill>
      <patternFill patternType="solid">
        <fgColor rgb="FF92D050"/>
        <bgColor rgb="FFFFFFFF"/>
      </patternFill>
    </fill>
    <fill>
      <patternFill patternType="solid">
        <fgColor rgb="FFCEFFFF"/>
        <bgColor rgb="FFFFFFFF"/>
      </patternFill>
    </fill>
    <fill>
      <patternFill patternType="solid">
        <fgColor theme="0" tint="-0.1499984740745262"/>
        <bgColor indexed="64"/>
      </patternFill>
    </fill>
    <fill>
      <patternFill patternType="solid">
        <fgColor theme="0" tint="-0.1499984740745262"/>
        <bgColor rgb="FFFFFFFF"/>
      </patternFill>
    </fill>
    <fill>
      <patternFill patternType="solid">
        <fgColor rgb="FFFCFDFD"/>
        <bgColor rgb="FFFFFFFF"/>
      </patternFill>
    </fill>
    <fill>
      <patternFill patternType="solid">
        <fgColor theme="5"/>
        <bgColor rgb="FFFFFFFF"/>
      </patternFill>
    </fill>
    <fill>
      <patternFill patternType="solid">
        <fgColor rgb="FFCCFFFF"/>
        <bgColor indexed="64"/>
      </patternFill>
    </fill>
    <fill>
      <patternFill patternType="solid">
        <fgColor theme="1" tint="0.249977111117893"/>
        <bgColor indexed="64"/>
      </patternFill>
    </fill>
  </fills>
  <borders count="32">
    <border>
      <left/>
      <right/>
      <top/>
      <bottom/>
      <diagonal/>
    </border>
    <border>
      <left style="medium">
        <color rgb="FF333F4F"/>
      </left>
      <right/>
      <top style="medium">
        <color rgb="FF333F4F"/>
      </top>
      <bottom style="medium">
        <color rgb="FF333F4F"/>
      </bottom>
      <diagonal/>
    </border>
    <border>
      <left/>
      <right/>
      <top style="medium">
        <color rgb="FF333F4F"/>
      </top>
      <bottom style="medium">
        <color rgb="FF333F4F"/>
      </bottom>
      <diagonal/>
    </border>
    <border>
      <left/>
      <right/>
      <top style="medium">
        <color rgb="FF333F4F"/>
      </top>
      <bottom/>
      <diagonal/>
    </border>
    <border>
      <left style="medium">
        <color rgb="FF333F4F"/>
      </left>
      <right/>
      <top/>
      <bottom/>
      <diagonal/>
    </border>
    <border>
      <left style="medium">
        <color rgb="FF333F4F"/>
      </left>
      <right/>
      <top/>
      <bottom style="thin">
        <color rgb="FF333F4F"/>
      </bottom>
      <diagonal/>
    </border>
    <border>
      <left/>
      <right/>
      <top/>
      <bottom style="thin">
        <color rgb="FF333F4F"/>
      </bottom>
      <diagonal/>
    </border>
    <border>
      <left/>
      <right/>
      <top/>
      <bottom style="thin">
        <color indexed="64"/>
      </bottom>
      <diagonal/>
    </border>
    <border>
      <left style="medium">
        <color indexed="64"/>
      </left>
      <right/>
      <top/>
      <bottom/>
      <diagonal/>
    </border>
    <border>
      <left style="medium">
        <color rgb="FF333F4F"/>
      </left>
      <right/>
      <top style="thin">
        <color rgb="FF333F4F"/>
      </top>
      <bottom style="thin">
        <color rgb="FF333F4F"/>
      </bottom>
      <diagonal/>
    </border>
    <border>
      <left/>
      <right/>
      <top style="thin">
        <color rgb="FF333F4F"/>
      </top>
      <bottom style="thin">
        <color rgb="FF333F4F"/>
      </bottom>
      <diagonal/>
    </border>
    <border>
      <left/>
      <right/>
      <top style="thin">
        <color indexed="64"/>
      </top>
      <bottom style="thin">
        <color indexed="64"/>
      </bottom>
      <diagonal/>
    </border>
    <border>
      <left/>
      <right/>
      <top style="thin">
        <color rgb="FF333F4F"/>
      </top>
      <bottom/>
      <diagonal/>
    </border>
    <border>
      <left/>
      <right/>
      <top style="thin">
        <color indexed="64"/>
      </top>
      <bottom/>
      <diagonal/>
    </border>
    <border>
      <left style="medium">
        <color rgb="FF333F4F"/>
      </left>
      <right/>
      <top/>
      <bottom style="medium">
        <color rgb="FF333F4F"/>
      </bottom>
      <diagonal/>
    </border>
    <border>
      <left/>
      <right style="medium">
        <color rgb="FF333F4F"/>
      </right>
      <top style="medium">
        <color rgb="FF333F4F"/>
      </top>
      <bottom style="medium">
        <color rgb="FF333F4F"/>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88">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pplyAlignment="1">
      <alignment vertical="center"/>
    </xf>
    <xf numFmtId="0" fontId="1" fillId="2" borderId="0" xfId="0" applyFont="1" applyFill="1" applyAlignment="1">
      <alignment horizontal="center"/>
    </xf>
    <xf numFmtId="0" fontId="1" fillId="2" borderId="0" xfId="0" applyFont="1" applyFill="1" applyAlignment="1">
      <alignment horizontal="left" vertical="center"/>
    </xf>
    <xf numFmtId="0" fontId="2" fillId="0" borderId="0" xfId="0" applyFont="1" applyAlignment="1">
      <alignment wrapText="1"/>
    </xf>
    <xf numFmtId="0" fontId="2" fillId="2" borderId="0" xfId="0" applyFont="1" applyFill="1" applyAlignment="1">
      <alignment horizontal="right" wrapText="1"/>
    </xf>
    <xf numFmtId="0" fontId="2" fillId="2" borderId="0" xfId="0" applyFont="1" applyFill="1"/>
    <xf numFmtId="0" fontId="3" fillId="2" borderId="0" xfId="0" applyFont="1" applyFill="1" applyAlignment="1">
      <alignment horizontal="center" vertical="center"/>
    </xf>
    <xf numFmtId="0" fontId="2" fillId="2" borderId="0" xfId="0" applyFont="1" applyFill="1" applyAlignment="1">
      <alignment horizontal="left" vertical="center" wrapText="1"/>
    </xf>
    <xf numFmtId="0" fontId="0" fillId="0" borderId="0" xfId="0" applyAlignment="1">
      <alignment horizontal="right" vertical="center" wrapText="1"/>
    </xf>
    <xf numFmtId="0" fontId="4" fillId="0" borderId="0" xfId="0" applyFont="1" applyAlignment="1">
      <alignment vertical="center" wrapText="1"/>
    </xf>
    <xf numFmtId="0" fontId="4" fillId="0" borderId="0" xfId="0" applyFont="1" applyAlignment="1">
      <alignment horizontal="right" vertical="center" wrapText="1"/>
    </xf>
    <xf numFmtId="0" fontId="5" fillId="2" borderId="1" xfId="0" applyFont="1" applyFill="1" applyBorder="1" applyAlignment="1">
      <alignment horizontal="left" vertical="center" wrapText="1" indent="1"/>
    </xf>
    <xf numFmtId="0" fontId="5" fillId="2" borderId="2" xfId="0" applyFont="1" applyFill="1" applyBorder="1" applyAlignment="1">
      <alignment horizontal="left" vertical="center" wrapText="1" indent="1"/>
    </xf>
    <xf numFmtId="0" fontId="5" fillId="2" borderId="3" xfId="0" applyFont="1" applyFill="1" applyBorder="1" applyAlignment="1">
      <alignment horizontal="left" vertical="center" wrapText="1" indent="1"/>
    </xf>
    <xf numFmtId="0" fontId="4" fillId="0" borderId="4" xfId="0" applyFont="1" applyBorder="1" applyAlignment="1">
      <alignment vertical="center" wrapText="1"/>
    </xf>
    <xf numFmtId="0" fontId="6" fillId="3" borderId="5" xfId="0" applyFont="1" applyFill="1" applyBorder="1" applyAlignment="1">
      <alignment horizontal="left" vertical="center" wrapText="1" indent="1"/>
    </xf>
    <xf numFmtId="0" fontId="0" fillId="0" borderId="6" xfId="0" applyBorder="1" applyAlignment="1">
      <alignment horizontal="left" vertical="center" wrapText="1" indent="1"/>
    </xf>
    <xf numFmtId="0" fontId="7" fillId="0" borderId="7" xfId="0" applyFont="1" applyBorder="1" applyAlignment="1">
      <alignment horizontal="left" vertical="center" wrapText="1"/>
    </xf>
    <xf numFmtId="0" fontId="0" fillId="0" borderId="8" xfId="0" applyBorder="1" applyAlignment="1">
      <alignment vertical="center" wrapText="1"/>
    </xf>
    <xf numFmtId="0" fontId="6" fillId="4" borderId="9" xfId="0" applyFont="1" applyFill="1" applyBorder="1" applyAlignment="1">
      <alignment horizontal="left" vertical="center" wrapText="1" indent="1"/>
    </xf>
    <xf numFmtId="0" fontId="0" fillId="0" borderId="10" xfId="0" applyBorder="1" applyAlignment="1">
      <alignment horizontal="left" vertical="center" wrapText="1" indent="1"/>
    </xf>
    <xf numFmtId="0" fontId="7" fillId="0" borderId="11" xfId="0" applyFont="1" applyBorder="1" applyAlignment="1">
      <alignment horizontal="left" vertical="center" wrapText="1"/>
    </xf>
    <xf numFmtId="0" fontId="6" fillId="5" borderId="9"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0" fillId="0" borderId="12" xfId="0" applyBorder="1" applyAlignment="1">
      <alignment horizontal="left" vertical="center" wrapText="1"/>
    </xf>
    <xf numFmtId="0" fontId="7" fillId="0" borderId="13" xfId="0" applyFont="1" applyBorder="1" applyAlignment="1">
      <alignment horizontal="left" vertical="center" wrapText="1"/>
    </xf>
    <xf numFmtId="0" fontId="6" fillId="7" borderId="4" xfId="0" applyFont="1" applyFill="1" applyBorder="1" applyAlignment="1">
      <alignment horizontal="left" vertical="center" wrapText="1" indent="1"/>
    </xf>
    <xf numFmtId="0" fontId="6" fillId="8" borderId="4" xfId="0" applyFont="1" applyFill="1" applyBorder="1" applyAlignment="1">
      <alignment horizontal="left" vertical="center" wrapText="1" indent="1"/>
    </xf>
    <xf numFmtId="0" fontId="6" fillId="9" borderId="14" xfId="0" applyFont="1" applyFill="1" applyBorder="1" applyAlignment="1">
      <alignment horizontal="center" vertical="center" wrapText="1"/>
    </xf>
    <xf numFmtId="0" fontId="0" fillId="0" borderId="13" xfId="0" applyBorder="1" applyAlignment="1">
      <alignment vertical="top" wrapText="1"/>
    </xf>
    <xf numFmtId="0" fontId="0" fillId="0" borderId="1" xfId="0" applyBorder="1" applyAlignment="1">
      <alignment vertical="center" wrapText="1"/>
    </xf>
    <xf numFmtId="0" fontId="0" fillId="0" borderId="2" xfId="0" applyBorder="1" applyAlignment="1">
      <alignment horizontal="center" vertical="center" wrapText="1"/>
    </xf>
    <xf numFmtId="0" fontId="0" fillId="0" borderId="15" xfId="0" applyBorder="1" applyAlignment="1">
      <alignment vertical="center" wrapText="1"/>
    </xf>
    <xf numFmtId="0" fontId="0" fillId="0" borderId="0" xfId="0" applyAlignment="1">
      <alignment horizontal="right" vertical="top" wrapText="1"/>
    </xf>
    <xf numFmtId="0" fontId="5" fillId="2" borderId="0" xfId="0" applyFont="1" applyFill="1" applyAlignment="1">
      <alignment horizontal="center" vertical="center" wrapText="1"/>
    </xf>
    <xf numFmtId="0" fontId="0" fillId="0" borderId="0" xfId="0" applyAlignment="1">
      <alignment vertical="center"/>
    </xf>
    <xf numFmtId="0" fontId="8" fillId="10" borderId="0" xfId="0" applyFont="1" applyFill="1" applyAlignment="1">
      <alignment vertical="center"/>
    </xf>
    <xf numFmtId="0" fontId="0" fillId="10" borderId="0" xfId="0" applyFill="1" applyAlignment="1">
      <alignment horizontal="right" vertical="center"/>
    </xf>
    <xf numFmtId="0" fontId="0" fillId="10" borderId="0" xfId="0" applyFill="1" applyAlignment="1">
      <alignment horizontal="center" vertical="center"/>
    </xf>
    <xf numFmtId="0" fontId="9" fillId="10" borderId="0" xfId="0" applyFont="1" applyFill="1" applyAlignment="1">
      <alignment horizontal="right"/>
    </xf>
    <xf numFmtId="0" fontId="10" fillId="0" borderId="0" xfId="0" applyFont="1" applyAlignment="1">
      <alignment vertical="center"/>
    </xf>
    <xf numFmtId="0" fontId="11" fillId="11" borderId="0" xfId="0" applyFont="1" applyFill="1" applyAlignment="1">
      <alignment horizontal="center" vertical="center" wrapText="1"/>
    </xf>
    <xf numFmtId="164" fontId="0" fillId="0" borderId="0" xfId="0" applyNumberFormat="1" applyAlignment="1" applyProtection="1">
      <alignment horizontal="left" vertical="top"/>
      <protection locked="0"/>
    </xf>
    <xf numFmtId="0" fontId="10" fillId="0" borderId="0" xfId="0" applyFont="1"/>
    <xf numFmtId="0" fontId="0" fillId="0" borderId="0" xfId="0" applyAlignment="1">
      <alignment horizontal="right"/>
    </xf>
    <xf numFmtId="0" fontId="0" fillId="0" borderId="0" xfId="0" applyAlignment="1">
      <alignment horizontal="center"/>
    </xf>
    <xf numFmtId="0" fontId="8" fillId="10" borderId="0" xfId="0" applyFont="1" applyFill="1" applyAlignment="1">
      <alignment horizontal="left" vertical="center" wrapText="1"/>
    </xf>
    <xf numFmtId="0" fontId="0" fillId="0" borderId="0" xfId="0" applyProtection="1">
      <protection locked="0"/>
    </xf>
    <xf numFmtId="0" fontId="1" fillId="10" borderId="0" xfId="0" applyFont="1" applyFill="1" applyAlignment="1">
      <alignment horizontal="left" vertical="center"/>
    </xf>
    <xf numFmtId="0" fontId="11" fillId="12" borderId="16" xfId="0" applyFont="1" applyFill="1" applyBorder="1" applyAlignment="1">
      <alignment horizontal="center" vertical="center" wrapText="1"/>
    </xf>
    <xf numFmtId="0" fontId="12" fillId="13" borderId="0" xfId="0" applyFont="1" applyFill="1" applyAlignment="1">
      <alignment wrapText="1"/>
    </xf>
    <xf numFmtId="0" fontId="0" fillId="12" borderId="0" xfId="0" applyFill="1" applyAlignment="1">
      <alignment horizontal="center" vertical="center"/>
    </xf>
    <xf numFmtId="0" fontId="12" fillId="13" borderId="0" xfId="0" applyFont="1" applyFill="1" applyAlignment="1">
      <alignment horizontal="center" vertical="center"/>
    </xf>
    <xf numFmtId="0" fontId="13" fillId="0" borderId="0" xfId="0" applyFont="1" applyAlignment="1">
      <alignment horizontal="left" vertical="center" indent="1"/>
    </xf>
    <xf numFmtId="0" fontId="0" fillId="0" borderId="0" xfId="0" applyAlignment="1">
      <alignment horizontal="center" vertical="center"/>
    </xf>
    <xf numFmtId="40" fontId="11" fillId="0" borderId="0" xfId="0" applyNumberFormat="1" applyFont="1" applyAlignment="1">
      <alignment horizontal="center" vertical="center"/>
    </xf>
    <xf numFmtId="0" fontId="14"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0" fillId="0" borderId="19" xfId="0" applyBorder="1"/>
    <xf numFmtId="165" fontId="11" fillId="0" borderId="18" xfId="0" applyNumberFormat="1" applyFont="1" applyBorder="1" applyAlignment="1">
      <alignment horizontal="center" vertical="center" wrapText="1"/>
    </xf>
    <xf numFmtId="165" fontId="15" fillId="0" borderId="13" xfId="0" applyNumberFormat="1" applyFont="1" applyBorder="1" applyAlignment="1">
      <alignment horizontal="center" vertical="center" wrapText="1"/>
    </xf>
    <xf numFmtId="165" fontId="11" fillId="0" borderId="13" xfId="0" applyNumberFormat="1" applyFont="1" applyBorder="1" applyAlignment="1">
      <alignment horizontal="center" vertical="center" wrapText="1"/>
    </xf>
    <xf numFmtId="165" fontId="15" fillId="0" borderId="20" xfId="0" applyNumberFormat="1" applyFont="1" applyBorder="1" applyAlignment="1">
      <alignment horizontal="center" vertical="center" wrapText="1"/>
    </xf>
    <xf numFmtId="0" fontId="11" fillId="14" borderId="0" xfId="0" applyFont="1" applyFill="1" applyAlignment="1">
      <alignment horizontal="left"/>
    </xf>
    <xf numFmtId="0" fontId="0" fillId="14" borderId="0" xfId="0" applyFill="1" applyAlignment="1">
      <alignment horizontal="left"/>
    </xf>
    <xf numFmtId="0" fontId="0" fillId="14" borderId="0" xfId="0" applyFill="1" applyAlignment="1">
      <alignment horizontal="left" vertical="center" wrapText="1"/>
    </xf>
    <xf numFmtId="165" fontId="11" fillId="0" borderId="19" xfId="0" applyNumberFormat="1" applyFont="1" applyBorder="1" applyAlignment="1">
      <alignment horizontal="center" vertical="center"/>
    </xf>
    <xf numFmtId="166" fontId="15" fillId="0" borderId="0" xfId="0" applyNumberFormat="1" applyFont="1" applyAlignment="1">
      <alignment horizontal="center" vertical="center"/>
    </xf>
    <xf numFmtId="165" fontId="11" fillId="0" borderId="0" xfId="0" applyNumberFormat="1" applyFont="1" applyAlignment="1">
      <alignment horizontal="center" vertical="center"/>
    </xf>
    <xf numFmtId="166" fontId="15" fillId="0" borderId="21" xfId="0" applyNumberFormat="1" applyFont="1" applyBorder="1" applyAlignment="1">
      <alignment horizontal="center" vertical="center"/>
    </xf>
    <xf numFmtId="0" fontId="0" fillId="0" borderId="13" xfId="0" applyBorder="1"/>
    <xf numFmtId="0" fontId="11" fillId="0" borderId="0" xfId="0" applyFont="1" applyAlignment="1">
      <alignment horizontal="center" vertical="center"/>
    </xf>
    <xf numFmtId="0" fontId="11" fillId="0" borderId="0" xfId="0" applyFont="1" applyAlignment="1">
      <alignment horizontal="center" vertical="center" wrapText="1"/>
    </xf>
    <xf numFmtId="0" fontId="16" fillId="0" borderId="0" xfId="0" applyFont="1" applyAlignment="1">
      <alignment vertical="center" wrapText="1"/>
    </xf>
    <xf numFmtId="0" fontId="17" fillId="0" borderId="0" xfId="0" applyFont="1" applyAlignment="1">
      <alignment vertical="center" wrapText="1"/>
    </xf>
    <xf numFmtId="0" fontId="11" fillId="14" borderId="0" xfId="0" applyFont="1" applyFill="1" applyAlignment="1">
      <alignment horizontal="center" vertical="center" wrapText="1"/>
    </xf>
    <xf numFmtId="0" fontId="11" fillId="15" borderId="0" xfId="0" applyFont="1" applyFill="1" applyAlignment="1">
      <alignment horizontal="center" vertical="center" wrapText="1"/>
    </xf>
    <xf numFmtId="0" fontId="11" fillId="16" borderId="0" xfId="0" applyFont="1" applyFill="1" applyAlignment="1">
      <alignment horizontal="center" vertical="center" wrapText="1"/>
    </xf>
    <xf numFmtId="0" fontId="11" fillId="17" borderId="0" xfId="0" applyFont="1" applyFill="1" applyAlignment="1">
      <alignment horizontal="center" vertical="center" wrapText="1"/>
    </xf>
    <xf numFmtId="0" fontId="11" fillId="16" borderId="0" xfId="0" applyFont="1" applyFill="1" applyAlignment="1">
      <alignment horizontal="left" vertical="center" wrapText="1"/>
    </xf>
    <xf numFmtId="0" fontId="16" fillId="0" borderId="0" xfId="0" applyFont="1" applyAlignment="1">
      <alignment horizontal="left" vertical="center" wrapText="1"/>
    </xf>
    <xf numFmtId="1" fontId="16" fillId="0" borderId="0" xfId="0" applyNumberFormat="1" applyFont="1" applyAlignment="1">
      <alignment horizontal="left" vertical="center" wrapText="1"/>
    </xf>
    <xf numFmtId="167" fontId="16" fillId="0" borderId="0" xfId="0" applyNumberFormat="1" applyFont="1" applyAlignment="1">
      <alignment horizontal="left" vertical="center" wrapText="1"/>
    </xf>
    <xf numFmtId="167" fontId="0" fillId="0" borderId="0" xfId="0" applyNumberFormat="1" applyAlignment="1">
      <alignment horizontal="left" vertical="center"/>
    </xf>
    <xf numFmtId="9" fontId="0" fillId="0" borderId="0" xfId="0" applyNumberFormat="1" applyAlignment="1">
      <alignment horizontal="left" vertical="center"/>
    </xf>
    <xf numFmtId="0" fontId="16" fillId="0" borderId="0" xfId="0" applyFont="1" applyAlignment="1">
      <alignment horizontal="left" vertical="center"/>
    </xf>
    <xf numFmtId="0" fontId="18" fillId="0" borderId="0" xfId="0" applyFont="1" applyProtection="1">
      <protection hidden="1"/>
    </xf>
    <xf numFmtId="0" fontId="19" fillId="18" borderId="0" xfId="0" applyFont="1" applyFill="1" applyAlignment="1" applyProtection="1">
      <alignment horizontal="left"/>
      <protection hidden="1"/>
    </xf>
    <xf numFmtId="0" fontId="20" fillId="18" borderId="0" xfId="0" applyFont="1" applyFill="1" applyAlignment="1" applyProtection="1">
      <alignment horizontal="left" vertical="top"/>
      <protection hidden="1"/>
    </xf>
    <xf numFmtId="0" fontId="21" fillId="18" borderId="0" xfId="0" applyFont="1" applyFill="1" applyAlignment="1" applyProtection="1">
      <alignment horizontal="center" vertical="center" wrapText="1"/>
      <protection hidden="1"/>
    </xf>
    <xf numFmtId="0" fontId="22" fillId="18" borderId="22" xfId="0" applyFont="1" applyFill="1" applyBorder="1" applyAlignment="1" applyProtection="1">
      <alignment horizontal="center" vertical="center" wrapText="1"/>
      <protection hidden="1"/>
    </xf>
    <xf numFmtId="0" fontId="23" fillId="19" borderId="22" xfId="0" applyFont="1" applyFill="1" applyBorder="1" applyAlignment="1" applyProtection="1">
      <alignment horizontal="center" vertical="center" wrapText="1"/>
      <protection hidden="1"/>
    </xf>
    <xf numFmtId="0" fontId="22" fillId="20" borderId="22" xfId="0" applyFont="1" applyFill="1" applyBorder="1" applyAlignment="1" applyProtection="1">
      <alignment horizontal="center" vertical="center" wrapText="1"/>
      <protection hidden="1"/>
    </xf>
    <xf numFmtId="0" fontId="22" fillId="21" borderId="22" xfId="0" applyFont="1" applyFill="1" applyBorder="1" applyAlignment="1" applyProtection="1">
      <alignment horizontal="center" vertical="center" wrapText="1"/>
      <protection hidden="1"/>
    </xf>
    <xf numFmtId="0" fontId="22" fillId="22" borderId="22" xfId="0" applyFont="1" applyFill="1" applyBorder="1" applyAlignment="1" applyProtection="1">
      <alignment horizontal="center" vertical="center" wrapText="1"/>
      <protection hidden="1"/>
    </xf>
    <xf numFmtId="49" fontId="21" fillId="18" borderId="0" xfId="0" applyNumberFormat="1" applyFont="1" applyFill="1" applyAlignment="1" applyProtection="1">
      <alignment horizontal="center" vertical="center" wrapText="1"/>
      <protection hidden="1"/>
    </xf>
    <xf numFmtId="0" fontId="21" fillId="18" borderId="22" xfId="0" applyFont="1" applyFill="1" applyBorder="1" applyAlignment="1" applyProtection="1">
      <alignment horizontal="center" vertical="center" wrapText="1"/>
      <protection hidden="1"/>
    </xf>
    <xf numFmtId="49" fontId="24" fillId="18" borderId="23" xfId="0" applyNumberFormat="1" applyFont="1" applyFill="1" applyBorder="1" applyAlignment="1" applyProtection="1">
      <alignment horizontal="left"/>
      <protection hidden="1"/>
    </xf>
    <xf numFmtId="0" fontId="24" fillId="18" borderId="22" xfId="0" applyFont="1" applyFill="1" applyBorder="1" applyAlignment="1" applyProtection="1">
      <alignment horizontal="left"/>
      <protection hidden="1"/>
    </xf>
    <xf numFmtId="0" fontId="24" fillId="23" borderId="22" xfId="0" applyFont="1" applyFill="1" applyBorder="1" applyAlignment="1" applyProtection="1">
      <alignment horizontal="left" vertical="center"/>
      <protection hidden="1"/>
    </xf>
    <xf numFmtId="168" fontId="25" fillId="24" borderId="22" xfId="0" applyNumberFormat="1" applyFont="1" applyFill="1" applyBorder="1" applyAlignment="1" applyProtection="1">
      <alignment wrapText="1"/>
      <protection hidden="1"/>
    </xf>
    <xf numFmtId="168" fontId="26" fillId="19" borderId="22" xfId="0" applyNumberFormat="1" applyFont="1" applyFill="1" applyBorder="1" applyProtection="1">
      <protection hidden="1"/>
    </xf>
    <xf numFmtId="168" fontId="25" fillId="24" borderId="22" xfId="0" applyNumberFormat="1" applyFont="1" applyFill="1" applyBorder="1" applyAlignment="1" applyProtection="1">
      <alignment horizontal="right"/>
      <protection hidden="1"/>
    </xf>
    <xf numFmtId="168" fontId="25" fillId="25" borderId="22" xfId="0" applyNumberFormat="1" applyFont="1" applyFill="1" applyBorder="1" applyAlignment="1" applyProtection="1">
      <alignment horizontal="right"/>
      <protection hidden="1"/>
    </xf>
    <xf numFmtId="168" fontId="22" fillId="19" borderId="22" xfId="0" applyNumberFormat="1" applyFont="1" applyFill="1" applyBorder="1" applyProtection="1">
      <protection hidden="1"/>
    </xf>
    <xf numFmtId="168" fontId="25" fillId="26" borderId="22" xfId="0" applyNumberFormat="1" applyFont="1" applyFill="1" applyBorder="1" applyAlignment="1" applyProtection="1">
      <alignment horizontal="right" vertical="center" wrapText="1"/>
      <protection hidden="1"/>
    </xf>
    <xf numFmtId="168" fontId="25" fillId="26" borderId="22" xfId="0" applyNumberFormat="1" applyFont="1" applyFill="1" applyBorder="1" applyAlignment="1" applyProtection="1">
      <alignment horizontal="right"/>
      <protection hidden="1"/>
    </xf>
    <xf numFmtId="168" fontId="27" fillId="25" borderId="22" xfId="0" applyNumberFormat="1" applyFont="1" applyFill="1" applyBorder="1" applyAlignment="1" applyProtection="1">
      <alignment horizontal="right" vertical="center" wrapText="1"/>
      <protection hidden="1"/>
    </xf>
    <xf numFmtId="168" fontId="24" fillId="25" borderId="22" xfId="0" applyNumberFormat="1" applyFont="1" applyFill="1" applyBorder="1" applyProtection="1">
      <protection hidden="1"/>
    </xf>
    <xf numFmtId="168" fontId="24" fillId="25" borderId="22" xfId="0" applyNumberFormat="1" applyFont="1" applyFill="1" applyBorder="1" applyAlignment="1" applyProtection="1">
      <alignment horizontal="center" vertical="center" wrapText="1"/>
      <protection hidden="1"/>
    </xf>
    <xf numFmtId="0" fontId="24" fillId="18" borderId="22" xfId="0" applyFont="1" applyFill="1" applyBorder="1" applyAlignment="1" applyProtection="1">
      <alignment horizontal="left" vertical="center"/>
      <protection hidden="1"/>
    </xf>
    <xf numFmtId="168" fontId="25" fillId="26" borderId="22" xfId="0" applyNumberFormat="1" applyFont="1" applyFill="1" applyBorder="1" applyAlignment="1" applyProtection="1">
      <alignment horizontal="right" wrapText="1"/>
      <protection hidden="1"/>
    </xf>
    <xf numFmtId="168" fontId="27" fillId="25" borderId="22" xfId="0" applyNumberFormat="1" applyFont="1" applyFill="1" applyBorder="1" applyAlignment="1" applyProtection="1">
      <alignment horizontal="right"/>
      <protection hidden="1"/>
    </xf>
    <xf numFmtId="168" fontId="27" fillId="25" borderId="22" xfId="0" applyNumberFormat="1" applyFont="1" applyFill="1" applyBorder="1" applyAlignment="1" applyProtection="1">
      <alignment horizontal="right" wrapText="1"/>
      <protection hidden="1"/>
    </xf>
    <xf numFmtId="168" fontId="25" fillId="24" borderId="22" xfId="0" applyNumberFormat="1" applyFont="1" applyFill="1" applyBorder="1" applyAlignment="1" applyProtection="1">
      <alignment horizontal="right" wrapText="1"/>
      <protection hidden="1"/>
    </xf>
    <xf numFmtId="168" fontId="25" fillId="24" borderId="22" xfId="0" applyNumberFormat="1" applyFont="1" applyFill="1" applyBorder="1" applyAlignment="1" applyProtection="1">
      <alignment horizontal="right" vertical="center" wrapText="1"/>
      <protection hidden="1"/>
    </xf>
    <xf numFmtId="168" fontId="25" fillId="0" borderId="22" xfId="0" applyNumberFormat="1" applyFont="1" applyBorder="1" applyAlignment="1" applyProtection="1">
      <alignment wrapText="1"/>
      <protection hidden="1"/>
    </xf>
    <xf numFmtId="168" fontId="27" fillId="18" borderId="22" xfId="0" applyNumberFormat="1" applyFont="1" applyFill="1" applyBorder="1" applyAlignment="1" applyProtection="1">
      <alignment horizontal="right"/>
      <protection hidden="1"/>
    </xf>
    <xf numFmtId="168" fontId="27" fillId="18" borderId="22" xfId="0" applyNumberFormat="1" applyFont="1" applyFill="1" applyBorder="1" applyAlignment="1" applyProtection="1">
      <alignment horizontal="right" wrapText="1"/>
      <protection hidden="1"/>
    </xf>
    <xf numFmtId="168" fontId="25" fillId="18" borderId="22" xfId="0" applyNumberFormat="1" applyFont="1" applyFill="1" applyBorder="1" applyAlignment="1" applyProtection="1">
      <alignment horizontal="right"/>
      <protection hidden="1"/>
    </xf>
    <xf numFmtId="168" fontId="27" fillId="0" borderId="22" xfId="0" applyNumberFormat="1" applyFont="1" applyBorder="1" applyAlignment="1" applyProtection="1">
      <alignment horizontal="right"/>
      <protection hidden="1"/>
    </xf>
    <xf numFmtId="168" fontId="28" fillId="24" borderId="22" xfId="0" applyNumberFormat="1" applyFont="1" applyFill="1" applyBorder="1" applyAlignment="1" applyProtection="1">
      <alignment horizontal="right"/>
      <protection hidden="1"/>
    </xf>
    <xf numFmtId="0" fontId="22" fillId="18" borderId="22" xfId="0" applyFont="1" applyFill="1" applyBorder="1" applyAlignment="1" applyProtection="1">
      <alignment horizontal="left"/>
      <protection hidden="1"/>
    </xf>
    <xf numFmtId="0" fontId="23" fillId="27" borderId="22" xfId="0" applyFont="1" applyFill="1" applyBorder="1" applyAlignment="1" applyProtection="1">
      <alignment horizontal="left"/>
      <protection hidden="1"/>
    </xf>
    <xf numFmtId="168" fontId="22" fillId="27" borderId="22" xfId="0" applyNumberFormat="1" applyFont="1" applyFill="1" applyBorder="1" applyProtection="1">
      <protection hidden="1"/>
    </xf>
    <xf numFmtId="0" fontId="24" fillId="18" borderId="0" xfId="0" applyFont="1" applyFill="1" applyAlignment="1" applyProtection="1">
      <alignment horizontal="left"/>
      <protection hidden="1"/>
    </xf>
    <xf numFmtId="0" fontId="22" fillId="18" borderId="0" xfId="0" applyFont="1" applyFill="1" applyAlignment="1" applyProtection="1">
      <alignment horizontal="left"/>
      <protection hidden="1"/>
    </xf>
    <xf numFmtId="0" fontId="23" fillId="18" borderId="0" xfId="0" applyFont="1" applyFill="1" applyAlignment="1" applyProtection="1">
      <alignment horizontal="left"/>
      <protection hidden="1"/>
    </xf>
    <xf numFmtId="168" fontId="22" fillId="18" borderId="0" xfId="0" applyNumberFormat="1" applyFont="1" applyFill="1" applyProtection="1">
      <protection hidden="1"/>
    </xf>
    <xf numFmtId="168" fontId="29" fillId="0" borderId="0" xfId="0" applyNumberFormat="1" applyFont="1" applyProtection="1">
      <protection hidden="1"/>
    </xf>
    <xf numFmtId="0" fontId="29" fillId="0" borderId="0" xfId="0" applyFont="1" applyProtection="1">
      <protection hidden="1"/>
    </xf>
    <xf numFmtId="168" fontId="18" fillId="0" borderId="0" xfId="0" applyNumberFormat="1" applyFont="1" applyProtection="1">
      <protection hidden="1"/>
    </xf>
    <xf numFmtId="0" fontId="30" fillId="0" borderId="0" xfId="0" applyFont="1" applyAlignment="1">
      <alignment vertical="center" wrapText="1"/>
    </xf>
    <xf numFmtId="168" fontId="25" fillId="26" borderId="22" xfId="0" applyNumberFormat="1" applyFont="1" applyFill="1" applyBorder="1" applyAlignment="1">
      <alignment horizontal="right" wrapText="1"/>
    </xf>
    <xf numFmtId="0" fontId="31" fillId="0" borderId="0" xfId="0" applyFont="1" applyAlignment="1" applyProtection="1">
      <alignment horizontal="right"/>
      <protection hidden="1"/>
    </xf>
    <xf numFmtId="0" fontId="28" fillId="0" borderId="0" xfId="0" applyFont="1" applyAlignment="1">
      <alignment horizontal="right"/>
    </xf>
    <xf numFmtId="168" fontId="31" fillId="0" borderId="0" xfId="0" applyNumberFormat="1" applyFont="1" applyAlignment="1" applyProtection="1">
      <alignment horizontal="right"/>
      <protection hidden="1"/>
    </xf>
    <xf numFmtId="0" fontId="20" fillId="18" borderId="0" xfId="0" applyFont="1" applyFill="1" applyAlignment="1" applyProtection="1">
      <alignment horizontal="left" vertical="top" wrapText="1"/>
      <protection hidden="1"/>
    </xf>
    <xf numFmtId="0" fontId="19" fillId="0" borderId="0" xfId="0" applyFont="1" applyAlignment="1" applyProtection="1">
      <alignment horizontal="left"/>
      <protection hidden="1"/>
    </xf>
    <xf numFmtId="0" fontId="22" fillId="0" borderId="22" xfId="0" applyFont="1" applyBorder="1" applyAlignment="1" applyProtection="1">
      <alignment horizontal="center" vertical="center" wrapText="1"/>
      <protection hidden="1"/>
    </xf>
    <xf numFmtId="0" fontId="24" fillId="18" borderId="23" xfId="0" applyFont="1" applyFill="1" applyBorder="1" applyAlignment="1" applyProtection="1">
      <alignment horizontal="center" vertical="center"/>
      <protection hidden="1"/>
    </xf>
    <xf numFmtId="168" fontId="22" fillId="19" borderId="22" xfId="0" applyNumberFormat="1" applyFont="1" applyFill="1" applyBorder="1" applyAlignment="1" applyProtection="1">
      <alignment horizontal="right"/>
      <protection hidden="1"/>
    </xf>
    <xf numFmtId="168" fontId="24" fillId="18" borderId="22" xfId="0" applyNumberFormat="1" applyFont="1" applyFill="1" applyBorder="1" applyAlignment="1" applyProtection="1">
      <alignment horizontal="right"/>
      <protection hidden="1"/>
    </xf>
    <xf numFmtId="168" fontId="25" fillId="28" borderId="22" xfId="0" applyNumberFormat="1" applyFont="1" applyFill="1" applyBorder="1" applyAlignment="1" applyProtection="1">
      <alignment horizontal="right"/>
      <protection hidden="1"/>
    </xf>
    <xf numFmtId="168" fontId="27" fillId="29" borderId="22" xfId="0" applyNumberFormat="1" applyFont="1" applyFill="1" applyBorder="1" applyAlignment="1" applyProtection="1">
      <alignment horizontal="right"/>
      <protection hidden="1"/>
    </xf>
    <xf numFmtId="168" fontId="27" fillId="28" borderId="22" xfId="0" applyNumberFormat="1" applyFont="1" applyFill="1" applyBorder="1" applyAlignment="1" applyProtection="1">
      <alignment horizontal="right"/>
      <protection hidden="1"/>
    </xf>
    <xf numFmtId="0" fontId="24" fillId="0" borderId="23" xfId="0" applyFont="1" applyBorder="1" applyAlignment="1" applyProtection="1">
      <alignment horizontal="center" vertical="center"/>
      <protection hidden="1"/>
    </xf>
    <xf numFmtId="0" fontId="24" fillId="0" borderId="22" xfId="0" applyFont="1" applyBorder="1" applyAlignment="1" applyProtection="1">
      <alignment horizontal="left" vertical="center"/>
      <protection hidden="1"/>
    </xf>
    <xf numFmtId="168" fontId="25" fillId="0" borderId="22" xfId="0" applyNumberFormat="1" applyFont="1" applyBorder="1" applyAlignment="1" applyProtection="1">
      <alignment horizontal="right"/>
      <protection hidden="1"/>
    </xf>
    <xf numFmtId="168" fontId="24" fillId="0" borderId="22" xfId="0" applyNumberFormat="1" applyFont="1" applyBorder="1" applyAlignment="1" applyProtection="1">
      <alignment horizontal="right"/>
      <protection hidden="1"/>
    </xf>
    <xf numFmtId="0" fontId="22" fillId="18" borderId="22" xfId="0" applyFont="1" applyFill="1" applyBorder="1" applyAlignment="1" applyProtection="1">
      <alignment horizontal="left" vertical="center"/>
      <protection hidden="1"/>
    </xf>
    <xf numFmtId="0" fontId="23" fillId="27" borderId="22" xfId="0" applyFont="1" applyFill="1" applyBorder="1" applyAlignment="1" applyProtection="1">
      <alignment horizontal="left" vertical="center"/>
      <protection hidden="1"/>
    </xf>
    <xf numFmtId="0" fontId="28" fillId="0" borderId="0" xfId="0" applyFont="1" applyAlignment="1" applyProtection="1">
      <alignment horizontal="right"/>
      <protection hidden="1"/>
    </xf>
    <xf numFmtId="0" fontId="28" fillId="0" borderId="0" xfId="0" applyFont="1" applyAlignment="1">
      <alignment horizontal="right" wrapText="1"/>
    </xf>
    <xf numFmtId="168" fontId="28" fillId="0" borderId="0" xfId="0" applyNumberFormat="1" applyFont="1" applyAlignment="1" applyProtection="1">
      <alignment horizontal="right"/>
      <protection hidden="1"/>
    </xf>
    <xf numFmtId="49" fontId="20" fillId="18" borderId="0" xfId="0" applyNumberFormat="1" applyFont="1" applyFill="1" applyAlignment="1" applyProtection="1">
      <alignment horizontal="left" vertical="top"/>
      <protection hidden="1"/>
    </xf>
    <xf numFmtId="0" fontId="32" fillId="18" borderId="0" xfId="0" applyFont="1" applyFill="1" applyAlignment="1" applyProtection="1">
      <alignment horizontal="center" vertical="center"/>
      <protection hidden="1"/>
    </xf>
    <xf numFmtId="0" fontId="33" fillId="18" borderId="0" xfId="0" applyFont="1" applyFill="1" applyAlignment="1" applyProtection="1">
      <alignment horizontal="center" vertical="center" wrapText="1"/>
      <protection hidden="1"/>
    </xf>
    <xf numFmtId="0" fontId="31" fillId="0" borderId="0" xfId="0" applyFont="1" applyProtection="1">
      <protection hidden="1"/>
    </xf>
    <xf numFmtId="49" fontId="34" fillId="18" borderId="0" xfId="0" applyNumberFormat="1" applyFont="1" applyFill="1" applyAlignment="1" applyProtection="1">
      <alignment horizontal="center" vertical="center"/>
      <protection hidden="1"/>
    </xf>
    <xf numFmtId="49" fontId="21" fillId="18" borderId="22" xfId="0" applyNumberFormat="1" applyFont="1" applyFill="1" applyBorder="1" applyAlignment="1" applyProtection="1">
      <alignment horizontal="center" vertical="center" wrapText="1"/>
      <protection hidden="1"/>
    </xf>
    <xf numFmtId="49" fontId="24" fillId="18" borderId="0" xfId="0" applyNumberFormat="1" applyFont="1" applyFill="1" applyAlignment="1" applyProtection="1">
      <alignment horizontal="center" vertical="center"/>
      <protection hidden="1"/>
    </xf>
    <xf numFmtId="49" fontId="24" fillId="18" borderId="22" xfId="0" applyNumberFormat="1" applyFont="1" applyFill="1" applyBorder="1" applyAlignment="1" applyProtection="1">
      <alignment horizontal="left" vertical="center"/>
      <protection hidden="1"/>
    </xf>
    <xf numFmtId="49" fontId="24" fillId="23" borderId="22" xfId="0" applyNumberFormat="1" applyFont="1" applyFill="1" applyBorder="1" applyAlignment="1" applyProtection="1">
      <alignment horizontal="left" vertical="center"/>
      <protection hidden="1"/>
    </xf>
    <xf numFmtId="168" fontId="34" fillId="24" borderId="22" xfId="0" applyNumberFormat="1" applyFont="1" applyFill="1" applyBorder="1" applyAlignment="1" applyProtection="1">
      <alignment horizontal="right"/>
      <protection hidden="1"/>
    </xf>
    <xf numFmtId="168" fontId="21" fillId="19" borderId="22" xfId="0" applyNumberFormat="1" applyFont="1" applyFill="1" applyBorder="1" applyAlignment="1" applyProtection="1">
      <alignment horizontal="right"/>
      <protection hidden="1"/>
    </xf>
    <xf numFmtId="168" fontId="34" fillId="18" borderId="22" xfId="0" applyNumberFormat="1" applyFont="1" applyFill="1" applyBorder="1" applyAlignment="1" applyProtection="1">
      <alignment horizontal="right"/>
      <protection hidden="1"/>
    </xf>
    <xf numFmtId="168" fontId="34" fillId="0" borderId="22" xfId="0" applyNumberFormat="1" applyFont="1" applyBorder="1" applyAlignment="1" applyProtection="1">
      <alignment horizontal="right"/>
      <protection hidden="1"/>
    </xf>
    <xf numFmtId="168" fontId="34" fillId="30" borderId="22" xfId="0" applyNumberFormat="1" applyFont="1" applyFill="1" applyBorder="1" applyAlignment="1" applyProtection="1">
      <alignment horizontal="right"/>
      <protection hidden="1"/>
    </xf>
    <xf numFmtId="0" fontId="24" fillId="18" borderId="0" xfId="0" applyFont="1" applyFill="1" applyAlignment="1" applyProtection="1">
      <alignment horizontal="center" vertical="center"/>
      <protection hidden="1"/>
    </xf>
    <xf numFmtId="49" fontId="23" fillId="27" borderId="22" xfId="0" applyNumberFormat="1" applyFont="1" applyFill="1" applyBorder="1" applyAlignment="1" applyProtection="1">
      <alignment horizontal="left" vertical="center"/>
      <protection hidden="1"/>
    </xf>
    <xf numFmtId="0" fontId="20" fillId="18" borderId="0" xfId="0" applyFont="1" applyFill="1" applyAlignment="1">
      <alignment horizontal="center" vertical="center"/>
    </xf>
    <xf numFmtId="0" fontId="21" fillId="18" borderId="0" xfId="0" applyFont="1" applyFill="1" applyAlignment="1">
      <alignment horizontal="center" vertical="center" wrapText="1"/>
    </xf>
    <xf numFmtId="0" fontId="22" fillId="18" borderId="22" xfId="0" applyFont="1" applyFill="1" applyBorder="1" applyAlignment="1">
      <alignment horizontal="center" vertical="center" wrapText="1"/>
    </xf>
    <xf numFmtId="0" fontId="23" fillId="27" borderId="22" xfId="0" applyFont="1" applyFill="1" applyBorder="1" applyAlignment="1">
      <alignment horizontal="center" vertical="center" wrapText="1"/>
    </xf>
    <xf numFmtId="49" fontId="35" fillId="18" borderId="0" xfId="0" applyNumberFormat="1" applyFont="1" applyFill="1" applyAlignment="1">
      <alignment horizontal="center" vertical="center"/>
    </xf>
    <xf numFmtId="49" fontId="35" fillId="18" borderId="22" xfId="0" applyNumberFormat="1" applyFont="1" applyFill="1" applyBorder="1" applyAlignment="1">
      <alignment horizontal="center" vertical="center" wrapText="1"/>
    </xf>
    <xf numFmtId="49" fontId="21" fillId="18" borderId="22" xfId="0" applyNumberFormat="1" applyFont="1" applyFill="1" applyBorder="1" applyAlignment="1">
      <alignment horizontal="center" vertical="center" wrapText="1"/>
    </xf>
    <xf numFmtId="49" fontId="24" fillId="18" borderId="0" xfId="0" applyNumberFormat="1" applyFont="1" applyFill="1" applyAlignment="1">
      <alignment horizontal="center" vertical="center"/>
    </xf>
    <xf numFmtId="49" fontId="24" fillId="18" borderId="22" xfId="0" applyNumberFormat="1" applyFont="1" applyFill="1" applyBorder="1" applyAlignment="1">
      <alignment horizontal="left" vertical="center"/>
    </xf>
    <xf numFmtId="49" fontId="36" fillId="18" borderId="22" xfId="0" applyNumberFormat="1" applyFont="1" applyFill="1" applyBorder="1" applyAlignment="1">
      <alignment horizontal="left" vertical="center" wrapText="1"/>
    </xf>
    <xf numFmtId="168" fontId="28" fillId="26" borderId="22" xfId="0" applyNumberFormat="1" applyFont="1" applyFill="1" applyBorder="1" applyAlignment="1">
      <alignment horizontal="right" wrapText="1"/>
    </xf>
    <xf numFmtId="168" fontId="28" fillId="22" borderId="22" xfId="0" applyNumberFormat="1" applyFont="1" applyFill="1" applyBorder="1" applyAlignment="1">
      <alignment horizontal="right" wrapText="1"/>
    </xf>
    <xf numFmtId="168" fontId="21" fillId="19" borderId="22" xfId="0" applyNumberFormat="1" applyFont="1" applyFill="1" applyBorder="1" applyAlignment="1">
      <alignment horizontal="right"/>
    </xf>
    <xf numFmtId="0" fontId="36" fillId="0" borderId="0" xfId="0" applyFont="1" applyAlignment="1">
      <alignment wrapText="1"/>
    </xf>
    <xf numFmtId="0" fontId="18" fillId="0" borderId="0" xfId="0" applyFont="1"/>
    <xf numFmtId="49" fontId="37" fillId="27" borderId="22" xfId="0" applyNumberFormat="1" applyFont="1" applyFill="1" applyBorder="1" applyAlignment="1">
      <alignment horizontal="left" vertical="center" wrapText="1"/>
    </xf>
    <xf numFmtId="0" fontId="28" fillId="0" borderId="0" xfId="0" applyFont="1" applyProtection="1">
      <protection hidden="1"/>
    </xf>
    <xf numFmtId="0" fontId="38" fillId="0" borderId="22" xfId="0" applyFont="1" applyBorder="1" applyAlignment="1" applyProtection="1">
      <alignment horizontal="left" vertical="center"/>
      <protection hidden="1"/>
    </xf>
    <xf numFmtId="168" fontId="24" fillId="0" borderId="22" xfId="0" applyNumberFormat="1" applyFont="1" applyBorder="1" applyProtection="1">
      <protection hidden="1"/>
    </xf>
    <xf numFmtId="0" fontId="38" fillId="18" borderId="22" xfId="0" applyFont="1" applyFill="1" applyBorder="1" applyAlignment="1" applyProtection="1">
      <alignment horizontal="left" vertical="center"/>
      <protection hidden="1"/>
    </xf>
    <xf numFmtId="168" fontId="39" fillId="0" borderId="0" xfId="0" applyNumberFormat="1" applyFont="1" applyProtection="1">
      <protection hidden="1"/>
    </xf>
    <xf numFmtId="40" fontId="40" fillId="0" borderId="0" xfId="0" applyNumberFormat="1" applyFont="1" applyProtection="1">
      <protection hidden="1"/>
    </xf>
    <xf numFmtId="0" fontId="28" fillId="0" borderId="0" xfId="0" applyFont="1" applyAlignment="1">
      <alignment vertical="center" wrapText="1"/>
    </xf>
    <xf numFmtId="168" fontId="25" fillId="26" borderId="22" xfId="0" applyNumberFormat="1" applyFont="1" applyFill="1" applyBorder="1" applyAlignment="1">
      <alignment horizontal="center" vertical="center" wrapText="1"/>
    </xf>
    <xf numFmtId="0" fontId="28" fillId="0" borderId="0" xfId="0" applyFont="1" applyAlignment="1">
      <alignment horizontal="right" vertical="center"/>
    </xf>
    <xf numFmtId="168" fontId="28" fillId="0" borderId="0" xfId="0" applyNumberFormat="1" applyFont="1" applyProtection="1">
      <protection hidden="1"/>
    </xf>
    <xf numFmtId="0" fontId="41" fillId="0" borderId="24" xfId="0" applyFont="1" applyBorder="1" applyAlignment="1" applyProtection="1">
      <alignment horizontal="left" vertical="center" wrapText="1" indent="1"/>
      <protection hidden="1"/>
    </xf>
    <xf numFmtId="0" fontId="41" fillId="0" borderId="25" xfId="0" applyFont="1" applyBorder="1" applyAlignment="1" applyProtection="1">
      <alignment horizontal="left" vertical="center" wrapText="1" indent="1"/>
      <protection hidden="1"/>
    </xf>
    <xf numFmtId="0" fontId="41" fillId="0" borderId="26" xfId="0" applyFont="1" applyBorder="1" applyAlignment="1" applyProtection="1">
      <alignment horizontal="left" vertical="center" wrapText="1" indent="1"/>
      <protection hidden="1"/>
    </xf>
    <xf numFmtId="0" fontId="23" fillId="19" borderId="22" xfId="0" applyFont="1" applyFill="1" applyBorder="1" applyAlignment="1">
      <alignment horizontal="center" vertical="center" wrapText="1"/>
    </xf>
    <xf numFmtId="0" fontId="40" fillId="31" borderId="22" xfId="0" applyFont="1" applyFill="1" applyBorder="1" applyAlignment="1" applyProtection="1">
      <alignment horizontal="left" vertical="center"/>
      <protection hidden="1"/>
    </xf>
    <xf numFmtId="0" fontId="24" fillId="18" borderId="22" xfId="0" applyFont="1" applyFill="1" applyBorder="1" applyAlignment="1">
      <alignment horizontal="left" vertical="center"/>
    </xf>
    <xf numFmtId="0" fontId="23" fillId="27" borderId="22" xfId="0" applyFont="1" applyFill="1" applyBorder="1" applyAlignment="1">
      <alignment horizontal="left" vertical="center"/>
    </xf>
    <xf numFmtId="0" fontId="42" fillId="0" borderId="0" xfId="0" applyFont="1" applyAlignment="1">
      <alignment horizontal="left"/>
    </xf>
    <xf numFmtId="0" fontId="28" fillId="0" borderId="0" xfId="0" applyFont="1"/>
    <xf numFmtId="0" fontId="43" fillId="0" borderId="0" xfId="0" applyFont="1" applyAlignment="1">
      <alignment horizontal="left" indent="1"/>
    </xf>
    <xf numFmtId="49" fontId="40" fillId="31" borderId="22" xfId="0" applyNumberFormat="1" applyFont="1" applyFill="1" applyBorder="1" applyAlignment="1" applyProtection="1">
      <alignment horizontal="left" vertical="center"/>
      <protection hidden="1"/>
    </xf>
    <xf numFmtId="168" fontId="21" fillId="19" borderId="22" xfId="0" applyNumberFormat="1" applyFont="1" applyFill="1" applyBorder="1" applyProtection="1">
      <protection hidden="1"/>
    </xf>
    <xf numFmtId="49" fontId="23" fillId="27" borderId="22" xfId="0" applyNumberFormat="1" applyFont="1" applyFill="1" applyBorder="1" applyAlignment="1">
      <alignment horizontal="left" vertical="center"/>
    </xf>
    <xf numFmtId="0" fontId="21" fillId="18" borderId="0" xfId="0" applyFont="1" applyFill="1" applyAlignment="1">
      <alignment horizontal="center" vertical="center"/>
    </xf>
    <xf numFmtId="49" fontId="21" fillId="18" borderId="0" xfId="0" applyNumberFormat="1" applyFont="1" applyFill="1" applyAlignment="1">
      <alignment horizontal="center" vertical="center"/>
    </xf>
    <xf numFmtId="0" fontId="40" fillId="31" borderId="22" xfId="0" applyFont="1" applyFill="1" applyBorder="1" applyAlignment="1">
      <alignment horizontal="left" vertical="center"/>
    </xf>
    <xf numFmtId="49" fontId="24" fillId="18" borderId="22" xfId="0" applyNumberFormat="1" applyFont="1" applyFill="1" applyBorder="1" applyAlignment="1">
      <alignment horizontal="left" vertical="center" wrapText="1"/>
    </xf>
    <xf numFmtId="168" fontId="28" fillId="0" borderId="22" xfId="0" applyNumberFormat="1" applyFont="1" applyBorder="1" applyAlignment="1">
      <alignment horizontal="right" wrapText="1"/>
    </xf>
    <xf numFmtId="168" fontId="21" fillId="19" borderId="22" xfId="0" applyNumberFormat="1" applyFont="1" applyFill="1" applyBorder="1"/>
    <xf numFmtId="0" fontId="24" fillId="18" borderId="27" xfId="0" applyFont="1" applyFill="1" applyBorder="1" applyAlignment="1">
      <alignment horizontal="left" vertical="center"/>
    </xf>
    <xf numFmtId="49" fontId="24" fillId="18" borderId="27" xfId="0" applyNumberFormat="1" applyFont="1" applyFill="1" applyBorder="1" applyAlignment="1">
      <alignment horizontal="left" vertical="center"/>
    </xf>
    <xf numFmtId="0" fontId="24" fillId="0" borderId="0" xfId="0" applyFont="1" applyAlignment="1">
      <alignment wrapText="1"/>
    </xf>
    <xf numFmtId="0" fontId="24" fillId="0" borderId="28" xfId="0" applyFont="1" applyBorder="1" applyAlignment="1">
      <alignment wrapText="1"/>
    </xf>
    <xf numFmtId="0" fontId="31" fillId="0" borderId="28" xfId="0" applyFont="1" applyBorder="1"/>
    <xf numFmtId="49" fontId="23" fillId="27" borderId="29" xfId="0" applyNumberFormat="1" applyFont="1" applyFill="1" applyBorder="1" applyAlignment="1">
      <alignment horizontal="left" vertical="center" wrapText="1"/>
    </xf>
    <xf numFmtId="0" fontId="30" fillId="0" borderId="0" xfId="0" applyFont="1" applyProtection="1">
      <protection hidden="1"/>
    </xf>
    <xf numFmtId="0" fontId="44" fillId="0" borderId="0" xfId="0" applyFont="1" applyProtection="1">
      <protection locked="0"/>
    </xf>
    <xf numFmtId="0" fontId="30" fillId="0" borderId="0" xfId="0" applyFont="1" applyAlignment="1" applyProtection="1">
      <alignment horizontal="left"/>
      <protection hidden="1"/>
    </xf>
    <xf numFmtId="0" fontId="45" fillId="0" borderId="0" xfId="0" applyFont="1" applyAlignment="1" applyProtection="1">
      <alignment horizontal="left"/>
      <protection hidden="1"/>
    </xf>
    <xf numFmtId="0" fontId="11" fillId="0" borderId="0" xfId="0" applyFont="1"/>
    <xf numFmtId="0" fontId="44" fillId="0" borderId="0" xfId="0" applyFont="1" applyAlignment="1" applyProtection="1">
      <alignment horizontal="left" vertical="center"/>
      <protection locked="0"/>
    </xf>
    <xf numFmtId="49" fontId="44" fillId="0" borderId="0" xfId="0" applyNumberFormat="1" applyFont="1" applyAlignment="1" applyProtection="1">
      <alignment horizontal="left" vertical="center"/>
      <protection locked="0"/>
    </xf>
    <xf numFmtId="0" fontId="18" fillId="0" borderId="0" xfId="0" applyFont="1" applyAlignment="1">
      <alignment vertical="center"/>
    </xf>
    <xf numFmtId="0" fontId="19" fillId="18" borderId="0" xfId="0" applyFont="1" applyFill="1" applyAlignment="1">
      <alignment horizontal="left"/>
    </xf>
    <xf numFmtId="0" fontId="19" fillId="0" borderId="0" xfId="0" applyFont="1" applyAlignment="1">
      <alignment horizontal="left" vertical="center"/>
    </xf>
    <xf numFmtId="0" fontId="20" fillId="0" borderId="0" xfId="0" applyFont="1" applyAlignment="1">
      <alignment horizontal="left" vertical="top"/>
    </xf>
    <xf numFmtId="0" fontId="46" fillId="0" borderId="0" xfId="0" applyFont="1" applyAlignment="1">
      <alignment horizontal="center" vertical="center" wrapText="1"/>
    </xf>
    <xf numFmtId="0" fontId="19" fillId="0" borderId="0" xfId="0" applyFont="1" applyAlignment="1">
      <alignment horizontal="left"/>
    </xf>
    <xf numFmtId="0" fontId="21" fillId="0" borderId="0" xfId="0" applyFont="1" applyAlignment="1">
      <alignment horizontal="center" vertical="center" wrapText="1"/>
    </xf>
    <xf numFmtId="0" fontId="22" fillId="0" borderId="22" xfId="0" applyFont="1" applyBorder="1" applyAlignment="1">
      <alignment horizontal="center" vertical="center" wrapText="1"/>
    </xf>
    <xf numFmtId="0" fontId="23" fillId="32" borderId="22" xfId="0" applyFont="1" applyFill="1" applyBorder="1" applyAlignment="1">
      <alignment horizontal="center" vertical="center" wrapText="1"/>
    </xf>
    <xf numFmtId="0" fontId="23" fillId="32" borderId="27" xfId="0" applyFont="1" applyFill="1" applyBorder="1" applyAlignment="1">
      <alignment horizontal="center" vertical="center" wrapText="1"/>
    </xf>
    <xf numFmtId="0" fontId="22" fillId="22" borderId="22" xfId="0" applyFont="1" applyFill="1" applyBorder="1" applyAlignment="1">
      <alignment horizontal="center" vertical="center" wrapText="1"/>
    </xf>
    <xf numFmtId="0" fontId="38" fillId="0" borderId="22" xfId="0" applyFont="1" applyBorder="1" applyAlignment="1">
      <alignment horizontal="center" vertical="center" wrapText="1"/>
    </xf>
    <xf numFmtId="0" fontId="23" fillId="32" borderId="30" xfId="0" applyFont="1" applyFill="1" applyBorder="1" applyAlignment="1">
      <alignment horizontal="center" vertical="center" wrapText="1"/>
    </xf>
    <xf numFmtId="49" fontId="21" fillId="0" borderId="0" xfId="0" applyNumberFormat="1" applyFont="1" applyAlignment="1">
      <alignment horizontal="center" vertical="center" wrapText="1"/>
    </xf>
    <xf numFmtId="0" fontId="21" fillId="0" borderId="22" xfId="0" applyFont="1" applyBorder="1" applyAlignment="1">
      <alignment horizontal="center" vertical="center" wrapText="1"/>
    </xf>
    <xf numFmtId="0" fontId="23" fillId="32" borderId="31" xfId="0" applyFont="1" applyFill="1" applyBorder="1" applyAlignment="1">
      <alignment horizontal="center" vertical="center" wrapText="1"/>
    </xf>
    <xf numFmtId="49" fontId="24" fillId="0" borderId="23" xfId="0" applyNumberFormat="1" applyFont="1" applyBorder="1" applyAlignment="1">
      <alignment horizontal="left" vertical="center"/>
    </xf>
    <xf numFmtId="0" fontId="24" fillId="0" borderId="22" xfId="0" applyFont="1" applyBorder="1" applyAlignment="1">
      <alignment horizontal="left"/>
    </xf>
    <xf numFmtId="0" fontId="24" fillId="0" borderId="22" xfId="0" applyFont="1" applyBorder="1" applyAlignment="1">
      <alignment horizontal="left" vertical="center" wrapText="1"/>
    </xf>
    <xf numFmtId="168" fontId="25" fillId="0" borderId="22" xfId="0" applyNumberFormat="1" applyFont="1" applyBorder="1" applyAlignment="1">
      <alignment horizontal="center" vertical="center" wrapText="1"/>
    </xf>
    <xf numFmtId="168" fontId="27" fillId="0" borderId="22" xfId="0" applyNumberFormat="1" applyFont="1" applyBorder="1" applyAlignment="1">
      <alignment horizontal="center" vertical="center" wrapText="1"/>
    </xf>
    <xf numFmtId="168" fontId="22" fillId="32" borderId="22" xfId="0" applyNumberFormat="1" applyFont="1" applyFill="1" applyBorder="1" applyAlignment="1">
      <alignment vertical="center"/>
    </xf>
    <xf numFmtId="168" fontId="22" fillId="32" borderId="22" xfId="0" applyNumberFormat="1" applyFont="1" applyFill="1" applyBorder="1"/>
    <xf numFmtId="168" fontId="24" fillId="33" borderId="22" xfId="0" applyNumberFormat="1" applyFont="1" applyFill="1" applyBorder="1"/>
    <xf numFmtId="168" fontId="24" fillId="33" borderId="22" xfId="0" applyNumberFormat="1" applyFont="1" applyFill="1" applyBorder="1" applyAlignment="1">
      <alignment horizontal="center" vertical="center" wrapText="1"/>
    </xf>
    <xf numFmtId="168" fontId="24" fillId="25" borderId="22" xfId="0" applyNumberFormat="1" applyFont="1" applyFill="1" applyBorder="1"/>
    <xf numFmtId="168" fontId="24" fillId="25" borderId="22" xfId="0" applyNumberFormat="1" applyFont="1" applyFill="1" applyBorder="1" applyAlignment="1">
      <alignment horizontal="center" vertical="center" wrapText="1"/>
    </xf>
    <xf numFmtId="168" fontId="22" fillId="19" borderId="22" xfId="0" applyNumberFormat="1" applyFont="1" applyFill="1" applyBorder="1"/>
    <xf numFmtId="168" fontId="24" fillId="33" borderId="22" xfId="0" applyNumberFormat="1" applyFont="1" applyFill="1" applyBorder="1" applyAlignment="1">
      <alignment horizontal="center" vertical="center"/>
    </xf>
    <xf numFmtId="168" fontId="24" fillId="25" borderId="22" xfId="0" applyNumberFormat="1" applyFont="1" applyFill="1" applyBorder="1" applyAlignment="1">
      <alignment horizontal="center" vertical="center"/>
    </xf>
    <xf numFmtId="168" fontId="27" fillId="0" borderId="27" xfId="0" applyNumberFormat="1" applyFont="1" applyBorder="1" applyAlignment="1">
      <alignment horizontal="center" vertical="center" wrapText="1"/>
    </xf>
    <xf numFmtId="168" fontId="27" fillId="0" borderId="28" xfId="0" applyNumberFormat="1" applyFont="1" applyBorder="1" applyAlignment="1">
      <alignment horizontal="center" vertical="center" wrapText="1"/>
    </xf>
    <xf numFmtId="0" fontId="47" fillId="0" borderId="28" xfId="0" applyFont="1" applyBorder="1" applyAlignment="1">
      <alignment horizontal="center" vertical="center" wrapText="1"/>
    </xf>
    <xf numFmtId="168" fontId="22" fillId="32" borderId="29" xfId="0" applyNumberFormat="1" applyFont="1" applyFill="1" applyBorder="1" applyAlignment="1">
      <alignment vertical="center"/>
    </xf>
    <xf numFmtId="168" fontId="27" fillId="0" borderId="31" xfId="0" applyNumberFormat="1" applyFont="1" applyBorder="1" applyAlignment="1">
      <alignment horizontal="center" vertical="center" wrapText="1"/>
    </xf>
    <xf numFmtId="0" fontId="22" fillId="0" borderId="22" xfId="0" applyFont="1" applyBorder="1" applyAlignment="1">
      <alignment horizontal="left"/>
    </xf>
    <xf numFmtId="0" fontId="22" fillId="0" borderId="22" xfId="0" applyFont="1" applyBorder="1" applyAlignment="1">
      <alignment horizontal="left" vertical="center" wrapText="1"/>
    </xf>
    <xf numFmtId="0" fontId="23" fillId="32" borderId="22" xfId="0" applyFont="1" applyFill="1" applyBorder="1" applyAlignment="1">
      <alignment horizontal="left" vertical="center" wrapText="1"/>
    </xf>
    <xf numFmtId="168" fontId="22" fillId="27" borderId="22" xfId="0" applyNumberFormat="1" applyFont="1" applyFill="1" applyBorder="1"/>
    <xf numFmtId="0" fontId="48" fillId="0" borderId="0" xfId="0" applyFont="1" applyAlignment="1">
      <alignment horizontal="right" vertical="center"/>
    </xf>
    <xf numFmtId="0" fontId="20" fillId="0" borderId="0" xfId="0" applyFont="1" applyAlignment="1" applyProtection="1">
      <alignment horizontal="left" vertical="center" wrapText="1"/>
      <protection hidden="1"/>
    </xf>
    <xf numFmtId="0" fontId="19" fillId="0" borderId="0" xfId="0" applyFont="1" applyAlignment="1" applyProtection="1">
      <alignment horizontal="left" vertical="center" wrapText="1"/>
      <protection hidden="1"/>
    </xf>
    <xf numFmtId="0" fontId="21" fillId="0" borderId="0" xfId="0" applyFont="1" applyAlignment="1" applyProtection="1">
      <alignment horizontal="center" vertical="center" wrapText="1"/>
      <protection hidden="1"/>
    </xf>
    <xf numFmtId="0" fontId="23" fillId="32" borderId="22" xfId="0" applyFont="1" applyFill="1" applyBorder="1" applyAlignment="1" applyProtection="1">
      <alignment horizontal="center" vertical="center" wrapText="1"/>
      <protection hidden="1"/>
    </xf>
    <xf numFmtId="0" fontId="21" fillId="0" borderId="22" xfId="0" applyFont="1" applyBorder="1" applyAlignment="1" applyProtection="1">
      <alignment horizontal="center" vertical="center" wrapText="1"/>
      <protection hidden="1"/>
    </xf>
    <xf numFmtId="0" fontId="24" fillId="0" borderId="23" xfId="0" applyFont="1" applyBorder="1" applyAlignment="1" applyProtection="1">
      <alignment horizontal="center" vertical="center" wrapText="1"/>
      <protection hidden="1"/>
    </xf>
    <xf numFmtId="0" fontId="24" fillId="0" borderId="22" xfId="0" applyFont="1" applyBorder="1" applyAlignment="1" applyProtection="1">
      <alignment horizontal="left" vertical="center" wrapText="1"/>
      <protection hidden="1"/>
    </xf>
    <xf numFmtId="168" fontId="27" fillId="0" borderId="22" xfId="0" applyNumberFormat="1" applyFont="1" applyBorder="1" applyAlignment="1" applyProtection="1">
      <alignment vertical="center" wrapText="1"/>
      <protection hidden="1"/>
    </xf>
    <xf numFmtId="168" fontId="25" fillId="0" borderId="22" xfId="0" applyNumberFormat="1" applyFont="1" applyBorder="1" applyAlignment="1" applyProtection="1">
      <alignment horizontal="center" vertical="center" wrapText="1"/>
      <protection hidden="1"/>
    </xf>
    <xf numFmtId="168" fontId="22" fillId="32" borderId="22" xfId="0" applyNumberFormat="1" applyFont="1" applyFill="1" applyBorder="1" applyAlignment="1" applyProtection="1">
      <alignment horizontal="right" vertical="center" wrapText="1"/>
      <protection hidden="1"/>
    </xf>
    <xf numFmtId="168" fontId="27" fillId="0" borderId="22" xfId="0" applyNumberFormat="1" applyFont="1" applyBorder="1" applyAlignment="1" applyProtection="1">
      <alignment horizontal="right" vertical="center" wrapText="1"/>
      <protection hidden="1"/>
    </xf>
    <xf numFmtId="168" fontId="39" fillId="0" borderId="22" xfId="0" applyNumberFormat="1" applyFont="1" applyBorder="1" applyAlignment="1" applyProtection="1">
      <alignment horizontal="right" vertical="center" wrapText="1"/>
      <protection hidden="1"/>
    </xf>
    <xf numFmtId="168" fontId="49" fillId="0" borderId="22" xfId="0" applyNumberFormat="1" applyFont="1" applyBorder="1" applyAlignment="1" applyProtection="1">
      <alignment horizontal="right" vertical="center" wrapText="1"/>
      <protection hidden="1"/>
    </xf>
    <xf numFmtId="168" fontId="39" fillId="0" borderId="22" xfId="0" applyNumberFormat="1" applyFont="1" applyBorder="1" applyAlignment="1" applyProtection="1">
      <alignment horizontal="center" vertical="center" wrapText="1"/>
      <protection hidden="1"/>
    </xf>
    <xf numFmtId="168" fontId="25" fillId="0" borderId="22" xfId="0" applyNumberFormat="1" applyFont="1" applyBorder="1" applyAlignment="1" applyProtection="1">
      <alignment horizontal="right" vertical="center" wrapText="1"/>
      <protection hidden="1"/>
    </xf>
    <xf numFmtId="0" fontId="22" fillId="0" borderId="22" xfId="0" applyFont="1" applyBorder="1" applyAlignment="1" applyProtection="1">
      <alignment horizontal="left" vertical="center" wrapText="1"/>
      <protection hidden="1"/>
    </xf>
    <xf numFmtId="0" fontId="23" fillId="32" borderId="22" xfId="0" applyFont="1" applyFill="1" applyBorder="1" applyAlignment="1" applyProtection="1">
      <alignment horizontal="left" vertical="center" wrapText="1"/>
      <protection hidden="1"/>
    </xf>
    <xf numFmtId="168" fontId="22" fillId="32" borderId="22" xfId="0" applyNumberFormat="1" applyFont="1" applyFill="1" applyBorder="1" applyAlignment="1" applyProtection="1">
      <alignment vertical="center" wrapText="1"/>
      <protection hidden="1"/>
    </xf>
    <xf numFmtId="0" fontId="18" fillId="0" borderId="0" xfId="0" applyFont="1" applyAlignment="1">
      <alignment wrapText="1"/>
    </xf>
    <xf numFmtId="0" fontId="50" fillId="0" borderId="0" xfId="0" applyFont="1" applyAlignment="1">
      <alignment horizontal="left" vertical="center"/>
    </xf>
    <xf numFmtId="0" fontId="35" fillId="0" borderId="0" xfId="0" applyFont="1" applyAlignment="1">
      <alignment horizontal="left" vertical="center"/>
    </xf>
    <xf numFmtId="0" fontId="50" fillId="0" borderId="0" xfId="0" applyFont="1" applyAlignment="1">
      <alignment horizontal="center" vertical="center"/>
    </xf>
    <xf numFmtId="0" fontId="35" fillId="0" borderId="0" xfId="0" applyFont="1" applyAlignment="1">
      <alignment horizontal="center" vertical="center" wrapText="1"/>
    </xf>
    <xf numFmtId="0" fontId="51" fillId="0" borderId="22" xfId="0" applyFont="1" applyBorder="1" applyAlignment="1">
      <alignment horizontal="center" vertical="center" wrapText="1"/>
    </xf>
    <xf numFmtId="0" fontId="37" fillId="32" borderId="22" xfId="0" applyFont="1" applyFill="1" applyBorder="1" applyAlignment="1">
      <alignment horizontal="center" vertical="center" wrapText="1"/>
    </xf>
    <xf numFmtId="49" fontId="35" fillId="0" borderId="0" xfId="0" applyNumberFormat="1" applyFont="1" applyAlignment="1">
      <alignment horizontal="center" vertical="center" wrapText="1"/>
    </xf>
    <xf numFmtId="0" fontId="35" fillId="0" borderId="22" xfId="0" applyFont="1" applyBorder="1" applyAlignment="1">
      <alignment horizontal="center" vertical="center" wrapText="1"/>
    </xf>
    <xf numFmtId="0" fontId="52" fillId="0" borderId="22" xfId="0" applyFont="1" applyBorder="1" applyAlignment="1">
      <alignment horizontal="center" vertical="center" wrapText="1"/>
    </xf>
    <xf numFmtId="49" fontId="36" fillId="0" borderId="23" xfId="0" applyNumberFormat="1" applyFont="1" applyBorder="1" applyAlignment="1">
      <alignment horizontal="left" vertical="center"/>
    </xf>
    <xf numFmtId="0" fontId="36" fillId="0" borderId="22" xfId="0" applyFont="1" applyBorder="1" applyAlignment="1">
      <alignment horizontal="left" vertical="center"/>
    </xf>
    <xf numFmtId="0" fontId="36" fillId="0" borderId="22" xfId="0" applyFont="1" applyBorder="1" applyAlignment="1">
      <alignment horizontal="left" vertical="center" wrapText="1"/>
    </xf>
    <xf numFmtId="168" fontId="53" fillId="0" borderId="22" xfId="0" applyNumberFormat="1" applyFont="1" applyBorder="1" applyAlignment="1">
      <alignment horizontal="center" vertical="center" wrapText="1"/>
    </xf>
    <xf numFmtId="168" fontId="51" fillId="32" borderId="22" xfId="0" applyNumberFormat="1" applyFont="1" applyFill="1" applyBorder="1" applyAlignment="1">
      <alignment horizontal="center" vertical="center" wrapText="1"/>
    </xf>
    <xf numFmtId="168" fontId="53" fillId="0" borderId="22" xfId="0" applyNumberFormat="1" applyFont="1" applyBorder="1" applyAlignment="1">
      <alignment horizontal="center" wrapText="1"/>
    </xf>
    <xf numFmtId="168" fontId="54" fillId="0" borderId="22" xfId="0" applyNumberFormat="1" applyFont="1" applyBorder="1" applyAlignment="1">
      <alignment horizontal="center" wrapText="1"/>
    </xf>
    <xf numFmtId="168" fontId="41" fillId="0" borderId="22" xfId="0" applyNumberFormat="1" applyFont="1" applyBorder="1" applyAlignment="1">
      <alignment horizontal="center" vertical="center" wrapText="1"/>
    </xf>
    <xf numFmtId="168" fontId="54" fillId="0" borderId="22" xfId="0" applyNumberFormat="1" applyFont="1" applyBorder="1" applyAlignment="1">
      <alignment horizontal="center" vertical="center" wrapText="1"/>
    </xf>
    <xf numFmtId="168" fontId="36" fillId="0" borderId="22" xfId="0" applyNumberFormat="1" applyFont="1" applyBorder="1" applyAlignment="1">
      <alignment horizontal="center" vertical="center" wrapText="1"/>
    </xf>
    <xf numFmtId="168" fontId="52" fillId="0" borderId="22" xfId="0" applyNumberFormat="1" applyFont="1" applyBorder="1" applyAlignment="1">
      <alignment horizontal="center" vertical="center" wrapText="1"/>
    </xf>
    <xf numFmtId="0" fontId="51" fillId="0" borderId="22" xfId="0" applyFont="1" applyBorder="1" applyAlignment="1">
      <alignment horizontal="left" vertical="center"/>
    </xf>
    <xf numFmtId="0" fontId="51" fillId="0" borderId="22" xfId="0" applyFont="1" applyBorder="1" applyAlignment="1">
      <alignment horizontal="left" vertical="center" wrapText="1"/>
    </xf>
    <xf numFmtId="0" fontId="37" fillId="0" borderId="22" xfId="0" applyFont="1" applyBorder="1" applyAlignment="1">
      <alignment horizontal="left" vertical="center" wrapText="1"/>
    </xf>
    <xf numFmtId="168" fontId="51" fillId="19" borderId="22" xfId="0" applyNumberFormat="1" applyFont="1" applyFill="1" applyBorder="1" applyAlignment="1" applyProtection="1">
      <alignment vertical="center"/>
      <protection hidden="1"/>
    </xf>
    <xf numFmtId="0" fontId="2" fillId="0" borderId="0" xfId="0" applyFont="1" applyAlignment="1">
      <alignment vertical="center"/>
    </xf>
    <xf numFmtId="0" fontId="2" fillId="0" borderId="0" xfId="0" applyFont="1" applyAlignment="1">
      <alignment horizontal="center" vertical="center"/>
    </xf>
    <xf numFmtId="0" fontId="30" fillId="0" borderId="0" xfId="0" applyFont="1" applyAlignment="1">
      <alignment horizontal="right" vertical="center"/>
    </xf>
    <xf numFmtId="0" fontId="35" fillId="0" borderId="0" xfId="0" applyFont="1" applyAlignment="1" applyProtection="1">
      <alignment horizontal="center" vertical="center" wrapText="1"/>
      <protection hidden="1"/>
    </xf>
    <xf numFmtId="0" fontId="50" fillId="0" borderId="0" xfId="0" applyFont="1" applyAlignment="1" applyProtection="1">
      <alignment horizontal="center" vertical="center"/>
      <protection hidden="1"/>
    </xf>
    <xf numFmtId="0" fontId="50" fillId="18" borderId="0" xfId="0" applyFont="1" applyFill="1" applyAlignment="1" applyProtection="1">
      <alignment horizontal="center" vertical="center"/>
      <protection hidden="1"/>
    </xf>
    <xf numFmtId="0" fontId="51" fillId="0" borderId="22" xfId="0" applyFont="1" applyBorder="1" applyAlignment="1" applyProtection="1">
      <alignment horizontal="center" vertical="center" wrapText="1"/>
      <protection hidden="1"/>
    </xf>
    <xf numFmtId="0" fontId="37" fillId="32" borderId="22" xfId="0" applyFont="1" applyFill="1" applyBorder="1" applyAlignment="1" applyProtection="1">
      <alignment horizontal="center" vertical="center" wrapText="1"/>
      <protection hidden="1"/>
    </xf>
    <xf numFmtId="0" fontId="35" fillId="0" borderId="22" xfId="0" applyFont="1" applyBorder="1" applyAlignment="1" applyProtection="1">
      <alignment horizontal="center" vertical="center" wrapText="1"/>
      <protection hidden="1"/>
    </xf>
    <xf numFmtId="0" fontId="36" fillId="0" borderId="23" xfId="0" applyFont="1" applyBorder="1" applyAlignment="1" applyProtection="1">
      <alignment horizontal="center" vertical="center"/>
      <protection hidden="1"/>
    </xf>
    <xf numFmtId="0" fontId="36" fillId="0" borderId="22" xfId="0" applyFont="1" applyBorder="1" applyAlignment="1" applyProtection="1">
      <alignment horizontal="center" vertical="center"/>
      <protection hidden="1"/>
    </xf>
    <xf numFmtId="0" fontId="36" fillId="0" borderId="22" xfId="0" applyFont="1" applyBorder="1" applyAlignment="1" applyProtection="1">
      <alignment horizontal="center" vertical="center" wrapText="1"/>
      <protection hidden="1"/>
    </xf>
    <xf numFmtId="168" fontId="51" fillId="32" borderId="22" xfId="0" applyNumberFormat="1" applyFont="1" applyFill="1" applyBorder="1" applyAlignment="1" applyProtection="1">
      <alignment horizontal="center" vertical="center"/>
      <protection hidden="1"/>
    </xf>
    <xf numFmtId="168" fontId="36" fillId="0" borderId="22" xfId="0" applyNumberFormat="1" applyFont="1" applyBorder="1" applyAlignment="1" applyProtection="1">
      <alignment horizontal="center" vertical="center"/>
      <protection hidden="1"/>
    </xf>
    <xf numFmtId="168" fontId="55" fillId="0" borderId="22" xfId="0" applyNumberFormat="1" applyFont="1" applyBorder="1" applyAlignment="1" applyProtection="1">
      <alignment horizontal="center" vertical="center" wrapText="1"/>
      <protection hidden="1"/>
    </xf>
    <xf numFmtId="0" fontId="12" fillId="0" borderId="0" xfId="0" applyFont="1"/>
    <xf numFmtId="168" fontId="53" fillId="0" borderId="22" xfId="0" applyNumberFormat="1" applyFont="1" applyBorder="1" applyAlignment="1" applyProtection="1">
      <alignment horizontal="center" vertical="center"/>
      <protection hidden="1"/>
    </xf>
    <xf numFmtId="168" fontId="54" fillId="0" borderId="22" xfId="0" applyNumberFormat="1" applyFont="1" applyBorder="1" applyAlignment="1" applyProtection="1">
      <alignment horizontal="center" vertical="center"/>
      <protection hidden="1"/>
    </xf>
    <xf numFmtId="168" fontId="56" fillId="0" borderId="22" xfId="0" applyNumberFormat="1" applyFont="1" applyBorder="1" applyAlignment="1" applyProtection="1">
      <alignment horizontal="center" vertical="center"/>
      <protection hidden="1"/>
    </xf>
    <xf numFmtId="168" fontId="55" fillId="0" borderId="22" xfId="0" applyNumberFormat="1" applyFont="1" applyBorder="1" applyAlignment="1" applyProtection="1">
      <alignment horizontal="center" vertical="center"/>
      <protection hidden="1"/>
    </xf>
    <xf numFmtId="0" fontId="51" fillId="0" borderId="22" xfId="0" applyFont="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2" fillId="0" borderId="0" xfId="0" applyFont="1" applyAlignment="1" applyProtection="1">
      <alignment horizontal="center" vertical="center" wrapText="1"/>
      <protection hidden="1"/>
    </xf>
    <xf numFmtId="168" fontId="57" fillId="0" borderId="0" xfId="0" applyNumberFormat="1" applyFont="1" applyAlignment="1" applyProtection="1">
      <alignment horizontal="center" vertical="center"/>
      <protection hidden="1"/>
    </xf>
    <xf numFmtId="168" fontId="2" fillId="0" borderId="0" xfId="0" applyNumberFormat="1" applyFont="1" applyAlignment="1" applyProtection="1">
      <alignment horizontal="center" vertical="center"/>
      <protection hidden="1"/>
    </xf>
    <xf numFmtId="0" fontId="30" fillId="0" borderId="0" xfId="0" applyFont="1" applyAlignment="1" applyProtection="1">
      <alignment horizontal="center" vertical="center"/>
      <protection hidden="1"/>
    </xf>
    <xf numFmtId="0" fontId="41" fillId="0" borderId="0" xfId="0" applyFont="1" applyAlignment="1" applyProtection="1">
      <alignment horizontal="center" vertical="center"/>
      <protection hidden="1"/>
    </xf>
    <xf numFmtId="49" fontId="20" fillId="0" borderId="0" xfId="0" applyNumberFormat="1" applyFont="1" applyAlignment="1" applyProtection="1">
      <alignment horizontal="left" vertical="top"/>
      <protection hidden="1"/>
    </xf>
    <xf numFmtId="49" fontId="20" fillId="0" borderId="0" xfId="0" applyNumberFormat="1" applyFont="1" applyAlignment="1" applyProtection="1">
      <alignment horizontal="left" vertical="top" wrapText="1"/>
      <protection hidden="1"/>
    </xf>
    <xf numFmtId="0" fontId="32" fillId="0" borderId="0" xfId="0" applyFont="1" applyAlignment="1" applyProtection="1">
      <alignment horizontal="center" vertical="center"/>
      <protection hidden="1"/>
    </xf>
    <xf numFmtId="0" fontId="33" fillId="0" borderId="0" xfId="0" applyFont="1" applyAlignment="1" applyProtection="1">
      <alignment horizontal="center" vertical="center" wrapText="1"/>
      <protection hidden="1"/>
    </xf>
    <xf numFmtId="0" fontId="23" fillId="0" borderId="22" xfId="0" applyFont="1" applyBorder="1" applyAlignment="1" applyProtection="1">
      <alignment horizontal="center" vertical="center" wrapText="1"/>
      <protection hidden="1"/>
    </xf>
    <xf numFmtId="49" fontId="32" fillId="18" borderId="0" xfId="0" applyNumberFormat="1" applyFont="1" applyFill="1" applyAlignment="1" applyProtection="1">
      <alignment horizontal="center" vertical="center"/>
      <protection hidden="1"/>
    </xf>
    <xf numFmtId="49" fontId="32" fillId="0" borderId="0" xfId="0" applyNumberFormat="1" applyFont="1" applyAlignment="1" applyProtection="1">
      <alignment horizontal="center" vertical="center"/>
      <protection hidden="1"/>
    </xf>
    <xf numFmtId="49" fontId="21" fillId="0" borderId="22" xfId="0" applyNumberFormat="1" applyFont="1" applyBorder="1" applyAlignment="1" applyProtection="1">
      <alignment horizontal="center" vertical="center" wrapText="1"/>
      <protection hidden="1"/>
    </xf>
    <xf numFmtId="49" fontId="24" fillId="0" borderId="22" xfId="0" applyNumberFormat="1" applyFont="1" applyBorder="1" applyAlignment="1" applyProtection="1">
      <alignment horizontal="left" vertical="center"/>
      <protection hidden="1"/>
    </xf>
    <xf numFmtId="49" fontId="24" fillId="0" borderId="0" xfId="0" applyNumberFormat="1" applyFont="1" applyAlignment="1" applyProtection="1">
      <alignment horizontal="center" vertical="center"/>
      <protection hidden="1"/>
    </xf>
    <xf numFmtId="49" fontId="24" fillId="0" borderId="22" xfId="0" applyNumberFormat="1" applyFont="1" applyBorder="1" applyAlignment="1" applyProtection="1">
      <alignment horizontal="left" vertical="center" wrapText="1"/>
      <protection hidden="1"/>
    </xf>
    <xf numFmtId="168" fontId="34" fillId="0" borderId="22" xfId="0" applyNumberFormat="1" applyFont="1" applyBorder="1" applyAlignment="1" applyProtection="1">
      <alignment horizontal="center" vertical="center" wrapText="1"/>
      <protection hidden="1"/>
    </xf>
    <xf numFmtId="168" fontId="21" fillId="32" borderId="22" xfId="0" applyNumberFormat="1" applyFont="1" applyFill="1" applyBorder="1" applyProtection="1">
      <protection hidden="1"/>
    </xf>
    <xf numFmtId="168" fontId="34" fillId="18" borderId="22" xfId="0" applyNumberFormat="1" applyFont="1" applyFill="1" applyBorder="1" applyProtection="1">
      <protection hidden="1"/>
    </xf>
    <xf numFmtId="168" fontId="34" fillId="0" borderId="22" xfId="0" applyNumberFormat="1" applyFont="1" applyBorder="1" applyProtection="1">
      <protection hidden="1"/>
    </xf>
    <xf numFmtId="168" fontId="34" fillId="30" borderId="22" xfId="0" applyNumberFormat="1" applyFont="1" applyFill="1" applyBorder="1" applyProtection="1">
      <protection hidden="1"/>
    </xf>
    <xf numFmtId="0" fontId="58" fillId="18" borderId="0" xfId="0" applyFont="1" applyFill="1" applyAlignment="1" applyProtection="1">
      <alignment horizontal="center" vertical="center"/>
      <protection hidden="1"/>
    </xf>
    <xf numFmtId="0" fontId="58" fillId="18" borderId="22" xfId="0" applyFont="1" applyFill="1" applyBorder="1" applyAlignment="1" applyProtection="1">
      <alignment horizontal="left" vertical="center"/>
      <protection hidden="1"/>
    </xf>
    <xf numFmtId="0" fontId="58" fillId="0" borderId="0" xfId="0" applyFont="1" applyAlignment="1" applyProtection="1">
      <alignment horizontal="center" vertical="center"/>
      <protection hidden="1"/>
    </xf>
    <xf numFmtId="0" fontId="58" fillId="0" borderId="22" xfId="0" applyFont="1" applyBorder="1" applyAlignment="1" applyProtection="1">
      <alignment horizontal="left" vertical="center"/>
      <protection hidden="1"/>
    </xf>
    <xf numFmtId="0" fontId="59" fillId="0" borderId="22" xfId="0" applyFont="1" applyBorder="1" applyAlignment="1" applyProtection="1">
      <alignment horizontal="left" vertical="center"/>
      <protection hidden="1"/>
    </xf>
    <xf numFmtId="49" fontId="23" fillId="0" borderId="22" xfId="0" applyNumberFormat="1" applyFont="1" applyBorder="1" applyAlignment="1" applyProtection="1">
      <alignment horizontal="left" vertical="center" wrapText="1"/>
      <protection hidden="1"/>
    </xf>
    <xf numFmtId="49" fontId="20" fillId="0" borderId="0" xfId="0" applyNumberFormat="1" applyFont="1" applyAlignment="1">
      <alignment horizontal="left" vertical="top"/>
    </xf>
    <xf numFmtId="0" fontId="50" fillId="0" borderId="0" xfId="0" applyFont="1" applyAlignment="1">
      <alignment horizontal="left" wrapText="1"/>
    </xf>
    <xf numFmtId="0" fontId="20" fillId="0" borderId="0" xfId="0" applyFont="1" applyAlignment="1">
      <alignment horizontal="center" vertical="center"/>
    </xf>
    <xf numFmtId="0" fontId="23" fillId="0" borderId="22" xfId="0" applyFont="1" applyBorder="1" applyAlignment="1">
      <alignment horizontal="center" vertical="center" wrapText="1"/>
    </xf>
    <xf numFmtId="0" fontId="0" fillId="6" borderId="0" xfId="0" applyFill="1"/>
    <xf numFmtId="0" fontId="20" fillId="6" borderId="0" xfId="0" applyFont="1" applyFill="1" applyAlignment="1">
      <alignment horizontal="center" vertical="center"/>
    </xf>
    <xf numFmtId="0" fontId="21" fillId="6" borderId="0" xfId="0" applyFont="1" applyFill="1" applyAlignment="1">
      <alignment horizontal="center" vertical="center" wrapText="1"/>
    </xf>
    <xf numFmtId="0" fontId="35" fillId="6" borderId="0" xfId="0" applyFont="1" applyFill="1" applyAlignment="1">
      <alignment horizontal="center" vertical="center" wrapText="1"/>
    </xf>
    <xf numFmtId="0" fontId="22" fillId="6" borderId="22" xfId="0" applyFont="1" applyFill="1" applyBorder="1" applyAlignment="1">
      <alignment horizontal="center" vertical="center" wrapText="1"/>
    </xf>
    <xf numFmtId="49" fontId="35" fillId="0" borderId="0" xfId="0" applyNumberFormat="1" applyFont="1" applyAlignment="1">
      <alignment horizontal="center" vertical="center"/>
    </xf>
    <xf numFmtId="49" fontId="35" fillId="0" borderId="22" xfId="0" applyNumberFormat="1" applyFont="1" applyBorder="1" applyAlignment="1">
      <alignment horizontal="center" vertical="center" wrapText="1"/>
    </xf>
    <xf numFmtId="49" fontId="24" fillId="0" borderId="0" xfId="0" applyNumberFormat="1" applyFont="1" applyAlignment="1">
      <alignment horizontal="center" vertical="center"/>
    </xf>
    <xf numFmtId="49" fontId="24" fillId="0" borderId="22" xfId="0" applyNumberFormat="1" applyFont="1" applyBorder="1" applyAlignment="1">
      <alignment horizontal="left" vertical="center"/>
    </xf>
    <xf numFmtId="49" fontId="36" fillId="0" borderId="22" xfId="0" applyNumberFormat="1" applyFont="1" applyBorder="1" applyAlignment="1">
      <alignment horizontal="left" vertical="center" wrapText="1"/>
    </xf>
    <xf numFmtId="168" fontId="30" fillId="0" borderId="22" xfId="0" applyNumberFormat="1" applyFont="1" applyBorder="1" applyAlignment="1">
      <alignment horizontal="center" vertical="center" wrapText="1"/>
    </xf>
    <xf numFmtId="168" fontId="30" fillId="0" borderId="28" xfId="0" applyNumberFormat="1" applyFont="1" applyBorder="1" applyAlignment="1">
      <alignment horizontal="center" vertical="center" wrapText="1"/>
    </xf>
    <xf numFmtId="168" fontId="30" fillId="0" borderId="0" xfId="0" applyNumberFormat="1" applyFont="1" applyAlignment="1">
      <alignment horizontal="center" vertical="center" wrapText="1"/>
    </xf>
    <xf numFmtId="168" fontId="21" fillId="0" borderId="22" xfId="0" applyNumberFormat="1" applyFont="1" applyBorder="1"/>
    <xf numFmtId="0" fontId="24" fillId="0" borderId="0" xfId="0" applyFont="1" applyAlignment="1">
      <alignment horizontal="center" vertical="center"/>
    </xf>
    <xf numFmtId="0" fontId="24" fillId="0" borderId="0" xfId="0" applyFont="1" applyAlignment="1">
      <alignment horizontal="left" vertical="center"/>
    </xf>
    <xf numFmtId="49" fontId="24" fillId="0" borderId="0" xfId="0" applyNumberFormat="1" applyFont="1" applyAlignment="1">
      <alignment horizontal="left" vertical="center"/>
    </xf>
    <xf numFmtId="49" fontId="37" fillId="0" borderId="22" xfId="0" applyNumberFormat="1" applyFont="1" applyBorder="1" applyAlignment="1">
      <alignment horizontal="left" vertical="center" wrapText="1"/>
    </xf>
  </cellXfs>
  <cellStyles count="1">
    <cellStyle name="Normal" xfId="0" builtinId="0"/>
  </cellStyles>
  <dxfs count="28">
    <dxf>
      <font>
        <color rgb="FF9C0006"/>
      </font>
      <fill>
        <patternFill>
          <bgColor rgb="FFFFC7CE"/>
        </patternFill>
      </fill>
    </dxf>
    <dxf>
      <font>
        <color theme="0"/>
      </font>
    </dxf>
    <dxf>
      <fill>
        <patternFill>
          <fgColor theme="5" tint="0.7999816888943144"/>
          <bgColor theme="5"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
        </patternFill>
      </fill>
    </dxf>
    <dxf>
      <fill>
        <patternFill>
          <bgColor theme="2" tint="-0.09994811853389081"/>
        </patternFill>
      </fill>
    </dxf>
    <dxf>
      <fill>
        <patternFill>
          <bgColor rgb="FFCCB1EE"/>
        </patternFill>
      </fill>
    </dxf>
    <dxf>
      <fill>
        <patternFill>
          <bgColor theme="9" tint="0.7999816888943144"/>
        </patternFill>
      </fill>
    </dxf>
    <dxf>
      <fill>
        <patternFill>
          <bgColor theme="9" tint="0.7999816888943144"/>
        </patternFill>
      </fill>
    </dxf>
    <dxf>
      <fill>
        <patternFill>
          <bgColor theme="5" tint="0.7999816888943144"/>
        </patternFill>
      </fill>
    </dxf>
    <dxf>
      <fill>
        <patternFill>
          <bgColor theme="7" tint="0.7999816888943144"/>
        </patternFill>
      </fill>
    </dxf>
    <dxf>
      <fill>
        <patternFill>
          <bgColor theme="5" tint="0.7999816888943144"/>
        </patternFill>
      </fill>
    </dxf>
    <dxf>
      <fill>
        <patternFill>
          <bgColor theme="7" tint="0.7999816888943144"/>
        </patternFill>
      </fill>
    </dxf>
    <dxf>
      <fill>
        <patternFill>
          <bgColor theme="9" tint="0.799981688894314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3.xml"/><Relationship Id="rId5" Type="http://schemas.openxmlformats.org/officeDocument/2006/relationships/worksheet" Target="worksheets/sheet1.xml"/><Relationship Id="rId6" Type="http://schemas.openxmlformats.org/officeDocument/2006/relationships/worksheet" Target="worksheets/sheet9.xml"/><Relationship Id="rId7" Type="http://schemas.openxmlformats.org/officeDocument/2006/relationships/worksheet" Target="worksheets/sheet10.xml"/><Relationship Id="rId8" Type="http://schemas.openxmlformats.org/officeDocument/2006/relationships/worksheet" Target="worksheets/sheet19.xml"/><Relationship Id="rId9" Type="http://schemas.openxmlformats.org/officeDocument/2006/relationships/worksheet" Target="worksheets/sheet41.xml"/><Relationship Id="rId10" Type="http://schemas.openxmlformats.org/officeDocument/2006/relationships/worksheet" Target="worksheets/sheet25.xml"/><Relationship Id="rId11" Type="http://schemas.openxmlformats.org/officeDocument/2006/relationships/worksheet" Target="worksheets/sheet26.xml"/><Relationship Id="rId12" Type="http://schemas.openxmlformats.org/officeDocument/2006/relationships/worksheet" Target="worksheets/sheet27.xml"/><Relationship Id="rId13" Type="http://schemas.openxmlformats.org/officeDocument/2006/relationships/worksheet" Target="worksheets/sheet38.xml"/><Relationship Id="rId14" Type="http://schemas.openxmlformats.org/officeDocument/2006/relationships/worksheet" Target="worksheets/sheet28.xml"/><Relationship Id="rId15" Type="http://schemas.openxmlformats.org/officeDocument/2006/relationships/worksheet" Target="worksheets/sheet29.xml"/><Relationship Id="rId16" Type="http://schemas.openxmlformats.org/officeDocument/2006/relationships/worksheet" Target="worksheets/sheet30.xml"/><Relationship Id="rId17" Type="http://schemas.openxmlformats.org/officeDocument/2006/relationships/worksheet" Target="worksheets/sheet39.xml"/><Relationship Id="rId18" Type="http://schemas.openxmlformats.org/officeDocument/2006/relationships/worksheet" Target="worksheets/sheet17.xml"/><Relationship Id="rId19" Type="http://schemas.openxmlformats.org/officeDocument/2006/relationships/worksheet" Target="worksheets/sheet24.xml"/><Relationship Id="rId20" Type="http://schemas.openxmlformats.org/officeDocument/2006/relationships/worksheet" Target="worksheets/sheet34.xml"/><Relationship Id="rId21" Type="http://schemas.openxmlformats.org/officeDocument/2006/relationships/worksheet" Target="worksheets/sheet35.xml"/><Relationship Id="rId22" Type="http://schemas.openxmlformats.org/officeDocument/2006/relationships/worksheet" Target="worksheets/sheet36.xml"/><Relationship Id="rId23" Type="http://schemas.openxmlformats.org/officeDocument/2006/relationships/worksheet" Target="worksheets/sheet37.xml"/><Relationship Id="rId24" Type="http://schemas.openxmlformats.org/officeDocument/2006/relationships/worksheet" Target="worksheets/sheet4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1</xdr:col>
      <xdr:colOff>632166</xdr:colOff>
      <xdr:row>12</xdr:row>
      <xdr:rowOff>199927</xdr:rowOff>
    </xdr:from>
    <xdr:ext cx="389621" cy="478116"/>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173580</xdr:colOff>
      <xdr:row>12</xdr:row>
      <xdr:rowOff>190844</xdr:rowOff>
    </xdr:from>
    <xdr:ext cx="513642" cy="428121"/>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227016</xdr:colOff>
      <xdr:row>0</xdr:row>
      <xdr:rowOff>14635</xdr:rowOff>
    </xdr:from>
    <xdr:ext cx="960661" cy="90264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92364</xdr:colOff>
      <xdr:row>0</xdr:row>
      <xdr:rowOff>48382</xdr:rowOff>
    </xdr:from>
    <xdr:to>
      <xdr:col>0</xdr:col>
      <xdr:colOff>1027546</xdr:colOff>
      <xdr:row>0</xdr:row>
      <xdr:rowOff>923637</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101600</xdr:colOff>
      <xdr:row>0</xdr:row>
      <xdr:rowOff>88900</xdr:rowOff>
    </xdr:from>
    <xdr:to>
      <xdr:col>3</xdr:col>
      <xdr:colOff>806450</xdr:colOff>
      <xdr:row>0</xdr:row>
      <xdr:rowOff>964155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239888</xdr:colOff>
      <xdr:row>0</xdr:row>
      <xdr:rowOff>28222</xdr:rowOff>
    </xdr:from>
    <xdr:to>
      <xdr:col>0</xdr:col>
      <xdr:colOff>1326444</xdr:colOff>
      <xdr:row>0</xdr:row>
      <xdr:rowOff>976232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88900</xdr:colOff>
      <xdr:row>0</xdr:row>
      <xdr:rowOff>55033</xdr:rowOff>
    </xdr:from>
    <xdr:to>
      <xdr:col>4</xdr:col>
      <xdr:colOff>224081</xdr:colOff>
      <xdr:row>0</xdr:row>
      <xdr:rowOff>932488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88900</xdr:colOff>
      <xdr:row>0</xdr:row>
      <xdr:rowOff>55033</xdr:rowOff>
    </xdr:from>
    <xdr:to>
      <xdr:col>3</xdr:col>
      <xdr:colOff>1049581</xdr:colOff>
      <xdr:row>0</xdr:row>
      <xdr:rowOff>932488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88900</xdr:colOff>
      <xdr:row>0</xdr:row>
      <xdr:rowOff>55033</xdr:rowOff>
    </xdr:from>
    <xdr:to>
      <xdr:col>4</xdr:col>
      <xdr:colOff>20881</xdr:colOff>
      <xdr:row>0</xdr:row>
      <xdr:rowOff>932488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88900</xdr:colOff>
      <xdr:row>0</xdr:row>
      <xdr:rowOff>55033</xdr:rowOff>
    </xdr:from>
    <xdr:to>
      <xdr:col>3</xdr:col>
      <xdr:colOff>1049581</xdr:colOff>
      <xdr:row>0</xdr:row>
      <xdr:rowOff>932488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92927</xdr:colOff>
      <xdr:row>0</xdr:row>
      <xdr:rowOff>46464</xdr:rowOff>
    </xdr:from>
    <xdr:to>
      <xdr:col>3</xdr:col>
      <xdr:colOff>1051723</xdr:colOff>
      <xdr:row>0</xdr:row>
      <xdr:rowOff>923919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hyperlink" Target="https://docs.a-just.beta.gouv.fr/guide-dutilisateur-a-just/ventilateur/extraire-ses-donnees-deeffectifs/le-fichier-excel-de-lextracteur-deeffectifs" TargetMode="External"/><Relationship Id="rId2" Type="http://schemas.openxmlformats.org/officeDocument/2006/relationships/hyperlink" Target="https://docs.a-just.beta.gouv.fr/guide-dutilisateur-a-just/ventilateur/extraire-ses-donnees-deeffectifs/remplir-ses-tableaux-detpt-pour-les-ddg-en-quelques-minutes" TargetMode="External"/><Relationship Id="rId3" Type="http://schemas.openxmlformats.org/officeDocument/2006/relationships/hyperlink" Target="https://docs.a-just.beta.gouv.fr/guide-dutilisateur-a-just/ventilateur/extraire-ses-donnees-deeffectifs/le-fichier-excel-de-lextracteur-deeffectifs" TargetMode="External"/><Relationship Id="rId4" Type="http://schemas.openxmlformats.org/officeDocument/2006/relationships/hyperlink" Target="https://docs.a-just.beta.gouv.fr/guide-dutilisateur-a-just/ventilateur/extraire-ses-donnees-deeffectifs/remplir-ses-tableaux-detpt-pour-les-ddg-en-quelques-minutes" TargetMode="External"/><Relationship Id="rId5" Type="http://schemas.openxmlformats.org/officeDocument/2006/relationships/drawing" Target="../drawings/drawing1.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vmlDrawing" Target="../drawings/vmlDrawing35.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E4275"/>
  </sheetPr>
  <dimension ref="A1:DT204"/>
  <sheetViews>
    <sheetView workbookViewId="0" zoomScale="110" zoomScaleNormal="110">
      <selection activeCell="AC136" sqref="AC136"/>
    </sheetView>
  </sheetViews>
  <sheetFormatPr defaultRowHeight="15" outlineLevelRow="0" outlineLevelCol="0" x14ac:dyDescent="0.2" defaultColWidth="8.83203125"/>
  <cols>
    <col min="1" max="1" width="16" customWidth="1"/>
    <col min="2" max="2" width="15.5" customWidth="1"/>
    <col min="3" max="3" width="27" customWidth="1"/>
    <col min="4" max="5" width="10" customWidth="1"/>
    <col min="6" max="6" width="19" customWidth="1"/>
    <col min="7" max="7" width="10" customWidth="1"/>
    <col min="8" max="11" customWidth="1"/>
    <col min="12" max="122" width="27" customWidth="1"/>
  </cols>
  <sheetData>
    <row r="1" ht="80" customHeight="1" spans="1:124" s="40" customFormat="1" x14ac:dyDescent="0.25">
      <c r="A1" s="41" t="s">
        <v>27</v>
      </c>
      <c r="B1" s="42"/>
      <c r="C1" s="42"/>
      <c r="D1" s="43"/>
      <c r="E1" s="43"/>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T1" s="45"/>
    </row>
    <row r="2" ht="66" customHeight="1" spans="1:124" x14ac:dyDescent="0.25">
      <c r="A2" s="46" t="s">
        <v>28</v>
      </c>
      <c r="B2" s="46" t="s">
        <v>29</v>
      </c>
      <c r="C2" s="46" t="s">
        <v>30</v>
      </c>
      <c r="D2" s="46" t="s">
        <v>31</v>
      </c>
      <c r="E2" s="46" t="s">
        <v>32</v>
      </c>
      <c r="F2" s="46" t="s">
        <v>33</v>
      </c>
      <c r="G2" s="46" t="s">
        <v>34</v>
      </c>
      <c r="H2" s="46" t="s">
        <v>35</v>
      </c>
      <c r="I2" s="46" t="s">
        <v>36</v>
      </c>
      <c r="J2" s="46" t="s">
        <v>37</v>
      </c>
      <c r="K2" s="46" t="s">
        <v>38</v>
      </c>
      <c r="L2" s="46" t="s">
        <v>39</v>
      </c>
      <c r="M2" s="46" t="s">
        <v>40</v>
      </c>
      <c r="N2" s="46" t="s">
        <v>41</v>
      </c>
      <c r="O2" s="46" t="s">
        <v>42</v>
      </c>
      <c r="P2" s="46" t="s">
        <v>43</v>
      </c>
      <c r="Q2" s="46" t="s">
        <v>44</v>
      </c>
      <c r="R2" s="46" t="s">
        <v>45</v>
      </c>
      <c r="S2" s="46" t="s">
        <v>46</v>
      </c>
      <c r="T2" s="46" t="s">
        <v>47</v>
      </c>
      <c r="U2" s="46" t="s">
        <v>48</v>
      </c>
      <c r="V2" s="46" t="s">
        <v>49</v>
      </c>
      <c r="W2" s="46" t="s">
        <v>50</v>
      </c>
      <c r="X2" s="46" t="s">
        <v>51</v>
      </c>
      <c r="Y2" s="46" t="s">
        <v>52</v>
      </c>
      <c r="Z2" s="46" t="s">
        <v>53</v>
      </c>
      <c r="AA2" s="46" t="s">
        <v>54</v>
      </c>
      <c r="AB2" s="46" t="s">
        <v>55</v>
      </c>
      <c r="AC2" s="46" t="s">
        <v>56</v>
      </c>
      <c r="AD2" s="46" t="s">
        <v>57</v>
      </c>
      <c r="AE2" s="46" t="s">
        <v>58</v>
      </c>
      <c r="AF2" s="46" t="s">
        <v>59</v>
      </c>
      <c r="AG2" s="46" t="s">
        <v>60</v>
      </c>
      <c r="AH2" s="46" t="s">
        <v>61</v>
      </c>
      <c r="AI2" s="46" t="s">
        <v>62</v>
      </c>
      <c r="AJ2" s="46" t="s">
        <v>63</v>
      </c>
      <c r="AK2" s="46" t="s">
        <v>64</v>
      </c>
      <c r="AL2" s="46" t="s">
        <v>65</v>
      </c>
      <c r="AM2" s="46" t="s">
        <v>66</v>
      </c>
      <c r="AN2" s="46" t="s">
        <v>67</v>
      </c>
      <c r="AO2" s="46" t="s">
        <v>68</v>
      </c>
      <c r="AP2" s="46" t="s">
        <v>69</v>
      </c>
      <c r="AQ2" s="46" t="s">
        <v>70</v>
      </c>
      <c r="AR2" s="46" t="s">
        <v>71</v>
      </c>
      <c r="AS2" s="46" t="s">
        <v>72</v>
      </c>
      <c r="AT2" s="46" t="s">
        <v>73</v>
      </c>
      <c r="AU2" s="46" t="s">
        <v>74</v>
      </c>
      <c r="AV2" s="46" t="s">
        <v>75</v>
      </c>
      <c r="AW2" s="46" t="s">
        <v>76</v>
      </c>
      <c r="AX2" s="46" t="s">
        <v>77</v>
      </c>
      <c r="AY2" s="46" t="s">
        <v>78</v>
      </c>
      <c r="AZ2" s="46" t="s">
        <v>79</v>
      </c>
      <c r="BA2" s="46" t="s">
        <v>80</v>
      </c>
      <c r="BB2" s="46" t="s">
        <v>81</v>
      </c>
      <c r="BC2" s="46" t="s">
        <v>82</v>
      </c>
      <c r="BD2" s="46" t="s">
        <v>83</v>
      </c>
      <c r="BE2" s="46" t="s">
        <v>84</v>
      </c>
      <c r="BF2" s="46" t="s">
        <v>85</v>
      </c>
      <c r="BG2" s="46" t="s">
        <v>86</v>
      </c>
      <c r="BH2" s="46" t="s">
        <v>87</v>
      </c>
      <c r="BI2" s="46" t="s">
        <v>88</v>
      </c>
      <c r="BJ2" s="46" t="s">
        <v>89</v>
      </c>
      <c r="BK2" s="46" t="s">
        <v>90</v>
      </c>
      <c r="BL2" s="46" t="s">
        <v>91</v>
      </c>
      <c r="BM2" s="46" t="s">
        <v>92</v>
      </c>
      <c r="BN2" s="46" t="s">
        <v>93</v>
      </c>
      <c r="BO2" s="46" t="s">
        <v>94</v>
      </c>
      <c r="BP2" s="46" t="s">
        <v>95</v>
      </c>
      <c r="BQ2" s="46" t="s">
        <v>96</v>
      </c>
      <c r="BR2" s="46" t="s">
        <v>97</v>
      </c>
      <c r="BS2" s="46" t="s">
        <v>98</v>
      </c>
      <c r="BT2" s="46" t="s">
        <v>99</v>
      </c>
      <c r="BU2" s="46" t="s">
        <v>100</v>
      </c>
      <c r="BV2" s="46" t="s">
        <v>101</v>
      </c>
      <c r="BW2" s="46" t="s">
        <v>102</v>
      </c>
      <c r="BX2" s="46" t="s">
        <v>103</v>
      </c>
      <c r="BY2" s="46" t="s">
        <v>104</v>
      </c>
      <c r="BZ2" s="46" t="s">
        <v>105</v>
      </c>
      <c r="CA2" s="46" t="s">
        <v>106</v>
      </c>
      <c r="CB2" s="46" t="s">
        <v>107</v>
      </c>
      <c r="CC2" s="46" t="s">
        <v>108</v>
      </c>
      <c r="CD2" s="46" t="s">
        <v>109</v>
      </c>
      <c r="CE2" s="46" t="s">
        <v>110</v>
      </c>
      <c r="CF2" s="46" t="s">
        <v>111</v>
      </c>
      <c r="CG2" s="46" t="s">
        <v>112</v>
      </c>
      <c r="CH2" s="46" t="s">
        <v>113</v>
      </c>
      <c r="CI2" s="46" t="s">
        <v>114</v>
      </c>
      <c r="CJ2" s="46" t="s">
        <v>115</v>
      </c>
      <c r="CK2" s="46" t="s">
        <v>116</v>
      </c>
      <c r="CL2" s="46" t="s">
        <v>117</v>
      </c>
      <c r="CM2" s="46" t="s">
        <v>118</v>
      </c>
      <c r="CN2" s="46" t="s">
        <v>119</v>
      </c>
      <c r="CO2" s="46" t="s">
        <v>120</v>
      </c>
      <c r="CP2" s="46" t="s">
        <v>121</v>
      </c>
      <c r="CQ2" s="46" t="s">
        <v>122</v>
      </c>
      <c r="CR2" s="46" t="s">
        <v>123</v>
      </c>
      <c r="CS2" s="46" t="s">
        <v>124</v>
      </c>
      <c r="CT2" s="46" t="s">
        <v>125</v>
      </c>
      <c r="CU2" s="46" t="s">
        <v>126</v>
      </c>
      <c r="CV2" s="46" t="s">
        <v>127</v>
      </c>
      <c r="CW2" s="46" t="s">
        <v>128</v>
      </c>
      <c r="CX2" s="46" t="s">
        <v>129</v>
      </c>
      <c r="CY2" s="46" t="s">
        <v>130</v>
      </c>
      <c r="CZ2" s="46" t="s">
        <v>131</v>
      </c>
      <c r="DA2" s="46" t="s">
        <v>132</v>
      </c>
      <c r="DB2" s="46" t="s">
        <v>133</v>
      </c>
      <c r="DC2" s="46" t="s">
        <v>134</v>
      </c>
      <c r="DD2" s="46" t="s">
        <v>135</v>
      </c>
      <c r="DE2" s="46" t="s">
        <v>136</v>
      </c>
      <c r="DF2" s="46" t="s">
        <v>137</v>
      </c>
      <c r="DG2" s="46" t="s">
        <v>138</v>
      </c>
      <c r="DH2" s="46" t="s">
        <v>139</v>
      </c>
      <c r="DI2" s="46" t="s">
        <v>140</v>
      </c>
      <c r="DJ2" s="46" t="s">
        <v>141</v>
      </c>
      <c r="DK2" s="46" t="s">
        <v>142</v>
      </c>
      <c r="DL2" s="46" t="s">
        <v>143</v>
      </c>
      <c r="DM2" s="46" t="s">
        <v>144</v>
      </c>
      <c r="DN2" s="46" t="s">
        <v>145</v>
      </c>
      <c r="DO2" s="46" t="s">
        <v>146</v>
      </c>
      <c r="DP2" s="46" t="s">
        <v>147</v>
      </c>
      <c r="DQ2" s="46" t="s">
        <v>148</v>
      </c>
      <c r="DR2" s="46" t="s">
        <v>149</v>
      </c>
      <c r="DT2" s="1"/>
    </row>
    <row r="3" spans="1:124" x14ac:dyDescent="0.25">
      <c r="A3" s="47" t="s">
        <v>150</v>
      </c>
      <c r="B3" s="47" t="s">
        <v>151</v>
      </c>
      <c r="C3" s="47" t="s">
        <v>152</v>
      </c>
      <c r="D3" s="47" t="s">
        <v>153</v>
      </c>
      <c r="E3" s="47" t="s">
        <v>154</v>
      </c>
      <c r="F3" s="47"/>
      <c r="G3" s="47"/>
      <c r="H3" s="47" t="str">
        <f>=IFERROR(VLOOKUP(A3,'ETPT Format DDG'!A:J,10,FALSE),"")</f>
        <v>0</v>
      </c>
      <c r="I3" s="47" t="str">
        <f>='ETPT Format DDG'!M3</f>
        <v/>
      </c>
      <c r="J3" s="47" t="str">
        <f>='ETPT Format DDG'!D3</f>
        <v/>
      </c>
      <c r="K3" s="47" t="s">
        <v>155</v>
      </c>
      <c r="L3" s="47" t="s">
        <v>156</v>
      </c>
      <c r="M3" s="47"/>
      <c r="N3" s="47">
        <v>0</v>
      </c>
      <c r="O3" s="47">
        <v>0</v>
      </c>
      <c r="P3" s="47">
        <v>0</v>
      </c>
      <c r="Q3" s="47">
        <v>0</v>
      </c>
      <c r="R3" s="47">
        <v>0</v>
      </c>
      <c r="S3" s="47">
        <v>0</v>
      </c>
      <c r="T3" s="47">
        <v>0</v>
      </c>
      <c r="U3" s="47">
        <v>0</v>
      </c>
      <c r="V3" s="47">
        <v>0</v>
      </c>
      <c r="W3" s="47">
        <v>0</v>
      </c>
      <c r="X3" s="47">
        <v>0</v>
      </c>
      <c r="Y3" s="47">
        <v>0</v>
      </c>
      <c r="Z3" s="47">
        <v>0</v>
      </c>
      <c r="AA3" s="47">
        <v>0</v>
      </c>
      <c r="AB3" s="47">
        <v>0</v>
      </c>
      <c r="AC3" s="47">
        <v>0</v>
      </c>
      <c r="AD3" s="47">
        <v>0</v>
      </c>
      <c r="AE3" s="47">
        <v>0</v>
      </c>
      <c r="AF3" s="47">
        <v>0</v>
      </c>
      <c r="AG3" s="47">
        <v>0</v>
      </c>
      <c r="AH3" s="47">
        <v>0</v>
      </c>
      <c r="AI3" s="47">
        <v>0</v>
      </c>
      <c r="AJ3" s="47">
        <v>0</v>
      </c>
      <c r="AK3" s="47">
        <v>0</v>
      </c>
      <c r="AL3" s="47">
        <v>0</v>
      </c>
      <c r="AM3" s="47">
        <v>0</v>
      </c>
      <c r="AN3" s="47">
        <v>0</v>
      </c>
      <c r="AO3" s="47">
        <v>0</v>
      </c>
      <c r="AP3" s="47">
        <v>0</v>
      </c>
      <c r="AQ3" s="47">
        <v>0</v>
      </c>
      <c r="AR3" s="47">
        <v>0</v>
      </c>
      <c r="AS3" s="47">
        <v>0</v>
      </c>
      <c r="AT3" s="47">
        <v>0</v>
      </c>
      <c r="AU3" s="47">
        <v>0</v>
      </c>
      <c r="AV3" s="47">
        <v>0</v>
      </c>
      <c r="AW3" s="47">
        <v>0</v>
      </c>
      <c r="AX3" s="47">
        <v>0</v>
      </c>
      <c r="AY3" s="47">
        <v>0</v>
      </c>
      <c r="AZ3" s="47">
        <v>0</v>
      </c>
      <c r="BA3" s="47">
        <v>0</v>
      </c>
      <c r="BB3" s="47">
        <v>0</v>
      </c>
      <c r="BC3" s="47">
        <v>0</v>
      </c>
      <c r="BD3" s="47">
        <v>0</v>
      </c>
      <c r="BE3" s="47">
        <v>0</v>
      </c>
      <c r="BF3" s="47">
        <v>0</v>
      </c>
      <c r="BG3" s="47">
        <v>0</v>
      </c>
      <c r="BH3" s="47">
        <v>0</v>
      </c>
      <c r="BI3" s="47">
        <v>0</v>
      </c>
      <c r="BJ3" s="47">
        <v>0</v>
      </c>
      <c r="BK3" s="47">
        <v>0</v>
      </c>
      <c r="BL3" s="47">
        <v>0</v>
      </c>
      <c r="BM3" s="47">
        <v>0</v>
      </c>
      <c r="BN3" s="47">
        <v>0</v>
      </c>
      <c r="BO3" s="47">
        <v>0</v>
      </c>
      <c r="BP3" s="47">
        <v>0</v>
      </c>
      <c r="BQ3" s="47">
        <v>0</v>
      </c>
      <c r="BR3" s="47">
        <v>0</v>
      </c>
      <c r="BS3" s="47">
        <v>0</v>
      </c>
      <c r="BT3" s="47">
        <v>0</v>
      </c>
      <c r="BU3" s="47">
        <v>0</v>
      </c>
      <c r="BV3" s="47">
        <v>0</v>
      </c>
      <c r="BW3" s="47">
        <v>0</v>
      </c>
      <c r="BX3" s="47">
        <v>0</v>
      </c>
      <c r="BY3" s="47">
        <v>0</v>
      </c>
      <c r="BZ3" s="47">
        <v>0</v>
      </c>
      <c r="CA3" s="47">
        <v>0</v>
      </c>
      <c r="CB3" s="47">
        <v>0</v>
      </c>
      <c r="CC3" s="47">
        <v>0</v>
      </c>
      <c r="CD3" s="47">
        <v>0</v>
      </c>
      <c r="CE3" s="47">
        <v>0</v>
      </c>
      <c r="CF3" s="47">
        <v>0</v>
      </c>
      <c r="CG3" s="47">
        <v>0</v>
      </c>
      <c r="CH3" s="47">
        <v>0</v>
      </c>
      <c r="CI3" s="47">
        <v>0</v>
      </c>
      <c r="CJ3" s="47">
        <v>0</v>
      </c>
      <c r="CK3" s="47">
        <v>0</v>
      </c>
      <c r="CL3" s="47">
        <v>0</v>
      </c>
      <c r="CM3" s="47">
        <v>0</v>
      </c>
      <c r="CN3" s="47">
        <v>0</v>
      </c>
      <c r="CO3" s="47">
        <v>0</v>
      </c>
      <c r="CP3" s="47">
        <v>0</v>
      </c>
      <c r="CQ3" s="47">
        <v>0</v>
      </c>
      <c r="CR3" s="47">
        <v>0</v>
      </c>
      <c r="CS3" s="47">
        <v>0</v>
      </c>
      <c r="CT3" s="47">
        <v>0</v>
      </c>
      <c r="CU3" s="47">
        <v>0</v>
      </c>
      <c r="CV3" s="47">
        <v>0</v>
      </c>
      <c r="CW3" s="47">
        <v>0</v>
      </c>
      <c r="CX3" s="47">
        <v>0</v>
      </c>
      <c r="CY3" s="47">
        <v>0</v>
      </c>
      <c r="CZ3" s="47">
        <v>0</v>
      </c>
      <c r="DA3" s="47">
        <v>0</v>
      </c>
      <c r="DB3" s="47">
        <v>0</v>
      </c>
      <c r="DC3" s="47">
        <v>0</v>
      </c>
      <c r="DD3" s="47">
        <v>0</v>
      </c>
      <c r="DE3" s="47">
        <v>0</v>
      </c>
      <c r="DF3" s="47">
        <v>0</v>
      </c>
      <c r="DG3" s="47">
        <v>0</v>
      </c>
      <c r="DH3" s="47">
        <v>0</v>
      </c>
      <c r="DI3" s="47">
        <v>0</v>
      </c>
      <c r="DJ3" s="47">
        <v>0</v>
      </c>
      <c r="DK3" s="47">
        <v>0</v>
      </c>
      <c r="DL3" s="47">
        <v>0</v>
      </c>
      <c r="DM3" s="47">
        <v>0</v>
      </c>
      <c r="DN3" s="47">
        <v>0</v>
      </c>
      <c r="DO3" s="47">
        <v>0</v>
      </c>
      <c r="DP3" s="47">
        <v>0</v>
      </c>
      <c r="DQ3" s="47">
        <v>0</v>
      </c>
      <c r="DR3" s="47">
        <v>0</v>
      </c>
    </row>
    <row r="4" spans="1:124" x14ac:dyDescent="0.25">
      <c r="A4" s="47" t="s">
        <v>157</v>
      </c>
      <c r="B4" s="47" t="s">
        <v>151</v>
      </c>
      <c r="C4" s="47" t="s">
        <v>158</v>
      </c>
      <c r="D4" s="47" t="s">
        <v>159</v>
      </c>
      <c r="E4" s="47" t="s">
        <v>160</v>
      </c>
      <c r="F4" s="47" t="s">
        <v>161</v>
      </c>
      <c r="G4" s="47" t="s">
        <v>162</v>
      </c>
      <c r="H4" s="47" t="str">
        <f>=IFERROR(VLOOKUP(A4,'ETPT Format DDG'!A:J,10,FALSE),"")</f>
        <v>0</v>
      </c>
      <c r="I4" s="47" t="str">
        <f>='ETPT Format DDG'!M4</f>
        <v/>
      </c>
      <c r="J4" s="47" t="str">
        <f>='ETPT Format DDG'!D4</f>
        <v/>
      </c>
      <c r="K4" s="47" t="s">
        <v>155</v>
      </c>
      <c r="L4" s="47" t="s">
        <v>163</v>
      </c>
      <c r="M4" s="47"/>
      <c r="N4" s="47">
        <v>1</v>
      </c>
      <c r="O4" s="47">
        <v>1</v>
      </c>
      <c r="P4" s="47">
        <v>0</v>
      </c>
      <c r="Q4" s="47">
        <v>0</v>
      </c>
      <c r="R4" s="47">
        <v>0</v>
      </c>
      <c r="S4" s="47">
        <v>0</v>
      </c>
      <c r="T4" s="47">
        <v>0</v>
      </c>
      <c r="U4" s="47">
        <v>0.91</v>
      </c>
      <c r="V4" s="47">
        <v>0</v>
      </c>
      <c r="W4" s="47">
        <v>0</v>
      </c>
      <c r="X4" s="47">
        <v>0</v>
      </c>
      <c r="Y4" s="47">
        <v>0</v>
      </c>
      <c r="Z4" s="47">
        <v>0</v>
      </c>
      <c r="AA4" s="47">
        <v>0</v>
      </c>
      <c r="AB4" s="47">
        <v>0</v>
      </c>
      <c r="AC4" s="47">
        <v>0</v>
      </c>
      <c r="AD4" s="47">
        <v>0</v>
      </c>
      <c r="AE4" s="47">
        <v>0</v>
      </c>
      <c r="AF4" s="47">
        <v>0</v>
      </c>
      <c r="AG4" s="47">
        <v>0</v>
      </c>
      <c r="AH4" s="47">
        <v>0</v>
      </c>
      <c r="AI4" s="47">
        <v>0</v>
      </c>
      <c r="AJ4" s="47">
        <v>0</v>
      </c>
      <c r="AK4" s="47">
        <v>0</v>
      </c>
      <c r="AL4" s="47">
        <v>0</v>
      </c>
      <c r="AM4" s="47">
        <v>0</v>
      </c>
      <c r="AN4" s="47">
        <v>0</v>
      </c>
      <c r="AO4" s="47">
        <v>0</v>
      </c>
      <c r="AP4" s="47">
        <v>0</v>
      </c>
      <c r="AQ4" s="47">
        <v>0</v>
      </c>
      <c r="AR4" s="47">
        <v>0</v>
      </c>
      <c r="AS4" s="47">
        <v>0</v>
      </c>
      <c r="AT4" s="47">
        <v>0</v>
      </c>
      <c r="AU4" s="47">
        <v>0</v>
      </c>
      <c r="AV4" s="47">
        <v>0</v>
      </c>
      <c r="AW4" s="47">
        <v>0</v>
      </c>
      <c r="AX4" s="47">
        <v>0</v>
      </c>
      <c r="AY4" s="47">
        <v>0</v>
      </c>
      <c r="AZ4" s="47">
        <v>0</v>
      </c>
      <c r="BA4" s="47">
        <v>0</v>
      </c>
      <c r="BB4" s="47">
        <v>0</v>
      </c>
      <c r="BC4" s="47">
        <v>0</v>
      </c>
      <c r="BD4" s="47">
        <v>0</v>
      </c>
      <c r="BE4" s="47">
        <v>0</v>
      </c>
      <c r="BF4" s="47">
        <v>0</v>
      </c>
      <c r="BG4" s="47">
        <v>0</v>
      </c>
      <c r="BH4" s="47">
        <v>0</v>
      </c>
      <c r="BI4" s="47">
        <v>0</v>
      </c>
      <c r="BJ4" s="47">
        <v>0</v>
      </c>
      <c r="BK4" s="47">
        <v>0</v>
      </c>
      <c r="BL4" s="47">
        <v>0</v>
      </c>
      <c r="BM4" s="47">
        <v>0</v>
      </c>
      <c r="BN4" s="47">
        <v>0</v>
      </c>
      <c r="BO4" s="47">
        <v>0.07</v>
      </c>
      <c r="BP4" s="47">
        <v>0</v>
      </c>
      <c r="BQ4" s="47">
        <v>0</v>
      </c>
      <c r="BR4" s="47">
        <v>0</v>
      </c>
      <c r="BS4" s="47">
        <v>0</v>
      </c>
      <c r="BT4" s="47">
        <v>0</v>
      </c>
      <c r="BU4" s="47">
        <v>0</v>
      </c>
      <c r="BV4" s="47">
        <v>0</v>
      </c>
      <c r="BW4" s="47">
        <v>0.02</v>
      </c>
      <c r="BX4" s="47">
        <v>0</v>
      </c>
      <c r="BY4" s="47">
        <v>0</v>
      </c>
      <c r="BZ4" s="47">
        <v>0</v>
      </c>
      <c r="CA4" s="47">
        <v>0</v>
      </c>
      <c r="CB4" s="47">
        <v>0</v>
      </c>
      <c r="CC4" s="47">
        <v>0</v>
      </c>
      <c r="CD4" s="47">
        <v>0</v>
      </c>
      <c r="CE4" s="47">
        <v>0.05</v>
      </c>
      <c r="CF4" s="47">
        <v>0</v>
      </c>
      <c r="CG4" s="47">
        <v>0</v>
      </c>
      <c r="CH4" s="47">
        <v>0</v>
      </c>
      <c r="CI4" s="47">
        <v>0</v>
      </c>
      <c r="CJ4" s="47">
        <v>0</v>
      </c>
      <c r="CK4" s="47">
        <v>0</v>
      </c>
      <c r="CL4" s="47">
        <v>0</v>
      </c>
      <c r="CM4" s="47">
        <v>0</v>
      </c>
      <c r="CN4" s="47">
        <v>0</v>
      </c>
      <c r="CO4" s="47">
        <v>0</v>
      </c>
      <c r="CP4" s="47">
        <v>0</v>
      </c>
      <c r="CQ4" s="47">
        <v>0</v>
      </c>
      <c r="CR4" s="47">
        <v>0</v>
      </c>
      <c r="CS4" s="47">
        <v>0</v>
      </c>
      <c r="CT4" s="47">
        <v>0.02</v>
      </c>
      <c r="CU4" s="47">
        <v>0</v>
      </c>
      <c r="CV4" s="47">
        <v>0.02</v>
      </c>
      <c r="CW4" s="47">
        <v>0</v>
      </c>
      <c r="CX4" s="47">
        <v>0</v>
      </c>
      <c r="CY4" s="47">
        <v>0</v>
      </c>
      <c r="CZ4" s="47">
        <v>0</v>
      </c>
      <c r="DA4" s="47">
        <v>0</v>
      </c>
      <c r="DB4" s="47">
        <v>0</v>
      </c>
      <c r="DC4" s="47">
        <v>0</v>
      </c>
      <c r="DD4" s="47">
        <v>0</v>
      </c>
      <c r="DE4" s="47">
        <v>0</v>
      </c>
      <c r="DF4" s="47">
        <v>0</v>
      </c>
      <c r="DG4" s="47">
        <v>0</v>
      </c>
      <c r="DH4" s="47">
        <v>0</v>
      </c>
      <c r="DI4" s="47">
        <v>0</v>
      </c>
      <c r="DJ4" s="47">
        <v>0</v>
      </c>
      <c r="DK4" s="47">
        <v>0</v>
      </c>
      <c r="DL4" s="47">
        <v>0</v>
      </c>
      <c r="DM4" s="47">
        <v>0</v>
      </c>
      <c r="DN4" s="47">
        <v>0</v>
      </c>
      <c r="DO4" s="47">
        <v>0</v>
      </c>
      <c r="DP4" s="47">
        <v>0</v>
      </c>
      <c r="DQ4" s="47">
        <v>0</v>
      </c>
      <c r="DR4" s="47">
        <v>0</v>
      </c>
    </row>
    <row r="5" spans="1:124" x14ac:dyDescent="0.25">
      <c r="A5" s="47" t="s">
        <v>164</v>
      </c>
      <c r="B5" s="47" t="s">
        <v>151</v>
      </c>
      <c r="C5" s="47" t="s">
        <v>165</v>
      </c>
      <c r="D5" s="47" t="s">
        <v>166</v>
      </c>
      <c r="E5" s="47" t="s">
        <v>167</v>
      </c>
      <c r="F5" s="47" t="s">
        <v>161</v>
      </c>
      <c r="G5" s="47" t="s">
        <v>168</v>
      </c>
      <c r="H5" s="47" t="str">
        <f>=IFERROR(VLOOKUP(A5,'ETPT Format DDG'!A:J,10,FALSE),"")</f>
        <v>0</v>
      </c>
      <c r="I5" s="47" t="str">
        <f>='ETPT Format DDG'!M5</f>
        <v/>
      </c>
      <c r="J5" s="47" t="str">
        <f>='ETPT Format DDG'!D5</f>
        <v/>
      </c>
      <c r="K5" s="47" t="s">
        <v>155</v>
      </c>
      <c r="L5" s="47" t="s">
        <v>169</v>
      </c>
      <c r="M5" s="47" t="s">
        <v>170</v>
      </c>
      <c r="N5" s="47">
        <v>0.3024</v>
      </c>
      <c r="O5" s="47">
        <v>0.3024</v>
      </c>
      <c r="P5" s="47">
        <v>0</v>
      </c>
      <c r="Q5" s="47">
        <v>0</v>
      </c>
      <c r="R5" s="47">
        <v>0</v>
      </c>
      <c r="S5" s="47">
        <v>0</v>
      </c>
      <c r="T5" s="47">
        <v>0</v>
      </c>
      <c r="U5" s="47">
        <v>0</v>
      </c>
      <c r="V5" s="47">
        <v>0</v>
      </c>
      <c r="W5" s="47">
        <v>0</v>
      </c>
      <c r="X5" s="47">
        <v>0</v>
      </c>
      <c r="Y5" s="47">
        <v>0</v>
      </c>
      <c r="Z5" s="47">
        <v>0</v>
      </c>
      <c r="AA5" s="47">
        <v>0</v>
      </c>
      <c r="AB5" s="47">
        <v>0</v>
      </c>
      <c r="AC5" s="47">
        <v>0</v>
      </c>
      <c r="AD5" s="47">
        <v>0</v>
      </c>
      <c r="AE5" s="47">
        <v>0</v>
      </c>
      <c r="AF5" s="47">
        <v>0</v>
      </c>
      <c r="AG5" s="47">
        <v>0</v>
      </c>
      <c r="AH5" s="47">
        <v>0</v>
      </c>
      <c r="AI5" s="47">
        <v>0</v>
      </c>
      <c r="AJ5" s="47">
        <v>0</v>
      </c>
      <c r="AK5" s="47">
        <v>0</v>
      </c>
      <c r="AL5" s="47">
        <v>0</v>
      </c>
      <c r="AM5" s="47">
        <v>0</v>
      </c>
      <c r="AN5" s="47">
        <v>0</v>
      </c>
      <c r="AO5" s="47">
        <v>0</v>
      </c>
      <c r="AP5" s="47">
        <v>0</v>
      </c>
      <c r="AQ5" s="47">
        <v>0</v>
      </c>
      <c r="AR5" s="47">
        <v>0</v>
      </c>
      <c r="AS5" s="47">
        <v>0</v>
      </c>
      <c r="AT5" s="47">
        <v>0</v>
      </c>
      <c r="AU5" s="47">
        <v>0</v>
      </c>
      <c r="AV5" s="47">
        <v>0</v>
      </c>
      <c r="AW5" s="47">
        <v>0</v>
      </c>
      <c r="AX5" s="47">
        <v>0</v>
      </c>
      <c r="AY5" s="47">
        <v>0</v>
      </c>
      <c r="AZ5" s="47">
        <v>0</v>
      </c>
      <c r="BA5" s="47">
        <v>0</v>
      </c>
      <c r="BB5" s="47">
        <v>0</v>
      </c>
      <c r="BC5" s="47">
        <v>0</v>
      </c>
      <c r="BD5" s="47">
        <v>0</v>
      </c>
      <c r="BE5" s="47">
        <v>0</v>
      </c>
      <c r="BF5" s="47">
        <v>0</v>
      </c>
      <c r="BG5" s="47">
        <v>0</v>
      </c>
      <c r="BH5" s="47">
        <v>0</v>
      </c>
      <c r="BI5" s="47">
        <v>0</v>
      </c>
      <c r="BJ5" s="47">
        <v>0</v>
      </c>
      <c r="BK5" s="47">
        <v>0</v>
      </c>
      <c r="BL5" s="47">
        <v>0</v>
      </c>
      <c r="BM5" s="47">
        <v>0</v>
      </c>
      <c r="BN5" s="47">
        <v>0</v>
      </c>
      <c r="BO5" s="47">
        <v>0</v>
      </c>
      <c r="BP5" s="47">
        <v>0</v>
      </c>
      <c r="BQ5" s="47">
        <v>0</v>
      </c>
      <c r="BR5" s="47">
        <v>0</v>
      </c>
      <c r="BS5" s="47">
        <v>0</v>
      </c>
      <c r="BT5" s="47">
        <v>0</v>
      </c>
      <c r="BU5" s="47">
        <v>0</v>
      </c>
      <c r="BV5" s="47">
        <v>0</v>
      </c>
      <c r="BW5" s="47">
        <v>0</v>
      </c>
      <c r="BX5" s="47">
        <v>0</v>
      </c>
      <c r="BY5" s="47">
        <v>0</v>
      </c>
      <c r="BZ5" s="47">
        <v>0</v>
      </c>
      <c r="CA5" s="47">
        <v>0</v>
      </c>
      <c r="CB5" s="47">
        <v>0</v>
      </c>
      <c r="CC5" s="47">
        <v>0</v>
      </c>
      <c r="CD5" s="47">
        <v>0</v>
      </c>
      <c r="CE5" s="47">
        <v>0</v>
      </c>
      <c r="CF5" s="47">
        <v>0</v>
      </c>
      <c r="CG5" s="47">
        <v>0</v>
      </c>
      <c r="CH5" s="47">
        <v>0</v>
      </c>
      <c r="CI5" s="47">
        <v>0</v>
      </c>
      <c r="CJ5" s="47">
        <v>0</v>
      </c>
      <c r="CK5" s="47">
        <v>0</v>
      </c>
      <c r="CL5" s="47">
        <v>0</v>
      </c>
      <c r="CM5" s="47">
        <v>0</v>
      </c>
      <c r="CN5" s="47">
        <v>0</v>
      </c>
      <c r="CO5" s="47">
        <v>0</v>
      </c>
      <c r="CP5" s="47">
        <v>0</v>
      </c>
      <c r="CQ5" s="47">
        <v>0.3024</v>
      </c>
      <c r="CR5" s="47">
        <v>0</v>
      </c>
      <c r="CS5" s="47">
        <v>0</v>
      </c>
      <c r="CT5" s="47">
        <v>0</v>
      </c>
      <c r="CU5" s="47">
        <v>0</v>
      </c>
      <c r="CV5" s="47">
        <v>0</v>
      </c>
      <c r="CW5" s="47">
        <v>0</v>
      </c>
      <c r="CX5" s="47">
        <v>0</v>
      </c>
      <c r="CY5" s="47">
        <v>0</v>
      </c>
      <c r="CZ5" s="47">
        <v>0</v>
      </c>
      <c r="DA5" s="47">
        <v>0</v>
      </c>
      <c r="DB5" s="47">
        <v>0</v>
      </c>
      <c r="DC5" s="47">
        <v>0</v>
      </c>
      <c r="DD5" s="47">
        <v>0</v>
      </c>
      <c r="DE5" s="47">
        <v>0</v>
      </c>
      <c r="DF5" s="47">
        <v>0</v>
      </c>
      <c r="DG5" s="47">
        <v>0</v>
      </c>
      <c r="DH5" s="47">
        <v>0</v>
      </c>
      <c r="DI5" s="47">
        <v>0</v>
      </c>
      <c r="DJ5" s="47">
        <v>0</v>
      </c>
      <c r="DK5" s="47">
        <v>0</v>
      </c>
      <c r="DL5" s="47">
        <v>0</v>
      </c>
      <c r="DM5" s="47">
        <v>0</v>
      </c>
      <c r="DN5" s="47">
        <v>0</v>
      </c>
      <c r="DO5" s="47">
        <v>0</v>
      </c>
      <c r="DP5" s="47">
        <v>0</v>
      </c>
      <c r="DQ5" s="47">
        <v>0</v>
      </c>
      <c r="DR5" s="47">
        <v>0</v>
      </c>
    </row>
    <row r="6" spans="1:124" x14ac:dyDescent="0.25">
      <c r="A6" s="47" t="s">
        <v>171</v>
      </c>
      <c r="B6" s="47" t="s">
        <v>151</v>
      </c>
      <c r="C6" s="47" t="s">
        <v>172</v>
      </c>
      <c r="D6" s="47" t="s">
        <v>173</v>
      </c>
      <c r="E6" s="47" t="s">
        <v>174</v>
      </c>
      <c r="F6" s="47" t="s">
        <v>161</v>
      </c>
      <c r="G6" s="47" t="s">
        <v>175</v>
      </c>
      <c r="H6" s="47" t="str">
        <f>=IFERROR(VLOOKUP(A6,'ETPT Format DDG'!A:J,10,FALSE),"")</f>
        <v>0</v>
      </c>
      <c r="I6" s="47" t="str">
        <f>='ETPT Format DDG'!M6</f>
        <v/>
      </c>
      <c r="J6" s="47" t="str">
        <f>='ETPT Format DDG'!D6</f>
        <v/>
      </c>
      <c r="K6" s="47" t="s">
        <v>155</v>
      </c>
      <c r="L6" s="47" t="s">
        <v>176</v>
      </c>
      <c r="M6" s="47"/>
      <c r="N6" s="47">
        <v>1</v>
      </c>
      <c r="O6" s="47">
        <v>1</v>
      </c>
      <c r="P6" s="47">
        <v>0</v>
      </c>
      <c r="Q6" s="47">
        <v>0</v>
      </c>
      <c r="R6" s="47">
        <v>0</v>
      </c>
      <c r="S6" s="47">
        <v>0</v>
      </c>
      <c r="T6" s="47">
        <v>0</v>
      </c>
      <c r="U6" s="47">
        <v>0</v>
      </c>
      <c r="V6" s="47">
        <v>0</v>
      </c>
      <c r="W6" s="47">
        <v>0</v>
      </c>
      <c r="X6" s="47">
        <v>0</v>
      </c>
      <c r="Y6" s="47">
        <v>0</v>
      </c>
      <c r="Z6" s="47">
        <v>0</v>
      </c>
      <c r="AA6" s="47">
        <v>0</v>
      </c>
      <c r="AB6" s="47">
        <v>0</v>
      </c>
      <c r="AC6" s="47">
        <v>0</v>
      </c>
      <c r="AD6" s="47">
        <v>0</v>
      </c>
      <c r="AE6" s="47">
        <v>0</v>
      </c>
      <c r="AF6" s="47">
        <v>0</v>
      </c>
      <c r="AG6" s="47">
        <v>0</v>
      </c>
      <c r="AH6" s="47">
        <v>0</v>
      </c>
      <c r="AI6" s="47">
        <v>0</v>
      </c>
      <c r="AJ6" s="47">
        <v>0</v>
      </c>
      <c r="AK6" s="47">
        <v>0</v>
      </c>
      <c r="AL6" s="47">
        <v>0</v>
      </c>
      <c r="AM6" s="47">
        <v>0</v>
      </c>
      <c r="AN6" s="47">
        <v>0</v>
      </c>
      <c r="AO6" s="47">
        <v>0</v>
      </c>
      <c r="AP6" s="47">
        <v>0</v>
      </c>
      <c r="AQ6" s="47">
        <v>0</v>
      </c>
      <c r="AR6" s="47">
        <v>0</v>
      </c>
      <c r="AS6" s="47">
        <v>0</v>
      </c>
      <c r="AT6" s="47">
        <v>0</v>
      </c>
      <c r="AU6" s="47">
        <v>0</v>
      </c>
      <c r="AV6" s="47">
        <v>0</v>
      </c>
      <c r="AW6" s="47">
        <v>0</v>
      </c>
      <c r="AX6" s="47">
        <v>0</v>
      </c>
      <c r="AY6" s="47">
        <v>0</v>
      </c>
      <c r="AZ6" s="47">
        <v>0</v>
      </c>
      <c r="BA6" s="47">
        <v>0</v>
      </c>
      <c r="BB6" s="47">
        <v>0</v>
      </c>
      <c r="BC6" s="47">
        <v>0</v>
      </c>
      <c r="BD6" s="47">
        <v>0</v>
      </c>
      <c r="BE6" s="47">
        <v>0</v>
      </c>
      <c r="BF6" s="47">
        <v>0</v>
      </c>
      <c r="BG6" s="47">
        <v>0</v>
      </c>
      <c r="BH6" s="47">
        <v>0</v>
      </c>
      <c r="BI6" s="47">
        <v>0</v>
      </c>
      <c r="BJ6" s="47">
        <v>0</v>
      </c>
      <c r="BK6" s="47">
        <v>0</v>
      </c>
      <c r="BL6" s="47">
        <v>0</v>
      </c>
      <c r="BM6" s="47">
        <v>0</v>
      </c>
      <c r="BN6" s="47">
        <v>0</v>
      </c>
      <c r="BO6" s="47">
        <v>0.14</v>
      </c>
      <c r="BP6" s="47">
        <v>0.1</v>
      </c>
      <c r="BQ6" s="47">
        <v>0.03</v>
      </c>
      <c r="BR6" s="47">
        <v>0</v>
      </c>
      <c r="BS6" s="47">
        <v>0</v>
      </c>
      <c r="BT6" s="47">
        <v>0</v>
      </c>
      <c r="BU6" s="47">
        <v>0</v>
      </c>
      <c r="BV6" s="47">
        <v>0</v>
      </c>
      <c r="BW6" s="47">
        <v>0.01</v>
      </c>
      <c r="BX6" s="47">
        <v>0</v>
      </c>
      <c r="BY6" s="47">
        <v>0</v>
      </c>
      <c r="BZ6" s="47">
        <v>0</v>
      </c>
      <c r="CA6" s="47">
        <v>0</v>
      </c>
      <c r="CB6" s="47">
        <v>0</v>
      </c>
      <c r="CC6" s="47">
        <v>0</v>
      </c>
      <c r="CD6" s="47">
        <v>0</v>
      </c>
      <c r="CE6" s="47">
        <v>0</v>
      </c>
      <c r="CF6" s="47">
        <v>0</v>
      </c>
      <c r="CG6" s="47">
        <v>0</v>
      </c>
      <c r="CH6" s="47">
        <v>0</v>
      </c>
      <c r="CI6" s="47">
        <v>0</v>
      </c>
      <c r="CJ6" s="47">
        <v>0</v>
      </c>
      <c r="CK6" s="47">
        <v>0</v>
      </c>
      <c r="CL6" s="47">
        <v>0.77</v>
      </c>
      <c r="CM6" s="47">
        <v>0</v>
      </c>
      <c r="CN6" s="47">
        <v>0</v>
      </c>
      <c r="CO6" s="47">
        <v>0</v>
      </c>
      <c r="CP6" s="47">
        <v>0</v>
      </c>
      <c r="CQ6" s="47">
        <v>0</v>
      </c>
      <c r="CR6" s="47">
        <v>0</v>
      </c>
      <c r="CS6" s="47">
        <v>0</v>
      </c>
      <c r="CT6" s="47">
        <v>0.09</v>
      </c>
      <c r="CU6" s="47">
        <v>0.066</v>
      </c>
      <c r="CV6" s="47">
        <v>0.024</v>
      </c>
      <c r="CW6" s="47">
        <v>0</v>
      </c>
      <c r="CX6" s="47">
        <v>0</v>
      </c>
      <c r="CY6" s="47">
        <v>0</v>
      </c>
      <c r="CZ6" s="47">
        <v>0</v>
      </c>
      <c r="DA6" s="47">
        <v>0</v>
      </c>
      <c r="DB6" s="47">
        <v>0</v>
      </c>
      <c r="DC6" s="47">
        <v>0</v>
      </c>
      <c r="DD6" s="47">
        <v>0</v>
      </c>
      <c r="DE6" s="47">
        <v>0</v>
      </c>
      <c r="DF6" s="47">
        <v>0</v>
      </c>
      <c r="DG6" s="47">
        <v>0</v>
      </c>
      <c r="DH6" s="47">
        <v>0</v>
      </c>
      <c r="DI6" s="47">
        <v>0</v>
      </c>
      <c r="DJ6" s="47">
        <v>0</v>
      </c>
      <c r="DK6" s="47">
        <v>0</v>
      </c>
      <c r="DL6" s="47">
        <v>0</v>
      </c>
      <c r="DM6" s="47">
        <v>0</v>
      </c>
      <c r="DN6" s="47">
        <v>0</v>
      </c>
      <c r="DO6" s="47">
        <v>0</v>
      </c>
      <c r="DP6" s="47">
        <v>0</v>
      </c>
      <c r="DQ6" s="47">
        <v>0</v>
      </c>
      <c r="DR6" s="47">
        <v>0</v>
      </c>
    </row>
    <row r="7" spans="1:124" x14ac:dyDescent="0.25">
      <c r="A7" s="47" t="s">
        <v>177</v>
      </c>
      <c r="B7" s="47" t="s">
        <v>151</v>
      </c>
      <c r="C7" s="47" t="s">
        <v>178</v>
      </c>
      <c r="D7" s="47" t="s">
        <v>179</v>
      </c>
      <c r="E7" s="47" t="s">
        <v>180</v>
      </c>
      <c r="F7" s="47" t="s">
        <v>161</v>
      </c>
      <c r="G7" s="47" t="s">
        <v>181</v>
      </c>
      <c r="H7" s="47" t="str">
        <f>=IFERROR(VLOOKUP(A7,'ETPT Format DDG'!A:J,10,FALSE),"")</f>
        <v>0</v>
      </c>
      <c r="I7" s="47" t="str">
        <f>='ETPT Format DDG'!M7</f>
        <v/>
      </c>
      <c r="J7" s="47" t="str">
        <f>='ETPT Format DDG'!D7</f>
        <v/>
      </c>
      <c r="K7" s="47" t="s">
        <v>155</v>
      </c>
      <c r="L7" s="47" t="s">
        <v>182</v>
      </c>
      <c r="M7" s="47"/>
      <c r="N7" s="47">
        <v>0.8</v>
      </c>
      <c r="O7" s="47">
        <v>0.8</v>
      </c>
      <c r="P7" s="47">
        <v>0</v>
      </c>
      <c r="Q7" s="47">
        <v>0</v>
      </c>
      <c r="R7" s="47">
        <v>0</v>
      </c>
      <c r="S7" s="47">
        <v>0</v>
      </c>
      <c r="T7" s="47">
        <v>0</v>
      </c>
      <c r="U7" s="47">
        <v>0</v>
      </c>
      <c r="V7" s="47">
        <v>0</v>
      </c>
      <c r="W7" s="47">
        <v>0</v>
      </c>
      <c r="X7" s="47">
        <v>0</v>
      </c>
      <c r="Y7" s="47">
        <v>0</v>
      </c>
      <c r="Z7" s="47">
        <v>0</v>
      </c>
      <c r="AA7" s="47">
        <v>0</v>
      </c>
      <c r="AB7" s="47">
        <v>0</v>
      </c>
      <c r="AC7" s="47">
        <v>0</v>
      </c>
      <c r="AD7" s="47">
        <v>0</v>
      </c>
      <c r="AE7" s="47">
        <v>0</v>
      </c>
      <c r="AF7" s="47">
        <v>0</v>
      </c>
      <c r="AG7" s="47">
        <v>0</v>
      </c>
      <c r="AH7" s="47">
        <v>0</v>
      </c>
      <c r="AI7" s="47">
        <v>0</v>
      </c>
      <c r="AJ7" s="47">
        <v>0</v>
      </c>
      <c r="AK7" s="47">
        <v>0</v>
      </c>
      <c r="AL7" s="47">
        <v>0</v>
      </c>
      <c r="AM7" s="47">
        <v>0</v>
      </c>
      <c r="AN7" s="47">
        <v>0</v>
      </c>
      <c r="AO7" s="47">
        <v>0</v>
      </c>
      <c r="AP7" s="47">
        <v>0</v>
      </c>
      <c r="AQ7" s="47">
        <v>0</v>
      </c>
      <c r="AR7" s="47">
        <v>0</v>
      </c>
      <c r="AS7" s="47">
        <v>0</v>
      </c>
      <c r="AT7" s="47">
        <v>0</v>
      </c>
      <c r="AU7" s="47">
        <v>0</v>
      </c>
      <c r="AV7" s="47">
        <v>0</v>
      </c>
      <c r="AW7" s="47">
        <v>0</v>
      </c>
      <c r="AX7" s="47">
        <v>0</v>
      </c>
      <c r="AY7" s="47">
        <v>0</v>
      </c>
      <c r="AZ7" s="47">
        <v>0</v>
      </c>
      <c r="BA7" s="47">
        <v>0</v>
      </c>
      <c r="BB7" s="47">
        <v>0</v>
      </c>
      <c r="BC7" s="47">
        <v>0</v>
      </c>
      <c r="BD7" s="47">
        <v>0</v>
      </c>
      <c r="BE7" s="47">
        <v>0</v>
      </c>
      <c r="BF7" s="47">
        <v>0</v>
      </c>
      <c r="BG7" s="47">
        <v>0</v>
      </c>
      <c r="BH7" s="47">
        <v>0.224</v>
      </c>
      <c r="BI7" s="47">
        <v>0</v>
      </c>
      <c r="BJ7" s="47">
        <v>0</v>
      </c>
      <c r="BK7" s="47">
        <v>0</v>
      </c>
      <c r="BL7" s="47">
        <v>0</v>
      </c>
      <c r="BM7" s="47">
        <v>0</v>
      </c>
      <c r="BN7" s="47">
        <v>0</v>
      </c>
      <c r="BO7" s="47">
        <v>0</v>
      </c>
      <c r="BP7" s="47">
        <v>0</v>
      </c>
      <c r="BQ7" s="47">
        <v>0</v>
      </c>
      <c r="BR7" s="47">
        <v>0</v>
      </c>
      <c r="BS7" s="47">
        <v>0</v>
      </c>
      <c r="BT7" s="47">
        <v>0</v>
      </c>
      <c r="BU7" s="47">
        <v>0</v>
      </c>
      <c r="BV7" s="47">
        <v>0</v>
      </c>
      <c r="BW7" s="47">
        <v>0</v>
      </c>
      <c r="BX7" s="47">
        <v>0</v>
      </c>
      <c r="BY7" s="47">
        <v>0</v>
      </c>
      <c r="BZ7" s="47">
        <v>0</v>
      </c>
      <c r="CA7" s="47">
        <v>0</v>
      </c>
      <c r="CB7" s="47">
        <v>0</v>
      </c>
      <c r="CC7" s="47">
        <v>0</v>
      </c>
      <c r="CD7" s="47">
        <v>0</v>
      </c>
      <c r="CE7" s="47">
        <v>0</v>
      </c>
      <c r="CF7" s="47">
        <v>0</v>
      </c>
      <c r="CG7" s="47">
        <v>0</v>
      </c>
      <c r="CH7" s="47">
        <v>0</v>
      </c>
      <c r="CI7" s="47">
        <v>0</v>
      </c>
      <c r="CJ7" s="47">
        <v>0</v>
      </c>
      <c r="CK7" s="47">
        <v>0</v>
      </c>
      <c r="CL7" s="47">
        <v>0</v>
      </c>
      <c r="CM7" s="47">
        <v>0</v>
      </c>
      <c r="CN7" s="47">
        <v>0</v>
      </c>
      <c r="CO7" s="47">
        <v>0</v>
      </c>
      <c r="CP7" s="47">
        <v>0</v>
      </c>
      <c r="CQ7" s="47">
        <v>0.4</v>
      </c>
      <c r="CR7" s="47">
        <v>0</v>
      </c>
      <c r="CS7" s="47">
        <v>0</v>
      </c>
      <c r="CT7" s="47">
        <v>0.176</v>
      </c>
      <c r="CU7" s="47">
        <v>0.064</v>
      </c>
      <c r="CV7" s="47">
        <v>0.016</v>
      </c>
      <c r="CW7" s="47">
        <v>0.096</v>
      </c>
      <c r="CX7" s="47">
        <v>0</v>
      </c>
      <c r="CY7" s="47">
        <v>0</v>
      </c>
      <c r="CZ7" s="47">
        <v>0</v>
      </c>
      <c r="DA7" s="47">
        <v>0</v>
      </c>
      <c r="DB7" s="47">
        <v>0</v>
      </c>
      <c r="DC7" s="47">
        <v>0</v>
      </c>
      <c r="DD7" s="47">
        <v>0</v>
      </c>
      <c r="DE7" s="47">
        <v>0</v>
      </c>
      <c r="DF7" s="47">
        <v>0</v>
      </c>
      <c r="DG7" s="47">
        <v>0</v>
      </c>
      <c r="DH7" s="47">
        <v>0</v>
      </c>
      <c r="DI7" s="47">
        <v>0</v>
      </c>
      <c r="DJ7" s="47">
        <v>0</v>
      </c>
      <c r="DK7" s="47">
        <v>0</v>
      </c>
      <c r="DL7" s="47">
        <v>0</v>
      </c>
      <c r="DM7" s="47">
        <v>0</v>
      </c>
      <c r="DN7" s="47">
        <v>0</v>
      </c>
      <c r="DO7" s="47">
        <v>0</v>
      </c>
      <c r="DP7" s="47">
        <v>0</v>
      </c>
      <c r="DQ7" s="47">
        <v>0</v>
      </c>
      <c r="DR7" s="47">
        <v>0</v>
      </c>
    </row>
    <row r="8" spans="1:124" x14ac:dyDescent="0.25">
      <c r="A8" s="47" t="s">
        <v>183</v>
      </c>
      <c r="B8" s="47" t="s">
        <v>151</v>
      </c>
      <c r="C8" s="47" t="s">
        <v>184</v>
      </c>
      <c r="D8" s="47" t="s">
        <v>185</v>
      </c>
      <c r="E8" s="47" t="s">
        <v>186</v>
      </c>
      <c r="F8" s="47" t="s">
        <v>161</v>
      </c>
      <c r="G8" s="47" t="s">
        <v>187</v>
      </c>
      <c r="H8" s="47" t="str">
        <f>=IFERROR(VLOOKUP(A8,'ETPT Format DDG'!A:J,10,FALSE),"")</f>
        <v>0</v>
      </c>
      <c r="I8" s="47" t="str">
        <f>='ETPT Format DDG'!M8</f>
        <v/>
      </c>
      <c r="J8" s="47" t="str">
        <f>='ETPT Format DDG'!D8</f>
        <v/>
      </c>
      <c r="K8" s="47" t="s">
        <v>155</v>
      </c>
      <c r="L8" s="47" t="s">
        <v>182</v>
      </c>
      <c r="M8" s="47"/>
      <c r="N8" s="47">
        <v>1</v>
      </c>
      <c r="O8" s="47">
        <v>0</v>
      </c>
      <c r="P8" s="47">
        <v>0</v>
      </c>
      <c r="Q8" s="47">
        <v>0</v>
      </c>
      <c r="R8" s="47">
        <v>0</v>
      </c>
      <c r="S8" s="47">
        <v>0</v>
      </c>
      <c r="T8" s="47">
        <v>0</v>
      </c>
      <c r="U8" s="47">
        <v>0</v>
      </c>
      <c r="V8" s="47">
        <v>0</v>
      </c>
      <c r="W8" s="47">
        <v>0</v>
      </c>
      <c r="X8" s="47">
        <v>0</v>
      </c>
      <c r="Y8" s="47">
        <v>0</v>
      </c>
      <c r="Z8" s="47">
        <v>0</v>
      </c>
      <c r="AA8" s="47">
        <v>0</v>
      </c>
      <c r="AB8" s="47">
        <v>0</v>
      </c>
      <c r="AC8" s="47">
        <v>0</v>
      </c>
      <c r="AD8" s="47">
        <v>0</v>
      </c>
      <c r="AE8" s="47">
        <v>0</v>
      </c>
      <c r="AF8" s="47">
        <v>0</v>
      </c>
      <c r="AG8" s="47">
        <v>0</v>
      </c>
      <c r="AH8" s="47">
        <v>0</v>
      </c>
      <c r="AI8" s="47">
        <v>0</v>
      </c>
      <c r="AJ8" s="47">
        <v>0</v>
      </c>
      <c r="AK8" s="47">
        <v>0</v>
      </c>
      <c r="AL8" s="47">
        <v>0</v>
      </c>
      <c r="AM8" s="47">
        <v>0</v>
      </c>
      <c r="AN8" s="47">
        <v>0</v>
      </c>
      <c r="AO8" s="47">
        <v>0</v>
      </c>
      <c r="AP8" s="47">
        <v>0</v>
      </c>
      <c r="AQ8" s="47">
        <v>0</v>
      </c>
      <c r="AR8" s="47">
        <v>0</v>
      </c>
      <c r="AS8" s="47">
        <v>0</v>
      </c>
      <c r="AT8" s="47">
        <v>0</v>
      </c>
      <c r="AU8" s="47">
        <v>0</v>
      </c>
      <c r="AV8" s="47">
        <v>0</v>
      </c>
      <c r="AW8" s="47">
        <v>0</v>
      </c>
      <c r="AX8" s="47">
        <v>0</v>
      </c>
      <c r="AY8" s="47">
        <v>0</v>
      </c>
      <c r="AZ8" s="47">
        <v>0</v>
      </c>
      <c r="BA8" s="47">
        <v>0</v>
      </c>
      <c r="BB8" s="47">
        <v>0</v>
      </c>
      <c r="BC8" s="47">
        <v>0</v>
      </c>
      <c r="BD8" s="47">
        <v>0</v>
      </c>
      <c r="BE8" s="47">
        <v>0</v>
      </c>
      <c r="BF8" s="47">
        <v>0</v>
      </c>
      <c r="BG8" s="47">
        <v>0</v>
      </c>
      <c r="BH8" s="47">
        <v>0</v>
      </c>
      <c r="BI8" s="47">
        <v>0</v>
      </c>
      <c r="BJ8" s="47">
        <v>0</v>
      </c>
      <c r="BK8" s="47">
        <v>0</v>
      </c>
      <c r="BL8" s="47">
        <v>0</v>
      </c>
      <c r="BM8" s="47">
        <v>0</v>
      </c>
      <c r="BN8" s="47">
        <v>0</v>
      </c>
      <c r="BO8" s="47">
        <v>0</v>
      </c>
      <c r="BP8" s="47">
        <v>0</v>
      </c>
      <c r="BQ8" s="47">
        <v>0</v>
      </c>
      <c r="BR8" s="47">
        <v>0</v>
      </c>
      <c r="BS8" s="47">
        <v>0</v>
      </c>
      <c r="BT8" s="47">
        <v>0</v>
      </c>
      <c r="BU8" s="47">
        <v>0</v>
      </c>
      <c r="BV8" s="47">
        <v>0</v>
      </c>
      <c r="BW8" s="47">
        <v>0</v>
      </c>
      <c r="BX8" s="47">
        <v>0</v>
      </c>
      <c r="BY8" s="47">
        <v>0</v>
      </c>
      <c r="BZ8" s="47">
        <v>0</v>
      </c>
      <c r="CA8" s="47">
        <v>0</v>
      </c>
      <c r="CB8" s="47">
        <v>0</v>
      </c>
      <c r="CC8" s="47">
        <v>0</v>
      </c>
      <c r="CD8" s="47">
        <v>0</v>
      </c>
      <c r="CE8" s="47">
        <v>0</v>
      </c>
      <c r="CF8" s="47">
        <v>0</v>
      </c>
      <c r="CG8" s="47">
        <v>0</v>
      </c>
      <c r="CH8" s="47">
        <v>0</v>
      </c>
      <c r="CI8" s="47">
        <v>0</v>
      </c>
      <c r="CJ8" s="47">
        <v>0</v>
      </c>
      <c r="CK8" s="47">
        <v>0</v>
      </c>
      <c r="CL8" s="47">
        <v>0</v>
      </c>
      <c r="CM8" s="47">
        <v>0</v>
      </c>
      <c r="CN8" s="47">
        <v>0</v>
      </c>
      <c r="CO8" s="47">
        <v>0</v>
      </c>
      <c r="CP8" s="47">
        <v>0</v>
      </c>
      <c r="CQ8" s="47">
        <v>0</v>
      </c>
      <c r="CR8" s="47">
        <v>0</v>
      </c>
      <c r="CS8" s="47">
        <v>0</v>
      </c>
      <c r="CT8" s="47">
        <v>0</v>
      </c>
      <c r="CU8" s="47">
        <v>0</v>
      </c>
      <c r="CV8" s="47">
        <v>0</v>
      </c>
      <c r="CW8" s="47">
        <v>0</v>
      </c>
      <c r="CX8" s="47">
        <v>0</v>
      </c>
      <c r="CY8" s="47">
        <v>0</v>
      </c>
      <c r="CZ8" s="47">
        <v>0</v>
      </c>
      <c r="DA8" s="47">
        <v>0</v>
      </c>
      <c r="DB8" s="47">
        <v>0</v>
      </c>
      <c r="DC8" s="47">
        <v>0</v>
      </c>
      <c r="DD8" s="47">
        <v>0</v>
      </c>
      <c r="DE8" s="47">
        <v>0</v>
      </c>
      <c r="DF8" s="47">
        <v>0</v>
      </c>
      <c r="DG8" s="47">
        <v>0</v>
      </c>
      <c r="DH8" s="47">
        <v>0</v>
      </c>
      <c r="DI8" s="47">
        <v>0</v>
      </c>
      <c r="DJ8" s="47">
        <v>0</v>
      </c>
      <c r="DK8" s="47">
        <v>0</v>
      </c>
      <c r="DL8" s="47">
        <v>0</v>
      </c>
      <c r="DM8" s="47">
        <v>0</v>
      </c>
      <c r="DN8" s="47">
        <v>0</v>
      </c>
      <c r="DO8" s="47">
        <v>0</v>
      </c>
      <c r="DP8" s="47">
        <v>0</v>
      </c>
      <c r="DQ8" s="47">
        <v>0</v>
      </c>
      <c r="DR8" s="47">
        <v>0</v>
      </c>
    </row>
    <row r="9" spans="1:124" x14ac:dyDescent="0.25">
      <c r="A9" s="47" t="s">
        <v>188</v>
      </c>
      <c r="B9" s="47" t="s">
        <v>151</v>
      </c>
      <c r="C9" s="47" t="s">
        <v>189</v>
      </c>
      <c r="D9" s="47" t="s">
        <v>190</v>
      </c>
      <c r="E9" s="47" t="s">
        <v>191</v>
      </c>
      <c r="F9" s="47" t="s">
        <v>161</v>
      </c>
      <c r="G9" s="47" t="s">
        <v>192</v>
      </c>
      <c r="H9" s="47" t="str">
        <f>=IFERROR(VLOOKUP(A9,'ETPT Format DDG'!A:J,10,FALSE),"")</f>
        <v>0</v>
      </c>
      <c r="I9" s="47" t="str">
        <f>='ETPT Format DDG'!M9</f>
        <v/>
      </c>
      <c r="J9" s="47" t="str">
        <f>='ETPT Format DDG'!D9</f>
        <v/>
      </c>
      <c r="K9" s="47" t="s">
        <v>155</v>
      </c>
      <c r="L9" s="47" t="s">
        <v>182</v>
      </c>
      <c r="M9" s="47"/>
      <c r="N9" s="47">
        <v>1</v>
      </c>
      <c r="O9" s="47">
        <v>1</v>
      </c>
      <c r="P9" s="47">
        <v>0</v>
      </c>
      <c r="Q9" s="47">
        <v>0</v>
      </c>
      <c r="R9" s="47">
        <v>0</v>
      </c>
      <c r="S9" s="47">
        <v>0</v>
      </c>
      <c r="T9" s="47">
        <v>0</v>
      </c>
      <c r="U9" s="47">
        <v>0</v>
      </c>
      <c r="V9" s="47">
        <v>0</v>
      </c>
      <c r="W9" s="47">
        <v>0</v>
      </c>
      <c r="X9" s="47">
        <v>0</v>
      </c>
      <c r="Y9" s="47">
        <v>0</v>
      </c>
      <c r="Z9" s="47">
        <v>0</v>
      </c>
      <c r="AA9" s="47">
        <v>0</v>
      </c>
      <c r="AB9" s="47">
        <v>0</v>
      </c>
      <c r="AC9" s="47">
        <v>0</v>
      </c>
      <c r="AD9" s="47">
        <v>0</v>
      </c>
      <c r="AE9" s="47">
        <v>0</v>
      </c>
      <c r="AF9" s="47">
        <v>0</v>
      </c>
      <c r="AG9" s="47">
        <v>0</v>
      </c>
      <c r="AH9" s="47">
        <v>0</v>
      </c>
      <c r="AI9" s="47">
        <v>0</v>
      </c>
      <c r="AJ9" s="47">
        <v>0</v>
      </c>
      <c r="AK9" s="47">
        <v>0</v>
      </c>
      <c r="AL9" s="47">
        <v>0</v>
      </c>
      <c r="AM9" s="47">
        <v>0</v>
      </c>
      <c r="AN9" s="47">
        <v>0</v>
      </c>
      <c r="AO9" s="47">
        <v>0</v>
      </c>
      <c r="AP9" s="47">
        <v>0</v>
      </c>
      <c r="AQ9" s="47">
        <v>0</v>
      </c>
      <c r="AR9" s="47">
        <v>0</v>
      </c>
      <c r="AS9" s="47">
        <v>0</v>
      </c>
      <c r="AT9" s="47">
        <v>0</v>
      </c>
      <c r="AU9" s="47">
        <v>0</v>
      </c>
      <c r="AV9" s="47">
        <v>0</v>
      </c>
      <c r="AW9" s="47">
        <v>0</v>
      </c>
      <c r="AX9" s="47">
        <v>0</v>
      </c>
      <c r="AY9" s="47">
        <v>0</v>
      </c>
      <c r="AZ9" s="47">
        <v>0</v>
      </c>
      <c r="BA9" s="47">
        <v>0</v>
      </c>
      <c r="BB9" s="47">
        <v>0</v>
      </c>
      <c r="BC9" s="47">
        <v>0</v>
      </c>
      <c r="BD9" s="47">
        <v>0</v>
      </c>
      <c r="BE9" s="47">
        <v>0</v>
      </c>
      <c r="BF9" s="47">
        <v>0</v>
      </c>
      <c r="BG9" s="47">
        <v>0</v>
      </c>
      <c r="BH9" s="47">
        <v>0</v>
      </c>
      <c r="BI9" s="47">
        <v>0</v>
      </c>
      <c r="BJ9" s="47">
        <v>0</v>
      </c>
      <c r="BK9" s="47">
        <v>0</v>
      </c>
      <c r="BL9" s="47">
        <v>0</v>
      </c>
      <c r="BM9" s="47">
        <v>0</v>
      </c>
      <c r="BN9" s="47">
        <v>0</v>
      </c>
      <c r="BO9" s="47">
        <v>0.065</v>
      </c>
      <c r="BP9" s="47">
        <v>0.006</v>
      </c>
      <c r="BQ9" s="47">
        <v>0.03</v>
      </c>
      <c r="BR9" s="47">
        <v>0</v>
      </c>
      <c r="BS9" s="47">
        <v>0</v>
      </c>
      <c r="BT9" s="47">
        <v>0</v>
      </c>
      <c r="BU9" s="47">
        <v>0</v>
      </c>
      <c r="BV9" s="47">
        <v>0</v>
      </c>
      <c r="BW9" s="47">
        <v>0.01</v>
      </c>
      <c r="BX9" s="47">
        <v>0.019</v>
      </c>
      <c r="BY9" s="47">
        <v>0</v>
      </c>
      <c r="BZ9" s="47">
        <v>0</v>
      </c>
      <c r="CA9" s="47">
        <v>0</v>
      </c>
      <c r="CB9" s="47">
        <v>0</v>
      </c>
      <c r="CC9" s="47">
        <v>0</v>
      </c>
      <c r="CD9" s="47">
        <v>0</v>
      </c>
      <c r="CE9" s="47">
        <v>0</v>
      </c>
      <c r="CF9" s="47">
        <v>0</v>
      </c>
      <c r="CG9" s="47">
        <v>0</v>
      </c>
      <c r="CH9" s="47">
        <v>0</v>
      </c>
      <c r="CI9" s="47">
        <v>0</v>
      </c>
      <c r="CJ9" s="47">
        <v>0</v>
      </c>
      <c r="CK9" s="47">
        <v>0</v>
      </c>
      <c r="CL9" s="47">
        <v>0.887</v>
      </c>
      <c r="CM9" s="47">
        <v>0</v>
      </c>
      <c r="CN9" s="47">
        <v>0</v>
      </c>
      <c r="CO9" s="47">
        <v>0</v>
      </c>
      <c r="CP9" s="47">
        <v>0</v>
      </c>
      <c r="CQ9" s="47">
        <v>0</v>
      </c>
      <c r="CR9" s="47">
        <v>0</v>
      </c>
      <c r="CS9" s="47">
        <v>0</v>
      </c>
      <c r="CT9" s="47">
        <v>0.048</v>
      </c>
      <c r="CU9" s="47">
        <v>0</v>
      </c>
      <c r="CV9" s="47">
        <v>0.024</v>
      </c>
      <c r="CW9" s="47">
        <v>0</v>
      </c>
      <c r="CX9" s="47">
        <v>0</v>
      </c>
      <c r="CY9" s="47">
        <v>0</v>
      </c>
      <c r="CZ9" s="47">
        <v>0</v>
      </c>
      <c r="DA9" s="47">
        <v>0.024</v>
      </c>
      <c r="DB9" s="47">
        <v>0</v>
      </c>
      <c r="DC9" s="47">
        <v>0</v>
      </c>
      <c r="DD9" s="47">
        <v>0</v>
      </c>
      <c r="DE9" s="47">
        <v>0</v>
      </c>
      <c r="DF9" s="47">
        <v>0</v>
      </c>
      <c r="DG9" s="47">
        <v>0</v>
      </c>
      <c r="DH9" s="47">
        <v>0</v>
      </c>
      <c r="DI9" s="47">
        <v>0</v>
      </c>
      <c r="DJ9" s="47">
        <v>0</v>
      </c>
      <c r="DK9" s="47">
        <v>0</v>
      </c>
      <c r="DL9" s="47">
        <v>0</v>
      </c>
      <c r="DM9" s="47">
        <v>0</v>
      </c>
      <c r="DN9" s="47">
        <v>0</v>
      </c>
      <c r="DO9" s="47">
        <v>0</v>
      </c>
      <c r="DP9" s="47">
        <v>0</v>
      </c>
      <c r="DQ9" s="47">
        <v>0</v>
      </c>
      <c r="DR9" s="47">
        <v>0</v>
      </c>
    </row>
    <row r="10" spans="1:124" x14ac:dyDescent="0.25">
      <c r="A10" s="47" t="s">
        <v>193</v>
      </c>
      <c r="B10" s="47" t="s">
        <v>151</v>
      </c>
      <c r="C10" s="47" t="s">
        <v>194</v>
      </c>
      <c r="D10" s="47" t="s">
        <v>195</v>
      </c>
      <c r="E10" s="47" t="s">
        <v>196</v>
      </c>
      <c r="F10" s="47" t="s">
        <v>161</v>
      </c>
      <c r="G10" s="47" t="s">
        <v>197</v>
      </c>
      <c r="H10" s="47" t="str">
        <f>=IFERROR(VLOOKUP(A10,'ETPT Format DDG'!A:J,10,FALSE),"")</f>
        <v>0</v>
      </c>
      <c r="I10" s="47" t="str">
        <f>='ETPT Format DDG'!M10</f>
        <v/>
      </c>
      <c r="J10" s="47" t="str">
        <f>='ETPT Format DDG'!D10</f>
        <v/>
      </c>
      <c r="K10" s="47" t="s">
        <v>155</v>
      </c>
      <c r="L10" s="47" t="s">
        <v>198</v>
      </c>
      <c r="M10" s="47" t="s">
        <v>169</v>
      </c>
      <c r="N10" s="47">
        <v>0.7016</v>
      </c>
      <c r="O10" s="47">
        <v>0.7016</v>
      </c>
      <c r="P10" s="47">
        <v>0</v>
      </c>
      <c r="Q10" s="47">
        <v>0</v>
      </c>
      <c r="R10" s="47">
        <v>0</v>
      </c>
      <c r="S10" s="47">
        <v>0</v>
      </c>
      <c r="T10" s="47">
        <v>0</v>
      </c>
      <c r="U10" s="47">
        <v>0</v>
      </c>
      <c r="V10" s="47">
        <v>0</v>
      </c>
      <c r="W10" s="47">
        <v>0</v>
      </c>
      <c r="X10" s="47">
        <v>0</v>
      </c>
      <c r="Y10" s="47">
        <v>0</v>
      </c>
      <c r="Z10" s="47">
        <v>0</v>
      </c>
      <c r="AA10" s="47">
        <v>0</v>
      </c>
      <c r="AB10" s="47">
        <v>0</v>
      </c>
      <c r="AC10" s="47">
        <v>0</v>
      </c>
      <c r="AD10" s="47">
        <v>0</v>
      </c>
      <c r="AE10" s="47">
        <v>0</v>
      </c>
      <c r="AF10" s="47">
        <v>0</v>
      </c>
      <c r="AG10" s="47">
        <v>0</v>
      </c>
      <c r="AH10" s="47">
        <v>0</v>
      </c>
      <c r="AI10" s="47">
        <v>0</v>
      </c>
      <c r="AJ10" s="47">
        <v>0</v>
      </c>
      <c r="AK10" s="47">
        <v>0</v>
      </c>
      <c r="AL10" s="47">
        <v>0</v>
      </c>
      <c r="AM10" s="47">
        <v>0</v>
      </c>
      <c r="AN10" s="47">
        <v>0.6385</v>
      </c>
      <c r="AO10" s="47">
        <v>0</v>
      </c>
      <c r="AP10" s="47">
        <v>0</v>
      </c>
      <c r="AQ10" s="47">
        <v>0</v>
      </c>
      <c r="AR10" s="47">
        <v>0</v>
      </c>
      <c r="AS10" s="47">
        <v>0</v>
      </c>
      <c r="AT10" s="47">
        <v>0</v>
      </c>
      <c r="AU10" s="47">
        <v>0</v>
      </c>
      <c r="AV10" s="47">
        <v>0</v>
      </c>
      <c r="AW10" s="47">
        <v>0</v>
      </c>
      <c r="AX10" s="47">
        <v>0</v>
      </c>
      <c r="AY10" s="47">
        <v>0</v>
      </c>
      <c r="AZ10" s="47">
        <v>0</v>
      </c>
      <c r="BA10" s="47">
        <v>0</v>
      </c>
      <c r="BB10" s="47">
        <v>0</v>
      </c>
      <c r="BC10" s="47">
        <v>0</v>
      </c>
      <c r="BD10" s="47">
        <v>0</v>
      </c>
      <c r="BE10" s="47">
        <v>0</v>
      </c>
      <c r="BF10" s="47">
        <v>0</v>
      </c>
      <c r="BG10" s="47">
        <v>0</v>
      </c>
      <c r="BH10" s="47">
        <v>0</v>
      </c>
      <c r="BI10" s="47">
        <v>0</v>
      </c>
      <c r="BJ10" s="47">
        <v>0</v>
      </c>
      <c r="BK10" s="47">
        <v>0</v>
      </c>
      <c r="BL10" s="47">
        <v>0</v>
      </c>
      <c r="BM10" s="47">
        <v>0</v>
      </c>
      <c r="BN10" s="47">
        <v>0</v>
      </c>
      <c r="BO10" s="47">
        <v>0.0491</v>
      </c>
      <c r="BP10" s="47">
        <v>0</v>
      </c>
      <c r="BQ10" s="47">
        <v>0</v>
      </c>
      <c r="BR10" s="47">
        <v>0</v>
      </c>
      <c r="BS10" s="47">
        <v>0</v>
      </c>
      <c r="BT10" s="47">
        <v>0</v>
      </c>
      <c r="BU10" s="47">
        <v>0</v>
      </c>
      <c r="BV10" s="47">
        <v>0</v>
      </c>
      <c r="BW10" s="47">
        <v>0.014</v>
      </c>
      <c r="BX10" s="47">
        <v>0</v>
      </c>
      <c r="BY10" s="47">
        <v>0</v>
      </c>
      <c r="BZ10" s="47">
        <v>0</v>
      </c>
      <c r="CA10" s="47">
        <v>0</v>
      </c>
      <c r="CB10" s="47">
        <v>0</v>
      </c>
      <c r="CC10" s="47">
        <v>0</v>
      </c>
      <c r="CD10" s="47">
        <v>0</v>
      </c>
      <c r="CE10" s="47">
        <v>0.0351</v>
      </c>
      <c r="CF10" s="47">
        <v>0</v>
      </c>
      <c r="CG10" s="47">
        <v>0</v>
      </c>
      <c r="CH10" s="47">
        <v>0</v>
      </c>
      <c r="CI10" s="47">
        <v>0</v>
      </c>
      <c r="CJ10" s="47">
        <v>0</v>
      </c>
      <c r="CK10" s="47">
        <v>0</v>
      </c>
      <c r="CL10" s="47">
        <v>0</v>
      </c>
      <c r="CM10" s="47">
        <v>0</v>
      </c>
      <c r="CN10" s="47">
        <v>0</v>
      </c>
      <c r="CO10" s="47">
        <v>0</v>
      </c>
      <c r="CP10" s="47">
        <v>0</v>
      </c>
      <c r="CQ10" s="47">
        <v>0</v>
      </c>
      <c r="CR10" s="47">
        <v>0</v>
      </c>
      <c r="CS10" s="47">
        <v>0</v>
      </c>
      <c r="CT10" s="47">
        <v>0.014</v>
      </c>
      <c r="CU10" s="47">
        <v>0</v>
      </c>
      <c r="CV10" s="47">
        <v>0.014</v>
      </c>
      <c r="CW10" s="47">
        <v>0</v>
      </c>
      <c r="CX10" s="47">
        <v>0</v>
      </c>
      <c r="CY10" s="47">
        <v>0</v>
      </c>
      <c r="CZ10" s="47">
        <v>0</v>
      </c>
      <c r="DA10" s="47">
        <v>0</v>
      </c>
      <c r="DB10" s="47">
        <v>0</v>
      </c>
      <c r="DC10" s="47">
        <v>0</v>
      </c>
      <c r="DD10" s="47">
        <v>0</v>
      </c>
      <c r="DE10" s="47">
        <v>0</v>
      </c>
      <c r="DF10" s="47">
        <v>0</v>
      </c>
      <c r="DG10" s="47">
        <v>0</v>
      </c>
      <c r="DH10" s="47">
        <v>0</v>
      </c>
      <c r="DI10" s="47">
        <v>0</v>
      </c>
      <c r="DJ10" s="47">
        <v>0</v>
      </c>
      <c r="DK10" s="47">
        <v>0</v>
      </c>
      <c r="DL10" s="47">
        <v>0</v>
      </c>
      <c r="DM10" s="47">
        <v>0</v>
      </c>
      <c r="DN10" s="47">
        <v>0</v>
      </c>
      <c r="DO10" s="47">
        <v>0</v>
      </c>
      <c r="DP10" s="47">
        <v>0</v>
      </c>
      <c r="DQ10" s="47">
        <v>0</v>
      </c>
      <c r="DR10" s="47">
        <v>0</v>
      </c>
    </row>
    <row r="11" spans="1:124" x14ac:dyDescent="0.25">
      <c r="A11" s="47" t="s">
        <v>199</v>
      </c>
      <c r="B11" s="47" t="s">
        <v>151</v>
      </c>
      <c r="C11" s="47" t="s">
        <v>200</v>
      </c>
      <c r="D11" s="47" t="s">
        <v>201</v>
      </c>
      <c r="E11" s="47" t="s">
        <v>202</v>
      </c>
      <c r="F11" s="47" t="s">
        <v>161</v>
      </c>
      <c r="G11" s="47" t="s">
        <v>187</v>
      </c>
      <c r="H11" s="47" t="str">
        <f>=IFERROR(VLOOKUP(A11,'ETPT Format DDG'!A:J,10,FALSE),"")</f>
        <v>0</v>
      </c>
      <c r="I11" s="47" t="str">
        <f>='ETPT Format DDG'!M11</f>
        <v/>
      </c>
      <c r="J11" s="47" t="str">
        <f>='ETPT Format DDG'!D11</f>
        <v/>
      </c>
      <c r="K11" s="47" t="s">
        <v>155</v>
      </c>
      <c r="L11" s="47" t="s">
        <v>169</v>
      </c>
      <c r="M11" s="47"/>
      <c r="N11" s="47">
        <v>0.0403</v>
      </c>
      <c r="O11" s="47">
        <v>0</v>
      </c>
      <c r="P11" s="47">
        <v>0</v>
      </c>
      <c r="Q11" s="47">
        <v>0</v>
      </c>
      <c r="R11" s="47">
        <v>0</v>
      </c>
      <c r="S11" s="47">
        <v>0</v>
      </c>
      <c r="T11" s="47">
        <v>0</v>
      </c>
      <c r="U11" s="47">
        <v>0</v>
      </c>
      <c r="V11" s="47">
        <v>0</v>
      </c>
      <c r="W11" s="47">
        <v>0</v>
      </c>
      <c r="X11" s="47">
        <v>0</v>
      </c>
      <c r="Y11" s="47">
        <v>0</v>
      </c>
      <c r="Z11" s="47">
        <v>0</v>
      </c>
      <c r="AA11" s="47">
        <v>0</v>
      </c>
      <c r="AB11" s="47">
        <v>0</v>
      </c>
      <c r="AC11" s="47">
        <v>0</v>
      </c>
      <c r="AD11" s="47">
        <v>0</v>
      </c>
      <c r="AE11" s="47">
        <v>0</v>
      </c>
      <c r="AF11" s="47">
        <v>0</v>
      </c>
      <c r="AG11" s="47">
        <v>0</v>
      </c>
      <c r="AH11" s="47">
        <v>0</v>
      </c>
      <c r="AI11" s="47">
        <v>0</v>
      </c>
      <c r="AJ11" s="47">
        <v>0</v>
      </c>
      <c r="AK11" s="47">
        <v>0</v>
      </c>
      <c r="AL11" s="47">
        <v>0</v>
      </c>
      <c r="AM11" s="47">
        <v>0</v>
      </c>
      <c r="AN11" s="47">
        <v>0</v>
      </c>
      <c r="AO11" s="47">
        <v>0</v>
      </c>
      <c r="AP11" s="47">
        <v>0</v>
      </c>
      <c r="AQ11" s="47">
        <v>0</v>
      </c>
      <c r="AR11" s="47">
        <v>0</v>
      </c>
      <c r="AS11" s="47">
        <v>0</v>
      </c>
      <c r="AT11" s="47">
        <v>0</v>
      </c>
      <c r="AU11" s="47">
        <v>0</v>
      </c>
      <c r="AV11" s="47">
        <v>0</v>
      </c>
      <c r="AW11" s="47">
        <v>0</v>
      </c>
      <c r="AX11" s="47">
        <v>0</v>
      </c>
      <c r="AY11" s="47">
        <v>0</v>
      </c>
      <c r="AZ11" s="47">
        <v>0</v>
      </c>
      <c r="BA11" s="47">
        <v>0</v>
      </c>
      <c r="BB11" s="47">
        <v>0</v>
      </c>
      <c r="BC11" s="47">
        <v>0</v>
      </c>
      <c r="BD11" s="47">
        <v>0</v>
      </c>
      <c r="BE11" s="47">
        <v>0</v>
      </c>
      <c r="BF11" s="47">
        <v>0</v>
      </c>
      <c r="BG11" s="47">
        <v>0</v>
      </c>
      <c r="BH11" s="47">
        <v>0</v>
      </c>
      <c r="BI11" s="47">
        <v>0</v>
      </c>
      <c r="BJ11" s="47">
        <v>0</v>
      </c>
      <c r="BK11" s="47">
        <v>0</v>
      </c>
      <c r="BL11" s="47">
        <v>0</v>
      </c>
      <c r="BM11" s="47">
        <v>0</v>
      </c>
      <c r="BN11" s="47">
        <v>0</v>
      </c>
      <c r="BO11" s="47">
        <v>0</v>
      </c>
      <c r="BP11" s="47">
        <v>0</v>
      </c>
      <c r="BQ11" s="47">
        <v>0</v>
      </c>
      <c r="BR11" s="47">
        <v>0</v>
      </c>
      <c r="BS11" s="47">
        <v>0</v>
      </c>
      <c r="BT11" s="47">
        <v>0</v>
      </c>
      <c r="BU11" s="47">
        <v>0</v>
      </c>
      <c r="BV11" s="47">
        <v>0</v>
      </c>
      <c r="BW11" s="47">
        <v>0</v>
      </c>
      <c r="BX11" s="47">
        <v>0</v>
      </c>
      <c r="BY11" s="47">
        <v>0</v>
      </c>
      <c r="BZ11" s="47">
        <v>0</v>
      </c>
      <c r="CA11" s="47">
        <v>0</v>
      </c>
      <c r="CB11" s="47">
        <v>0</v>
      </c>
      <c r="CC11" s="47">
        <v>0</v>
      </c>
      <c r="CD11" s="47">
        <v>0</v>
      </c>
      <c r="CE11" s="47">
        <v>0</v>
      </c>
      <c r="CF11" s="47">
        <v>0</v>
      </c>
      <c r="CG11" s="47">
        <v>0</v>
      </c>
      <c r="CH11" s="47">
        <v>0</v>
      </c>
      <c r="CI11" s="47">
        <v>0</v>
      </c>
      <c r="CJ11" s="47">
        <v>0</v>
      </c>
      <c r="CK11" s="47">
        <v>0</v>
      </c>
      <c r="CL11" s="47">
        <v>0</v>
      </c>
      <c r="CM11" s="47">
        <v>0</v>
      </c>
      <c r="CN11" s="47">
        <v>0</v>
      </c>
      <c r="CO11" s="47">
        <v>0</v>
      </c>
      <c r="CP11" s="47">
        <v>0</v>
      </c>
      <c r="CQ11" s="47">
        <v>0</v>
      </c>
      <c r="CR11" s="47">
        <v>0</v>
      </c>
      <c r="CS11" s="47">
        <v>0</v>
      </c>
      <c r="CT11" s="47">
        <v>0</v>
      </c>
      <c r="CU11" s="47">
        <v>0</v>
      </c>
      <c r="CV11" s="47">
        <v>0</v>
      </c>
      <c r="CW11" s="47">
        <v>0</v>
      </c>
      <c r="CX11" s="47">
        <v>0</v>
      </c>
      <c r="CY11" s="47">
        <v>0</v>
      </c>
      <c r="CZ11" s="47">
        <v>0</v>
      </c>
      <c r="DA11" s="47">
        <v>0</v>
      </c>
      <c r="DB11" s="47">
        <v>0</v>
      </c>
      <c r="DC11" s="47">
        <v>0</v>
      </c>
      <c r="DD11" s="47">
        <v>0</v>
      </c>
      <c r="DE11" s="47">
        <v>0</v>
      </c>
      <c r="DF11" s="47">
        <v>0</v>
      </c>
      <c r="DG11" s="47">
        <v>0</v>
      </c>
      <c r="DH11" s="47">
        <v>0</v>
      </c>
      <c r="DI11" s="47">
        <v>0</v>
      </c>
      <c r="DJ11" s="47">
        <v>0</v>
      </c>
      <c r="DK11" s="47">
        <v>0</v>
      </c>
      <c r="DL11" s="47">
        <v>0</v>
      </c>
      <c r="DM11" s="47">
        <v>0</v>
      </c>
      <c r="DN11" s="47">
        <v>0</v>
      </c>
      <c r="DO11" s="47">
        <v>0</v>
      </c>
      <c r="DP11" s="47">
        <v>0</v>
      </c>
      <c r="DQ11" s="47">
        <v>0</v>
      </c>
      <c r="DR11" s="47">
        <v>0</v>
      </c>
    </row>
    <row r="12" spans="1:124" x14ac:dyDescent="0.25">
      <c r="A12" s="47" t="s">
        <v>203</v>
      </c>
      <c r="B12" s="47" t="s">
        <v>151</v>
      </c>
      <c r="C12" s="47" t="s">
        <v>204</v>
      </c>
      <c r="D12" s="47" t="s">
        <v>205</v>
      </c>
      <c r="E12" s="47" t="s">
        <v>206</v>
      </c>
      <c r="F12" s="47" t="s">
        <v>161</v>
      </c>
      <c r="G12" s="47" t="s">
        <v>207</v>
      </c>
      <c r="H12" s="47" t="str">
        <f>=IFERROR(VLOOKUP(A12,'ETPT Format DDG'!A:J,10,FALSE),"")</f>
        <v>0</v>
      </c>
      <c r="I12" s="47" t="str">
        <f>='ETPT Format DDG'!M12</f>
        <v/>
      </c>
      <c r="J12" s="47" t="str">
        <f>='ETPT Format DDG'!D12</f>
        <v/>
      </c>
      <c r="K12" s="47" t="s">
        <v>155</v>
      </c>
      <c r="L12" s="47" t="s">
        <v>208</v>
      </c>
      <c r="M12" s="47"/>
      <c r="N12" s="47">
        <v>1</v>
      </c>
      <c r="O12" s="47">
        <v>1</v>
      </c>
      <c r="P12" s="47">
        <v>0</v>
      </c>
      <c r="Q12" s="47">
        <v>0</v>
      </c>
      <c r="R12" s="47">
        <v>0</v>
      </c>
      <c r="S12" s="47">
        <v>0</v>
      </c>
      <c r="T12" s="47">
        <v>0</v>
      </c>
      <c r="U12" s="47">
        <v>0</v>
      </c>
      <c r="V12" s="47">
        <v>0</v>
      </c>
      <c r="W12" s="47">
        <v>0</v>
      </c>
      <c r="X12" s="47">
        <v>0</v>
      </c>
      <c r="Y12" s="47">
        <v>0</v>
      </c>
      <c r="Z12" s="47">
        <v>0</v>
      </c>
      <c r="AA12" s="47">
        <v>0</v>
      </c>
      <c r="AB12" s="47">
        <v>0</v>
      </c>
      <c r="AC12" s="47">
        <v>0</v>
      </c>
      <c r="AD12" s="47">
        <v>0</v>
      </c>
      <c r="AE12" s="47">
        <v>0</v>
      </c>
      <c r="AF12" s="47">
        <v>0</v>
      </c>
      <c r="AG12" s="47">
        <v>0</v>
      </c>
      <c r="AH12" s="47">
        <v>0</v>
      </c>
      <c r="AI12" s="47">
        <v>0</v>
      </c>
      <c r="AJ12" s="47">
        <v>0</v>
      </c>
      <c r="AK12" s="47">
        <v>0</v>
      </c>
      <c r="AL12" s="47">
        <v>0</v>
      </c>
      <c r="AM12" s="47">
        <v>0</v>
      </c>
      <c r="AN12" s="47">
        <v>0.91</v>
      </c>
      <c r="AO12" s="47">
        <v>0</v>
      </c>
      <c r="AP12" s="47">
        <v>0</v>
      </c>
      <c r="AQ12" s="47">
        <v>0</v>
      </c>
      <c r="AR12" s="47">
        <v>0</v>
      </c>
      <c r="AS12" s="47">
        <v>0</v>
      </c>
      <c r="AT12" s="47">
        <v>0</v>
      </c>
      <c r="AU12" s="47">
        <v>0</v>
      </c>
      <c r="AV12" s="47">
        <v>0</v>
      </c>
      <c r="AW12" s="47">
        <v>0</v>
      </c>
      <c r="AX12" s="47">
        <v>0</v>
      </c>
      <c r="AY12" s="47">
        <v>0</v>
      </c>
      <c r="AZ12" s="47">
        <v>0</v>
      </c>
      <c r="BA12" s="47">
        <v>0</v>
      </c>
      <c r="BB12" s="47">
        <v>0</v>
      </c>
      <c r="BC12" s="47">
        <v>0</v>
      </c>
      <c r="BD12" s="47">
        <v>0</v>
      </c>
      <c r="BE12" s="47">
        <v>0</v>
      </c>
      <c r="BF12" s="47">
        <v>0</v>
      </c>
      <c r="BG12" s="47">
        <v>0</v>
      </c>
      <c r="BH12" s="47">
        <v>0</v>
      </c>
      <c r="BI12" s="47">
        <v>0</v>
      </c>
      <c r="BJ12" s="47">
        <v>0</v>
      </c>
      <c r="BK12" s="47">
        <v>0</v>
      </c>
      <c r="BL12" s="47">
        <v>0</v>
      </c>
      <c r="BM12" s="47">
        <v>0</v>
      </c>
      <c r="BN12" s="47">
        <v>0</v>
      </c>
      <c r="BO12" s="47">
        <v>0.07</v>
      </c>
      <c r="BP12" s="47">
        <v>0</v>
      </c>
      <c r="BQ12" s="47">
        <v>0</v>
      </c>
      <c r="BR12" s="47">
        <v>0</v>
      </c>
      <c r="BS12" s="47">
        <v>0</v>
      </c>
      <c r="BT12" s="47">
        <v>0</v>
      </c>
      <c r="BU12" s="47">
        <v>0</v>
      </c>
      <c r="BV12" s="47">
        <v>0</v>
      </c>
      <c r="BW12" s="47">
        <v>0.02</v>
      </c>
      <c r="BX12" s="47">
        <v>0</v>
      </c>
      <c r="BY12" s="47">
        <v>0</v>
      </c>
      <c r="BZ12" s="47">
        <v>0</v>
      </c>
      <c r="CA12" s="47">
        <v>0</v>
      </c>
      <c r="CB12" s="47">
        <v>0</v>
      </c>
      <c r="CC12" s="47">
        <v>0</v>
      </c>
      <c r="CD12" s="47">
        <v>0</v>
      </c>
      <c r="CE12" s="47">
        <v>0.05</v>
      </c>
      <c r="CF12" s="47">
        <v>0</v>
      </c>
      <c r="CG12" s="47">
        <v>0</v>
      </c>
      <c r="CH12" s="47">
        <v>0</v>
      </c>
      <c r="CI12" s="47">
        <v>0</v>
      </c>
      <c r="CJ12" s="47">
        <v>0</v>
      </c>
      <c r="CK12" s="47">
        <v>0</v>
      </c>
      <c r="CL12" s="47">
        <v>0</v>
      </c>
      <c r="CM12" s="47">
        <v>0</v>
      </c>
      <c r="CN12" s="47">
        <v>0</v>
      </c>
      <c r="CO12" s="47">
        <v>0</v>
      </c>
      <c r="CP12" s="47">
        <v>0</v>
      </c>
      <c r="CQ12" s="47">
        <v>0</v>
      </c>
      <c r="CR12" s="47">
        <v>0</v>
      </c>
      <c r="CS12" s="47">
        <v>0</v>
      </c>
      <c r="CT12" s="47">
        <v>0.02</v>
      </c>
      <c r="CU12" s="47">
        <v>0</v>
      </c>
      <c r="CV12" s="47">
        <v>0.02</v>
      </c>
      <c r="CW12" s="47">
        <v>0</v>
      </c>
      <c r="CX12" s="47">
        <v>0</v>
      </c>
      <c r="CY12" s="47">
        <v>0</v>
      </c>
      <c r="CZ12" s="47">
        <v>0</v>
      </c>
      <c r="DA12" s="47">
        <v>0</v>
      </c>
      <c r="DB12" s="47">
        <v>0</v>
      </c>
      <c r="DC12" s="47">
        <v>0</v>
      </c>
      <c r="DD12" s="47">
        <v>0</v>
      </c>
      <c r="DE12" s="47">
        <v>0</v>
      </c>
      <c r="DF12" s="47">
        <v>0</v>
      </c>
      <c r="DG12" s="47">
        <v>0</v>
      </c>
      <c r="DH12" s="47">
        <v>0</v>
      </c>
      <c r="DI12" s="47">
        <v>0</v>
      </c>
      <c r="DJ12" s="47">
        <v>0</v>
      </c>
      <c r="DK12" s="47">
        <v>0</v>
      </c>
      <c r="DL12" s="47">
        <v>0</v>
      </c>
      <c r="DM12" s="47">
        <v>0</v>
      </c>
      <c r="DN12" s="47">
        <v>0</v>
      </c>
      <c r="DO12" s="47">
        <v>0</v>
      </c>
      <c r="DP12" s="47">
        <v>0</v>
      </c>
      <c r="DQ12" s="47">
        <v>0</v>
      </c>
      <c r="DR12" s="47">
        <v>0</v>
      </c>
    </row>
    <row r="13" spans="1:124" x14ac:dyDescent="0.25">
      <c r="A13" s="47" t="s">
        <v>209</v>
      </c>
      <c r="B13" s="47" t="s">
        <v>151</v>
      </c>
      <c r="C13" s="47" t="s">
        <v>210</v>
      </c>
      <c r="D13" s="47" t="s">
        <v>211</v>
      </c>
      <c r="E13" s="47" t="s">
        <v>212</v>
      </c>
      <c r="F13" s="47" t="s">
        <v>161</v>
      </c>
      <c r="G13" s="47" t="s">
        <v>207</v>
      </c>
      <c r="H13" s="47" t="str">
        <f>=IFERROR(VLOOKUP(A13,'ETPT Format DDG'!A:J,10,FALSE),"")</f>
        <v>0</v>
      </c>
      <c r="I13" s="47" t="str">
        <f>='ETPT Format DDG'!M13</f>
        <v/>
      </c>
      <c r="J13" s="47" t="str">
        <f>='ETPT Format DDG'!D13</f>
        <v/>
      </c>
      <c r="K13" s="47" t="s">
        <v>155</v>
      </c>
      <c r="L13" s="47" t="s">
        <v>213</v>
      </c>
      <c r="M13" s="47"/>
      <c r="N13" s="47">
        <v>0.9597</v>
      </c>
      <c r="O13" s="47">
        <v>0</v>
      </c>
      <c r="P13" s="47">
        <v>0</v>
      </c>
      <c r="Q13" s="47">
        <v>0</v>
      </c>
      <c r="R13" s="47">
        <v>0</v>
      </c>
      <c r="S13" s="47">
        <v>0</v>
      </c>
      <c r="T13" s="47">
        <v>0</v>
      </c>
      <c r="U13" s="47">
        <v>0</v>
      </c>
      <c r="V13" s="47">
        <v>0</v>
      </c>
      <c r="W13" s="47">
        <v>0</v>
      </c>
      <c r="X13" s="47">
        <v>0</v>
      </c>
      <c r="Y13" s="47">
        <v>0</v>
      </c>
      <c r="Z13" s="47">
        <v>0</v>
      </c>
      <c r="AA13" s="47">
        <v>0</v>
      </c>
      <c r="AB13" s="47">
        <v>0</v>
      </c>
      <c r="AC13" s="47">
        <v>0</v>
      </c>
      <c r="AD13" s="47">
        <v>0</v>
      </c>
      <c r="AE13" s="47">
        <v>0</v>
      </c>
      <c r="AF13" s="47">
        <v>0</v>
      </c>
      <c r="AG13" s="47">
        <v>0</v>
      </c>
      <c r="AH13" s="47">
        <v>0</v>
      </c>
      <c r="AI13" s="47">
        <v>0</v>
      </c>
      <c r="AJ13" s="47">
        <v>0</v>
      </c>
      <c r="AK13" s="47">
        <v>0</v>
      </c>
      <c r="AL13" s="47">
        <v>0</v>
      </c>
      <c r="AM13" s="47">
        <v>0</v>
      </c>
      <c r="AN13" s="47">
        <v>0</v>
      </c>
      <c r="AO13" s="47">
        <v>0</v>
      </c>
      <c r="AP13" s="47">
        <v>0</v>
      </c>
      <c r="AQ13" s="47">
        <v>0</v>
      </c>
      <c r="AR13" s="47">
        <v>0</v>
      </c>
      <c r="AS13" s="47">
        <v>0</v>
      </c>
      <c r="AT13" s="47">
        <v>0</v>
      </c>
      <c r="AU13" s="47">
        <v>0</v>
      </c>
      <c r="AV13" s="47">
        <v>0</v>
      </c>
      <c r="AW13" s="47">
        <v>0</v>
      </c>
      <c r="AX13" s="47">
        <v>0</v>
      </c>
      <c r="AY13" s="47">
        <v>0</v>
      </c>
      <c r="AZ13" s="47">
        <v>0</v>
      </c>
      <c r="BA13" s="47">
        <v>0</v>
      </c>
      <c r="BB13" s="47">
        <v>0</v>
      </c>
      <c r="BC13" s="47">
        <v>0</v>
      </c>
      <c r="BD13" s="47">
        <v>0</v>
      </c>
      <c r="BE13" s="47">
        <v>0</v>
      </c>
      <c r="BF13" s="47">
        <v>0</v>
      </c>
      <c r="BG13" s="47">
        <v>0</v>
      </c>
      <c r="BH13" s="47">
        <v>0</v>
      </c>
      <c r="BI13" s="47">
        <v>0</v>
      </c>
      <c r="BJ13" s="47">
        <v>0</v>
      </c>
      <c r="BK13" s="47">
        <v>0</v>
      </c>
      <c r="BL13" s="47">
        <v>0</v>
      </c>
      <c r="BM13" s="47">
        <v>0</v>
      </c>
      <c r="BN13" s="47">
        <v>0</v>
      </c>
      <c r="BO13" s="47">
        <v>0</v>
      </c>
      <c r="BP13" s="47">
        <v>0</v>
      </c>
      <c r="BQ13" s="47">
        <v>0</v>
      </c>
      <c r="BR13" s="47">
        <v>0</v>
      </c>
      <c r="BS13" s="47">
        <v>0</v>
      </c>
      <c r="BT13" s="47">
        <v>0</v>
      </c>
      <c r="BU13" s="47">
        <v>0</v>
      </c>
      <c r="BV13" s="47">
        <v>0</v>
      </c>
      <c r="BW13" s="47">
        <v>0</v>
      </c>
      <c r="BX13" s="47">
        <v>0</v>
      </c>
      <c r="BY13" s="47">
        <v>0</v>
      </c>
      <c r="BZ13" s="47">
        <v>0</v>
      </c>
      <c r="CA13" s="47">
        <v>0</v>
      </c>
      <c r="CB13" s="47">
        <v>0</v>
      </c>
      <c r="CC13" s="47">
        <v>0</v>
      </c>
      <c r="CD13" s="47">
        <v>0</v>
      </c>
      <c r="CE13" s="47">
        <v>0</v>
      </c>
      <c r="CF13" s="47">
        <v>0</v>
      </c>
      <c r="CG13" s="47">
        <v>0</v>
      </c>
      <c r="CH13" s="47">
        <v>0</v>
      </c>
      <c r="CI13" s="47">
        <v>0</v>
      </c>
      <c r="CJ13" s="47">
        <v>0</v>
      </c>
      <c r="CK13" s="47">
        <v>0</v>
      </c>
      <c r="CL13" s="47">
        <v>0</v>
      </c>
      <c r="CM13" s="47">
        <v>0</v>
      </c>
      <c r="CN13" s="47">
        <v>0</v>
      </c>
      <c r="CO13" s="47">
        <v>0</v>
      </c>
      <c r="CP13" s="47">
        <v>0</v>
      </c>
      <c r="CQ13" s="47">
        <v>0</v>
      </c>
      <c r="CR13" s="47">
        <v>0</v>
      </c>
      <c r="CS13" s="47">
        <v>0</v>
      </c>
      <c r="CT13" s="47">
        <v>0</v>
      </c>
      <c r="CU13" s="47">
        <v>0</v>
      </c>
      <c r="CV13" s="47">
        <v>0</v>
      </c>
      <c r="CW13" s="47">
        <v>0</v>
      </c>
      <c r="CX13" s="47">
        <v>0</v>
      </c>
      <c r="CY13" s="47">
        <v>0</v>
      </c>
      <c r="CZ13" s="47">
        <v>0</v>
      </c>
      <c r="DA13" s="47">
        <v>0</v>
      </c>
      <c r="DB13" s="47">
        <v>0</v>
      </c>
      <c r="DC13" s="47">
        <v>0</v>
      </c>
      <c r="DD13" s="47">
        <v>0</v>
      </c>
      <c r="DE13" s="47">
        <v>0</v>
      </c>
      <c r="DF13" s="47">
        <v>0.0403</v>
      </c>
      <c r="DG13" s="47">
        <v>0.0403</v>
      </c>
      <c r="DH13" s="47">
        <v>0</v>
      </c>
      <c r="DI13" s="47">
        <v>0</v>
      </c>
      <c r="DJ13" s="47">
        <v>0</v>
      </c>
      <c r="DK13" s="47">
        <v>0</v>
      </c>
      <c r="DL13" s="47">
        <v>0</v>
      </c>
      <c r="DM13" s="47">
        <v>0</v>
      </c>
      <c r="DN13" s="47">
        <v>0</v>
      </c>
      <c r="DO13" s="47">
        <v>0</v>
      </c>
      <c r="DP13" s="47">
        <v>0</v>
      </c>
      <c r="DQ13" s="47">
        <v>0</v>
      </c>
      <c r="DR13" s="47">
        <v>0</v>
      </c>
    </row>
    <row r="14" spans="1:124" x14ac:dyDescent="0.25">
      <c r="A14" s="47" t="s">
        <v>214</v>
      </c>
      <c r="B14" s="47" t="s">
        <v>151</v>
      </c>
      <c r="C14" s="47" t="s">
        <v>215</v>
      </c>
      <c r="D14" s="47" t="s">
        <v>216</v>
      </c>
      <c r="E14" s="47" t="s">
        <v>217</v>
      </c>
      <c r="F14" s="47" t="s">
        <v>161</v>
      </c>
      <c r="G14" s="47" t="s">
        <v>218</v>
      </c>
      <c r="H14" s="47" t="str">
        <f>=IFERROR(VLOOKUP(A14,'ETPT Format DDG'!A:J,10,FALSE),"")</f>
        <v>0</v>
      </c>
      <c r="I14" s="47" t="str">
        <f>='ETPT Format DDG'!M14</f>
        <v/>
      </c>
      <c r="J14" s="47" t="str">
        <f>='ETPT Format DDG'!D14</f>
        <v/>
      </c>
      <c r="K14" s="47" t="s">
        <v>155</v>
      </c>
      <c r="L14" s="47" t="s">
        <v>176</v>
      </c>
      <c r="M14" s="47" t="s">
        <v>169</v>
      </c>
      <c r="N14" s="47">
        <v>0.7016</v>
      </c>
      <c r="O14" s="47">
        <v>0.7016</v>
      </c>
      <c r="P14" s="47">
        <v>0</v>
      </c>
      <c r="Q14" s="47">
        <v>0</v>
      </c>
      <c r="R14" s="47">
        <v>0</v>
      </c>
      <c r="S14" s="47">
        <v>0</v>
      </c>
      <c r="T14" s="47">
        <v>0</v>
      </c>
      <c r="U14" s="47">
        <v>0</v>
      </c>
      <c r="V14" s="47">
        <v>0</v>
      </c>
      <c r="W14" s="47">
        <v>0</v>
      </c>
      <c r="X14" s="47">
        <v>0</v>
      </c>
      <c r="Y14" s="47">
        <v>0</v>
      </c>
      <c r="Z14" s="47">
        <v>0</v>
      </c>
      <c r="AA14" s="47">
        <v>0</v>
      </c>
      <c r="AB14" s="47">
        <v>0</v>
      </c>
      <c r="AC14" s="47">
        <v>0</v>
      </c>
      <c r="AD14" s="47">
        <v>0</v>
      </c>
      <c r="AE14" s="47">
        <v>0</v>
      </c>
      <c r="AF14" s="47">
        <v>0</v>
      </c>
      <c r="AG14" s="47">
        <v>0</v>
      </c>
      <c r="AH14" s="47">
        <v>0</v>
      </c>
      <c r="AI14" s="47">
        <v>0</v>
      </c>
      <c r="AJ14" s="47">
        <v>0</v>
      </c>
      <c r="AK14" s="47">
        <v>0</v>
      </c>
      <c r="AL14" s="47">
        <v>0</v>
      </c>
      <c r="AM14" s="47">
        <v>0</v>
      </c>
      <c r="AN14" s="47">
        <v>0</v>
      </c>
      <c r="AO14" s="47">
        <v>0</v>
      </c>
      <c r="AP14" s="47">
        <v>0</v>
      </c>
      <c r="AQ14" s="47">
        <v>0</v>
      </c>
      <c r="AR14" s="47">
        <v>0</v>
      </c>
      <c r="AS14" s="47">
        <v>0</v>
      </c>
      <c r="AT14" s="47">
        <v>0</v>
      </c>
      <c r="AU14" s="47">
        <v>0</v>
      </c>
      <c r="AV14" s="47">
        <v>0</v>
      </c>
      <c r="AW14" s="47">
        <v>0</v>
      </c>
      <c r="AX14" s="47">
        <v>0</v>
      </c>
      <c r="AY14" s="47">
        <v>0</v>
      </c>
      <c r="AZ14" s="47">
        <v>0</v>
      </c>
      <c r="BA14" s="47">
        <v>0</v>
      </c>
      <c r="BB14" s="47">
        <v>0</v>
      </c>
      <c r="BC14" s="47">
        <v>0</v>
      </c>
      <c r="BD14" s="47">
        <v>0</v>
      </c>
      <c r="BE14" s="47">
        <v>0</v>
      </c>
      <c r="BF14" s="47">
        <v>0</v>
      </c>
      <c r="BG14" s="47">
        <v>0</v>
      </c>
      <c r="BH14" s="47">
        <v>0</v>
      </c>
      <c r="BI14" s="47">
        <v>0</v>
      </c>
      <c r="BJ14" s="47">
        <v>0</v>
      </c>
      <c r="BK14" s="47">
        <v>0</v>
      </c>
      <c r="BL14" s="47">
        <v>0.6272</v>
      </c>
      <c r="BM14" s="47">
        <v>0.501</v>
      </c>
      <c r="BN14" s="47">
        <v>0.1263</v>
      </c>
      <c r="BO14" s="47">
        <v>0.014</v>
      </c>
      <c r="BP14" s="47">
        <v>0</v>
      </c>
      <c r="BQ14" s="47">
        <v>0</v>
      </c>
      <c r="BR14" s="47">
        <v>0</v>
      </c>
      <c r="BS14" s="47">
        <v>0</v>
      </c>
      <c r="BT14" s="47">
        <v>0</v>
      </c>
      <c r="BU14" s="47">
        <v>0</v>
      </c>
      <c r="BV14" s="47">
        <v>0</v>
      </c>
      <c r="BW14" s="47">
        <v>0.014</v>
      </c>
      <c r="BX14" s="47">
        <v>0</v>
      </c>
      <c r="BY14" s="47">
        <v>0</v>
      </c>
      <c r="BZ14" s="47">
        <v>0</v>
      </c>
      <c r="CA14" s="47">
        <v>0</v>
      </c>
      <c r="CB14" s="47">
        <v>0</v>
      </c>
      <c r="CC14" s="47">
        <v>0</v>
      </c>
      <c r="CD14" s="47">
        <v>0</v>
      </c>
      <c r="CE14" s="47">
        <v>0</v>
      </c>
      <c r="CF14" s="47">
        <v>0</v>
      </c>
      <c r="CG14" s="47">
        <v>0</v>
      </c>
      <c r="CH14" s="47">
        <v>0</v>
      </c>
      <c r="CI14" s="47">
        <v>0</v>
      </c>
      <c r="CJ14" s="47">
        <v>0</v>
      </c>
      <c r="CK14" s="47">
        <v>0</v>
      </c>
      <c r="CL14" s="47">
        <v>0</v>
      </c>
      <c r="CM14" s="47">
        <v>0</v>
      </c>
      <c r="CN14" s="47">
        <v>0</v>
      </c>
      <c r="CO14" s="47">
        <v>0</v>
      </c>
      <c r="CP14" s="47">
        <v>0</v>
      </c>
      <c r="CQ14" s="47">
        <v>0.0253</v>
      </c>
      <c r="CR14" s="47">
        <v>0</v>
      </c>
      <c r="CS14" s="47">
        <v>0</v>
      </c>
      <c r="CT14" s="47">
        <v>0.0351</v>
      </c>
      <c r="CU14" s="47">
        <v>0.0351</v>
      </c>
      <c r="CV14" s="47">
        <v>0</v>
      </c>
      <c r="CW14" s="47">
        <v>0</v>
      </c>
      <c r="CX14" s="47">
        <v>0</v>
      </c>
      <c r="CY14" s="47">
        <v>0</v>
      </c>
      <c r="CZ14" s="47">
        <v>0</v>
      </c>
      <c r="DA14" s="47">
        <v>0</v>
      </c>
      <c r="DB14" s="47">
        <v>0</v>
      </c>
      <c r="DC14" s="47">
        <v>0</v>
      </c>
      <c r="DD14" s="47">
        <v>0</v>
      </c>
      <c r="DE14" s="47">
        <v>0</v>
      </c>
      <c r="DF14" s="47">
        <v>0</v>
      </c>
      <c r="DG14" s="47">
        <v>0</v>
      </c>
      <c r="DH14" s="47">
        <v>0</v>
      </c>
      <c r="DI14" s="47">
        <v>0</v>
      </c>
      <c r="DJ14" s="47">
        <v>0</v>
      </c>
      <c r="DK14" s="47">
        <v>0</v>
      </c>
      <c r="DL14" s="47">
        <v>0</v>
      </c>
      <c r="DM14" s="47">
        <v>0</v>
      </c>
      <c r="DN14" s="47">
        <v>0</v>
      </c>
      <c r="DO14" s="47">
        <v>0</v>
      </c>
      <c r="DP14" s="47">
        <v>0</v>
      </c>
      <c r="DQ14" s="47">
        <v>0</v>
      </c>
      <c r="DR14" s="47">
        <v>0</v>
      </c>
    </row>
    <row r="15" spans="1:124" x14ac:dyDescent="0.25">
      <c r="A15" s="47" t="s">
        <v>219</v>
      </c>
      <c r="B15" s="47" t="s">
        <v>151</v>
      </c>
      <c r="C15" s="47" t="s">
        <v>220</v>
      </c>
      <c r="D15" s="47" t="s">
        <v>221</v>
      </c>
      <c r="E15" s="47" t="s">
        <v>222</v>
      </c>
      <c r="F15" s="47" t="s">
        <v>161</v>
      </c>
      <c r="G15" s="47" t="s">
        <v>192</v>
      </c>
      <c r="H15" s="47" t="str">
        <f>=IFERROR(VLOOKUP(A15,'ETPT Format DDG'!A:J,10,FALSE),"")</f>
        <v>0</v>
      </c>
      <c r="I15" s="47" t="str">
        <f>='ETPT Format DDG'!M15</f>
        <v/>
      </c>
      <c r="J15" s="47" t="str">
        <f>='ETPT Format DDG'!D15</f>
        <v/>
      </c>
      <c r="K15" s="47" t="s">
        <v>155</v>
      </c>
      <c r="L15" s="47" t="s">
        <v>223</v>
      </c>
      <c r="M15" s="47"/>
      <c r="N15" s="47">
        <v>0.9677</v>
      </c>
      <c r="O15" s="47">
        <v>0.9677</v>
      </c>
      <c r="P15" s="47">
        <v>0</v>
      </c>
      <c r="Q15" s="47">
        <v>0</v>
      </c>
      <c r="R15" s="47">
        <v>0</v>
      </c>
      <c r="S15" s="47">
        <v>0</v>
      </c>
      <c r="T15" s="47">
        <v>0</v>
      </c>
      <c r="U15" s="47">
        <v>0</v>
      </c>
      <c r="V15" s="47">
        <v>0</v>
      </c>
      <c r="W15" s="47">
        <v>0</v>
      </c>
      <c r="X15" s="47">
        <v>0</v>
      </c>
      <c r="Y15" s="47">
        <v>0</v>
      </c>
      <c r="Z15" s="47">
        <v>0</v>
      </c>
      <c r="AA15" s="47">
        <v>0</v>
      </c>
      <c r="AB15" s="47">
        <v>0</v>
      </c>
      <c r="AC15" s="47">
        <v>0</v>
      </c>
      <c r="AD15" s="47">
        <v>0</v>
      </c>
      <c r="AE15" s="47">
        <v>0</v>
      </c>
      <c r="AF15" s="47">
        <v>0</v>
      </c>
      <c r="AG15" s="47">
        <v>0</v>
      </c>
      <c r="AH15" s="47">
        <v>0</v>
      </c>
      <c r="AI15" s="47">
        <v>0</v>
      </c>
      <c r="AJ15" s="47">
        <v>0</v>
      </c>
      <c r="AK15" s="47">
        <v>0</v>
      </c>
      <c r="AL15" s="47">
        <v>0</v>
      </c>
      <c r="AM15" s="47">
        <v>0</v>
      </c>
      <c r="AN15" s="47">
        <v>0</v>
      </c>
      <c r="AO15" s="47">
        <v>0</v>
      </c>
      <c r="AP15" s="47">
        <v>0</v>
      </c>
      <c r="AQ15" s="47">
        <v>0</v>
      </c>
      <c r="AR15" s="47">
        <v>0</v>
      </c>
      <c r="AS15" s="47">
        <v>0</v>
      </c>
      <c r="AT15" s="47">
        <v>0</v>
      </c>
      <c r="AU15" s="47">
        <v>0</v>
      </c>
      <c r="AV15" s="47">
        <v>0</v>
      </c>
      <c r="AW15" s="47">
        <v>0</v>
      </c>
      <c r="AX15" s="47">
        <v>0</v>
      </c>
      <c r="AY15" s="47">
        <v>0</v>
      </c>
      <c r="AZ15" s="47">
        <v>0</v>
      </c>
      <c r="BA15" s="47">
        <v>0</v>
      </c>
      <c r="BB15" s="47">
        <v>0</v>
      </c>
      <c r="BC15" s="47">
        <v>0</v>
      </c>
      <c r="BD15" s="47">
        <v>0</v>
      </c>
      <c r="BE15" s="47">
        <v>0</v>
      </c>
      <c r="BF15" s="47">
        <v>0</v>
      </c>
      <c r="BG15" s="47">
        <v>0</v>
      </c>
      <c r="BH15" s="47">
        <v>0</v>
      </c>
      <c r="BI15" s="47">
        <v>0</v>
      </c>
      <c r="BJ15" s="47">
        <v>0</v>
      </c>
      <c r="BK15" s="47">
        <v>0</v>
      </c>
      <c r="BL15" s="47">
        <v>0</v>
      </c>
      <c r="BM15" s="47">
        <v>0</v>
      </c>
      <c r="BN15" s="47">
        <v>0</v>
      </c>
      <c r="BO15" s="47">
        <v>0.0484</v>
      </c>
      <c r="BP15" s="47">
        <v>0</v>
      </c>
      <c r="BQ15" s="47">
        <v>0</v>
      </c>
      <c r="BR15" s="47">
        <v>0</v>
      </c>
      <c r="BS15" s="47">
        <v>0</v>
      </c>
      <c r="BT15" s="47">
        <v>0</v>
      </c>
      <c r="BU15" s="47">
        <v>0</v>
      </c>
      <c r="BV15" s="47">
        <v>0</v>
      </c>
      <c r="BW15" s="47">
        <v>0</v>
      </c>
      <c r="BX15" s="47">
        <v>0</v>
      </c>
      <c r="BY15" s="47">
        <v>0</v>
      </c>
      <c r="BZ15" s="47">
        <v>0</v>
      </c>
      <c r="CA15" s="47">
        <v>0</v>
      </c>
      <c r="CB15" s="47">
        <v>0</v>
      </c>
      <c r="CC15" s="47">
        <v>0</v>
      </c>
      <c r="CD15" s="47">
        <v>0</v>
      </c>
      <c r="CE15" s="47">
        <v>0</v>
      </c>
      <c r="CF15" s="47">
        <v>0</v>
      </c>
      <c r="CG15" s="47">
        <v>0</v>
      </c>
      <c r="CH15" s="47">
        <v>0</v>
      </c>
      <c r="CI15" s="47">
        <v>0</v>
      </c>
      <c r="CJ15" s="47">
        <v>0</v>
      </c>
      <c r="CK15" s="47">
        <v>0</v>
      </c>
      <c r="CL15" s="47">
        <v>0.8806</v>
      </c>
      <c r="CM15" s="47">
        <v>0</v>
      </c>
      <c r="CN15" s="47">
        <v>0</v>
      </c>
      <c r="CO15" s="47">
        <v>0</v>
      </c>
      <c r="CP15" s="47">
        <v>0</v>
      </c>
      <c r="CQ15" s="47">
        <v>0</v>
      </c>
      <c r="CR15" s="47">
        <v>0</v>
      </c>
      <c r="CS15" s="47">
        <v>0</v>
      </c>
      <c r="CT15" s="47">
        <v>0.0387</v>
      </c>
      <c r="CU15" s="47">
        <v>0</v>
      </c>
      <c r="CV15" s="47">
        <v>0.0194</v>
      </c>
      <c r="CW15" s="47">
        <v>0.0194</v>
      </c>
      <c r="CX15" s="47">
        <v>0</v>
      </c>
      <c r="CY15" s="47">
        <v>0</v>
      </c>
      <c r="CZ15" s="47">
        <v>0</v>
      </c>
      <c r="DA15" s="47">
        <v>0</v>
      </c>
      <c r="DB15" s="47">
        <v>0</v>
      </c>
      <c r="DC15" s="47">
        <v>0</v>
      </c>
      <c r="DD15" s="47">
        <v>0</v>
      </c>
      <c r="DE15" s="47">
        <v>0</v>
      </c>
      <c r="DF15" s="47">
        <v>0.0323</v>
      </c>
      <c r="DG15" s="47">
        <v>0</v>
      </c>
      <c r="DH15" s="47">
        <v>0.0323</v>
      </c>
      <c r="DI15" s="47">
        <v>0</v>
      </c>
      <c r="DJ15" s="47">
        <v>0</v>
      </c>
      <c r="DK15" s="47">
        <v>0</v>
      </c>
      <c r="DL15" s="47">
        <v>0</v>
      </c>
      <c r="DM15" s="47">
        <v>0</v>
      </c>
      <c r="DN15" s="47">
        <v>0</v>
      </c>
      <c r="DO15" s="47">
        <v>0</v>
      </c>
      <c r="DP15" s="47">
        <v>0</v>
      </c>
      <c r="DQ15" s="47">
        <v>0</v>
      </c>
      <c r="DR15" s="47">
        <v>0</v>
      </c>
    </row>
    <row r="16" spans="1:124" x14ac:dyDescent="0.25">
      <c r="A16" s="47" t="s">
        <v>224</v>
      </c>
      <c r="B16" s="47" t="s">
        <v>151</v>
      </c>
      <c r="C16" s="47" t="s">
        <v>225</v>
      </c>
      <c r="D16" s="47" t="s">
        <v>226</v>
      </c>
      <c r="E16" s="47" t="s">
        <v>227</v>
      </c>
      <c r="F16" s="47" t="s">
        <v>161</v>
      </c>
      <c r="G16" s="47" t="s">
        <v>162</v>
      </c>
      <c r="H16" s="47" t="str">
        <f>=IFERROR(VLOOKUP(A16,'ETPT Format DDG'!A:J,10,FALSE),"")</f>
        <v>0</v>
      </c>
      <c r="I16" s="47" t="str">
        <f>='ETPT Format DDG'!M16</f>
        <v/>
      </c>
      <c r="J16" s="47" t="str">
        <f>='ETPT Format DDG'!D16</f>
        <v/>
      </c>
      <c r="K16" s="47" t="s">
        <v>155</v>
      </c>
      <c r="L16" s="47" t="s">
        <v>228</v>
      </c>
      <c r="M16" s="47"/>
      <c r="N16" s="47">
        <v>0.9</v>
      </c>
      <c r="O16" s="47">
        <v>0</v>
      </c>
      <c r="P16" s="47">
        <v>0</v>
      </c>
      <c r="Q16" s="47">
        <v>0</v>
      </c>
      <c r="R16" s="47">
        <v>0</v>
      </c>
      <c r="S16" s="47">
        <v>0</v>
      </c>
      <c r="T16" s="47">
        <v>0</v>
      </c>
      <c r="U16" s="47">
        <v>0</v>
      </c>
      <c r="V16" s="47">
        <v>0</v>
      </c>
      <c r="W16" s="47">
        <v>0</v>
      </c>
      <c r="X16" s="47">
        <v>0</v>
      </c>
      <c r="Y16" s="47">
        <v>0</v>
      </c>
      <c r="Z16" s="47">
        <v>0</v>
      </c>
      <c r="AA16" s="47">
        <v>0</v>
      </c>
      <c r="AB16" s="47">
        <v>0</v>
      </c>
      <c r="AC16" s="47">
        <v>0</v>
      </c>
      <c r="AD16" s="47">
        <v>0</v>
      </c>
      <c r="AE16" s="47">
        <v>0</v>
      </c>
      <c r="AF16" s="47">
        <v>0</v>
      </c>
      <c r="AG16" s="47">
        <v>0</v>
      </c>
      <c r="AH16" s="47">
        <v>0</v>
      </c>
      <c r="AI16" s="47">
        <v>0</v>
      </c>
      <c r="AJ16" s="47">
        <v>0</v>
      </c>
      <c r="AK16" s="47">
        <v>0</v>
      </c>
      <c r="AL16" s="47">
        <v>0</v>
      </c>
      <c r="AM16" s="47">
        <v>0</v>
      </c>
      <c r="AN16" s="47">
        <v>0</v>
      </c>
      <c r="AO16" s="47">
        <v>0</v>
      </c>
      <c r="AP16" s="47">
        <v>0</v>
      </c>
      <c r="AQ16" s="47">
        <v>0</v>
      </c>
      <c r="AR16" s="47">
        <v>0</v>
      </c>
      <c r="AS16" s="47">
        <v>0</v>
      </c>
      <c r="AT16" s="47">
        <v>0</v>
      </c>
      <c r="AU16" s="47">
        <v>0</v>
      </c>
      <c r="AV16" s="47">
        <v>0</v>
      </c>
      <c r="AW16" s="47">
        <v>0</v>
      </c>
      <c r="AX16" s="47">
        <v>0</v>
      </c>
      <c r="AY16" s="47">
        <v>0</v>
      </c>
      <c r="AZ16" s="47">
        <v>0</v>
      </c>
      <c r="BA16" s="47">
        <v>0</v>
      </c>
      <c r="BB16" s="47">
        <v>0</v>
      </c>
      <c r="BC16" s="47">
        <v>0</v>
      </c>
      <c r="BD16" s="47">
        <v>0</v>
      </c>
      <c r="BE16" s="47">
        <v>0</v>
      </c>
      <c r="BF16" s="47">
        <v>0</v>
      </c>
      <c r="BG16" s="47">
        <v>0</v>
      </c>
      <c r="BH16" s="47">
        <v>0</v>
      </c>
      <c r="BI16" s="47">
        <v>0</v>
      </c>
      <c r="BJ16" s="47">
        <v>0</v>
      </c>
      <c r="BK16" s="47">
        <v>0</v>
      </c>
      <c r="BL16" s="47">
        <v>0</v>
      </c>
      <c r="BM16" s="47">
        <v>0</v>
      </c>
      <c r="BN16" s="47">
        <v>0</v>
      </c>
      <c r="BO16" s="47">
        <v>0</v>
      </c>
      <c r="BP16" s="47">
        <v>0</v>
      </c>
      <c r="BQ16" s="47">
        <v>0</v>
      </c>
      <c r="BR16" s="47">
        <v>0</v>
      </c>
      <c r="BS16" s="47">
        <v>0</v>
      </c>
      <c r="BT16" s="47">
        <v>0</v>
      </c>
      <c r="BU16" s="47">
        <v>0</v>
      </c>
      <c r="BV16" s="47">
        <v>0</v>
      </c>
      <c r="BW16" s="47">
        <v>0</v>
      </c>
      <c r="BX16" s="47">
        <v>0</v>
      </c>
      <c r="BY16" s="47">
        <v>0</v>
      </c>
      <c r="BZ16" s="47">
        <v>0</v>
      </c>
      <c r="CA16" s="47">
        <v>0</v>
      </c>
      <c r="CB16" s="47">
        <v>0</v>
      </c>
      <c r="CC16" s="47">
        <v>0</v>
      </c>
      <c r="CD16" s="47">
        <v>0</v>
      </c>
      <c r="CE16" s="47">
        <v>0</v>
      </c>
      <c r="CF16" s="47">
        <v>0</v>
      </c>
      <c r="CG16" s="47">
        <v>0</v>
      </c>
      <c r="CH16" s="47">
        <v>0</v>
      </c>
      <c r="CI16" s="47">
        <v>0</v>
      </c>
      <c r="CJ16" s="47">
        <v>0</v>
      </c>
      <c r="CK16" s="47">
        <v>0</v>
      </c>
      <c r="CL16" s="47">
        <v>0</v>
      </c>
      <c r="CM16" s="47">
        <v>0</v>
      </c>
      <c r="CN16" s="47">
        <v>0</v>
      </c>
      <c r="CO16" s="47">
        <v>0</v>
      </c>
      <c r="CP16" s="47">
        <v>0</v>
      </c>
      <c r="CQ16" s="47">
        <v>0</v>
      </c>
      <c r="CR16" s="47">
        <v>0</v>
      </c>
      <c r="CS16" s="47">
        <v>0</v>
      </c>
      <c r="CT16" s="47">
        <v>0</v>
      </c>
      <c r="CU16" s="47">
        <v>0</v>
      </c>
      <c r="CV16" s="47">
        <v>0</v>
      </c>
      <c r="CW16" s="47">
        <v>0</v>
      </c>
      <c r="CX16" s="47">
        <v>0</v>
      </c>
      <c r="CY16" s="47">
        <v>0</v>
      </c>
      <c r="CZ16" s="47">
        <v>0</v>
      </c>
      <c r="DA16" s="47">
        <v>0</v>
      </c>
      <c r="DB16" s="47">
        <v>0</v>
      </c>
      <c r="DC16" s="47">
        <v>0</v>
      </c>
      <c r="DD16" s="47">
        <v>0</v>
      </c>
      <c r="DE16" s="47">
        <v>0</v>
      </c>
      <c r="DF16" s="47">
        <v>0</v>
      </c>
      <c r="DG16" s="47">
        <v>0</v>
      </c>
      <c r="DH16" s="47">
        <v>0</v>
      </c>
      <c r="DI16" s="47">
        <v>0</v>
      </c>
      <c r="DJ16" s="47">
        <v>0</v>
      </c>
      <c r="DK16" s="47">
        <v>0</v>
      </c>
      <c r="DL16" s="47">
        <v>0</v>
      </c>
      <c r="DM16" s="47">
        <v>0</v>
      </c>
      <c r="DN16" s="47">
        <v>0</v>
      </c>
      <c r="DO16" s="47">
        <v>0</v>
      </c>
      <c r="DP16" s="47">
        <v>0</v>
      </c>
      <c r="DQ16" s="47">
        <v>0</v>
      </c>
      <c r="DR16" s="47">
        <v>0</v>
      </c>
    </row>
    <row r="17" spans="1:124" x14ac:dyDescent="0.25">
      <c r="A17" s="47" t="s">
        <v>229</v>
      </c>
      <c r="B17" s="47" t="s">
        <v>151</v>
      </c>
      <c r="C17" s="47" t="s">
        <v>230</v>
      </c>
      <c r="D17" s="47" t="s">
        <v>231</v>
      </c>
      <c r="E17" s="47" t="s">
        <v>232</v>
      </c>
      <c r="F17" s="47" t="s">
        <v>161</v>
      </c>
      <c r="G17" s="47" t="s">
        <v>207</v>
      </c>
      <c r="H17" s="47" t="str">
        <f>=IFERROR(VLOOKUP(A17,'ETPT Format DDG'!A:J,10,FALSE),"")</f>
        <v>0</v>
      </c>
      <c r="I17" s="47" t="str">
        <f>='ETPT Format DDG'!M17</f>
        <v/>
      </c>
      <c r="J17" s="47" t="str">
        <f>='ETPT Format DDG'!D17</f>
        <v/>
      </c>
      <c r="K17" s="47" t="s">
        <v>155</v>
      </c>
      <c r="L17" s="47" t="s">
        <v>233</v>
      </c>
      <c r="M17" s="47"/>
      <c r="N17" s="47">
        <v>0.7823</v>
      </c>
      <c r="O17" s="47">
        <v>0.7823</v>
      </c>
      <c r="P17" s="47">
        <v>0</v>
      </c>
      <c r="Q17" s="47">
        <v>0</v>
      </c>
      <c r="R17" s="47">
        <v>0</v>
      </c>
      <c r="S17" s="47">
        <v>0</v>
      </c>
      <c r="T17" s="47">
        <v>0</v>
      </c>
      <c r="U17" s="47">
        <v>0</v>
      </c>
      <c r="V17" s="47">
        <v>0</v>
      </c>
      <c r="W17" s="47">
        <v>0</v>
      </c>
      <c r="X17" s="47">
        <v>0</v>
      </c>
      <c r="Y17" s="47">
        <v>0</v>
      </c>
      <c r="Z17" s="47">
        <v>0</v>
      </c>
      <c r="AA17" s="47">
        <v>0</v>
      </c>
      <c r="AB17" s="47">
        <v>0</v>
      </c>
      <c r="AC17" s="47">
        <v>0</v>
      </c>
      <c r="AD17" s="47">
        <v>0</v>
      </c>
      <c r="AE17" s="47">
        <v>0</v>
      </c>
      <c r="AF17" s="47">
        <v>0</v>
      </c>
      <c r="AG17" s="47">
        <v>0</v>
      </c>
      <c r="AH17" s="47">
        <v>0</v>
      </c>
      <c r="AI17" s="47">
        <v>0</v>
      </c>
      <c r="AJ17" s="47">
        <v>0</v>
      </c>
      <c r="AK17" s="47">
        <v>0</v>
      </c>
      <c r="AL17" s="47">
        <v>0</v>
      </c>
      <c r="AM17" s="47">
        <v>0</v>
      </c>
      <c r="AN17" s="47">
        <v>0.7197</v>
      </c>
      <c r="AO17" s="47">
        <v>0</v>
      </c>
      <c r="AP17" s="47">
        <v>0</v>
      </c>
      <c r="AQ17" s="47">
        <v>0</v>
      </c>
      <c r="AR17" s="47">
        <v>0.1956</v>
      </c>
      <c r="AS17" s="47">
        <v>0.3638</v>
      </c>
      <c r="AT17" s="47">
        <v>0</v>
      </c>
      <c r="AU17" s="47">
        <v>0</v>
      </c>
      <c r="AV17" s="47">
        <v>0</v>
      </c>
      <c r="AW17" s="47">
        <v>0</v>
      </c>
      <c r="AX17" s="47">
        <v>0</v>
      </c>
      <c r="AY17" s="47">
        <v>0</v>
      </c>
      <c r="AZ17" s="47">
        <v>0</v>
      </c>
      <c r="BA17" s="47">
        <v>0</v>
      </c>
      <c r="BB17" s="47">
        <v>0</v>
      </c>
      <c r="BC17" s="47">
        <v>0.0039</v>
      </c>
      <c r="BD17" s="47">
        <v>0</v>
      </c>
      <c r="BE17" s="47">
        <v>0.1565</v>
      </c>
      <c r="BF17" s="47">
        <v>0</v>
      </c>
      <c r="BG17" s="47">
        <v>0</v>
      </c>
      <c r="BH17" s="47">
        <v>0</v>
      </c>
      <c r="BI17" s="47">
        <v>0</v>
      </c>
      <c r="BJ17" s="47">
        <v>0</v>
      </c>
      <c r="BK17" s="47">
        <v>0</v>
      </c>
      <c r="BL17" s="47">
        <v>0</v>
      </c>
      <c r="BM17" s="47">
        <v>0</v>
      </c>
      <c r="BN17" s="47">
        <v>0</v>
      </c>
      <c r="BO17" s="47">
        <v>0.0391</v>
      </c>
      <c r="BP17" s="47">
        <v>0.0235</v>
      </c>
      <c r="BQ17" s="47">
        <v>0</v>
      </c>
      <c r="BR17" s="47">
        <v>0</v>
      </c>
      <c r="BS17" s="47">
        <v>0</v>
      </c>
      <c r="BT17" s="47">
        <v>0</v>
      </c>
      <c r="BU17" s="47">
        <v>0</v>
      </c>
      <c r="BV17" s="47">
        <v>0</v>
      </c>
      <c r="BW17" s="47">
        <v>0.0156</v>
      </c>
      <c r="BX17" s="47">
        <v>0</v>
      </c>
      <c r="BY17" s="47">
        <v>0</v>
      </c>
      <c r="BZ17" s="47">
        <v>0</v>
      </c>
      <c r="CA17" s="47">
        <v>0</v>
      </c>
      <c r="CB17" s="47">
        <v>0</v>
      </c>
      <c r="CC17" s="47">
        <v>0</v>
      </c>
      <c r="CD17" s="47">
        <v>0</v>
      </c>
      <c r="CE17" s="47">
        <v>0</v>
      </c>
      <c r="CF17" s="47">
        <v>0</v>
      </c>
      <c r="CG17" s="47">
        <v>0</v>
      </c>
      <c r="CH17" s="47">
        <v>0</v>
      </c>
      <c r="CI17" s="47">
        <v>0</v>
      </c>
      <c r="CJ17" s="47">
        <v>0</v>
      </c>
      <c r="CK17" s="47">
        <v>0</v>
      </c>
      <c r="CL17" s="47">
        <v>0</v>
      </c>
      <c r="CM17" s="47">
        <v>0</v>
      </c>
      <c r="CN17" s="47">
        <v>0</v>
      </c>
      <c r="CO17" s="47">
        <v>0</v>
      </c>
      <c r="CP17" s="47">
        <v>0</v>
      </c>
      <c r="CQ17" s="47">
        <v>0</v>
      </c>
      <c r="CR17" s="47">
        <v>0</v>
      </c>
      <c r="CS17" s="47">
        <v>0</v>
      </c>
      <c r="CT17" s="47">
        <v>0.0235</v>
      </c>
      <c r="CU17" s="47">
        <v>0.0078</v>
      </c>
      <c r="CV17" s="47">
        <v>0.0156</v>
      </c>
      <c r="CW17" s="47">
        <v>0</v>
      </c>
      <c r="CX17" s="47">
        <v>0</v>
      </c>
      <c r="CY17" s="47">
        <v>0</v>
      </c>
      <c r="CZ17" s="47">
        <v>0</v>
      </c>
      <c r="DA17" s="47">
        <v>0</v>
      </c>
      <c r="DB17" s="47">
        <v>0</v>
      </c>
      <c r="DC17" s="47">
        <v>0</v>
      </c>
      <c r="DD17" s="47">
        <v>0</v>
      </c>
      <c r="DE17" s="47">
        <v>0</v>
      </c>
      <c r="DF17" s="47">
        <v>0.2177</v>
      </c>
      <c r="DG17" s="47">
        <v>0</v>
      </c>
      <c r="DH17" s="47">
        <v>0.2177</v>
      </c>
      <c r="DI17" s="47">
        <v>0</v>
      </c>
      <c r="DJ17" s="47">
        <v>0</v>
      </c>
      <c r="DK17" s="47">
        <v>0</v>
      </c>
      <c r="DL17" s="47">
        <v>0</v>
      </c>
      <c r="DM17" s="47">
        <v>0</v>
      </c>
      <c r="DN17" s="47">
        <v>0</v>
      </c>
      <c r="DO17" s="47">
        <v>0</v>
      </c>
      <c r="DP17" s="47">
        <v>0</v>
      </c>
      <c r="DQ17" s="47">
        <v>0</v>
      </c>
      <c r="DR17" s="47">
        <v>0</v>
      </c>
    </row>
    <row r="18" spans="1:124" x14ac:dyDescent="0.25">
      <c r="A18" s="47" t="s">
        <v>234</v>
      </c>
      <c r="B18" s="47" t="s">
        <v>151</v>
      </c>
      <c r="C18" s="47" t="s">
        <v>235</v>
      </c>
      <c r="D18" s="47" t="s">
        <v>236</v>
      </c>
      <c r="E18" s="47" t="s">
        <v>237</v>
      </c>
      <c r="F18" s="47" t="s">
        <v>161</v>
      </c>
      <c r="G18" s="47" t="s">
        <v>218</v>
      </c>
      <c r="H18" s="47" t="str">
        <f>=IFERROR(VLOOKUP(A18,'ETPT Format DDG'!A:J,10,FALSE),"")</f>
        <v>0</v>
      </c>
      <c r="I18" s="47" t="str">
        <f>='ETPT Format DDG'!M18</f>
        <v/>
      </c>
      <c r="J18" s="47" t="str">
        <f>='ETPT Format DDG'!D18</f>
        <v/>
      </c>
      <c r="K18" s="47" t="s">
        <v>155</v>
      </c>
      <c r="L18" s="47" t="s">
        <v>213</v>
      </c>
      <c r="M18" s="47"/>
      <c r="N18" s="47">
        <v>1</v>
      </c>
      <c r="O18" s="47">
        <v>1</v>
      </c>
      <c r="P18" s="47">
        <v>0</v>
      </c>
      <c r="Q18" s="47">
        <v>0</v>
      </c>
      <c r="R18" s="47">
        <v>0</v>
      </c>
      <c r="S18" s="47">
        <v>0</v>
      </c>
      <c r="T18" s="47">
        <v>0</v>
      </c>
      <c r="U18" s="47">
        <v>0</v>
      </c>
      <c r="V18" s="47">
        <v>0</v>
      </c>
      <c r="W18" s="47">
        <v>0</v>
      </c>
      <c r="X18" s="47">
        <v>0</v>
      </c>
      <c r="Y18" s="47">
        <v>0</v>
      </c>
      <c r="Z18" s="47">
        <v>0</v>
      </c>
      <c r="AA18" s="47">
        <v>0</v>
      </c>
      <c r="AB18" s="47">
        <v>0</v>
      </c>
      <c r="AC18" s="47">
        <v>0</v>
      </c>
      <c r="AD18" s="47">
        <v>0</v>
      </c>
      <c r="AE18" s="47">
        <v>0</v>
      </c>
      <c r="AF18" s="47">
        <v>0</v>
      </c>
      <c r="AG18" s="47">
        <v>0</v>
      </c>
      <c r="AH18" s="47">
        <v>0</v>
      </c>
      <c r="AI18" s="47">
        <v>0</v>
      </c>
      <c r="AJ18" s="47">
        <v>0</v>
      </c>
      <c r="AK18" s="47">
        <v>0</v>
      </c>
      <c r="AL18" s="47">
        <v>0</v>
      </c>
      <c r="AM18" s="47">
        <v>0</v>
      </c>
      <c r="AN18" s="47">
        <v>0</v>
      </c>
      <c r="AO18" s="47">
        <v>0</v>
      </c>
      <c r="AP18" s="47">
        <v>0</v>
      </c>
      <c r="AQ18" s="47">
        <v>0</v>
      </c>
      <c r="AR18" s="47">
        <v>0</v>
      </c>
      <c r="AS18" s="47">
        <v>0</v>
      </c>
      <c r="AT18" s="47">
        <v>0</v>
      </c>
      <c r="AU18" s="47">
        <v>0</v>
      </c>
      <c r="AV18" s="47">
        <v>0</v>
      </c>
      <c r="AW18" s="47">
        <v>0</v>
      </c>
      <c r="AX18" s="47">
        <v>0</v>
      </c>
      <c r="AY18" s="47">
        <v>0</v>
      </c>
      <c r="AZ18" s="47">
        <v>0</v>
      </c>
      <c r="BA18" s="47">
        <v>0</v>
      </c>
      <c r="BB18" s="47">
        <v>0</v>
      </c>
      <c r="BC18" s="47">
        <v>0</v>
      </c>
      <c r="BD18" s="47">
        <v>0</v>
      </c>
      <c r="BE18" s="47">
        <v>0</v>
      </c>
      <c r="BF18" s="47">
        <v>0</v>
      </c>
      <c r="BG18" s="47">
        <v>0</v>
      </c>
      <c r="BH18" s="47">
        <v>0.05</v>
      </c>
      <c r="BI18" s="47">
        <v>0</v>
      </c>
      <c r="BJ18" s="47">
        <v>0</v>
      </c>
      <c r="BK18" s="47">
        <v>0</v>
      </c>
      <c r="BL18" s="47">
        <v>0.8</v>
      </c>
      <c r="BM18" s="47">
        <v>0.5</v>
      </c>
      <c r="BN18" s="47">
        <v>0.3</v>
      </c>
      <c r="BO18" s="47">
        <v>0.03</v>
      </c>
      <c r="BP18" s="47">
        <v>0.03</v>
      </c>
      <c r="BQ18" s="47">
        <v>0</v>
      </c>
      <c r="BR18" s="47">
        <v>0</v>
      </c>
      <c r="BS18" s="47">
        <v>0</v>
      </c>
      <c r="BT18" s="47">
        <v>0</v>
      </c>
      <c r="BU18" s="47">
        <v>0</v>
      </c>
      <c r="BV18" s="47">
        <v>0</v>
      </c>
      <c r="BW18" s="47">
        <v>0</v>
      </c>
      <c r="BX18" s="47">
        <v>0</v>
      </c>
      <c r="BY18" s="47">
        <v>0</v>
      </c>
      <c r="BZ18" s="47">
        <v>0</v>
      </c>
      <c r="CA18" s="47">
        <v>0</v>
      </c>
      <c r="CB18" s="47">
        <v>0</v>
      </c>
      <c r="CC18" s="47">
        <v>0</v>
      </c>
      <c r="CD18" s="47">
        <v>0</v>
      </c>
      <c r="CE18" s="47">
        <v>0</v>
      </c>
      <c r="CF18" s="47">
        <v>0</v>
      </c>
      <c r="CG18" s="47">
        <v>0</v>
      </c>
      <c r="CH18" s="47">
        <v>0</v>
      </c>
      <c r="CI18" s="47">
        <v>0</v>
      </c>
      <c r="CJ18" s="47">
        <v>0</v>
      </c>
      <c r="CK18" s="47">
        <v>0</v>
      </c>
      <c r="CL18" s="47">
        <v>0</v>
      </c>
      <c r="CM18" s="47">
        <v>0</v>
      </c>
      <c r="CN18" s="47">
        <v>0</v>
      </c>
      <c r="CO18" s="47">
        <v>0</v>
      </c>
      <c r="CP18" s="47">
        <v>0</v>
      </c>
      <c r="CQ18" s="47">
        <v>0.05</v>
      </c>
      <c r="CR18" s="47">
        <v>0</v>
      </c>
      <c r="CS18" s="47">
        <v>0</v>
      </c>
      <c r="CT18" s="47">
        <v>0.07</v>
      </c>
      <c r="CU18" s="47">
        <v>0</v>
      </c>
      <c r="CV18" s="47">
        <v>0.07</v>
      </c>
      <c r="CW18" s="47">
        <v>0</v>
      </c>
      <c r="CX18" s="47">
        <v>0</v>
      </c>
      <c r="CY18" s="47">
        <v>0</v>
      </c>
      <c r="CZ18" s="47">
        <v>0</v>
      </c>
      <c r="DA18" s="47">
        <v>0</v>
      </c>
      <c r="DB18" s="47">
        <v>0</v>
      </c>
      <c r="DC18" s="47">
        <v>0</v>
      </c>
      <c r="DD18" s="47">
        <v>0</v>
      </c>
      <c r="DE18" s="47">
        <v>0</v>
      </c>
      <c r="DF18" s="47">
        <v>0</v>
      </c>
      <c r="DG18" s="47">
        <v>0</v>
      </c>
      <c r="DH18" s="47">
        <v>0</v>
      </c>
      <c r="DI18" s="47">
        <v>0</v>
      </c>
      <c r="DJ18" s="47">
        <v>0</v>
      </c>
      <c r="DK18" s="47">
        <v>0</v>
      </c>
      <c r="DL18" s="47">
        <v>0</v>
      </c>
      <c r="DM18" s="47">
        <v>0</v>
      </c>
      <c r="DN18" s="47">
        <v>0</v>
      </c>
      <c r="DO18" s="47">
        <v>0</v>
      </c>
      <c r="DP18" s="47">
        <v>0</v>
      </c>
      <c r="DQ18" s="47">
        <v>0</v>
      </c>
      <c r="DR18" s="47">
        <v>0</v>
      </c>
    </row>
    <row r="19" spans="1:124" x14ac:dyDescent="0.25">
      <c r="A19" s="47" t="s">
        <v>238</v>
      </c>
      <c r="B19" s="47" t="s">
        <v>151</v>
      </c>
      <c r="C19" s="47" t="s">
        <v>239</v>
      </c>
      <c r="D19" s="47" t="s">
        <v>240</v>
      </c>
      <c r="E19" s="47" t="s">
        <v>241</v>
      </c>
      <c r="F19" s="47" t="s">
        <v>161</v>
      </c>
      <c r="G19" s="47" t="s">
        <v>242</v>
      </c>
      <c r="H19" s="47" t="str">
        <f>=IFERROR(VLOOKUP(A19,'ETPT Format DDG'!A:J,10,FALSE),"")</f>
        <v>0</v>
      </c>
      <c r="I19" s="47" t="str">
        <f>='ETPT Format DDG'!M19</f>
        <v/>
      </c>
      <c r="J19" s="47" t="str">
        <f>='ETPT Format DDG'!D19</f>
        <v/>
      </c>
      <c r="K19" s="47" t="s">
        <v>155</v>
      </c>
      <c r="L19" s="47" t="s">
        <v>169</v>
      </c>
      <c r="M19" s="47"/>
      <c r="N19" s="47">
        <v>0.3024</v>
      </c>
      <c r="O19" s="47">
        <v>0</v>
      </c>
      <c r="P19" s="47">
        <v>0</v>
      </c>
      <c r="Q19" s="47">
        <v>0</v>
      </c>
      <c r="R19" s="47">
        <v>0</v>
      </c>
      <c r="S19" s="47">
        <v>0</v>
      </c>
      <c r="T19" s="47">
        <v>0</v>
      </c>
      <c r="U19" s="47">
        <v>0</v>
      </c>
      <c r="V19" s="47">
        <v>0</v>
      </c>
      <c r="W19" s="47">
        <v>0</v>
      </c>
      <c r="X19" s="47">
        <v>0</v>
      </c>
      <c r="Y19" s="47">
        <v>0</v>
      </c>
      <c r="Z19" s="47">
        <v>0</v>
      </c>
      <c r="AA19" s="47">
        <v>0</v>
      </c>
      <c r="AB19" s="47">
        <v>0</v>
      </c>
      <c r="AC19" s="47">
        <v>0</v>
      </c>
      <c r="AD19" s="47">
        <v>0</v>
      </c>
      <c r="AE19" s="47">
        <v>0</v>
      </c>
      <c r="AF19" s="47">
        <v>0</v>
      </c>
      <c r="AG19" s="47">
        <v>0</v>
      </c>
      <c r="AH19" s="47">
        <v>0</v>
      </c>
      <c r="AI19" s="47">
        <v>0</v>
      </c>
      <c r="AJ19" s="47">
        <v>0</v>
      </c>
      <c r="AK19" s="47">
        <v>0</v>
      </c>
      <c r="AL19" s="47">
        <v>0</v>
      </c>
      <c r="AM19" s="47">
        <v>0</v>
      </c>
      <c r="AN19" s="47">
        <v>0</v>
      </c>
      <c r="AO19" s="47">
        <v>0</v>
      </c>
      <c r="AP19" s="47">
        <v>0</v>
      </c>
      <c r="AQ19" s="47">
        <v>0</v>
      </c>
      <c r="AR19" s="47">
        <v>0</v>
      </c>
      <c r="AS19" s="47">
        <v>0</v>
      </c>
      <c r="AT19" s="47">
        <v>0</v>
      </c>
      <c r="AU19" s="47">
        <v>0</v>
      </c>
      <c r="AV19" s="47">
        <v>0</v>
      </c>
      <c r="AW19" s="47">
        <v>0</v>
      </c>
      <c r="AX19" s="47">
        <v>0</v>
      </c>
      <c r="AY19" s="47">
        <v>0</v>
      </c>
      <c r="AZ19" s="47">
        <v>0</v>
      </c>
      <c r="BA19" s="47">
        <v>0</v>
      </c>
      <c r="BB19" s="47">
        <v>0</v>
      </c>
      <c r="BC19" s="47">
        <v>0</v>
      </c>
      <c r="BD19" s="47">
        <v>0</v>
      </c>
      <c r="BE19" s="47">
        <v>0</v>
      </c>
      <c r="BF19" s="47">
        <v>0</v>
      </c>
      <c r="BG19" s="47">
        <v>0</v>
      </c>
      <c r="BH19" s="47">
        <v>0</v>
      </c>
      <c r="BI19" s="47">
        <v>0</v>
      </c>
      <c r="BJ19" s="47">
        <v>0</v>
      </c>
      <c r="BK19" s="47">
        <v>0</v>
      </c>
      <c r="BL19" s="47">
        <v>0</v>
      </c>
      <c r="BM19" s="47">
        <v>0</v>
      </c>
      <c r="BN19" s="47">
        <v>0</v>
      </c>
      <c r="BO19" s="47">
        <v>0</v>
      </c>
      <c r="BP19" s="47">
        <v>0</v>
      </c>
      <c r="BQ19" s="47">
        <v>0</v>
      </c>
      <c r="BR19" s="47">
        <v>0</v>
      </c>
      <c r="BS19" s="47">
        <v>0</v>
      </c>
      <c r="BT19" s="47">
        <v>0</v>
      </c>
      <c r="BU19" s="47">
        <v>0</v>
      </c>
      <c r="BV19" s="47">
        <v>0</v>
      </c>
      <c r="BW19" s="47">
        <v>0</v>
      </c>
      <c r="BX19" s="47">
        <v>0</v>
      </c>
      <c r="BY19" s="47">
        <v>0</v>
      </c>
      <c r="BZ19" s="47">
        <v>0</v>
      </c>
      <c r="CA19" s="47">
        <v>0</v>
      </c>
      <c r="CB19" s="47">
        <v>0</v>
      </c>
      <c r="CC19" s="47">
        <v>0</v>
      </c>
      <c r="CD19" s="47">
        <v>0</v>
      </c>
      <c r="CE19" s="47">
        <v>0</v>
      </c>
      <c r="CF19" s="47">
        <v>0</v>
      </c>
      <c r="CG19" s="47">
        <v>0</v>
      </c>
      <c r="CH19" s="47">
        <v>0</v>
      </c>
      <c r="CI19" s="47">
        <v>0</v>
      </c>
      <c r="CJ19" s="47">
        <v>0</v>
      </c>
      <c r="CK19" s="47">
        <v>0</v>
      </c>
      <c r="CL19" s="47">
        <v>0</v>
      </c>
      <c r="CM19" s="47">
        <v>0</v>
      </c>
      <c r="CN19" s="47">
        <v>0</v>
      </c>
      <c r="CO19" s="47">
        <v>0</v>
      </c>
      <c r="CP19" s="47">
        <v>0</v>
      </c>
      <c r="CQ19" s="47">
        <v>0</v>
      </c>
      <c r="CR19" s="47">
        <v>0</v>
      </c>
      <c r="CS19" s="47">
        <v>0</v>
      </c>
      <c r="CT19" s="47">
        <v>0</v>
      </c>
      <c r="CU19" s="47">
        <v>0</v>
      </c>
      <c r="CV19" s="47">
        <v>0</v>
      </c>
      <c r="CW19" s="47">
        <v>0</v>
      </c>
      <c r="CX19" s="47">
        <v>0</v>
      </c>
      <c r="CY19" s="47">
        <v>0</v>
      </c>
      <c r="CZ19" s="47">
        <v>0</v>
      </c>
      <c r="DA19" s="47">
        <v>0</v>
      </c>
      <c r="DB19" s="47">
        <v>0</v>
      </c>
      <c r="DC19" s="47">
        <v>0</v>
      </c>
      <c r="DD19" s="47">
        <v>0</v>
      </c>
      <c r="DE19" s="47">
        <v>0</v>
      </c>
      <c r="DF19" s="47">
        <v>0</v>
      </c>
      <c r="DG19" s="47">
        <v>0</v>
      </c>
      <c r="DH19" s="47">
        <v>0</v>
      </c>
      <c r="DI19" s="47">
        <v>0</v>
      </c>
      <c r="DJ19" s="47">
        <v>0</v>
      </c>
      <c r="DK19" s="47">
        <v>0</v>
      </c>
      <c r="DL19" s="47">
        <v>0</v>
      </c>
      <c r="DM19" s="47">
        <v>0</v>
      </c>
      <c r="DN19" s="47">
        <v>0</v>
      </c>
      <c r="DO19" s="47">
        <v>0</v>
      </c>
      <c r="DP19" s="47">
        <v>0</v>
      </c>
      <c r="DQ19" s="47">
        <v>0</v>
      </c>
      <c r="DR19" s="47">
        <v>0</v>
      </c>
    </row>
    <row r="20" spans="1:124" x14ac:dyDescent="0.25">
      <c r="A20" s="47" t="s">
        <v>243</v>
      </c>
      <c r="B20" s="47" t="s">
        <v>151</v>
      </c>
      <c r="C20" s="47" t="s">
        <v>244</v>
      </c>
      <c r="D20" s="47" t="s">
        <v>245</v>
      </c>
      <c r="E20" s="47" t="s">
        <v>246</v>
      </c>
      <c r="F20" s="47" t="s">
        <v>161</v>
      </c>
      <c r="G20" s="47" t="s">
        <v>207</v>
      </c>
      <c r="H20" s="47" t="str">
        <f>=IFERROR(VLOOKUP(A20,'ETPT Format DDG'!A:J,10,FALSE),"")</f>
        <v>0</v>
      </c>
      <c r="I20" s="47" t="str">
        <f>='ETPT Format DDG'!M20</f>
        <v/>
      </c>
      <c r="J20" s="47" t="str">
        <f>='ETPT Format DDG'!D20</f>
        <v/>
      </c>
      <c r="K20" s="47" t="s">
        <v>155</v>
      </c>
      <c r="L20" s="47" t="s">
        <v>213</v>
      </c>
      <c r="M20" s="47"/>
      <c r="N20" s="47">
        <v>1</v>
      </c>
      <c r="O20" s="47">
        <v>0</v>
      </c>
      <c r="P20" s="47">
        <v>0</v>
      </c>
      <c r="Q20" s="47">
        <v>0</v>
      </c>
      <c r="R20" s="47">
        <v>0</v>
      </c>
      <c r="S20" s="47">
        <v>0</v>
      </c>
      <c r="T20" s="47">
        <v>0</v>
      </c>
      <c r="U20" s="47">
        <v>0</v>
      </c>
      <c r="V20" s="47">
        <v>0</v>
      </c>
      <c r="W20" s="47">
        <v>0</v>
      </c>
      <c r="X20" s="47">
        <v>0</v>
      </c>
      <c r="Y20" s="47">
        <v>0</v>
      </c>
      <c r="Z20" s="47">
        <v>0</v>
      </c>
      <c r="AA20" s="47">
        <v>0</v>
      </c>
      <c r="AB20" s="47">
        <v>0</v>
      </c>
      <c r="AC20" s="47">
        <v>0</v>
      </c>
      <c r="AD20" s="47">
        <v>0</v>
      </c>
      <c r="AE20" s="47">
        <v>0</v>
      </c>
      <c r="AF20" s="47">
        <v>0</v>
      </c>
      <c r="AG20" s="47">
        <v>0</v>
      </c>
      <c r="AH20" s="47">
        <v>0</v>
      </c>
      <c r="AI20" s="47">
        <v>0</v>
      </c>
      <c r="AJ20" s="47">
        <v>0</v>
      </c>
      <c r="AK20" s="47">
        <v>0</v>
      </c>
      <c r="AL20" s="47">
        <v>0</v>
      </c>
      <c r="AM20" s="47">
        <v>0</v>
      </c>
      <c r="AN20" s="47">
        <v>0</v>
      </c>
      <c r="AO20" s="47">
        <v>0</v>
      </c>
      <c r="AP20" s="47">
        <v>0</v>
      </c>
      <c r="AQ20" s="47">
        <v>0</v>
      </c>
      <c r="AR20" s="47">
        <v>0</v>
      </c>
      <c r="AS20" s="47">
        <v>0</v>
      </c>
      <c r="AT20" s="47">
        <v>0</v>
      </c>
      <c r="AU20" s="47">
        <v>0</v>
      </c>
      <c r="AV20" s="47">
        <v>0</v>
      </c>
      <c r="AW20" s="47">
        <v>0</v>
      </c>
      <c r="AX20" s="47">
        <v>0</v>
      </c>
      <c r="AY20" s="47">
        <v>0</v>
      </c>
      <c r="AZ20" s="47">
        <v>0</v>
      </c>
      <c r="BA20" s="47">
        <v>0</v>
      </c>
      <c r="BB20" s="47">
        <v>0</v>
      </c>
      <c r="BC20" s="47">
        <v>0</v>
      </c>
      <c r="BD20" s="47">
        <v>0</v>
      </c>
      <c r="BE20" s="47">
        <v>0</v>
      </c>
      <c r="BF20" s="47">
        <v>0</v>
      </c>
      <c r="BG20" s="47">
        <v>0</v>
      </c>
      <c r="BH20" s="47">
        <v>0</v>
      </c>
      <c r="BI20" s="47">
        <v>0</v>
      </c>
      <c r="BJ20" s="47">
        <v>0</v>
      </c>
      <c r="BK20" s="47">
        <v>0</v>
      </c>
      <c r="BL20" s="47">
        <v>0</v>
      </c>
      <c r="BM20" s="47">
        <v>0</v>
      </c>
      <c r="BN20" s="47">
        <v>0</v>
      </c>
      <c r="BO20" s="47">
        <v>0</v>
      </c>
      <c r="BP20" s="47">
        <v>0</v>
      </c>
      <c r="BQ20" s="47">
        <v>0</v>
      </c>
      <c r="BR20" s="47">
        <v>0</v>
      </c>
      <c r="BS20" s="47">
        <v>0</v>
      </c>
      <c r="BT20" s="47">
        <v>0</v>
      </c>
      <c r="BU20" s="47">
        <v>0</v>
      </c>
      <c r="BV20" s="47">
        <v>0</v>
      </c>
      <c r="BW20" s="47">
        <v>0</v>
      </c>
      <c r="BX20" s="47">
        <v>0</v>
      </c>
      <c r="BY20" s="47">
        <v>0</v>
      </c>
      <c r="BZ20" s="47">
        <v>0</v>
      </c>
      <c r="CA20" s="47">
        <v>0</v>
      </c>
      <c r="CB20" s="47">
        <v>0</v>
      </c>
      <c r="CC20" s="47">
        <v>0</v>
      </c>
      <c r="CD20" s="47">
        <v>0</v>
      </c>
      <c r="CE20" s="47">
        <v>0</v>
      </c>
      <c r="CF20" s="47">
        <v>0</v>
      </c>
      <c r="CG20" s="47">
        <v>0</v>
      </c>
      <c r="CH20" s="47">
        <v>0</v>
      </c>
      <c r="CI20" s="47">
        <v>0</v>
      </c>
      <c r="CJ20" s="47">
        <v>0</v>
      </c>
      <c r="CK20" s="47">
        <v>0</v>
      </c>
      <c r="CL20" s="47">
        <v>0</v>
      </c>
      <c r="CM20" s="47">
        <v>0</v>
      </c>
      <c r="CN20" s="47">
        <v>0</v>
      </c>
      <c r="CO20" s="47">
        <v>0</v>
      </c>
      <c r="CP20" s="47">
        <v>0</v>
      </c>
      <c r="CQ20" s="47">
        <v>0</v>
      </c>
      <c r="CR20" s="47">
        <v>0</v>
      </c>
      <c r="CS20" s="47">
        <v>0</v>
      </c>
      <c r="CT20" s="47">
        <v>0</v>
      </c>
      <c r="CU20" s="47">
        <v>0</v>
      </c>
      <c r="CV20" s="47">
        <v>0</v>
      </c>
      <c r="CW20" s="47">
        <v>0</v>
      </c>
      <c r="CX20" s="47">
        <v>0</v>
      </c>
      <c r="CY20" s="47">
        <v>0</v>
      </c>
      <c r="CZ20" s="47">
        <v>0</v>
      </c>
      <c r="DA20" s="47">
        <v>0</v>
      </c>
      <c r="DB20" s="47">
        <v>0</v>
      </c>
      <c r="DC20" s="47">
        <v>0</v>
      </c>
      <c r="DD20" s="47">
        <v>0</v>
      </c>
      <c r="DE20" s="47">
        <v>0</v>
      </c>
      <c r="DF20" s="47">
        <v>0</v>
      </c>
      <c r="DG20" s="47">
        <v>0</v>
      </c>
      <c r="DH20" s="47">
        <v>0</v>
      </c>
      <c r="DI20" s="47">
        <v>0</v>
      </c>
      <c r="DJ20" s="47">
        <v>0</v>
      </c>
      <c r="DK20" s="47">
        <v>0</v>
      </c>
      <c r="DL20" s="47">
        <v>0</v>
      </c>
      <c r="DM20" s="47">
        <v>0</v>
      </c>
      <c r="DN20" s="47">
        <v>0</v>
      </c>
      <c r="DO20" s="47">
        <v>0</v>
      </c>
      <c r="DP20" s="47">
        <v>0</v>
      </c>
      <c r="DQ20" s="47">
        <v>0</v>
      </c>
      <c r="DR20" s="47">
        <v>0</v>
      </c>
    </row>
    <row r="21" spans="1:124" x14ac:dyDescent="0.25">
      <c r="A21" s="47" t="s">
        <v>247</v>
      </c>
      <c r="B21" s="47" t="s">
        <v>151</v>
      </c>
      <c r="C21" s="47" t="s">
        <v>248</v>
      </c>
      <c r="D21" s="47" t="s">
        <v>249</v>
      </c>
      <c r="E21" s="47" t="s">
        <v>250</v>
      </c>
      <c r="F21" s="47" t="s">
        <v>161</v>
      </c>
      <c r="G21" s="47" t="s">
        <v>251</v>
      </c>
      <c r="H21" s="47" t="str">
        <f>=IFERROR(VLOOKUP(A21,'ETPT Format DDG'!A:J,10,FALSE),"")</f>
        <v>0</v>
      </c>
      <c r="I21" s="47" t="str">
        <f>='ETPT Format DDG'!M21</f>
        <v/>
      </c>
      <c r="J21" s="47" t="str">
        <f>='ETPT Format DDG'!D21</f>
        <v/>
      </c>
      <c r="K21" s="47" t="s">
        <v>155</v>
      </c>
      <c r="L21" s="47" t="s">
        <v>163</v>
      </c>
      <c r="M21" s="47"/>
      <c r="N21" s="47">
        <v>1</v>
      </c>
      <c r="O21" s="47">
        <v>0</v>
      </c>
      <c r="P21" s="47">
        <v>0</v>
      </c>
      <c r="Q21" s="47">
        <v>0</v>
      </c>
      <c r="R21" s="47">
        <v>0</v>
      </c>
      <c r="S21" s="47">
        <v>0</v>
      </c>
      <c r="T21" s="47">
        <v>0</v>
      </c>
      <c r="U21" s="47">
        <v>0</v>
      </c>
      <c r="V21" s="47">
        <v>0</v>
      </c>
      <c r="W21" s="47">
        <v>0</v>
      </c>
      <c r="X21" s="47">
        <v>0</v>
      </c>
      <c r="Y21" s="47">
        <v>0</v>
      </c>
      <c r="Z21" s="47">
        <v>0</v>
      </c>
      <c r="AA21" s="47">
        <v>0</v>
      </c>
      <c r="AB21" s="47">
        <v>0</v>
      </c>
      <c r="AC21" s="47">
        <v>0</v>
      </c>
      <c r="AD21" s="47">
        <v>0</v>
      </c>
      <c r="AE21" s="47">
        <v>0</v>
      </c>
      <c r="AF21" s="47">
        <v>0</v>
      </c>
      <c r="AG21" s="47">
        <v>0</v>
      </c>
      <c r="AH21" s="47">
        <v>0</v>
      </c>
      <c r="AI21" s="47">
        <v>0</v>
      </c>
      <c r="AJ21" s="47">
        <v>0</v>
      </c>
      <c r="AK21" s="47">
        <v>0</v>
      </c>
      <c r="AL21" s="47">
        <v>0</v>
      </c>
      <c r="AM21" s="47">
        <v>0</v>
      </c>
      <c r="AN21" s="47">
        <v>0</v>
      </c>
      <c r="AO21" s="47">
        <v>0</v>
      </c>
      <c r="AP21" s="47">
        <v>0</v>
      </c>
      <c r="AQ21" s="47">
        <v>0</v>
      </c>
      <c r="AR21" s="47">
        <v>0</v>
      </c>
      <c r="AS21" s="47">
        <v>0</v>
      </c>
      <c r="AT21" s="47">
        <v>0</v>
      </c>
      <c r="AU21" s="47">
        <v>0</v>
      </c>
      <c r="AV21" s="47">
        <v>0</v>
      </c>
      <c r="AW21" s="47">
        <v>0</v>
      </c>
      <c r="AX21" s="47">
        <v>0</v>
      </c>
      <c r="AY21" s="47">
        <v>0</v>
      </c>
      <c r="AZ21" s="47">
        <v>0</v>
      </c>
      <c r="BA21" s="47">
        <v>0</v>
      </c>
      <c r="BB21" s="47">
        <v>0</v>
      </c>
      <c r="BC21" s="47">
        <v>0</v>
      </c>
      <c r="BD21" s="47">
        <v>0</v>
      </c>
      <c r="BE21" s="47">
        <v>0</v>
      </c>
      <c r="BF21" s="47">
        <v>0</v>
      </c>
      <c r="BG21" s="47">
        <v>0</v>
      </c>
      <c r="BH21" s="47">
        <v>0</v>
      </c>
      <c r="BI21" s="47">
        <v>0</v>
      </c>
      <c r="BJ21" s="47">
        <v>0</v>
      </c>
      <c r="BK21" s="47">
        <v>0</v>
      </c>
      <c r="BL21" s="47">
        <v>0</v>
      </c>
      <c r="BM21" s="47">
        <v>0</v>
      </c>
      <c r="BN21" s="47">
        <v>0</v>
      </c>
      <c r="BO21" s="47">
        <v>0</v>
      </c>
      <c r="BP21" s="47">
        <v>0</v>
      </c>
      <c r="BQ21" s="47">
        <v>0</v>
      </c>
      <c r="BR21" s="47">
        <v>0</v>
      </c>
      <c r="BS21" s="47">
        <v>0</v>
      </c>
      <c r="BT21" s="47">
        <v>0</v>
      </c>
      <c r="BU21" s="47">
        <v>0</v>
      </c>
      <c r="BV21" s="47">
        <v>0</v>
      </c>
      <c r="BW21" s="47">
        <v>0</v>
      </c>
      <c r="BX21" s="47">
        <v>0</v>
      </c>
      <c r="BY21" s="47">
        <v>0</v>
      </c>
      <c r="BZ21" s="47">
        <v>0</v>
      </c>
      <c r="CA21" s="47">
        <v>0</v>
      </c>
      <c r="CB21" s="47">
        <v>0</v>
      </c>
      <c r="CC21" s="47">
        <v>0</v>
      </c>
      <c r="CD21" s="47">
        <v>0</v>
      </c>
      <c r="CE21" s="47">
        <v>0</v>
      </c>
      <c r="CF21" s="47">
        <v>0</v>
      </c>
      <c r="CG21" s="47">
        <v>0</v>
      </c>
      <c r="CH21" s="47">
        <v>0</v>
      </c>
      <c r="CI21" s="47">
        <v>0</v>
      </c>
      <c r="CJ21" s="47">
        <v>0</v>
      </c>
      <c r="CK21" s="47">
        <v>0</v>
      </c>
      <c r="CL21" s="47">
        <v>0</v>
      </c>
      <c r="CM21" s="47">
        <v>0</v>
      </c>
      <c r="CN21" s="47">
        <v>0</v>
      </c>
      <c r="CO21" s="47">
        <v>0</v>
      </c>
      <c r="CP21" s="47">
        <v>0</v>
      </c>
      <c r="CQ21" s="47">
        <v>0</v>
      </c>
      <c r="CR21" s="47">
        <v>0</v>
      </c>
      <c r="CS21" s="47">
        <v>0</v>
      </c>
      <c r="CT21" s="47">
        <v>0</v>
      </c>
      <c r="CU21" s="47">
        <v>0</v>
      </c>
      <c r="CV21" s="47">
        <v>0</v>
      </c>
      <c r="CW21" s="47">
        <v>0</v>
      </c>
      <c r="CX21" s="47">
        <v>0</v>
      </c>
      <c r="CY21" s="47">
        <v>0</v>
      </c>
      <c r="CZ21" s="47">
        <v>0</v>
      </c>
      <c r="DA21" s="47">
        <v>0</v>
      </c>
      <c r="DB21" s="47">
        <v>0</v>
      </c>
      <c r="DC21" s="47">
        <v>0</v>
      </c>
      <c r="DD21" s="47">
        <v>0</v>
      </c>
      <c r="DE21" s="47">
        <v>0</v>
      </c>
      <c r="DF21" s="47">
        <v>0</v>
      </c>
      <c r="DG21" s="47">
        <v>0</v>
      </c>
      <c r="DH21" s="47">
        <v>0</v>
      </c>
      <c r="DI21" s="47">
        <v>0</v>
      </c>
      <c r="DJ21" s="47">
        <v>0</v>
      </c>
      <c r="DK21" s="47">
        <v>0</v>
      </c>
      <c r="DL21" s="47">
        <v>0</v>
      </c>
      <c r="DM21" s="47">
        <v>0</v>
      </c>
      <c r="DN21" s="47">
        <v>0</v>
      </c>
      <c r="DO21" s="47">
        <v>0</v>
      </c>
      <c r="DP21" s="47">
        <v>0</v>
      </c>
      <c r="DQ21" s="47">
        <v>0</v>
      </c>
      <c r="DR21" s="47">
        <v>0</v>
      </c>
    </row>
    <row r="22" spans="1:124" x14ac:dyDescent="0.25">
      <c r="A22" s="47" t="s">
        <v>252</v>
      </c>
      <c r="B22" s="47" t="s">
        <v>151</v>
      </c>
      <c r="C22" s="47" t="s">
        <v>253</v>
      </c>
      <c r="D22" s="47" t="s">
        <v>254</v>
      </c>
      <c r="E22" s="47" t="s">
        <v>255</v>
      </c>
      <c r="F22" s="47" t="s">
        <v>161</v>
      </c>
      <c r="G22" s="47" t="s">
        <v>256</v>
      </c>
      <c r="H22" s="47" t="str">
        <f>=IFERROR(VLOOKUP(A22,'ETPT Format DDG'!A:J,10,FALSE),"")</f>
        <v>0</v>
      </c>
      <c r="I22" s="47" t="str">
        <f>='ETPT Format DDG'!M22</f>
        <v/>
      </c>
      <c r="J22" s="47" t="str">
        <f>='ETPT Format DDG'!D22</f>
        <v/>
      </c>
      <c r="K22" s="47" t="s">
        <v>155</v>
      </c>
      <c r="L22" s="47" t="s">
        <v>257</v>
      </c>
      <c r="M22" s="47"/>
      <c r="N22" s="47">
        <v>1</v>
      </c>
      <c r="O22" s="47">
        <v>1</v>
      </c>
      <c r="P22" s="47">
        <v>0</v>
      </c>
      <c r="Q22" s="47">
        <v>0</v>
      </c>
      <c r="R22" s="47">
        <v>0</v>
      </c>
      <c r="S22" s="47">
        <v>0</v>
      </c>
      <c r="T22" s="47">
        <v>0</v>
      </c>
      <c r="U22" s="47">
        <v>0</v>
      </c>
      <c r="V22" s="47">
        <v>0</v>
      </c>
      <c r="W22" s="47">
        <v>0</v>
      </c>
      <c r="X22" s="47">
        <v>0</v>
      </c>
      <c r="Y22" s="47">
        <v>0</v>
      </c>
      <c r="Z22" s="47">
        <v>0</v>
      </c>
      <c r="AA22" s="47">
        <v>0</v>
      </c>
      <c r="AB22" s="47">
        <v>0</v>
      </c>
      <c r="AC22" s="47">
        <v>0</v>
      </c>
      <c r="AD22" s="47">
        <v>0</v>
      </c>
      <c r="AE22" s="47">
        <v>0</v>
      </c>
      <c r="AF22" s="47">
        <v>0</v>
      </c>
      <c r="AG22" s="47">
        <v>0</v>
      </c>
      <c r="AH22" s="47">
        <v>0</v>
      </c>
      <c r="AI22" s="47">
        <v>0</v>
      </c>
      <c r="AJ22" s="47">
        <v>0</v>
      </c>
      <c r="AK22" s="47">
        <v>0</v>
      </c>
      <c r="AL22" s="47">
        <v>0</v>
      </c>
      <c r="AM22" s="47">
        <v>0</v>
      </c>
      <c r="AN22" s="47">
        <v>0</v>
      </c>
      <c r="AO22" s="47">
        <v>0</v>
      </c>
      <c r="AP22" s="47">
        <v>0</v>
      </c>
      <c r="AQ22" s="47">
        <v>0</v>
      </c>
      <c r="AR22" s="47">
        <v>0</v>
      </c>
      <c r="AS22" s="47">
        <v>0</v>
      </c>
      <c r="AT22" s="47">
        <v>0</v>
      </c>
      <c r="AU22" s="47">
        <v>0</v>
      </c>
      <c r="AV22" s="47">
        <v>0</v>
      </c>
      <c r="AW22" s="47">
        <v>0</v>
      </c>
      <c r="AX22" s="47">
        <v>0</v>
      </c>
      <c r="AY22" s="47">
        <v>0</v>
      </c>
      <c r="AZ22" s="47">
        <v>0</v>
      </c>
      <c r="BA22" s="47">
        <v>0</v>
      </c>
      <c r="BB22" s="47">
        <v>0</v>
      </c>
      <c r="BC22" s="47">
        <v>0</v>
      </c>
      <c r="BD22" s="47">
        <v>0</v>
      </c>
      <c r="BE22" s="47">
        <v>0</v>
      </c>
      <c r="BF22" s="47">
        <v>0</v>
      </c>
      <c r="BG22" s="47">
        <v>0</v>
      </c>
      <c r="BH22" s="47">
        <v>0</v>
      </c>
      <c r="BI22" s="47">
        <v>0</v>
      </c>
      <c r="BJ22" s="47">
        <v>0</v>
      </c>
      <c r="BK22" s="47">
        <v>0</v>
      </c>
      <c r="BL22" s="47">
        <v>0.91</v>
      </c>
      <c r="BM22" s="47">
        <v>0</v>
      </c>
      <c r="BN22" s="47">
        <v>0</v>
      </c>
      <c r="BO22" s="47">
        <v>0.02</v>
      </c>
      <c r="BP22" s="47">
        <v>0</v>
      </c>
      <c r="BQ22" s="47">
        <v>0</v>
      </c>
      <c r="BR22" s="47">
        <v>0</v>
      </c>
      <c r="BS22" s="47">
        <v>0</v>
      </c>
      <c r="BT22" s="47">
        <v>0</v>
      </c>
      <c r="BU22" s="47">
        <v>0</v>
      </c>
      <c r="BV22" s="47">
        <v>0</v>
      </c>
      <c r="BW22" s="47">
        <v>0</v>
      </c>
      <c r="BX22" s="47">
        <v>0</v>
      </c>
      <c r="BY22" s="47">
        <v>0</v>
      </c>
      <c r="BZ22" s="47">
        <v>0</v>
      </c>
      <c r="CA22" s="47">
        <v>0</v>
      </c>
      <c r="CB22" s="47">
        <v>0</v>
      </c>
      <c r="CC22" s="47">
        <v>0</v>
      </c>
      <c r="CD22" s="47">
        <v>0</v>
      </c>
      <c r="CE22" s="47">
        <v>0</v>
      </c>
      <c r="CF22" s="47">
        <v>0</v>
      </c>
      <c r="CG22" s="47">
        <v>0</v>
      </c>
      <c r="CH22" s="47">
        <v>0</v>
      </c>
      <c r="CI22" s="47">
        <v>0</v>
      </c>
      <c r="CJ22" s="47">
        <v>0</v>
      </c>
      <c r="CK22" s="47">
        <v>0</v>
      </c>
      <c r="CL22" s="47">
        <v>0</v>
      </c>
      <c r="CM22" s="47">
        <v>0</v>
      </c>
      <c r="CN22" s="47">
        <v>0</v>
      </c>
      <c r="CO22" s="47">
        <v>0</v>
      </c>
      <c r="CP22" s="47">
        <v>0</v>
      </c>
      <c r="CQ22" s="47">
        <v>0</v>
      </c>
      <c r="CR22" s="47">
        <v>0</v>
      </c>
      <c r="CS22" s="47">
        <v>0</v>
      </c>
      <c r="CT22" s="47">
        <v>0.07</v>
      </c>
      <c r="CU22" s="47">
        <v>0</v>
      </c>
      <c r="CV22" s="47">
        <v>0</v>
      </c>
      <c r="CW22" s="47">
        <v>0</v>
      </c>
      <c r="CX22" s="47">
        <v>0</v>
      </c>
      <c r="CY22" s="47">
        <v>0</v>
      </c>
      <c r="CZ22" s="47">
        <v>0</v>
      </c>
      <c r="DA22" s="47">
        <v>0</v>
      </c>
      <c r="DB22" s="47">
        <v>0</v>
      </c>
      <c r="DC22" s="47">
        <v>0</v>
      </c>
      <c r="DD22" s="47">
        <v>0</v>
      </c>
      <c r="DE22" s="47">
        <v>0</v>
      </c>
      <c r="DF22" s="47">
        <v>0</v>
      </c>
      <c r="DG22" s="47">
        <v>0</v>
      </c>
      <c r="DH22" s="47">
        <v>0</v>
      </c>
      <c r="DI22" s="47">
        <v>0</v>
      </c>
      <c r="DJ22" s="47">
        <v>0</v>
      </c>
      <c r="DK22" s="47">
        <v>0</v>
      </c>
      <c r="DL22" s="47">
        <v>0</v>
      </c>
      <c r="DM22" s="47">
        <v>0</v>
      </c>
      <c r="DN22" s="47">
        <v>0</v>
      </c>
      <c r="DO22" s="47">
        <v>0</v>
      </c>
      <c r="DP22" s="47">
        <v>0</v>
      </c>
      <c r="DQ22" s="47">
        <v>0</v>
      </c>
      <c r="DR22" s="47">
        <v>0</v>
      </c>
    </row>
    <row r="23" spans="1:124" x14ac:dyDescent="0.25">
      <c r="A23" s="47" t="s">
        <v>258</v>
      </c>
      <c r="B23" s="47" t="s">
        <v>151</v>
      </c>
      <c r="C23" s="47" t="s">
        <v>259</v>
      </c>
      <c r="D23" s="47" t="s">
        <v>260</v>
      </c>
      <c r="E23" s="47" t="s">
        <v>261</v>
      </c>
      <c r="F23" s="47" t="s">
        <v>161</v>
      </c>
      <c r="G23" s="47" t="s">
        <v>262</v>
      </c>
      <c r="H23" s="47" t="str">
        <f>=IFERROR(VLOOKUP(A23,'ETPT Format DDG'!A:J,10,FALSE),"")</f>
        <v>0</v>
      </c>
      <c r="I23" s="47" t="str">
        <f>='ETPT Format DDG'!M23</f>
        <v/>
      </c>
      <c r="J23" s="47" t="str">
        <f>='ETPT Format DDG'!D23</f>
        <v/>
      </c>
      <c r="K23" s="47" t="s">
        <v>155</v>
      </c>
      <c r="L23" s="47" t="s">
        <v>263</v>
      </c>
      <c r="M23" s="47"/>
      <c r="N23" s="47">
        <v>1</v>
      </c>
      <c r="O23" s="47">
        <v>1</v>
      </c>
      <c r="P23" s="47">
        <v>0</v>
      </c>
      <c r="Q23" s="47">
        <v>0</v>
      </c>
      <c r="R23" s="47">
        <v>0</v>
      </c>
      <c r="S23" s="47">
        <v>0</v>
      </c>
      <c r="T23" s="47">
        <v>0</v>
      </c>
      <c r="U23" s="47">
        <v>0</v>
      </c>
      <c r="V23" s="47">
        <v>0</v>
      </c>
      <c r="W23" s="47">
        <v>0</v>
      </c>
      <c r="X23" s="47">
        <v>0</v>
      </c>
      <c r="Y23" s="47">
        <v>0</v>
      </c>
      <c r="Z23" s="47">
        <v>0</v>
      </c>
      <c r="AA23" s="47">
        <v>0</v>
      </c>
      <c r="AB23" s="47">
        <v>0</v>
      </c>
      <c r="AC23" s="47">
        <v>0</v>
      </c>
      <c r="AD23" s="47">
        <v>0</v>
      </c>
      <c r="AE23" s="47">
        <v>0</v>
      </c>
      <c r="AF23" s="47">
        <v>0</v>
      </c>
      <c r="AG23" s="47">
        <v>0</v>
      </c>
      <c r="AH23" s="47">
        <v>0</v>
      </c>
      <c r="AI23" s="47">
        <v>0</v>
      </c>
      <c r="AJ23" s="47">
        <v>0</v>
      </c>
      <c r="AK23" s="47">
        <v>0</v>
      </c>
      <c r="AL23" s="47">
        <v>0</v>
      </c>
      <c r="AM23" s="47">
        <v>0</v>
      </c>
      <c r="AN23" s="47">
        <v>0</v>
      </c>
      <c r="AO23" s="47">
        <v>0</v>
      </c>
      <c r="AP23" s="47">
        <v>0</v>
      </c>
      <c r="AQ23" s="47">
        <v>0</v>
      </c>
      <c r="AR23" s="47">
        <v>0</v>
      </c>
      <c r="AS23" s="47">
        <v>0</v>
      </c>
      <c r="AT23" s="47">
        <v>0</v>
      </c>
      <c r="AU23" s="47">
        <v>0</v>
      </c>
      <c r="AV23" s="47">
        <v>0</v>
      </c>
      <c r="AW23" s="47">
        <v>0</v>
      </c>
      <c r="AX23" s="47">
        <v>0</v>
      </c>
      <c r="AY23" s="47">
        <v>0</v>
      </c>
      <c r="AZ23" s="47">
        <v>0</v>
      </c>
      <c r="BA23" s="47">
        <v>0</v>
      </c>
      <c r="BB23" s="47">
        <v>0</v>
      </c>
      <c r="BC23" s="47">
        <v>0</v>
      </c>
      <c r="BD23" s="47">
        <v>0</v>
      </c>
      <c r="BE23" s="47">
        <v>0</v>
      </c>
      <c r="BF23" s="47">
        <v>0</v>
      </c>
      <c r="BG23" s="47">
        <v>0</v>
      </c>
      <c r="BH23" s="47">
        <v>0</v>
      </c>
      <c r="BI23" s="47">
        <v>0</v>
      </c>
      <c r="BJ23" s="47">
        <v>0</v>
      </c>
      <c r="BK23" s="47">
        <v>0</v>
      </c>
      <c r="BL23" s="47">
        <v>0</v>
      </c>
      <c r="BM23" s="47">
        <v>0</v>
      </c>
      <c r="BN23" s="47">
        <v>0</v>
      </c>
      <c r="BO23" s="47">
        <v>0.07</v>
      </c>
      <c r="BP23" s="47">
        <v>0</v>
      </c>
      <c r="BQ23" s="47">
        <v>0</v>
      </c>
      <c r="BR23" s="47">
        <v>0</v>
      </c>
      <c r="BS23" s="47">
        <v>0</v>
      </c>
      <c r="BT23" s="47">
        <v>0</v>
      </c>
      <c r="BU23" s="47">
        <v>0</v>
      </c>
      <c r="BV23" s="47">
        <v>0</v>
      </c>
      <c r="BW23" s="47">
        <v>0.02</v>
      </c>
      <c r="BX23" s="47">
        <v>0</v>
      </c>
      <c r="BY23" s="47">
        <v>0</v>
      </c>
      <c r="BZ23" s="47">
        <v>0</v>
      </c>
      <c r="CA23" s="47">
        <v>0</v>
      </c>
      <c r="CB23" s="47">
        <v>0</v>
      </c>
      <c r="CC23" s="47">
        <v>0</v>
      </c>
      <c r="CD23" s="47">
        <v>0</v>
      </c>
      <c r="CE23" s="47">
        <v>0.05</v>
      </c>
      <c r="CF23" s="47">
        <v>0.91</v>
      </c>
      <c r="CG23" s="47">
        <v>0.91</v>
      </c>
      <c r="CH23" s="47">
        <v>0</v>
      </c>
      <c r="CI23" s="47">
        <v>0</v>
      </c>
      <c r="CJ23" s="47">
        <v>0</v>
      </c>
      <c r="CK23" s="47">
        <v>0</v>
      </c>
      <c r="CL23" s="47">
        <v>0</v>
      </c>
      <c r="CM23" s="47">
        <v>0</v>
      </c>
      <c r="CN23" s="47">
        <v>0</v>
      </c>
      <c r="CO23" s="47">
        <v>0</v>
      </c>
      <c r="CP23" s="47">
        <v>0</v>
      </c>
      <c r="CQ23" s="47">
        <v>0</v>
      </c>
      <c r="CR23" s="47">
        <v>0</v>
      </c>
      <c r="CS23" s="47">
        <v>0</v>
      </c>
      <c r="CT23" s="47">
        <v>0.02</v>
      </c>
      <c r="CU23" s="47">
        <v>0</v>
      </c>
      <c r="CV23" s="47">
        <v>0.02</v>
      </c>
      <c r="CW23" s="47">
        <v>0</v>
      </c>
      <c r="CX23" s="47">
        <v>0</v>
      </c>
      <c r="CY23" s="47">
        <v>0</v>
      </c>
      <c r="CZ23" s="47">
        <v>0</v>
      </c>
      <c r="DA23" s="47">
        <v>0</v>
      </c>
      <c r="DB23" s="47">
        <v>0</v>
      </c>
      <c r="DC23" s="47">
        <v>0</v>
      </c>
      <c r="DD23" s="47">
        <v>0</v>
      </c>
      <c r="DE23" s="47">
        <v>0</v>
      </c>
      <c r="DF23" s="47">
        <v>0</v>
      </c>
      <c r="DG23" s="47">
        <v>0</v>
      </c>
      <c r="DH23" s="47">
        <v>0</v>
      </c>
      <c r="DI23" s="47">
        <v>0</v>
      </c>
      <c r="DJ23" s="47">
        <v>0</v>
      </c>
      <c r="DK23" s="47">
        <v>0</v>
      </c>
      <c r="DL23" s="47">
        <v>0</v>
      </c>
      <c r="DM23" s="47">
        <v>0</v>
      </c>
      <c r="DN23" s="47">
        <v>0</v>
      </c>
      <c r="DO23" s="47">
        <v>0</v>
      </c>
      <c r="DP23" s="47">
        <v>0</v>
      </c>
      <c r="DQ23" s="47">
        <v>0</v>
      </c>
      <c r="DR23" s="47">
        <v>0</v>
      </c>
    </row>
    <row r="24" spans="1:124" x14ac:dyDescent="0.25">
      <c r="A24" s="47" t="s">
        <v>264</v>
      </c>
      <c r="B24" s="47" t="s">
        <v>151</v>
      </c>
      <c r="C24" s="47" t="s">
        <v>265</v>
      </c>
      <c r="D24" s="47" t="s">
        <v>266</v>
      </c>
      <c r="E24" s="47" t="s">
        <v>267</v>
      </c>
      <c r="F24" s="47" t="s">
        <v>161</v>
      </c>
      <c r="G24" s="47" t="s">
        <v>256</v>
      </c>
      <c r="H24" s="47" t="str">
        <f>=IFERROR(VLOOKUP(A24,'ETPT Format DDG'!A:J,10,FALSE),"")</f>
        <v>0</v>
      </c>
      <c r="I24" s="47" t="str">
        <f>='ETPT Format DDG'!M24</f>
        <v/>
      </c>
      <c r="J24" s="47" t="str">
        <f>='ETPT Format DDG'!D24</f>
        <v/>
      </c>
      <c r="K24" s="47" t="s">
        <v>155</v>
      </c>
      <c r="L24" s="47" t="s">
        <v>213</v>
      </c>
      <c r="M24" s="47"/>
      <c r="N24" s="47">
        <v>1</v>
      </c>
      <c r="O24" s="47">
        <v>0</v>
      </c>
      <c r="P24" s="47">
        <v>0</v>
      </c>
      <c r="Q24" s="47">
        <v>0</v>
      </c>
      <c r="R24" s="47">
        <v>0</v>
      </c>
      <c r="S24" s="47">
        <v>0</v>
      </c>
      <c r="T24" s="47">
        <v>0</v>
      </c>
      <c r="U24" s="47">
        <v>0</v>
      </c>
      <c r="V24" s="47">
        <v>0</v>
      </c>
      <c r="W24" s="47">
        <v>0</v>
      </c>
      <c r="X24" s="47">
        <v>0</v>
      </c>
      <c r="Y24" s="47">
        <v>0</v>
      </c>
      <c r="Z24" s="47">
        <v>0</v>
      </c>
      <c r="AA24" s="47">
        <v>0</v>
      </c>
      <c r="AB24" s="47">
        <v>0</v>
      </c>
      <c r="AC24" s="47">
        <v>0</v>
      </c>
      <c r="AD24" s="47">
        <v>0</v>
      </c>
      <c r="AE24" s="47">
        <v>0</v>
      </c>
      <c r="AF24" s="47">
        <v>0</v>
      </c>
      <c r="AG24" s="47">
        <v>0</v>
      </c>
      <c r="AH24" s="47">
        <v>0</v>
      </c>
      <c r="AI24" s="47">
        <v>0</v>
      </c>
      <c r="AJ24" s="47">
        <v>0</v>
      </c>
      <c r="AK24" s="47">
        <v>0</v>
      </c>
      <c r="AL24" s="47">
        <v>0</v>
      </c>
      <c r="AM24" s="47">
        <v>0</v>
      </c>
      <c r="AN24" s="47">
        <v>0</v>
      </c>
      <c r="AO24" s="47">
        <v>0</v>
      </c>
      <c r="AP24" s="47">
        <v>0</v>
      </c>
      <c r="AQ24" s="47">
        <v>0</v>
      </c>
      <c r="AR24" s="47">
        <v>0</v>
      </c>
      <c r="AS24" s="47">
        <v>0</v>
      </c>
      <c r="AT24" s="47">
        <v>0</v>
      </c>
      <c r="AU24" s="47">
        <v>0</v>
      </c>
      <c r="AV24" s="47">
        <v>0</v>
      </c>
      <c r="AW24" s="47">
        <v>0</v>
      </c>
      <c r="AX24" s="47">
        <v>0</v>
      </c>
      <c r="AY24" s="47">
        <v>0</v>
      </c>
      <c r="AZ24" s="47">
        <v>0</v>
      </c>
      <c r="BA24" s="47">
        <v>0</v>
      </c>
      <c r="BB24" s="47">
        <v>0</v>
      </c>
      <c r="BC24" s="47">
        <v>0</v>
      </c>
      <c r="BD24" s="47">
        <v>0</v>
      </c>
      <c r="BE24" s="47">
        <v>0</v>
      </c>
      <c r="BF24" s="47">
        <v>0</v>
      </c>
      <c r="BG24" s="47">
        <v>0</v>
      </c>
      <c r="BH24" s="47">
        <v>0</v>
      </c>
      <c r="BI24" s="47">
        <v>0</v>
      </c>
      <c r="BJ24" s="47">
        <v>0</v>
      </c>
      <c r="BK24" s="47">
        <v>0</v>
      </c>
      <c r="BL24" s="47">
        <v>0</v>
      </c>
      <c r="BM24" s="47">
        <v>0</v>
      </c>
      <c r="BN24" s="47">
        <v>0</v>
      </c>
      <c r="BO24" s="47">
        <v>0</v>
      </c>
      <c r="BP24" s="47">
        <v>0</v>
      </c>
      <c r="BQ24" s="47">
        <v>0</v>
      </c>
      <c r="BR24" s="47">
        <v>0</v>
      </c>
      <c r="BS24" s="47">
        <v>0</v>
      </c>
      <c r="BT24" s="47">
        <v>0</v>
      </c>
      <c r="BU24" s="47">
        <v>0</v>
      </c>
      <c r="BV24" s="47">
        <v>0</v>
      </c>
      <c r="BW24" s="47">
        <v>0</v>
      </c>
      <c r="BX24" s="47">
        <v>0</v>
      </c>
      <c r="BY24" s="47">
        <v>0</v>
      </c>
      <c r="BZ24" s="47">
        <v>0</v>
      </c>
      <c r="CA24" s="47">
        <v>0</v>
      </c>
      <c r="CB24" s="47">
        <v>0</v>
      </c>
      <c r="CC24" s="47">
        <v>0</v>
      </c>
      <c r="CD24" s="47">
        <v>0</v>
      </c>
      <c r="CE24" s="47">
        <v>0</v>
      </c>
      <c r="CF24" s="47">
        <v>0</v>
      </c>
      <c r="CG24" s="47">
        <v>0</v>
      </c>
      <c r="CH24" s="47">
        <v>0</v>
      </c>
      <c r="CI24" s="47">
        <v>0</v>
      </c>
      <c r="CJ24" s="47">
        <v>0</v>
      </c>
      <c r="CK24" s="47">
        <v>0</v>
      </c>
      <c r="CL24" s="47">
        <v>0</v>
      </c>
      <c r="CM24" s="47">
        <v>0</v>
      </c>
      <c r="CN24" s="47">
        <v>0</v>
      </c>
      <c r="CO24" s="47">
        <v>0</v>
      </c>
      <c r="CP24" s="47">
        <v>0</v>
      </c>
      <c r="CQ24" s="47">
        <v>0</v>
      </c>
      <c r="CR24" s="47">
        <v>0</v>
      </c>
      <c r="CS24" s="47">
        <v>0</v>
      </c>
      <c r="CT24" s="47">
        <v>0</v>
      </c>
      <c r="CU24" s="47">
        <v>0</v>
      </c>
      <c r="CV24" s="47">
        <v>0</v>
      </c>
      <c r="CW24" s="47">
        <v>0</v>
      </c>
      <c r="CX24" s="47">
        <v>0</v>
      </c>
      <c r="CY24" s="47">
        <v>0</v>
      </c>
      <c r="CZ24" s="47">
        <v>0</v>
      </c>
      <c r="DA24" s="47">
        <v>0</v>
      </c>
      <c r="DB24" s="47">
        <v>0</v>
      </c>
      <c r="DC24" s="47">
        <v>0</v>
      </c>
      <c r="DD24" s="47">
        <v>0</v>
      </c>
      <c r="DE24" s="47">
        <v>0</v>
      </c>
      <c r="DF24" s="47">
        <v>0</v>
      </c>
      <c r="DG24" s="47">
        <v>0</v>
      </c>
      <c r="DH24" s="47">
        <v>0</v>
      </c>
      <c r="DI24" s="47">
        <v>0</v>
      </c>
      <c r="DJ24" s="47">
        <v>0</v>
      </c>
      <c r="DK24" s="47">
        <v>0</v>
      </c>
      <c r="DL24" s="47">
        <v>0</v>
      </c>
      <c r="DM24" s="47">
        <v>0</v>
      </c>
      <c r="DN24" s="47">
        <v>0</v>
      </c>
      <c r="DO24" s="47">
        <v>0</v>
      </c>
      <c r="DP24" s="47">
        <v>0</v>
      </c>
      <c r="DQ24" s="47">
        <v>0</v>
      </c>
      <c r="DR24" s="47">
        <v>0</v>
      </c>
    </row>
    <row r="25" spans="1:124" x14ac:dyDescent="0.25">
      <c r="A25" s="47" t="s">
        <v>268</v>
      </c>
      <c r="B25" s="47" t="s">
        <v>151</v>
      </c>
      <c r="C25" s="47" t="s">
        <v>269</v>
      </c>
      <c r="D25" s="47" t="s">
        <v>270</v>
      </c>
      <c r="E25" s="47" t="s">
        <v>271</v>
      </c>
      <c r="F25" s="47" t="s">
        <v>161</v>
      </c>
      <c r="G25" s="47" t="s">
        <v>162</v>
      </c>
      <c r="H25" s="47" t="str">
        <f>=IFERROR(VLOOKUP(A25,'ETPT Format DDG'!A:J,10,FALSE),"")</f>
        <v>0</v>
      </c>
      <c r="I25" s="47" t="str">
        <f>='ETPT Format DDG'!M25</f>
        <v/>
      </c>
      <c r="J25" s="47" t="str">
        <f>='ETPT Format DDG'!D25</f>
        <v/>
      </c>
      <c r="K25" s="47" t="s">
        <v>155</v>
      </c>
      <c r="L25" s="47" t="s">
        <v>257</v>
      </c>
      <c r="M25" s="47"/>
      <c r="N25" s="47">
        <v>1</v>
      </c>
      <c r="O25" s="47">
        <v>1</v>
      </c>
      <c r="P25" s="47">
        <v>0</v>
      </c>
      <c r="Q25" s="47">
        <v>0</v>
      </c>
      <c r="R25" s="47">
        <v>0</v>
      </c>
      <c r="S25" s="47">
        <v>0</v>
      </c>
      <c r="T25" s="47">
        <v>0</v>
      </c>
      <c r="U25" s="47">
        <v>0</v>
      </c>
      <c r="V25" s="47">
        <v>0</v>
      </c>
      <c r="W25" s="47">
        <v>0</v>
      </c>
      <c r="X25" s="47">
        <v>0</v>
      </c>
      <c r="Y25" s="47">
        <v>0</v>
      </c>
      <c r="Z25" s="47">
        <v>0</v>
      </c>
      <c r="AA25" s="47">
        <v>0</v>
      </c>
      <c r="AB25" s="47">
        <v>0</v>
      </c>
      <c r="AC25" s="47">
        <v>0</v>
      </c>
      <c r="AD25" s="47">
        <v>0</v>
      </c>
      <c r="AE25" s="47">
        <v>0</v>
      </c>
      <c r="AF25" s="47">
        <v>0</v>
      </c>
      <c r="AG25" s="47">
        <v>0</v>
      </c>
      <c r="AH25" s="47">
        <v>0</v>
      </c>
      <c r="AI25" s="47">
        <v>0</v>
      </c>
      <c r="AJ25" s="47">
        <v>0</v>
      </c>
      <c r="AK25" s="47">
        <v>0</v>
      </c>
      <c r="AL25" s="47">
        <v>0</v>
      </c>
      <c r="AM25" s="47">
        <v>0</v>
      </c>
      <c r="AN25" s="47">
        <v>0.835</v>
      </c>
      <c r="AO25" s="47">
        <v>0</v>
      </c>
      <c r="AP25" s="47">
        <v>0</v>
      </c>
      <c r="AQ25" s="47">
        <v>0</v>
      </c>
      <c r="AR25" s="47">
        <v>0</v>
      </c>
      <c r="AS25" s="47">
        <v>0</v>
      </c>
      <c r="AT25" s="47">
        <v>0</v>
      </c>
      <c r="AU25" s="47">
        <v>0</v>
      </c>
      <c r="AV25" s="47">
        <v>0</v>
      </c>
      <c r="AW25" s="47">
        <v>0</v>
      </c>
      <c r="AX25" s="47">
        <v>0</v>
      </c>
      <c r="AY25" s="47">
        <v>0</v>
      </c>
      <c r="AZ25" s="47">
        <v>0</v>
      </c>
      <c r="BA25" s="47">
        <v>0</v>
      </c>
      <c r="BB25" s="47">
        <v>0</v>
      </c>
      <c r="BC25" s="47">
        <v>0</v>
      </c>
      <c r="BD25" s="47">
        <v>0</v>
      </c>
      <c r="BE25" s="47">
        <v>0</v>
      </c>
      <c r="BF25" s="47">
        <v>0</v>
      </c>
      <c r="BG25" s="47">
        <v>0</v>
      </c>
      <c r="BH25" s="47">
        <v>0</v>
      </c>
      <c r="BI25" s="47">
        <v>0</v>
      </c>
      <c r="BJ25" s="47">
        <v>0</v>
      </c>
      <c r="BK25" s="47">
        <v>0</v>
      </c>
      <c r="BL25" s="47">
        <v>0</v>
      </c>
      <c r="BM25" s="47">
        <v>0</v>
      </c>
      <c r="BN25" s="47">
        <v>0</v>
      </c>
      <c r="BO25" s="47">
        <v>0.03</v>
      </c>
      <c r="BP25" s="47">
        <v>0</v>
      </c>
      <c r="BQ25" s="47">
        <v>0</v>
      </c>
      <c r="BR25" s="47">
        <v>0</v>
      </c>
      <c r="BS25" s="47">
        <v>0</v>
      </c>
      <c r="BT25" s="47">
        <v>0</v>
      </c>
      <c r="BU25" s="47">
        <v>0</v>
      </c>
      <c r="BV25" s="47">
        <v>0</v>
      </c>
      <c r="BW25" s="47">
        <v>0</v>
      </c>
      <c r="BX25" s="47">
        <v>0</v>
      </c>
      <c r="BY25" s="47">
        <v>0</v>
      </c>
      <c r="BZ25" s="47">
        <v>0</v>
      </c>
      <c r="CA25" s="47">
        <v>0</v>
      </c>
      <c r="CB25" s="47">
        <v>0</v>
      </c>
      <c r="CC25" s="47">
        <v>0</v>
      </c>
      <c r="CD25" s="47">
        <v>0</v>
      </c>
      <c r="CE25" s="47">
        <v>0</v>
      </c>
      <c r="CF25" s="47">
        <v>0</v>
      </c>
      <c r="CG25" s="47">
        <v>0</v>
      </c>
      <c r="CH25" s="47">
        <v>0</v>
      </c>
      <c r="CI25" s="47">
        <v>0</v>
      </c>
      <c r="CJ25" s="47">
        <v>0</v>
      </c>
      <c r="CK25" s="47">
        <v>0</v>
      </c>
      <c r="CL25" s="47">
        <v>0</v>
      </c>
      <c r="CM25" s="47">
        <v>0</v>
      </c>
      <c r="CN25" s="47">
        <v>0</v>
      </c>
      <c r="CO25" s="47">
        <v>0</v>
      </c>
      <c r="CP25" s="47">
        <v>0</v>
      </c>
      <c r="CQ25" s="47">
        <v>0.05</v>
      </c>
      <c r="CR25" s="47">
        <v>0</v>
      </c>
      <c r="CS25" s="47">
        <v>0</v>
      </c>
      <c r="CT25" s="47">
        <v>0.085</v>
      </c>
      <c r="CU25" s="47">
        <v>0</v>
      </c>
      <c r="CV25" s="47">
        <v>0</v>
      </c>
      <c r="CW25" s="47">
        <v>0</v>
      </c>
      <c r="CX25" s="47">
        <v>0</v>
      </c>
      <c r="CY25" s="47">
        <v>0</v>
      </c>
      <c r="CZ25" s="47">
        <v>0</v>
      </c>
      <c r="DA25" s="47">
        <v>0</v>
      </c>
      <c r="DB25" s="47">
        <v>0</v>
      </c>
      <c r="DC25" s="47">
        <v>0</v>
      </c>
      <c r="DD25" s="47">
        <v>0</v>
      </c>
      <c r="DE25" s="47">
        <v>0</v>
      </c>
      <c r="DF25" s="47">
        <v>0</v>
      </c>
      <c r="DG25" s="47">
        <v>0</v>
      </c>
      <c r="DH25" s="47">
        <v>0</v>
      </c>
      <c r="DI25" s="47">
        <v>0</v>
      </c>
      <c r="DJ25" s="47">
        <v>0</v>
      </c>
      <c r="DK25" s="47">
        <v>0</v>
      </c>
      <c r="DL25" s="47">
        <v>0</v>
      </c>
      <c r="DM25" s="47">
        <v>0</v>
      </c>
      <c r="DN25" s="47">
        <v>0</v>
      </c>
      <c r="DO25" s="47">
        <v>0</v>
      </c>
      <c r="DP25" s="47">
        <v>0</v>
      </c>
      <c r="DQ25" s="47">
        <v>0</v>
      </c>
      <c r="DR25" s="47">
        <v>0</v>
      </c>
    </row>
    <row r="26" spans="1:124" x14ac:dyDescent="0.25">
      <c r="A26" s="47" t="s">
        <v>272</v>
      </c>
      <c r="B26" s="47" t="s">
        <v>151</v>
      </c>
      <c r="C26" s="47" t="s">
        <v>273</v>
      </c>
      <c r="D26" s="47" t="s">
        <v>274</v>
      </c>
      <c r="E26" s="47" t="s">
        <v>275</v>
      </c>
      <c r="F26" s="47" t="s">
        <v>161</v>
      </c>
      <c r="G26" s="47" t="s">
        <v>256</v>
      </c>
      <c r="H26" s="47" t="str">
        <f>=IFERROR(VLOOKUP(A26,'ETPT Format DDG'!A:J,10,FALSE),"")</f>
        <v>0</v>
      </c>
      <c r="I26" s="47" t="str">
        <f>='ETPT Format DDG'!M26</f>
        <v/>
      </c>
      <c r="J26" s="47" t="str">
        <f>='ETPT Format DDG'!D26</f>
        <v/>
      </c>
      <c r="K26" s="47" t="s">
        <v>155</v>
      </c>
      <c r="L26" s="47" t="s">
        <v>182</v>
      </c>
      <c r="M26" s="47"/>
      <c r="N26" s="47">
        <v>1</v>
      </c>
      <c r="O26" s="47">
        <v>0</v>
      </c>
      <c r="P26" s="47">
        <v>0</v>
      </c>
      <c r="Q26" s="47">
        <v>0</v>
      </c>
      <c r="R26" s="47">
        <v>0</v>
      </c>
      <c r="S26" s="47">
        <v>0</v>
      </c>
      <c r="T26" s="47">
        <v>0</v>
      </c>
      <c r="U26" s="47">
        <v>0</v>
      </c>
      <c r="V26" s="47">
        <v>0</v>
      </c>
      <c r="W26" s="47">
        <v>0</v>
      </c>
      <c r="X26" s="47">
        <v>0</v>
      </c>
      <c r="Y26" s="47">
        <v>0</v>
      </c>
      <c r="Z26" s="47">
        <v>0</v>
      </c>
      <c r="AA26" s="47">
        <v>0</v>
      </c>
      <c r="AB26" s="47">
        <v>0</v>
      </c>
      <c r="AC26" s="47">
        <v>0</v>
      </c>
      <c r="AD26" s="47">
        <v>0</v>
      </c>
      <c r="AE26" s="47">
        <v>0</v>
      </c>
      <c r="AF26" s="47">
        <v>0</v>
      </c>
      <c r="AG26" s="47">
        <v>0</v>
      </c>
      <c r="AH26" s="47">
        <v>0</v>
      </c>
      <c r="AI26" s="47">
        <v>0</v>
      </c>
      <c r="AJ26" s="47">
        <v>0</v>
      </c>
      <c r="AK26" s="47">
        <v>0</v>
      </c>
      <c r="AL26" s="47">
        <v>0</v>
      </c>
      <c r="AM26" s="47">
        <v>0</v>
      </c>
      <c r="AN26" s="47">
        <v>0</v>
      </c>
      <c r="AO26" s="47">
        <v>0</v>
      </c>
      <c r="AP26" s="47">
        <v>0</v>
      </c>
      <c r="AQ26" s="47">
        <v>0</v>
      </c>
      <c r="AR26" s="47">
        <v>0</v>
      </c>
      <c r="AS26" s="47">
        <v>0</v>
      </c>
      <c r="AT26" s="47">
        <v>0</v>
      </c>
      <c r="AU26" s="47">
        <v>0</v>
      </c>
      <c r="AV26" s="47">
        <v>0</v>
      </c>
      <c r="AW26" s="47">
        <v>0</v>
      </c>
      <c r="AX26" s="47">
        <v>0</v>
      </c>
      <c r="AY26" s="47">
        <v>0</v>
      </c>
      <c r="AZ26" s="47">
        <v>0</v>
      </c>
      <c r="BA26" s="47">
        <v>0</v>
      </c>
      <c r="BB26" s="47">
        <v>0</v>
      </c>
      <c r="BC26" s="47">
        <v>0</v>
      </c>
      <c r="BD26" s="47">
        <v>0</v>
      </c>
      <c r="BE26" s="47">
        <v>0</v>
      </c>
      <c r="BF26" s="47">
        <v>0</v>
      </c>
      <c r="BG26" s="47">
        <v>0</v>
      </c>
      <c r="BH26" s="47">
        <v>0</v>
      </c>
      <c r="BI26" s="47">
        <v>0</v>
      </c>
      <c r="BJ26" s="47">
        <v>0</v>
      </c>
      <c r="BK26" s="47">
        <v>0</v>
      </c>
      <c r="BL26" s="47">
        <v>0</v>
      </c>
      <c r="BM26" s="47">
        <v>0</v>
      </c>
      <c r="BN26" s="47">
        <v>0</v>
      </c>
      <c r="BO26" s="47">
        <v>0</v>
      </c>
      <c r="BP26" s="47">
        <v>0</v>
      </c>
      <c r="BQ26" s="47">
        <v>0</v>
      </c>
      <c r="BR26" s="47">
        <v>0</v>
      </c>
      <c r="BS26" s="47">
        <v>0</v>
      </c>
      <c r="BT26" s="47">
        <v>0</v>
      </c>
      <c r="BU26" s="47">
        <v>0</v>
      </c>
      <c r="BV26" s="47">
        <v>0</v>
      </c>
      <c r="BW26" s="47">
        <v>0</v>
      </c>
      <c r="BX26" s="47">
        <v>0</v>
      </c>
      <c r="BY26" s="47">
        <v>0</v>
      </c>
      <c r="BZ26" s="47">
        <v>0</v>
      </c>
      <c r="CA26" s="47">
        <v>0</v>
      </c>
      <c r="CB26" s="47">
        <v>0</v>
      </c>
      <c r="CC26" s="47">
        <v>0</v>
      </c>
      <c r="CD26" s="47">
        <v>0</v>
      </c>
      <c r="CE26" s="47">
        <v>0</v>
      </c>
      <c r="CF26" s="47">
        <v>0</v>
      </c>
      <c r="CG26" s="47">
        <v>0</v>
      </c>
      <c r="CH26" s="47">
        <v>0</v>
      </c>
      <c r="CI26" s="47">
        <v>0</v>
      </c>
      <c r="CJ26" s="47">
        <v>0</v>
      </c>
      <c r="CK26" s="47">
        <v>0</v>
      </c>
      <c r="CL26" s="47">
        <v>0</v>
      </c>
      <c r="CM26" s="47">
        <v>0</v>
      </c>
      <c r="CN26" s="47">
        <v>0</v>
      </c>
      <c r="CO26" s="47">
        <v>0</v>
      </c>
      <c r="CP26" s="47">
        <v>0</v>
      </c>
      <c r="CQ26" s="47">
        <v>0</v>
      </c>
      <c r="CR26" s="47">
        <v>0</v>
      </c>
      <c r="CS26" s="47">
        <v>0</v>
      </c>
      <c r="CT26" s="47">
        <v>0</v>
      </c>
      <c r="CU26" s="47">
        <v>0</v>
      </c>
      <c r="CV26" s="47">
        <v>0</v>
      </c>
      <c r="CW26" s="47">
        <v>0</v>
      </c>
      <c r="CX26" s="47">
        <v>0</v>
      </c>
      <c r="CY26" s="47">
        <v>0</v>
      </c>
      <c r="CZ26" s="47">
        <v>0</v>
      </c>
      <c r="DA26" s="47">
        <v>0</v>
      </c>
      <c r="DB26" s="47">
        <v>0</v>
      </c>
      <c r="DC26" s="47">
        <v>0</v>
      </c>
      <c r="DD26" s="47">
        <v>0</v>
      </c>
      <c r="DE26" s="47">
        <v>0</v>
      </c>
      <c r="DF26" s="47">
        <v>0</v>
      </c>
      <c r="DG26" s="47">
        <v>0</v>
      </c>
      <c r="DH26" s="47">
        <v>0</v>
      </c>
      <c r="DI26" s="47">
        <v>0</v>
      </c>
      <c r="DJ26" s="47">
        <v>0</v>
      </c>
      <c r="DK26" s="47">
        <v>0</v>
      </c>
      <c r="DL26" s="47">
        <v>0</v>
      </c>
      <c r="DM26" s="47">
        <v>0</v>
      </c>
      <c r="DN26" s="47">
        <v>0</v>
      </c>
      <c r="DO26" s="47">
        <v>0</v>
      </c>
      <c r="DP26" s="47">
        <v>0</v>
      </c>
      <c r="DQ26" s="47">
        <v>0</v>
      </c>
      <c r="DR26" s="47">
        <v>0</v>
      </c>
    </row>
    <row r="27" spans="1:124" x14ac:dyDescent="0.25">
      <c r="A27" s="47" t="s">
        <v>276</v>
      </c>
      <c r="B27" s="47" t="s">
        <v>151</v>
      </c>
      <c r="C27" s="47" t="s">
        <v>277</v>
      </c>
      <c r="D27" s="47" t="s">
        <v>278</v>
      </c>
      <c r="E27" s="47" t="s">
        <v>279</v>
      </c>
      <c r="F27" s="47" t="s">
        <v>161</v>
      </c>
      <c r="G27" s="47" t="s">
        <v>175</v>
      </c>
      <c r="H27" s="47" t="str">
        <f>=IFERROR(VLOOKUP(A27,'ETPT Format DDG'!A:J,10,FALSE),"")</f>
        <v>0</v>
      </c>
      <c r="I27" s="47" t="str">
        <f>='ETPT Format DDG'!M27</f>
        <v/>
      </c>
      <c r="J27" s="47" t="str">
        <f>='ETPT Format DDG'!D27</f>
        <v/>
      </c>
      <c r="K27" s="47" t="s">
        <v>155</v>
      </c>
      <c r="L27" s="47" t="s">
        <v>213</v>
      </c>
      <c r="M27" s="47"/>
      <c r="N27" s="47">
        <v>0.3</v>
      </c>
      <c r="O27" s="47">
        <v>0.2987</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0.0329</v>
      </c>
      <c r="BP27" s="47">
        <v>0</v>
      </c>
      <c r="BQ27" s="47">
        <v>0</v>
      </c>
      <c r="BR27" s="47">
        <v>0</v>
      </c>
      <c r="BS27" s="47">
        <v>0</v>
      </c>
      <c r="BT27" s="47">
        <v>0</v>
      </c>
      <c r="BU27" s="47">
        <v>0</v>
      </c>
      <c r="BV27" s="47">
        <v>0</v>
      </c>
      <c r="BW27" s="47">
        <v>0</v>
      </c>
      <c r="BX27" s="47">
        <v>0.0029</v>
      </c>
      <c r="BY27" s="47">
        <v>0</v>
      </c>
      <c r="BZ27" s="47">
        <v>0.0018</v>
      </c>
      <c r="CA27" s="47">
        <v>0</v>
      </c>
      <c r="CB27" s="47">
        <v>0</v>
      </c>
      <c r="CC27" s="47">
        <v>0</v>
      </c>
      <c r="CD27" s="47">
        <v>0</v>
      </c>
      <c r="CE27" s="47">
        <v>0.0282</v>
      </c>
      <c r="CF27" s="47">
        <v>0.015</v>
      </c>
      <c r="CG27" s="47">
        <v>0.015</v>
      </c>
      <c r="CH27" s="47">
        <v>0</v>
      </c>
      <c r="CI27" s="47">
        <v>0</v>
      </c>
      <c r="CJ27" s="47">
        <v>0</v>
      </c>
      <c r="CK27" s="47">
        <v>0</v>
      </c>
      <c r="CL27" s="47">
        <v>0.177</v>
      </c>
      <c r="CM27" s="47">
        <v>0</v>
      </c>
      <c r="CN27" s="47">
        <v>0</v>
      </c>
      <c r="CO27" s="47">
        <v>0</v>
      </c>
      <c r="CP27" s="47">
        <v>0</v>
      </c>
      <c r="CQ27" s="47">
        <v>0.015</v>
      </c>
      <c r="CR27" s="47">
        <v>0</v>
      </c>
      <c r="CS27" s="47">
        <v>0</v>
      </c>
      <c r="CT27" s="47">
        <v>0.0589</v>
      </c>
      <c r="CU27" s="47">
        <v>0.0589</v>
      </c>
      <c r="CV27" s="47">
        <v>0</v>
      </c>
      <c r="CW27" s="47">
        <v>0</v>
      </c>
      <c r="CX27" s="47">
        <v>0</v>
      </c>
      <c r="CY27" s="47">
        <v>0</v>
      </c>
      <c r="CZ27" s="47">
        <v>0</v>
      </c>
      <c r="DA27" s="47">
        <v>0</v>
      </c>
      <c r="DB27" s="47">
        <v>0</v>
      </c>
      <c r="DC27" s="47">
        <v>0</v>
      </c>
      <c r="DD27" s="47">
        <v>0</v>
      </c>
      <c r="DE27" s="47">
        <v>0</v>
      </c>
      <c r="DF27" s="47">
        <v>0.5</v>
      </c>
      <c r="DG27" s="47">
        <v>0.0613</v>
      </c>
      <c r="DH27" s="47">
        <v>0.4387</v>
      </c>
      <c r="DI27" s="47">
        <v>0</v>
      </c>
      <c r="DJ27" s="47">
        <v>0</v>
      </c>
      <c r="DK27" s="47">
        <v>0</v>
      </c>
      <c r="DL27" s="47">
        <v>0</v>
      </c>
      <c r="DM27" s="47">
        <v>0</v>
      </c>
      <c r="DN27" s="47">
        <v>0</v>
      </c>
      <c r="DO27" s="47">
        <v>0</v>
      </c>
      <c r="DP27" s="47">
        <v>0</v>
      </c>
      <c r="DQ27" s="47">
        <v>0</v>
      </c>
      <c r="DR27" s="47">
        <v>0</v>
      </c>
    </row>
    <row r="28" spans="1:124" x14ac:dyDescent="0.25">
      <c r="A28" s="47" t="s">
        <v>280</v>
      </c>
      <c r="B28" s="47" t="s">
        <v>151</v>
      </c>
      <c r="C28" s="47" t="s">
        <v>281</v>
      </c>
      <c r="D28" s="47" t="s">
        <v>282</v>
      </c>
      <c r="E28" s="47"/>
      <c r="F28" s="47" t="s">
        <v>161</v>
      </c>
      <c r="G28" s="47" t="s">
        <v>207</v>
      </c>
      <c r="H28" s="47" t="str">
        <f>=IFERROR(VLOOKUP(A28,'ETPT Format DDG'!A:J,10,FALSE),"")</f>
        <v>0</v>
      </c>
      <c r="I28" s="47" t="str">
        <f>='ETPT Format DDG'!M28</f>
        <v/>
      </c>
      <c r="J28" s="47" t="str">
        <f>='ETPT Format DDG'!D28</f>
        <v/>
      </c>
      <c r="K28" s="47" t="s">
        <v>155</v>
      </c>
      <c r="L28" s="47" t="s">
        <v>283</v>
      </c>
      <c r="M28" s="47"/>
      <c r="N28" s="47">
        <v>0.85</v>
      </c>
      <c r="O28" s="47">
        <v>0.85</v>
      </c>
      <c r="P28" s="47">
        <v>0</v>
      </c>
      <c r="Q28" s="47">
        <v>0</v>
      </c>
      <c r="R28" s="47">
        <v>0</v>
      </c>
      <c r="S28" s="47">
        <v>0</v>
      </c>
      <c r="T28" s="47">
        <v>0</v>
      </c>
      <c r="U28" s="47">
        <v>0</v>
      </c>
      <c r="V28" s="47">
        <v>0</v>
      </c>
      <c r="W28" s="47">
        <v>0</v>
      </c>
      <c r="X28" s="47">
        <v>0</v>
      </c>
      <c r="Y28" s="47">
        <v>0</v>
      </c>
      <c r="Z28" s="47">
        <v>0</v>
      </c>
      <c r="AA28" s="47">
        <v>0</v>
      </c>
      <c r="AB28" s="47">
        <v>0</v>
      </c>
      <c r="AC28" s="47">
        <v>0</v>
      </c>
      <c r="AD28" s="47">
        <v>0</v>
      </c>
      <c r="AE28" s="47">
        <v>0.85</v>
      </c>
      <c r="AF28" s="47">
        <v>0</v>
      </c>
      <c r="AG28" s="47">
        <v>0</v>
      </c>
      <c r="AH28" s="47">
        <v>0</v>
      </c>
      <c r="AI28" s="47">
        <v>0</v>
      </c>
      <c r="AJ28" s="47">
        <v>0</v>
      </c>
      <c r="AK28" s="47">
        <v>0</v>
      </c>
      <c r="AL28" s="47">
        <v>0</v>
      </c>
      <c r="AM28" s="47">
        <v>0</v>
      </c>
      <c r="AN28" s="47">
        <v>0</v>
      </c>
      <c r="AO28" s="47">
        <v>0</v>
      </c>
      <c r="AP28" s="47">
        <v>0</v>
      </c>
      <c r="AQ28" s="47">
        <v>0</v>
      </c>
      <c r="AR28" s="47">
        <v>0</v>
      </c>
      <c r="AS28" s="47">
        <v>0</v>
      </c>
      <c r="AT28" s="47">
        <v>0</v>
      </c>
      <c r="AU28" s="47">
        <v>0</v>
      </c>
      <c r="AV28" s="47">
        <v>0</v>
      </c>
      <c r="AW28" s="47">
        <v>0</v>
      </c>
      <c r="AX28" s="47">
        <v>0</v>
      </c>
      <c r="AY28" s="47">
        <v>0</v>
      </c>
      <c r="AZ28" s="47">
        <v>0</v>
      </c>
      <c r="BA28" s="47">
        <v>0</v>
      </c>
      <c r="BB28" s="47">
        <v>0</v>
      </c>
      <c r="BC28" s="47">
        <v>0</v>
      </c>
      <c r="BD28" s="47">
        <v>0</v>
      </c>
      <c r="BE28" s="47">
        <v>0</v>
      </c>
      <c r="BF28" s="47">
        <v>0</v>
      </c>
      <c r="BG28" s="47">
        <v>0</v>
      </c>
      <c r="BH28" s="47">
        <v>0</v>
      </c>
      <c r="BI28" s="47">
        <v>0</v>
      </c>
      <c r="BJ28" s="47">
        <v>0</v>
      </c>
      <c r="BK28" s="47">
        <v>0</v>
      </c>
      <c r="BL28" s="47">
        <v>0</v>
      </c>
      <c r="BM28" s="47">
        <v>0</v>
      </c>
      <c r="BN28" s="47">
        <v>0</v>
      </c>
      <c r="BO28" s="47">
        <v>0</v>
      </c>
      <c r="BP28" s="47">
        <v>0</v>
      </c>
      <c r="BQ28" s="47">
        <v>0</v>
      </c>
      <c r="BR28" s="47">
        <v>0</v>
      </c>
      <c r="BS28" s="47">
        <v>0</v>
      </c>
      <c r="BT28" s="47">
        <v>0</v>
      </c>
      <c r="BU28" s="47">
        <v>0</v>
      </c>
      <c r="BV28" s="47">
        <v>0</v>
      </c>
      <c r="BW28" s="47">
        <v>0</v>
      </c>
      <c r="BX28" s="47">
        <v>0</v>
      </c>
      <c r="BY28" s="47">
        <v>0</v>
      </c>
      <c r="BZ28" s="47">
        <v>0</v>
      </c>
      <c r="CA28" s="47">
        <v>0</v>
      </c>
      <c r="CB28" s="47">
        <v>0</v>
      </c>
      <c r="CC28" s="47">
        <v>0</v>
      </c>
      <c r="CD28" s="47">
        <v>0</v>
      </c>
      <c r="CE28" s="47">
        <v>0</v>
      </c>
      <c r="CF28" s="47">
        <v>0</v>
      </c>
      <c r="CG28" s="47">
        <v>0</v>
      </c>
      <c r="CH28" s="47">
        <v>0</v>
      </c>
      <c r="CI28" s="47">
        <v>0</v>
      </c>
      <c r="CJ28" s="47">
        <v>0</v>
      </c>
      <c r="CK28" s="47">
        <v>0</v>
      </c>
      <c r="CL28" s="47">
        <v>0</v>
      </c>
      <c r="CM28" s="47">
        <v>0</v>
      </c>
      <c r="CN28" s="47">
        <v>0</v>
      </c>
      <c r="CO28" s="47">
        <v>0</v>
      </c>
      <c r="CP28" s="47">
        <v>0</v>
      </c>
      <c r="CQ28" s="47">
        <v>0</v>
      </c>
      <c r="CR28" s="47">
        <v>0</v>
      </c>
      <c r="CS28" s="47">
        <v>0</v>
      </c>
      <c r="CT28" s="47">
        <v>0</v>
      </c>
      <c r="CU28" s="47">
        <v>0</v>
      </c>
      <c r="CV28" s="47">
        <v>0</v>
      </c>
      <c r="CW28" s="47">
        <v>0</v>
      </c>
      <c r="CX28" s="47">
        <v>0</v>
      </c>
      <c r="CY28" s="47">
        <v>0</v>
      </c>
      <c r="CZ28" s="47">
        <v>0</v>
      </c>
      <c r="DA28" s="47">
        <v>0</v>
      </c>
      <c r="DB28" s="47">
        <v>0</v>
      </c>
      <c r="DC28" s="47">
        <v>0</v>
      </c>
      <c r="DD28" s="47">
        <v>0</v>
      </c>
      <c r="DE28" s="47">
        <v>0</v>
      </c>
      <c r="DF28" s="47">
        <v>0.15</v>
      </c>
      <c r="DG28" s="47">
        <v>0.15</v>
      </c>
      <c r="DH28" s="47">
        <v>0</v>
      </c>
      <c r="DI28" s="47">
        <v>0</v>
      </c>
      <c r="DJ28" s="47">
        <v>0</v>
      </c>
      <c r="DK28" s="47">
        <v>0</v>
      </c>
      <c r="DL28" s="47">
        <v>0</v>
      </c>
      <c r="DM28" s="47">
        <v>0</v>
      </c>
      <c r="DN28" s="47">
        <v>0</v>
      </c>
      <c r="DO28" s="47">
        <v>0</v>
      </c>
      <c r="DP28" s="47">
        <v>0</v>
      </c>
      <c r="DQ28" s="47">
        <v>0</v>
      </c>
      <c r="DR28" s="47">
        <v>0</v>
      </c>
    </row>
    <row r="29" spans="1:124" x14ac:dyDescent="0.25">
      <c r="A29" s="47" t="s">
        <v>284</v>
      </c>
      <c r="B29" s="47" t="s">
        <v>151</v>
      </c>
      <c r="C29" s="47" t="s">
        <v>285</v>
      </c>
      <c r="D29" s="47" t="s">
        <v>282</v>
      </c>
      <c r="E29" s="47"/>
      <c r="F29" s="47" t="s">
        <v>161</v>
      </c>
      <c r="G29" s="47" t="s">
        <v>207</v>
      </c>
      <c r="H29" s="47" t="str">
        <f>=IFERROR(VLOOKUP(A29,'ETPT Format DDG'!A:J,10,FALSE),"")</f>
        <v>0</v>
      </c>
      <c r="I29" s="47" t="str">
        <f>='ETPT Format DDG'!M29</f>
        <v/>
      </c>
      <c r="J29" s="47" t="str">
        <f>='ETPT Format DDG'!D29</f>
        <v/>
      </c>
      <c r="K29" s="47" t="s">
        <v>155</v>
      </c>
      <c r="L29" s="47" t="s">
        <v>283</v>
      </c>
      <c r="M29" s="47"/>
      <c r="N29" s="47">
        <v>0.8</v>
      </c>
      <c r="O29" s="47">
        <v>0.8</v>
      </c>
      <c r="P29" s="47">
        <v>0</v>
      </c>
      <c r="Q29" s="47">
        <v>0</v>
      </c>
      <c r="R29" s="47">
        <v>0</v>
      </c>
      <c r="S29" s="47">
        <v>0</v>
      </c>
      <c r="T29" s="47">
        <v>0</v>
      </c>
      <c r="U29" s="47">
        <v>0</v>
      </c>
      <c r="V29" s="47">
        <v>0</v>
      </c>
      <c r="W29" s="47">
        <v>0</v>
      </c>
      <c r="X29" s="47">
        <v>0</v>
      </c>
      <c r="Y29" s="47">
        <v>0</v>
      </c>
      <c r="Z29" s="47">
        <v>0</v>
      </c>
      <c r="AA29" s="47">
        <v>0</v>
      </c>
      <c r="AB29" s="47">
        <v>0</v>
      </c>
      <c r="AC29" s="47">
        <v>0</v>
      </c>
      <c r="AD29" s="47">
        <v>0</v>
      </c>
      <c r="AE29" s="47">
        <v>0.8</v>
      </c>
      <c r="AF29" s="47">
        <v>0</v>
      </c>
      <c r="AG29" s="47">
        <v>0</v>
      </c>
      <c r="AH29" s="47">
        <v>0</v>
      </c>
      <c r="AI29" s="47">
        <v>0</v>
      </c>
      <c r="AJ29" s="47">
        <v>0</v>
      </c>
      <c r="AK29" s="47">
        <v>0</v>
      </c>
      <c r="AL29" s="47">
        <v>0</v>
      </c>
      <c r="AM29" s="47">
        <v>0</v>
      </c>
      <c r="AN29" s="47">
        <v>0</v>
      </c>
      <c r="AO29" s="47">
        <v>0</v>
      </c>
      <c r="AP29" s="47">
        <v>0</v>
      </c>
      <c r="AQ29" s="47">
        <v>0</v>
      </c>
      <c r="AR29" s="47">
        <v>0</v>
      </c>
      <c r="AS29" s="47">
        <v>0</v>
      </c>
      <c r="AT29" s="47">
        <v>0</v>
      </c>
      <c r="AU29" s="47">
        <v>0</v>
      </c>
      <c r="AV29" s="47">
        <v>0</v>
      </c>
      <c r="AW29" s="47">
        <v>0</v>
      </c>
      <c r="AX29" s="47">
        <v>0</v>
      </c>
      <c r="AY29" s="47">
        <v>0</v>
      </c>
      <c r="AZ29" s="47">
        <v>0</v>
      </c>
      <c r="BA29" s="47">
        <v>0</v>
      </c>
      <c r="BB29" s="47">
        <v>0</v>
      </c>
      <c r="BC29" s="47">
        <v>0</v>
      </c>
      <c r="BD29" s="47">
        <v>0</v>
      </c>
      <c r="BE29" s="47">
        <v>0</v>
      </c>
      <c r="BF29" s="47">
        <v>0</v>
      </c>
      <c r="BG29" s="47">
        <v>0</v>
      </c>
      <c r="BH29" s="47">
        <v>0</v>
      </c>
      <c r="BI29" s="47">
        <v>0</v>
      </c>
      <c r="BJ29" s="47">
        <v>0</v>
      </c>
      <c r="BK29" s="47">
        <v>0</v>
      </c>
      <c r="BL29" s="47">
        <v>0</v>
      </c>
      <c r="BM29" s="47">
        <v>0</v>
      </c>
      <c r="BN29" s="47">
        <v>0</v>
      </c>
      <c r="BO29" s="47">
        <v>0</v>
      </c>
      <c r="BP29" s="47">
        <v>0</v>
      </c>
      <c r="BQ29" s="47">
        <v>0</v>
      </c>
      <c r="BR29" s="47">
        <v>0</v>
      </c>
      <c r="BS29" s="47">
        <v>0</v>
      </c>
      <c r="BT29" s="47">
        <v>0</v>
      </c>
      <c r="BU29" s="47">
        <v>0</v>
      </c>
      <c r="BV29" s="47">
        <v>0</v>
      </c>
      <c r="BW29" s="47">
        <v>0</v>
      </c>
      <c r="BX29" s="47">
        <v>0</v>
      </c>
      <c r="BY29" s="47">
        <v>0</v>
      </c>
      <c r="BZ29" s="47">
        <v>0</v>
      </c>
      <c r="CA29" s="47">
        <v>0</v>
      </c>
      <c r="CB29" s="47">
        <v>0</v>
      </c>
      <c r="CC29" s="47">
        <v>0</v>
      </c>
      <c r="CD29" s="47">
        <v>0</v>
      </c>
      <c r="CE29" s="47">
        <v>0</v>
      </c>
      <c r="CF29" s="47">
        <v>0</v>
      </c>
      <c r="CG29" s="47">
        <v>0</v>
      </c>
      <c r="CH29" s="47">
        <v>0</v>
      </c>
      <c r="CI29" s="47">
        <v>0</v>
      </c>
      <c r="CJ29" s="47">
        <v>0</v>
      </c>
      <c r="CK29" s="47">
        <v>0</v>
      </c>
      <c r="CL29" s="47">
        <v>0</v>
      </c>
      <c r="CM29" s="47">
        <v>0</v>
      </c>
      <c r="CN29" s="47">
        <v>0</v>
      </c>
      <c r="CO29" s="47">
        <v>0</v>
      </c>
      <c r="CP29" s="47">
        <v>0</v>
      </c>
      <c r="CQ29" s="47">
        <v>0</v>
      </c>
      <c r="CR29" s="47">
        <v>0</v>
      </c>
      <c r="CS29" s="47">
        <v>0</v>
      </c>
      <c r="CT29" s="47">
        <v>0</v>
      </c>
      <c r="CU29" s="47">
        <v>0</v>
      </c>
      <c r="CV29" s="47">
        <v>0</v>
      </c>
      <c r="CW29" s="47">
        <v>0</v>
      </c>
      <c r="CX29" s="47">
        <v>0</v>
      </c>
      <c r="CY29" s="47">
        <v>0</v>
      </c>
      <c r="CZ29" s="47">
        <v>0</v>
      </c>
      <c r="DA29" s="47">
        <v>0</v>
      </c>
      <c r="DB29" s="47">
        <v>0</v>
      </c>
      <c r="DC29" s="47">
        <v>0</v>
      </c>
      <c r="DD29" s="47">
        <v>0</v>
      </c>
      <c r="DE29" s="47">
        <v>0</v>
      </c>
      <c r="DF29" s="47">
        <v>0.2</v>
      </c>
      <c r="DG29" s="47">
        <v>0</v>
      </c>
      <c r="DH29" s="47">
        <v>0</v>
      </c>
      <c r="DI29" s="47">
        <v>0</v>
      </c>
      <c r="DJ29" s="47">
        <v>0</v>
      </c>
      <c r="DK29" s="47">
        <v>0</v>
      </c>
      <c r="DL29" s="47">
        <v>0</v>
      </c>
      <c r="DM29" s="47">
        <v>0</v>
      </c>
      <c r="DN29" s="47">
        <v>0</v>
      </c>
      <c r="DO29" s="47">
        <v>0</v>
      </c>
      <c r="DP29" s="47">
        <v>0</v>
      </c>
      <c r="DQ29" s="47">
        <v>0</v>
      </c>
      <c r="DR29" s="47">
        <v>0.2</v>
      </c>
    </row>
    <row r="30" spans="1:124" x14ac:dyDescent="0.25">
      <c r="A30" s="47" t="s">
        <v>286</v>
      </c>
      <c r="B30" s="47" t="s">
        <v>151</v>
      </c>
      <c r="C30" s="47" t="s">
        <v>287</v>
      </c>
      <c r="D30" s="47" t="s">
        <v>282</v>
      </c>
      <c r="E30" s="47"/>
      <c r="F30" s="47" t="s">
        <v>161</v>
      </c>
      <c r="G30" s="47" t="s">
        <v>207</v>
      </c>
      <c r="H30" s="47" t="str">
        <f>=IFERROR(VLOOKUP(A30,'ETPT Format DDG'!A:J,10,FALSE),"")</f>
        <v>0</v>
      </c>
      <c r="I30" s="47" t="str">
        <f>='ETPT Format DDG'!M30</f>
        <v/>
      </c>
      <c r="J30" s="47" t="str">
        <f>='ETPT Format DDG'!D30</f>
        <v/>
      </c>
      <c r="K30" s="47" t="s">
        <v>155</v>
      </c>
      <c r="L30" s="47" t="s">
        <v>283</v>
      </c>
      <c r="M30" s="47"/>
      <c r="N30" s="47">
        <v>1</v>
      </c>
      <c r="O30" s="47">
        <v>1</v>
      </c>
      <c r="P30" s="47">
        <v>0</v>
      </c>
      <c r="Q30" s="47">
        <v>0</v>
      </c>
      <c r="R30" s="47">
        <v>0</v>
      </c>
      <c r="S30" s="47">
        <v>0</v>
      </c>
      <c r="T30" s="47">
        <v>0</v>
      </c>
      <c r="U30" s="47">
        <v>0</v>
      </c>
      <c r="V30" s="47">
        <v>0</v>
      </c>
      <c r="W30" s="47">
        <v>0</v>
      </c>
      <c r="X30" s="47">
        <v>0</v>
      </c>
      <c r="Y30" s="47">
        <v>0</v>
      </c>
      <c r="Z30" s="47">
        <v>0</v>
      </c>
      <c r="AA30" s="47">
        <v>0</v>
      </c>
      <c r="AB30" s="47">
        <v>0</v>
      </c>
      <c r="AC30" s="47">
        <v>0</v>
      </c>
      <c r="AD30" s="47">
        <v>0</v>
      </c>
      <c r="AE30" s="47">
        <v>1</v>
      </c>
      <c r="AF30" s="47">
        <v>0</v>
      </c>
      <c r="AG30" s="47">
        <v>0</v>
      </c>
      <c r="AH30" s="47">
        <v>0</v>
      </c>
      <c r="AI30" s="47">
        <v>0</v>
      </c>
      <c r="AJ30" s="47">
        <v>0</v>
      </c>
      <c r="AK30" s="47">
        <v>0</v>
      </c>
      <c r="AL30" s="47">
        <v>0</v>
      </c>
      <c r="AM30" s="47">
        <v>0</v>
      </c>
      <c r="AN30" s="47">
        <v>0</v>
      </c>
      <c r="AO30" s="47">
        <v>0</v>
      </c>
      <c r="AP30" s="47">
        <v>0</v>
      </c>
      <c r="AQ30" s="47">
        <v>0</v>
      </c>
      <c r="AR30" s="47">
        <v>0</v>
      </c>
      <c r="AS30" s="47">
        <v>0</v>
      </c>
      <c r="AT30" s="47">
        <v>0</v>
      </c>
      <c r="AU30" s="47">
        <v>0</v>
      </c>
      <c r="AV30" s="47">
        <v>0</v>
      </c>
      <c r="AW30" s="47">
        <v>0</v>
      </c>
      <c r="AX30" s="47">
        <v>0</v>
      </c>
      <c r="AY30" s="47">
        <v>0</v>
      </c>
      <c r="AZ30" s="47">
        <v>0</v>
      </c>
      <c r="BA30" s="47">
        <v>0</v>
      </c>
      <c r="BB30" s="47">
        <v>0</v>
      </c>
      <c r="BC30" s="47">
        <v>0</v>
      </c>
      <c r="BD30" s="47">
        <v>0</v>
      </c>
      <c r="BE30" s="47">
        <v>0</v>
      </c>
      <c r="BF30" s="47">
        <v>0</v>
      </c>
      <c r="BG30" s="47">
        <v>0</v>
      </c>
      <c r="BH30" s="47">
        <v>0</v>
      </c>
      <c r="BI30" s="47">
        <v>0</v>
      </c>
      <c r="BJ30" s="47">
        <v>0</v>
      </c>
      <c r="BK30" s="47">
        <v>0</v>
      </c>
      <c r="BL30" s="47">
        <v>0</v>
      </c>
      <c r="BM30" s="47">
        <v>0</v>
      </c>
      <c r="BN30" s="47">
        <v>0</v>
      </c>
      <c r="BO30" s="47">
        <v>0</v>
      </c>
      <c r="BP30" s="47">
        <v>0</v>
      </c>
      <c r="BQ30" s="47">
        <v>0</v>
      </c>
      <c r="BR30" s="47">
        <v>0</v>
      </c>
      <c r="BS30" s="47">
        <v>0</v>
      </c>
      <c r="BT30" s="47">
        <v>0</v>
      </c>
      <c r="BU30" s="47">
        <v>0</v>
      </c>
      <c r="BV30" s="47">
        <v>0</v>
      </c>
      <c r="BW30" s="47">
        <v>0</v>
      </c>
      <c r="BX30" s="47">
        <v>0</v>
      </c>
      <c r="BY30" s="47">
        <v>0</v>
      </c>
      <c r="BZ30" s="47">
        <v>0</v>
      </c>
      <c r="CA30" s="47">
        <v>0</v>
      </c>
      <c r="CB30" s="47">
        <v>0</v>
      </c>
      <c r="CC30" s="47">
        <v>0</v>
      </c>
      <c r="CD30" s="47">
        <v>0</v>
      </c>
      <c r="CE30" s="47">
        <v>0</v>
      </c>
      <c r="CF30" s="47">
        <v>0</v>
      </c>
      <c r="CG30" s="47">
        <v>0</v>
      </c>
      <c r="CH30" s="47">
        <v>0</v>
      </c>
      <c r="CI30" s="47">
        <v>0</v>
      </c>
      <c r="CJ30" s="47">
        <v>0</v>
      </c>
      <c r="CK30" s="47">
        <v>0</v>
      </c>
      <c r="CL30" s="47">
        <v>0</v>
      </c>
      <c r="CM30" s="47">
        <v>0</v>
      </c>
      <c r="CN30" s="47">
        <v>0</v>
      </c>
      <c r="CO30" s="47">
        <v>0</v>
      </c>
      <c r="CP30" s="47">
        <v>0</v>
      </c>
      <c r="CQ30" s="47">
        <v>0</v>
      </c>
      <c r="CR30" s="47">
        <v>0</v>
      </c>
      <c r="CS30" s="47">
        <v>0</v>
      </c>
      <c r="CT30" s="47">
        <v>0</v>
      </c>
      <c r="CU30" s="47">
        <v>0</v>
      </c>
      <c r="CV30" s="47">
        <v>0</v>
      </c>
      <c r="CW30" s="47">
        <v>0</v>
      </c>
      <c r="CX30" s="47">
        <v>0</v>
      </c>
      <c r="CY30" s="47">
        <v>0</v>
      </c>
      <c r="CZ30" s="47">
        <v>0</v>
      </c>
      <c r="DA30" s="47">
        <v>0</v>
      </c>
      <c r="DB30" s="47">
        <v>0</v>
      </c>
      <c r="DC30" s="47">
        <v>0</v>
      </c>
      <c r="DD30" s="47">
        <v>0</v>
      </c>
      <c r="DE30" s="47">
        <v>0</v>
      </c>
      <c r="DF30" s="47">
        <v>0</v>
      </c>
      <c r="DG30" s="47">
        <v>0</v>
      </c>
      <c r="DH30" s="47">
        <v>0</v>
      </c>
      <c r="DI30" s="47">
        <v>0</v>
      </c>
      <c r="DJ30" s="47">
        <v>0</v>
      </c>
      <c r="DK30" s="47">
        <v>0</v>
      </c>
      <c r="DL30" s="47">
        <v>0</v>
      </c>
      <c r="DM30" s="47">
        <v>0</v>
      </c>
      <c r="DN30" s="47">
        <v>0</v>
      </c>
      <c r="DO30" s="47">
        <v>0</v>
      </c>
      <c r="DP30" s="47">
        <v>0</v>
      </c>
      <c r="DQ30" s="47">
        <v>0</v>
      </c>
      <c r="DR30" s="47">
        <v>0</v>
      </c>
    </row>
    <row r="31" spans="1:124" x14ac:dyDescent="0.25">
      <c r="A31" s="47" t="s">
        <v>288</v>
      </c>
      <c r="B31" s="47" t="s">
        <v>151</v>
      </c>
      <c r="C31" s="47" t="s">
        <v>289</v>
      </c>
      <c r="D31" s="47" t="s">
        <v>282</v>
      </c>
      <c r="E31" s="47"/>
      <c r="F31" s="47" t="s">
        <v>161</v>
      </c>
      <c r="G31" s="47" t="s">
        <v>207</v>
      </c>
      <c r="H31" s="47" t="str">
        <f>=IFERROR(VLOOKUP(A31,'ETPT Format DDG'!A:J,10,FALSE),"")</f>
        <v>0</v>
      </c>
      <c r="I31" s="47" t="str">
        <f>='ETPT Format DDG'!M31</f>
        <v/>
      </c>
      <c r="J31" s="47" t="str">
        <f>='ETPT Format DDG'!D31</f>
        <v/>
      </c>
      <c r="K31" s="47" t="s">
        <v>155</v>
      </c>
      <c r="L31" s="47" t="s">
        <v>283</v>
      </c>
      <c r="M31" s="47"/>
      <c r="N31" s="47">
        <v>0.85</v>
      </c>
      <c r="O31" s="47">
        <v>0.85</v>
      </c>
      <c r="P31" s="47">
        <v>0</v>
      </c>
      <c r="Q31" s="47">
        <v>0</v>
      </c>
      <c r="R31" s="47">
        <v>0</v>
      </c>
      <c r="S31" s="47">
        <v>0</v>
      </c>
      <c r="T31" s="47">
        <v>0</v>
      </c>
      <c r="U31" s="47">
        <v>0</v>
      </c>
      <c r="V31" s="47">
        <v>0</v>
      </c>
      <c r="W31" s="47">
        <v>0</v>
      </c>
      <c r="X31" s="47">
        <v>0</v>
      </c>
      <c r="Y31" s="47">
        <v>0</v>
      </c>
      <c r="Z31" s="47">
        <v>0</v>
      </c>
      <c r="AA31" s="47">
        <v>0</v>
      </c>
      <c r="AB31" s="47">
        <v>0</v>
      </c>
      <c r="AC31" s="47">
        <v>0</v>
      </c>
      <c r="AD31" s="47">
        <v>0</v>
      </c>
      <c r="AE31" s="47">
        <v>0.85</v>
      </c>
      <c r="AF31" s="47">
        <v>0</v>
      </c>
      <c r="AG31" s="47">
        <v>0</v>
      </c>
      <c r="AH31" s="47">
        <v>0</v>
      </c>
      <c r="AI31" s="47">
        <v>0</v>
      </c>
      <c r="AJ31" s="47">
        <v>0</v>
      </c>
      <c r="AK31" s="47">
        <v>0</v>
      </c>
      <c r="AL31" s="47">
        <v>0</v>
      </c>
      <c r="AM31" s="47">
        <v>0</v>
      </c>
      <c r="AN31" s="47">
        <v>0</v>
      </c>
      <c r="AO31" s="47">
        <v>0</v>
      </c>
      <c r="AP31" s="47">
        <v>0</v>
      </c>
      <c r="AQ31" s="47">
        <v>0</v>
      </c>
      <c r="AR31" s="47">
        <v>0</v>
      </c>
      <c r="AS31" s="47">
        <v>0</v>
      </c>
      <c r="AT31" s="47">
        <v>0</v>
      </c>
      <c r="AU31" s="47">
        <v>0</v>
      </c>
      <c r="AV31" s="47">
        <v>0</v>
      </c>
      <c r="AW31" s="47">
        <v>0</v>
      </c>
      <c r="AX31" s="47">
        <v>0</v>
      </c>
      <c r="AY31" s="47">
        <v>0</v>
      </c>
      <c r="AZ31" s="47">
        <v>0</v>
      </c>
      <c r="BA31" s="47">
        <v>0</v>
      </c>
      <c r="BB31" s="47">
        <v>0</v>
      </c>
      <c r="BC31" s="47">
        <v>0</v>
      </c>
      <c r="BD31" s="47">
        <v>0</v>
      </c>
      <c r="BE31" s="47">
        <v>0</v>
      </c>
      <c r="BF31" s="47">
        <v>0</v>
      </c>
      <c r="BG31" s="47">
        <v>0</v>
      </c>
      <c r="BH31" s="47">
        <v>0</v>
      </c>
      <c r="BI31" s="47">
        <v>0</v>
      </c>
      <c r="BJ31" s="47">
        <v>0</v>
      </c>
      <c r="BK31" s="47">
        <v>0</v>
      </c>
      <c r="BL31" s="47">
        <v>0</v>
      </c>
      <c r="BM31" s="47">
        <v>0</v>
      </c>
      <c r="BN31" s="47">
        <v>0</v>
      </c>
      <c r="BO31" s="47">
        <v>0</v>
      </c>
      <c r="BP31" s="47">
        <v>0</v>
      </c>
      <c r="BQ31" s="47">
        <v>0</v>
      </c>
      <c r="BR31" s="47">
        <v>0</v>
      </c>
      <c r="BS31" s="47">
        <v>0</v>
      </c>
      <c r="BT31" s="47">
        <v>0</v>
      </c>
      <c r="BU31" s="47">
        <v>0</v>
      </c>
      <c r="BV31" s="47">
        <v>0</v>
      </c>
      <c r="BW31" s="47">
        <v>0</v>
      </c>
      <c r="BX31" s="47">
        <v>0</v>
      </c>
      <c r="BY31" s="47">
        <v>0</v>
      </c>
      <c r="BZ31" s="47">
        <v>0</v>
      </c>
      <c r="CA31" s="47">
        <v>0</v>
      </c>
      <c r="CB31" s="47">
        <v>0</v>
      </c>
      <c r="CC31" s="47">
        <v>0</v>
      </c>
      <c r="CD31" s="47">
        <v>0</v>
      </c>
      <c r="CE31" s="47">
        <v>0</v>
      </c>
      <c r="CF31" s="47">
        <v>0</v>
      </c>
      <c r="CG31" s="47">
        <v>0</v>
      </c>
      <c r="CH31" s="47">
        <v>0</v>
      </c>
      <c r="CI31" s="47">
        <v>0</v>
      </c>
      <c r="CJ31" s="47">
        <v>0</v>
      </c>
      <c r="CK31" s="47">
        <v>0</v>
      </c>
      <c r="CL31" s="47">
        <v>0</v>
      </c>
      <c r="CM31" s="47">
        <v>0</v>
      </c>
      <c r="CN31" s="47">
        <v>0</v>
      </c>
      <c r="CO31" s="47">
        <v>0</v>
      </c>
      <c r="CP31" s="47">
        <v>0</v>
      </c>
      <c r="CQ31" s="47">
        <v>0</v>
      </c>
      <c r="CR31" s="47">
        <v>0</v>
      </c>
      <c r="CS31" s="47">
        <v>0</v>
      </c>
      <c r="CT31" s="47">
        <v>0</v>
      </c>
      <c r="CU31" s="47">
        <v>0</v>
      </c>
      <c r="CV31" s="47">
        <v>0</v>
      </c>
      <c r="CW31" s="47">
        <v>0</v>
      </c>
      <c r="CX31" s="47">
        <v>0</v>
      </c>
      <c r="CY31" s="47">
        <v>0</v>
      </c>
      <c r="CZ31" s="47">
        <v>0</v>
      </c>
      <c r="DA31" s="47">
        <v>0</v>
      </c>
      <c r="DB31" s="47">
        <v>0</v>
      </c>
      <c r="DC31" s="47">
        <v>0</v>
      </c>
      <c r="DD31" s="47">
        <v>0</v>
      </c>
      <c r="DE31" s="47">
        <v>0</v>
      </c>
      <c r="DF31" s="47">
        <v>0.15</v>
      </c>
      <c r="DG31" s="47">
        <v>0</v>
      </c>
      <c r="DH31" s="47">
        <v>0</v>
      </c>
      <c r="DI31" s="47">
        <v>0.15</v>
      </c>
      <c r="DJ31" s="47">
        <v>0</v>
      </c>
      <c r="DK31" s="47">
        <v>0</v>
      </c>
      <c r="DL31" s="47">
        <v>0</v>
      </c>
      <c r="DM31" s="47">
        <v>0</v>
      </c>
      <c r="DN31" s="47">
        <v>0</v>
      </c>
      <c r="DO31" s="47">
        <v>0</v>
      </c>
      <c r="DP31" s="47">
        <v>0</v>
      </c>
      <c r="DQ31" s="47">
        <v>0</v>
      </c>
      <c r="DR31" s="47">
        <v>0</v>
      </c>
    </row>
    <row r="32" spans="1:124" x14ac:dyDescent="0.25">
      <c r="A32" s="47" t="s">
        <v>290</v>
      </c>
      <c r="B32" s="47" t="s">
        <v>151</v>
      </c>
      <c r="C32" s="47" t="s">
        <v>291</v>
      </c>
      <c r="D32" s="47" t="s">
        <v>282</v>
      </c>
      <c r="E32" s="47"/>
      <c r="F32" s="47" t="s">
        <v>161</v>
      </c>
      <c r="G32" s="47" t="s">
        <v>207</v>
      </c>
      <c r="H32" s="47" t="str">
        <f>=IFERROR(VLOOKUP(A32,'ETPT Format DDG'!A:J,10,FALSE),"")</f>
        <v>0</v>
      </c>
      <c r="I32" s="47" t="str">
        <f>='ETPT Format DDG'!M32</f>
        <v/>
      </c>
      <c r="J32" s="47" t="str">
        <f>='ETPT Format DDG'!D32</f>
        <v/>
      </c>
      <c r="K32" s="47" t="s">
        <v>155</v>
      </c>
      <c r="L32" s="47" t="s">
        <v>283</v>
      </c>
      <c r="M32" s="47"/>
      <c r="N32" s="47">
        <v>0.8</v>
      </c>
      <c r="O32" s="47">
        <v>0.8</v>
      </c>
      <c r="P32" s="47">
        <v>0</v>
      </c>
      <c r="Q32" s="47">
        <v>0</v>
      </c>
      <c r="R32" s="47">
        <v>0</v>
      </c>
      <c r="S32" s="47">
        <v>0</v>
      </c>
      <c r="T32" s="47">
        <v>0</v>
      </c>
      <c r="U32" s="47">
        <v>0.32</v>
      </c>
      <c r="V32" s="47">
        <v>0</v>
      </c>
      <c r="W32" s="47">
        <v>0</v>
      </c>
      <c r="X32" s="47">
        <v>0</v>
      </c>
      <c r="Y32" s="47">
        <v>0</v>
      </c>
      <c r="Z32" s="47">
        <v>0</v>
      </c>
      <c r="AA32" s="47">
        <v>0</v>
      </c>
      <c r="AB32" s="47">
        <v>0</v>
      </c>
      <c r="AC32" s="47">
        <v>0</v>
      </c>
      <c r="AD32" s="47">
        <v>0</v>
      </c>
      <c r="AE32" s="47">
        <v>0.48</v>
      </c>
      <c r="AF32" s="47">
        <v>0</v>
      </c>
      <c r="AG32" s="47">
        <v>0</v>
      </c>
      <c r="AH32" s="47">
        <v>0</v>
      </c>
      <c r="AI32" s="47">
        <v>0</v>
      </c>
      <c r="AJ32" s="47">
        <v>0</v>
      </c>
      <c r="AK32" s="47">
        <v>0</v>
      </c>
      <c r="AL32" s="47">
        <v>0</v>
      </c>
      <c r="AM32" s="47">
        <v>0</v>
      </c>
      <c r="AN32" s="47">
        <v>0</v>
      </c>
      <c r="AO32" s="47">
        <v>0</v>
      </c>
      <c r="AP32" s="47">
        <v>0</v>
      </c>
      <c r="AQ32" s="47">
        <v>0</v>
      </c>
      <c r="AR32" s="47">
        <v>0</v>
      </c>
      <c r="AS32" s="47">
        <v>0</v>
      </c>
      <c r="AT32" s="47">
        <v>0</v>
      </c>
      <c r="AU32" s="47">
        <v>0</v>
      </c>
      <c r="AV32" s="47">
        <v>0</v>
      </c>
      <c r="AW32" s="47">
        <v>0</v>
      </c>
      <c r="AX32" s="47">
        <v>0</v>
      </c>
      <c r="AY32" s="47">
        <v>0</v>
      </c>
      <c r="AZ32" s="47">
        <v>0</v>
      </c>
      <c r="BA32" s="47">
        <v>0</v>
      </c>
      <c r="BB32" s="47">
        <v>0</v>
      </c>
      <c r="BC32" s="47">
        <v>0</v>
      </c>
      <c r="BD32" s="47">
        <v>0</v>
      </c>
      <c r="BE32" s="47">
        <v>0</v>
      </c>
      <c r="BF32" s="47">
        <v>0</v>
      </c>
      <c r="BG32" s="47">
        <v>0</v>
      </c>
      <c r="BH32" s="47">
        <v>0</v>
      </c>
      <c r="BI32" s="47">
        <v>0</v>
      </c>
      <c r="BJ32" s="47">
        <v>0</v>
      </c>
      <c r="BK32" s="47">
        <v>0</v>
      </c>
      <c r="BL32" s="47">
        <v>0</v>
      </c>
      <c r="BM32" s="47">
        <v>0</v>
      </c>
      <c r="BN32" s="47">
        <v>0</v>
      </c>
      <c r="BO32" s="47">
        <v>0</v>
      </c>
      <c r="BP32" s="47">
        <v>0</v>
      </c>
      <c r="BQ32" s="47">
        <v>0</v>
      </c>
      <c r="BR32" s="47">
        <v>0</v>
      </c>
      <c r="BS32" s="47">
        <v>0</v>
      </c>
      <c r="BT32" s="47">
        <v>0</v>
      </c>
      <c r="BU32" s="47">
        <v>0</v>
      </c>
      <c r="BV32" s="47">
        <v>0</v>
      </c>
      <c r="BW32" s="47">
        <v>0</v>
      </c>
      <c r="BX32" s="47">
        <v>0</v>
      </c>
      <c r="BY32" s="47">
        <v>0</v>
      </c>
      <c r="BZ32" s="47">
        <v>0</v>
      </c>
      <c r="CA32" s="47">
        <v>0</v>
      </c>
      <c r="CB32" s="47">
        <v>0</v>
      </c>
      <c r="CC32" s="47">
        <v>0</v>
      </c>
      <c r="CD32" s="47">
        <v>0</v>
      </c>
      <c r="CE32" s="47">
        <v>0</v>
      </c>
      <c r="CF32" s="47">
        <v>0</v>
      </c>
      <c r="CG32" s="47">
        <v>0</v>
      </c>
      <c r="CH32" s="47">
        <v>0</v>
      </c>
      <c r="CI32" s="47">
        <v>0</v>
      </c>
      <c r="CJ32" s="47">
        <v>0</v>
      </c>
      <c r="CK32" s="47">
        <v>0</v>
      </c>
      <c r="CL32" s="47">
        <v>0</v>
      </c>
      <c r="CM32" s="47">
        <v>0</v>
      </c>
      <c r="CN32" s="47">
        <v>0</v>
      </c>
      <c r="CO32" s="47">
        <v>0</v>
      </c>
      <c r="CP32" s="47">
        <v>0</v>
      </c>
      <c r="CQ32" s="47">
        <v>0</v>
      </c>
      <c r="CR32" s="47">
        <v>0</v>
      </c>
      <c r="CS32" s="47">
        <v>0</v>
      </c>
      <c r="CT32" s="47">
        <v>0</v>
      </c>
      <c r="CU32" s="47">
        <v>0</v>
      </c>
      <c r="CV32" s="47">
        <v>0</v>
      </c>
      <c r="CW32" s="47">
        <v>0</v>
      </c>
      <c r="CX32" s="47">
        <v>0</v>
      </c>
      <c r="CY32" s="47">
        <v>0</v>
      </c>
      <c r="CZ32" s="47">
        <v>0</v>
      </c>
      <c r="DA32" s="47">
        <v>0</v>
      </c>
      <c r="DB32" s="47">
        <v>0</v>
      </c>
      <c r="DC32" s="47">
        <v>0</v>
      </c>
      <c r="DD32" s="47">
        <v>0</v>
      </c>
      <c r="DE32" s="47">
        <v>0</v>
      </c>
      <c r="DF32" s="47">
        <v>0.2</v>
      </c>
      <c r="DG32" s="47">
        <v>0.2</v>
      </c>
      <c r="DH32" s="47">
        <v>0</v>
      </c>
      <c r="DI32" s="47">
        <v>0</v>
      </c>
      <c r="DJ32" s="47">
        <v>0</v>
      </c>
      <c r="DK32" s="47">
        <v>0</v>
      </c>
      <c r="DL32" s="47">
        <v>0</v>
      </c>
      <c r="DM32" s="47">
        <v>0</v>
      </c>
      <c r="DN32" s="47">
        <v>0</v>
      </c>
      <c r="DO32" s="47">
        <v>0</v>
      </c>
      <c r="DP32" s="47">
        <v>0</v>
      </c>
      <c r="DQ32" s="47">
        <v>0</v>
      </c>
      <c r="DR32" s="47">
        <v>0</v>
      </c>
    </row>
    <row r="33" spans="1:124" x14ac:dyDescent="0.25">
      <c r="A33" s="47" t="s">
        <v>292</v>
      </c>
      <c r="B33" s="47" t="s">
        <v>151</v>
      </c>
      <c r="C33" s="47" t="s">
        <v>293</v>
      </c>
      <c r="D33" s="47" t="s">
        <v>282</v>
      </c>
      <c r="E33" s="47"/>
      <c r="F33" s="47" t="s">
        <v>161</v>
      </c>
      <c r="G33" s="47" t="s">
        <v>207</v>
      </c>
      <c r="H33" s="47" t="str">
        <f>=IFERROR(VLOOKUP(A33,'ETPT Format DDG'!A:J,10,FALSE),"")</f>
        <v>0</v>
      </c>
      <c r="I33" s="47" t="str">
        <f>='ETPT Format DDG'!M33</f>
        <v/>
      </c>
      <c r="J33" s="47" t="str">
        <f>='ETPT Format DDG'!D33</f>
        <v/>
      </c>
      <c r="K33" s="47" t="s">
        <v>155</v>
      </c>
      <c r="L33" s="47" t="s">
        <v>283</v>
      </c>
      <c r="M33" s="47"/>
      <c r="N33" s="47">
        <v>0</v>
      </c>
      <c r="O33" s="47">
        <v>0</v>
      </c>
      <c r="P33" s="47">
        <v>0</v>
      </c>
      <c r="Q33" s="47">
        <v>0</v>
      </c>
      <c r="R33" s="47">
        <v>0</v>
      </c>
      <c r="S33" s="47">
        <v>0</v>
      </c>
      <c r="T33" s="47">
        <v>0</v>
      </c>
      <c r="U33" s="47">
        <v>0</v>
      </c>
      <c r="V33" s="47">
        <v>0</v>
      </c>
      <c r="W33" s="47">
        <v>0</v>
      </c>
      <c r="X33" s="47">
        <v>0</v>
      </c>
      <c r="Y33" s="47">
        <v>0</v>
      </c>
      <c r="Z33" s="47">
        <v>0</v>
      </c>
      <c r="AA33" s="47">
        <v>0</v>
      </c>
      <c r="AB33" s="47">
        <v>0</v>
      </c>
      <c r="AC33" s="47">
        <v>0</v>
      </c>
      <c r="AD33" s="47">
        <v>0</v>
      </c>
      <c r="AE33" s="47">
        <v>0</v>
      </c>
      <c r="AF33" s="47">
        <v>0</v>
      </c>
      <c r="AG33" s="47">
        <v>0</v>
      </c>
      <c r="AH33" s="47">
        <v>0</v>
      </c>
      <c r="AI33" s="47">
        <v>0</v>
      </c>
      <c r="AJ33" s="47">
        <v>0</v>
      </c>
      <c r="AK33" s="47">
        <v>0</v>
      </c>
      <c r="AL33" s="47">
        <v>0</v>
      </c>
      <c r="AM33" s="47">
        <v>0</v>
      </c>
      <c r="AN33" s="47">
        <v>0</v>
      </c>
      <c r="AO33" s="47">
        <v>0</v>
      </c>
      <c r="AP33" s="47">
        <v>0</v>
      </c>
      <c r="AQ33" s="47">
        <v>0</v>
      </c>
      <c r="AR33" s="47">
        <v>0</v>
      </c>
      <c r="AS33" s="47">
        <v>0</v>
      </c>
      <c r="AT33" s="47">
        <v>0</v>
      </c>
      <c r="AU33" s="47">
        <v>0</v>
      </c>
      <c r="AV33" s="47">
        <v>0</v>
      </c>
      <c r="AW33" s="47">
        <v>0</v>
      </c>
      <c r="AX33" s="47">
        <v>0</v>
      </c>
      <c r="AY33" s="47">
        <v>0</v>
      </c>
      <c r="AZ33" s="47">
        <v>0</v>
      </c>
      <c r="BA33" s="47">
        <v>0</v>
      </c>
      <c r="BB33" s="47">
        <v>0</v>
      </c>
      <c r="BC33" s="47">
        <v>0</v>
      </c>
      <c r="BD33" s="47">
        <v>0</v>
      </c>
      <c r="BE33" s="47">
        <v>0</v>
      </c>
      <c r="BF33" s="47">
        <v>0</v>
      </c>
      <c r="BG33" s="47">
        <v>0</v>
      </c>
      <c r="BH33" s="47">
        <v>0</v>
      </c>
      <c r="BI33" s="47">
        <v>0</v>
      </c>
      <c r="BJ33" s="47">
        <v>0</v>
      </c>
      <c r="BK33" s="47">
        <v>0</v>
      </c>
      <c r="BL33" s="47">
        <v>0</v>
      </c>
      <c r="BM33" s="47">
        <v>0</v>
      </c>
      <c r="BN33" s="47">
        <v>0</v>
      </c>
      <c r="BO33" s="47">
        <v>0</v>
      </c>
      <c r="BP33" s="47">
        <v>0</v>
      </c>
      <c r="BQ33" s="47">
        <v>0</v>
      </c>
      <c r="BR33" s="47">
        <v>0</v>
      </c>
      <c r="BS33" s="47">
        <v>0</v>
      </c>
      <c r="BT33" s="47">
        <v>0</v>
      </c>
      <c r="BU33" s="47">
        <v>0</v>
      </c>
      <c r="BV33" s="47">
        <v>0</v>
      </c>
      <c r="BW33" s="47">
        <v>0</v>
      </c>
      <c r="BX33" s="47">
        <v>0</v>
      </c>
      <c r="BY33" s="47">
        <v>0</v>
      </c>
      <c r="BZ33" s="47">
        <v>0</v>
      </c>
      <c r="CA33" s="47">
        <v>0</v>
      </c>
      <c r="CB33" s="47">
        <v>0</v>
      </c>
      <c r="CC33" s="47">
        <v>0</v>
      </c>
      <c r="CD33" s="47">
        <v>0</v>
      </c>
      <c r="CE33" s="47">
        <v>0</v>
      </c>
      <c r="CF33" s="47">
        <v>0</v>
      </c>
      <c r="CG33" s="47">
        <v>0</v>
      </c>
      <c r="CH33" s="47">
        <v>0</v>
      </c>
      <c r="CI33" s="47">
        <v>0</v>
      </c>
      <c r="CJ33" s="47">
        <v>0</v>
      </c>
      <c r="CK33" s="47">
        <v>0</v>
      </c>
      <c r="CL33" s="47">
        <v>0</v>
      </c>
      <c r="CM33" s="47">
        <v>0</v>
      </c>
      <c r="CN33" s="47">
        <v>0</v>
      </c>
      <c r="CO33" s="47">
        <v>0</v>
      </c>
      <c r="CP33" s="47">
        <v>0</v>
      </c>
      <c r="CQ33" s="47">
        <v>0</v>
      </c>
      <c r="CR33" s="47">
        <v>0</v>
      </c>
      <c r="CS33" s="47">
        <v>0</v>
      </c>
      <c r="CT33" s="47">
        <v>0</v>
      </c>
      <c r="CU33" s="47">
        <v>0</v>
      </c>
      <c r="CV33" s="47">
        <v>0</v>
      </c>
      <c r="CW33" s="47">
        <v>0</v>
      </c>
      <c r="CX33" s="47">
        <v>0</v>
      </c>
      <c r="CY33" s="47">
        <v>0</v>
      </c>
      <c r="CZ33" s="47">
        <v>0</v>
      </c>
      <c r="DA33" s="47">
        <v>0</v>
      </c>
      <c r="DB33" s="47">
        <v>0</v>
      </c>
      <c r="DC33" s="47">
        <v>0</v>
      </c>
      <c r="DD33" s="47">
        <v>0</v>
      </c>
      <c r="DE33" s="47">
        <v>0</v>
      </c>
      <c r="DF33" s="47">
        <v>0.8</v>
      </c>
      <c r="DG33" s="47">
        <v>0.5333</v>
      </c>
      <c r="DH33" s="47">
        <v>0</v>
      </c>
      <c r="DI33" s="47">
        <v>0</v>
      </c>
      <c r="DJ33" s="47">
        <v>0</v>
      </c>
      <c r="DK33" s="47">
        <v>0</v>
      </c>
      <c r="DL33" s="47">
        <v>0</v>
      </c>
      <c r="DM33" s="47">
        <v>0</v>
      </c>
      <c r="DN33" s="47">
        <v>0.2667</v>
      </c>
      <c r="DO33" s="47">
        <v>0</v>
      </c>
      <c r="DP33" s="47">
        <v>0</v>
      </c>
      <c r="DQ33" s="47">
        <v>0</v>
      </c>
      <c r="DR33" s="47">
        <v>0</v>
      </c>
    </row>
    <row r="34" spans="1:124" x14ac:dyDescent="0.25">
      <c r="A34" s="47" t="s">
        <v>294</v>
      </c>
      <c r="B34" s="47" t="s">
        <v>151</v>
      </c>
      <c r="C34" s="47" t="s">
        <v>295</v>
      </c>
      <c r="D34" s="47" t="s">
        <v>282</v>
      </c>
      <c r="E34" s="47"/>
      <c r="F34" s="47" t="s">
        <v>161</v>
      </c>
      <c r="G34" s="47" t="s">
        <v>207</v>
      </c>
      <c r="H34" s="47" t="str">
        <f>=IFERROR(VLOOKUP(A34,'ETPT Format DDG'!A:J,10,FALSE),"")</f>
        <v>0</v>
      </c>
      <c r="I34" s="47" t="str">
        <f>='ETPT Format DDG'!M34</f>
        <v/>
      </c>
      <c r="J34" s="47" t="str">
        <f>='ETPT Format DDG'!D34</f>
        <v/>
      </c>
      <c r="K34" s="47" t="s">
        <v>155</v>
      </c>
      <c r="L34" s="47" t="s">
        <v>283</v>
      </c>
      <c r="M34" s="47"/>
      <c r="N34" s="47">
        <v>0.75</v>
      </c>
      <c r="O34" s="47">
        <v>0.75</v>
      </c>
      <c r="P34" s="47">
        <v>0</v>
      </c>
      <c r="Q34" s="47">
        <v>0</v>
      </c>
      <c r="R34" s="47">
        <v>0</v>
      </c>
      <c r="S34" s="47">
        <v>0</v>
      </c>
      <c r="T34" s="47">
        <v>0</v>
      </c>
      <c r="U34" s="47">
        <v>0</v>
      </c>
      <c r="V34" s="47">
        <v>0</v>
      </c>
      <c r="W34" s="47">
        <v>0</v>
      </c>
      <c r="X34" s="47">
        <v>0</v>
      </c>
      <c r="Y34" s="47">
        <v>0</v>
      </c>
      <c r="Z34" s="47">
        <v>0</v>
      </c>
      <c r="AA34" s="47">
        <v>0</v>
      </c>
      <c r="AB34" s="47">
        <v>0</v>
      </c>
      <c r="AC34" s="47">
        <v>0</v>
      </c>
      <c r="AD34" s="47">
        <v>0</v>
      </c>
      <c r="AE34" s="47">
        <v>0.75</v>
      </c>
      <c r="AF34" s="47">
        <v>0</v>
      </c>
      <c r="AG34" s="47">
        <v>0</v>
      </c>
      <c r="AH34" s="47">
        <v>0</v>
      </c>
      <c r="AI34" s="47">
        <v>0</v>
      </c>
      <c r="AJ34" s="47">
        <v>0</v>
      </c>
      <c r="AK34" s="47">
        <v>0</v>
      </c>
      <c r="AL34" s="47">
        <v>0</v>
      </c>
      <c r="AM34" s="47">
        <v>0</v>
      </c>
      <c r="AN34" s="47">
        <v>0</v>
      </c>
      <c r="AO34" s="47">
        <v>0</v>
      </c>
      <c r="AP34" s="47">
        <v>0</v>
      </c>
      <c r="AQ34" s="47">
        <v>0</v>
      </c>
      <c r="AR34" s="47">
        <v>0</v>
      </c>
      <c r="AS34" s="47">
        <v>0</v>
      </c>
      <c r="AT34" s="47">
        <v>0</v>
      </c>
      <c r="AU34" s="47">
        <v>0</v>
      </c>
      <c r="AV34" s="47">
        <v>0</v>
      </c>
      <c r="AW34" s="47">
        <v>0</v>
      </c>
      <c r="AX34" s="47">
        <v>0</v>
      </c>
      <c r="AY34" s="47">
        <v>0</v>
      </c>
      <c r="AZ34" s="47">
        <v>0</v>
      </c>
      <c r="BA34" s="47">
        <v>0</v>
      </c>
      <c r="BB34" s="47">
        <v>0</v>
      </c>
      <c r="BC34" s="47">
        <v>0</v>
      </c>
      <c r="BD34" s="47">
        <v>0</v>
      </c>
      <c r="BE34" s="47">
        <v>0</v>
      </c>
      <c r="BF34" s="47">
        <v>0</v>
      </c>
      <c r="BG34" s="47">
        <v>0</v>
      </c>
      <c r="BH34" s="47">
        <v>0</v>
      </c>
      <c r="BI34" s="47">
        <v>0</v>
      </c>
      <c r="BJ34" s="47">
        <v>0</v>
      </c>
      <c r="BK34" s="47">
        <v>0</v>
      </c>
      <c r="BL34" s="47">
        <v>0</v>
      </c>
      <c r="BM34" s="47">
        <v>0</v>
      </c>
      <c r="BN34" s="47">
        <v>0</v>
      </c>
      <c r="BO34" s="47">
        <v>0</v>
      </c>
      <c r="BP34" s="47">
        <v>0</v>
      </c>
      <c r="BQ34" s="47">
        <v>0</v>
      </c>
      <c r="BR34" s="47">
        <v>0</v>
      </c>
      <c r="BS34" s="47">
        <v>0</v>
      </c>
      <c r="BT34" s="47">
        <v>0</v>
      </c>
      <c r="BU34" s="47">
        <v>0</v>
      </c>
      <c r="BV34" s="47">
        <v>0</v>
      </c>
      <c r="BW34" s="47">
        <v>0</v>
      </c>
      <c r="BX34" s="47">
        <v>0</v>
      </c>
      <c r="BY34" s="47">
        <v>0</v>
      </c>
      <c r="BZ34" s="47">
        <v>0</v>
      </c>
      <c r="CA34" s="47">
        <v>0</v>
      </c>
      <c r="CB34" s="47">
        <v>0</v>
      </c>
      <c r="CC34" s="47">
        <v>0</v>
      </c>
      <c r="CD34" s="47">
        <v>0</v>
      </c>
      <c r="CE34" s="47">
        <v>0</v>
      </c>
      <c r="CF34" s="47">
        <v>0</v>
      </c>
      <c r="CG34" s="47">
        <v>0</v>
      </c>
      <c r="CH34" s="47">
        <v>0</v>
      </c>
      <c r="CI34" s="47">
        <v>0</v>
      </c>
      <c r="CJ34" s="47">
        <v>0</v>
      </c>
      <c r="CK34" s="47">
        <v>0</v>
      </c>
      <c r="CL34" s="47">
        <v>0</v>
      </c>
      <c r="CM34" s="47">
        <v>0</v>
      </c>
      <c r="CN34" s="47">
        <v>0</v>
      </c>
      <c r="CO34" s="47">
        <v>0</v>
      </c>
      <c r="CP34" s="47">
        <v>0</v>
      </c>
      <c r="CQ34" s="47">
        <v>0</v>
      </c>
      <c r="CR34" s="47">
        <v>0</v>
      </c>
      <c r="CS34" s="47">
        <v>0</v>
      </c>
      <c r="CT34" s="47">
        <v>0</v>
      </c>
      <c r="CU34" s="47">
        <v>0</v>
      </c>
      <c r="CV34" s="47">
        <v>0</v>
      </c>
      <c r="CW34" s="47">
        <v>0</v>
      </c>
      <c r="CX34" s="47">
        <v>0</v>
      </c>
      <c r="CY34" s="47">
        <v>0</v>
      </c>
      <c r="CZ34" s="47">
        <v>0</v>
      </c>
      <c r="DA34" s="47">
        <v>0</v>
      </c>
      <c r="DB34" s="47">
        <v>0</v>
      </c>
      <c r="DC34" s="47">
        <v>0</v>
      </c>
      <c r="DD34" s="47">
        <v>0</v>
      </c>
      <c r="DE34" s="47">
        <v>0</v>
      </c>
      <c r="DF34" s="47">
        <v>0.25</v>
      </c>
      <c r="DG34" s="47">
        <v>0.1</v>
      </c>
      <c r="DH34" s="47">
        <v>0</v>
      </c>
      <c r="DI34" s="47">
        <v>0</v>
      </c>
      <c r="DJ34" s="47">
        <v>0</v>
      </c>
      <c r="DK34" s="47">
        <v>0</v>
      </c>
      <c r="DL34" s="47">
        <v>0</v>
      </c>
      <c r="DM34" s="47">
        <v>0</v>
      </c>
      <c r="DN34" s="47">
        <v>0</v>
      </c>
      <c r="DO34" s="47">
        <v>0</v>
      </c>
      <c r="DP34" s="47">
        <v>0</v>
      </c>
      <c r="DQ34" s="47">
        <v>0</v>
      </c>
      <c r="DR34" s="47">
        <v>0.15</v>
      </c>
    </row>
    <row r="35" spans="1:124" x14ac:dyDescent="0.25">
      <c r="A35" s="47" t="s">
        <v>296</v>
      </c>
      <c r="B35" s="47" t="s">
        <v>151</v>
      </c>
      <c r="C35" s="47" t="s">
        <v>297</v>
      </c>
      <c r="D35" s="47" t="s">
        <v>282</v>
      </c>
      <c r="E35" s="47"/>
      <c r="F35" s="47" t="s">
        <v>161</v>
      </c>
      <c r="G35" s="47" t="s">
        <v>207</v>
      </c>
      <c r="H35" s="47" t="str">
        <f>=IFERROR(VLOOKUP(A35,'ETPT Format DDG'!A:J,10,FALSE),"")</f>
        <v>0</v>
      </c>
      <c r="I35" s="47" t="str">
        <f>='ETPT Format DDG'!M35</f>
        <v/>
      </c>
      <c r="J35" s="47" t="str">
        <f>='ETPT Format DDG'!D35</f>
        <v/>
      </c>
      <c r="K35" s="47" t="s">
        <v>155</v>
      </c>
      <c r="L35" s="47" t="s">
        <v>283</v>
      </c>
      <c r="M35" s="47"/>
      <c r="N35" s="47">
        <v>1</v>
      </c>
      <c r="O35" s="47">
        <v>1</v>
      </c>
      <c r="P35" s="47">
        <v>0</v>
      </c>
      <c r="Q35" s="47">
        <v>0</v>
      </c>
      <c r="R35" s="47">
        <v>0</v>
      </c>
      <c r="S35" s="47">
        <v>0</v>
      </c>
      <c r="T35" s="47">
        <v>0</v>
      </c>
      <c r="U35" s="47">
        <v>0.4</v>
      </c>
      <c r="V35" s="47">
        <v>0</v>
      </c>
      <c r="W35" s="47">
        <v>0</v>
      </c>
      <c r="X35" s="47">
        <v>0</v>
      </c>
      <c r="Y35" s="47">
        <v>0</v>
      </c>
      <c r="Z35" s="47">
        <v>0</v>
      </c>
      <c r="AA35" s="47">
        <v>0</v>
      </c>
      <c r="AB35" s="47">
        <v>0</v>
      </c>
      <c r="AC35" s="47">
        <v>0</v>
      </c>
      <c r="AD35" s="47">
        <v>0</v>
      </c>
      <c r="AE35" s="47">
        <v>0.6</v>
      </c>
      <c r="AF35" s="47">
        <v>0</v>
      </c>
      <c r="AG35" s="47">
        <v>0</v>
      </c>
      <c r="AH35" s="47">
        <v>0</v>
      </c>
      <c r="AI35" s="47">
        <v>0</v>
      </c>
      <c r="AJ35" s="47">
        <v>0</v>
      </c>
      <c r="AK35" s="47">
        <v>0</v>
      </c>
      <c r="AL35" s="47">
        <v>0</v>
      </c>
      <c r="AM35" s="47">
        <v>0</v>
      </c>
      <c r="AN35" s="47">
        <v>0</v>
      </c>
      <c r="AO35" s="47">
        <v>0</v>
      </c>
      <c r="AP35" s="47">
        <v>0</v>
      </c>
      <c r="AQ35" s="47">
        <v>0</v>
      </c>
      <c r="AR35" s="47">
        <v>0</v>
      </c>
      <c r="AS35" s="47">
        <v>0</v>
      </c>
      <c r="AT35" s="47">
        <v>0</v>
      </c>
      <c r="AU35" s="47">
        <v>0</v>
      </c>
      <c r="AV35" s="47">
        <v>0</v>
      </c>
      <c r="AW35" s="47">
        <v>0</v>
      </c>
      <c r="AX35" s="47">
        <v>0</v>
      </c>
      <c r="AY35" s="47">
        <v>0</v>
      </c>
      <c r="AZ35" s="47">
        <v>0</v>
      </c>
      <c r="BA35" s="47">
        <v>0</v>
      </c>
      <c r="BB35" s="47">
        <v>0</v>
      </c>
      <c r="BC35" s="47">
        <v>0</v>
      </c>
      <c r="BD35" s="47">
        <v>0</v>
      </c>
      <c r="BE35" s="47">
        <v>0</v>
      </c>
      <c r="BF35" s="47">
        <v>0</v>
      </c>
      <c r="BG35" s="47">
        <v>0</v>
      </c>
      <c r="BH35" s="47">
        <v>0</v>
      </c>
      <c r="BI35" s="47">
        <v>0</v>
      </c>
      <c r="BJ35" s="47">
        <v>0</v>
      </c>
      <c r="BK35" s="47">
        <v>0</v>
      </c>
      <c r="BL35" s="47">
        <v>0</v>
      </c>
      <c r="BM35" s="47">
        <v>0</v>
      </c>
      <c r="BN35" s="47">
        <v>0</v>
      </c>
      <c r="BO35" s="47">
        <v>0</v>
      </c>
      <c r="BP35" s="47">
        <v>0</v>
      </c>
      <c r="BQ35" s="47">
        <v>0</v>
      </c>
      <c r="BR35" s="47">
        <v>0</v>
      </c>
      <c r="BS35" s="47">
        <v>0</v>
      </c>
      <c r="BT35" s="47">
        <v>0</v>
      </c>
      <c r="BU35" s="47">
        <v>0</v>
      </c>
      <c r="BV35" s="47">
        <v>0</v>
      </c>
      <c r="BW35" s="47">
        <v>0</v>
      </c>
      <c r="BX35" s="47">
        <v>0</v>
      </c>
      <c r="BY35" s="47">
        <v>0</v>
      </c>
      <c r="BZ35" s="47">
        <v>0</v>
      </c>
      <c r="CA35" s="47">
        <v>0</v>
      </c>
      <c r="CB35" s="47">
        <v>0</v>
      </c>
      <c r="CC35" s="47">
        <v>0</v>
      </c>
      <c r="CD35" s="47">
        <v>0</v>
      </c>
      <c r="CE35" s="47">
        <v>0</v>
      </c>
      <c r="CF35" s="47">
        <v>0</v>
      </c>
      <c r="CG35" s="47">
        <v>0</v>
      </c>
      <c r="CH35" s="47">
        <v>0</v>
      </c>
      <c r="CI35" s="47">
        <v>0</v>
      </c>
      <c r="CJ35" s="47">
        <v>0</v>
      </c>
      <c r="CK35" s="47">
        <v>0</v>
      </c>
      <c r="CL35" s="47">
        <v>0</v>
      </c>
      <c r="CM35" s="47">
        <v>0</v>
      </c>
      <c r="CN35" s="47">
        <v>0</v>
      </c>
      <c r="CO35" s="47">
        <v>0</v>
      </c>
      <c r="CP35" s="47">
        <v>0</v>
      </c>
      <c r="CQ35" s="47">
        <v>0</v>
      </c>
      <c r="CR35" s="47">
        <v>0</v>
      </c>
      <c r="CS35" s="47">
        <v>0</v>
      </c>
      <c r="CT35" s="47">
        <v>0</v>
      </c>
      <c r="CU35" s="47">
        <v>0</v>
      </c>
      <c r="CV35" s="47">
        <v>0</v>
      </c>
      <c r="CW35" s="47">
        <v>0</v>
      </c>
      <c r="CX35" s="47">
        <v>0</v>
      </c>
      <c r="CY35" s="47">
        <v>0</v>
      </c>
      <c r="CZ35" s="47">
        <v>0</v>
      </c>
      <c r="DA35" s="47">
        <v>0</v>
      </c>
      <c r="DB35" s="47">
        <v>0</v>
      </c>
      <c r="DC35" s="47">
        <v>0</v>
      </c>
      <c r="DD35" s="47">
        <v>0</v>
      </c>
      <c r="DE35" s="47">
        <v>0</v>
      </c>
      <c r="DF35" s="47">
        <v>0</v>
      </c>
      <c r="DG35" s="47">
        <v>0</v>
      </c>
      <c r="DH35" s="47">
        <v>0</v>
      </c>
      <c r="DI35" s="47">
        <v>0</v>
      </c>
      <c r="DJ35" s="47">
        <v>0</v>
      </c>
      <c r="DK35" s="47">
        <v>0</v>
      </c>
      <c r="DL35" s="47">
        <v>0</v>
      </c>
      <c r="DM35" s="47">
        <v>0</v>
      </c>
      <c r="DN35" s="47">
        <v>0</v>
      </c>
      <c r="DO35" s="47">
        <v>0</v>
      </c>
      <c r="DP35" s="47">
        <v>0</v>
      </c>
      <c r="DQ35" s="47">
        <v>0</v>
      </c>
      <c r="DR35" s="47">
        <v>0</v>
      </c>
    </row>
    <row r="36" spans="1:124" x14ac:dyDescent="0.25">
      <c r="A36" s="47" t="s">
        <v>298</v>
      </c>
      <c r="B36" s="47" t="s">
        <v>151</v>
      </c>
      <c r="C36" s="47" t="s">
        <v>299</v>
      </c>
      <c r="D36" s="47" t="s">
        <v>282</v>
      </c>
      <c r="E36" s="47"/>
      <c r="F36" s="47" t="s">
        <v>161</v>
      </c>
      <c r="G36" s="47" t="s">
        <v>207</v>
      </c>
      <c r="H36" s="47" t="str">
        <f>=IFERROR(VLOOKUP(A36,'ETPT Format DDG'!A:J,10,FALSE),"")</f>
        <v>0</v>
      </c>
      <c r="I36" s="47" t="str">
        <f>='ETPT Format DDG'!M36</f>
        <v/>
      </c>
      <c r="J36" s="47" t="str">
        <f>='ETPT Format DDG'!D36</f>
        <v/>
      </c>
      <c r="K36" s="47" t="s">
        <v>155</v>
      </c>
      <c r="L36" s="47" t="s">
        <v>300</v>
      </c>
      <c r="M36" s="47"/>
      <c r="N36" s="47">
        <v>0.6532</v>
      </c>
      <c r="O36" s="47">
        <v>0.6532</v>
      </c>
      <c r="P36" s="47">
        <v>0</v>
      </c>
      <c r="Q36" s="47">
        <v>0</v>
      </c>
      <c r="R36" s="47">
        <v>0</v>
      </c>
      <c r="S36" s="47">
        <v>0</v>
      </c>
      <c r="T36" s="47">
        <v>0</v>
      </c>
      <c r="U36" s="47">
        <v>0</v>
      </c>
      <c r="V36" s="47">
        <v>0</v>
      </c>
      <c r="W36" s="47">
        <v>0</v>
      </c>
      <c r="X36" s="47">
        <v>0</v>
      </c>
      <c r="Y36" s="47">
        <v>0</v>
      </c>
      <c r="Z36" s="47">
        <v>0</v>
      </c>
      <c r="AA36" s="47">
        <v>0</v>
      </c>
      <c r="AB36" s="47">
        <v>0</v>
      </c>
      <c r="AC36" s="47">
        <v>0</v>
      </c>
      <c r="AD36" s="47">
        <v>0</v>
      </c>
      <c r="AE36" s="47">
        <v>0.6532</v>
      </c>
      <c r="AF36" s="47">
        <v>0</v>
      </c>
      <c r="AG36" s="47">
        <v>0</v>
      </c>
      <c r="AH36" s="47">
        <v>0</v>
      </c>
      <c r="AI36" s="47">
        <v>0</v>
      </c>
      <c r="AJ36" s="47">
        <v>0</v>
      </c>
      <c r="AK36" s="47">
        <v>0</v>
      </c>
      <c r="AL36" s="47">
        <v>0</v>
      </c>
      <c r="AM36" s="47">
        <v>0</v>
      </c>
      <c r="AN36" s="47">
        <v>0</v>
      </c>
      <c r="AO36" s="47">
        <v>0</v>
      </c>
      <c r="AP36" s="47">
        <v>0</v>
      </c>
      <c r="AQ36" s="47">
        <v>0</v>
      </c>
      <c r="AR36" s="47">
        <v>0</v>
      </c>
      <c r="AS36" s="47">
        <v>0</v>
      </c>
      <c r="AT36" s="47">
        <v>0</v>
      </c>
      <c r="AU36" s="47">
        <v>0</v>
      </c>
      <c r="AV36" s="47">
        <v>0</v>
      </c>
      <c r="AW36" s="47">
        <v>0</v>
      </c>
      <c r="AX36" s="47">
        <v>0</v>
      </c>
      <c r="AY36" s="47">
        <v>0</v>
      </c>
      <c r="AZ36" s="47">
        <v>0</v>
      </c>
      <c r="BA36" s="47">
        <v>0</v>
      </c>
      <c r="BB36" s="47">
        <v>0</v>
      </c>
      <c r="BC36" s="47">
        <v>0</v>
      </c>
      <c r="BD36" s="47">
        <v>0</v>
      </c>
      <c r="BE36" s="47">
        <v>0</v>
      </c>
      <c r="BF36" s="47">
        <v>0</v>
      </c>
      <c r="BG36" s="47">
        <v>0</v>
      </c>
      <c r="BH36" s="47">
        <v>0</v>
      </c>
      <c r="BI36" s="47">
        <v>0</v>
      </c>
      <c r="BJ36" s="47">
        <v>0</v>
      </c>
      <c r="BK36" s="47">
        <v>0</v>
      </c>
      <c r="BL36" s="47">
        <v>0</v>
      </c>
      <c r="BM36" s="47">
        <v>0</v>
      </c>
      <c r="BN36" s="47">
        <v>0</v>
      </c>
      <c r="BO36" s="47">
        <v>0</v>
      </c>
      <c r="BP36" s="47">
        <v>0</v>
      </c>
      <c r="BQ36" s="47">
        <v>0</v>
      </c>
      <c r="BR36" s="47">
        <v>0</v>
      </c>
      <c r="BS36" s="47">
        <v>0</v>
      </c>
      <c r="BT36" s="47">
        <v>0</v>
      </c>
      <c r="BU36" s="47">
        <v>0</v>
      </c>
      <c r="BV36" s="47">
        <v>0</v>
      </c>
      <c r="BW36" s="47">
        <v>0</v>
      </c>
      <c r="BX36" s="47">
        <v>0</v>
      </c>
      <c r="BY36" s="47">
        <v>0</v>
      </c>
      <c r="BZ36" s="47">
        <v>0</v>
      </c>
      <c r="CA36" s="47">
        <v>0</v>
      </c>
      <c r="CB36" s="47">
        <v>0</v>
      </c>
      <c r="CC36" s="47">
        <v>0</v>
      </c>
      <c r="CD36" s="47">
        <v>0</v>
      </c>
      <c r="CE36" s="47">
        <v>0</v>
      </c>
      <c r="CF36" s="47">
        <v>0</v>
      </c>
      <c r="CG36" s="47">
        <v>0</v>
      </c>
      <c r="CH36" s="47">
        <v>0</v>
      </c>
      <c r="CI36" s="47">
        <v>0</v>
      </c>
      <c r="CJ36" s="47">
        <v>0</v>
      </c>
      <c r="CK36" s="47">
        <v>0</v>
      </c>
      <c r="CL36" s="47">
        <v>0</v>
      </c>
      <c r="CM36" s="47">
        <v>0</v>
      </c>
      <c r="CN36" s="47">
        <v>0</v>
      </c>
      <c r="CO36" s="47">
        <v>0</v>
      </c>
      <c r="CP36" s="47">
        <v>0</v>
      </c>
      <c r="CQ36" s="47">
        <v>0</v>
      </c>
      <c r="CR36" s="47">
        <v>0</v>
      </c>
      <c r="CS36" s="47">
        <v>0</v>
      </c>
      <c r="CT36" s="47">
        <v>0</v>
      </c>
      <c r="CU36" s="47">
        <v>0</v>
      </c>
      <c r="CV36" s="47">
        <v>0</v>
      </c>
      <c r="CW36" s="47">
        <v>0</v>
      </c>
      <c r="CX36" s="47">
        <v>0</v>
      </c>
      <c r="CY36" s="47">
        <v>0</v>
      </c>
      <c r="CZ36" s="47">
        <v>0</v>
      </c>
      <c r="DA36" s="47">
        <v>0</v>
      </c>
      <c r="DB36" s="47">
        <v>0</v>
      </c>
      <c r="DC36" s="47">
        <v>0</v>
      </c>
      <c r="DD36" s="47">
        <v>0</v>
      </c>
      <c r="DE36" s="47">
        <v>0</v>
      </c>
      <c r="DF36" s="47">
        <v>0</v>
      </c>
      <c r="DG36" s="47">
        <v>0</v>
      </c>
      <c r="DH36" s="47">
        <v>0</v>
      </c>
      <c r="DI36" s="47">
        <v>0</v>
      </c>
      <c r="DJ36" s="47">
        <v>0</v>
      </c>
      <c r="DK36" s="47">
        <v>0</v>
      </c>
      <c r="DL36" s="47">
        <v>0</v>
      </c>
      <c r="DM36" s="47">
        <v>0</v>
      </c>
      <c r="DN36" s="47">
        <v>0</v>
      </c>
      <c r="DO36" s="47">
        <v>0</v>
      </c>
      <c r="DP36" s="47">
        <v>0</v>
      </c>
      <c r="DQ36" s="47">
        <v>0</v>
      </c>
      <c r="DR36" s="47">
        <v>0</v>
      </c>
    </row>
    <row r="37" spans="1:124" x14ac:dyDescent="0.25">
      <c r="A37" s="47" t="s">
        <v>301</v>
      </c>
      <c r="B37" s="47" t="s">
        <v>151</v>
      </c>
      <c r="C37" s="47" t="s">
        <v>302</v>
      </c>
      <c r="D37" s="47" t="s">
        <v>282</v>
      </c>
      <c r="E37" s="47"/>
      <c r="F37" s="47" t="s">
        <v>161</v>
      </c>
      <c r="G37" s="47" t="s">
        <v>207</v>
      </c>
      <c r="H37" s="47" t="str">
        <f>=IFERROR(VLOOKUP(A37,'ETPT Format DDG'!A:J,10,FALSE),"")</f>
        <v>0</v>
      </c>
      <c r="I37" s="47" t="str">
        <f>='ETPT Format DDG'!M37</f>
        <v/>
      </c>
      <c r="J37" s="47" t="str">
        <f>='ETPT Format DDG'!D37</f>
        <v/>
      </c>
      <c r="K37" s="47" t="s">
        <v>155</v>
      </c>
      <c r="L37" s="47" t="s">
        <v>283</v>
      </c>
      <c r="M37" s="47"/>
      <c r="N37" s="47">
        <v>0.8</v>
      </c>
      <c r="O37" s="47">
        <v>0.8</v>
      </c>
      <c r="P37" s="47">
        <v>0</v>
      </c>
      <c r="Q37" s="47">
        <v>0</v>
      </c>
      <c r="R37" s="47">
        <v>0</v>
      </c>
      <c r="S37" s="47">
        <v>0</v>
      </c>
      <c r="T37" s="47">
        <v>0</v>
      </c>
      <c r="U37" s="47">
        <v>0</v>
      </c>
      <c r="V37" s="47">
        <v>0</v>
      </c>
      <c r="W37" s="47">
        <v>0</v>
      </c>
      <c r="X37" s="47">
        <v>0</v>
      </c>
      <c r="Y37" s="47">
        <v>0</v>
      </c>
      <c r="Z37" s="47">
        <v>0</v>
      </c>
      <c r="AA37" s="47">
        <v>0</v>
      </c>
      <c r="AB37" s="47">
        <v>0</v>
      </c>
      <c r="AC37" s="47">
        <v>0</v>
      </c>
      <c r="AD37" s="47">
        <v>0</v>
      </c>
      <c r="AE37" s="47">
        <v>0.8</v>
      </c>
      <c r="AF37" s="47">
        <v>0</v>
      </c>
      <c r="AG37" s="47">
        <v>0</v>
      </c>
      <c r="AH37" s="47">
        <v>0</v>
      </c>
      <c r="AI37" s="47">
        <v>0</v>
      </c>
      <c r="AJ37" s="47">
        <v>0</v>
      </c>
      <c r="AK37" s="47">
        <v>0</v>
      </c>
      <c r="AL37" s="47">
        <v>0</v>
      </c>
      <c r="AM37" s="47">
        <v>0</v>
      </c>
      <c r="AN37" s="47">
        <v>0</v>
      </c>
      <c r="AO37" s="47">
        <v>0</v>
      </c>
      <c r="AP37" s="47">
        <v>0</v>
      </c>
      <c r="AQ37" s="47">
        <v>0</v>
      </c>
      <c r="AR37" s="47">
        <v>0</v>
      </c>
      <c r="AS37" s="47">
        <v>0</v>
      </c>
      <c r="AT37" s="47">
        <v>0</v>
      </c>
      <c r="AU37" s="47">
        <v>0</v>
      </c>
      <c r="AV37" s="47">
        <v>0</v>
      </c>
      <c r="AW37" s="47">
        <v>0</v>
      </c>
      <c r="AX37" s="47">
        <v>0</v>
      </c>
      <c r="AY37" s="47">
        <v>0</v>
      </c>
      <c r="AZ37" s="47">
        <v>0</v>
      </c>
      <c r="BA37" s="47">
        <v>0</v>
      </c>
      <c r="BB37" s="47">
        <v>0</v>
      </c>
      <c r="BC37" s="47">
        <v>0</v>
      </c>
      <c r="BD37" s="47">
        <v>0</v>
      </c>
      <c r="BE37" s="47">
        <v>0</v>
      </c>
      <c r="BF37" s="47">
        <v>0</v>
      </c>
      <c r="BG37" s="47">
        <v>0</v>
      </c>
      <c r="BH37" s="47">
        <v>0</v>
      </c>
      <c r="BI37" s="47">
        <v>0</v>
      </c>
      <c r="BJ37" s="47">
        <v>0</v>
      </c>
      <c r="BK37" s="47">
        <v>0</v>
      </c>
      <c r="BL37" s="47">
        <v>0</v>
      </c>
      <c r="BM37" s="47">
        <v>0</v>
      </c>
      <c r="BN37" s="47">
        <v>0</v>
      </c>
      <c r="BO37" s="47">
        <v>0</v>
      </c>
      <c r="BP37" s="47">
        <v>0</v>
      </c>
      <c r="BQ37" s="47">
        <v>0</v>
      </c>
      <c r="BR37" s="47">
        <v>0</v>
      </c>
      <c r="BS37" s="47">
        <v>0</v>
      </c>
      <c r="BT37" s="47">
        <v>0</v>
      </c>
      <c r="BU37" s="47">
        <v>0</v>
      </c>
      <c r="BV37" s="47">
        <v>0</v>
      </c>
      <c r="BW37" s="47">
        <v>0</v>
      </c>
      <c r="BX37" s="47">
        <v>0</v>
      </c>
      <c r="BY37" s="47">
        <v>0</v>
      </c>
      <c r="BZ37" s="47">
        <v>0</v>
      </c>
      <c r="CA37" s="47">
        <v>0</v>
      </c>
      <c r="CB37" s="47">
        <v>0</v>
      </c>
      <c r="CC37" s="47">
        <v>0</v>
      </c>
      <c r="CD37" s="47">
        <v>0</v>
      </c>
      <c r="CE37" s="47">
        <v>0</v>
      </c>
      <c r="CF37" s="47">
        <v>0</v>
      </c>
      <c r="CG37" s="47">
        <v>0</v>
      </c>
      <c r="CH37" s="47">
        <v>0</v>
      </c>
      <c r="CI37" s="47">
        <v>0</v>
      </c>
      <c r="CJ37" s="47">
        <v>0</v>
      </c>
      <c r="CK37" s="47">
        <v>0</v>
      </c>
      <c r="CL37" s="47">
        <v>0</v>
      </c>
      <c r="CM37" s="47">
        <v>0</v>
      </c>
      <c r="CN37" s="47">
        <v>0</v>
      </c>
      <c r="CO37" s="47">
        <v>0</v>
      </c>
      <c r="CP37" s="47">
        <v>0</v>
      </c>
      <c r="CQ37" s="47">
        <v>0</v>
      </c>
      <c r="CR37" s="47">
        <v>0</v>
      </c>
      <c r="CS37" s="47">
        <v>0</v>
      </c>
      <c r="CT37" s="47">
        <v>0</v>
      </c>
      <c r="CU37" s="47">
        <v>0</v>
      </c>
      <c r="CV37" s="47">
        <v>0</v>
      </c>
      <c r="CW37" s="47">
        <v>0</v>
      </c>
      <c r="CX37" s="47">
        <v>0</v>
      </c>
      <c r="CY37" s="47">
        <v>0</v>
      </c>
      <c r="CZ37" s="47">
        <v>0</v>
      </c>
      <c r="DA37" s="47">
        <v>0</v>
      </c>
      <c r="DB37" s="47">
        <v>0</v>
      </c>
      <c r="DC37" s="47">
        <v>0</v>
      </c>
      <c r="DD37" s="47">
        <v>0</v>
      </c>
      <c r="DE37" s="47">
        <v>0</v>
      </c>
      <c r="DF37" s="47">
        <v>0</v>
      </c>
      <c r="DG37" s="47">
        <v>0</v>
      </c>
      <c r="DH37" s="47">
        <v>0</v>
      </c>
      <c r="DI37" s="47">
        <v>0</v>
      </c>
      <c r="DJ37" s="47">
        <v>0</v>
      </c>
      <c r="DK37" s="47">
        <v>0</v>
      </c>
      <c r="DL37" s="47">
        <v>0</v>
      </c>
      <c r="DM37" s="47">
        <v>0</v>
      </c>
      <c r="DN37" s="47">
        <v>0</v>
      </c>
      <c r="DO37" s="47">
        <v>0</v>
      </c>
      <c r="DP37" s="47">
        <v>0</v>
      </c>
      <c r="DQ37" s="47">
        <v>0</v>
      </c>
      <c r="DR37" s="47">
        <v>0</v>
      </c>
    </row>
    <row r="38" spans="1:124" x14ac:dyDescent="0.25">
      <c r="A38" s="47" t="s">
        <v>303</v>
      </c>
      <c r="B38" s="47" t="s">
        <v>151</v>
      </c>
      <c r="C38" s="47" t="s">
        <v>304</v>
      </c>
      <c r="D38" s="47" t="s">
        <v>305</v>
      </c>
      <c r="E38" s="47" t="s">
        <v>306</v>
      </c>
      <c r="F38" s="47" t="s">
        <v>161</v>
      </c>
      <c r="G38" s="47" t="s">
        <v>218</v>
      </c>
      <c r="H38" s="47" t="str">
        <f>=IFERROR(VLOOKUP(A38,'ETPT Format DDG'!A:J,10,FALSE),"")</f>
        <v>0</v>
      </c>
      <c r="I38" s="47" t="str">
        <f>='ETPT Format DDG'!M38</f>
        <v/>
      </c>
      <c r="J38" s="47" t="str">
        <f>='ETPT Format DDG'!D38</f>
        <v/>
      </c>
      <c r="K38" s="47" t="s">
        <v>155</v>
      </c>
      <c r="L38" s="47" t="s">
        <v>208</v>
      </c>
      <c r="M38" s="47"/>
      <c r="N38" s="47">
        <v>1</v>
      </c>
      <c r="O38" s="47">
        <v>0</v>
      </c>
      <c r="P38" s="47">
        <v>0</v>
      </c>
      <c r="Q38" s="47">
        <v>0</v>
      </c>
      <c r="R38" s="47">
        <v>0</v>
      </c>
      <c r="S38" s="47">
        <v>0</v>
      </c>
      <c r="T38" s="47">
        <v>0</v>
      </c>
      <c r="U38" s="47">
        <v>0</v>
      </c>
      <c r="V38" s="47">
        <v>0</v>
      </c>
      <c r="W38" s="47">
        <v>0</v>
      </c>
      <c r="X38" s="47">
        <v>0</v>
      </c>
      <c r="Y38" s="47">
        <v>0</v>
      </c>
      <c r="Z38" s="47">
        <v>0</v>
      </c>
      <c r="AA38" s="47">
        <v>0</v>
      </c>
      <c r="AB38" s="47">
        <v>0</v>
      </c>
      <c r="AC38" s="47">
        <v>0</v>
      </c>
      <c r="AD38" s="47">
        <v>0</v>
      </c>
      <c r="AE38" s="47">
        <v>0</v>
      </c>
      <c r="AF38" s="47">
        <v>0</v>
      </c>
      <c r="AG38" s="47">
        <v>0</v>
      </c>
      <c r="AH38" s="47">
        <v>0</v>
      </c>
      <c r="AI38" s="47">
        <v>0</v>
      </c>
      <c r="AJ38" s="47">
        <v>0</v>
      </c>
      <c r="AK38" s="47">
        <v>0</v>
      </c>
      <c r="AL38" s="47">
        <v>0</v>
      </c>
      <c r="AM38" s="47">
        <v>0</v>
      </c>
      <c r="AN38" s="47">
        <v>0</v>
      </c>
      <c r="AO38" s="47">
        <v>0</v>
      </c>
      <c r="AP38" s="47">
        <v>0</v>
      </c>
      <c r="AQ38" s="47">
        <v>0</v>
      </c>
      <c r="AR38" s="47">
        <v>0</v>
      </c>
      <c r="AS38" s="47">
        <v>0</v>
      </c>
      <c r="AT38" s="47">
        <v>0</v>
      </c>
      <c r="AU38" s="47">
        <v>0</v>
      </c>
      <c r="AV38" s="47">
        <v>0</v>
      </c>
      <c r="AW38" s="47">
        <v>0</v>
      </c>
      <c r="AX38" s="47">
        <v>0</v>
      </c>
      <c r="AY38" s="47">
        <v>0</v>
      </c>
      <c r="AZ38" s="47">
        <v>0</v>
      </c>
      <c r="BA38" s="47">
        <v>0</v>
      </c>
      <c r="BB38" s="47">
        <v>0</v>
      </c>
      <c r="BC38" s="47">
        <v>0</v>
      </c>
      <c r="BD38" s="47">
        <v>0</v>
      </c>
      <c r="BE38" s="47">
        <v>0</v>
      </c>
      <c r="BF38" s="47">
        <v>0</v>
      </c>
      <c r="BG38" s="47">
        <v>0</v>
      </c>
      <c r="BH38" s="47">
        <v>0</v>
      </c>
      <c r="BI38" s="47">
        <v>0</v>
      </c>
      <c r="BJ38" s="47">
        <v>0</v>
      </c>
      <c r="BK38" s="47">
        <v>0</v>
      </c>
      <c r="BL38" s="47">
        <v>0</v>
      </c>
      <c r="BM38" s="47">
        <v>0</v>
      </c>
      <c r="BN38" s="47">
        <v>0</v>
      </c>
      <c r="BO38" s="47">
        <v>0</v>
      </c>
      <c r="BP38" s="47">
        <v>0</v>
      </c>
      <c r="BQ38" s="47">
        <v>0</v>
      </c>
      <c r="BR38" s="47">
        <v>0</v>
      </c>
      <c r="BS38" s="47">
        <v>0</v>
      </c>
      <c r="BT38" s="47">
        <v>0</v>
      </c>
      <c r="BU38" s="47">
        <v>0</v>
      </c>
      <c r="BV38" s="47">
        <v>0</v>
      </c>
      <c r="BW38" s="47">
        <v>0</v>
      </c>
      <c r="BX38" s="47">
        <v>0</v>
      </c>
      <c r="BY38" s="47">
        <v>0</v>
      </c>
      <c r="BZ38" s="47">
        <v>0</v>
      </c>
      <c r="CA38" s="47">
        <v>0</v>
      </c>
      <c r="CB38" s="47">
        <v>0</v>
      </c>
      <c r="CC38" s="47">
        <v>0</v>
      </c>
      <c r="CD38" s="47">
        <v>0</v>
      </c>
      <c r="CE38" s="47">
        <v>0</v>
      </c>
      <c r="CF38" s="47">
        <v>0</v>
      </c>
      <c r="CG38" s="47">
        <v>0</v>
      </c>
      <c r="CH38" s="47">
        <v>0</v>
      </c>
      <c r="CI38" s="47">
        <v>0</v>
      </c>
      <c r="CJ38" s="47">
        <v>0</v>
      </c>
      <c r="CK38" s="47">
        <v>0</v>
      </c>
      <c r="CL38" s="47">
        <v>0</v>
      </c>
      <c r="CM38" s="47">
        <v>0</v>
      </c>
      <c r="CN38" s="47">
        <v>0</v>
      </c>
      <c r="CO38" s="47">
        <v>0</v>
      </c>
      <c r="CP38" s="47">
        <v>0</v>
      </c>
      <c r="CQ38" s="47">
        <v>0</v>
      </c>
      <c r="CR38" s="47">
        <v>0</v>
      </c>
      <c r="CS38" s="47">
        <v>0</v>
      </c>
      <c r="CT38" s="47">
        <v>0</v>
      </c>
      <c r="CU38" s="47">
        <v>0</v>
      </c>
      <c r="CV38" s="47">
        <v>0</v>
      </c>
      <c r="CW38" s="47">
        <v>0</v>
      </c>
      <c r="CX38" s="47">
        <v>0</v>
      </c>
      <c r="CY38" s="47">
        <v>0</v>
      </c>
      <c r="CZ38" s="47">
        <v>0</v>
      </c>
      <c r="DA38" s="47">
        <v>0</v>
      </c>
      <c r="DB38" s="47">
        <v>0</v>
      </c>
      <c r="DC38" s="47">
        <v>0</v>
      </c>
      <c r="DD38" s="47">
        <v>0</v>
      </c>
      <c r="DE38" s="47">
        <v>0</v>
      </c>
      <c r="DF38" s="47">
        <v>0</v>
      </c>
      <c r="DG38" s="47">
        <v>0</v>
      </c>
      <c r="DH38" s="47">
        <v>0</v>
      </c>
      <c r="DI38" s="47">
        <v>0</v>
      </c>
      <c r="DJ38" s="47">
        <v>0</v>
      </c>
      <c r="DK38" s="47">
        <v>0</v>
      </c>
      <c r="DL38" s="47">
        <v>0</v>
      </c>
      <c r="DM38" s="47">
        <v>0</v>
      </c>
      <c r="DN38" s="47">
        <v>0</v>
      </c>
      <c r="DO38" s="47">
        <v>0</v>
      </c>
      <c r="DP38" s="47">
        <v>0</v>
      </c>
      <c r="DQ38" s="47">
        <v>0</v>
      </c>
      <c r="DR38" s="47">
        <v>0</v>
      </c>
    </row>
    <row r="39" spans="1:124" x14ac:dyDescent="0.25">
      <c r="A39" s="47" t="s">
        <v>307</v>
      </c>
      <c r="B39" s="47" t="s">
        <v>151</v>
      </c>
      <c r="C39" s="47" t="s">
        <v>308</v>
      </c>
      <c r="D39" s="47" t="s">
        <v>309</v>
      </c>
      <c r="E39" s="47" t="s">
        <v>310</v>
      </c>
      <c r="F39" s="47" t="s">
        <v>161</v>
      </c>
      <c r="G39" s="47" t="s">
        <v>168</v>
      </c>
      <c r="H39" s="47" t="str">
        <f>=IFERROR(VLOOKUP(A39,'ETPT Format DDG'!A:J,10,FALSE),"")</f>
        <v>0</v>
      </c>
      <c r="I39" s="47" t="str">
        <f>='ETPT Format DDG'!M39</f>
        <v/>
      </c>
      <c r="J39" s="47" t="str">
        <f>='ETPT Format DDG'!D39</f>
        <v/>
      </c>
      <c r="K39" s="47" t="s">
        <v>155</v>
      </c>
      <c r="L39" s="47" t="s">
        <v>169</v>
      </c>
      <c r="M39" s="47"/>
      <c r="N39" s="47">
        <v>0.3024</v>
      </c>
      <c r="O39" s="47">
        <v>0.3024</v>
      </c>
      <c r="P39" s="47">
        <v>0</v>
      </c>
      <c r="Q39" s="47">
        <v>0</v>
      </c>
      <c r="R39" s="47">
        <v>0</v>
      </c>
      <c r="S39" s="47">
        <v>0</v>
      </c>
      <c r="T39" s="47">
        <v>0</v>
      </c>
      <c r="U39" s="47">
        <v>0</v>
      </c>
      <c r="V39" s="47">
        <v>0</v>
      </c>
      <c r="W39" s="47">
        <v>0</v>
      </c>
      <c r="X39" s="47">
        <v>0</v>
      </c>
      <c r="Y39" s="47">
        <v>0</v>
      </c>
      <c r="Z39" s="47">
        <v>0</v>
      </c>
      <c r="AA39" s="47">
        <v>0</v>
      </c>
      <c r="AB39" s="47">
        <v>0</v>
      </c>
      <c r="AC39" s="47">
        <v>0</v>
      </c>
      <c r="AD39" s="47">
        <v>0</v>
      </c>
      <c r="AE39" s="47">
        <v>0</v>
      </c>
      <c r="AF39" s="47">
        <v>0</v>
      </c>
      <c r="AG39" s="47">
        <v>0</v>
      </c>
      <c r="AH39" s="47">
        <v>0</v>
      </c>
      <c r="AI39" s="47">
        <v>0</v>
      </c>
      <c r="AJ39" s="47">
        <v>0</v>
      </c>
      <c r="AK39" s="47">
        <v>0</v>
      </c>
      <c r="AL39" s="47">
        <v>0</v>
      </c>
      <c r="AM39" s="47">
        <v>0</v>
      </c>
      <c r="AN39" s="47">
        <v>0.0605</v>
      </c>
      <c r="AO39" s="47">
        <v>0.0302</v>
      </c>
      <c r="AP39" s="47">
        <v>0</v>
      </c>
      <c r="AQ39" s="47">
        <v>0</v>
      </c>
      <c r="AR39" s="47">
        <v>0</v>
      </c>
      <c r="AS39" s="47">
        <v>0.0302</v>
      </c>
      <c r="AT39" s="47">
        <v>0</v>
      </c>
      <c r="AU39" s="47">
        <v>0</v>
      </c>
      <c r="AV39" s="47">
        <v>0</v>
      </c>
      <c r="AW39" s="47">
        <v>0</v>
      </c>
      <c r="AX39" s="47">
        <v>0</v>
      </c>
      <c r="AY39" s="47">
        <v>0</v>
      </c>
      <c r="AZ39" s="47">
        <v>0</v>
      </c>
      <c r="BA39" s="47">
        <v>0</v>
      </c>
      <c r="BB39" s="47">
        <v>0</v>
      </c>
      <c r="BC39" s="47">
        <v>0</v>
      </c>
      <c r="BD39" s="47">
        <v>0</v>
      </c>
      <c r="BE39" s="47">
        <v>0</v>
      </c>
      <c r="BF39" s="47">
        <v>0</v>
      </c>
      <c r="BG39" s="47">
        <v>0</v>
      </c>
      <c r="BH39" s="47">
        <v>0</v>
      </c>
      <c r="BI39" s="47">
        <v>0</v>
      </c>
      <c r="BJ39" s="47">
        <v>0</v>
      </c>
      <c r="BK39" s="47">
        <v>0</v>
      </c>
      <c r="BL39" s="47">
        <v>0.1815</v>
      </c>
      <c r="BM39" s="47">
        <v>0.0907</v>
      </c>
      <c r="BN39" s="47">
        <v>0.0907</v>
      </c>
      <c r="BO39" s="47">
        <v>0.0302</v>
      </c>
      <c r="BP39" s="47">
        <v>0.0151</v>
      </c>
      <c r="BQ39" s="47">
        <v>0.0151</v>
      </c>
      <c r="BR39" s="47">
        <v>0</v>
      </c>
      <c r="BS39" s="47">
        <v>0</v>
      </c>
      <c r="BT39" s="47">
        <v>0</v>
      </c>
      <c r="BU39" s="47">
        <v>0</v>
      </c>
      <c r="BV39" s="47">
        <v>0</v>
      </c>
      <c r="BW39" s="47">
        <v>0</v>
      </c>
      <c r="BX39" s="47">
        <v>0</v>
      </c>
      <c r="BY39" s="47">
        <v>0</v>
      </c>
      <c r="BZ39" s="47">
        <v>0</v>
      </c>
      <c r="CA39" s="47">
        <v>0</v>
      </c>
      <c r="CB39" s="47">
        <v>0</v>
      </c>
      <c r="CC39" s="47">
        <v>0</v>
      </c>
      <c r="CD39" s="47">
        <v>0</v>
      </c>
      <c r="CE39" s="47">
        <v>0</v>
      </c>
      <c r="CF39" s="47">
        <v>0</v>
      </c>
      <c r="CG39" s="47">
        <v>0</v>
      </c>
      <c r="CH39" s="47">
        <v>0</v>
      </c>
      <c r="CI39" s="47">
        <v>0</v>
      </c>
      <c r="CJ39" s="47">
        <v>0</v>
      </c>
      <c r="CK39" s="47">
        <v>0</v>
      </c>
      <c r="CL39" s="47">
        <v>0</v>
      </c>
      <c r="CM39" s="47">
        <v>0</v>
      </c>
      <c r="CN39" s="47">
        <v>0</v>
      </c>
      <c r="CO39" s="47">
        <v>0</v>
      </c>
      <c r="CP39" s="47">
        <v>0</v>
      </c>
      <c r="CQ39" s="47">
        <v>0</v>
      </c>
      <c r="CR39" s="47">
        <v>0</v>
      </c>
      <c r="CS39" s="47">
        <v>0</v>
      </c>
      <c r="CT39" s="47">
        <v>0.0302</v>
      </c>
      <c r="CU39" s="47">
        <v>0.0302</v>
      </c>
      <c r="CV39" s="47">
        <v>0</v>
      </c>
      <c r="CW39" s="47">
        <v>0</v>
      </c>
      <c r="CX39" s="47">
        <v>0</v>
      </c>
      <c r="CY39" s="47">
        <v>0</v>
      </c>
      <c r="CZ39" s="47">
        <v>0</v>
      </c>
      <c r="DA39" s="47">
        <v>0</v>
      </c>
      <c r="DB39" s="47">
        <v>0</v>
      </c>
      <c r="DC39" s="47">
        <v>0</v>
      </c>
      <c r="DD39" s="47">
        <v>0</v>
      </c>
      <c r="DE39" s="47">
        <v>0</v>
      </c>
      <c r="DF39" s="47">
        <v>0</v>
      </c>
      <c r="DG39" s="47">
        <v>0</v>
      </c>
      <c r="DH39" s="47">
        <v>0</v>
      </c>
      <c r="DI39" s="47">
        <v>0</v>
      </c>
      <c r="DJ39" s="47">
        <v>0</v>
      </c>
      <c r="DK39" s="47">
        <v>0</v>
      </c>
      <c r="DL39" s="47">
        <v>0</v>
      </c>
      <c r="DM39" s="47">
        <v>0</v>
      </c>
      <c r="DN39" s="47">
        <v>0</v>
      </c>
      <c r="DO39" s="47">
        <v>0</v>
      </c>
      <c r="DP39" s="47">
        <v>0</v>
      </c>
      <c r="DQ39" s="47">
        <v>0</v>
      </c>
      <c r="DR39" s="47">
        <v>0</v>
      </c>
    </row>
    <row r="40" spans="1:124" x14ac:dyDescent="0.25">
      <c r="A40" s="47" t="s">
        <v>311</v>
      </c>
      <c r="B40" s="47" t="s">
        <v>151</v>
      </c>
      <c r="C40" s="47" t="s">
        <v>312</v>
      </c>
      <c r="D40" s="47" t="s">
        <v>313</v>
      </c>
      <c r="E40" s="47" t="s">
        <v>314</v>
      </c>
      <c r="F40" s="47" t="s">
        <v>161</v>
      </c>
      <c r="G40" s="47" t="s">
        <v>197</v>
      </c>
      <c r="H40" s="47" t="str">
        <f>=IFERROR(VLOOKUP(A40,'ETPT Format DDG'!A:J,10,FALSE),"")</f>
        <v>0</v>
      </c>
      <c r="I40" s="47" t="str">
        <f>='ETPT Format DDG'!M40</f>
        <v/>
      </c>
      <c r="J40" s="47" t="str">
        <f>='ETPT Format DDG'!D40</f>
        <v/>
      </c>
      <c r="K40" s="47" t="s">
        <v>155</v>
      </c>
      <c r="L40" s="47" t="s">
        <v>315</v>
      </c>
      <c r="M40" s="47"/>
      <c r="N40" s="47">
        <v>1</v>
      </c>
      <c r="O40" s="47">
        <v>1</v>
      </c>
      <c r="P40" s="47">
        <v>0</v>
      </c>
      <c r="Q40" s="47">
        <v>0</v>
      </c>
      <c r="R40" s="47">
        <v>0</v>
      </c>
      <c r="S40" s="47">
        <v>0</v>
      </c>
      <c r="T40" s="47">
        <v>0</v>
      </c>
      <c r="U40" s="47">
        <v>0</v>
      </c>
      <c r="V40" s="47">
        <v>0</v>
      </c>
      <c r="W40" s="47">
        <v>0</v>
      </c>
      <c r="X40" s="47">
        <v>0</v>
      </c>
      <c r="Y40" s="47">
        <v>0</v>
      </c>
      <c r="Z40" s="47">
        <v>0</v>
      </c>
      <c r="AA40" s="47">
        <v>0</v>
      </c>
      <c r="AB40" s="47">
        <v>0</v>
      </c>
      <c r="AC40" s="47">
        <v>0</v>
      </c>
      <c r="AD40" s="47">
        <v>0</v>
      </c>
      <c r="AE40" s="47">
        <v>0</v>
      </c>
      <c r="AF40" s="47">
        <v>0</v>
      </c>
      <c r="AG40" s="47">
        <v>0</v>
      </c>
      <c r="AH40" s="47">
        <v>0</v>
      </c>
      <c r="AI40" s="47">
        <v>0</v>
      </c>
      <c r="AJ40" s="47">
        <v>0</v>
      </c>
      <c r="AK40" s="47">
        <v>0</v>
      </c>
      <c r="AL40" s="47">
        <v>0</v>
      </c>
      <c r="AM40" s="47">
        <v>0</v>
      </c>
      <c r="AN40" s="47">
        <v>0</v>
      </c>
      <c r="AO40" s="47">
        <v>0</v>
      </c>
      <c r="AP40" s="47">
        <v>0</v>
      </c>
      <c r="AQ40" s="47">
        <v>0</v>
      </c>
      <c r="AR40" s="47">
        <v>0</v>
      </c>
      <c r="AS40" s="47">
        <v>0</v>
      </c>
      <c r="AT40" s="47">
        <v>0</v>
      </c>
      <c r="AU40" s="47">
        <v>0</v>
      </c>
      <c r="AV40" s="47">
        <v>0</v>
      </c>
      <c r="AW40" s="47">
        <v>0</v>
      </c>
      <c r="AX40" s="47">
        <v>0</v>
      </c>
      <c r="AY40" s="47">
        <v>0</v>
      </c>
      <c r="AZ40" s="47">
        <v>0</v>
      </c>
      <c r="BA40" s="47">
        <v>0</v>
      </c>
      <c r="BB40" s="47">
        <v>0</v>
      </c>
      <c r="BC40" s="47">
        <v>0</v>
      </c>
      <c r="BD40" s="47">
        <v>0</v>
      </c>
      <c r="BE40" s="47">
        <v>0</v>
      </c>
      <c r="BF40" s="47">
        <v>0</v>
      </c>
      <c r="BG40" s="47">
        <v>0</v>
      </c>
      <c r="BH40" s="47">
        <v>0</v>
      </c>
      <c r="BI40" s="47">
        <v>0</v>
      </c>
      <c r="BJ40" s="47">
        <v>0</v>
      </c>
      <c r="BK40" s="47">
        <v>0</v>
      </c>
      <c r="BL40" s="47">
        <v>0</v>
      </c>
      <c r="BM40" s="47">
        <v>0</v>
      </c>
      <c r="BN40" s="47">
        <v>0</v>
      </c>
      <c r="BO40" s="47">
        <v>0.98</v>
      </c>
      <c r="BP40" s="47">
        <v>0</v>
      </c>
      <c r="BQ40" s="47">
        <v>0</v>
      </c>
      <c r="BR40" s="47">
        <v>0</v>
      </c>
      <c r="BS40" s="47">
        <v>0</v>
      </c>
      <c r="BT40" s="47">
        <v>0</v>
      </c>
      <c r="BU40" s="47">
        <v>0</v>
      </c>
      <c r="BV40" s="47">
        <v>0</v>
      </c>
      <c r="BW40" s="47">
        <v>0.02</v>
      </c>
      <c r="BX40" s="47">
        <v>0</v>
      </c>
      <c r="BY40" s="47">
        <v>0</v>
      </c>
      <c r="BZ40" s="47">
        <v>0</v>
      </c>
      <c r="CA40" s="47">
        <v>0</v>
      </c>
      <c r="CB40" s="47">
        <v>0.91</v>
      </c>
      <c r="CC40" s="47">
        <v>0</v>
      </c>
      <c r="CD40" s="47">
        <v>0</v>
      </c>
      <c r="CE40" s="47">
        <v>0.05</v>
      </c>
      <c r="CF40" s="47">
        <v>0</v>
      </c>
      <c r="CG40" s="47">
        <v>0</v>
      </c>
      <c r="CH40" s="47">
        <v>0</v>
      </c>
      <c r="CI40" s="47">
        <v>0</v>
      </c>
      <c r="CJ40" s="47">
        <v>0</v>
      </c>
      <c r="CK40" s="47">
        <v>0</v>
      </c>
      <c r="CL40" s="47">
        <v>0</v>
      </c>
      <c r="CM40" s="47">
        <v>0</v>
      </c>
      <c r="CN40" s="47">
        <v>0</v>
      </c>
      <c r="CO40" s="47">
        <v>0</v>
      </c>
      <c r="CP40" s="47">
        <v>0</v>
      </c>
      <c r="CQ40" s="47">
        <v>0</v>
      </c>
      <c r="CR40" s="47">
        <v>0</v>
      </c>
      <c r="CS40" s="47">
        <v>0</v>
      </c>
      <c r="CT40" s="47">
        <v>0.02</v>
      </c>
      <c r="CU40" s="47">
        <v>0</v>
      </c>
      <c r="CV40" s="47">
        <v>0.02</v>
      </c>
      <c r="CW40" s="47">
        <v>0</v>
      </c>
      <c r="CX40" s="47">
        <v>0</v>
      </c>
      <c r="CY40" s="47">
        <v>0</v>
      </c>
      <c r="CZ40" s="47">
        <v>0</v>
      </c>
      <c r="DA40" s="47">
        <v>0</v>
      </c>
      <c r="DB40" s="47">
        <v>0</v>
      </c>
      <c r="DC40" s="47">
        <v>0</v>
      </c>
      <c r="DD40" s="47">
        <v>0</v>
      </c>
      <c r="DE40" s="47">
        <v>0</v>
      </c>
      <c r="DF40" s="47">
        <v>0</v>
      </c>
      <c r="DG40" s="47">
        <v>0</v>
      </c>
      <c r="DH40" s="47">
        <v>0</v>
      </c>
      <c r="DI40" s="47">
        <v>0</v>
      </c>
      <c r="DJ40" s="47">
        <v>0</v>
      </c>
      <c r="DK40" s="47">
        <v>0</v>
      </c>
      <c r="DL40" s="47">
        <v>0</v>
      </c>
      <c r="DM40" s="47">
        <v>0</v>
      </c>
      <c r="DN40" s="47">
        <v>0</v>
      </c>
      <c r="DO40" s="47">
        <v>0</v>
      </c>
      <c r="DP40" s="47">
        <v>0</v>
      </c>
      <c r="DQ40" s="47">
        <v>0</v>
      </c>
      <c r="DR40" s="47">
        <v>0</v>
      </c>
    </row>
    <row r="41" spans="1:124" x14ac:dyDescent="0.25">
      <c r="A41" s="47" t="s">
        <v>316</v>
      </c>
      <c r="B41" s="47" t="s">
        <v>151</v>
      </c>
      <c r="C41" s="47" t="s">
        <v>317</v>
      </c>
      <c r="D41" s="47" t="s">
        <v>318</v>
      </c>
      <c r="E41" s="47" t="s">
        <v>319</v>
      </c>
      <c r="F41" s="47" t="s">
        <v>161</v>
      </c>
      <c r="G41" s="47" t="s">
        <v>207</v>
      </c>
      <c r="H41" s="47" t="str">
        <f>=IFERROR(VLOOKUP(A41,'ETPT Format DDG'!A:J,10,FALSE),"")</f>
        <v>0</v>
      </c>
      <c r="I41" s="47" t="str">
        <f>='ETPT Format DDG'!M41</f>
        <v/>
      </c>
      <c r="J41" s="47" t="str">
        <f>='ETPT Format DDG'!D41</f>
        <v/>
      </c>
      <c r="K41" s="47" t="s">
        <v>155</v>
      </c>
      <c r="L41" s="47" t="s">
        <v>320</v>
      </c>
      <c r="M41" s="47"/>
      <c r="N41" s="47">
        <v>1</v>
      </c>
      <c r="O41" s="47">
        <v>0</v>
      </c>
      <c r="P41" s="47">
        <v>0</v>
      </c>
      <c r="Q41" s="47">
        <v>0</v>
      </c>
      <c r="R41" s="47">
        <v>0</v>
      </c>
      <c r="S41" s="47">
        <v>0</v>
      </c>
      <c r="T41" s="47">
        <v>0</v>
      </c>
      <c r="U41" s="47">
        <v>0</v>
      </c>
      <c r="V41" s="47">
        <v>0</v>
      </c>
      <c r="W41" s="47">
        <v>0</v>
      </c>
      <c r="X41" s="47">
        <v>0</v>
      </c>
      <c r="Y41" s="47">
        <v>0</v>
      </c>
      <c r="Z41" s="47">
        <v>0</v>
      </c>
      <c r="AA41" s="47">
        <v>0</v>
      </c>
      <c r="AB41" s="47">
        <v>0</v>
      </c>
      <c r="AC41" s="47">
        <v>0</v>
      </c>
      <c r="AD41" s="47">
        <v>0</v>
      </c>
      <c r="AE41" s="47">
        <v>0</v>
      </c>
      <c r="AF41" s="47">
        <v>0</v>
      </c>
      <c r="AG41" s="47">
        <v>0</v>
      </c>
      <c r="AH41" s="47">
        <v>0</v>
      </c>
      <c r="AI41" s="47">
        <v>0</v>
      </c>
      <c r="AJ41" s="47">
        <v>0</v>
      </c>
      <c r="AK41" s="47">
        <v>0</v>
      </c>
      <c r="AL41" s="47">
        <v>0</v>
      </c>
      <c r="AM41" s="47">
        <v>0</v>
      </c>
      <c r="AN41" s="47">
        <v>0</v>
      </c>
      <c r="AO41" s="47">
        <v>0</v>
      </c>
      <c r="AP41" s="47">
        <v>0</v>
      </c>
      <c r="AQ41" s="47">
        <v>0</v>
      </c>
      <c r="AR41" s="47">
        <v>0</v>
      </c>
      <c r="AS41" s="47">
        <v>0</v>
      </c>
      <c r="AT41" s="47">
        <v>0</v>
      </c>
      <c r="AU41" s="47">
        <v>0</v>
      </c>
      <c r="AV41" s="47">
        <v>0</v>
      </c>
      <c r="AW41" s="47">
        <v>0</v>
      </c>
      <c r="AX41" s="47">
        <v>0</v>
      </c>
      <c r="AY41" s="47">
        <v>0</v>
      </c>
      <c r="AZ41" s="47">
        <v>0</v>
      </c>
      <c r="BA41" s="47">
        <v>0</v>
      </c>
      <c r="BB41" s="47">
        <v>0</v>
      </c>
      <c r="BC41" s="47">
        <v>0</v>
      </c>
      <c r="BD41" s="47">
        <v>0</v>
      </c>
      <c r="BE41" s="47">
        <v>0</v>
      </c>
      <c r="BF41" s="47">
        <v>0</v>
      </c>
      <c r="BG41" s="47">
        <v>0</v>
      </c>
      <c r="BH41" s="47">
        <v>0</v>
      </c>
      <c r="BI41" s="47">
        <v>0</v>
      </c>
      <c r="BJ41" s="47">
        <v>0</v>
      </c>
      <c r="BK41" s="47">
        <v>0</v>
      </c>
      <c r="BL41" s="47">
        <v>0</v>
      </c>
      <c r="BM41" s="47">
        <v>0</v>
      </c>
      <c r="BN41" s="47">
        <v>0</v>
      </c>
      <c r="BO41" s="47">
        <v>0</v>
      </c>
      <c r="BP41" s="47">
        <v>0</v>
      </c>
      <c r="BQ41" s="47">
        <v>0</v>
      </c>
      <c r="BR41" s="47">
        <v>0</v>
      </c>
      <c r="BS41" s="47">
        <v>0</v>
      </c>
      <c r="BT41" s="47">
        <v>0</v>
      </c>
      <c r="BU41" s="47">
        <v>0</v>
      </c>
      <c r="BV41" s="47">
        <v>0</v>
      </c>
      <c r="BW41" s="47">
        <v>0</v>
      </c>
      <c r="BX41" s="47">
        <v>0</v>
      </c>
      <c r="BY41" s="47">
        <v>0</v>
      </c>
      <c r="BZ41" s="47">
        <v>0</v>
      </c>
      <c r="CA41" s="47">
        <v>0</v>
      </c>
      <c r="CB41" s="47">
        <v>0</v>
      </c>
      <c r="CC41" s="47">
        <v>0</v>
      </c>
      <c r="CD41" s="47">
        <v>0</v>
      </c>
      <c r="CE41" s="47">
        <v>0</v>
      </c>
      <c r="CF41" s="47">
        <v>0</v>
      </c>
      <c r="CG41" s="47">
        <v>0</v>
      </c>
      <c r="CH41" s="47">
        <v>0</v>
      </c>
      <c r="CI41" s="47">
        <v>0</v>
      </c>
      <c r="CJ41" s="47">
        <v>0</v>
      </c>
      <c r="CK41" s="47">
        <v>0</v>
      </c>
      <c r="CL41" s="47">
        <v>0</v>
      </c>
      <c r="CM41" s="47">
        <v>0</v>
      </c>
      <c r="CN41" s="47">
        <v>0</v>
      </c>
      <c r="CO41" s="47">
        <v>0</v>
      </c>
      <c r="CP41" s="47">
        <v>0</v>
      </c>
      <c r="CQ41" s="47">
        <v>0</v>
      </c>
      <c r="CR41" s="47">
        <v>0</v>
      </c>
      <c r="CS41" s="47">
        <v>0</v>
      </c>
      <c r="CT41" s="47">
        <v>0</v>
      </c>
      <c r="CU41" s="47">
        <v>0</v>
      </c>
      <c r="CV41" s="47">
        <v>0</v>
      </c>
      <c r="CW41" s="47">
        <v>0</v>
      </c>
      <c r="CX41" s="47">
        <v>0</v>
      </c>
      <c r="CY41" s="47">
        <v>0</v>
      </c>
      <c r="CZ41" s="47">
        <v>0</v>
      </c>
      <c r="DA41" s="47">
        <v>0</v>
      </c>
      <c r="DB41" s="47">
        <v>0</v>
      </c>
      <c r="DC41" s="47">
        <v>0</v>
      </c>
      <c r="DD41" s="47">
        <v>0</v>
      </c>
      <c r="DE41" s="47">
        <v>0</v>
      </c>
      <c r="DF41" s="47">
        <v>0</v>
      </c>
      <c r="DG41" s="47">
        <v>0</v>
      </c>
      <c r="DH41" s="47">
        <v>0</v>
      </c>
      <c r="DI41" s="47">
        <v>0</v>
      </c>
      <c r="DJ41" s="47">
        <v>0</v>
      </c>
      <c r="DK41" s="47">
        <v>0</v>
      </c>
      <c r="DL41" s="47">
        <v>0</v>
      </c>
      <c r="DM41" s="47">
        <v>0</v>
      </c>
      <c r="DN41" s="47">
        <v>0</v>
      </c>
      <c r="DO41" s="47">
        <v>0</v>
      </c>
      <c r="DP41" s="47">
        <v>0</v>
      </c>
      <c r="DQ41" s="47">
        <v>0</v>
      </c>
      <c r="DR41" s="47">
        <v>0</v>
      </c>
    </row>
    <row r="42" spans="1:124" x14ac:dyDescent="0.25">
      <c r="A42" s="47" t="s">
        <v>321</v>
      </c>
      <c r="B42" s="47" t="s">
        <v>151</v>
      </c>
      <c r="C42" s="47" t="s">
        <v>322</v>
      </c>
      <c r="D42" s="47" t="s">
        <v>323</v>
      </c>
      <c r="E42" s="47" t="s">
        <v>324</v>
      </c>
      <c r="F42" s="47" t="s">
        <v>161</v>
      </c>
      <c r="G42" s="47" t="s">
        <v>325</v>
      </c>
      <c r="H42" s="47" t="str">
        <f>=IFERROR(VLOOKUP(A42,'ETPT Format DDG'!A:J,10,FALSE),"")</f>
        <v>0</v>
      </c>
      <c r="I42" s="47" t="str">
        <f>='ETPT Format DDG'!M42</f>
        <v/>
      </c>
      <c r="J42" s="47" t="str">
        <f>='ETPT Format DDG'!D42</f>
        <v/>
      </c>
      <c r="K42" s="47" t="s">
        <v>155</v>
      </c>
      <c r="L42" s="47" t="s">
        <v>169</v>
      </c>
      <c r="M42" s="47"/>
      <c r="N42" s="47">
        <v>0.2839</v>
      </c>
      <c r="O42" s="47">
        <v>0.2839</v>
      </c>
      <c r="P42" s="47">
        <v>0</v>
      </c>
      <c r="Q42" s="47">
        <v>0</v>
      </c>
      <c r="R42" s="47">
        <v>0</v>
      </c>
      <c r="S42" s="47">
        <v>0</v>
      </c>
      <c r="T42" s="47">
        <v>0</v>
      </c>
      <c r="U42" s="47">
        <v>0</v>
      </c>
      <c r="V42" s="47">
        <v>0</v>
      </c>
      <c r="W42" s="47">
        <v>0</v>
      </c>
      <c r="X42" s="47">
        <v>0</v>
      </c>
      <c r="Y42" s="47">
        <v>0</v>
      </c>
      <c r="Z42" s="47">
        <v>0</v>
      </c>
      <c r="AA42" s="47">
        <v>0</v>
      </c>
      <c r="AB42" s="47">
        <v>0</v>
      </c>
      <c r="AC42" s="47">
        <v>0</v>
      </c>
      <c r="AD42" s="47">
        <v>0</v>
      </c>
      <c r="AE42" s="47">
        <v>0</v>
      </c>
      <c r="AF42" s="47">
        <v>0</v>
      </c>
      <c r="AG42" s="47">
        <v>0</v>
      </c>
      <c r="AH42" s="47">
        <v>0</v>
      </c>
      <c r="AI42" s="47">
        <v>0</v>
      </c>
      <c r="AJ42" s="47">
        <v>0</v>
      </c>
      <c r="AK42" s="47">
        <v>0</v>
      </c>
      <c r="AL42" s="47">
        <v>0</v>
      </c>
      <c r="AM42" s="47">
        <v>0</v>
      </c>
      <c r="AN42" s="47">
        <v>0</v>
      </c>
      <c r="AO42" s="47">
        <v>0</v>
      </c>
      <c r="AP42" s="47">
        <v>0</v>
      </c>
      <c r="AQ42" s="47">
        <v>0</v>
      </c>
      <c r="AR42" s="47">
        <v>0</v>
      </c>
      <c r="AS42" s="47">
        <v>0</v>
      </c>
      <c r="AT42" s="47">
        <v>0</v>
      </c>
      <c r="AU42" s="47">
        <v>0</v>
      </c>
      <c r="AV42" s="47">
        <v>0</v>
      </c>
      <c r="AW42" s="47">
        <v>0</v>
      </c>
      <c r="AX42" s="47">
        <v>0</v>
      </c>
      <c r="AY42" s="47">
        <v>0</v>
      </c>
      <c r="AZ42" s="47">
        <v>0</v>
      </c>
      <c r="BA42" s="47">
        <v>0</v>
      </c>
      <c r="BB42" s="47">
        <v>0</v>
      </c>
      <c r="BC42" s="47">
        <v>0</v>
      </c>
      <c r="BD42" s="47">
        <v>0</v>
      </c>
      <c r="BE42" s="47">
        <v>0</v>
      </c>
      <c r="BF42" s="47">
        <v>0</v>
      </c>
      <c r="BG42" s="47">
        <v>0</v>
      </c>
      <c r="BH42" s="47">
        <v>0</v>
      </c>
      <c r="BI42" s="47">
        <v>0</v>
      </c>
      <c r="BJ42" s="47">
        <v>0</v>
      </c>
      <c r="BK42" s="47">
        <v>0</v>
      </c>
      <c r="BL42" s="47">
        <v>0</v>
      </c>
      <c r="BM42" s="47">
        <v>0</v>
      </c>
      <c r="BN42" s="47">
        <v>0</v>
      </c>
      <c r="BO42" s="47">
        <v>0</v>
      </c>
      <c r="BP42" s="47">
        <v>0</v>
      </c>
      <c r="BQ42" s="47">
        <v>0</v>
      </c>
      <c r="BR42" s="47">
        <v>0</v>
      </c>
      <c r="BS42" s="47">
        <v>0</v>
      </c>
      <c r="BT42" s="47">
        <v>0</v>
      </c>
      <c r="BU42" s="47">
        <v>0</v>
      </c>
      <c r="BV42" s="47">
        <v>0</v>
      </c>
      <c r="BW42" s="47">
        <v>0</v>
      </c>
      <c r="BX42" s="47">
        <v>0</v>
      </c>
      <c r="BY42" s="47">
        <v>0</v>
      </c>
      <c r="BZ42" s="47">
        <v>0</v>
      </c>
      <c r="CA42" s="47">
        <v>0</v>
      </c>
      <c r="CB42" s="47">
        <v>0</v>
      </c>
      <c r="CC42" s="47">
        <v>0</v>
      </c>
      <c r="CD42" s="47">
        <v>0</v>
      </c>
      <c r="CE42" s="47">
        <v>0</v>
      </c>
      <c r="CF42" s="47">
        <v>0</v>
      </c>
      <c r="CG42" s="47">
        <v>0</v>
      </c>
      <c r="CH42" s="47">
        <v>0</v>
      </c>
      <c r="CI42" s="47">
        <v>0</v>
      </c>
      <c r="CJ42" s="47">
        <v>0</v>
      </c>
      <c r="CK42" s="47">
        <v>0</v>
      </c>
      <c r="CL42" s="47">
        <v>0</v>
      </c>
      <c r="CM42" s="47">
        <v>0</v>
      </c>
      <c r="CN42" s="47">
        <v>0</v>
      </c>
      <c r="CO42" s="47">
        <v>0</v>
      </c>
      <c r="CP42" s="47">
        <v>0</v>
      </c>
      <c r="CQ42" s="47">
        <v>0.2697</v>
      </c>
      <c r="CR42" s="47">
        <v>0.2697</v>
      </c>
      <c r="CS42" s="47">
        <v>0</v>
      </c>
      <c r="CT42" s="47">
        <v>0.0142</v>
      </c>
      <c r="CU42" s="47">
        <v>0.0142</v>
      </c>
      <c r="CV42" s="47">
        <v>0</v>
      </c>
      <c r="CW42" s="47">
        <v>0</v>
      </c>
      <c r="CX42" s="47">
        <v>0</v>
      </c>
      <c r="CY42" s="47">
        <v>0</v>
      </c>
      <c r="CZ42" s="47">
        <v>0</v>
      </c>
      <c r="DA42" s="47">
        <v>0</v>
      </c>
      <c r="DB42" s="47">
        <v>0</v>
      </c>
      <c r="DC42" s="47">
        <v>0</v>
      </c>
      <c r="DD42" s="47">
        <v>0</v>
      </c>
      <c r="DE42" s="47">
        <v>0</v>
      </c>
      <c r="DF42" s="47">
        <v>0.0185</v>
      </c>
      <c r="DG42" s="47">
        <v>0</v>
      </c>
      <c r="DH42" s="47">
        <v>0</v>
      </c>
      <c r="DI42" s="47">
        <v>0</v>
      </c>
      <c r="DJ42" s="47">
        <v>0</v>
      </c>
      <c r="DK42" s="47">
        <v>0</v>
      </c>
      <c r="DL42" s="47">
        <v>0</v>
      </c>
      <c r="DM42" s="47">
        <v>0</v>
      </c>
      <c r="DN42" s="47">
        <v>0.0185</v>
      </c>
      <c r="DO42" s="47">
        <v>0</v>
      </c>
      <c r="DP42" s="47">
        <v>0</v>
      </c>
      <c r="DQ42" s="47">
        <v>0</v>
      </c>
      <c r="DR42" s="47">
        <v>0</v>
      </c>
    </row>
    <row r="43" spans="1:124" x14ac:dyDescent="0.25">
      <c r="A43" s="47" t="s">
        <v>326</v>
      </c>
      <c r="B43" s="47" t="s">
        <v>151</v>
      </c>
      <c r="C43" s="47" t="s">
        <v>327</v>
      </c>
      <c r="D43" s="47" t="s">
        <v>328</v>
      </c>
      <c r="E43" s="47" t="s">
        <v>329</v>
      </c>
      <c r="F43" s="47" t="s">
        <v>161</v>
      </c>
      <c r="G43" s="47" t="s">
        <v>192</v>
      </c>
      <c r="H43" s="47" t="str">
        <f>=IFERROR(VLOOKUP(A43,'ETPT Format DDG'!A:J,10,FALSE),"")</f>
        <v>0</v>
      </c>
      <c r="I43" s="47" t="str">
        <f>='ETPT Format DDG'!M43</f>
        <v/>
      </c>
      <c r="J43" s="47" t="str">
        <f>='ETPT Format DDG'!D43</f>
        <v/>
      </c>
      <c r="K43" s="47" t="s">
        <v>155</v>
      </c>
      <c r="L43" s="47" t="s">
        <v>330</v>
      </c>
      <c r="M43" s="47"/>
      <c r="N43" s="47">
        <v>1</v>
      </c>
      <c r="O43" s="47">
        <v>1</v>
      </c>
      <c r="P43" s="47">
        <v>0</v>
      </c>
      <c r="Q43" s="47">
        <v>0</v>
      </c>
      <c r="R43" s="47">
        <v>0</v>
      </c>
      <c r="S43" s="47">
        <v>0</v>
      </c>
      <c r="T43" s="47">
        <v>0</v>
      </c>
      <c r="U43" s="47">
        <v>0</v>
      </c>
      <c r="V43" s="47">
        <v>0</v>
      </c>
      <c r="W43" s="47">
        <v>0</v>
      </c>
      <c r="X43" s="47">
        <v>0</v>
      </c>
      <c r="Y43" s="47">
        <v>0</v>
      </c>
      <c r="Z43" s="47">
        <v>0</v>
      </c>
      <c r="AA43" s="47">
        <v>0</v>
      </c>
      <c r="AB43" s="47">
        <v>0</v>
      </c>
      <c r="AC43" s="47">
        <v>0</v>
      </c>
      <c r="AD43" s="47">
        <v>0</v>
      </c>
      <c r="AE43" s="47">
        <v>0</v>
      </c>
      <c r="AF43" s="47">
        <v>0</v>
      </c>
      <c r="AG43" s="47">
        <v>0</v>
      </c>
      <c r="AH43" s="47">
        <v>0</v>
      </c>
      <c r="AI43" s="47">
        <v>0</v>
      </c>
      <c r="AJ43" s="47">
        <v>0</v>
      </c>
      <c r="AK43" s="47">
        <v>0</v>
      </c>
      <c r="AL43" s="47">
        <v>0</v>
      </c>
      <c r="AM43" s="47">
        <v>0</v>
      </c>
      <c r="AN43" s="47">
        <v>0</v>
      </c>
      <c r="AO43" s="47">
        <v>0</v>
      </c>
      <c r="AP43" s="47">
        <v>0</v>
      </c>
      <c r="AQ43" s="47">
        <v>0</v>
      </c>
      <c r="AR43" s="47">
        <v>0</v>
      </c>
      <c r="AS43" s="47">
        <v>0</v>
      </c>
      <c r="AT43" s="47">
        <v>0</v>
      </c>
      <c r="AU43" s="47">
        <v>0</v>
      </c>
      <c r="AV43" s="47">
        <v>0</v>
      </c>
      <c r="AW43" s="47">
        <v>0</v>
      </c>
      <c r="AX43" s="47">
        <v>0</v>
      </c>
      <c r="AY43" s="47">
        <v>0</v>
      </c>
      <c r="AZ43" s="47">
        <v>0</v>
      </c>
      <c r="BA43" s="47">
        <v>0</v>
      </c>
      <c r="BB43" s="47">
        <v>0</v>
      </c>
      <c r="BC43" s="47">
        <v>0</v>
      </c>
      <c r="BD43" s="47">
        <v>0</v>
      </c>
      <c r="BE43" s="47">
        <v>0</v>
      </c>
      <c r="BF43" s="47">
        <v>0</v>
      </c>
      <c r="BG43" s="47">
        <v>0</v>
      </c>
      <c r="BH43" s="47">
        <v>0</v>
      </c>
      <c r="BI43" s="47">
        <v>0</v>
      </c>
      <c r="BJ43" s="47">
        <v>0</v>
      </c>
      <c r="BK43" s="47">
        <v>0</v>
      </c>
      <c r="BL43" s="47">
        <v>0</v>
      </c>
      <c r="BM43" s="47">
        <v>0</v>
      </c>
      <c r="BN43" s="47">
        <v>0</v>
      </c>
      <c r="BO43" s="47">
        <v>0.05</v>
      </c>
      <c r="BP43" s="47">
        <v>0</v>
      </c>
      <c r="BQ43" s="47">
        <v>0</v>
      </c>
      <c r="BR43" s="47">
        <v>0</v>
      </c>
      <c r="BS43" s="47">
        <v>0</v>
      </c>
      <c r="BT43" s="47">
        <v>0</v>
      </c>
      <c r="BU43" s="47">
        <v>0</v>
      </c>
      <c r="BV43" s="47">
        <v>0</v>
      </c>
      <c r="BW43" s="47">
        <v>0</v>
      </c>
      <c r="BX43" s="47">
        <v>0</v>
      </c>
      <c r="BY43" s="47">
        <v>0</v>
      </c>
      <c r="BZ43" s="47">
        <v>0</v>
      </c>
      <c r="CA43" s="47">
        <v>0</v>
      </c>
      <c r="CB43" s="47">
        <v>0</v>
      </c>
      <c r="CC43" s="47">
        <v>0</v>
      </c>
      <c r="CD43" s="47">
        <v>0</v>
      </c>
      <c r="CE43" s="47">
        <v>0</v>
      </c>
      <c r="CF43" s="47">
        <v>0</v>
      </c>
      <c r="CG43" s="47">
        <v>0</v>
      </c>
      <c r="CH43" s="47">
        <v>0</v>
      </c>
      <c r="CI43" s="47">
        <v>0</v>
      </c>
      <c r="CJ43" s="47">
        <v>0</v>
      </c>
      <c r="CK43" s="47">
        <v>0</v>
      </c>
      <c r="CL43" s="47">
        <v>0.8</v>
      </c>
      <c r="CM43" s="47">
        <v>0</v>
      </c>
      <c r="CN43" s="47">
        <v>0</v>
      </c>
      <c r="CO43" s="47">
        <v>0</v>
      </c>
      <c r="CP43" s="47">
        <v>0</v>
      </c>
      <c r="CQ43" s="47">
        <v>0</v>
      </c>
      <c r="CR43" s="47">
        <v>0</v>
      </c>
      <c r="CS43" s="47">
        <v>0</v>
      </c>
      <c r="CT43" s="47">
        <v>0.15</v>
      </c>
      <c r="CU43" s="47">
        <v>0.125</v>
      </c>
      <c r="CV43" s="47">
        <v>0.025</v>
      </c>
      <c r="CW43" s="47">
        <v>0</v>
      </c>
      <c r="CX43" s="47">
        <v>0</v>
      </c>
      <c r="CY43" s="47">
        <v>0</v>
      </c>
      <c r="CZ43" s="47">
        <v>0</v>
      </c>
      <c r="DA43" s="47">
        <v>0</v>
      </c>
      <c r="DB43" s="47">
        <v>0</v>
      </c>
      <c r="DC43" s="47">
        <v>0</v>
      </c>
      <c r="DD43" s="47">
        <v>0</v>
      </c>
      <c r="DE43" s="47">
        <v>0</v>
      </c>
      <c r="DF43" s="47">
        <v>0</v>
      </c>
      <c r="DG43" s="47">
        <v>0</v>
      </c>
      <c r="DH43" s="47">
        <v>0</v>
      </c>
      <c r="DI43" s="47">
        <v>0</v>
      </c>
      <c r="DJ43" s="47">
        <v>0</v>
      </c>
      <c r="DK43" s="47">
        <v>0</v>
      </c>
      <c r="DL43" s="47">
        <v>0</v>
      </c>
      <c r="DM43" s="47">
        <v>0</v>
      </c>
      <c r="DN43" s="47">
        <v>0</v>
      </c>
      <c r="DO43" s="47">
        <v>0</v>
      </c>
      <c r="DP43" s="47">
        <v>0</v>
      </c>
      <c r="DQ43" s="47">
        <v>0</v>
      </c>
      <c r="DR43" s="47">
        <v>0</v>
      </c>
    </row>
    <row r="44" spans="1:124" x14ac:dyDescent="0.25">
      <c r="A44" s="47" t="s">
        <v>331</v>
      </c>
      <c r="B44" s="47" t="s">
        <v>151</v>
      </c>
      <c r="C44" s="47" t="s">
        <v>332</v>
      </c>
      <c r="D44" s="47" t="s">
        <v>333</v>
      </c>
      <c r="E44" s="47" t="s">
        <v>334</v>
      </c>
      <c r="F44" s="47" t="s">
        <v>161</v>
      </c>
      <c r="G44" s="47" t="s">
        <v>168</v>
      </c>
      <c r="H44" s="47" t="str">
        <f>=IFERROR(VLOOKUP(A44,'ETPT Format DDG'!A:J,10,FALSE),"")</f>
        <v>0</v>
      </c>
      <c r="I44" s="47" t="str">
        <f>='ETPT Format DDG'!M44</f>
        <v/>
      </c>
      <c r="J44" s="47" t="str">
        <f>='ETPT Format DDG'!D44</f>
        <v/>
      </c>
      <c r="K44" s="47" t="s">
        <v>155</v>
      </c>
      <c r="L44" s="47" t="s">
        <v>169</v>
      </c>
      <c r="M44" s="47"/>
      <c r="N44" s="47">
        <v>0.3024</v>
      </c>
      <c r="O44" s="47">
        <v>0.3024</v>
      </c>
      <c r="P44" s="47">
        <v>0</v>
      </c>
      <c r="Q44" s="47">
        <v>0</v>
      </c>
      <c r="R44" s="47">
        <v>0</v>
      </c>
      <c r="S44" s="47">
        <v>0</v>
      </c>
      <c r="T44" s="47">
        <v>0</v>
      </c>
      <c r="U44" s="47">
        <v>0</v>
      </c>
      <c r="V44" s="47">
        <v>0</v>
      </c>
      <c r="W44" s="47">
        <v>0</v>
      </c>
      <c r="X44" s="47">
        <v>0</v>
      </c>
      <c r="Y44" s="47">
        <v>0</v>
      </c>
      <c r="Z44" s="47">
        <v>0</v>
      </c>
      <c r="AA44" s="47">
        <v>0</v>
      </c>
      <c r="AB44" s="47">
        <v>0</v>
      </c>
      <c r="AC44" s="47">
        <v>0</v>
      </c>
      <c r="AD44" s="47">
        <v>0</v>
      </c>
      <c r="AE44" s="47">
        <v>0.1996</v>
      </c>
      <c r="AF44" s="47">
        <v>0.0998</v>
      </c>
      <c r="AG44" s="47">
        <v>0</v>
      </c>
      <c r="AH44" s="47">
        <v>0.0484</v>
      </c>
      <c r="AI44" s="47">
        <v>0.0363</v>
      </c>
      <c r="AJ44" s="47">
        <v>0.0151</v>
      </c>
      <c r="AK44" s="47">
        <v>0</v>
      </c>
      <c r="AL44" s="47">
        <v>0</v>
      </c>
      <c r="AM44" s="47">
        <v>0</v>
      </c>
      <c r="AN44" s="47">
        <v>0.0212</v>
      </c>
      <c r="AO44" s="47">
        <v>0.0212</v>
      </c>
      <c r="AP44" s="47">
        <v>0</v>
      </c>
      <c r="AQ44" s="47">
        <v>0</v>
      </c>
      <c r="AR44" s="47">
        <v>0</v>
      </c>
      <c r="AS44" s="47">
        <v>0</v>
      </c>
      <c r="AT44" s="47">
        <v>0</v>
      </c>
      <c r="AU44" s="47">
        <v>0</v>
      </c>
      <c r="AV44" s="47">
        <v>0</v>
      </c>
      <c r="AW44" s="47">
        <v>0</v>
      </c>
      <c r="AX44" s="47">
        <v>0</v>
      </c>
      <c r="AY44" s="47">
        <v>0</v>
      </c>
      <c r="AZ44" s="47">
        <v>0</v>
      </c>
      <c r="BA44" s="47">
        <v>0</v>
      </c>
      <c r="BB44" s="47">
        <v>0</v>
      </c>
      <c r="BC44" s="47">
        <v>0</v>
      </c>
      <c r="BD44" s="47">
        <v>0</v>
      </c>
      <c r="BE44" s="47">
        <v>0</v>
      </c>
      <c r="BF44" s="47">
        <v>0</v>
      </c>
      <c r="BG44" s="47">
        <v>0</v>
      </c>
      <c r="BH44" s="47">
        <v>0.0302</v>
      </c>
      <c r="BI44" s="47">
        <v>0</v>
      </c>
      <c r="BJ44" s="47">
        <v>0.0302</v>
      </c>
      <c r="BK44" s="47">
        <v>0</v>
      </c>
      <c r="BL44" s="47">
        <v>0</v>
      </c>
      <c r="BM44" s="47">
        <v>0</v>
      </c>
      <c r="BN44" s="47">
        <v>0</v>
      </c>
      <c r="BO44" s="47">
        <v>0.0272</v>
      </c>
      <c r="BP44" s="47">
        <v>0.0091</v>
      </c>
      <c r="BQ44" s="47">
        <v>0</v>
      </c>
      <c r="BR44" s="47">
        <v>0</v>
      </c>
      <c r="BS44" s="47">
        <v>0</v>
      </c>
      <c r="BT44" s="47">
        <v>0</v>
      </c>
      <c r="BU44" s="47">
        <v>0</v>
      </c>
      <c r="BV44" s="47">
        <v>0</v>
      </c>
      <c r="BW44" s="47">
        <v>0.006</v>
      </c>
      <c r="BX44" s="47">
        <v>0.0121</v>
      </c>
      <c r="BY44" s="47">
        <v>0</v>
      </c>
      <c r="BZ44" s="47">
        <v>0</v>
      </c>
      <c r="CA44" s="47">
        <v>0</v>
      </c>
      <c r="CB44" s="47">
        <v>0</v>
      </c>
      <c r="CC44" s="47">
        <v>0</v>
      </c>
      <c r="CD44" s="47">
        <v>0</v>
      </c>
      <c r="CE44" s="47">
        <v>0</v>
      </c>
      <c r="CF44" s="47">
        <v>0</v>
      </c>
      <c r="CG44" s="47">
        <v>0</v>
      </c>
      <c r="CH44" s="47">
        <v>0</v>
      </c>
      <c r="CI44" s="47">
        <v>0</v>
      </c>
      <c r="CJ44" s="47">
        <v>0</v>
      </c>
      <c r="CK44" s="47">
        <v>0</v>
      </c>
      <c r="CL44" s="47">
        <v>0</v>
      </c>
      <c r="CM44" s="47">
        <v>0</v>
      </c>
      <c r="CN44" s="47">
        <v>0</v>
      </c>
      <c r="CO44" s="47">
        <v>0</v>
      </c>
      <c r="CP44" s="47">
        <v>0</v>
      </c>
      <c r="CQ44" s="47">
        <v>0</v>
      </c>
      <c r="CR44" s="47">
        <v>0</v>
      </c>
      <c r="CS44" s="47">
        <v>0</v>
      </c>
      <c r="CT44" s="47">
        <v>0.0242</v>
      </c>
      <c r="CU44" s="47">
        <v>0.0091</v>
      </c>
      <c r="CV44" s="47">
        <v>0.0151</v>
      </c>
      <c r="CW44" s="47">
        <v>0</v>
      </c>
      <c r="CX44" s="47">
        <v>0</v>
      </c>
      <c r="CY44" s="47">
        <v>0</v>
      </c>
      <c r="CZ44" s="47">
        <v>0</v>
      </c>
      <c r="DA44" s="47">
        <v>0</v>
      </c>
      <c r="DB44" s="47">
        <v>0</v>
      </c>
      <c r="DC44" s="47">
        <v>0</v>
      </c>
      <c r="DD44" s="47">
        <v>0</v>
      </c>
      <c r="DE44" s="47">
        <v>0</v>
      </c>
      <c r="DF44" s="47">
        <v>0</v>
      </c>
      <c r="DG44" s="47">
        <v>0</v>
      </c>
      <c r="DH44" s="47">
        <v>0</v>
      </c>
      <c r="DI44" s="47">
        <v>0</v>
      </c>
      <c r="DJ44" s="47">
        <v>0</v>
      </c>
      <c r="DK44" s="47">
        <v>0</v>
      </c>
      <c r="DL44" s="47">
        <v>0</v>
      </c>
      <c r="DM44" s="47">
        <v>0</v>
      </c>
      <c r="DN44" s="47">
        <v>0</v>
      </c>
      <c r="DO44" s="47">
        <v>0</v>
      </c>
      <c r="DP44" s="47">
        <v>0</v>
      </c>
      <c r="DQ44" s="47">
        <v>0</v>
      </c>
      <c r="DR44" s="47">
        <v>0</v>
      </c>
    </row>
    <row r="45" spans="1:124" x14ac:dyDescent="0.25">
      <c r="A45" s="47" t="s">
        <v>335</v>
      </c>
      <c r="B45" s="47" t="s">
        <v>151</v>
      </c>
      <c r="C45" s="47" t="s">
        <v>336</v>
      </c>
      <c r="D45" s="47" t="s">
        <v>337</v>
      </c>
      <c r="E45" s="47" t="s">
        <v>338</v>
      </c>
      <c r="F45" s="47" t="s">
        <v>161</v>
      </c>
      <c r="G45" s="47" t="s">
        <v>207</v>
      </c>
      <c r="H45" s="47" t="str">
        <f>=IFERROR(VLOOKUP(A45,'ETPT Format DDG'!A:J,10,FALSE),"")</f>
        <v>0</v>
      </c>
      <c r="I45" s="47" t="str">
        <f>='ETPT Format DDG'!M45</f>
        <v/>
      </c>
      <c r="J45" s="47" t="str">
        <f>='ETPT Format DDG'!D45</f>
        <v/>
      </c>
      <c r="K45" s="47" t="s">
        <v>155</v>
      </c>
      <c r="L45" s="47" t="s">
        <v>339</v>
      </c>
      <c r="M45" s="47"/>
      <c r="N45" s="47">
        <v>1</v>
      </c>
      <c r="O45" s="47">
        <v>0</v>
      </c>
      <c r="P45" s="47">
        <v>0</v>
      </c>
      <c r="Q45" s="47">
        <v>0</v>
      </c>
      <c r="R45" s="47">
        <v>0</v>
      </c>
      <c r="S45" s="47">
        <v>0</v>
      </c>
      <c r="T45" s="47">
        <v>0</v>
      </c>
      <c r="U45" s="47">
        <v>0</v>
      </c>
      <c r="V45" s="47">
        <v>0</v>
      </c>
      <c r="W45" s="47">
        <v>0</v>
      </c>
      <c r="X45" s="47">
        <v>0</v>
      </c>
      <c r="Y45" s="47">
        <v>0</v>
      </c>
      <c r="Z45" s="47">
        <v>0</v>
      </c>
      <c r="AA45" s="47">
        <v>0</v>
      </c>
      <c r="AB45" s="47">
        <v>0</v>
      </c>
      <c r="AC45" s="47">
        <v>0</v>
      </c>
      <c r="AD45" s="47">
        <v>0</v>
      </c>
      <c r="AE45" s="47">
        <v>0</v>
      </c>
      <c r="AF45" s="47">
        <v>0</v>
      </c>
      <c r="AG45" s="47">
        <v>0</v>
      </c>
      <c r="AH45" s="47">
        <v>0</v>
      </c>
      <c r="AI45" s="47">
        <v>0</v>
      </c>
      <c r="AJ45" s="47">
        <v>0</v>
      </c>
      <c r="AK45" s="47">
        <v>0</v>
      </c>
      <c r="AL45" s="47">
        <v>0</v>
      </c>
      <c r="AM45" s="47">
        <v>0</v>
      </c>
      <c r="AN45" s="47">
        <v>0</v>
      </c>
      <c r="AO45" s="47">
        <v>0</v>
      </c>
      <c r="AP45" s="47">
        <v>0</v>
      </c>
      <c r="AQ45" s="47">
        <v>0</v>
      </c>
      <c r="AR45" s="47">
        <v>0</v>
      </c>
      <c r="AS45" s="47">
        <v>0</v>
      </c>
      <c r="AT45" s="47">
        <v>0</v>
      </c>
      <c r="AU45" s="47">
        <v>0</v>
      </c>
      <c r="AV45" s="47">
        <v>0</v>
      </c>
      <c r="AW45" s="47">
        <v>0</v>
      </c>
      <c r="AX45" s="47">
        <v>0</v>
      </c>
      <c r="AY45" s="47">
        <v>0</v>
      </c>
      <c r="AZ45" s="47">
        <v>0</v>
      </c>
      <c r="BA45" s="47">
        <v>0</v>
      </c>
      <c r="BB45" s="47">
        <v>0</v>
      </c>
      <c r="BC45" s="47">
        <v>0</v>
      </c>
      <c r="BD45" s="47">
        <v>0</v>
      </c>
      <c r="BE45" s="47">
        <v>0</v>
      </c>
      <c r="BF45" s="47">
        <v>0</v>
      </c>
      <c r="BG45" s="47">
        <v>0</v>
      </c>
      <c r="BH45" s="47">
        <v>0</v>
      </c>
      <c r="BI45" s="47">
        <v>0</v>
      </c>
      <c r="BJ45" s="47">
        <v>0</v>
      </c>
      <c r="BK45" s="47">
        <v>0</v>
      </c>
      <c r="BL45" s="47">
        <v>0</v>
      </c>
      <c r="BM45" s="47">
        <v>0</v>
      </c>
      <c r="BN45" s="47">
        <v>0</v>
      </c>
      <c r="BO45" s="47">
        <v>0</v>
      </c>
      <c r="BP45" s="47">
        <v>0</v>
      </c>
      <c r="BQ45" s="47">
        <v>0</v>
      </c>
      <c r="BR45" s="47">
        <v>0</v>
      </c>
      <c r="BS45" s="47">
        <v>0</v>
      </c>
      <c r="BT45" s="47">
        <v>0</v>
      </c>
      <c r="BU45" s="47">
        <v>0</v>
      </c>
      <c r="BV45" s="47">
        <v>0</v>
      </c>
      <c r="BW45" s="47">
        <v>0</v>
      </c>
      <c r="BX45" s="47">
        <v>0</v>
      </c>
      <c r="BY45" s="47">
        <v>0</v>
      </c>
      <c r="BZ45" s="47">
        <v>0</v>
      </c>
      <c r="CA45" s="47">
        <v>0</v>
      </c>
      <c r="CB45" s="47">
        <v>0</v>
      </c>
      <c r="CC45" s="47">
        <v>0</v>
      </c>
      <c r="CD45" s="47">
        <v>0</v>
      </c>
      <c r="CE45" s="47">
        <v>0</v>
      </c>
      <c r="CF45" s="47">
        <v>0</v>
      </c>
      <c r="CG45" s="47">
        <v>0</v>
      </c>
      <c r="CH45" s="47">
        <v>0</v>
      </c>
      <c r="CI45" s="47">
        <v>0</v>
      </c>
      <c r="CJ45" s="47">
        <v>0</v>
      </c>
      <c r="CK45" s="47">
        <v>0</v>
      </c>
      <c r="CL45" s="47">
        <v>0</v>
      </c>
      <c r="CM45" s="47">
        <v>0</v>
      </c>
      <c r="CN45" s="47">
        <v>0</v>
      </c>
      <c r="CO45" s="47">
        <v>0</v>
      </c>
      <c r="CP45" s="47">
        <v>0</v>
      </c>
      <c r="CQ45" s="47">
        <v>0</v>
      </c>
      <c r="CR45" s="47">
        <v>0</v>
      </c>
      <c r="CS45" s="47">
        <v>0</v>
      </c>
      <c r="CT45" s="47">
        <v>0</v>
      </c>
      <c r="CU45" s="47">
        <v>0</v>
      </c>
      <c r="CV45" s="47">
        <v>0</v>
      </c>
      <c r="CW45" s="47">
        <v>0</v>
      </c>
      <c r="CX45" s="47">
        <v>0</v>
      </c>
      <c r="CY45" s="47">
        <v>0</v>
      </c>
      <c r="CZ45" s="47">
        <v>0</v>
      </c>
      <c r="DA45" s="47">
        <v>0</v>
      </c>
      <c r="DB45" s="47">
        <v>0</v>
      </c>
      <c r="DC45" s="47">
        <v>0</v>
      </c>
      <c r="DD45" s="47">
        <v>0</v>
      </c>
      <c r="DE45" s="47">
        <v>0</v>
      </c>
      <c r="DF45" s="47">
        <v>0</v>
      </c>
      <c r="DG45" s="47">
        <v>0</v>
      </c>
      <c r="DH45" s="47">
        <v>0</v>
      </c>
      <c r="DI45" s="47">
        <v>0</v>
      </c>
      <c r="DJ45" s="47">
        <v>0</v>
      </c>
      <c r="DK45" s="47">
        <v>0</v>
      </c>
      <c r="DL45" s="47">
        <v>0</v>
      </c>
      <c r="DM45" s="47">
        <v>0</v>
      </c>
      <c r="DN45" s="47">
        <v>0</v>
      </c>
      <c r="DO45" s="47">
        <v>0</v>
      </c>
      <c r="DP45" s="47">
        <v>0</v>
      </c>
      <c r="DQ45" s="47">
        <v>0</v>
      </c>
      <c r="DR45" s="47">
        <v>0</v>
      </c>
    </row>
    <row r="46" spans="1:124" x14ac:dyDescent="0.25">
      <c r="A46" s="47" t="s">
        <v>340</v>
      </c>
      <c r="B46" s="47" t="s">
        <v>151</v>
      </c>
      <c r="C46" s="47" t="s">
        <v>341</v>
      </c>
      <c r="D46" s="47" t="s">
        <v>342</v>
      </c>
      <c r="E46" s="47" t="s">
        <v>343</v>
      </c>
      <c r="F46" s="47" t="s">
        <v>161</v>
      </c>
      <c r="G46" s="47" t="s">
        <v>207</v>
      </c>
      <c r="H46" s="47" t="str">
        <f>=IFERROR(VLOOKUP(A46,'ETPT Format DDG'!A:J,10,FALSE),"")</f>
        <v>0</v>
      </c>
      <c r="I46" s="47" t="str">
        <f>='ETPT Format DDG'!M46</f>
        <v/>
      </c>
      <c r="J46" s="47" t="str">
        <f>='ETPT Format DDG'!D46</f>
        <v/>
      </c>
      <c r="K46" s="47" t="s">
        <v>155</v>
      </c>
      <c r="L46" s="47" t="s">
        <v>208</v>
      </c>
      <c r="M46" s="47"/>
      <c r="N46" s="47">
        <v>0.7379</v>
      </c>
      <c r="O46" s="47">
        <v>0.7379</v>
      </c>
      <c r="P46" s="47">
        <v>0</v>
      </c>
      <c r="Q46" s="47">
        <v>0</v>
      </c>
      <c r="R46" s="47">
        <v>0</v>
      </c>
      <c r="S46" s="47">
        <v>0</v>
      </c>
      <c r="T46" s="47">
        <v>0</v>
      </c>
      <c r="U46" s="47">
        <v>0.6147</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0.0627</v>
      </c>
      <c r="BP46" s="47">
        <v>0</v>
      </c>
      <c r="BQ46" s="47">
        <v>0.0162</v>
      </c>
      <c r="BR46" s="47">
        <v>0</v>
      </c>
      <c r="BS46" s="47">
        <v>0</v>
      </c>
      <c r="BT46" s="47">
        <v>0</v>
      </c>
      <c r="BU46" s="47">
        <v>0</v>
      </c>
      <c r="BV46" s="47">
        <v>0</v>
      </c>
      <c r="BW46" s="47">
        <v>0.0295</v>
      </c>
      <c r="BX46" s="47">
        <v>0.017</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0.0605</v>
      </c>
      <c r="CU46" s="47">
        <v>0.0428</v>
      </c>
      <c r="CV46" s="47">
        <v>0.0177</v>
      </c>
      <c r="CW46" s="47">
        <v>0</v>
      </c>
      <c r="CX46" s="47">
        <v>0</v>
      </c>
      <c r="CY46" s="47">
        <v>0</v>
      </c>
      <c r="CZ46" s="47">
        <v>0</v>
      </c>
      <c r="DA46" s="47">
        <v>0</v>
      </c>
      <c r="DB46" s="47">
        <v>0</v>
      </c>
      <c r="DC46" s="47">
        <v>0</v>
      </c>
      <c r="DD46" s="47">
        <v>0</v>
      </c>
      <c r="DE46" s="47">
        <v>0</v>
      </c>
      <c r="DF46" s="47">
        <v>0.2621</v>
      </c>
      <c r="DG46" s="47">
        <v>0</v>
      </c>
      <c r="DH46" s="47">
        <v>0.2621</v>
      </c>
      <c r="DI46" s="47">
        <v>0</v>
      </c>
      <c r="DJ46" s="47">
        <v>0</v>
      </c>
      <c r="DK46" s="47">
        <v>0</v>
      </c>
      <c r="DL46" s="47">
        <v>0</v>
      </c>
      <c r="DM46" s="47">
        <v>0</v>
      </c>
      <c r="DN46" s="47">
        <v>0</v>
      </c>
      <c r="DO46" s="47">
        <v>0</v>
      </c>
      <c r="DP46" s="47">
        <v>0</v>
      </c>
      <c r="DQ46" s="47">
        <v>0</v>
      </c>
      <c r="DR46" s="47">
        <v>0</v>
      </c>
    </row>
    <row r="47" spans="1:124" x14ac:dyDescent="0.25">
      <c r="A47" s="47" t="s">
        <v>344</v>
      </c>
      <c r="B47" s="47" t="s">
        <v>151</v>
      </c>
      <c r="C47" s="47" t="s">
        <v>345</v>
      </c>
      <c r="D47" s="47" t="s">
        <v>346</v>
      </c>
      <c r="E47" s="47" t="s">
        <v>347</v>
      </c>
      <c r="F47" s="47" t="s">
        <v>161</v>
      </c>
      <c r="G47" s="47" t="s">
        <v>162</v>
      </c>
      <c r="H47" s="47" t="str">
        <f>=IFERROR(VLOOKUP(A47,'ETPT Format DDG'!A:J,10,FALSE),"")</f>
        <v>0</v>
      </c>
      <c r="I47" s="47" t="str">
        <f>='ETPT Format DDG'!M47</f>
        <v/>
      </c>
      <c r="J47" s="47" t="str">
        <f>='ETPT Format DDG'!D47</f>
        <v/>
      </c>
      <c r="K47" s="47" t="s">
        <v>155</v>
      </c>
      <c r="L47" s="47" t="s">
        <v>348</v>
      </c>
      <c r="M47" s="47"/>
      <c r="N47" s="47">
        <v>1</v>
      </c>
      <c r="O47" s="47">
        <v>1</v>
      </c>
      <c r="P47" s="47">
        <v>0</v>
      </c>
      <c r="Q47" s="47">
        <v>0</v>
      </c>
      <c r="R47" s="47">
        <v>0</v>
      </c>
      <c r="S47" s="47">
        <v>0</v>
      </c>
      <c r="T47" s="47">
        <v>0</v>
      </c>
      <c r="U47" s="47">
        <v>0.86</v>
      </c>
      <c r="V47" s="47">
        <v>0</v>
      </c>
      <c r="W47" s="47">
        <v>0</v>
      </c>
      <c r="X47" s="47">
        <v>0</v>
      </c>
      <c r="Y47" s="47">
        <v>0</v>
      </c>
      <c r="Z47" s="47">
        <v>0</v>
      </c>
      <c r="AA47" s="47">
        <v>0</v>
      </c>
      <c r="AB47" s="47">
        <v>0</v>
      </c>
      <c r="AC47" s="47">
        <v>0</v>
      </c>
      <c r="AD47" s="47">
        <v>0</v>
      </c>
      <c r="AE47" s="47">
        <v>0</v>
      </c>
      <c r="AF47" s="47">
        <v>0</v>
      </c>
      <c r="AG47" s="47">
        <v>0</v>
      </c>
      <c r="AH47" s="47">
        <v>0</v>
      </c>
      <c r="AI47" s="47">
        <v>0</v>
      </c>
      <c r="AJ47" s="47">
        <v>0</v>
      </c>
      <c r="AK47" s="47">
        <v>0</v>
      </c>
      <c r="AL47" s="47">
        <v>0</v>
      </c>
      <c r="AM47" s="47">
        <v>0</v>
      </c>
      <c r="AN47" s="47">
        <v>0</v>
      </c>
      <c r="AO47" s="47">
        <v>0</v>
      </c>
      <c r="AP47" s="47">
        <v>0</v>
      </c>
      <c r="AQ47" s="47">
        <v>0</v>
      </c>
      <c r="AR47" s="47">
        <v>0</v>
      </c>
      <c r="AS47" s="47">
        <v>0</v>
      </c>
      <c r="AT47" s="47">
        <v>0</v>
      </c>
      <c r="AU47" s="47">
        <v>0</v>
      </c>
      <c r="AV47" s="47">
        <v>0</v>
      </c>
      <c r="AW47" s="47">
        <v>0</v>
      </c>
      <c r="AX47" s="47">
        <v>0</v>
      </c>
      <c r="AY47" s="47">
        <v>0</v>
      </c>
      <c r="AZ47" s="47">
        <v>0</v>
      </c>
      <c r="BA47" s="47">
        <v>0</v>
      </c>
      <c r="BB47" s="47">
        <v>0</v>
      </c>
      <c r="BC47" s="47">
        <v>0</v>
      </c>
      <c r="BD47" s="47">
        <v>0</v>
      </c>
      <c r="BE47" s="47">
        <v>0</v>
      </c>
      <c r="BF47" s="47">
        <v>0</v>
      </c>
      <c r="BG47" s="47">
        <v>0</v>
      </c>
      <c r="BH47" s="47">
        <v>0</v>
      </c>
      <c r="BI47" s="47">
        <v>0</v>
      </c>
      <c r="BJ47" s="47">
        <v>0</v>
      </c>
      <c r="BK47" s="47">
        <v>0</v>
      </c>
      <c r="BL47" s="47">
        <v>0</v>
      </c>
      <c r="BM47" s="47">
        <v>0</v>
      </c>
      <c r="BN47" s="47">
        <v>0</v>
      </c>
      <c r="BO47" s="47">
        <v>0.04</v>
      </c>
      <c r="BP47" s="47">
        <v>0</v>
      </c>
      <c r="BQ47" s="47">
        <v>0.03</v>
      </c>
      <c r="BR47" s="47">
        <v>0</v>
      </c>
      <c r="BS47" s="47">
        <v>0</v>
      </c>
      <c r="BT47" s="47">
        <v>0</v>
      </c>
      <c r="BU47" s="47">
        <v>0</v>
      </c>
      <c r="BV47" s="47">
        <v>0</v>
      </c>
      <c r="BW47" s="47">
        <v>0.01</v>
      </c>
      <c r="BX47" s="47">
        <v>0</v>
      </c>
      <c r="BY47" s="47">
        <v>0</v>
      </c>
      <c r="BZ47" s="47">
        <v>0</v>
      </c>
      <c r="CA47" s="47">
        <v>0</v>
      </c>
      <c r="CB47" s="47">
        <v>0</v>
      </c>
      <c r="CC47" s="47">
        <v>0</v>
      </c>
      <c r="CD47" s="47">
        <v>0</v>
      </c>
      <c r="CE47" s="47">
        <v>0</v>
      </c>
      <c r="CF47" s="47">
        <v>0</v>
      </c>
      <c r="CG47" s="47">
        <v>0</v>
      </c>
      <c r="CH47" s="47">
        <v>0</v>
      </c>
      <c r="CI47" s="47">
        <v>0</v>
      </c>
      <c r="CJ47" s="47">
        <v>0</v>
      </c>
      <c r="CK47" s="47">
        <v>0</v>
      </c>
      <c r="CL47" s="47">
        <v>0</v>
      </c>
      <c r="CM47" s="47">
        <v>0</v>
      </c>
      <c r="CN47" s="47">
        <v>0</v>
      </c>
      <c r="CO47" s="47">
        <v>0</v>
      </c>
      <c r="CP47" s="47">
        <v>0</v>
      </c>
      <c r="CQ47" s="47">
        <v>0</v>
      </c>
      <c r="CR47" s="47">
        <v>0</v>
      </c>
      <c r="CS47" s="47">
        <v>0</v>
      </c>
      <c r="CT47" s="47">
        <v>0.1</v>
      </c>
      <c r="CU47" s="47">
        <v>0.1</v>
      </c>
      <c r="CV47" s="47">
        <v>0</v>
      </c>
      <c r="CW47" s="47">
        <v>0</v>
      </c>
      <c r="CX47" s="47">
        <v>0</v>
      </c>
      <c r="CY47" s="47">
        <v>0</v>
      </c>
      <c r="CZ47" s="47">
        <v>0</v>
      </c>
      <c r="DA47" s="47">
        <v>0</v>
      </c>
      <c r="DB47" s="47">
        <v>0</v>
      </c>
      <c r="DC47" s="47">
        <v>0</v>
      </c>
      <c r="DD47" s="47">
        <v>0</v>
      </c>
      <c r="DE47" s="47">
        <v>0</v>
      </c>
      <c r="DF47" s="47">
        <v>0</v>
      </c>
      <c r="DG47" s="47">
        <v>0</v>
      </c>
      <c r="DH47" s="47">
        <v>0</v>
      </c>
      <c r="DI47" s="47">
        <v>0</v>
      </c>
      <c r="DJ47" s="47">
        <v>0</v>
      </c>
      <c r="DK47" s="47">
        <v>0</v>
      </c>
      <c r="DL47" s="47">
        <v>0</v>
      </c>
      <c r="DM47" s="47">
        <v>0</v>
      </c>
      <c r="DN47" s="47">
        <v>0</v>
      </c>
      <c r="DO47" s="47">
        <v>0</v>
      </c>
      <c r="DP47" s="47">
        <v>0</v>
      </c>
      <c r="DQ47" s="47">
        <v>0</v>
      </c>
      <c r="DR47" s="47">
        <v>0</v>
      </c>
    </row>
    <row r="48" spans="1:124" x14ac:dyDescent="0.25">
      <c r="A48" s="47" t="s">
        <v>349</v>
      </c>
      <c r="B48" s="47" t="s">
        <v>151</v>
      </c>
      <c r="C48" s="47" t="s">
        <v>350</v>
      </c>
      <c r="D48" s="47" t="s">
        <v>351</v>
      </c>
      <c r="E48" s="47" t="s">
        <v>352</v>
      </c>
      <c r="F48" s="47" t="s">
        <v>161</v>
      </c>
      <c r="G48" s="47" t="s">
        <v>353</v>
      </c>
      <c r="H48" s="47" t="str">
        <f>=IFERROR(VLOOKUP(A48,'ETPT Format DDG'!A:J,10,FALSE),"")</f>
        <v>0</v>
      </c>
      <c r="I48" s="47" t="str">
        <f>='ETPT Format DDG'!M48</f>
        <v/>
      </c>
      <c r="J48" s="47" t="str">
        <f>='ETPT Format DDG'!D48</f>
        <v/>
      </c>
      <c r="K48" s="47" t="s">
        <v>155</v>
      </c>
      <c r="L48" s="47" t="s">
        <v>176</v>
      </c>
      <c r="M48" s="47"/>
      <c r="N48" s="47">
        <v>1</v>
      </c>
      <c r="O48" s="47">
        <v>1</v>
      </c>
      <c r="P48" s="47">
        <v>0</v>
      </c>
      <c r="Q48" s="47">
        <v>0</v>
      </c>
      <c r="R48" s="47">
        <v>0</v>
      </c>
      <c r="S48" s="47">
        <v>0</v>
      </c>
      <c r="T48" s="47">
        <v>0</v>
      </c>
      <c r="U48" s="47">
        <v>0</v>
      </c>
      <c r="V48" s="47">
        <v>0</v>
      </c>
      <c r="W48" s="47">
        <v>0</v>
      </c>
      <c r="X48" s="47">
        <v>0</v>
      </c>
      <c r="Y48" s="47">
        <v>0</v>
      </c>
      <c r="Z48" s="47">
        <v>0</v>
      </c>
      <c r="AA48" s="47">
        <v>0</v>
      </c>
      <c r="AB48" s="47">
        <v>0</v>
      </c>
      <c r="AC48" s="47">
        <v>0</v>
      </c>
      <c r="AD48" s="47">
        <v>0</v>
      </c>
      <c r="AE48" s="47">
        <v>0.02</v>
      </c>
      <c r="AF48" s="47">
        <v>0</v>
      </c>
      <c r="AG48" s="47">
        <v>0</v>
      </c>
      <c r="AH48" s="47">
        <v>0</v>
      </c>
      <c r="AI48" s="47">
        <v>0</v>
      </c>
      <c r="AJ48" s="47">
        <v>0</v>
      </c>
      <c r="AK48" s="47">
        <v>0.02</v>
      </c>
      <c r="AL48" s="47">
        <v>0</v>
      </c>
      <c r="AM48" s="47">
        <v>0</v>
      </c>
      <c r="AN48" s="47">
        <v>0.62</v>
      </c>
      <c r="AO48" s="47">
        <v>0</v>
      </c>
      <c r="AP48" s="47">
        <v>0</v>
      </c>
      <c r="AQ48" s="47">
        <v>0</v>
      </c>
      <c r="AR48" s="47">
        <v>0</v>
      </c>
      <c r="AS48" s="47">
        <v>0</v>
      </c>
      <c r="AT48" s="47">
        <v>0</v>
      </c>
      <c r="AU48" s="47">
        <v>0</v>
      </c>
      <c r="AV48" s="47">
        <v>0</v>
      </c>
      <c r="AW48" s="47">
        <v>0</v>
      </c>
      <c r="AX48" s="47">
        <v>0</v>
      </c>
      <c r="AY48" s="47">
        <v>0</v>
      </c>
      <c r="AZ48" s="47">
        <v>0</v>
      </c>
      <c r="BA48" s="47">
        <v>0</v>
      </c>
      <c r="BB48" s="47">
        <v>0</v>
      </c>
      <c r="BC48" s="47">
        <v>0</v>
      </c>
      <c r="BD48" s="47">
        <v>0</v>
      </c>
      <c r="BE48" s="47">
        <v>0</v>
      </c>
      <c r="BF48" s="47">
        <v>0</v>
      </c>
      <c r="BG48" s="47">
        <v>0</v>
      </c>
      <c r="BH48" s="47">
        <v>0.02</v>
      </c>
      <c r="BI48" s="47">
        <v>0</v>
      </c>
      <c r="BJ48" s="47">
        <v>0</v>
      </c>
      <c r="BK48" s="47">
        <v>0.02</v>
      </c>
      <c r="BL48" s="47">
        <v>0</v>
      </c>
      <c r="BM48" s="47">
        <v>0</v>
      </c>
      <c r="BN48" s="47">
        <v>0</v>
      </c>
      <c r="BO48" s="47">
        <v>0.09</v>
      </c>
      <c r="BP48" s="47">
        <v>0</v>
      </c>
      <c r="BQ48" s="47">
        <v>0.07</v>
      </c>
      <c r="BR48" s="47">
        <v>0</v>
      </c>
      <c r="BS48" s="47">
        <v>0</v>
      </c>
      <c r="BT48" s="47">
        <v>0</v>
      </c>
      <c r="BU48" s="47">
        <v>0</v>
      </c>
      <c r="BV48" s="47">
        <v>0</v>
      </c>
      <c r="BW48" s="47">
        <v>0.02</v>
      </c>
      <c r="BX48" s="47">
        <v>0</v>
      </c>
      <c r="BY48" s="47">
        <v>0</v>
      </c>
      <c r="BZ48" s="47">
        <v>0</v>
      </c>
      <c r="CA48" s="47">
        <v>0</v>
      </c>
      <c r="CB48" s="47">
        <v>0</v>
      </c>
      <c r="CC48" s="47">
        <v>0</v>
      </c>
      <c r="CD48" s="47">
        <v>0</v>
      </c>
      <c r="CE48" s="47">
        <v>0</v>
      </c>
      <c r="CF48" s="47">
        <v>0</v>
      </c>
      <c r="CG48" s="47">
        <v>0</v>
      </c>
      <c r="CH48" s="47">
        <v>0</v>
      </c>
      <c r="CI48" s="47">
        <v>0</v>
      </c>
      <c r="CJ48" s="47">
        <v>0</v>
      </c>
      <c r="CK48" s="47">
        <v>0</v>
      </c>
      <c r="CL48" s="47">
        <v>0</v>
      </c>
      <c r="CM48" s="47">
        <v>0</v>
      </c>
      <c r="CN48" s="47">
        <v>0</v>
      </c>
      <c r="CO48" s="47">
        <v>0</v>
      </c>
      <c r="CP48" s="47">
        <v>0</v>
      </c>
      <c r="CQ48" s="47">
        <v>0.05</v>
      </c>
      <c r="CR48" s="47">
        <v>0.05</v>
      </c>
      <c r="CS48" s="47">
        <v>0</v>
      </c>
      <c r="CT48" s="47">
        <v>0.2</v>
      </c>
      <c r="CU48" s="47">
        <v>0.18</v>
      </c>
      <c r="CV48" s="47">
        <v>0.02</v>
      </c>
      <c r="CW48" s="47">
        <v>0</v>
      </c>
      <c r="CX48" s="47">
        <v>0</v>
      </c>
      <c r="CY48" s="47">
        <v>0</v>
      </c>
      <c r="CZ48" s="47">
        <v>0</v>
      </c>
      <c r="DA48" s="47">
        <v>0</v>
      </c>
      <c r="DB48" s="47">
        <v>0</v>
      </c>
      <c r="DC48" s="47">
        <v>0</v>
      </c>
      <c r="DD48" s="47">
        <v>0</v>
      </c>
      <c r="DE48" s="47">
        <v>0</v>
      </c>
      <c r="DF48" s="47">
        <v>0</v>
      </c>
      <c r="DG48" s="47">
        <v>0</v>
      </c>
      <c r="DH48" s="47">
        <v>0</v>
      </c>
      <c r="DI48" s="47">
        <v>0</v>
      </c>
      <c r="DJ48" s="47">
        <v>0</v>
      </c>
      <c r="DK48" s="47">
        <v>0</v>
      </c>
      <c r="DL48" s="47">
        <v>0</v>
      </c>
      <c r="DM48" s="47">
        <v>0</v>
      </c>
      <c r="DN48" s="47">
        <v>0</v>
      </c>
      <c r="DO48" s="47">
        <v>0</v>
      </c>
      <c r="DP48" s="47">
        <v>0</v>
      </c>
      <c r="DQ48" s="47">
        <v>0</v>
      </c>
      <c r="DR48" s="47">
        <v>0</v>
      </c>
    </row>
    <row r="49" spans="1:124" x14ac:dyDescent="0.25">
      <c r="A49" s="47" t="s">
        <v>354</v>
      </c>
      <c r="B49" s="47" t="s">
        <v>151</v>
      </c>
      <c r="C49" s="47" t="s">
        <v>355</v>
      </c>
      <c r="D49" s="47" t="s">
        <v>356</v>
      </c>
      <c r="E49" s="47" t="s">
        <v>357</v>
      </c>
      <c r="F49" s="47" t="s">
        <v>161</v>
      </c>
      <c r="G49" s="47" t="s">
        <v>262</v>
      </c>
      <c r="H49" s="47" t="str">
        <f>=IFERROR(VLOOKUP(A49,'ETPT Format DDG'!A:J,10,FALSE),"")</f>
        <v>0</v>
      </c>
      <c r="I49" s="47" t="str">
        <f>='ETPT Format DDG'!M49</f>
        <v/>
      </c>
      <c r="J49" s="47" t="str">
        <f>='ETPT Format DDG'!D49</f>
        <v/>
      </c>
      <c r="K49" s="47" t="s">
        <v>155</v>
      </c>
      <c r="L49" s="47" t="s">
        <v>257</v>
      </c>
      <c r="M49" s="47"/>
      <c r="N49" s="47">
        <v>1</v>
      </c>
      <c r="O49" s="47">
        <v>1</v>
      </c>
      <c r="P49" s="47">
        <v>0</v>
      </c>
      <c r="Q49" s="47">
        <v>0</v>
      </c>
      <c r="R49" s="47">
        <v>0</v>
      </c>
      <c r="S49" s="47">
        <v>0</v>
      </c>
      <c r="T49" s="47">
        <v>0</v>
      </c>
      <c r="U49" s="47">
        <v>0</v>
      </c>
      <c r="V49" s="47">
        <v>0</v>
      </c>
      <c r="W49" s="47">
        <v>0</v>
      </c>
      <c r="X49" s="47">
        <v>0</v>
      </c>
      <c r="Y49" s="47">
        <v>0</v>
      </c>
      <c r="Z49" s="47">
        <v>0</v>
      </c>
      <c r="AA49" s="47">
        <v>0</v>
      </c>
      <c r="AB49" s="47">
        <v>0</v>
      </c>
      <c r="AC49" s="47">
        <v>0</v>
      </c>
      <c r="AD49" s="47">
        <v>0</v>
      </c>
      <c r="AE49" s="47">
        <v>0</v>
      </c>
      <c r="AF49" s="47">
        <v>0</v>
      </c>
      <c r="AG49" s="47">
        <v>0</v>
      </c>
      <c r="AH49" s="47">
        <v>0</v>
      </c>
      <c r="AI49" s="47">
        <v>0</v>
      </c>
      <c r="AJ49" s="47">
        <v>0</v>
      </c>
      <c r="AK49" s="47">
        <v>0</v>
      </c>
      <c r="AL49" s="47">
        <v>0</v>
      </c>
      <c r="AM49" s="47">
        <v>0</v>
      </c>
      <c r="AN49" s="47">
        <v>0</v>
      </c>
      <c r="AO49" s="47">
        <v>0</v>
      </c>
      <c r="AP49" s="47">
        <v>0</v>
      </c>
      <c r="AQ49" s="47">
        <v>0</v>
      </c>
      <c r="AR49" s="47">
        <v>0</v>
      </c>
      <c r="AS49" s="47">
        <v>0</v>
      </c>
      <c r="AT49" s="47">
        <v>0</v>
      </c>
      <c r="AU49" s="47">
        <v>0</v>
      </c>
      <c r="AV49" s="47">
        <v>0</v>
      </c>
      <c r="AW49" s="47">
        <v>0</v>
      </c>
      <c r="AX49" s="47">
        <v>0</v>
      </c>
      <c r="AY49" s="47">
        <v>0</v>
      </c>
      <c r="AZ49" s="47">
        <v>0</v>
      </c>
      <c r="BA49" s="47">
        <v>0</v>
      </c>
      <c r="BB49" s="47">
        <v>0</v>
      </c>
      <c r="BC49" s="47">
        <v>0</v>
      </c>
      <c r="BD49" s="47">
        <v>0</v>
      </c>
      <c r="BE49" s="47">
        <v>0</v>
      </c>
      <c r="BF49" s="47">
        <v>0</v>
      </c>
      <c r="BG49" s="47">
        <v>0</v>
      </c>
      <c r="BH49" s="47">
        <v>0</v>
      </c>
      <c r="BI49" s="47">
        <v>0</v>
      </c>
      <c r="BJ49" s="47">
        <v>0</v>
      </c>
      <c r="BK49" s="47">
        <v>0</v>
      </c>
      <c r="BL49" s="47">
        <v>0</v>
      </c>
      <c r="BM49" s="47">
        <v>0</v>
      </c>
      <c r="BN49" s="47">
        <v>0</v>
      </c>
      <c r="BO49" s="47">
        <v>0.025</v>
      </c>
      <c r="BP49" s="47">
        <v>0</v>
      </c>
      <c r="BQ49" s="47">
        <v>0</v>
      </c>
      <c r="BR49" s="47">
        <v>0</v>
      </c>
      <c r="BS49" s="47">
        <v>0</v>
      </c>
      <c r="BT49" s="47">
        <v>0</v>
      </c>
      <c r="BU49" s="47">
        <v>0</v>
      </c>
      <c r="BV49" s="47">
        <v>0</v>
      </c>
      <c r="BW49" s="47">
        <v>0</v>
      </c>
      <c r="BX49" s="47">
        <v>0</v>
      </c>
      <c r="BY49" s="47">
        <v>0</v>
      </c>
      <c r="BZ49" s="47">
        <v>0</v>
      </c>
      <c r="CA49" s="47">
        <v>0</v>
      </c>
      <c r="CB49" s="47">
        <v>0</v>
      </c>
      <c r="CC49" s="47">
        <v>0</v>
      </c>
      <c r="CD49" s="47">
        <v>0</v>
      </c>
      <c r="CE49" s="47">
        <v>0</v>
      </c>
      <c r="CF49" s="47">
        <v>0.93</v>
      </c>
      <c r="CG49" s="47">
        <v>0</v>
      </c>
      <c r="CH49" s="47">
        <v>0</v>
      </c>
      <c r="CI49" s="47">
        <v>0</v>
      </c>
      <c r="CJ49" s="47">
        <v>0</v>
      </c>
      <c r="CK49" s="47">
        <v>0</v>
      </c>
      <c r="CL49" s="47">
        <v>0</v>
      </c>
      <c r="CM49" s="47">
        <v>0</v>
      </c>
      <c r="CN49" s="47">
        <v>0</v>
      </c>
      <c r="CO49" s="47">
        <v>0</v>
      </c>
      <c r="CP49" s="47">
        <v>0</v>
      </c>
      <c r="CQ49" s="47">
        <v>0</v>
      </c>
      <c r="CR49" s="47">
        <v>0</v>
      </c>
      <c r="CS49" s="47">
        <v>0</v>
      </c>
      <c r="CT49" s="47">
        <v>0.045</v>
      </c>
      <c r="CU49" s="47">
        <v>0</v>
      </c>
      <c r="CV49" s="47">
        <v>0</v>
      </c>
      <c r="CW49" s="47">
        <v>0</v>
      </c>
      <c r="CX49" s="47">
        <v>0</v>
      </c>
      <c r="CY49" s="47">
        <v>0</v>
      </c>
      <c r="CZ49" s="47">
        <v>0</v>
      </c>
      <c r="DA49" s="47">
        <v>0</v>
      </c>
      <c r="DB49" s="47">
        <v>0</v>
      </c>
      <c r="DC49" s="47">
        <v>0</v>
      </c>
      <c r="DD49" s="47">
        <v>0</v>
      </c>
      <c r="DE49" s="47">
        <v>0</v>
      </c>
      <c r="DF49" s="47">
        <v>0</v>
      </c>
      <c r="DG49" s="47">
        <v>0</v>
      </c>
      <c r="DH49" s="47">
        <v>0</v>
      </c>
      <c r="DI49" s="47">
        <v>0</v>
      </c>
      <c r="DJ49" s="47">
        <v>0</v>
      </c>
      <c r="DK49" s="47">
        <v>0</v>
      </c>
      <c r="DL49" s="47">
        <v>0</v>
      </c>
      <c r="DM49" s="47">
        <v>0</v>
      </c>
      <c r="DN49" s="47">
        <v>0</v>
      </c>
      <c r="DO49" s="47">
        <v>0</v>
      </c>
      <c r="DP49" s="47">
        <v>0</v>
      </c>
      <c r="DQ49" s="47">
        <v>0</v>
      </c>
      <c r="DR49" s="47">
        <v>0</v>
      </c>
    </row>
    <row r="50" spans="1:124" x14ac:dyDescent="0.25">
      <c r="A50" s="47" t="s">
        <v>358</v>
      </c>
      <c r="B50" s="47" t="s">
        <v>151</v>
      </c>
      <c r="C50" s="47" t="s">
        <v>359</v>
      </c>
      <c r="D50" s="47" t="s">
        <v>360</v>
      </c>
      <c r="E50" s="47" t="s">
        <v>361</v>
      </c>
      <c r="F50" s="47" t="s">
        <v>161</v>
      </c>
      <c r="G50" s="47" t="s">
        <v>181</v>
      </c>
      <c r="H50" s="47" t="str">
        <f>=IFERROR(VLOOKUP(A50,'ETPT Format DDG'!A:J,10,FALSE),"")</f>
        <v>0</v>
      </c>
      <c r="I50" s="47" t="str">
        <f>='ETPT Format DDG'!M50</f>
        <v/>
      </c>
      <c r="J50" s="47" t="str">
        <f>='ETPT Format DDG'!D50</f>
        <v/>
      </c>
      <c r="K50" s="47" t="s">
        <v>155</v>
      </c>
      <c r="L50" s="47" t="s">
        <v>362</v>
      </c>
      <c r="M50" s="47"/>
      <c r="N50" s="47">
        <v>1</v>
      </c>
      <c r="O50" s="47">
        <v>1</v>
      </c>
      <c r="P50" s="47">
        <v>0</v>
      </c>
      <c r="Q50" s="47">
        <v>0</v>
      </c>
      <c r="R50" s="47">
        <v>0</v>
      </c>
      <c r="S50" s="47">
        <v>0</v>
      </c>
      <c r="T50" s="47">
        <v>0</v>
      </c>
      <c r="U50" s="47">
        <v>0</v>
      </c>
      <c r="V50" s="47">
        <v>0</v>
      </c>
      <c r="W50" s="47">
        <v>0</v>
      </c>
      <c r="X50" s="47">
        <v>0</v>
      </c>
      <c r="Y50" s="47">
        <v>0</v>
      </c>
      <c r="Z50" s="47">
        <v>0</v>
      </c>
      <c r="AA50" s="47">
        <v>0</v>
      </c>
      <c r="AB50" s="47">
        <v>0</v>
      </c>
      <c r="AC50" s="47">
        <v>0</v>
      </c>
      <c r="AD50" s="47">
        <v>0</v>
      </c>
      <c r="AE50" s="47">
        <v>0</v>
      </c>
      <c r="AF50" s="47">
        <v>0</v>
      </c>
      <c r="AG50" s="47">
        <v>0</v>
      </c>
      <c r="AH50" s="47">
        <v>0</v>
      </c>
      <c r="AI50" s="47">
        <v>0</v>
      </c>
      <c r="AJ50" s="47">
        <v>0</v>
      </c>
      <c r="AK50" s="47">
        <v>0</v>
      </c>
      <c r="AL50" s="47">
        <v>0</v>
      </c>
      <c r="AM50" s="47">
        <v>0</v>
      </c>
      <c r="AN50" s="47">
        <v>0</v>
      </c>
      <c r="AO50" s="47">
        <v>0</v>
      </c>
      <c r="AP50" s="47">
        <v>0</v>
      </c>
      <c r="AQ50" s="47">
        <v>0</v>
      </c>
      <c r="AR50" s="47">
        <v>0</v>
      </c>
      <c r="AS50" s="47">
        <v>0</v>
      </c>
      <c r="AT50" s="47">
        <v>0</v>
      </c>
      <c r="AU50" s="47">
        <v>0</v>
      </c>
      <c r="AV50" s="47">
        <v>0</v>
      </c>
      <c r="AW50" s="47">
        <v>0</v>
      </c>
      <c r="AX50" s="47">
        <v>0</v>
      </c>
      <c r="AY50" s="47">
        <v>0</v>
      </c>
      <c r="AZ50" s="47">
        <v>0</v>
      </c>
      <c r="BA50" s="47">
        <v>0</v>
      </c>
      <c r="BB50" s="47">
        <v>0</v>
      </c>
      <c r="BC50" s="47">
        <v>0</v>
      </c>
      <c r="BD50" s="47">
        <v>0</v>
      </c>
      <c r="BE50" s="47">
        <v>0</v>
      </c>
      <c r="BF50" s="47">
        <v>0</v>
      </c>
      <c r="BG50" s="47">
        <v>0</v>
      </c>
      <c r="BH50" s="47">
        <v>0.317</v>
      </c>
      <c r="BI50" s="47">
        <v>0.228</v>
      </c>
      <c r="BJ50" s="47">
        <v>0.089</v>
      </c>
      <c r="BK50" s="47">
        <v>0</v>
      </c>
      <c r="BL50" s="47">
        <v>0</v>
      </c>
      <c r="BM50" s="47">
        <v>0</v>
      </c>
      <c r="BN50" s="47">
        <v>0</v>
      </c>
      <c r="BO50" s="47">
        <v>0.072</v>
      </c>
      <c r="BP50" s="47">
        <v>0</v>
      </c>
      <c r="BQ50" s="47">
        <v>0</v>
      </c>
      <c r="BR50" s="47">
        <v>0.053</v>
      </c>
      <c r="BS50" s="47">
        <v>0</v>
      </c>
      <c r="BT50" s="47">
        <v>0</v>
      </c>
      <c r="BU50" s="47">
        <v>0</v>
      </c>
      <c r="BV50" s="47">
        <v>0</v>
      </c>
      <c r="BW50" s="47">
        <v>0.019</v>
      </c>
      <c r="BX50" s="47">
        <v>0</v>
      </c>
      <c r="BY50" s="47">
        <v>0</v>
      </c>
      <c r="BZ50" s="47">
        <v>0</v>
      </c>
      <c r="CA50" s="47">
        <v>0</v>
      </c>
      <c r="CB50" s="47">
        <v>0</v>
      </c>
      <c r="CC50" s="47">
        <v>0</v>
      </c>
      <c r="CD50" s="47">
        <v>0</v>
      </c>
      <c r="CE50" s="47">
        <v>0</v>
      </c>
      <c r="CF50" s="47">
        <v>0</v>
      </c>
      <c r="CG50" s="47">
        <v>0</v>
      </c>
      <c r="CH50" s="47">
        <v>0</v>
      </c>
      <c r="CI50" s="47">
        <v>0</v>
      </c>
      <c r="CJ50" s="47">
        <v>0</v>
      </c>
      <c r="CK50" s="47">
        <v>0</v>
      </c>
      <c r="CL50" s="47">
        <v>0</v>
      </c>
      <c r="CM50" s="47">
        <v>0</v>
      </c>
      <c r="CN50" s="47">
        <v>0</v>
      </c>
      <c r="CO50" s="47">
        <v>0</v>
      </c>
      <c r="CP50" s="47">
        <v>0</v>
      </c>
      <c r="CQ50" s="47">
        <v>0.382</v>
      </c>
      <c r="CR50" s="47">
        <v>0</v>
      </c>
      <c r="CS50" s="47">
        <v>0</v>
      </c>
      <c r="CT50" s="47">
        <v>0.229</v>
      </c>
      <c r="CU50" s="47">
        <v>0.2</v>
      </c>
      <c r="CV50" s="47">
        <v>0.029</v>
      </c>
      <c r="CW50" s="47">
        <v>0</v>
      </c>
      <c r="CX50" s="47">
        <v>0</v>
      </c>
      <c r="CY50" s="47">
        <v>0</v>
      </c>
      <c r="CZ50" s="47">
        <v>0</v>
      </c>
      <c r="DA50" s="47">
        <v>0</v>
      </c>
      <c r="DB50" s="47">
        <v>0</v>
      </c>
      <c r="DC50" s="47">
        <v>0</v>
      </c>
      <c r="DD50" s="47">
        <v>0</v>
      </c>
      <c r="DE50" s="47">
        <v>0</v>
      </c>
      <c r="DF50" s="47">
        <v>0</v>
      </c>
      <c r="DG50" s="47">
        <v>0</v>
      </c>
      <c r="DH50" s="47">
        <v>0</v>
      </c>
      <c r="DI50" s="47">
        <v>0</v>
      </c>
      <c r="DJ50" s="47">
        <v>0</v>
      </c>
      <c r="DK50" s="47">
        <v>0</v>
      </c>
      <c r="DL50" s="47">
        <v>0</v>
      </c>
      <c r="DM50" s="47">
        <v>0</v>
      </c>
      <c r="DN50" s="47">
        <v>0</v>
      </c>
      <c r="DO50" s="47">
        <v>0</v>
      </c>
      <c r="DP50" s="47">
        <v>0</v>
      </c>
      <c r="DQ50" s="47">
        <v>0</v>
      </c>
      <c r="DR50" s="47">
        <v>0</v>
      </c>
    </row>
    <row r="51" spans="1:124" x14ac:dyDescent="0.25">
      <c r="A51" s="47" t="s">
        <v>363</v>
      </c>
      <c r="B51" s="47" t="s">
        <v>151</v>
      </c>
      <c r="C51" s="47" t="s">
        <v>364</v>
      </c>
      <c r="D51" s="47" t="s">
        <v>365</v>
      </c>
      <c r="E51" s="47" t="s">
        <v>366</v>
      </c>
      <c r="F51" s="47" t="s">
        <v>161</v>
      </c>
      <c r="G51" s="47" t="s">
        <v>353</v>
      </c>
      <c r="H51" s="47" t="str">
        <f>=IFERROR(VLOOKUP(A51,'ETPT Format DDG'!A:J,10,FALSE),"")</f>
        <v>0</v>
      </c>
      <c r="I51" s="47" t="str">
        <f>='ETPT Format DDG'!M51</f>
        <v/>
      </c>
      <c r="J51" s="47" t="str">
        <f>='ETPT Format DDG'!D51</f>
        <v/>
      </c>
      <c r="K51" s="47" t="s">
        <v>155</v>
      </c>
      <c r="L51" s="47" t="s">
        <v>257</v>
      </c>
      <c r="M51" s="47"/>
      <c r="N51" s="47">
        <v>1</v>
      </c>
      <c r="O51" s="47">
        <v>1</v>
      </c>
      <c r="P51" s="47">
        <v>0</v>
      </c>
      <c r="Q51" s="47">
        <v>0</v>
      </c>
      <c r="R51" s="47">
        <v>0</v>
      </c>
      <c r="S51" s="47">
        <v>0</v>
      </c>
      <c r="T51" s="47">
        <v>0</v>
      </c>
      <c r="U51" s="47">
        <v>0</v>
      </c>
      <c r="V51" s="47">
        <v>0</v>
      </c>
      <c r="W51" s="47">
        <v>0</v>
      </c>
      <c r="X51" s="47">
        <v>0</v>
      </c>
      <c r="Y51" s="47">
        <v>0</v>
      </c>
      <c r="Z51" s="47">
        <v>0</v>
      </c>
      <c r="AA51" s="47">
        <v>0</v>
      </c>
      <c r="AB51" s="47">
        <v>0</v>
      </c>
      <c r="AC51" s="47">
        <v>0</v>
      </c>
      <c r="AD51" s="47">
        <v>0</v>
      </c>
      <c r="AE51" s="47">
        <v>0</v>
      </c>
      <c r="AF51" s="47">
        <v>0</v>
      </c>
      <c r="AG51" s="47">
        <v>0</v>
      </c>
      <c r="AH51" s="47">
        <v>0</v>
      </c>
      <c r="AI51" s="47">
        <v>0</v>
      </c>
      <c r="AJ51" s="47">
        <v>0</v>
      </c>
      <c r="AK51" s="47">
        <v>0</v>
      </c>
      <c r="AL51" s="47">
        <v>0</v>
      </c>
      <c r="AM51" s="47">
        <v>0</v>
      </c>
      <c r="AN51" s="47">
        <v>0.8</v>
      </c>
      <c r="AO51" s="47">
        <v>0</v>
      </c>
      <c r="AP51" s="47">
        <v>0</v>
      </c>
      <c r="AQ51" s="47">
        <v>0</v>
      </c>
      <c r="AR51" s="47">
        <v>0</v>
      </c>
      <c r="AS51" s="47">
        <v>0</v>
      </c>
      <c r="AT51" s="47">
        <v>0</v>
      </c>
      <c r="AU51" s="47">
        <v>0</v>
      </c>
      <c r="AV51" s="47">
        <v>0</v>
      </c>
      <c r="AW51" s="47">
        <v>0</v>
      </c>
      <c r="AX51" s="47">
        <v>0</v>
      </c>
      <c r="AY51" s="47">
        <v>0</v>
      </c>
      <c r="AZ51" s="47">
        <v>0</v>
      </c>
      <c r="BA51" s="47">
        <v>0</v>
      </c>
      <c r="BB51" s="47">
        <v>0</v>
      </c>
      <c r="BC51" s="47">
        <v>0</v>
      </c>
      <c r="BD51" s="47">
        <v>0</v>
      </c>
      <c r="BE51" s="47">
        <v>0</v>
      </c>
      <c r="BF51" s="47">
        <v>0</v>
      </c>
      <c r="BG51" s="47">
        <v>0</v>
      </c>
      <c r="BH51" s="47">
        <v>0</v>
      </c>
      <c r="BI51" s="47">
        <v>0</v>
      </c>
      <c r="BJ51" s="47">
        <v>0</v>
      </c>
      <c r="BK51" s="47">
        <v>0</v>
      </c>
      <c r="BL51" s="47">
        <v>0</v>
      </c>
      <c r="BM51" s="47">
        <v>0</v>
      </c>
      <c r="BN51" s="47">
        <v>0</v>
      </c>
      <c r="BO51" s="47">
        <v>0</v>
      </c>
      <c r="BP51" s="47">
        <v>0</v>
      </c>
      <c r="BQ51" s="47">
        <v>0</v>
      </c>
      <c r="BR51" s="47">
        <v>0</v>
      </c>
      <c r="BS51" s="47">
        <v>0</v>
      </c>
      <c r="BT51" s="47">
        <v>0</v>
      </c>
      <c r="BU51" s="47">
        <v>0</v>
      </c>
      <c r="BV51" s="47">
        <v>0</v>
      </c>
      <c r="BW51" s="47">
        <v>0</v>
      </c>
      <c r="BX51" s="47">
        <v>0</v>
      </c>
      <c r="BY51" s="47">
        <v>0</v>
      </c>
      <c r="BZ51" s="47">
        <v>0</v>
      </c>
      <c r="CA51" s="47">
        <v>0</v>
      </c>
      <c r="CB51" s="47">
        <v>0</v>
      </c>
      <c r="CC51" s="47">
        <v>0</v>
      </c>
      <c r="CD51" s="47">
        <v>0</v>
      </c>
      <c r="CE51" s="47">
        <v>0</v>
      </c>
      <c r="CF51" s="47">
        <v>0</v>
      </c>
      <c r="CG51" s="47">
        <v>0</v>
      </c>
      <c r="CH51" s="47">
        <v>0</v>
      </c>
      <c r="CI51" s="47">
        <v>0</v>
      </c>
      <c r="CJ51" s="47">
        <v>0</v>
      </c>
      <c r="CK51" s="47">
        <v>0</v>
      </c>
      <c r="CL51" s="47">
        <v>0</v>
      </c>
      <c r="CM51" s="47">
        <v>0</v>
      </c>
      <c r="CN51" s="47">
        <v>0</v>
      </c>
      <c r="CO51" s="47">
        <v>0</v>
      </c>
      <c r="CP51" s="47">
        <v>0</v>
      </c>
      <c r="CQ51" s="47">
        <v>0</v>
      </c>
      <c r="CR51" s="47">
        <v>0</v>
      </c>
      <c r="CS51" s="47">
        <v>0</v>
      </c>
      <c r="CT51" s="47">
        <v>0.2</v>
      </c>
      <c r="CU51" s="47">
        <v>0</v>
      </c>
      <c r="CV51" s="47">
        <v>0</v>
      </c>
      <c r="CW51" s="47">
        <v>0</v>
      </c>
      <c r="CX51" s="47">
        <v>0</v>
      </c>
      <c r="CY51" s="47">
        <v>0</v>
      </c>
      <c r="CZ51" s="47">
        <v>0</v>
      </c>
      <c r="DA51" s="47">
        <v>0</v>
      </c>
      <c r="DB51" s="47">
        <v>0</v>
      </c>
      <c r="DC51" s="47">
        <v>0</v>
      </c>
      <c r="DD51" s="47">
        <v>0</v>
      </c>
      <c r="DE51" s="47">
        <v>0</v>
      </c>
      <c r="DF51" s="47">
        <v>0</v>
      </c>
      <c r="DG51" s="47">
        <v>0</v>
      </c>
      <c r="DH51" s="47">
        <v>0</v>
      </c>
      <c r="DI51" s="47">
        <v>0</v>
      </c>
      <c r="DJ51" s="47">
        <v>0</v>
      </c>
      <c r="DK51" s="47">
        <v>0</v>
      </c>
      <c r="DL51" s="47">
        <v>0</v>
      </c>
      <c r="DM51" s="47">
        <v>0</v>
      </c>
      <c r="DN51" s="47">
        <v>0</v>
      </c>
      <c r="DO51" s="47">
        <v>0</v>
      </c>
      <c r="DP51" s="47">
        <v>0</v>
      </c>
      <c r="DQ51" s="47">
        <v>0</v>
      </c>
      <c r="DR51" s="47">
        <v>0</v>
      </c>
    </row>
    <row r="52" spans="1:124" x14ac:dyDescent="0.25">
      <c r="A52" s="47" t="s">
        <v>367</v>
      </c>
      <c r="B52" s="47" t="s">
        <v>151</v>
      </c>
      <c r="C52" s="47" t="s">
        <v>368</v>
      </c>
      <c r="D52" s="47" t="s">
        <v>369</v>
      </c>
      <c r="E52" s="47" t="s">
        <v>370</v>
      </c>
      <c r="F52" s="47" t="s">
        <v>161</v>
      </c>
      <c r="G52" s="47" t="s">
        <v>181</v>
      </c>
      <c r="H52" s="47" t="str">
        <f>=IFERROR(VLOOKUP(A52,'ETPT Format DDG'!A:J,10,FALSE),"")</f>
        <v>0</v>
      </c>
      <c r="I52" s="47" t="str">
        <f>='ETPT Format DDG'!M52</f>
        <v/>
      </c>
      <c r="J52" s="47" t="str">
        <f>='ETPT Format DDG'!D52</f>
        <v/>
      </c>
      <c r="K52" s="47" t="s">
        <v>155</v>
      </c>
      <c r="L52" s="47" t="s">
        <v>208</v>
      </c>
      <c r="M52" s="47"/>
      <c r="N52" s="47">
        <v>1</v>
      </c>
      <c r="O52" s="47">
        <v>1</v>
      </c>
      <c r="P52" s="47">
        <v>0</v>
      </c>
      <c r="Q52" s="47">
        <v>0</v>
      </c>
      <c r="R52" s="47">
        <v>0</v>
      </c>
      <c r="S52" s="47">
        <v>0</v>
      </c>
      <c r="T52" s="47">
        <v>0</v>
      </c>
      <c r="U52" s="47">
        <v>0</v>
      </c>
      <c r="V52" s="47">
        <v>0</v>
      </c>
      <c r="W52" s="47">
        <v>0</v>
      </c>
      <c r="X52" s="47">
        <v>0</v>
      </c>
      <c r="Y52" s="47">
        <v>0</v>
      </c>
      <c r="Z52" s="47">
        <v>0</v>
      </c>
      <c r="AA52" s="47">
        <v>0</v>
      </c>
      <c r="AB52" s="47">
        <v>0</v>
      </c>
      <c r="AC52" s="47">
        <v>0</v>
      </c>
      <c r="AD52" s="47">
        <v>0</v>
      </c>
      <c r="AE52" s="47">
        <v>0</v>
      </c>
      <c r="AF52" s="47">
        <v>0</v>
      </c>
      <c r="AG52" s="47">
        <v>0</v>
      </c>
      <c r="AH52" s="47">
        <v>0</v>
      </c>
      <c r="AI52" s="47">
        <v>0</v>
      </c>
      <c r="AJ52" s="47">
        <v>0</v>
      </c>
      <c r="AK52" s="47">
        <v>0</v>
      </c>
      <c r="AL52" s="47">
        <v>0</v>
      </c>
      <c r="AM52" s="47">
        <v>0</v>
      </c>
      <c r="AN52" s="47">
        <v>0</v>
      </c>
      <c r="AO52" s="47">
        <v>0</v>
      </c>
      <c r="AP52" s="47">
        <v>0</v>
      </c>
      <c r="AQ52" s="47">
        <v>0</v>
      </c>
      <c r="AR52" s="47">
        <v>0</v>
      </c>
      <c r="AS52" s="47">
        <v>0</v>
      </c>
      <c r="AT52" s="47">
        <v>0</v>
      </c>
      <c r="AU52" s="47">
        <v>0</v>
      </c>
      <c r="AV52" s="47">
        <v>0</v>
      </c>
      <c r="AW52" s="47">
        <v>0</v>
      </c>
      <c r="AX52" s="47">
        <v>0</v>
      </c>
      <c r="AY52" s="47">
        <v>0</v>
      </c>
      <c r="AZ52" s="47">
        <v>0</v>
      </c>
      <c r="BA52" s="47">
        <v>0</v>
      </c>
      <c r="BB52" s="47">
        <v>0</v>
      </c>
      <c r="BC52" s="47">
        <v>0</v>
      </c>
      <c r="BD52" s="47">
        <v>0</v>
      </c>
      <c r="BE52" s="47">
        <v>0</v>
      </c>
      <c r="BF52" s="47">
        <v>0</v>
      </c>
      <c r="BG52" s="47">
        <v>0</v>
      </c>
      <c r="BH52" s="47">
        <v>0.275</v>
      </c>
      <c r="BI52" s="47">
        <v>0</v>
      </c>
      <c r="BJ52" s="47">
        <v>0</v>
      </c>
      <c r="BK52" s="47">
        <v>0</v>
      </c>
      <c r="BL52" s="47">
        <v>0</v>
      </c>
      <c r="BM52" s="47">
        <v>0</v>
      </c>
      <c r="BN52" s="47">
        <v>0</v>
      </c>
      <c r="BO52" s="47">
        <v>0</v>
      </c>
      <c r="BP52" s="47">
        <v>0</v>
      </c>
      <c r="BQ52" s="47">
        <v>0</v>
      </c>
      <c r="BR52" s="47">
        <v>0</v>
      </c>
      <c r="BS52" s="47">
        <v>0</v>
      </c>
      <c r="BT52" s="47">
        <v>0</v>
      </c>
      <c r="BU52" s="47">
        <v>0</v>
      </c>
      <c r="BV52" s="47">
        <v>0</v>
      </c>
      <c r="BW52" s="47">
        <v>0</v>
      </c>
      <c r="BX52" s="47">
        <v>0</v>
      </c>
      <c r="BY52" s="47">
        <v>0</v>
      </c>
      <c r="BZ52" s="47">
        <v>0</v>
      </c>
      <c r="CA52" s="47">
        <v>0</v>
      </c>
      <c r="CB52" s="47">
        <v>0</v>
      </c>
      <c r="CC52" s="47">
        <v>0</v>
      </c>
      <c r="CD52" s="47">
        <v>0</v>
      </c>
      <c r="CE52" s="47">
        <v>0</v>
      </c>
      <c r="CF52" s="47">
        <v>0</v>
      </c>
      <c r="CG52" s="47">
        <v>0</v>
      </c>
      <c r="CH52" s="47">
        <v>0</v>
      </c>
      <c r="CI52" s="47">
        <v>0</v>
      </c>
      <c r="CJ52" s="47">
        <v>0</v>
      </c>
      <c r="CK52" s="47">
        <v>0</v>
      </c>
      <c r="CL52" s="47">
        <v>0</v>
      </c>
      <c r="CM52" s="47">
        <v>0</v>
      </c>
      <c r="CN52" s="47">
        <v>0</v>
      </c>
      <c r="CO52" s="47">
        <v>0</v>
      </c>
      <c r="CP52" s="47">
        <v>0</v>
      </c>
      <c r="CQ52" s="47">
        <v>0.64</v>
      </c>
      <c r="CR52" s="47">
        <v>0</v>
      </c>
      <c r="CS52" s="47">
        <v>0</v>
      </c>
      <c r="CT52" s="47">
        <v>0.085</v>
      </c>
      <c r="CU52" s="47">
        <v>0.085</v>
      </c>
      <c r="CV52" s="47">
        <v>0</v>
      </c>
      <c r="CW52" s="47">
        <v>0</v>
      </c>
      <c r="CX52" s="47">
        <v>0</v>
      </c>
      <c r="CY52" s="47">
        <v>0</v>
      </c>
      <c r="CZ52" s="47">
        <v>0</v>
      </c>
      <c r="DA52" s="47">
        <v>0</v>
      </c>
      <c r="DB52" s="47">
        <v>0</v>
      </c>
      <c r="DC52" s="47">
        <v>0</v>
      </c>
      <c r="DD52" s="47">
        <v>0</v>
      </c>
      <c r="DE52" s="47">
        <v>0</v>
      </c>
      <c r="DF52" s="47">
        <v>0</v>
      </c>
      <c r="DG52" s="47">
        <v>0</v>
      </c>
      <c r="DH52" s="47">
        <v>0</v>
      </c>
      <c r="DI52" s="47">
        <v>0</v>
      </c>
      <c r="DJ52" s="47">
        <v>0</v>
      </c>
      <c r="DK52" s="47">
        <v>0</v>
      </c>
      <c r="DL52" s="47">
        <v>0</v>
      </c>
      <c r="DM52" s="47">
        <v>0</v>
      </c>
      <c r="DN52" s="47">
        <v>0</v>
      </c>
      <c r="DO52" s="47">
        <v>0</v>
      </c>
      <c r="DP52" s="47">
        <v>0</v>
      </c>
      <c r="DQ52" s="47">
        <v>0</v>
      </c>
      <c r="DR52" s="47">
        <v>0</v>
      </c>
    </row>
    <row r="53" spans="1:124" x14ac:dyDescent="0.25">
      <c r="A53" s="47" t="s">
        <v>371</v>
      </c>
      <c r="B53" s="47" t="s">
        <v>151</v>
      </c>
      <c r="C53" s="47" t="s">
        <v>372</v>
      </c>
      <c r="D53" s="47" t="s">
        <v>373</v>
      </c>
      <c r="E53" s="47" t="s">
        <v>374</v>
      </c>
      <c r="F53" s="47" t="s">
        <v>161</v>
      </c>
      <c r="G53" s="47" t="s">
        <v>353</v>
      </c>
      <c r="H53" s="47" t="str">
        <f>=IFERROR(VLOOKUP(A53,'ETPT Format DDG'!A:J,10,FALSE),"")</f>
        <v>0</v>
      </c>
      <c r="I53" s="47" t="str">
        <f>='ETPT Format DDG'!M53</f>
        <v/>
      </c>
      <c r="J53" s="47" t="str">
        <f>='ETPT Format DDG'!D53</f>
        <v/>
      </c>
      <c r="K53" s="47" t="s">
        <v>155</v>
      </c>
      <c r="L53" s="47" t="s">
        <v>375</v>
      </c>
      <c r="M53" s="47" t="s">
        <v>170</v>
      </c>
      <c r="N53" s="47">
        <v>1</v>
      </c>
      <c r="O53" s="47">
        <v>1</v>
      </c>
      <c r="P53" s="47">
        <v>0</v>
      </c>
      <c r="Q53" s="47">
        <v>0</v>
      </c>
      <c r="R53" s="47">
        <v>0</v>
      </c>
      <c r="S53" s="47">
        <v>0</v>
      </c>
      <c r="T53" s="47">
        <v>0</v>
      </c>
      <c r="U53" s="47">
        <v>0</v>
      </c>
      <c r="V53" s="47">
        <v>0</v>
      </c>
      <c r="W53" s="47">
        <v>0</v>
      </c>
      <c r="X53" s="47">
        <v>0</v>
      </c>
      <c r="Y53" s="47">
        <v>0</v>
      </c>
      <c r="Z53" s="47">
        <v>0</v>
      </c>
      <c r="AA53" s="47">
        <v>0</v>
      </c>
      <c r="AB53" s="47">
        <v>0</v>
      </c>
      <c r="AC53" s="47">
        <v>0</v>
      </c>
      <c r="AD53" s="47">
        <v>0</v>
      </c>
      <c r="AE53" s="47">
        <v>0</v>
      </c>
      <c r="AF53" s="47">
        <v>0</v>
      </c>
      <c r="AG53" s="47">
        <v>0</v>
      </c>
      <c r="AH53" s="47">
        <v>0</v>
      </c>
      <c r="AI53" s="47">
        <v>0</v>
      </c>
      <c r="AJ53" s="47">
        <v>0</v>
      </c>
      <c r="AK53" s="47">
        <v>0</v>
      </c>
      <c r="AL53" s="47">
        <v>0</v>
      </c>
      <c r="AM53" s="47">
        <v>0</v>
      </c>
      <c r="AN53" s="47">
        <v>0.45</v>
      </c>
      <c r="AO53" s="47">
        <v>0</v>
      </c>
      <c r="AP53" s="47">
        <v>0</v>
      </c>
      <c r="AQ53" s="47">
        <v>0</v>
      </c>
      <c r="AR53" s="47">
        <v>0</v>
      </c>
      <c r="AS53" s="47">
        <v>0</v>
      </c>
      <c r="AT53" s="47">
        <v>0</v>
      </c>
      <c r="AU53" s="47">
        <v>0</v>
      </c>
      <c r="AV53" s="47">
        <v>0</v>
      </c>
      <c r="AW53" s="47">
        <v>0</v>
      </c>
      <c r="AX53" s="47">
        <v>0.1</v>
      </c>
      <c r="AY53" s="47">
        <v>0</v>
      </c>
      <c r="AZ53" s="47">
        <v>0</v>
      </c>
      <c r="BA53" s="47">
        <v>0.03</v>
      </c>
      <c r="BB53" s="47">
        <v>0</v>
      </c>
      <c r="BC53" s="47">
        <v>0.05</v>
      </c>
      <c r="BD53" s="47">
        <v>0</v>
      </c>
      <c r="BE53" s="47">
        <v>0</v>
      </c>
      <c r="BF53" s="47">
        <v>0.1</v>
      </c>
      <c r="BG53" s="47">
        <v>0.17</v>
      </c>
      <c r="BH53" s="47">
        <v>0</v>
      </c>
      <c r="BI53" s="47">
        <v>0</v>
      </c>
      <c r="BJ53" s="47">
        <v>0</v>
      </c>
      <c r="BK53" s="47">
        <v>0</v>
      </c>
      <c r="BL53" s="47">
        <v>0</v>
      </c>
      <c r="BM53" s="47">
        <v>0</v>
      </c>
      <c r="BN53" s="47">
        <v>0</v>
      </c>
      <c r="BO53" s="47">
        <v>0.03</v>
      </c>
      <c r="BP53" s="47">
        <v>0.03</v>
      </c>
      <c r="BQ53" s="47">
        <v>0</v>
      </c>
      <c r="BR53" s="47">
        <v>0</v>
      </c>
      <c r="BS53" s="47">
        <v>0</v>
      </c>
      <c r="BT53" s="47">
        <v>0</v>
      </c>
      <c r="BU53" s="47">
        <v>0</v>
      </c>
      <c r="BV53" s="47">
        <v>0</v>
      </c>
      <c r="BW53" s="47">
        <v>0</v>
      </c>
      <c r="BX53" s="47">
        <v>0</v>
      </c>
      <c r="BY53" s="47">
        <v>0</v>
      </c>
      <c r="BZ53" s="47">
        <v>0</v>
      </c>
      <c r="CA53" s="47">
        <v>0</v>
      </c>
      <c r="CB53" s="47">
        <v>0</v>
      </c>
      <c r="CC53" s="47">
        <v>0</v>
      </c>
      <c r="CD53" s="47">
        <v>0</v>
      </c>
      <c r="CE53" s="47">
        <v>0</v>
      </c>
      <c r="CF53" s="47">
        <v>0</v>
      </c>
      <c r="CG53" s="47">
        <v>0</v>
      </c>
      <c r="CH53" s="47">
        <v>0</v>
      </c>
      <c r="CI53" s="47">
        <v>0</v>
      </c>
      <c r="CJ53" s="47">
        <v>0</v>
      </c>
      <c r="CK53" s="47">
        <v>0</v>
      </c>
      <c r="CL53" s="47">
        <v>0</v>
      </c>
      <c r="CM53" s="47">
        <v>0</v>
      </c>
      <c r="CN53" s="47">
        <v>0</v>
      </c>
      <c r="CO53" s="47">
        <v>0</v>
      </c>
      <c r="CP53" s="47">
        <v>0</v>
      </c>
      <c r="CQ53" s="47">
        <v>0.02</v>
      </c>
      <c r="CR53" s="47">
        <v>0.02</v>
      </c>
      <c r="CS53" s="47">
        <v>0</v>
      </c>
      <c r="CT53" s="47">
        <v>0.5</v>
      </c>
      <c r="CU53" s="47">
        <v>0.35</v>
      </c>
      <c r="CV53" s="47">
        <v>0</v>
      </c>
      <c r="CW53" s="47">
        <v>0.05</v>
      </c>
      <c r="CX53" s="47">
        <v>0.1</v>
      </c>
      <c r="CY53" s="47">
        <v>0</v>
      </c>
      <c r="CZ53" s="47">
        <v>0</v>
      </c>
      <c r="DA53" s="47">
        <v>0</v>
      </c>
      <c r="DB53" s="47">
        <v>0</v>
      </c>
      <c r="DC53" s="47">
        <v>0</v>
      </c>
      <c r="DD53" s="47">
        <v>0</v>
      </c>
      <c r="DE53" s="47">
        <v>0</v>
      </c>
      <c r="DF53" s="47">
        <v>0</v>
      </c>
      <c r="DG53" s="47">
        <v>0</v>
      </c>
      <c r="DH53" s="47">
        <v>0</v>
      </c>
      <c r="DI53" s="47">
        <v>0</v>
      </c>
      <c r="DJ53" s="47">
        <v>0</v>
      </c>
      <c r="DK53" s="47">
        <v>0</v>
      </c>
      <c r="DL53" s="47">
        <v>0</v>
      </c>
      <c r="DM53" s="47">
        <v>0</v>
      </c>
      <c r="DN53" s="47">
        <v>0</v>
      </c>
      <c r="DO53" s="47">
        <v>0</v>
      </c>
      <c r="DP53" s="47">
        <v>0</v>
      </c>
      <c r="DQ53" s="47">
        <v>0</v>
      </c>
      <c r="DR53" s="47">
        <v>0</v>
      </c>
    </row>
    <row r="54" spans="1:124" x14ac:dyDescent="0.25">
      <c r="A54" s="47" t="s">
        <v>376</v>
      </c>
      <c r="B54" s="47" t="s">
        <v>151</v>
      </c>
      <c r="C54" s="47" t="s">
        <v>377</v>
      </c>
      <c r="D54" s="47" t="s">
        <v>378</v>
      </c>
      <c r="E54" s="47" t="s">
        <v>379</v>
      </c>
      <c r="F54" s="47" t="s">
        <v>380</v>
      </c>
      <c r="G54" s="47" t="s">
        <v>381</v>
      </c>
      <c r="H54" s="47" t="str">
        <f>=IFERROR(VLOOKUP(A54,'ETPT Format DDG'!A:J,10,FALSE),"")</f>
        <v>0</v>
      </c>
      <c r="I54" s="47" t="str">
        <f>='ETPT Format DDG'!M54</f>
        <v/>
      </c>
      <c r="J54" s="47" t="str">
        <f>='ETPT Format DDG'!D54</f>
        <v/>
      </c>
      <c r="K54" s="47" t="s">
        <v>155</v>
      </c>
      <c r="L54" s="47" t="s">
        <v>208</v>
      </c>
      <c r="M54" s="47"/>
      <c r="N54" s="47">
        <v>1</v>
      </c>
      <c r="O54" s="47">
        <v>1</v>
      </c>
      <c r="P54" s="47">
        <v>0</v>
      </c>
      <c r="Q54" s="47">
        <v>0</v>
      </c>
      <c r="R54" s="47">
        <v>0</v>
      </c>
      <c r="S54" s="47">
        <v>0</v>
      </c>
      <c r="T54" s="47">
        <v>0</v>
      </c>
      <c r="U54" s="47">
        <v>0</v>
      </c>
      <c r="V54" s="47">
        <v>0</v>
      </c>
      <c r="W54" s="47">
        <v>0</v>
      </c>
      <c r="X54" s="47">
        <v>0</v>
      </c>
      <c r="Y54" s="47">
        <v>0</v>
      </c>
      <c r="Z54" s="47">
        <v>0</v>
      </c>
      <c r="AA54" s="47">
        <v>0</v>
      </c>
      <c r="AB54" s="47">
        <v>0</v>
      </c>
      <c r="AC54" s="47">
        <v>0</v>
      </c>
      <c r="AD54" s="47">
        <v>0</v>
      </c>
      <c r="AE54" s="47">
        <v>0</v>
      </c>
      <c r="AF54" s="47">
        <v>0</v>
      </c>
      <c r="AG54" s="47">
        <v>0</v>
      </c>
      <c r="AH54" s="47">
        <v>0</v>
      </c>
      <c r="AI54" s="47">
        <v>0</v>
      </c>
      <c r="AJ54" s="47">
        <v>0</v>
      </c>
      <c r="AK54" s="47">
        <v>0</v>
      </c>
      <c r="AL54" s="47">
        <v>0</v>
      </c>
      <c r="AM54" s="47">
        <v>0</v>
      </c>
      <c r="AN54" s="47">
        <v>0</v>
      </c>
      <c r="AO54" s="47">
        <v>0</v>
      </c>
      <c r="AP54" s="47">
        <v>0</v>
      </c>
      <c r="AQ54" s="47">
        <v>0</v>
      </c>
      <c r="AR54" s="47">
        <v>0</v>
      </c>
      <c r="AS54" s="47">
        <v>0</v>
      </c>
      <c r="AT54" s="47">
        <v>0</v>
      </c>
      <c r="AU54" s="47">
        <v>0</v>
      </c>
      <c r="AV54" s="47">
        <v>0</v>
      </c>
      <c r="AW54" s="47">
        <v>0</v>
      </c>
      <c r="AX54" s="47">
        <v>0</v>
      </c>
      <c r="AY54" s="47">
        <v>0</v>
      </c>
      <c r="AZ54" s="47">
        <v>0</v>
      </c>
      <c r="BA54" s="47">
        <v>0</v>
      </c>
      <c r="BB54" s="47">
        <v>0</v>
      </c>
      <c r="BC54" s="47">
        <v>0</v>
      </c>
      <c r="BD54" s="47">
        <v>0</v>
      </c>
      <c r="BE54" s="47">
        <v>0</v>
      </c>
      <c r="BF54" s="47">
        <v>0</v>
      </c>
      <c r="BG54" s="47">
        <v>0</v>
      </c>
      <c r="BH54" s="47">
        <v>0</v>
      </c>
      <c r="BI54" s="47">
        <v>0</v>
      </c>
      <c r="BJ54" s="47">
        <v>0</v>
      </c>
      <c r="BK54" s="47">
        <v>0</v>
      </c>
      <c r="BL54" s="47">
        <v>0</v>
      </c>
      <c r="BM54" s="47">
        <v>0</v>
      </c>
      <c r="BN54" s="47">
        <v>0</v>
      </c>
      <c r="BO54" s="47">
        <v>0</v>
      </c>
      <c r="BP54" s="47">
        <v>0</v>
      </c>
      <c r="BQ54" s="47">
        <v>0</v>
      </c>
      <c r="BR54" s="47">
        <v>0</v>
      </c>
      <c r="BS54" s="47">
        <v>0</v>
      </c>
      <c r="BT54" s="47">
        <v>0</v>
      </c>
      <c r="BU54" s="47">
        <v>0</v>
      </c>
      <c r="BV54" s="47">
        <v>0</v>
      </c>
      <c r="BW54" s="47">
        <v>0</v>
      </c>
      <c r="BX54" s="47">
        <v>0</v>
      </c>
      <c r="BY54" s="47">
        <v>0</v>
      </c>
      <c r="BZ54" s="47">
        <v>0</v>
      </c>
      <c r="CA54" s="47">
        <v>0</v>
      </c>
      <c r="CB54" s="47">
        <v>0</v>
      </c>
      <c r="CC54" s="47">
        <v>0</v>
      </c>
      <c r="CD54" s="47">
        <v>0</v>
      </c>
      <c r="CE54" s="47">
        <v>0</v>
      </c>
      <c r="CF54" s="47">
        <v>1</v>
      </c>
      <c r="CG54" s="47">
        <v>1</v>
      </c>
      <c r="CH54" s="47">
        <v>0</v>
      </c>
      <c r="CI54" s="47">
        <v>0</v>
      </c>
      <c r="CJ54" s="47">
        <v>0</v>
      </c>
      <c r="CK54" s="47">
        <v>0</v>
      </c>
      <c r="CL54" s="47">
        <v>0</v>
      </c>
      <c r="CM54" s="47">
        <v>0</v>
      </c>
      <c r="CN54" s="47">
        <v>0</v>
      </c>
      <c r="CO54" s="47">
        <v>0</v>
      </c>
      <c r="CP54" s="47">
        <v>0</v>
      </c>
      <c r="CQ54" s="47">
        <v>0</v>
      </c>
      <c r="CR54" s="47">
        <v>0</v>
      </c>
      <c r="CS54" s="47">
        <v>0</v>
      </c>
      <c r="CT54" s="47">
        <v>0</v>
      </c>
      <c r="CU54" s="47">
        <v>0</v>
      </c>
      <c r="CV54" s="47">
        <v>0</v>
      </c>
      <c r="CW54" s="47">
        <v>0</v>
      </c>
      <c r="CX54" s="47">
        <v>0</v>
      </c>
      <c r="CY54" s="47">
        <v>0</v>
      </c>
      <c r="CZ54" s="47">
        <v>0</v>
      </c>
      <c r="DA54" s="47">
        <v>0</v>
      </c>
      <c r="DB54" s="47">
        <v>0</v>
      </c>
      <c r="DC54" s="47">
        <v>0</v>
      </c>
      <c r="DD54" s="47">
        <v>0</v>
      </c>
      <c r="DE54" s="47">
        <v>0</v>
      </c>
      <c r="DF54" s="47">
        <v>0</v>
      </c>
      <c r="DG54" s="47">
        <v>0</v>
      </c>
      <c r="DH54" s="47">
        <v>0</v>
      </c>
      <c r="DI54" s="47">
        <v>0</v>
      </c>
      <c r="DJ54" s="47">
        <v>0</v>
      </c>
      <c r="DK54" s="47">
        <v>0</v>
      </c>
      <c r="DL54" s="47">
        <v>0</v>
      </c>
      <c r="DM54" s="47">
        <v>0</v>
      </c>
      <c r="DN54" s="47">
        <v>0</v>
      </c>
      <c r="DO54" s="47">
        <v>0</v>
      </c>
      <c r="DP54" s="47">
        <v>0</v>
      </c>
      <c r="DQ54" s="47">
        <v>0</v>
      </c>
      <c r="DR54" s="47">
        <v>0</v>
      </c>
    </row>
    <row r="55" spans="1:124" x14ac:dyDescent="0.25">
      <c r="A55" s="47" t="s">
        <v>382</v>
      </c>
      <c r="B55" s="47" t="s">
        <v>151</v>
      </c>
      <c r="C55" s="47" t="s">
        <v>383</v>
      </c>
      <c r="D55" s="47" t="s">
        <v>384</v>
      </c>
      <c r="E55" s="47" t="s">
        <v>385</v>
      </c>
      <c r="F55" s="47" t="s">
        <v>380</v>
      </c>
      <c r="G55" s="47" t="s">
        <v>381</v>
      </c>
      <c r="H55" s="47" t="str">
        <f>=IFERROR(VLOOKUP(A55,'ETPT Format DDG'!A:J,10,FALSE),"")</f>
        <v>0</v>
      </c>
      <c r="I55" s="47" t="str">
        <f>='ETPT Format DDG'!M55</f>
        <v/>
      </c>
      <c r="J55" s="47" t="str">
        <f>='ETPT Format DDG'!D55</f>
        <v/>
      </c>
      <c r="K55" s="47" t="s">
        <v>155</v>
      </c>
      <c r="L55" s="47" t="s">
        <v>386</v>
      </c>
      <c r="M55" s="47"/>
      <c r="N55" s="47">
        <v>1</v>
      </c>
      <c r="O55" s="47">
        <v>1</v>
      </c>
      <c r="P55" s="47">
        <v>0</v>
      </c>
      <c r="Q55" s="47">
        <v>0</v>
      </c>
      <c r="R55" s="47">
        <v>0</v>
      </c>
      <c r="S55" s="47">
        <v>0</v>
      </c>
      <c r="T55" s="47">
        <v>0</v>
      </c>
      <c r="U55" s="47">
        <v>0</v>
      </c>
      <c r="V55" s="47">
        <v>0</v>
      </c>
      <c r="W55" s="47">
        <v>0</v>
      </c>
      <c r="X55" s="47">
        <v>0</v>
      </c>
      <c r="Y55" s="47">
        <v>0</v>
      </c>
      <c r="Z55" s="47">
        <v>0</v>
      </c>
      <c r="AA55" s="47">
        <v>0</v>
      </c>
      <c r="AB55" s="47">
        <v>0</v>
      </c>
      <c r="AC55" s="47">
        <v>0</v>
      </c>
      <c r="AD55" s="47">
        <v>0</v>
      </c>
      <c r="AE55" s="47">
        <v>0</v>
      </c>
      <c r="AF55" s="47">
        <v>0</v>
      </c>
      <c r="AG55" s="47">
        <v>0</v>
      </c>
      <c r="AH55" s="47">
        <v>0</v>
      </c>
      <c r="AI55" s="47">
        <v>0</v>
      </c>
      <c r="AJ55" s="47">
        <v>0</v>
      </c>
      <c r="AK55" s="47">
        <v>0</v>
      </c>
      <c r="AL55" s="47">
        <v>0</v>
      </c>
      <c r="AM55" s="47">
        <v>0</v>
      </c>
      <c r="AN55" s="47">
        <v>0.53</v>
      </c>
      <c r="AO55" s="47">
        <v>0</v>
      </c>
      <c r="AP55" s="47">
        <v>0</v>
      </c>
      <c r="AQ55" s="47">
        <v>0</v>
      </c>
      <c r="AR55" s="47">
        <v>0</v>
      </c>
      <c r="AS55" s="47">
        <v>0</v>
      </c>
      <c r="AT55" s="47">
        <v>0</v>
      </c>
      <c r="AU55" s="47">
        <v>0</v>
      </c>
      <c r="AV55" s="47">
        <v>0</v>
      </c>
      <c r="AW55" s="47">
        <v>0</v>
      </c>
      <c r="AX55" s="47">
        <v>0</v>
      </c>
      <c r="AY55" s="47">
        <v>0</v>
      </c>
      <c r="AZ55" s="47">
        <v>0</v>
      </c>
      <c r="BA55" s="47">
        <v>0</v>
      </c>
      <c r="BB55" s="47">
        <v>0</v>
      </c>
      <c r="BC55" s="47">
        <v>0.1</v>
      </c>
      <c r="BD55" s="47">
        <v>0</v>
      </c>
      <c r="BE55" s="47">
        <v>0</v>
      </c>
      <c r="BF55" s="47">
        <v>0.43</v>
      </c>
      <c r="BG55" s="47">
        <v>0</v>
      </c>
      <c r="BH55" s="47">
        <v>0.02</v>
      </c>
      <c r="BI55" s="47">
        <v>0</v>
      </c>
      <c r="BJ55" s="47">
        <v>0.02</v>
      </c>
      <c r="BK55" s="47">
        <v>0</v>
      </c>
      <c r="BL55" s="47">
        <v>0</v>
      </c>
      <c r="BM55" s="47">
        <v>0</v>
      </c>
      <c r="BN55" s="47">
        <v>0</v>
      </c>
      <c r="BO55" s="47">
        <v>0</v>
      </c>
      <c r="BP55" s="47">
        <v>0</v>
      </c>
      <c r="BQ55" s="47">
        <v>0</v>
      </c>
      <c r="BR55" s="47">
        <v>0</v>
      </c>
      <c r="BS55" s="47">
        <v>0</v>
      </c>
      <c r="BT55" s="47">
        <v>0</v>
      </c>
      <c r="BU55" s="47">
        <v>0</v>
      </c>
      <c r="BV55" s="47">
        <v>0</v>
      </c>
      <c r="BW55" s="47">
        <v>0</v>
      </c>
      <c r="BX55" s="47">
        <v>0</v>
      </c>
      <c r="BY55" s="47">
        <v>0</v>
      </c>
      <c r="BZ55" s="47">
        <v>0</v>
      </c>
      <c r="CA55" s="47">
        <v>0</v>
      </c>
      <c r="CB55" s="47">
        <v>0</v>
      </c>
      <c r="CC55" s="47">
        <v>0</v>
      </c>
      <c r="CD55" s="47">
        <v>0</v>
      </c>
      <c r="CE55" s="47">
        <v>0</v>
      </c>
      <c r="CF55" s="47">
        <v>0</v>
      </c>
      <c r="CG55" s="47">
        <v>0</v>
      </c>
      <c r="CH55" s="47">
        <v>0</v>
      </c>
      <c r="CI55" s="47">
        <v>0</v>
      </c>
      <c r="CJ55" s="47">
        <v>0</v>
      </c>
      <c r="CK55" s="47">
        <v>0</v>
      </c>
      <c r="CL55" s="47">
        <v>0</v>
      </c>
      <c r="CM55" s="47">
        <v>0</v>
      </c>
      <c r="CN55" s="47">
        <v>0</v>
      </c>
      <c r="CO55" s="47">
        <v>0</v>
      </c>
      <c r="CP55" s="47">
        <v>0</v>
      </c>
      <c r="CQ55" s="47">
        <v>0</v>
      </c>
      <c r="CR55" s="47">
        <v>0</v>
      </c>
      <c r="CS55" s="47">
        <v>0</v>
      </c>
      <c r="CT55" s="47">
        <v>0.45</v>
      </c>
      <c r="CU55" s="47">
        <v>0.45</v>
      </c>
      <c r="CV55" s="47">
        <v>0</v>
      </c>
      <c r="CW55" s="47">
        <v>0</v>
      </c>
      <c r="CX55" s="47">
        <v>0</v>
      </c>
      <c r="CY55" s="47">
        <v>0</v>
      </c>
      <c r="CZ55" s="47">
        <v>0</v>
      </c>
      <c r="DA55" s="47">
        <v>0</v>
      </c>
      <c r="DB55" s="47">
        <v>0</v>
      </c>
      <c r="DC55" s="47">
        <v>0</v>
      </c>
      <c r="DD55" s="47">
        <v>0</v>
      </c>
      <c r="DE55" s="47">
        <v>0</v>
      </c>
      <c r="DF55" s="47">
        <v>0</v>
      </c>
      <c r="DG55" s="47">
        <v>0</v>
      </c>
      <c r="DH55" s="47">
        <v>0</v>
      </c>
      <c r="DI55" s="47">
        <v>0</v>
      </c>
      <c r="DJ55" s="47">
        <v>0</v>
      </c>
      <c r="DK55" s="47">
        <v>0</v>
      </c>
      <c r="DL55" s="47">
        <v>0</v>
      </c>
      <c r="DM55" s="47">
        <v>0</v>
      </c>
      <c r="DN55" s="47">
        <v>0</v>
      </c>
      <c r="DO55" s="47">
        <v>0</v>
      </c>
      <c r="DP55" s="47">
        <v>0</v>
      </c>
      <c r="DQ55" s="47">
        <v>0</v>
      </c>
      <c r="DR55" s="47">
        <v>0</v>
      </c>
    </row>
    <row r="56" spans="1:124" x14ac:dyDescent="0.25">
      <c r="A56" s="47" t="s">
        <v>387</v>
      </c>
      <c r="B56" s="47" t="s">
        <v>151</v>
      </c>
      <c r="C56" s="47" t="s">
        <v>388</v>
      </c>
      <c r="D56" s="47" t="s">
        <v>389</v>
      </c>
      <c r="E56" s="47" t="s">
        <v>390</v>
      </c>
      <c r="F56" s="47" t="s">
        <v>380</v>
      </c>
      <c r="G56" s="47" t="s">
        <v>391</v>
      </c>
      <c r="H56" s="47" t="str">
        <f>=IFERROR(VLOOKUP(A56,'ETPT Format DDG'!A:J,10,FALSE),"")</f>
        <v>0</v>
      </c>
      <c r="I56" s="47" t="str">
        <f>='ETPT Format DDG'!M56</f>
        <v/>
      </c>
      <c r="J56" s="47" t="str">
        <f>='ETPT Format DDG'!D56</f>
        <v/>
      </c>
      <c r="K56" s="47" t="s">
        <v>155</v>
      </c>
      <c r="L56" s="47" t="s">
        <v>176</v>
      </c>
      <c r="M56" s="47"/>
      <c r="N56" s="47">
        <v>1</v>
      </c>
      <c r="O56" s="47">
        <v>1</v>
      </c>
      <c r="P56" s="47">
        <v>0</v>
      </c>
      <c r="Q56" s="47">
        <v>0</v>
      </c>
      <c r="R56" s="47">
        <v>0</v>
      </c>
      <c r="S56" s="47">
        <v>0</v>
      </c>
      <c r="T56" s="47">
        <v>0</v>
      </c>
      <c r="U56" s="47">
        <v>0</v>
      </c>
      <c r="V56" s="47">
        <v>0</v>
      </c>
      <c r="W56" s="47">
        <v>0</v>
      </c>
      <c r="X56" s="47">
        <v>0</v>
      </c>
      <c r="Y56" s="47">
        <v>0</v>
      </c>
      <c r="Z56" s="47">
        <v>0</v>
      </c>
      <c r="AA56" s="47">
        <v>0</v>
      </c>
      <c r="AB56" s="47">
        <v>0</v>
      </c>
      <c r="AC56" s="47">
        <v>0</v>
      </c>
      <c r="AD56" s="47">
        <v>0</v>
      </c>
      <c r="AE56" s="47">
        <v>0</v>
      </c>
      <c r="AF56" s="47">
        <v>0</v>
      </c>
      <c r="AG56" s="47">
        <v>0</v>
      </c>
      <c r="AH56" s="47">
        <v>0</v>
      </c>
      <c r="AI56" s="47">
        <v>0</v>
      </c>
      <c r="AJ56" s="47">
        <v>0</v>
      </c>
      <c r="AK56" s="47">
        <v>0</v>
      </c>
      <c r="AL56" s="47">
        <v>0</v>
      </c>
      <c r="AM56" s="47">
        <v>0</v>
      </c>
      <c r="AN56" s="47">
        <v>0</v>
      </c>
      <c r="AO56" s="47">
        <v>0</v>
      </c>
      <c r="AP56" s="47">
        <v>0</v>
      </c>
      <c r="AQ56" s="47">
        <v>0</v>
      </c>
      <c r="AR56" s="47">
        <v>0</v>
      </c>
      <c r="AS56" s="47">
        <v>0</v>
      </c>
      <c r="AT56" s="47">
        <v>0</v>
      </c>
      <c r="AU56" s="47">
        <v>0</v>
      </c>
      <c r="AV56" s="47">
        <v>0</v>
      </c>
      <c r="AW56" s="47">
        <v>0</v>
      </c>
      <c r="AX56" s="47">
        <v>0</v>
      </c>
      <c r="AY56" s="47">
        <v>0</v>
      </c>
      <c r="AZ56" s="47">
        <v>0</v>
      </c>
      <c r="BA56" s="47">
        <v>0</v>
      </c>
      <c r="BB56" s="47">
        <v>0</v>
      </c>
      <c r="BC56" s="47">
        <v>0</v>
      </c>
      <c r="BD56" s="47">
        <v>0</v>
      </c>
      <c r="BE56" s="47">
        <v>0</v>
      </c>
      <c r="BF56" s="47">
        <v>0</v>
      </c>
      <c r="BG56" s="47">
        <v>0</v>
      </c>
      <c r="BH56" s="47">
        <v>0</v>
      </c>
      <c r="BI56" s="47">
        <v>0</v>
      </c>
      <c r="BJ56" s="47">
        <v>0</v>
      </c>
      <c r="BK56" s="47">
        <v>0</v>
      </c>
      <c r="BL56" s="47">
        <v>0</v>
      </c>
      <c r="BM56" s="47">
        <v>0</v>
      </c>
      <c r="BN56" s="47">
        <v>0</v>
      </c>
      <c r="BO56" s="47">
        <v>1</v>
      </c>
      <c r="BP56" s="47">
        <v>0</v>
      </c>
      <c r="BQ56" s="47">
        <v>0</v>
      </c>
      <c r="BR56" s="47">
        <v>0</v>
      </c>
      <c r="BS56" s="47">
        <v>0</v>
      </c>
      <c r="BT56" s="47">
        <v>0</v>
      </c>
      <c r="BU56" s="47">
        <v>0</v>
      </c>
      <c r="BV56" s="47">
        <v>0</v>
      </c>
      <c r="BW56" s="47">
        <v>0</v>
      </c>
      <c r="BX56" s="47">
        <v>1</v>
      </c>
      <c r="BY56" s="47">
        <v>0</v>
      </c>
      <c r="BZ56" s="47">
        <v>0</v>
      </c>
      <c r="CA56" s="47">
        <v>0</v>
      </c>
      <c r="CB56" s="47">
        <v>0</v>
      </c>
      <c r="CC56" s="47">
        <v>0</v>
      </c>
      <c r="CD56" s="47">
        <v>0</v>
      </c>
      <c r="CE56" s="47">
        <v>0</v>
      </c>
      <c r="CF56" s="47">
        <v>0</v>
      </c>
      <c r="CG56" s="47">
        <v>0</v>
      </c>
      <c r="CH56" s="47">
        <v>0</v>
      </c>
      <c r="CI56" s="47">
        <v>0</v>
      </c>
      <c r="CJ56" s="47">
        <v>0</v>
      </c>
      <c r="CK56" s="47">
        <v>0</v>
      </c>
      <c r="CL56" s="47">
        <v>0</v>
      </c>
      <c r="CM56" s="47">
        <v>0</v>
      </c>
      <c r="CN56" s="47">
        <v>0</v>
      </c>
      <c r="CO56" s="47">
        <v>0</v>
      </c>
      <c r="CP56" s="47">
        <v>0</v>
      </c>
      <c r="CQ56" s="47">
        <v>0</v>
      </c>
      <c r="CR56" s="47">
        <v>0</v>
      </c>
      <c r="CS56" s="47">
        <v>0</v>
      </c>
      <c r="CT56" s="47">
        <v>0</v>
      </c>
      <c r="CU56" s="47">
        <v>0</v>
      </c>
      <c r="CV56" s="47">
        <v>0</v>
      </c>
      <c r="CW56" s="47">
        <v>0</v>
      </c>
      <c r="CX56" s="47">
        <v>0</v>
      </c>
      <c r="CY56" s="47">
        <v>0</v>
      </c>
      <c r="CZ56" s="47">
        <v>0</v>
      </c>
      <c r="DA56" s="47">
        <v>0</v>
      </c>
      <c r="DB56" s="47">
        <v>0</v>
      </c>
      <c r="DC56" s="47">
        <v>0</v>
      </c>
      <c r="DD56" s="47">
        <v>0</v>
      </c>
      <c r="DE56" s="47">
        <v>0</v>
      </c>
      <c r="DF56" s="47">
        <v>0</v>
      </c>
      <c r="DG56" s="47">
        <v>0</v>
      </c>
      <c r="DH56" s="47">
        <v>0</v>
      </c>
      <c r="DI56" s="47">
        <v>0</v>
      </c>
      <c r="DJ56" s="47">
        <v>0</v>
      </c>
      <c r="DK56" s="47">
        <v>0</v>
      </c>
      <c r="DL56" s="47">
        <v>0</v>
      </c>
      <c r="DM56" s="47">
        <v>0</v>
      </c>
      <c r="DN56" s="47">
        <v>0</v>
      </c>
      <c r="DO56" s="47">
        <v>0</v>
      </c>
      <c r="DP56" s="47">
        <v>0</v>
      </c>
      <c r="DQ56" s="47">
        <v>0</v>
      </c>
      <c r="DR56" s="47">
        <v>0</v>
      </c>
    </row>
    <row r="57" spans="1:124" x14ac:dyDescent="0.25">
      <c r="A57" s="47" t="s">
        <v>392</v>
      </c>
      <c r="B57" s="47" t="s">
        <v>151</v>
      </c>
      <c r="C57" s="47" t="s">
        <v>393</v>
      </c>
      <c r="D57" s="47" t="s">
        <v>394</v>
      </c>
      <c r="E57" s="47" t="s">
        <v>395</v>
      </c>
      <c r="F57" s="47" t="s">
        <v>380</v>
      </c>
      <c r="G57" s="47" t="s">
        <v>381</v>
      </c>
      <c r="H57" s="47" t="str">
        <f>=IFERROR(VLOOKUP(A57,'ETPT Format DDG'!A:J,10,FALSE),"")</f>
        <v>0</v>
      </c>
      <c r="I57" s="47" t="str">
        <f>='ETPT Format DDG'!M57</f>
        <v/>
      </c>
      <c r="J57" s="47" t="str">
        <f>='ETPT Format DDG'!D57</f>
        <v/>
      </c>
      <c r="K57" s="47" t="s">
        <v>155</v>
      </c>
      <c r="L57" s="47" t="s">
        <v>208</v>
      </c>
      <c r="M57" s="47"/>
      <c r="N57" s="47">
        <v>1</v>
      </c>
      <c r="O57" s="47">
        <v>1</v>
      </c>
      <c r="P57" s="47">
        <v>0</v>
      </c>
      <c r="Q57" s="47">
        <v>0</v>
      </c>
      <c r="R57" s="47">
        <v>0</v>
      </c>
      <c r="S57" s="47">
        <v>0</v>
      </c>
      <c r="T57" s="47">
        <v>0</v>
      </c>
      <c r="U57" s="47">
        <v>0</v>
      </c>
      <c r="V57" s="47">
        <v>0</v>
      </c>
      <c r="W57" s="47">
        <v>0</v>
      </c>
      <c r="X57" s="47">
        <v>0</v>
      </c>
      <c r="Y57" s="47">
        <v>0</v>
      </c>
      <c r="Z57" s="47">
        <v>0</v>
      </c>
      <c r="AA57" s="47">
        <v>0</v>
      </c>
      <c r="AB57" s="47">
        <v>0</v>
      </c>
      <c r="AC57" s="47">
        <v>0</v>
      </c>
      <c r="AD57" s="47">
        <v>0</v>
      </c>
      <c r="AE57" s="47">
        <v>0</v>
      </c>
      <c r="AF57" s="47">
        <v>0</v>
      </c>
      <c r="AG57" s="47">
        <v>0</v>
      </c>
      <c r="AH57" s="47">
        <v>0</v>
      </c>
      <c r="AI57" s="47">
        <v>0</v>
      </c>
      <c r="AJ57" s="47">
        <v>0</v>
      </c>
      <c r="AK57" s="47">
        <v>0</v>
      </c>
      <c r="AL57" s="47">
        <v>0</v>
      </c>
      <c r="AM57" s="47">
        <v>0</v>
      </c>
      <c r="AN57" s="47">
        <v>0</v>
      </c>
      <c r="AO57" s="47">
        <v>0</v>
      </c>
      <c r="AP57" s="47">
        <v>0</v>
      </c>
      <c r="AQ57" s="47">
        <v>0</v>
      </c>
      <c r="AR57" s="47">
        <v>0</v>
      </c>
      <c r="AS57" s="47">
        <v>0</v>
      </c>
      <c r="AT57" s="47">
        <v>0</v>
      </c>
      <c r="AU57" s="47">
        <v>0</v>
      </c>
      <c r="AV57" s="47">
        <v>0</v>
      </c>
      <c r="AW57" s="47">
        <v>0</v>
      </c>
      <c r="AX57" s="47">
        <v>0</v>
      </c>
      <c r="AY57" s="47">
        <v>0</v>
      </c>
      <c r="AZ57" s="47">
        <v>0</v>
      </c>
      <c r="BA57" s="47">
        <v>0</v>
      </c>
      <c r="BB57" s="47">
        <v>0</v>
      </c>
      <c r="BC57" s="47">
        <v>0</v>
      </c>
      <c r="BD57" s="47">
        <v>0</v>
      </c>
      <c r="BE57" s="47">
        <v>0</v>
      </c>
      <c r="BF57" s="47">
        <v>0</v>
      </c>
      <c r="BG57" s="47">
        <v>0</v>
      </c>
      <c r="BH57" s="47">
        <v>0</v>
      </c>
      <c r="BI57" s="47">
        <v>0</v>
      </c>
      <c r="BJ57" s="47">
        <v>0</v>
      </c>
      <c r="BK57" s="47">
        <v>0</v>
      </c>
      <c r="BL57" s="47">
        <v>1</v>
      </c>
      <c r="BM57" s="47">
        <v>0.6</v>
      </c>
      <c r="BN57" s="47">
        <v>0.4</v>
      </c>
      <c r="BO57" s="47">
        <v>0</v>
      </c>
      <c r="BP57" s="47">
        <v>0</v>
      </c>
      <c r="BQ57" s="47">
        <v>0</v>
      </c>
      <c r="BR57" s="47">
        <v>0</v>
      </c>
      <c r="BS57" s="47">
        <v>0</v>
      </c>
      <c r="BT57" s="47">
        <v>0</v>
      </c>
      <c r="BU57" s="47">
        <v>0</v>
      </c>
      <c r="BV57" s="47">
        <v>0</v>
      </c>
      <c r="BW57" s="47">
        <v>0</v>
      </c>
      <c r="BX57" s="47">
        <v>0</v>
      </c>
      <c r="BY57" s="47">
        <v>0</v>
      </c>
      <c r="BZ57" s="47">
        <v>0</v>
      </c>
      <c r="CA57" s="47">
        <v>0</v>
      </c>
      <c r="CB57" s="47">
        <v>0</v>
      </c>
      <c r="CC57" s="47">
        <v>0</v>
      </c>
      <c r="CD57" s="47">
        <v>0</v>
      </c>
      <c r="CE57" s="47">
        <v>0</v>
      </c>
      <c r="CF57" s="47">
        <v>0</v>
      </c>
      <c r="CG57" s="47">
        <v>0</v>
      </c>
      <c r="CH57" s="47">
        <v>0</v>
      </c>
      <c r="CI57" s="47">
        <v>0</v>
      </c>
      <c r="CJ57" s="47">
        <v>0</v>
      </c>
      <c r="CK57" s="47">
        <v>0</v>
      </c>
      <c r="CL57" s="47">
        <v>0</v>
      </c>
      <c r="CM57" s="47">
        <v>0</v>
      </c>
      <c r="CN57" s="47">
        <v>0</v>
      </c>
      <c r="CO57" s="47">
        <v>0</v>
      </c>
      <c r="CP57" s="47">
        <v>0</v>
      </c>
      <c r="CQ57" s="47">
        <v>0</v>
      </c>
      <c r="CR57" s="47">
        <v>0</v>
      </c>
      <c r="CS57" s="47">
        <v>0</v>
      </c>
      <c r="CT57" s="47">
        <v>0</v>
      </c>
      <c r="CU57" s="47">
        <v>0</v>
      </c>
      <c r="CV57" s="47">
        <v>0</v>
      </c>
      <c r="CW57" s="47">
        <v>0</v>
      </c>
      <c r="CX57" s="47">
        <v>0</v>
      </c>
      <c r="CY57" s="47">
        <v>0</v>
      </c>
      <c r="CZ57" s="47">
        <v>0</v>
      </c>
      <c r="DA57" s="47">
        <v>0</v>
      </c>
      <c r="DB57" s="47">
        <v>0</v>
      </c>
      <c r="DC57" s="47">
        <v>0</v>
      </c>
      <c r="DD57" s="47">
        <v>0</v>
      </c>
      <c r="DE57" s="47">
        <v>0</v>
      </c>
      <c r="DF57" s="47">
        <v>0</v>
      </c>
      <c r="DG57" s="47">
        <v>0</v>
      </c>
      <c r="DH57" s="47">
        <v>0</v>
      </c>
      <c r="DI57" s="47">
        <v>0</v>
      </c>
      <c r="DJ57" s="47">
        <v>0</v>
      </c>
      <c r="DK57" s="47">
        <v>0</v>
      </c>
      <c r="DL57" s="47">
        <v>0</v>
      </c>
      <c r="DM57" s="47">
        <v>0</v>
      </c>
      <c r="DN57" s="47">
        <v>0</v>
      </c>
      <c r="DO57" s="47">
        <v>0</v>
      </c>
      <c r="DP57" s="47">
        <v>0</v>
      </c>
      <c r="DQ57" s="47">
        <v>0</v>
      </c>
      <c r="DR57" s="47">
        <v>0</v>
      </c>
    </row>
    <row r="58" spans="1:124" x14ac:dyDescent="0.25">
      <c r="A58" s="47" t="s">
        <v>396</v>
      </c>
      <c r="B58" s="47" t="s">
        <v>151</v>
      </c>
      <c r="C58" s="47" t="s">
        <v>397</v>
      </c>
      <c r="D58" s="47" t="s">
        <v>398</v>
      </c>
      <c r="E58" s="47" t="s">
        <v>399</v>
      </c>
      <c r="F58" s="47" t="s">
        <v>380</v>
      </c>
      <c r="G58" s="47" t="s">
        <v>381</v>
      </c>
      <c r="H58" s="47" t="str">
        <f>=IFERROR(VLOOKUP(A58,'ETPT Format DDG'!A:J,10,FALSE),"")</f>
        <v>0</v>
      </c>
      <c r="I58" s="47" t="str">
        <f>='ETPT Format DDG'!M58</f>
        <v/>
      </c>
      <c r="J58" s="47" t="str">
        <f>='ETPT Format DDG'!D58</f>
        <v/>
      </c>
      <c r="K58" s="47" t="s">
        <v>155</v>
      </c>
      <c r="L58" s="47" t="s">
        <v>400</v>
      </c>
      <c r="M58" s="47"/>
      <c r="N58" s="47">
        <v>1</v>
      </c>
      <c r="O58" s="47">
        <v>0</v>
      </c>
      <c r="P58" s="47">
        <v>0</v>
      </c>
      <c r="Q58" s="47">
        <v>0</v>
      </c>
      <c r="R58" s="47">
        <v>0</v>
      </c>
      <c r="S58" s="47">
        <v>0</v>
      </c>
      <c r="T58" s="47">
        <v>0</v>
      </c>
      <c r="U58" s="47">
        <v>0</v>
      </c>
      <c r="V58" s="47">
        <v>0</v>
      </c>
      <c r="W58" s="47">
        <v>0</v>
      </c>
      <c r="X58" s="47">
        <v>0</v>
      </c>
      <c r="Y58" s="47">
        <v>0</v>
      </c>
      <c r="Z58" s="47">
        <v>0</v>
      </c>
      <c r="AA58" s="47">
        <v>0</v>
      </c>
      <c r="AB58" s="47">
        <v>0</v>
      </c>
      <c r="AC58" s="47">
        <v>0</v>
      </c>
      <c r="AD58" s="47">
        <v>0</v>
      </c>
      <c r="AE58" s="47">
        <v>0</v>
      </c>
      <c r="AF58" s="47">
        <v>0</v>
      </c>
      <c r="AG58" s="47">
        <v>0</v>
      </c>
      <c r="AH58" s="47">
        <v>0</v>
      </c>
      <c r="AI58" s="47">
        <v>0</v>
      </c>
      <c r="AJ58" s="47">
        <v>0</v>
      </c>
      <c r="AK58" s="47">
        <v>0</v>
      </c>
      <c r="AL58" s="47">
        <v>0</v>
      </c>
      <c r="AM58" s="47">
        <v>0</v>
      </c>
      <c r="AN58" s="47">
        <v>0</v>
      </c>
      <c r="AO58" s="47">
        <v>0</v>
      </c>
      <c r="AP58" s="47">
        <v>0</v>
      </c>
      <c r="AQ58" s="47">
        <v>0</v>
      </c>
      <c r="AR58" s="47">
        <v>0</v>
      </c>
      <c r="AS58" s="47">
        <v>0</v>
      </c>
      <c r="AT58" s="47">
        <v>0</v>
      </c>
      <c r="AU58" s="47">
        <v>0</v>
      </c>
      <c r="AV58" s="47">
        <v>0</v>
      </c>
      <c r="AW58" s="47">
        <v>0</v>
      </c>
      <c r="AX58" s="47">
        <v>0</v>
      </c>
      <c r="AY58" s="47">
        <v>0</v>
      </c>
      <c r="AZ58" s="47">
        <v>0</v>
      </c>
      <c r="BA58" s="47">
        <v>0</v>
      </c>
      <c r="BB58" s="47">
        <v>0</v>
      </c>
      <c r="BC58" s="47">
        <v>0</v>
      </c>
      <c r="BD58" s="47">
        <v>0</v>
      </c>
      <c r="BE58" s="47">
        <v>0</v>
      </c>
      <c r="BF58" s="47">
        <v>0</v>
      </c>
      <c r="BG58" s="47">
        <v>0</v>
      </c>
      <c r="BH58" s="47">
        <v>0</v>
      </c>
      <c r="BI58" s="47">
        <v>0</v>
      </c>
      <c r="BJ58" s="47">
        <v>0</v>
      </c>
      <c r="BK58" s="47">
        <v>0</v>
      </c>
      <c r="BL58" s="47">
        <v>0</v>
      </c>
      <c r="BM58" s="47">
        <v>0</v>
      </c>
      <c r="BN58" s="47">
        <v>0</v>
      </c>
      <c r="BO58" s="47">
        <v>0</v>
      </c>
      <c r="BP58" s="47">
        <v>0</v>
      </c>
      <c r="BQ58" s="47">
        <v>0</v>
      </c>
      <c r="BR58" s="47">
        <v>0</v>
      </c>
      <c r="BS58" s="47">
        <v>0</v>
      </c>
      <c r="BT58" s="47">
        <v>0</v>
      </c>
      <c r="BU58" s="47">
        <v>0</v>
      </c>
      <c r="BV58" s="47">
        <v>0</v>
      </c>
      <c r="BW58" s="47">
        <v>0</v>
      </c>
      <c r="BX58" s="47">
        <v>0</v>
      </c>
      <c r="BY58" s="47">
        <v>0</v>
      </c>
      <c r="BZ58" s="47">
        <v>0</v>
      </c>
      <c r="CA58" s="47">
        <v>0</v>
      </c>
      <c r="CB58" s="47">
        <v>0</v>
      </c>
      <c r="CC58" s="47">
        <v>0</v>
      </c>
      <c r="CD58" s="47">
        <v>0</v>
      </c>
      <c r="CE58" s="47">
        <v>0</v>
      </c>
      <c r="CF58" s="47">
        <v>0</v>
      </c>
      <c r="CG58" s="47">
        <v>0</v>
      </c>
      <c r="CH58" s="47">
        <v>0</v>
      </c>
      <c r="CI58" s="47">
        <v>0</v>
      </c>
      <c r="CJ58" s="47">
        <v>0</v>
      </c>
      <c r="CK58" s="47">
        <v>0</v>
      </c>
      <c r="CL58" s="47">
        <v>0</v>
      </c>
      <c r="CM58" s="47">
        <v>0</v>
      </c>
      <c r="CN58" s="47">
        <v>0</v>
      </c>
      <c r="CO58" s="47">
        <v>0</v>
      </c>
      <c r="CP58" s="47">
        <v>0</v>
      </c>
      <c r="CQ58" s="47">
        <v>0</v>
      </c>
      <c r="CR58" s="47">
        <v>0</v>
      </c>
      <c r="CS58" s="47">
        <v>0</v>
      </c>
      <c r="CT58" s="47">
        <v>0</v>
      </c>
      <c r="CU58" s="47">
        <v>0</v>
      </c>
      <c r="CV58" s="47">
        <v>0</v>
      </c>
      <c r="CW58" s="47">
        <v>0</v>
      </c>
      <c r="CX58" s="47">
        <v>0</v>
      </c>
      <c r="CY58" s="47">
        <v>0</v>
      </c>
      <c r="CZ58" s="47">
        <v>0</v>
      </c>
      <c r="DA58" s="47">
        <v>0</v>
      </c>
      <c r="DB58" s="47">
        <v>0</v>
      </c>
      <c r="DC58" s="47">
        <v>0</v>
      </c>
      <c r="DD58" s="47">
        <v>0</v>
      </c>
      <c r="DE58" s="47">
        <v>0</v>
      </c>
      <c r="DF58" s="47">
        <v>0</v>
      </c>
      <c r="DG58" s="47">
        <v>0</v>
      </c>
      <c r="DH58" s="47">
        <v>0</v>
      </c>
      <c r="DI58" s="47">
        <v>0</v>
      </c>
      <c r="DJ58" s="47">
        <v>0</v>
      </c>
      <c r="DK58" s="47">
        <v>0</v>
      </c>
      <c r="DL58" s="47">
        <v>0</v>
      </c>
      <c r="DM58" s="47">
        <v>0</v>
      </c>
      <c r="DN58" s="47">
        <v>0</v>
      </c>
      <c r="DO58" s="47">
        <v>0</v>
      </c>
      <c r="DP58" s="47">
        <v>0</v>
      </c>
      <c r="DQ58" s="47">
        <v>0</v>
      </c>
      <c r="DR58" s="47">
        <v>0</v>
      </c>
    </row>
    <row r="59" spans="1:124" x14ac:dyDescent="0.25">
      <c r="A59" s="47" t="s">
        <v>401</v>
      </c>
      <c r="B59" s="47" t="s">
        <v>151</v>
      </c>
      <c r="C59" s="47" t="s">
        <v>402</v>
      </c>
      <c r="D59" s="47" t="s">
        <v>403</v>
      </c>
      <c r="E59" s="47" t="s">
        <v>404</v>
      </c>
      <c r="F59" s="47" t="s">
        <v>380</v>
      </c>
      <c r="G59" s="47" t="s">
        <v>381</v>
      </c>
      <c r="H59" s="47" t="str">
        <f>=IFERROR(VLOOKUP(A59,'ETPT Format DDG'!A:J,10,FALSE),"")</f>
        <v>0</v>
      </c>
      <c r="I59" s="47" t="str">
        <f>='ETPT Format DDG'!M59</f>
        <v/>
      </c>
      <c r="J59" s="47" t="str">
        <f>='ETPT Format DDG'!D59</f>
        <v/>
      </c>
      <c r="K59" s="47" t="s">
        <v>155</v>
      </c>
      <c r="L59" s="47" t="s">
        <v>405</v>
      </c>
      <c r="M59" s="47" t="s">
        <v>406</v>
      </c>
      <c r="N59" s="47">
        <v>0.9315</v>
      </c>
      <c r="O59" s="47">
        <v>0.9315</v>
      </c>
      <c r="P59" s="47">
        <v>0</v>
      </c>
      <c r="Q59" s="47">
        <v>0</v>
      </c>
      <c r="R59" s="47">
        <v>0</v>
      </c>
      <c r="S59" s="47">
        <v>0</v>
      </c>
      <c r="T59" s="47">
        <v>0</v>
      </c>
      <c r="U59" s="47">
        <v>0</v>
      </c>
      <c r="V59" s="47">
        <v>0</v>
      </c>
      <c r="W59" s="47">
        <v>0</v>
      </c>
      <c r="X59" s="47">
        <v>0</v>
      </c>
      <c r="Y59" s="47">
        <v>0</v>
      </c>
      <c r="Z59" s="47">
        <v>0</v>
      </c>
      <c r="AA59" s="47">
        <v>0</v>
      </c>
      <c r="AB59" s="47">
        <v>0</v>
      </c>
      <c r="AC59" s="47">
        <v>0</v>
      </c>
      <c r="AD59" s="47">
        <v>0</v>
      </c>
      <c r="AE59" s="47">
        <v>0</v>
      </c>
      <c r="AF59" s="47">
        <v>0</v>
      </c>
      <c r="AG59" s="47">
        <v>0</v>
      </c>
      <c r="AH59" s="47">
        <v>0</v>
      </c>
      <c r="AI59" s="47">
        <v>0</v>
      </c>
      <c r="AJ59" s="47">
        <v>0</v>
      </c>
      <c r="AK59" s="47">
        <v>0</v>
      </c>
      <c r="AL59" s="47">
        <v>0</v>
      </c>
      <c r="AM59" s="47">
        <v>0</v>
      </c>
      <c r="AN59" s="47">
        <v>0</v>
      </c>
      <c r="AO59" s="47">
        <v>0</v>
      </c>
      <c r="AP59" s="47">
        <v>0</v>
      </c>
      <c r="AQ59" s="47">
        <v>0</v>
      </c>
      <c r="AR59" s="47">
        <v>0</v>
      </c>
      <c r="AS59" s="47">
        <v>0</v>
      </c>
      <c r="AT59" s="47">
        <v>0</v>
      </c>
      <c r="AU59" s="47">
        <v>0</v>
      </c>
      <c r="AV59" s="47">
        <v>0</v>
      </c>
      <c r="AW59" s="47">
        <v>0</v>
      </c>
      <c r="AX59" s="47">
        <v>0</v>
      </c>
      <c r="AY59" s="47">
        <v>0</v>
      </c>
      <c r="AZ59" s="47">
        <v>0</v>
      </c>
      <c r="BA59" s="47">
        <v>0</v>
      </c>
      <c r="BB59" s="47">
        <v>0</v>
      </c>
      <c r="BC59" s="47">
        <v>0</v>
      </c>
      <c r="BD59" s="47">
        <v>0</v>
      </c>
      <c r="BE59" s="47">
        <v>0</v>
      </c>
      <c r="BF59" s="47">
        <v>0</v>
      </c>
      <c r="BG59" s="47">
        <v>0</v>
      </c>
      <c r="BH59" s="47">
        <v>0</v>
      </c>
      <c r="BI59" s="47">
        <v>0</v>
      </c>
      <c r="BJ59" s="47">
        <v>0</v>
      </c>
      <c r="BK59" s="47">
        <v>0</v>
      </c>
      <c r="BL59" s="47">
        <v>0</v>
      </c>
      <c r="BM59" s="47">
        <v>0</v>
      </c>
      <c r="BN59" s="47">
        <v>0</v>
      </c>
      <c r="BO59" s="47">
        <v>0</v>
      </c>
      <c r="BP59" s="47">
        <v>0</v>
      </c>
      <c r="BQ59" s="47">
        <v>0</v>
      </c>
      <c r="BR59" s="47">
        <v>0</v>
      </c>
      <c r="BS59" s="47">
        <v>0</v>
      </c>
      <c r="BT59" s="47">
        <v>0</v>
      </c>
      <c r="BU59" s="47">
        <v>0</v>
      </c>
      <c r="BV59" s="47">
        <v>0</v>
      </c>
      <c r="BW59" s="47">
        <v>0</v>
      </c>
      <c r="BX59" s="47">
        <v>0</v>
      </c>
      <c r="BY59" s="47">
        <v>0</v>
      </c>
      <c r="BZ59" s="47">
        <v>0</v>
      </c>
      <c r="CA59" s="47">
        <v>0</v>
      </c>
      <c r="CB59" s="47">
        <v>0</v>
      </c>
      <c r="CC59" s="47">
        <v>0</v>
      </c>
      <c r="CD59" s="47">
        <v>0</v>
      </c>
      <c r="CE59" s="47">
        <v>0</v>
      </c>
      <c r="CF59" s="47">
        <v>0.9315</v>
      </c>
      <c r="CG59" s="47">
        <v>0</v>
      </c>
      <c r="CH59" s="47">
        <v>0</v>
      </c>
      <c r="CI59" s="47">
        <v>0</v>
      </c>
      <c r="CJ59" s="47">
        <v>0.9315</v>
      </c>
      <c r="CK59" s="47">
        <v>0</v>
      </c>
      <c r="CL59" s="47">
        <v>0</v>
      </c>
      <c r="CM59" s="47">
        <v>0</v>
      </c>
      <c r="CN59" s="47">
        <v>0</v>
      </c>
      <c r="CO59" s="47">
        <v>0</v>
      </c>
      <c r="CP59" s="47">
        <v>0</v>
      </c>
      <c r="CQ59" s="47">
        <v>0</v>
      </c>
      <c r="CR59" s="47">
        <v>0</v>
      </c>
      <c r="CS59" s="47">
        <v>0</v>
      </c>
      <c r="CT59" s="47">
        <v>0</v>
      </c>
      <c r="CU59" s="47">
        <v>0</v>
      </c>
      <c r="CV59" s="47">
        <v>0</v>
      </c>
      <c r="CW59" s="47">
        <v>0</v>
      </c>
      <c r="CX59" s="47">
        <v>0</v>
      </c>
      <c r="CY59" s="47">
        <v>0</v>
      </c>
      <c r="CZ59" s="47">
        <v>0</v>
      </c>
      <c r="DA59" s="47">
        <v>0</v>
      </c>
      <c r="DB59" s="47">
        <v>0</v>
      </c>
      <c r="DC59" s="47">
        <v>0</v>
      </c>
      <c r="DD59" s="47">
        <v>0</v>
      </c>
      <c r="DE59" s="47">
        <v>0</v>
      </c>
      <c r="DF59" s="47">
        <v>0.0685</v>
      </c>
      <c r="DG59" s="47">
        <v>0</v>
      </c>
      <c r="DH59" s="47">
        <v>0</v>
      </c>
      <c r="DI59" s="47">
        <v>0.0685</v>
      </c>
      <c r="DJ59" s="47">
        <v>0</v>
      </c>
      <c r="DK59" s="47">
        <v>0</v>
      </c>
      <c r="DL59" s="47">
        <v>0</v>
      </c>
      <c r="DM59" s="47">
        <v>0</v>
      </c>
      <c r="DN59" s="47">
        <v>0</v>
      </c>
      <c r="DO59" s="47">
        <v>0</v>
      </c>
      <c r="DP59" s="47">
        <v>0</v>
      </c>
      <c r="DQ59" s="47">
        <v>0</v>
      </c>
      <c r="DR59" s="47">
        <v>0</v>
      </c>
    </row>
    <row r="60" spans="1:124" x14ac:dyDescent="0.25">
      <c r="A60" s="47" t="s">
        <v>407</v>
      </c>
      <c r="B60" s="47" t="s">
        <v>151</v>
      </c>
      <c r="C60" s="47" t="s">
        <v>408</v>
      </c>
      <c r="D60" s="47" t="s">
        <v>409</v>
      </c>
      <c r="E60" s="47" t="s">
        <v>410</v>
      </c>
      <c r="F60" s="47" t="s">
        <v>380</v>
      </c>
      <c r="G60" s="47" t="s">
        <v>411</v>
      </c>
      <c r="H60" s="47" t="str">
        <f>=IFERROR(VLOOKUP(A60,'ETPT Format DDG'!A:J,10,FALSE),"")</f>
        <v>0</v>
      </c>
      <c r="I60" s="47" t="str">
        <f>='ETPT Format DDG'!M60</f>
        <v/>
      </c>
      <c r="J60" s="47" t="str">
        <f>='ETPT Format DDG'!D60</f>
        <v/>
      </c>
      <c r="K60" s="47" t="s">
        <v>155</v>
      </c>
      <c r="L60" s="47" t="s">
        <v>412</v>
      </c>
      <c r="M60" s="47"/>
      <c r="N60" s="47">
        <v>1</v>
      </c>
      <c r="O60" s="47">
        <v>0</v>
      </c>
      <c r="P60" s="47">
        <v>0</v>
      </c>
      <c r="Q60" s="47">
        <v>0</v>
      </c>
      <c r="R60" s="47">
        <v>0</v>
      </c>
      <c r="S60" s="47">
        <v>0</v>
      </c>
      <c r="T60" s="47">
        <v>0</v>
      </c>
      <c r="U60" s="47">
        <v>0</v>
      </c>
      <c r="V60" s="47">
        <v>0</v>
      </c>
      <c r="W60" s="47">
        <v>0</v>
      </c>
      <c r="X60" s="47">
        <v>0</v>
      </c>
      <c r="Y60" s="47">
        <v>0</v>
      </c>
      <c r="Z60" s="47">
        <v>0</v>
      </c>
      <c r="AA60" s="47">
        <v>0</v>
      </c>
      <c r="AB60" s="47">
        <v>0</v>
      </c>
      <c r="AC60" s="47">
        <v>0</v>
      </c>
      <c r="AD60" s="47">
        <v>0</v>
      </c>
      <c r="AE60" s="47">
        <v>0</v>
      </c>
      <c r="AF60" s="47">
        <v>0</v>
      </c>
      <c r="AG60" s="47">
        <v>0</v>
      </c>
      <c r="AH60" s="47">
        <v>0</v>
      </c>
      <c r="AI60" s="47">
        <v>0</v>
      </c>
      <c r="AJ60" s="47">
        <v>0</v>
      </c>
      <c r="AK60" s="47">
        <v>0</v>
      </c>
      <c r="AL60" s="47">
        <v>0</v>
      </c>
      <c r="AM60" s="47">
        <v>0</v>
      </c>
      <c r="AN60" s="47">
        <v>0</v>
      </c>
      <c r="AO60" s="47">
        <v>0</v>
      </c>
      <c r="AP60" s="47">
        <v>0</v>
      </c>
      <c r="AQ60" s="47">
        <v>0</v>
      </c>
      <c r="AR60" s="47">
        <v>0</v>
      </c>
      <c r="AS60" s="47">
        <v>0</v>
      </c>
      <c r="AT60" s="47">
        <v>0</v>
      </c>
      <c r="AU60" s="47">
        <v>0</v>
      </c>
      <c r="AV60" s="47">
        <v>0</v>
      </c>
      <c r="AW60" s="47">
        <v>0</v>
      </c>
      <c r="AX60" s="47">
        <v>0</v>
      </c>
      <c r="AY60" s="47">
        <v>0</v>
      </c>
      <c r="AZ60" s="47">
        <v>0</v>
      </c>
      <c r="BA60" s="47">
        <v>0</v>
      </c>
      <c r="BB60" s="47">
        <v>0</v>
      </c>
      <c r="BC60" s="47">
        <v>0</v>
      </c>
      <c r="BD60" s="47">
        <v>0</v>
      </c>
      <c r="BE60" s="47">
        <v>0</v>
      </c>
      <c r="BF60" s="47">
        <v>0</v>
      </c>
      <c r="BG60" s="47">
        <v>0</v>
      </c>
      <c r="BH60" s="47">
        <v>0</v>
      </c>
      <c r="BI60" s="47">
        <v>0</v>
      </c>
      <c r="BJ60" s="47">
        <v>0</v>
      </c>
      <c r="BK60" s="47">
        <v>0</v>
      </c>
      <c r="BL60" s="47">
        <v>0</v>
      </c>
      <c r="BM60" s="47">
        <v>0</v>
      </c>
      <c r="BN60" s="47">
        <v>0</v>
      </c>
      <c r="BO60" s="47">
        <v>0</v>
      </c>
      <c r="BP60" s="47">
        <v>0</v>
      </c>
      <c r="BQ60" s="47">
        <v>0</v>
      </c>
      <c r="BR60" s="47">
        <v>0</v>
      </c>
      <c r="BS60" s="47">
        <v>0</v>
      </c>
      <c r="BT60" s="47">
        <v>0</v>
      </c>
      <c r="BU60" s="47">
        <v>0</v>
      </c>
      <c r="BV60" s="47">
        <v>0</v>
      </c>
      <c r="BW60" s="47">
        <v>0</v>
      </c>
      <c r="BX60" s="47">
        <v>0</v>
      </c>
      <c r="BY60" s="47">
        <v>0</v>
      </c>
      <c r="BZ60" s="47">
        <v>0</v>
      </c>
      <c r="CA60" s="47">
        <v>0</v>
      </c>
      <c r="CB60" s="47">
        <v>0</v>
      </c>
      <c r="CC60" s="47">
        <v>0</v>
      </c>
      <c r="CD60" s="47">
        <v>0</v>
      </c>
      <c r="CE60" s="47">
        <v>0</v>
      </c>
      <c r="CF60" s="47">
        <v>0</v>
      </c>
      <c r="CG60" s="47">
        <v>0</v>
      </c>
      <c r="CH60" s="47">
        <v>0</v>
      </c>
      <c r="CI60" s="47">
        <v>0</v>
      </c>
      <c r="CJ60" s="47">
        <v>0</v>
      </c>
      <c r="CK60" s="47">
        <v>0</v>
      </c>
      <c r="CL60" s="47">
        <v>0</v>
      </c>
      <c r="CM60" s="47">
        <v>0</v>
      </c>
      <c r="CN60" s="47">
        <v>0</v>
      </c>
      <c r="CO60" s="47">
        <v>0</v>
      </c>
      <c r="CP60" s="47">
        <v>0</v>
      </c>
      <c r="CQ60" s="47">
        <v>0</v>
      </c>
      <c r="CR60" s="47">
        <v>0</v>
      </c>
      <c r="CS60" s="47">
        <v>0</v>
      </c>
      <c r="CT60" s="47">
        <v>0</v>
      </c>
      <c r="CU60" s="47">
        <v>0</v>
      </c>
      <c r="CV60" s="47">
        <v>0</v>
      </c>
      <c r="CW60" s="47">
        <v>0</v>
      </c>
      <c r="CX60" s="47">
        <v>0</v>
      </c>
      <c r="CY60" s="47">
        <v>0</v>
      </c>
      <c r="CZ60" s="47">
        <v>0</v>
      </c>
      <c r="DA60" s="47">
        <v>0</v>
      </c>
      <c r="DB60" s="47">
        <v>0</v>
      </c>
      <c r="DC60" s="47">
        <v>0</v>
      </c>
      <c r="DD60" s="47">
        <v>0</v>
      </c>
      <c r="DE60" s="47">
        <v>0</v>
      </c>
      <c r="DF60" s="47">
        <v>0</v>
      </c>
      <c r="DG60" s="47">
        <v>0</v>
      </c>
      <c r="DH60" s="47">
        <v>0</v>
      </c>
      <c r="DI60" s="47">
        <v>0</v>
      </c>
      <c r="DJ60" s="47">
        <v>0</v>
      </c>
      <c r="DK60" s="47">
        <v>0</v>
      </c>
      <c r="DL60" s="47">
        <v>0</v>
      </c>
      <c r="DM60" s="47">
        <v>0</v>
      </c>
      <c r="DN60" s="47">
        <v>0</v>
      </c>
      <c r="DO60" s="47">
        <v>0</v>
      </c>
      <c r="DP60" s="47">
        <v>0</v>
      </c>
      <c r="DQ60" s="47">
        <v>0</v>
      </c>
      <c r="DR60" s="47">
        <v>0</v>
      </c>
    </row>
    <row r="61" spans="1:124" x14ac:dyDescent="0.25">
      <c r="A61" s="47" t="s">
        <v>413</v>
      </c>
      <c r="B61" s="47" t="s">
        <v>151</v>
      </c>
      <c r="C61" s="47" t="s">
        <v>414</v>
      </c>
      <c r="D61" s="47" t="s">
        <v>415</v>
      </c>
      <c r="E61" s="47" t="s">
        <v>416</v>
      </c>
      <c r="F61" s="47" t="s">
        <v>380</v>
      </c>
      <c r="G61" s="47" t="s">
        <v>411</v>
      </c>
      <c r="H61" s="47" t="str">
        <f>=IFERROR(VLOOKUP(A61,'ETPT Format DDG'!A:J,10,FALSE),"")</f>
        <v>0</v>
      </c>
      <c r="I61" s="47" t="str">
        <f>='ETPT Format DDG'!M61</f>
        <v/>
      </c>
      <c r="J61" s="47" t="str">
        <f>='ETPT Format DDG'!D61</f>
        <v/>
      </c>
      <c r="K61" s="47" t="s">
        <v>155</v>
      </c>
      <c r="L61" s="47" t="s">
        <v>208</v>
      </c>
      <c r="M61" s="47" t="s">
        <v>169</v>
      </c>
      <c r="N61" s="47">
        <v>0.621</v>
      </c>
      <c r="O61" s="47">
        <v>0.621</v>
      </c>
      <c r="P61" s="47">
        <v>0</v>
      </c>
      <c r="Q61" s="47">
        <v>0</v>
      </c>
      <c r="R61" s="47">
        <v>0</v>
      </c>
      <c r="S61" s="47">
        <v>0</v>
      </c>
      <c r="T61" s="47">
        <v>0</v>
      </c>
      <c r="U61" s="47">
        <v>0</v>
      </c>
      <c r="V61" s="47">
        <v>0</v>
      </c>
      <c r="W61" s="47">
        <v>0</v>
      </c>
      <c r="X61" s="47">
        <v>0</v>
      </c>
      <c r="Y61" s="47">
        <v>0</v>
      </c>
      <c r="Z61" s="47">
        <v>0</v>
      </c>
      <c r="AA61" s="47">
        <v>0</v>
      </c>
      <c r="AB61" s="47">
        <v>0</v>
      </c>
      <c r="AC61" s="47">
        <v>0</v>
      </c>
      <c r="AD61" s="47">
        <v>0</v>
      </c>
      <c r="AE61" s="47">
        <v>0</v>
      </c>
      <c r="AF61" s="47">
        <v>0</v>
      </c>
      <c r="AG61" s="47">
        <v>0</v>
      </c>
      <c r="AH61" s="47">
        <v>0</v>
      </c>
      <c r="AI61" s="47">
        <v>0</v>
      </c>
      <c r="AJ61" s="47">
        <v>0</v>
      </c>
      <c r="AK61" s="47">
        <v>0</v>
      </c>
      <c r="AL61" s="47">
        <v>0</v>
      </c>
      <c r="AM61" s="47">
        <v>0</v>
      </c>
      <c r="AN61" s="47">
        <v>0</v>
      </c>
      <c r="AO61" s="47">
        <v>0</v>
      </c>
      <c r="AP61" s="47">
        <v>0</v>
      </c>
      <c r="AQ61" s="47">
        <v>0</v>
      </c>
      <c r="AR61" s="47">
        <v>0</v>
      </c>
      <c r="AS61" s="47">
        <v>0</v>
      </c>
      <c r="AT61" s="47">
        <v>0</v>
      </c>
      <c r="AU61" s="47">
        <v>0</v>
      </c>
      <c r="AV61" s="47">
        <v>0</v>
      </c>
      <c r="AW61" s="47">
        <v>0</v>
      </c>
      <c r="AX61" s="47">
        <v>0</v>
      </c>
      <c r="AY61" s="47">
        <v>0</v>
      </c>
      <c r="AZ61" s="47">
        <v>0</v>
      </c>
      <c r="BA61" s="47">
        <v>0</v>
      </c>
      <c r="BB61" s="47">
        <v>0</v>
      </c>
      <c r="BC61" s="47">
        <v>0</v>
      </c>
      <c r="BD61" s="47">
        <v>0</v>
      </c>
      <c r="BE61" s="47">
        <v>0</v>
      </c>
      <c r="BF61" s="47">
        <v>0</v>
      </c>
      <c r="BG61" s="47">
        <v>0</v>
      </c>
      <c r="BH61" s="47">
        <v>0</v>
      </c>
      <c r="BI61" s="47">
        <v>0</v>
      </c>
      <c r="BJ61" s="47">
        <v>0</v>
      </c>
      <c r="BK61" s="47">
        <v>0</v>
      </c>
      <c r="BL61" s="47">
        <v>0</v>
      </c>
      <c r="BM61" s="47">
        <v>0</v>
      </c>
      <c r="BN61" s="47">
        <v>0</v>
      </c>
      <c r="BO61" s="47">
        <v>0</v>
      </c>
      <c r="BP61" s="47">
        <v>0</v>
      </c>
      <c r="BQ61" s="47">
        <v>0</v>
      </c>
      <c r="BR61" s="47">
        <v>0</v>
      </c>
      <c r="BS61" s="47">
        <v>0</v>
      </c>
      <c r="BT61" s="47">
        <v>0</v>
      </c>
      <c r="BU61" s="47">
        <v>0</v>
      </c>
      <c r="BV61" s="47">
        <v>0</v>
      </c>
      <c r="BW61" s="47">
        <v>0</v>
      </c>
      <c r="BX61" s="47">
        <v>0</v>
      </c>
      <c r="BY61" s="47">
        <v>0</v>
      </c>
      <c r="BZ61" s="47">
        <v>0</v>
      </c>
      <c r="CA61" s="47">
        <v>0</v>
      </c>
      <c r="CB61" s="47">
        <v>0</v>
      </c>
      <c r="CC61" s="47">
        <v>0</v>
      </c>
      <c r="CD61" s="47">
        <v>0</v>
      </c>
      <c r="CE61" s="47">
        <v>0</v>
      </c>
      <c r="CF61" s="47">
        <v>0</v>
      </c>
      <c r="CG61" s="47">
        <v>0</v>
      </c>
      <c r="CH61" s="47">
        <v>0</v>
      </c>
      <c r="CI61" s="47">
        <v>0</v>
      </c>
      <c r="CJ61" s="47">
        <v>0</v>
      </c>
      <c r="CK61" s="47">
        <v>0</v>
      </c>
      <c r="CL61" s="47">
        <v>0</v>
      </c>
      <c r="CM61" s="47">
        <v>0</v>
      </c>
      <c r="CN61" s="47">
        <v>0</v>
      </c>
      <c r="CO61" s="47">
        <v>0</v>
      </c>
      <c r="CP61" s="47">
        <v>0</v>
      </c>
      <c r="CQ61" s="47">
        <v>0</v>
      </c>
      <c r="CR61" s="47">
        <v>0</v>
      </c>
      <c r="CS61" s="47">
        <v>0</v>
      </c>
      <c r="CT61" s="47">
        <v>0.621</v>
      </c>
      <c r="CU61" s="47">
        <v>0</v>
      </c>
      <c r="CV61" s="47">
        <v>0</v>
      </c>
      <c r="CW61" s="47">
        <v>0</v>
      </c>
      <c r="CX61" s="47">
        <v>0</v>
      </c>
      <c r="CY61" s="47">
        <v>0</v>
      </c>
      <c r="CZ61" s="47">
        <v>0</v>
      </c>
      <c r="DA61" s="47">
        <v>0</v>
      </c>
      <c r="DB61" s="47">
        <v>0</v>
      </c>
      <c r="DC61" s="47">
        <v>0</v>
      </c>
      <c r="DD61" s="47">
        <v>0</v>
      </c>
      <c r="DE61" s="47">
        <v>0.621</v>
      </c>
      <c r="DF61" s="47">
        <v>0.0806</v>
      </c>
      <c r="DG61" s="47">
        <v>0.0605</v>
      </c>
      <c r="DH61" s="47">
        <v>0</v>
      </c>
      <c r="DI61" s="47">
        <v>0</v>
      </c>
      <c r="DJ61" s="47">
        <v>0.0202</v>
      </c>
      <c r="DK61" s="47">
        <v>0</v>
      </c>
      <c r="DL61" s="47">
        <v>0</v>
      </c>
      <c r="DM61" s="47">
        <v>0</v>
      </c>
      <c r="DN61" s="47">
        <v>0</v>
      </c>
      <c r="DO61" s="47">
        <v>0</v>
      </c>
      <c r="DP61" s="47">
        <v>0</v>
      </c>
      <c r="DQ61" s="47">
        <v>0</v>
      </c>
      <c r="DR61" s="47">
        <v>0</v>
      </c>
    </row>
    <row r="62" spans="1:124" x14ac:dyDescent="0.25">
      <c r="A62" s="47" t="s">
        <v>417</v>
      </c>
      <c r="B62" s="47" t="s">
        <v>151</v>
      </c>
      <c r="C62" s="47" t="s">
        <v>418</v>
      </c>
      <c r="D62" s="47" t="s">
        <v>419</v>
      </c>
      <c r="E62" s="47" t="s">
        <v>420</v>
      </c>
      <c r="F62" s="47" t="s">
        <v>380</v>
      </c>
      <c r="G62" s="47" t="s">
        <v>421</v>
      </c>
      <c r="H62" s="47" t="str">
        <f>=IFERROR(VLOOKUP(A62,'ETPT Format DDG'!A:J,10,FALSE),"")</f>
        <v>0</v>
      </c>
      <c r="I62" s="47" t="str">
        <f>='ETPT Format DDG'!M62</f>
        <v/>
      </c>
      <c r="J62" s="47" t="str">
        <f>='ETPT Format DDG'!D62</f>
        <v/>
      </c>
      <c r="K62" s="47" t="s">
        <v>155</v>
      </c>
      <c r="L62" s="47" t="s">
        <v>176</v>
      </c>
      <c r="M62" s="47"/>
      <c r="N62" s="47">
        <v>1</v>
      </c>
      <c r="O62" s="47">
        <v>1</v>
      </c>
      <c r="P62" s="47">
        <v>0</v>
      </c>
      <c r="Q62" s="47">
        <v>0</v>
      </c>
      <c r="R62" s="47">
        <v>0</v>
      </c>
      <c r="S62" s="47">
        <v>0</v>
      </c>
      <c r="T62" s="47">
        <v>0</v>
      </c>
      <c r="U62" s="47">
        <v>0</v>
      </c>
      <c r="V62" s="47">
        <v>0</v>
      </c>
      <c r="W62" s="47">
        <v>0</v>
      </c>
      <c r="X62" s="47">
        <v>0</v>
      </c>
      <c r="Y62" s="47">
        <v>0</v>
      </c>
      <c r="Z62" s="47">
        <v>0</v>
      </c>
      <c r="AA62" s="47">
        <v>0</v>
      </c>
      <c r="AB62" s="47">
        <v>0</v>
      </c>
      <c r="AC62" s="47">
        <v>0</v>
      </c>
      <c r="AD62" s="47">
        <v>0</v>
      </c>
      <c r="AE62" s="47">
        <v>0</v>
      </c>
      <c r="AF62" s="47">
        <v>0</v>
      </c>
      <c r="AG62" s="47">
        <v>0</v>
      </c>
      <c r="AH62" s="47">
        <v>0</v>
      </c>
      <c r="AI62" s="47">
        <v>0</v>
      </c>
      <c r="AJ62" s="47">
        <v>0</v>
      </c>
      <c r="AK62" s="47">
        <v>0</v>
      </c>
      <c r="AL62" s="47">
        <v>0</v>
      </c>
      <c r="AM62" s="47">
        <v>0</v>
      </c>
      <c r="AN62" s="47">
        <v>0</v>
      </c>
      <c r="AO62" s="47">
        <v>0</v>
      </c>
      <c r="AP62" s="47">
        <v>0</v>
      </c>
      <c r="AQ62" s="47">
        <v>0</v>
      </c>
      <c r="AR62" s="47">
        <v>0</v>
      </c>
      <c r="AS62" s="47">
        <v>0</v>
      </c>
      <c r="AT62" s="47">
        <v>0</v>
      </c>
      <c r="AU62" s="47">
        <v>0</v>
      </c>
      <c r="AV62" s="47">
        <v>0</v>
      </c>
      <c r="AW62" s="47">
        <v>0</v>
      </c>
      <c r="AX62" s="47">
        <v>0</v>
      </c>
      <c r="AY62" s="47">
        <v>0</v>
      </c>
      <c r="AZ62" s="47">
        <v>0</v>
      </c>
      <c r="BA62" s="47">
        <v>0</v>
      </c>
      <c r="BB62" s="47">
        <v>0</v>
      </c>
      <c r="BC62" s="47">
        <v>0</v>
      </c>
      <c r="BD62" s="47">
        <v>0</v>
      </c>
      <c r="BE62" s="47">
        <v>0</v>
      </c>
      <c r="BF62" s="47">
        <v>0</v>
      </c>
      <c r="BG62" s="47">
        <v>0</v>
      </c>
      <c r="BH62" s="47">
        <v>0</v>
      </c>
      <c r="BI62" s="47">
        <v>0</v>
      </c>
      <c r="BJ62" s="47">
        <v>0</v>
      </c>
      <c r="BK62" s="47">
        <v>0</v>
      </c>
      <c r="BL62" s="47">
        <v>0</v>
      </c>
      <c r="BM62" s="47">
        <v>0</v>
      </c>
      <c r="BN62" s="47">
        <v>0</v>
      </c>
      <c r="BO62" s="47">
        <v>0</v>
      </c>
      <c r="BP62" s="47">
        <v>0</v>
      </c>
      <c r="BQ62" s="47">
        <v>0</v>
      </c>
      <c r="BR62" s="47">
        <v>0</v>
      </c>
      <c r="BS62" s="47">
        <v>0</v>
      </c>
      <c r="BT62" s="47">
        <v>0</v>
      </c>
      <c r="BU62" s="47">
        <v>0</v>
      </c>
      <c r="BV62" s="47">
        <v>0</v>
      </c>
      <c r="BW62" s="47">
        <v>0</v>
      </c>
      <c r="BX62" s="47">
        <v>0</v>
      </c>
      <c r="BY62" s="47">
        <v>0</v>
      </c>
      <c r="BZ62" s="47">
        <v>0</v>
      </c>
      <c r="CA62" s="47">
        <v>0</v>
      </c>
      <c r="CB62" s="47">
        <v>0</v>
      </c>
      <c r="CC62" s="47">
        <v>0</v>
      </c>
      <c r="CD62" s="47">
        <v>0</v>
      </c>
      <c r="CE62" s="47">
        <v>0</v>
      </c>
      <c r="CF62" s="47">
        <v>0</v>
      </c>
      <c r="CG62" s="47">
        <v>0</v>
      </c>
      <c r="CH62" s="47">
        <v>0</v>
      </c>
      <c r="CI62" s="47">
        <v>0</v>
      </c>
      <c r="CJ62" s="47">
        <v>0</v>
      </c>
      <c r="CK62" s="47">
        <v>0</v>
      </c>
      <c r="CL62" s="47">
        <v>0</v>
      </c>
      <c r="CM62" s="47">
        <v>0</v>
      </c>
      <c r="CN62" s="47">
        <v>0</v>
      </c>
      <c r="CO62" s="47">
        <v>0</v>
      </c>
      <c r="CP62" s="47">
        <v>0</v>
      </c>
      <c r="CQ62" s="47">
        <v>0</v>
      </c>
      <c r="CR62" s="47">
        <v>0</v>
      </c>
      <c r="CS62" s="47">
        <v>0</v>
      </c>
      <c r="CT62" s="47">
        <v>1</v>
      </c>
      <c r="CU62" s="47">
        <v>1</v>
      </c>
      <c r="CV62" s="47">
        <v>0</v>
      </c>
      <c r="CW62" s="47">
        <v>0</v>
      </c>
      <c r="CX62" s="47">
        <v>0</v>
      </c>
      <c r="CY62" s="47">
        <v>0</v>
      </c>
      <c r="CZ62" s="47">
        <v>0</v>
      </c>
      <c r="DA62" s="47">
        <v>0</v>
      </c>
      <c r="DB62" s="47">
        <v>0</v>
      </c>
      <c r="DC62" s="47">
        <v>0</v>
      </c>
      <c r="DD62" s="47">
        <v>0</v>
      </c>
      <c r="DE62" s="47">
        <v>0</v>
      </c>
      <c r="DF62" s="47">
        <v>0</v>
      </c>
      <c r="DG62" s="47">
        <v>0</v>
      </c>
      <c r="DH62" s="47">
        <v>0</v>
      </c>
      <c r="DI62" s="47">
        <v>0</v>
      </c>
      <c r="DJ62" s="47">
        <v>0</v>
      </c>
      <c r="DK62" s="47">
        <v>0</v>
      </c>
      <c r="DL62" s="47">
        <v>0</v>
      </c>
      <c r="DM62" s="47">
        <v>0</v>
      </c>
      <c r="DN62" s="47">
        <v>0</v>
      </c>
      <c r="DO62" s="47">
        <v>0</v>
      </c>
      <c r="DP62" s="47">
        <v>0</v>
      </c>
      <c r="DQ62" s="47">
        <v>0</v>
      </c>
      <c r="DR62" s="47">
        <v>0</v>
      </c>
    </row>
    <row r="63" spans="1:124" x14ac:dyDescent="0.25">
      <c r="A63" s="47" t="s">
        <v>422</v>
      </c>
      <c r="B63" s="47" t="s">
        <v>151</v>
      </c>
      <c r="C63" s="47" t="s">
        <v>423</v>
      </c>
      <c r="D63" s="47" t="s">
        <v>424</v>
      </c>
      <c r="E63" s="47" t="s">
        <v>425</v>
      </c>
      <c r="F63" s="47" t="s">
        <v>380</v>
      </c>
      <c r="G63" s="47" t="s">
        <v>381</v>
      </c>
      <c r="H63" s="47" t="str">
        <f>=IFERROR(VLOOKUP(A63,'ETPT Format DDG'!A:J,10,FALSE),"")</f>
        <v>0</v>
      </c>
      <c r="I63" s="47" t="str">
        <f>='ETPT Format DDG'!M63</f>
        <v/>
      </c>
      <c r="J63" s="47" t="str">
        <f>='ETPT Format DDG'!D63</f>
        <v/>
      </c>
      <c r="K63" s="47" t="s">
        <v>155</v>
      </c>
      <c r="L63" s="47" t="s">
        <v>426</v>
      </c>
      <c r="M63" s="47"/>
      <c r="N63" s="47">
        <v>1</v>
      </c>
      <c r="O63" s="47">
        <v>1</v>
      </c>
      <c r="P63" s="47">
        <v>0</v>
      </c>
      <c r="Q63" s="47">
        <v>0</v>
      </c>
      <c r="R63" s="47">
        <v>0</v>
      </c>
      <c r="S63" s="47">
        <v>0</v>
      </c>
      <c r="T63" s="47">
        <v>0</v>
      </c>
      <c r="U63" s="47">
        <v>0</v>
      </c>
      <c r="V63" s="47">
        <v>0</v>
      </c>
      <c r="W63" s="47">
        <v>0</v>
      </c>
      <c r="X63" s="47">
        <v>0</v>
      </c>
      <c r="Y63" s="47">
        <v>0</v>
      </c>
      <c r="Z63" s="47">
        <v>0</v>
      </c>
      <c r="AA63" s="47">
        <v>0</v>
      </c>
      <c r="AB63" s="47">
        <v>0</v>
      </c>
      <c r="AC63" s="47">
        <v>0</v>
      </c>
      <c r="AD63" s="47">
        <v>0</v>
      </c>
      <c r="AE63" s="47">
        <v>0</v>
      </c>
      <c r="AF63" s="47">
        <v>0</v>
      </c>
      <c r="AG63" s="47">
        <v>0</v>
      </c>
      <c r="AH63" s="47">
        <v>0</v>
      </c>
      <c r="AI63" s="47">
        <v>0</v>
      </c>
      <c r="AJ63" s="47">
        <v>0</v>
      </c>
      <c r="AK63" s="47">
        <v>0</v>
      </c>
      <c r="AL63" s="47">
        <v>0</v>
      </c>
      <c r="AM63" s="47">
        <v>0</v>
      </c>
      <c r="AN63" s="47">
        <v>0</v>
      </c>
      <c r="AO63" s="47">
        <v>0</v>
      </c>
      <c r="AP63" s="47">
        <v>0</v>
      </c>
      <c r="AQ63" s="47">
        <v>0</v>
      </c>
      <c r="AR63" s="47">
        <v>0</v>
      </c>
      <c r="AS63" s="47">
        <v>0</v>
      </c>
      <c r="AT63" s="47">
        <v>0</v>
      </c>
      <c r="AU63" s="47">
        <v>0</v>
      </c>
      <c r="AV63" s="47">
        <v>0</v>
      </c>
      <c r="AW63" s="47">
        <v>0</v>
      </c>
      <c r="AX63" s="47">
        <v>0</v>
      </c>
      <c r="AY63" s="47">
        <v>0</v>
      </c>
      <c r="AZ63" s="47">
        <v>0</v>
      </c>
      <c r="BA63" s="47">
        <v>0</v>
      </c>
      <c r="BB63" s="47">
        <v>0</v>
      </c>
      <c r="BC63" s="47">
        <v>0</v>
      </c>
      <c r="BD63" s="47">
        <v>0</v>
      </c>
      <c r="BE63" s="47">
        <v>0</v>
      </c>
      <c r="BF63" s="47">
        <v>0</v>
      </c>
      <c r="BG63" s="47">
        <v>0</v>
      </c>
      <c r="BH63" s="47">
        <v>0</v>
      </c>
      <c r="BI63" s="47">
        <v>0</v>
      </c>
      <c r="BJ63" s="47">
        <v>0</v>
      </c>
      <c r="BK63" s="47">
        <v>0</v>
      </c>
      <c r="BL63" s="47">
        <v>1</v>
      </c>
      <c r="BM63" s="47">
        <v>0.65</v>
      </c>
      <c r="BN63" s="47">
        <v>0.35</v>
      </c>
      <c r="BO63" s="47">
        <v>0</v>
      </c>
      <c r="BP63" s="47">
        <v>0</v>
      </c>
      <c r="BQ63" s="47">
        <v>0</v>
      </c>
      <c r="BR63" s="47">
        <v>0</v>
      </c>
      <c r="BS63" s="47">
        <v>0</v>
      </c>
      <c r="BT63" s="47">
        <v>0</v>
      </c>
      <c r="BU63" s="47">
        <v>0</v>
      </c>
      <c r="BV63" s="47">
        <v>0</v>
      </c>
      <c r="BW63" s="47">
        <v>0</v>
      </c>
      <c r="BX63" s="47">
        <v>0</v>
      </c>
      <c r="BY63" s="47">
        <v>0</v>
      </c>
      <c r="BZ63" s="47">
        <v>0</v>
      </c>
      <c r="CA63" s="47">
        <v>0</v>
      </c>
      <c r="CB63" s="47">
        <v>0</v>
      </c>
      <c r="CC63" s="47">
        <v>0</v>
      </c>
      <c r="CD63" s="47">
        <v>0</v>
      </c>
      <c r="CE63" s="47">
        <v>0</v>
      </c>
      <c r="CF63" s="47">
        <v>0</v>
      </c>
      <c r="CG63" s="47">
        <v>0</v>
      </c>
      <c r="CH63" s="47">
        <v>0</v>
      </c>
      <c r="CI63" s="47">
        <v>0</v>
      </c>
      <c r="CJ63" s="47">
        <v>0</v>
      </c>
      <c r="CK63" s="47">
        <v>0</v>
      </c>
      <c r="CL63" s="47">
        <v>0</v>
      </c>
      <c r="CM63" s="47">
        <v>0</v>
      </c>
      <c r="CN63" s="47">
        <v>0</v>
      </c>
      <c r="CO63" s="47">
        <v>0</v>
      </c>
      <c r="CP63" s="47">
        <v>0</v>
      </c>
      <c r="CQ63" s="47">
        <v>0</v>
      </c>
      <c r="CR63" s="47">
        <v>0</v>
      </c>
      <c r="CS63" s="47">
        <v>0</v>
      </c>
      <c r="CT63" s="47">
        <v>0</v>
      </c>
      <c r="CU63" s="47">
        <v>0</v>
      </c>
      <c r="CV63" s="47">
        <v>0</v>
      </c>
      <c r="CW63" s="47">
        <v>0</v>
      </c>
      <c r="CX63" s="47">
        <v>0</v>
      </c>
      <c r="CY63" s="47">
        <v>0</v>
      </c>
      <c r="CZ63" s="47">
        <v>0</v>
      </c>
      <c r="DA63" s="47">
        <v>0</v>
      </c>
      <c r="DB63" s="47">
        <v>0</v>
      </c>
      <c r="DC63" s="47">
        <v>0</v>
      </c>
      <c r="DD63" s="47">
        <v>0</v>
      </c>
      <c r="DE63" s="47">
        <v>0</v>
      </c>
      <c r="DF63" s="47">
        <v>0</v>
      </c>
      <c r="DG63" s="47">
        <v>0</v>
      </c>
      <c r="DH63" s="47">
        <v>0</v>
      </c>
      <c r="DI63" s="47">
        <v>0</v>
      </c>
      <c r="DJ63" s="47">
        <v>0</v>
      </c>
      <c r="DK63" s="47">
        <v>0</v>
      </c>
      <c r="DL63" s="47">
        <v>0</v>
      </c>
      <c r="DM63" s="47">
        <v>0</v>
      </c>
      <c r="DN63" s="47">
        <v>0</v>
      </c>
      <c r="DO63" s="47">
        <v>0</v>
      </c>
      <c r="DP63" s="47">
        <v>0</v>
      </c>
      <c r="DQ63" s="47">
        <v>0</v>
      </c>
      <c r="DR63" s="47">
        <v>0</v>
      </c>
    </row>
    <row r="64" spans="1:124" x14ac:dyDescent="0.25">
      <c r="A64" s="47" t="s">
        <v>427</v>
      </c>
      <c r="B64" s="47" t="s">
        <v>151</v>
      </c>
      <c r="C64" s="47" t="s">
        <v>428</v>
      </c>
      <c r="D64" s="47" t="s">
        <v>429</v>
      </c>
      <c r="E64" s="47" t="s">
        <v>430</v>
      </c>
      <c r="F64" s="47" t="s">
        <v>380</v>
      </c>
      <c r="G64" s="47" t="s">
        <v>381</v>
      </c>
      <c r="H64" s="47" t="str">
        <f>=IFERROR(VLOOKUP(A64,'ETPT Format DDG'!A:J,10,FALSE),"")</f>
        <v>0</v>
      </c>
      <c r="I64" s="47" t="str">
        <f>='ETPT Format DDG'!M64</f>
        <v/>
      </c>
      <c r="J64" s="47" t="str">
        <f>='ETPT Format DDG'!D64</f>
        <v/>
      </c>
      <c r="K64" s="47" t="s">
        <v>155</v>
      </c>
      <c r="L64" s="47" t="s">
        <v>400</v>
      </c>
      <c r="M64" s="47"/>
      <c r="N64" s="47">
        <v>1</v>
      </c>
      <c r="O64" s="47">
        <v>0</v>
      </c>
      <c r="P64" s="47">
        <v>0</v>
      </c>
      <c r="Q64" s="47">
        <v>0</v>
      </c>
      <c r="R64" s="47">
        <v>0</v>
      </c>
      <c r="S64" s="47">
        <v>0</v>
      </c>
      <c r="T64" s="47">
        <v>0</v>
      </c>
      <c r="U64" s="47">
        <v>0</v>
      </c>
      <c r="V64" s="47">
        <v>0</v>
      </c>
      <c r="W64" s="47">
        <v>0</v>
      </c>
      <c r="X64" s="47">
        <v>0</v>
      </c>
      <c r="Y64" s="47">
        <v>0</v>
      </c>
      <c r="Z64" s="47">
        <v>0</v>
      </c>
      <c r="AA64" s="47">
        <v>0</v>
      </c>
      <c r="AB64" s="47">
        <v>0</v>
      </c>
      <c r="AC64" s="47">
        <v>0</v>
      </c>
      <c r="AD64" s="47">
        <v>0</v>
      </c>
      <c r="AE64" s="47">
        <v>0</v>
      </c>
      <c r="AF64" s="47">
        <v>0</v>
      </c>
      <c r="AG64" s="47">
        <v>0</v>
      </c>
      <c r="AH64" s="47">
        <v>0</v>
      </c>
      <c r="AI64" s="47">
        <v>0</v>
      </c>
      <c r="AJ64" s="47">
        <v>0</v>
      </c>
      <c r="AK64" s="47">
        <v>0</v>
      </c>
      <c r="AL64" s="47">
        <v>0</v>
      </c>
      <c r="AM64" s="47">
        <v>0</v>
      </c>
      <c r="AN64" s="47">
        <v>0</v>
      </c>
      <c r="AO64" s="47">
        <v>0</v>
      </c>
      <c r="AP64" s="47">
        <v>0</v>
      </c>
      <c r="AQ64" s="47">
        <v>0</v>
      </c>
      <c r="AR64" s="47">
        <v>0</v>
      </c>
      <c r="AS64" s="47">
        <v>0</v>
      </c>
      <c r="AT64" s="47">
        <v>0</v>
      </c>
      <c r="AU64" s="47">
        <v>0</v>
      </c>
      <c r="AV64" s="47">
        <v>0</v>
      </c>
      <c r="AW64" s="47">
        <v>0</v>
      </c>
      <c r="AX64" s="47">
        <v>0</v>
      </c>
      <c r="AY64" s="47">
        <v>0</v>
      </c>
      <c r="AZ64" s="47">
        <v>0</v>
      </c>
      <c r="BA64" s="47">
        <v>0</v>
      </c>
      <c r="BB64" s="47">
        <v>0</v>
      </c>
      <c r="BC64" s="47">
        <v>0</v>
      </c>
      <c r="BD64" s="47">
        <v>0</v>
      </c>
      <c r="BE64" s="47">
        <v>0</v>
      </c>
      <c r="BF64" s="47">
        <v>0</v>
      </c>
      <c r="BG64" s="47">
        <v>0</v>
      </c>
      <c r="BH64" s="47">
        <v>0</v>
      </c>
      <c r="BI64" s="47">
        <v>0</v>
      </c>
      <c r="BJ64" s="47">
        <v>0</v>
      </c>
      <c r="BK64" s="47">
        <v>0</v>
      </c>
      <c r="BL64" s="47">
        <v>0</v>
      </c>
      <c r="BM64" s="47">
        <v>0</v>
      </c>
      <c r="BN64" s="47">
        <v>0</v>
      </c>
      <c r="BO64" s="47">
        <v>0</v>
      </c>
      <c r="BP64" s="47">
        <v>0</v>
      </c>
      <c r="BQ64" s="47">
        <v>0</v>
      </c>
      <c r="BR64" s="47">
        <v>0</v>
      </c>
      <c r="BS64" s="47">
        <v>0</v>
      </c>
      <c r="BT64" s="47">
        <v>0</v>
      </c>
      <c r="BU64" s="47">
        <v>0</v>
      </c>
      <c r="BV64" s="47">
        <v>0</v>
      </c>
      <c r="BW64" s="47">
        <v>0</v>
      </c>
      <c r="BX64" s="47">
        <v>0</v>
      </c>
      <c r="BY64" s="47">
        <v>0</v>
      </c>
      <c r="BZ64" s="47">
        <v>0</v>
      </c>
      <c r="CA64" s="47">
        <v>0</v>
      </c>
      <c r="CB64" s="47">
        <v>0</v>
      </c>
      <c r="CC64" s="47">
        <v>0</v>
      </c>
      <c r="CD64" s="47">
        <v>0</v>
      </c>
      <c r="CE64" s="47">
        <v>0</v>
      </c>
      <c r="CF64" s="47">
        <v>0</v>
      </c>
      <c r="CG64" s="47">
        <v>0</v>
      </c>
      <c r="CH64" s="47">
        <v>0</v>
      </c>
      <c r="CI64" s="47">
        <v>0</v>
      </c>
      <c r="CJ64" s="47">
        <v>0</v>
      </c>
      <c r="CK64" s="47">
        <v>0</v>
      </c>
      <c r="CL64" s="47">
        <v>0</v>
      </c>
      <c r="CM64" s="47">
        <v>0</v>
      </c>
      <c r="CN64" s="47">
        <v>0</v>
      </c>
      <c r="CO64" s="47">
        <v>0</v>
      </c>
      <c r="CP64" s="47">
        <v>0</v>
      </c>
      <c r="CQ64" s="47">
        <v>0</v>
      </c>
      <c r="CR64" s="47">
        <v>0</v>
      </c>
      <c r="CS64" s="47">
        <v>0</v>
      </c>
      <c r="CT64" s="47">
        <v>0</v>
      </c>
      <c r="CU64" s="47">
        <v>0</v>
      </c>
      <c r="CV64" s="47">
        <v>0</v>
      </c>
      <c r="CW64" s="47">
        <v>0</v>
      </c>
      <c r="CX64" s="47">
        <v>0</v>
      </c>
      <c r="CY64" s="47">
        <v>0</v>
      </c>
      <c r="CZ64" s="47">
        <v>0</v>
      </c>
      <c r="DA64" s="47">
        <v>0</v>
      </c>
      <c r="DB64" s="47">
        <v>0</v>
      </c>
      <c r="DC64" s="47">
        <v>0</v>
      </c>
      <c r="DD64" s="47">
        <v>0</v>
      </c>
      <c r="DE64" s="47">
        <v>0</v>
      </c>
      <c r="DF64" s="47">
        <v>0</v>
      </c>
      <c r="DG64" s="47">
        <v>0</v>
      </c>
      <c r="DH64" s="47">
        <v>0</v>
      </c>
      <c r="DI64" s="47">
        <v>0</v>
      </c>
      <c r="DJ64" s="47">
        <v>0</v>
      </c>
      <c r="DK64" s="47">
        <v>0</v>
      </c>
      <c r="DL64" s="47">
        <v>0</v>
      </c>
      <c r="DM64" s="47">
        <v>0</v>
      </c>
      <c r="DN64" s="47">
        <v>0</v>
      </c>
      <c r="DO64" s="47">
        <v>0</v>
      </c>
      <c r="DP64" s="47">
        <v>0</v>
      </c>
      <c r="DQ64" s="47">
        <v>0</v>
      </c>
      <c r="DR64" s="47">
        <v>0</v>
      </c>
    </row>
    <row r="65" spans="1:124" x14ac:dyDescent="0.25">
      <c r="A65" s="47" t="s">
        <v>431</v>
      </c>
      <c r="B65" s="47" t="s">
        <v>151</v>
      </c>
      <c r="C65" s="47" t="s">
        <v>432</v>
      </c>
      <c r="D65" s="47" t="s">
        <v>433</v>
      </c>
      <c r="E65" s="47" t="s">
        <v>434</v>
      </c>
      <c r="F65" s="47" t="s">
        <v>380</v>
      </c>
      <c r="G65" s="47" t="s">
        <v>381</v>
      </c>
      <c r="H65" s="47" t="str">
        <f>=IFERROR(VLOOKUP(A65,'ETPT Format DDG'!A:J,10,FALSE),"")</f>
        <v>0</v>
      </c>
      <c r="I65" s="47" t="str">
        <f>='ETPT Format DDG'!M65</f>
        <v/>
      </c>
      <c r="J65" s="47" t="str">
        <f>='ETPT Format DDG'!D65</f>
        <v/>
      </c>
      <c r="K65" s="47" t="s">
        <v>155</v>
      </c>
      <c r="L65" s="47" t="s">
        <v>435</v>
      </c>
      <c r="M65" s="47"/>
      <c r="N65" s="47">
        <v>1</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row>
    <row r="66" spans="1:124" x14ac:dyDescent="0.25">
      <c r="A66" s="47" t="s">
        <v>436</v>
      </c>
      <c r="B66" s="47" t="s">
        <v>151</v>
      </c>
      <c r="C66" s="47" t="s">
        <v>437</v>
      </c>
      <c r="D66" s="47" t="s">
        <v>438</v>
      </c>
      <c r="E66" s="47" t="s">
        <v>439</v>
      </c>
      <c r="F66" s="47" t="s">
        <v>380</v>
      </c>
      <c r="G66" s="47" t="s">
        <v>411</v>
      </c>
      <c r="H66" s="47" t="str">
        <f>=IFERROR(VLOOKUP(A66,'ETPT Format DDG'!A:J,10,FALSE),"")</f>
        <v>0</v>
      </c>
      <c r="I66" s="47" t="str">
        <f>='ETPT Format DDG'!M66</f>
        <v/>
      </c>
      <c r="J66" s="47" t="str">
        <f>='ETPT Format DDG'!D66</f>
        <v/>
      </c>
      <c r="K66" s="47" t="s">
        <v>155</v>
      </c>
      <c r="L66" s="47" t="s">
        <v>440</v>
      </c>
      <c r="M66" s="47"/>
      <c r="N66" s="47">
        <v>1</v>
      </c>
      <c r="O66" s="47">
        <v>1</v>
      </c>
      <c r="P66" s="47">
        <v>1</v>
      </c>
      <c r="Q66" s="47">
        <v>0</v>
      </c>
      <c r="R66" s="47">
        <v>1</v>
      </c>
      <c r="S66" s="47">
        <v>0</v>
      </c>
      <c r="T66" s="47">
        <v>0</v>
      </c>
      <c r="U66" s="47">
        <v>0</v>
      </c>
      <c r="V66" s="47">
        <v>0</v>
      </c>
      <c r="W66" s="47">
        <v>0</v>
      </c>
      <c r="X66" s="47">
        <v>0</v>
      </c>
      <c r="Y66" s="47">
        <v>0</v>
      </c>
      <c r="Z66" s="47">
        <v>0</v>
      </c>
      <c r="AA66" s="47">
        <v>0</v>
      </c>
      <c r="AB66" s="47">
        <v>0</v>
      </c>
      <c r="AC66" s="47">
        <v>0</v>
      </c>
      <c r="AD66" s="47">
        <v>0</v>
      </c>
      <c r="AE66" s="47">
        <v>0</v>
      </c>
      <c r="AF66" s="47">
        <v>0</v>
      </c>
      <c r="AG66" s="47">
        <v>0</v>
      </c>
      <c r="AH66" s="47">
        <v>0</v>
      </c>
      <c r="AI66" s="47">
        <v>0</v>
      </c>
      <c r="AJ66" s="47">
        <v>0</v>
      </c>
      <c r="AK66" s="47">
        <v>0</v>
      </c>
      <c r="AL66" s="47">
        <v>0</v>
      </c>
      <c r="AM66" s="47">
        <v>0</v>
      </c>
      <c r="AN66" s="47">
        <v>0</v>
      </c>
      <c r="AO66" s="47">
        <v>0</v>
      </c>
      <c r="AP66" s="47">
        <v>0</v>
      </c>
      <c r="AQ66" s="47">
        <v>0</v>
      </c>
      <c r="AR66" s="47">
        <v>0</v>
      </c>
      <c r="AS66" s="47">
        <v>0</v>
      </c>
      <c r="AT66" s="47">
        <v>0</v>
      </c>
      <c r="AU66" s="47">
        <v>0</v>
      </c>
      <c r="AV66" s="47">
        <v>0</v>
      </c>
      <c r="AW66" s="47">
        <v>0</v>
      </c>
      <c r="AX66" s="47">
        <v>0</v>
      </c>
      <c r="AY66" s="47">
        <v>0</v>
      </c>
      <c r="AZ66" s="47">
        <v>0</v>
      </c>
      <c r="BA66" s="47">
        <v>0</v>
      </c>
      <c r="BB66" s="47">
        <v>0</v>
      </c>
      <c r="BC66" s="47">
        <v>0</v>
      </c>
      <c r="BD66" s="47">
        <v>0</v>
      </c>
      <c r="BE66" s="47">
        <v>0</v>
      </c>
      <c r="BF66" s="47">
        <v>0</v>
      </c>
      <c r="BG66" s="47">
        <v>0</v>
      </c>
      <c r="BH66" s="47">
        <v>0</v>
      </c>
      <c r="BI66" s="47">
        <v>0</v>
      </c>
      <c r="BJ66" s="47">
        <v>0</v>
      </c>
      <c r="BK66" s="47">
        <v>0</v>
      </c>
      <c r="BL66" s="47">
        <v>0</v>
      </c>
      <c r="BM66" s="47">
        <v>0</v>
      </c>
      <c r="BN66" s="47">
        <v>0</v>
      </c>
      <c r="BO66" s="47">
        <v>0</v>
      </c>
      <c r="BP66" s="47">
        <v>0</v>
      </c>
      <c r="BQ66" s="47">
        <v>0</v>
      </c>
      <c r="BR66" s="47">
        <v>0</v>
      </c>
      <c r="BS66" s="47">
        <v>0</v>
      </c>
      <c r="BT66" s="47">
        <v>0</v>
      </c>
      <c r="BU66" s="47">
        <v>0</v>
      </c>
      <c r="BV66" s="47">
        <v>0</v>
      </c>
      <c r="BW66" s="47">
        <v>0</v>
      </c>
      <c r="BX66" s="47">
        <v>0</v>
      </c>
      <c r="BY66" s="47">
        <v>0</v>
      </c>
      <c r="BZ66" s="47">
        <v>0</v>
      </c>
      <c r="CA66" s="47">
        <v>0</v>
      </c>
      <c r="CB66" s="47">
        <v>0</v>
      </c>
      <c r="CC66" s="47">
        <v>0</v>
      </c>
      <c r="CD66" s="47">
        <v>0</v>
      </c>
      <c r="CE66" s="47">
        <v>0</v>
      </c>
      <c r="CF66" s="47">
        <v>0</v>
      </c>
      <c r="CG66" s="47">
        <v>0</v>
      </c>
      <c r="CH66" s="47">
        <v>0</v>
      </c>
      <c r="CI66" s="47">
        <v>0</v>
      </c>
      <c r="CJ66" s="47">
        <v>0</v>
      </c>
      <c r="CK66" s="47">
        <v>0</v>
      </c>
      <c r="CL66" s="47">
        <v>0</v>
      </c>
      <c r="CM66" s="47">
        <v>0</v>
      </c>
      <c r="CN66" s="47">
        <v>0</v>
      </c>
      <c r="CO66" s="47">
        <v>0</v>
      </c>
      <c r="CP66" s="47">
        <v>0</v>
      </c>
      <c r="CQ66" s="47">
        <v>0</v>
      </c>
      <c r="CR66" s="47">
        <v>0</v>
      </c>
      <c r="CS66" s="47">
        <v>0</v>
      </c>
      <c r="CT66" s="47">
        <v>0</v>
      </c>
      <c r="CU66" s="47">
        <v>0</v>
      </c>
      <c r="CV66" s="47">
        <v>0</v>
      </c>
      <c r="CW66" s="47">
        <v>0</v>
      </c>
      <c r="CX66" s="47">
        <v>0</v>
      </c>
      <c r="CY66" s="47">
        <v>0</v>
      </c>
      <c r="CZ66" s="47">
        <v>0</v>
      </c>
      <c r="DA66" s="47">
        <v>0</v>
      </c>
      <c r="DB66" s="47">
        <v>0</v>
      </c>
      <c r="DC66" s="47">
        <v>0</v>
      </c>
      <c r="DD66" s="47">
        <v>0</v>
      </c>
      <c r="DE66" s="47">
        <v>0</v>
      </c>
      <c r="DF66" s="47">
        <v>0</v>
      </c>
      <c r="DG66" s="47">
        <v>0</v>
      </c>
      <c r="DH66" s="47">
        <v>0</v>
      </c>
      <c r="DI66" s="47">
        <v>0</v>
      </c>
      <c r="DJ66" s="47">
        <v>0</v>
      </c>
      <c r="DK66" s="47">
        <v>0</v>
      </c>
      <c r="DL66" s="47">
        <v>0</v>
      </c>
      <c r="DM66" s="47">
        <v>0</v>
      </c>
      <c r="DN66" s="47">
        <v>0</v>
      </c>
      <c r="DO66" s="47">
        <v>0</v>
      </c>
      <c r="DP66" s="47">
        <v>0</v>
      </c>
      <c r="DQ66" s="47">
        <v>0</v>
      </c>
      <c r="DR66" s="47">
        <v>0</v>
      </c>
    </row>
    <row r="67" spans="1:124" x14ac:dyDescent="0.25">
      <c r="A67" s="47" t="s">
        <v>441</v>
      </c>
      <c r="B67" s="47" t="s">
        <v>151</v>
      </c>
      <c r="C67" s="47" t="s">
        <v>442</v>
      </c>
      <c r="D67" s="47" t="s">
        <v>443</v>
      </c>
      <c r="E67" s="47" t="s">
        <v>444</v>
      </c>
      <c r="F67" s="47" t="s">
        <v>380</v>
      </c>
      <c r="G67" s="47" t="s">
        <v>381</v>
      </c>
      <c r="H67" s="47" t="str">
        <f>=IFERROR(VLOOKUP(A67,'ETPT Format DDG'!A:J,10,FALSE),"")</f>
        <v>0</v>
      </c>
      <c r="I67" s="47" t="str">
        <f>='ETPT Format DDG'!M67</f>
        <v/>
      </c>
      <c r="J67" s="47" t="str">
        <f>='ETPT Format DDG'!D67</f>
        <v/>
      </c>
      <c r="K67" s="47" t="s">
        <v>155</v>
      </c>
      <c r="L67" s="47" t="s">
        <v>445</v>
      </c>
      <c r="M67" s="47"/>
      <c r="N67" s="47">
        <v>1</v>
      </c>
      <c r="O67" s="47">
        <v>0</v>
      </c>
      <c r="P67" s="47">
        <v>0</v>
      </c>
      <c r="Q67" s="47">
        <v>0</v>
      </c>
      <c r="R67" s="47">
        <v>0</v>
      </c>
      <c r="S67" s="47">
        <v>0</v>
      </c>
      <c r="T67" s="47">
        <v>0</v>
      </c>
      <c r="U67" s="47">
        <v>0</v>
      </c>
      <c r="V67" s="47">
        <v>0</v>
      </c>
      <c r="W67" s="47">
        <v>0</v>
      </c>
      <c r="X67" s="47">
        <v>0</v>
      </c>
      <c r="Y67" s="47">
        <v>0</v>
      </c>
      <c r="Z67" s="47">
        <v>0</v>
      </c>
      <c r="AA67" s="47">
        <v>0</v>
      </c>
      <c r="AB67" s="47">
        <v>0</v>
      </c>
      <c r="AC67" s="47">
        <v>0</v>
      </c>
      <c r="AD67" s="47">
        <v>0</v>
      </c>
      <c r="AE67" s="47">
        <v>0</v>
      </c>
      <c r="AF67" s="47">
        <v>0</v>
      </c>
      <c r="AG67" s="47">
        <v>0</v>
      </c>
      <c r="AH67" s="47">
        <v>0</v>
      </c>
      <c r="AI67" s="47">
        <v>0</v>
      </c>
      <c r="AJ67" s="47">
        <v>0</v>
      </c>
      <c r="AK67" s="47">
        <v>0</v>
      </c>
      <c r="AL67" s="47">
        <v>0</v>
      </c>
      <c r="AM67" s="47">
        <v>0</v>
      </c>
      <c r="AN67" s="47">
        <v>0</v>
      </c>
      <c r="AO67" s="47">
        <v>0</v>
      </c>
      <c r="AP67" s="47">
        <v>0</v>
      </c>
      <c r="AQ67" s="47">
        <v>0</v>
      </c>
      <c r="AR67" s="47">
        <v>0</v>
      </c>
      <c r="AS67" s="47">
        <v>0</v>
      </c>
      <c r="AT67" s="47">
        <v>0</v>
      </c>
      <c r="AU67" s="47">
        <v>0</v>
      </c>
      <c r="AV67" s="47">
        <v>0</v>
      </c>
      <c r="AW67" s="47">
        <v>0</v>
      </c>
      <c r="AX67" s="47">
        <v>0</v>
      </c>
      <c r="AY67" s="47">
        <v>0</v>
      </c>
      <c r="AZ67" s="47">
        <v>0</v>
      </c>
      <c r="BA67" s="47">
        <v>0</v>
      </c>
      <c r="BB67" s="47">
        <v>0</v>
      </c>
      <c r="BC67" s="47">
        <v>0</v>
      </c>
      <c r="BD67" s="47">
        <v>0</v>
      </c>
      <c r="BE67" s="47">
        <v>0</v>
      </c>
      <c r="BF67" s="47">
        <v>0</v>
      </c>
      <c r="BG67" s="47">
        <v>0</v>
      </c>
      <c r="BH67" s="47">
        <v>0</v>
      </c>
      <c r="BI67" s="47">
        <v>0</v>
      </c>
      <c r="BJ67" s="47">
        <v>0</v>
      </c>
      <c r="BK67" s="47">
        <v>0</v>
      </c>
      <c r="BL67" s="47">
        <v>0</v>
      </c>
      <c r="BM67" s="47">
        <v>0</v>
      </c>
      <c r="BN67" s="47">
        <v>0</v>
      </c>
      <c r="BO67" s="47">
        <v>0</v>
      </c>
      <c r="BP67" s="47">
        <v>0</v>
      </c>
      <c r="BQ67" s="47">
        <v>0</v>
      </c>
      <c r="BR67" s="47">
        <v>0</v>
      </c>
      <c r="BS67" s="47">
        <v>0</v>
      </c>
      <c r="BT67" s="47">
        <v>0</v>
      </c>
      <c r="BU67" s="47">
        <v>0</v>
      </c>
      <c r="BV67" s="47">
        <v>0</v>
      </c>
      <c r="BW67" s="47">
        <v>0</v>
      </c>
      <c r="BX67" s="47">
        <v>0</v>
      </c>
      <c r="BY67" s="47">
        <v>0</v>
      </c>
      <c r="BZ67" s="47">
        <v>0</v>
      </c>
      <c r="CA67" s="47">
        <v>0</v>
      </c>
      <c r="CB67" s="47">
        <v>0</v>
      </c>
      <c r="CC67" s="47">
        <v>0</v>
      </c>
      <c r="CD67" s="47">
        <v>0</v>
      </c>
      <c r="CE67" s="47">
        <v>0</v>
      </c>
      <c r="CF67" s="47">
        <v>0</v>
      </c>
      <c r="CG67" s="47">
        <v>0</v>
      </c>
      <c r="CH67" s="47">
        <v>0</v>
      </c>
      <c r="CI67" s="47">
        <v>0</v>
      </c>
      <c r="CJ67" s="47">
        <v>0</v>
      </c>
      <c r="CK67" s="47">
        <v>0</v>
      </c>
      <c r="CL67" s="47">
        <v>0</v>
      </c>
      <c r="CM67" s="47">
        <v>0</v>
      </c>
      <c r="CN67" s="47">
        <v>0</v>
      </c>
      <c r="CO67" s="47">
        <v>0</v>
      </c>
      <c r="CP67" s="47">
        <v>0</v>
      </c>
      <c r="CQ67" s="47">
        <v>0</v>
      </c>
      <c r="CR67" s="47">
        <v>0</v>
      </c>
      <c r="CS67" s="47">
        <v>0</v>
      </c>
      <c r="CT67" s="47">
        <v>0</v>
      </c>
      <c r="CU67" s="47">
        <v>0</v>
      </c>
      <c r="CV67" s="47">
        <v>0</v>
      </c>
      <c r="CW67" s="47">
        <v>0</v>
      </c>
      <c r="CX67" s="47">
        <v>0</v>
      </c>
      <c r="CY67" s="47">
        <v>0</v>
      </c>
      <c r="CZ67" s="47">
        <v>0</v>
      </c>
      <c r="DA67" s="47">
        <v>0</v>
      </c>
      <c r="DB67" s="47">
        <v>0</v>
      </c>
      <c r="DC67" s="47">
        <v>0</v>
      </c>
      <c r="DD67" s="47">
        <v>0</v>
      </c>
      <c r="DE67" s="47">
        <v>0</v>
      </c>
      <c r="DF67" s="47">
        <v>0</v>
      </c>
      <c r="DG67" s="47">
        <v>0</v>
      </c>
      <c r="DH67" s="47">
        <v>0</v>
      </c>
      <c r="DI67" s="47">
        <v>0</v>
      </c>
      <c r="DJ67" s="47">
        <v>0</v>
      </c>
      <c r="DK67" s="47">
        <v>0</v>
      </c>
      <c r="DL67" s="47">
        <v>0</v>
      </c>
      <c r="DM67" s="47">
        <v>0</v>
      </c>
      <c r="DN67" s="47">
        <v>0</v>
      </c>
      <c r="DO67" s="47">
        <v>0</v>
      </c>
      <c r="DP67" s="47">
        <v>0</v>
      </c>
      <c r="DQ67" s="47">
        <v>0</v>
      </c>
      <c r="DR67" s="47">
        <v>0</v>
      </c>
    </row>
    <row r="68" spans="1:124" x14ac:dyDescent="0.25">
      <c r="A68" s="47" t="s">
        <v>446</v>
      </c>
      <c r="B68" s="47" t="s">
        <v>151</v>
      </c>
      <c r="C68" s="47" t="s">
        <v>447</v>
      </c>
      <c r="D68" s="47" t="s">
        <v>448</v>
      </c>
      <c r="E68" s="47" t="s">
        <v>449</v>
      </c>
      <c r="F68" s="47" t="s">
        <v>380</v>
      </c>
      <c r="G68" s="47" t="s">
        <v>381</v>
      </c>
      <c r="H68" s="47" t="str">
        <f>=IFERROR(VLOOKUP(A68,'ETPT Format DDG'!A:J,10,FALSE),"")</f>
        <v>0</v>
      </c>
      <c r="I68" s="47" t="str">
        <f>='ETPT Format DDG'!M68</f>
        <v/>
      </c>
      <c r="J68" s="47" t="str">
        <f>='ETPT Format DDG'!D68</f>
        <v/>
      </c>
      <c r="K68" s="47" t="s">
        <v>155</v>
      </c>
      <c r="L68" s="47" t="s">
        <v>450</v>
      </c>
      <c r="M68" s="47"/>
      <c r="N68" s="47">
        <v>1</v>
      </c>
      <c r="O68" s="47">
        <v>1</v>
      </c>
      <c r="P68" s="47">
        <v>0</v>
      </c>
      <c r="Q68" s="47">
        <v>0</v>
      </c>
      <c r="R68" s="47">
        <v>0</v>
      </c>
      <c r="S68" s="47">
        <v>0</v>
      </c>
      <c r="T68" s="47">
        <v>0</v>
      </c>
      <c r="U68" s="47">
        <v>0</v>
      </c>
      <c r="V68" s="47">
        <v>0</v>
      </c>
      <c r="W68" s="47">
        <v>0</v>
      </c>
      <c r="X68" s="47">
        <v>0</v>
      </c>
      <c r="Y68" s="47">
        <v>0</v>
      </c>
      <c r="Z68" s="47">
        <v>0</v>
      </c>
      <c r="AA68" s="47">
        <v>0</v>
      </c>
      <c r="AB68" s="47">
        <v>0</v>
      </c>
      <c r="AC68" s="47">
        <v>0</v>
      </c>
      <c r="AD68" s="47">
        <v>0</v>
      </c>
      <c r="AE68" s="47">
        <v>0</v>
      </c>
      <c r="AF68" s="47">
        <v>0</v>
      </c>
      <c r="AG68" s="47">
        <v>0</v>
      </c>
      <c r="AH68" s="47">
        <v>0</v>
      </c>
      <c r="AI68" s="47">
        <v>0</v>
      </c>
      <c r="AJ68" s="47">
        <v>0</v>
      </c>
      <c r="AK68" s="47">
        <v>0</v>
      </c>
      <c r="AL68" s="47">
        <v>0</v>
      </c>
      <c r="AM68" s="47">
        <v>0</v>
      </c>
      <c r="AN68" s="47">
        <v>0</v>
      </c>
      <c r="AO68" s="47">
        <v>0</v>
      </c>
      <c r="AP68" s="47">
        <v>0</v>
      </c>
      <c r="AQ68" s="47">
        <v>0</v>
      </c>
      <c r="AR68" s="47">
        <v>0</v>
      </c>
      <c r="AS68" s="47">
        <v>0</v>
      </c>
      <c r="AT68" s="47">
        <v>0</v>
      </c>
      <c r="AU68" s="47">
        <v>0</v>
      </c>
      <c r="AV68" s="47">
        <v>0</v>
      </c>
      <c r="AW68" s="47">
        <v>0</v>
      </c>
      <c r="AX68" s="47">
        <v>0</v>
      </c>
      <c r="AY68" s="47">
        <v>0</v>
      </c>
      <c r="AZ68" s="47">
        <v>0</v>
      </c>
      <c r="BA68" s="47">
        <v>0</v>
      </c>
      <c r="BB68" s="47">
        <v>0</v>
      </c>
      <c r="BC68" s="47">
        <v>0</v>
      </c>
      <c r="BD68" s="47">
        <v>0</v>
      </c>
      <c r="BE68" s="47">
        <v>0</v>
      </c>
      <c r="BF68" s="47">
        <v>0</v>
      </c>
      <c r="BG68" s="47">
        <v>0</v>
      </c>
      <c r="BH68" s="47">
        <v>0</v>
      </c>
      <c r="BI68" s="47">
        <v>0</v>
      </c>
      <c r="BJ68" s="47">
        <v>0</v>
      </c>
      <c r="BK68" s="47">
        <v>0</v>
      </c>
      <c r="BL68" s="47">
        <v>0</v>
      </c>
      <c r="BM68" s="47">
        <v>0</v>
      </c>
      <c r="BN68" s="47">
        <v>0</v>
      </c>
      <c r="BO68" s="47">
        <v>0</v>
      </c>
      <c r="BP68" s="47">
        <v>0</v>
      </c>
      <c r="BQ68" s="47">
        <v>0</v>
      </c>
      <c r="BR68" s="47">
        <v>0</v>
      </c>
      <c r="BS68" s="47">
        <v>0</v>
      </c>
      <c r="BT68" s="47">
        <v>0</v>
      </c>
      <c r="BU68" s="47">
        <v>0</v>
      </c>
      <c r="BV68" s="47">
        <v>0</v>
      </c>
      <c r="BW68" s="47">
        <v>0</v>
      </c>
      <c r="BX68" s="47">
        <v>0</v>
      </c>
      <c r="BY68" s="47">
        <v>0</v>
      </c>
      <c r="BZ68" s="47">
        <v>0</v>
      </c>
      <c r="CA68" s="47">
        <v>0</v>
      </c>
      <c r="CB68" s="47">
        <v>0</v>
      </c>
      <c r="CC68" s="47">
        <v>0</v>
      </c>
      <c r="CD68" s="47">
        <v>0</v>
      </c>
      <c r="CE68" s="47">
        <v>0</v>
      </c>
      <c r="CF68" s="47">
        <v>0</v>
      </c>
      <c r="CG68" s="47">
        <v>0</v>
      </c>
      <c r="CH68" s="47">
        <v>0</v>
      </c>
      <c r="CI68" s="47">
        <v>0</v>
      </c>
      <c r="CJ68" s="47">
        <v>0</v>
      </c>
      <c r="CK68" s="47">
        <v>0</v>
      </c>
      <c r="CL68" s="47">
        <v>1</v>
      </c>
      <c r="CM68" s="47">
        <v>0</v>
      </c>
      <c r="CN68" s="47">
        <v>0</v>
      </c>
      <c r="CO68" s="47">
        <v>0</v>
      </c>
      <c r="CP68" s="47">
        <v>0</v>
      </c>
      <c r="CQ68" s="47">
        <v>0</v>
      </c>
      <c r="CR68" s="47">
        <v>0</v>
      </c>
      <c r="CS68" s="47">
        <v>0</v>
      </c>
      <c r="CT68" s="47">
        <v>0</v>
      </c>
      <c r="CU68" s="47">
        <v>0</v>
      </c>
      <c r="CV68" s="47">
        <v>0</v>
      </c>
      <c r="CW68" s="47">
        <v>0</v>
      </c>
      <c r="CX68" s="47">
        <v>0</v>
      </c>
      <c r="CY68" s="47">
        <v>0</v>
      </c>
      <c r="CZ68" s="47">
        <v>0</v>
      </c>
      <c r="DA68" s="47">
        <v>0</v>
      </c>
      <c r="DB68" s="47">
        <v>0</v>
      </c>
      <c r="DC68" s="47">
        <v>0</v>
      </c>
      <c r="DD68" s="47">
        <v>0</v>
      </c>
      <c r="DE68" s="47">
        <v>0</v>
      </c>
      <c r="DF68" s="47">
        <v>0</v>
      </c>
      <c r="DG68" s="47">
        <v>0</v>
      </c>
      <c r="DH68" s="47">
        <v>0</v>
      </c>
      <c r="DI68" s="47">
        <v>0</v>
      </c>
      <c r="DJ68" s="47">
        <v>0</v>
      </c>
      <c r="DK68" s="47">
        <v>0</v>
      </c>
      <c r="DL68" s="47">
        <v>0</v>
      </c>
      <c r="DM68" s="47">
        <v>0</v>
      </c>
      <c r="DN68" s="47">
        <v>0</v>
      </c>
      <c r="DO68" s="47">
        <v>0</v>
      </c>
      <c r="DP68" s="47">
        <v>0</v>
      </c>
      <c r="DQ68" s="47">
        <v>0</v>
      </c>
      <c r="DR68" s="47">
        <v>0</v>
      </c>
    </row>
    <row r="69" spans="1:124" x14ac:dyDescent="0.25">
      <c r="A69" s="47" t="s">
        <v>451</v>
      </c>
      <c r="B69" s="47" t="s">
        <v>151</v>
      </c>
      <c r="C69" s="47" t="s">
        <v>452</v>
      </c>
      <c r="D69" s="47" t="s">
        <v>453</v>
      </c>
      <c r="E69" s="47" t="s">
        <v>454</v>
      </c>
      <c r="F69" s="47" t="s">
        <v>380</v>
      </c>
      <c r="G69" s="47" t="s">
        <v>411</v>
      </c>
      <c r="H69" s="47" t="str">
        <f>=IFERROR(VLOOKUP(A69,'ETPT Format DDG'!A:J,10,FALSE),"")</f>
        <v>0</v>
      </c>
      <c r="I69" s="47" t="str">
        <f>='ETPT Format DDG'!M69</f>
        <v/>
      </c>
      <c r="J69" s="47" t="str">
        <f>='ETPT Format DDG'!D69</f>
        <v/>
      </c>
      <c r="K69" s="47" t="s">
        <v>155</v>
      </c>
      <c r="L69" s="47" t="s">
        <v>455</v>
      </c>
      <c r="M69" s="47"/>
      <c r="N69" s="47">
        <v>0.8</v>
      </c>
      <c r="O69" s="47">
        <v>0.8</v>
      </c>
      <c r="P69" s="47">
        <v>0</v>
      </c>
      <c r="Q69" s="47">
        <v>0</v>
      </c>
      <c r="R69" s="47">
        <v>0</v>
      </c>
      <c r="S69" s="47">
        <v>0</v>
      </c>
      <c r="T69" s="47">
        <v>0</v>
      </c>
      <c r="U69" s="47">
        <v>0</v>
      </c>
      <c r="V69" s="47">
        <v>0</v>
      </c>
      <c r="W69" s="47">
        <v>0</v>
      </c>
      <c r="X69" s="47">
        <v>0</v>
      </c>
      <c r="Y69" s="47">
        <v>0</v>
      </c>
      <c r="Z69" s="47">
        <v>0</v>
      </c>
      <c r="AA69" s="47">
        <v>0</v>
      </c>
      <c r="AB69" s="47">
        <v>0</v>
      </c>
      <c r="AC69" s="47">
        <v>0</v>
      </c>
      <c r="AD69" s="47">
        <v>0</v>
      </c>
      <c r="AE69" s="47">
        <v>0</v>
      </c>
      <c r="AF69" s="47">
        <v>0</v>
      </c>
      <c r="AG69" s="47">
        <v>0</v>
      </c>
      <c r="AH69" s="47">
        <v>0</v>
      </c>
      <c r="AI69" s="47">
        <v>0</v>
      </c>
      <c r="AJ69" s="47">
        <v>0</v>
      </c>
      <c r="AK69" s="47">
        <v>0</v>
      </c>
      <c r="AL69" s="47">
        <v>0</v>
      </c>
      <c r="AM69" s="47">
        <v>0</v>
      </c>
      <c r="AN69" s="47">
        <v>0</v>
      </c>
      <c r="AO69" s="47">
        <v>0</v>
      </c>
      <c r="AP69" s="47">
        <v>0</v>
      </c>
      <c r="AQ69" s="47">
        <v>0</v>
      </c>
      <c r="AR69" s="47">
        <v>0</v>
      </c>
      <c r="AS69" s="47">
        <v>0</v>
      </c>
      <c r="AT69" s="47">
        <v>0</v>
      </c>
      <c r="AU69" s="47">
        <v>0</v>
      </c>
      <c r="AV69" s="47">
        <v>0</v>
      </c>
      <c r="AW69" s="47">
        <v>0</v>
      </c>
      <c r="AX69" s="47">
        <v>0</v>
      </c>
      <c r="AY69" s="47">
        <v>0</v>
      </c>
      <c r="AZ69" s="47">
        <v>0</v>
      </c>
      <c r="BA69" s="47">
        <v>0</v>
      </c>
      <c r="BB69" s="47">
        <v>0</v>
      </c>
      <c r="BC69" s="47">
        <v>0</v>
      </c>
      <c r="BD69" s="47">
        <v>0</v>
      </c>
      <c r="BE69" s="47">
        <v>0</v>
      </c>
      <c r="BF69" s="47">
        <v>0</v>
      </c>
      <c r="BG69" s="47">
        <v>0</v>
      </c>
      <c r="BH69" s="47">
        <v>0</v>
      </c>
      <c r="BI69" s="47">
        <v>0</v>
      </c>
      <c r="BJ69" s="47">
        <v>0</v>
      </c>
      <c r="BK69" s="47">
        <v>0</v>
      </c>
      <c r="BL69" s="47">
        <v>0</v>
      </c>
      <c r="BM69" s="47">
        <v>0</v>
      </c>
      <c r="BN69" s="47">
        <v>0</v>
      </c>
      <c r="BO69" s="47">
        <v>0</v>
      </c>
      <c r="BP69" s="47">
        <v>0</v>
      </c>
      <c r="BQ69" s="47">
        <v>0</v>
      </c>
      <c r="BR69" s="47">
        <v>0</v>
      </c>
      <c r="BS69" s="47">
        <v>0</v>
      </c>
      <c r="BT69" s="47">
        <v>0</v>
      </c>
      <c r="BU69" s="47">
        <v>0</v>
      </c>
      <c r="BV69" s="47">
        <v>0</v>
      </c>
      <c r="BW69" s="47">
        <v>0</v>
      </c>
      <c r="BX69" s="47">
        <v>0</v>
      </c>
      <c r="BY69" s="47">
        <v>0</v>
      </c>
      <c r="BZ69" s="47">
        <v>0</v>
      </c>
      <c r="CA69" s="47">
        <v>0</v>
      </c>
      <c r="CB69" s="47">
        <v>0</v>
      </c>
      <c r="CC69" s="47">
        <v>0</v>
      </c>
      <c r="CD69" s="47">
        <v>0</v>
      </c>
      <c r="CE69" s="47">
        <v>0</v>
      </c>
      <c r="CF69" s="47">
        <v>0</v>
      </c>
      <c r="CG69" s="47">
        <v>0</v>
      </c>
      <c r="CH69" s="47">
        <v>0</v>
      </c>
      <c r="CI69" s="47">
        <v>0</v>
      </c>
      <c r="CJ69" s="47">
        <v>0</v>
      </c>
      <c r="CK69" s="47">
        <v>0</v>
      </c>
      <c r="CL69" s="47">
        <v>0</v>
      </c>
      <c r="CM69" s="47">
        <v>0</v>
      </c>
      <c r="CN69" s="47">
        <v>0</v>
      </c>
      <c r="CO69" s="47">
        <v>0</v>
      </c>
      <c r="CP69" s="47">
        <v>0</v>
      </c>
      <c r="CQ69" s="47">
        <v>0</v>
      </c>
      <c r="CR69" s="47">
        <v>0</v>
      </c>
      <c r="CS69" s="47">
        <v>0</v>
      </c>
      <c r="CT69" s="47">
        <v>0.8</v>
      </c>
      <c r="CU69" s="47">
        <v>0.8</v>
      </c>
      <c r="CV69" s="47">
        <v>0</v>
      </c>
      <c r="CW69" s="47">
        <v>0</v>
      </c>
      <c r="CX69" s="47">
        <v>0</v>
      </c>
      <c r="CY69" s="47">
        <v>0</v>
      </c>
      <c r="CZ69" s="47">
        <v>0</v>
      </c>
      <c r="DA69" s="47">
        <v>0</v>
      </c>
      <c r="DB69" s="47">
        <v>0</v>
      </c>
      <c r="DC69" s="47">
        <v>0</v>
      </c>
      <c r="DD69" s="47">
        <v>0</v>
      </c>
      <c r="DE69" s="47">
        <v>0</v>
      </c>
      <c r="DF69" s="47">
        <v>0</v>
      </c>
      <c r="DG69" s="47">
        <v>0</v>
      </c>
      <c r="DH69" s="47">
        <v>0</v>
      </c>
      <c r="DI69" s="47">
        <v>0</v>
      </c>
      <c r="DJ69" s="47">
        <v>0</v>
      </c>
      <c r="DK69" s="47">
        <v>0</v>
      </c>
      <c r="DL69" s="47">
        <v>0</v>
      </c>
      <c r="DM69" s="47">
        <v>0</v>
      </c>
      <c r="DN69" s="47">
        <v>0</v>
      </c>
      <c r="DO69" s="47">
        <v>0</v>
      </c>
      <c r="DP69" s="47">
        <v>0</v>
      </c>
      <c r="DQ69" s="47">
        <v>0</v>
      </c>
      <c r="DR69" s="47">
        <v>0</v>
      </c>
    </row>
    <row r="70" spans="1:124" x14ac:dyDescent="0.25">
      <c r="A70" s="47" t="s">
        <v>456</v>
      </c>
      <c r="B70" s="47" t="s">
        <v>151</v>
      </c>
      <c r="C70" s="47" t="s">
        <v>457</v>
      </c>
      <c r="D70" s="47" t="s">
        <v>458</v>
      </c>
      <c r="E70" s="47" t="s">
        <v>459</v>
      </c>
      <c r="F70" s="47" t="s">
        <v>380</v>
      </c>
      <c r="G70" s="47" t="s">
        <v>411</v>
      </c>
      <c r="H70" s="47" t="str">
        <f>=IFERROR(VLOOKUP(A70,'ETPT Format DDG'!A:J,10,FALSE),"")</f>
        <v>0</v>
      </c>
      <c r="I70" s="47" t="str">
        <f>='ETPT Format DDG'!M70</f>
        <v/>
      </c>
      <c r="J70" s="47" t="str">
        <f>='ETPT Format DDG'!D70</f>
        <v/>
      </c>
      <c r="K70" s="47" t="s">
        <v>155</v>
      </c>
      <c r="L70" s="47" t="s">
        <v>460</v>
      </c>
      <c r="M70" s="47"/>
      <c r="N70" s="47">
        <v>1</v>
      </c>
      <c r="O70" s="47">
        <v>0</v>
      </c>
      <c r="P70" s="47">
        <v>0</v>
      </c>
      <c r="Q70" s="47">
        <v>0</v>
      </c>
      <c r="R70" s="47">
        <v>0</v>
      </c>
      <c r="S70" s="47">
        <v>0</v>
      </c>
      <c r="T70" s="47">
        <v>0</v>
      </c>
      <c r="U70" s="47">
        <v>0</v>
      </c>
      <c r="V70" s="47">
        <v>0</v>
      </c>
      <c r="W70" s="47">
        <v>0</v>
      </c>
      <c r="X70" s="47">
        <v>0</v>
      </c>
      <c r="Y70" s="47">
        <v>0</v>
      </c>
      <c r="Z70" s="47">
        <v>0</v>
      </c>
      <c r="AA70" s="47">
        <v>0</v>
      </c>
      <c r="AB70" s="47">
        <v>0</v>
      </c>
      <c r="AC70" s="47">
        <v>0</v>
      </c>
      <c r="AD70" s="47">
        <v>0</v>
      </c>
      <c r="AE70" s="47">
        <v>0</v>
      </c>
      <c r="AF70" s="47">
        <v>0</v>
      </c>
      <c r="AG70" s="47">
        <v>0</v>
      </c>
      <c r="AH70" s="47">
        <v>0</v>
      </c>
      <c r="AI70" s="47">
        <v>0</v>
      </c>
      <c r="AJ70" s="47">
        <v>0</v>
      </c>
      <c r="AK70" s="47">
        <v>0</v>
      </c>
      <c r="AL70" s="47">
        <v>0</v>
      </c>
      <c r="AM70" s="47">
        <v>0</v>
      </c>
      <c r="AN70" s="47">
        <v>0</v>
      </c>
      <c r="AO70" s="47">
        <v>0</v>
      </c>
      <c r="AP70" s="47">
        <v>0</v>
      </c>
      <c r="AQ70" s="47">
        <v>0</v>
      </c>
      <c r="AR70" s="47">
        <v>0</v>
      </c>
      <c r="AS70" s="47">
        <v>0</v>
      </c>
      <c r="AT70" s="47">
        <v>0</v>
      </c>
      <c r="AU70" s="47">
        <v>0</v>
      </c>
      <c r="AV70" s="47">
        <v>0</v>
      </c>
      <c r="AW70" s="47">
        <v>0</v>
      </c>
      <c r="AX70" s="47">
        <v>0</v>
      </c>
      <c r="AY70" s="47">
        <v>0</v>
      </c>
      <c r="AZ70" s="47">
        <v>0</v>
      </c>
      <c r="BA70" s="47">
        <v>0</v>
      </c>
      <c r="BB70" s="47">
        <v>0</v>
      </c>
      <c r="BC70" s="47">
        <v>0</v>
      </c>
      <c r="BD70" s="47">
        <v>0</v>
      </c>
      <c r="BE70" s="47">
        <v>0</v>
      </c>
      <c r="BF70" s="47">
        <v>0</v>
      </c>
      <c r="BG70" s="47">
        <v>0</v>
      </c>
      <c r="BH70" s="47">
        <v>0</v>
      </c>
      <c r="BI70" s="47">
        <v>0</v>
      </c>
      <c r="BJ70" s="47">
        <v>0</v>
      </c>
      <c r="BK70" s="47">
        <v>0</v>
      </c>
      <c r="BL70" s="47">
        <v>0</v>
      </c>
      <c r="BM70" s="47">
        <v>0</v>
      </c>
      <c r="BN70" s="47">
        <v>0</v>
      </c>
      <c r="BO70" s="47">
        <v>0</v>
      </c>
      <c r="BP70" s="47">
        <v>0</v>
      </c>
      <c r="BQ70" s="47">
        <v>0</v>
      </c>
      <c r="BR70" s="47">
        <v>0</v>
      </c>
      <c r="BS70" s="47">
        <v>0</v>
      </c>
      <c r="BT70" s="47">
        <v>0</v>
      </c>
      <c r="BU70" s="47">
        <v>0</v>
      </c>
      <c r="BV70" s="47">
        <v>0</v>
      </c>
      <c r="BW70" s="47">
        <v>0</v>
      </c>
      <c r="BX70" s="47">
        <v>0</v>
      </c>
      <c r="BY70" s="47">
        <v>0</v>
      </c>
      <c r="BZ70" s="47">
        <v>0</v>
      </c>
      <c r="CA70" s="47">
        <v>0</v>
      </c>
      <c r="CB70" s="47">
        <v>0</v>
      </c>
      <c r="CC70" s="47">
        <v>0</v>
      </c>
      <c r="CD70" s="47">
        <v>0</v>
      </c>
      <c r="CE70" s="47">
        <v>0</v>
      </c>
      <c r="CF70" s="47">
        <v>0</v>
      </c>
      <c r="CG70" s="47">
        <v>0</v>
      </c>
      <c r="CH70" s="47">
        <v>0</v>
      </c>
      <c r="CI70" s="47">
        <v>0</v>
      </c>
      <c r="CJ70" s="47">
        <v>0</v>
      </c>
      <c r="CK70" s="47">
        <v>0</v>
      </c>
      <c r="CL70" s="47">
        <v>0</v>
      </c>
      <c r="CM70" s="47">
        <v>0</v>
      </c>
      <c r="CN70" s="47">
        <v>0</v>
      </c>
      <c r="CO70" s="47">
        <v>0</v>
      </c>
      <c r="CP70" s="47">
        <v>0</v>
      </c>
      <c r="CQ70" s="47">
        <v>0</v>
      </c>
      <c r="CR70" s="47">
        <v>0</v>
      </c>
      <c r="CS70" s="47">
        <v>0</v>
      </c>
      <c r="CT70" s="47">
        <v>0</v>
      </c>
      <c r="CU70" s="47">
        <v>0</v>
      </c>
      <c r="CV70" s="47">
        <v>0</v>
      </c>
      <c r="CW70" s="47">
        <v>0</v>
      </c>
      <c r="CX70" s="47">
        <v>0</v>
      </c>
      <c r="CY70" s="47">
        <v>0</v>
      </c>
      <c r="CZ70" s="47">
        <v>0</v>
      </c>
      <c r="DA70" s="47">
        <v>0</v>
      </c>
      <c r="DB70" s="47">
        <v>0</v>
      </c>
      <c r="DC70" s="47">
        <v>0</v>
      </c>
      <c r="DD70" s="47">
        <v>0</v>
      </c>
      <c r="DE70" s="47">
        <v>0</v>
      </c>
      <c r="DF70" s="47">
        <v>0</v>
      </c>
      <c r="DG70" s="47">
        <v>0</v>
      </c>
      <c r="DH70" s="47">
        <v>0</v>
      </c>
      <c r="DI70" s="47">
        <v>0</v>
      </c>
      <c r="DJ70" s="47">
        <v>0</v>
      </c>
      <c r="DK70" s="47">
        <v>0</v>
      </c>
      <c r="DL70" s="47">
        <v>0</v>
      </c>
      <c r="DM70" s="47">
        <v>0</v>
      </c>
      <c r="DN70" s="47">
        <v>0</v>
      </c>
      <c r="DO70" s="47">
        <v>0</v>
      </c>
      <c r="DP70" s="47">
        <v>0</v>
      </c>
      <c r="DQ70" s="47">
        <v>0</v>
      </c>
      <c r="DR70" s="47">
        <v>0</v>
      </c>
    </row>
    <row r="71" spans="1:124" x14ac:dyDescent="0.25">
      <c r="A71" s="47" t="s">
        <v>461</v>
      </c>
      <c r="B71" s="47" t="s">
        <v>151</v>
      </c>
      <c r="C71" s="47" t="s">
        <v>462</v>
      </c>
      <c r="D71" s="47" t="s">
        <v>463</v>
      </c>
      <c r="E71" s="47" t="s">
        <v>464</v>
      </c>
      <c r="F71" s="47" t="s">
        <v>380</v>
      </c>
      <c r="G71" s="47" t="s">
        <v>381</v>
      </c>
      <c r="H71" s="47" t="str">
        <f>=IFERROR(VLOOKUP(A71,'ETPT Format DDG'!A:J,10,FALSE),"")</f>
        <v>0</v>
      </c>
      <c r="I71" s="47" t="str">
        <f>='ETPT Format DDG'!M71</f>
        <v/>
      </c>
      <c r="J71" s="47" t="str">
        <f>='ETPT Format DDG'!D71</f>
        <v/>
      </c>
      <c r="K71" s="47" t="s">
        <v>155</v>
      </c>
      <c r="L71" s="47" t="s">
        <v>465</v>
      </c>
      <c r="M71" s="47"/>
      <c r="N71" s="47">
        <v>1</v>
      </c>
      <c r="O71" s="47">
        <v>1</v>
      </c>
      <c r="P71" s="47">
        <v>0</v>
      </c>
      <c r="Q71" s="47">
        <v>0</v>
      </c>
      <c r="R71" s="47">
        <v>0</v>
      </c>
      <c r="S71" s="47">
        <v>0</v>
      </c>
      <c r="T71" s="47">
        <v>0</v>
      </c>
      <c r="U71" s="47">
        <v>0</v>
      </c>
      <c r="V71" s="47">
        <v>0</v>
      </c>
      <c r="W71" s="47">
        <v>0</v>
      </c>
      <c r="X71" s="47">
        <v>0</v>
      </c>
      <c r="Y71" s="47">
        <v>0</v>
      </c>
      <c r="Z71" s="47">
        <v>0</v>
      </c>
      <c r="AA71" s="47">
        <v>0</v>
      </c>
      <c r="AB71" s="47">
        <v>0</v>
      </c>
      <c r="AC71" s="47">
        <v>0</v>
      </c>
      <c r="AD71" s="47">
        <v>0</v>
      </c>
      <c r="AE71" s="47">
        <v>0</v>
      </c>
      <c r="AF71" s="47">
        <v>0</v>
      </c>
      <c r="AG71" s="47">
        <v>0</v>
      </c>
      <c r="AH71" s="47">
        <v>0</v>
      </c>
      <c r="AI71" s="47">
        <v>0</v>
      </c>
      <c r="AJ71" s="47">
        <v>0</v>
      </c>
      <c r="AK71" s="47">
        <v>0</v>
      </c>
      <c r="AL71" s="47">
        <v>0</v>
      </c>
      <c r="AM71" s="47">
        <v>0</v>
      </c>
      <c r="AN71" s="47">
        <v>0</v>
      </c>
      <c r="AO71" s="47">
        <v>0</v>
      </c>
      <c r="AP71" s="47">
        <v>0</v>
      </c>
      <c r="AQ71" s="47">
        <v>0</v>
      </c>
      <c r="AR71" s="47">
        <v>0</v>
      </c>
      <c r="AS71" s="47">
        <v>0</v>
      </c>
      <c r="AT71" s="47">
        <v>0</v>
      </c>
      <c r="AU71" s="47">
        <v>0</v>
      </c>
      <c r="AV71" s="47">
        <v>0</v>
      </c>
      <c r="AW71" s="47">
        <v>0</v>
      </c>
      <c r="AX71" s="47">
        <v>0</v>
      </c>
      <c r="AY71" s="47">
        <v>0</v>
      </c>
      <c r="AZ71" s="47">
        <v>0</v>
      </c>
      <c r="BA71" s="47">
        <v>0</v>
      </c>
      <c r="BB71" s="47">
        <v>0</v>
      </c>
      <c r="BC71" s="47">
        <v>0</v>
      </c>
      <c r="BD71" s="47">
        <v>0</v>
      </c>
      <c r="BE71" s="47">
        <v>0</v>
      </c>
      <c r="BF71" s="47">
        <v>0</v>
      </c>
      <c r="BG71" s="47">
        <v>0</v>
      </c>
      <c r="BH71" s="47">
        <v>0</v>
      </c>
      <c r="BI71" s="47">
        <v>0</v>
      </c>
      <c r="BJ71" s="47">
        <v>0</v>
      </c>
      <c r="BK71" s="47">
        <v>0</v>
      </c>
      <c r="BL71" s="47">
        <v>0</v>
      </c>
      <c r="BM71" s="47">
        <v>0</v>
      </c>
      <c r="BN71" s="47">
        <v>0</v>
      </c>
      <c r="BO71" s="47">
        <v>0</v>
      </c>
      <c r="BP71" s="47">
        <v>0</v>
      </c>
      <c r="BQ71" s="47">
        <v>0</v>
      </c>
      <c r="BR71" s="47">
        <v>0</v>
      </c>
      <c r="BS71" s="47">
        <v>0</v>
      </c>
      <c r="BT71" s="47">
        <v>0</v>
      </c>
      <c r="BU71" s="47">
        <v>0</v>
      </c>
      <c r="BV71" s="47">
        <v>0</v>
      </c>
      <c r="BW71" s="47">
        <v>0</v>
      </c>
      <c r="BX71" s="47">
        <v>0</v>
      </c>
      <c r="BY71" s="47">
        <v>0</v>
      </c>
      <c r="BZ71" s="47">
        <v>0</v>
      </c>
      <c r="CA71" s="47">
        <v>0</v>
      </c>
      <c r="CB71" s="47">
        <v>0</v>
      </c>
      <c r="CC71" s="47">
        <v>0</v>
      </c>
      <c r="CD71" s="47">
        <v>0</v>
      </c>
      <c r="CE71" s="47">
        <v>0</v>
      </c>
      <c r="CF71" s="47">
        <v>0</v>
      </c>
      <c r="CG71" s="47">
        <v>0</v>
      </c>
      <c r="CH71" s="47">
        <v>0</v>
      </c>
      <c r="CI71" s="47">
        <v>0</v>
      </c>
      <c r="CJ71" s="47">
        <v>0</v>
      </c>
      <c r="CK71" s="47">
        <v>0</v>
      </c>
      <c r="CL71" s="47">
        <v>0</v>
      </c>
      <c r="CM71" s="47">
        <v>0</v>
      </c>
      <c r="CN71" s="47">
        <v>0</v>
      </c>
      <c r="CO71" s="47">
        <v>0</v>
      </c>
      <c r="CP71" s="47">
        <v>0</v>
      </c>
      <c r="CQ71" s="47">
        <v>0</v>
      </c>
      <c r="CR71" s="47">
        <v>0</v>
      </c>
      <c r="CS71" s="47">
        <v>0</v>
      </c>
      <c r="CT71" s="47">
        <v>1</v>
      </c>
      <c r="CU71" s="47">
        <v>0</v>
      </c>
      <c r="CV71" s="47">
        <v>0</v>
      </c>
      <c r="CW71" s="47">
        <v>0</v>
      </c>
      <c r="CX71" s="47">
        <v>0</v>
      </c>
      <c r="CY71" s="47">
        <v>0</v>
      </c>
      <c r="CZ71" s="47">
        <v>0</v>
      </c>
      <c r="DA71" s="47">
        <v>0</v>
      </c>
      <c r="DB71" s="47">
        <v>0</v>
      </c>
      <c r="DC71" s="47">
        <v>0</v>
      </c>
      <c r="DD71" s="47">
        <v>0</v>
      </c>
      <c r="DE71" s="47">
        <v>1</v>
      </c>
      <c r="DF71" s="47">
        <v>0</v>
      </c>
      <c r="DG71" s="47">
        <v>0</v>
      </c>
      <c r="DH71" s="47">
        <v>0</v>
      </c>
      <c r="DI71" s="47">
        <v>0</v>
      </c>
      <c r="DJ71" s="47">
        <v>0</v>
      </c>
      <c r="DK71" s="47">
        <v>0</v>
      </c>
      <c r="DL71" s="47">
        <v>0</v>
      </c>
      <c r="DM71" s="47">
        <v>0</v>
      </c>
      <c r="DN71" s="47">
        <v>0</v>
      </c>
      <c r="DO71" s="47">
        <v>0</v>
      </c>
      <c r="DP71" s="47">
        <v>0</v>
      </c>
      <c r="DQ71" s="47">
        <v>0</v>
      </c>
      <c r="DR71" s="47">
        <v>0</v>
      </c>
    </row>
    <row r="72" spans="1:124" x14ac:dyDescent="0.25">
      <c r="A72" s="47" t="s">
        <v>466</v>
      </c>
      <c r="B72" s="47" t="s">
        <v>151</v>
      </c>
      <c r="C72" s="47" t="s">
        <v>467</v>
      </c>
      <c r="D72" s="47" t="s">
        <v>468</v>
      </c>
      <c r="E72" s="47" t="s">
        <v>469</v>
      </c>
      <c r="F72" s="47" t="s">
        <v>380</v>
      </c>
      <c r="G72" s="47" t="s">
        <v>411</v>
      </c>
      <c r="H72" s="47" t="str">
        <f>=IFERROR(VLOOKUP(A72,'ETPT Format DDG'!A:J,10,FALSE),"")</f>
        <v>0</v>
      </c>
      <c r="I72" s="47" t="str">
        <f>='ETPT Format DDG'!M72</f>
        <v/>
      </c>
      <c r="J72" s="47" t="str">
        <f>='ETPT Format DDG'!D72</f>
        <v/>
      </c>
      <c r="K72" s="47" t="s">
        <v>155</v>
      </c>
      <c r="L72" s="47" t="s">
        <v>470</v>
      </c>
      <c r="M72" s="47"/>
      <c r="N72" s="47">
        <v>0.9274</v>
      </c>
      <c r="O72" s="47">
        <v>0.9274</v>
      </c>
      <c r="P72" s="47">
        <v>0</v>
      </c>
      <c r="Q72" s="47">
        <v>0</v>
      </c>
      <c r="R72" s="47">
        <v>0</v>
      </c>
      <c r="S72" s="47">
        <v>0</v>
      </c>
      <c r="T72" s="47">
        <v>0</v>
      </c>
      <c r="U72" s="47">
        <v>0</v>
      </c>
      <c r="V72" s="47">
        <v>0</v>
      </c>
      <c r="W72" s="47">
        <v>0</v>
      </c>
      <c r="X72" s="47">
        <v>0</v>
      </c>
      <c r="Y72" s="47">
        <v>0</v>
      </c>
      <c r="Z72" s="47">
        <v>0</v>
      </c>
      <c r="AA72" s="47">
        <v>0</v>
      </c>
      <c r="AB72" s="47">
        <v>0</v>
      </c>
      <c r="AC72" s="47">
        <v>0</v>
      </c>
      <c r="AD72" s="47">
        <v>0</v>
      </c>
      <c r="AE72" s="47">
        <v>0</v>
      </c>
      <c r="AF72" s="47">
        <v>0</v>
      </c>
      <c r="AG72" s="47">
        <v>0</v>
      </c>
      <c r="AH72" s="47">
        <v>0</v>
      </c>
      <c r="AI72" s="47">
        <v>0</v>
      </c>
      <c r="AJ72" s="47">
        <v>0</v>
      </c>
      <c r="AK72" s="47">
        <v>0</v>
      </c>
      <c r="AL72" s="47">
        <v>0</v>
      </c>
      <c r="AM72" s="47">
        <v>0</v>
      </c>
      <c r="AN72" s="47">
        <v>0</v>
      </c>
      <c r="AO72" s="47">
        <v>0</v>
      </c>
      <c r="AP72" s="47">
        <v>0</v>
      </c>
      <c r="AQ72" s="47">
        <v>0</v>
      </c>
      <c r="AR72" s="47">
        <v>0</v>
      </c>
      <c r="AS72" s="47">
        <v>0</v>
      </c>
      <c r="AT72" s="47">
        <v>0</v>
      </c>
      <c r="AU72" s="47">
        <v>0</v>
      </c>
      <c r="AV72" s="47">
        <v>0</v>
      </c>
      <c r="AW72" s="47">
        <v>0</v>
      </c>
      <c r="AX72" s="47">
        <v>0</v>
      </c>
      <c r="AY72" s="47">
        <v>0</v>
      </c>
      <c r="AZ72" s="47">
        <v>0</v>
      </c>
      <c r="BA72" s="47">
        <v>0</v>
      </c>
      <c r="BB72" s="47">
        <v>0</v>
      </c>
      <c r="BC72" s="47">
        <v>0</v>
      </c>
      <c r="BD72" s="47">
        <v>0</v>
      </c>
      <c r="BE72" s="47">
        <v>0</v>
      </c>
      <c r="BF72" s="47">
        <v>0</v>
      </c>
      <c r="BG72" s="47">
        <v>0</v>
      </c>
      <c r="BH72" s="47">
        <v>0</v>
      </c>
      <c r="BI72" s="47">
        <v>0</v>
      </c>
      <c r="BJ72" s="47">
        <v>0</v>
      </c>
      <c r="BK72" s="47">
        <v>0</v>
      </c>
      <c r="BL72" s="47">
        <v>0</v>
      </c>
      <c r="BM72" s="47">
        <v>0</v>
      </c>
      <c r="BN72" s="47">
        <v>0</v>
      </c>
      <c r="BO72" s="47">
        <v>0</v>
      </c>
      <c r="BP72" s="47">
        <v>0</v>
      </c>
      <c r="BQ72" s="47">
        <v>0</v>
      </c>
      <c r="BR72" s="47">
        <v>0</v>
      </c>
      <c r="BS72" s="47">
        <v>0</v>
      </c>
      <c r="BT72" s="47">
        <v>0</v>
      </c>
      <c r="BU72" s="47">
        <v>0</v>
      </c>
      <c r="BV72" s="47">
        <v>0</v>
      </c>
      <c r="BW72" s="47">
        <v>0</v>
      </c>
      <c r="BX72" s="47">
        <v>0</v>
      </c>
      <c r="BY72" s="47">
        <v>0</v>
      </c>
      <c r="BZ72" s="47">
        <v>0</v>
      </c>
      <c r="CA72" s="47">
        <v>0</v>
      </c>
      <c r="CB72" s="47">
        <v>0</v>
      </c>
      <c r="CC72" s="47">
        <v>0</v>
      </c>
      <c r="CD72" s="47">
        <v>0</v>
      </c>
      <c r="CE72" s="47">
        <v>0</v>
      </c>
      <c r="CF72" s="47">
        <v>0</v>
      </c>
      <c r="CG72" s="47">
        <v>0</v>
      </c>
      <c r="CH72" s="47">
        <v>0</v>
      </c>
      <c r="CI72" s="47">
        <v>0</v>
      </c>
      <c r="CJ72" s="47">
        <v>0</v>
      </c>
      <c r="CK72" s="47">
        <v>0</v>
      </c>
      <c r="CL72" s="47">
        <v>0</v>
      </c>
      <c r="CM72" s="47">
        <v>0</v>
      </c>
      <c r="CN72" s="47">
        <v>0</v>
      </c>
      <c r="CO72" s="47">
        <v>0</v>
      </c>
      <c r="CP72" s="47">
        <v>0</v>
      </c>
      <c r="CQ72" s="47">
        <v>0</v>
      </c>
      <c r="CR72" s="47">
        <v>0</v>
      </c>
      <c r="CS72" s="47">
        <v>0</v>
      </c>
      <c r="CT72" s="47">
        <v>0.9274</v>
      </c>
      <c r="CU72" s="47">
        <v>0</v>
      </c>
      <c r="CV72" s="47">
        <v>0</v>
      </c>
      <c r="CW72" s="47">
        <v>0</v>
      </c>
      <c r="CX72" s="47">
        <v>0.9274</v>
      </c>
      <c r="CY72" s="47">
        <v>0</v>
      </c>
      <c r="CZ72" s="47">
        <v>0</v>
      </c>
      <c r="DA72" s="47">
        <v>0</v>
      </c>
      <c r="DB72" s="47">
        <v>0</v>
      </c>
      <c r="DC72" s="47">
        <v>0</v>
      </c>
      <c r="DD72" s="47">
        <v>0</v>
      </c>
      <c r="DE72" s="47">
        <v>0</v>
      </c>
      <c r="DF72" s="47">
        <v>0.0726</v>
      </c>
      <c r="DG72" s="47">
        <v>0</v>
      </c>
      <c r="DH72" s="47">
        <v>0</v>
      </c>
      <c r="DI72" s="47">
        <v>0</v>
      </c>
      <c r="DJ72" s="47">
        <v>0.0524</v>
      </c>
      <c r="DK72" s="47">
        <v>0.0081</v>
      </c>
      <c r="DL72" s="47">
        <v>0</v>
      </c>
      <c r="DM72" s="47">
        <v>0</v>
      </c>
      <c r="DN72" s="47">
        <v>0</v>
      </c>
      <c r="DO72" s="47">
        <v>0</v>
      </c>
      <c r="DP72" s="47">
        <v>0</v>
      </c>
      <c r="DQ72" s="47">
        <v>0</v>
      </c>
      <c r="DR72" s="47">
        <v>0.0121</v>
      </c>
    </row>
    <row r="73" spans="1:124" x14ac:dyDescent="0.25">
      <c r="A73" s="47" t="s">
        <v>471</v>
      </c>
      <c r="B73" s="47" t="s">
        <v>151</v>
      </c>
      <c r="C73" s="47" t="s">
        <v>472</v>
      </c>
      <c r="D73" s="47" t="s">
        <v>473</v>
      </c>
      <c r="E73" s="47" t="s">
        <v>474</v>
      </c>
      <c r="F73" s="47" t="s">
        <v>380</v>
      </c>
      <c r="G73" s="47" t="s">
        <v>381</v>
      </c>
      <c r="H73" s="47" t="str">
        <f>=IFERROR(VLOOKUP(A73,'ETPT Format DDG'!A:J,10,FALSE),"")</f>
        <v>0</v>
      </c>
      <c r="I73" s="47" t="str">
        <f>='ETPT Format DDG'!M73</f>
        <v/>
      </c>
      <c r="J73" s="47" t="str">
        <f>='ETPT Format DDG'!D73</f>
        <v/>
      </c>
      <c r="K73" s="47" t="s">
        <v>155</v>
      </c>
      <c r="L73" s="47" t="s">
        <v>475</v>
      </c>
      <c r="M73" s="47"/>
      <c r="N73" s="47">
        <v>1</v>
      </c>
      <c r="O73" s="47">
        <v>0</v>
      </c>
      <c r="P73" s="47">
        <v>0</v>
      </c>
      <c r="Q73" s="47">
        <v>0</v>
      </c>
      <c r="R73" s="47">
        <v>0</v>
      </c>
      <c r="S73" s="47">
        <v>0</v>
      </c>
      <c r="T73" s="47">
        <v>0</v>
      </c>
      <c r="U73" s="47">
        <v>0</v>
      </c>
      <c r="V73" s="47">
        <v>0</v>
      </c>
      <c r="W73" s="47">
        <v>0</v>
      </c>
      <c r="X73" s="47">
        <v>0</v>
      </c>
      <c r="Y73" s="47">
        <v>0</v>
      </c>
      <c r="Z73" s="47">
        <v>0</v>
      </c>
      <c r="AA73" s="47">
        <v>0</v>
      </c>
      <c r="AB73" s="47">
        <v>0</v>
      </c>
      <c r="AC73" s="47">
        <v>0</v>
      </c>
      <c r="AD73" s="47">
        <v>0</v>
      </c>
      <c r="AE73" s="47">
        <v>0</v>
      </c>
      <c r="AF73" s="47">
        <v>0</v>
      </c>
      <c r="AG73" s="47">
        <v>0</v>
      </c>
      <c r="AH73" s="47">
        <v>0</v>
      </c>
      <c r="AI73" s="47">
        <v>0</v>
      </c>
      <c r="AJ73" s="47">
        <v>0</v>
      </c>
      <c r="AK73" s="47">
        <v>0</v>
      </c>
      <c r="AL73" s="47">
        <v>0</v>
      </c>
      <c r="AM73" s="47">
        <v>0</v>
      </c>
      <c r="AN73" s="47">
        <v>0</v>
      </c>
      <c r="AO73" s="47">
        <v>0</v>
      </c>
      <c r="AP73" s="47">
        <v>0</v>
      </c>
      <c r="AQ73" s="47">
        <v>0</v>
      </c>
      <c r="AR73" s="47">
        <v>0</v>
      </c>
      <c r="AS73" s="47">
        <v>0</v>
      </c>
      <c r="AT73" s="47">
        <v>0</v>
      </c>
      <c r="AU73" s="47">
        <v>0</v>
      </c>
      <c r="AV73" s="47">
        <v>0</v>
      </c>
      <c r="AW73" s="47">
        <v>0</v>
      </c>
      <c r="AX73" s="47">
        <v>0</v>
      </c>
      <c r="AY73" s="47">
        <v>0</v>
      </c>
      <c r="AZ73" s="47">
        <v>0</v>
      </c>
      <c r="BA73" s="47">
        <v>0</v>
      </c>
      <c r="BB73" s="47">
        <v>0</v>
      </c>
      <c r="BC73" s="47">
        <v>0</v>
      </c>
      <c r="BD73" s="47">
        <v>0</v>
      </c>
      <c r="BE73" s="47">
        <v>0</v>
      </c>
      <c r="BF73" s="47">
        <v>0</v>
      </c>
      <c r="BG73" s="47">
        <v>0</v>
      </c>
      <c r="BH73" s="47">
        <v>0</v>
      </c>
      <c r="BI73" s="47">
        <v>0</v>
      </c>
      <c r="BJ73" s="47">
        <v>0</v>
      </c>
      <c r="BK73" s="47">
        <v>0</v>
      </c>
      <c r="BL73" s="47">
        <v>0</v>
      </c>
      <c r="BM73" s="47">
        <v>0</v>
      </c>
      <c r="BN73" s="47">
        <v>0</v>
      </c>
      <c r="BO73" s="47">
        <v>0</v>
      </c>
      <c r="BP73" s="47">
        <v>0</v>
      </c>
      <c r="BQ73" s="47">
        <v>0</v>
      </c>
      <c r="BR73" s="47">
        <v>0</v>
      </c>
      <c r="BS73" s="47">
        <v>0</v>
      </c>
      <c r="BT73" s="47">
        <v>0</v>
      </c>
      <c r="BU73" s="47">
        <v>0</v>
      </c>
      <c r="BV73" s="47">
        <v>0</v>
      </c>
      <c r="BW73" s="47">
        <v>0</v>
      </c>
      <c r="BX73" s="47">
        <v>0</v>
      </c>
      <c r="BY73" s="47">
        <v>0</v>
      </c>
      <c r="BZ73" s="47">
        <v>0</v>
      </c>
      <c r="CA73" s="47">
        <v>0</v>
      </c>
      <c r="CB73" s="47">
        <v>0</v>
      </c>
      <c r="CC73" s="47">
        <v>0</v>
      </c>
      <c r="CD73" s="47">
        <v>0</v>
      </c>
      <c r="CE73" s="47">
        <v>0</v>
      </c>
      <c r="CF73" s="47">
        <v>0</v>
      </c>
      <c r="CG73" s="47">
        <v>0</v>
      </c>
      <c r="CH73" s="47">
        <v>0</v>
      </c>
      <c r="CI73" s="47">
        <v>0</v>
      </c>
      <c r="CJ73" s="47">
        <v>0</v>
      </c>
      <c r="CK73" s="47">
        <v>0</v>
      </c>
      <c r="CL73" s="47">
        <v>0</v>
      </c>
      <c r="CM73" s="47">
        <v>0</v>
      </c>
      <c r="CN73" s="47">
        <v>0</v>
      </c>
      <c r="CO73" s="47">
        <v>0</v>
      </c>
      <c r="CP73" s="47">
        <v>0</v>
      </c>
      <c r="CQ73" s="47">
        <v>0</v>
      </c>
      <c r="CR73" s="47">
        <v>0</v>
      </c>
      <c r="CS73" s="47">
        <v>0</v>
      </c>
      <c r="CT73" s="47">
        <v>0</v>
      </c>
      <c r="CU73" s="47">
        <v>0</v>
      </c>
      <c r="CV73" s="47">
        <v>0</v>
      </c>
      <c r="CW73" s="47">
        <v>0</v>
      </c>
      <c r="CX73" s="47">
        <v>0</v>
      </c>
      <c r="CY73" s="47">
        <v>0</v>
      </c>
      <c r="CZ73" s="47">
        <v>0</v>
      </c>
      <c r="DA73" s="47">
        <v>0</v>
      </c>
      <c r="DB73" s="47">
        <v>0</v>
      </c>
      <c r="DC73" s="47">
        <v>0</v>
      </c>
      <c r="DD73" s="47">
        <v>0</v>
      </c>
      <c r="DE73" s="47">
        <v>0</v>
      </c>
      <c r="DF73" s="47">
        <v>0</v>
      </c>
      <c r="DG73" s="47">
        <v>0</v>
      </c>
      <c r="DH73" s="47">
        <v>0</v>
      </c>
      <c r="DI73" s="47">
        <v>0</v>
      </c>
      <c r="DJ73" s="47">
        <v>0</v>
      </c>
      <c r="DK73" s="47">
        <v>0</v>
      </c>
      <c r="DL73" s="47">
        <v>0</v>
      </c>
      <c r="DM73" s="47">
        <v>0</v>
      </c>
      <c r="DN73" s="47">
        <v>0</v>
      </c>
      <c r="DO73" s="47">
        <v>0</v>
      </c>
      <c r="DP73" s="47">
        <v>0</v>
      </c>
      <c r="DQ73" s="47">
        <v>0</v>
      </c>
      <c r="DR73" s="47">
        <v>0</v>
      </c>
    </row>
    <row r="74" spans="1:124" x14ac:dyDescent="0.25">
      <c r="A74" s="47" t="s">
        <v>476</v>
      </c>
      <c r="B74" s="47" t="s">
        <v>151</v>
      </c>
      <c r="C74" s="47" t="s">
        <v>477</v>
      </c>
      <c r="D74" s="47" t="s">
        <v>478</v>
      </c>
      <c r="E74" s="47" t="s">
        <v>479</v>
      </c>
      <c r="F74" s="47" t="s">
        <v>380</v>
      </c>
      <c r="G74" s="47" t="s">
        <v>411</v>
      </c>
      <c r="H74" s="47" t="str">
        <f>=IFERROR(VLOOKUP(A74,'ETPT Format DDG'!A:J,10,FALSE),"")</f>
        <v>0</v>
      </c>
      <c r="I74" s="47" t="str">
        <f>='ETPT Format DDG'!M74</f>
        <v/>
      </c>
      <c r="J74" s="47" t="str">
        <f>='ETPT Format DDG'!D74</f>
        <v/>
      </c>
      <c r="K74" s="47" t="s">
        <v>155</v>
      </c>
      <c r="L74" s="47" t="s">
        <v>480</v>
      </c>
      <c r="M74" s="47"/>
      <c r="N74" s="47">
        <v>0.0484</v>
      </c>
      <c r="O74" s="47">
        <v>0</v>
      </c>
      <c r="P74" s="47">
        <v>0</v>
      </c>
      <c r="Q74" s="47">
        <v>0</v>
      </c>
      <c r="R74" s="47">
        <v>0</v>
      </c>
      <c r="S74" s="47">
        <v>0</v>
      </c>
      <c r="T74" s="47">
        <v>0</v>
      </c>
      <c r="U74" s="47">
        <v>0</v>
      </c>
      <c r="V74" s="47">
        <v>0</v>
      </c>
      <c r="W74" s="47">
        <v>0</v>
      </c>
      <c r="X74" s="47">
        <v>0</v>
      </c>
      <c r="Y74" s="47">
        <v>0</v>
      </c>
      <c r="Z74" s="47">
        <v>0</v>
      </c>
      <c r="AA74" s="47">
        <v>0</v>
      </c>
      <c r="AB74" s="47">
        <v>0</v>
      </c>
      <c r="AC74" s="47">
        <v>0</v>
      </c>
      <c r="AD74" s="47">
        <v>0</v>
      </c>
      <c r="AE74" s="47">
        <v>0</v>
      </c>
      <c r="AF74" s="47">
        <v>0</v>
      </c>
      <c r="AG74" s="47">
        <v>0</v>
      </c>
      <c r="AH74" s="47">
        <v>0</v>
      </c>
      <c r="AI74" s="47">
        <v>0</v>
      </c>
      <c r="AJ74" s="47">
        <v>0</v>
      </c>
      <c r="AK74" s="47">
        <v>0</v>
      </c>
      <c r="AL74" s="47">
        <v>0</v>
      </c>
      <c r="AM74" s="47">
        <v>0</v>
      </c>
      <c r="AN74" s="47">
        <v>0</v>
      </c>
      <c r="AO74" s="47">
        <v>0</v>
      </c>
      <c r="AP74" s="47">
        <v>0</v>
      </c>
      <c r="AQ74" s="47">
        <v>0</v>
      </c>
      <c r="AR74" s="47">
        <v>0</v>
      </c>
      <c r="AS74" s="47">
        <v>0</v>
      </c>
      <c r="AT74" s="47">
        <v>0</v>
      </c>
      <c r="AU74" s="47">
        <v>0</v>
      </c>
      <c r="AV74" s="47">
        <v>0</v>
      </c>
      <c r="AW74" s="47">
        <v>0</v>
      </c>
      <c r="AX74" s="47">
        <v>0</v>
      </c>
      <c r="AY74" s="47">
        <v>0</v>
      </c>
      <c r="AZ74" s="47">
        <v>0</v>
      </c>
      <c r="BA74" s="47">
        <v>0</v>
      </c>
      <c r="BB74" s="47">
        <v>0</v>
      </c>
      <c r="BC74" s="47">
        <v>0</v>
      </c>
      <c r="BD74" s="47">
        <v>0</v>
      </c>
      <c r="BE74" s="47">
        <v>0</v>
      </c>
      <c r="BF74" s="47">
        <v>0</v>
      </c>
      <c r="BG74" s="47">
        <v>0</v>
      </c>
      <c r="BH74" s="47">
        <v>0</v>
      </c>
      <c r="BI74" s="47">
        <v>0</v>
      </c>
      <c r="BJ74" s="47">
        <v>0</v>
      </c>
      <c r="BK74" s="47">
        <v>0</v>
      </c>
      <c r="BL74" s="47">
        <v>0</v>
      </c>
      <c r="BM74" s="47">
        <v>0</v>
      </c>
      <c r="BN74" s="47">
        <v>0</v>
      </c>
      <c r="BO74" s="47">
        <v>0</v>
      </c>
      <c r="BP74" s="47">
        <v>0</v>
      </c>
      <c r="BQ74" s="47">
        <v>0</v>
      </c>
      <c r="BR74" s="47">
        <v>0</v>
      </c>
      <c r="BS74" s="47">
        <v>0</v>
      </c>
      <c r="BT74" s="47">
        <v>0</v>
      </c>
      <c r="BU74" s="47">
        <v>0</v>
      </c>
      <c r="BV74" s="47">
        <v>0</v>
      </c>
      <c r="BW74" s="47">
        <v>0</v>
      </c>
      <c r="BX74" s="47">
        <v>0</v>
      </c>
      <c r="BY74" s="47">
        <v>0</v>
      </c>
      <c r="BZ74" s="47">
        <v>0</v>
      </c>
      <c r="CA74" s="47">
        <v>0</v>
      </c>
      <c r="CB74" s="47">
        <v>0</v>
      </c>
      <c r="CC74" s="47">
        <v>0</v>
      </c>
      <c r="CD74" s="47">
        <v>0</v>
      </c>
      <c r="CE74" s="47">
        <v>0</v>
      </c>
      <c r="CF74" s="47">
        <v>0</v>
      </c>
      <c r="CG74" s="47">
        <v>0</v>
      </c>
      <c r="CH74" s="47">
        <v>0</v>
      </c>
      <c r="CI74" s="47">
        <v>0</v>
      </c>
      <c r="CJ74" s="47">
        <v>0</v>
      </c>
      <c r="CK74" s="47">
        <v>0</v>
      </c>
      <c r="CL74" s="47">
        <v>0</v>
      </c>
      <c r="CM74" s="47">
        <v>0</v>
      </c>
      <c r="CN74" s="47">
        <v>0</v>
      </c>
      <c r="CO74" s="47">
        <v>0</v>
      </c>
      <c r="CP74" s="47">
        <v>0</v>
      </c>
      <c r="CQ74" s="47">
        <v>0</v>
      </c>
      <c r="CR74" s="47">
        <v>0</v>
      </c>
      <c r="CS74" s="47">
        <v>0</v>
      </c>
      <c r="CT74" s="47">
        <v>0</v>
      </c>
      <c r="CU74" s="47">
        <v>0</v>
      </c>
      <c r="CV74" s="47">
        <v>0</v>
      </c>
      <c r="CW74" s="47">
        <v>0</v>
      </c>
      <c r="CX74" s="47">
        <v>0</v>
      </c>
      <c r="CY74" s="47">
        <v>0</v>
      </c>
      <c r="CZ74" s="47">
        <v>0</v>
      </c>
      <c r="DA74" s="47">
        <v>0</v>
      </c>
      <c r="DB74" s="47">
        <v>0</v>
      </c>
      <c r="DC74" s="47">
        <v>0</v>
      </c>
      <c r="DD74" s="47">
        <v>0</v>
      </c>
      <c r="DE74" s="47">
        <v>0</v>
      </c>
      <c r="DF74" s="47">
        <v>0.2419</v>
      </c>
      <c r="DG74" s="47">
        <v>0.1109</v>
      </c>
      <c r="DH74" s="47">
        <v>0</v>
      </c>
      <c r="DI74" s="47">
        <v>0</v>
      </c>
      <c r="DJ74" s="47">
        <v>0</v>
      </c>
      <c r="DK74" s="47">
        <v>0</v>
      </c>
      <c r="DL74" s="47">
        <v>0</v>
      </c>
      <c r="DM74" s="47">
        <v>0</v>
      </c>
      <c r="DN74" s="47">
        <v>0.131</v>
      </c>
      <c r="DO74" s="47">
        <v>0</v>
      </c>
      <c r="DP74" s="47">
        <v>0</v>
      </c>
      <c r="DQ74" s="47">
        <v>0</v>
      </c>
      <c r="DR74" s="47">
        <v>0</v>
      </c>
    </row>
    <row r="75" spans="1:124" x14ac:dyDescent="0.25">
      <c r="A75" s="47" t="s">
        <v>481</v>
      </c>
      <c r="B75" s="47" t="s">
        <v>151</v>
      </c>
      <c r="C75" s="47" t="s">
        <v>482</v>
      </c>
      <c r="D75" s="47" t="s">
        <v>483</v>
      </c>
      <c r="E75" s="47" t="s">
        <v>484</v>
      </c>
      <c r="F75" s="47" t="s">
        <v>380</v>
      </c>
      <c r="G75" s="47" t="s">
        <v>411</v>
      </c>
      <c r="H75" s="47" t="str">
        <f>=IFERROR(VLOOKUP(A75,'ETPT Format DDG'!A:J,10,FALSE),"")</f>
        <v>0</v>
      </c>
      <c r="I75" s="47" t="str">
        <f>='ETPT Format DDG'!M75</f>
        <v/>
      </c>
      <c r="J75" s="47" t="str">
        <f>='ETPT Format DDG'!D75</f>
        <v/>
      </c>
      <c r="K75" s="47" t="s">
        <v>155</v>
      </c>
      <c r="L75" s="47" t="s">
        <v>485</v>
      </c>
      <c r="M75" s="47"/>
      <c r="N75" s="47">
        <v>1</v>
      </c>
      <c r="O75" s="47">
        <v>0</v>
      </c>
      <c r="P75" s="47">
        <v>0</v>
      </c>
      <c r="Q75" s="47">
        <v>0</v>
      </c>
      <c r="R75" s="47">
        <v>0</v>
      </c>
      <c r="S75" s="47">
        <v>0</v>
      </c>
      <c r="T75" s="47">
        <v>0</v>
      </c>
      <c r="U75" s="47">
        <v>0</v>
      </c>
      <c r="V75" s="47">
        <v>0</v>
      </c>
      <c r="W75" s="47">
        <v>0</v>
      </c>
      <c r="X75" s="47">
        <v>0</v>
      </c>
      <c r="Y75" s="47">
        <v>0</v>
      </c>
      <c r="Z75" s="47">
        <v>0</v>
      </c>
      <c r="AA75" s="47">
        <v>0</v>
      </c>
      <c r="AB75" s="47">
        <v>0</v>
      </c>
      <c r="AC75" s="47">
        <v>0</v>
      </c>
      <c r="AD75" s="47">
        <v>0</v>
      </c>
      <c r="AE75" s="47">
        <v>0</v>
      </c>
      <c r="AF75" s="47">
        <v>0</v>
      </c>
      <c r="AG75" s="47">
        <v>0</v>
      </c>
      <c r="AH75" s="47">
        <v>0</v>
      </c>
      <c r="AI75" s="47">
        <v>0</v>
      </c>
      <c r="AJ75" s="47">
        <v>0</v>
      </c>
      <c r="AK75" s="47">
        <v>0</v>
      </c>
      <c r="AL75" s="47">
        <v>0</v>
      </c>
      <c r="AM75" s="47">
        <v>0</v>
      </c>
      <c r="AN75" s="47">
        <v>0</v>
      </c>
      <c r="AO75" s="47">
        <v>0</v>
      </c>
      <c r="AP75" s="47">
        <v>0</v>
      </c>
      <c r="AQ75" s="47">
        <v>0</v>
      </c>
      <c r="AR75" s="47">
        <v>0</v>
      </c>
      <c r="AS75" s="47">
        <v>0</v>
      </c>
      <c r="AT75" s="47">
        <v>0</v>
      </c>
      <c r="AU75" s="47">
        <v>0</v>
      </c>
      <c r="AV75" s="47">
        <v>0</v>
      </c>
      <c r="AW75" s="47">
        <v>0</v>
      </c>
      <c r="AX75" s="47">
        <v>0</v>
      </c>
      <c r="AY75" s="47">
        <v>0</v>
      </c>
      <c r="AZ75" s="47">
        <v>0</v>
      </c>
      <c r="BA75" s="47">
        <v>0</v>
      </c>
      <c r="BB75" s="47">
        <v>0</v>
      </c>
      <c r="BC75" s="47">
        <v>0</v>
      </c>
      <c r="BD75" s="47">
        <v>0</v>
      </c>
      <c r="BE75" s="47">
        <v>0</v>
      </c>
      <c r="BF75" s="47">
        <v>0</v>
      </c>
      <c r="BG75" s="47">
        <v>0</v>
      </c>
      <c r="BH75" s="47">
        <v>0</v>
      </c>
      <c r="BI75" s="47">
        <v>0</v>
      </c>
      <c r="BJ75" s="47">
        <v>0</v>
      </c>
      <c r="BK75" s="47">
        <v>0</v>
      </c>
      <c r="BL75" s="47">
        <v>0</v>
      </c>
      <c r="BM75" s="47">
        <v>0</v>
      </c>
      <c r="BN75" s="47">
        <v>0</v>
      </c>
      <c r="BO75" s="47">
        <v>0</v>
      </c>
      <c r="BP75" s="47">
        <v>0</v>
      </c>
      <c r="BQ75" s="47">
        <v>0</v>
      </c>
      <c r="BR75" s="47">
        <v>0</v>
      </c>
      <c r="BS75" s="47">
        <v>0</v>
      </c>
      <c r="BT75" s="47">
        <v>0</v>
      </c>
      <c r="BU75" s="47">
        <v>0</v>
      </c>
      <c r="BV75" s="47">
        <v>0</v>
      </c>
      <c r="BW75" s="47">
        <v>0</v>
      </c>
      <c r="BX75" s="47">
        <v>0</v>
      </c>
      <c r="BY75" s="47">
        <v>0</v>
      </c>
      <c r="BZ75" s="47">
        <v>0</v>
      </c>
      <c r="CA75" s="47">
        <v>0</v>
      </c>
      <c r="CB75" s="47">
        <v>0</v>
      </c>
      <c r="CC75" s="47">
        <v>0</v>
      </c>
      <c r="CD75" s="47">
        <v>0</v>
      </c>
      <c r="CE75" s="47">
        <v>0</v>
      </c>
      <c r="CF75" s="47">
        <v>0</v>
      </c>
      <c r="CG75" s="47">
        <v>0</v>
      </c>
      <c r="CH75" s="47">
        <v>0</v>
      </c>
      <c r="CI75" s="47">
        <v>0</v>
      </c>
      <c r="CJ75" s="47">
        <v>0</v>
      </c>
      <c r="CK75" s="47">
        <v>0</v>
      </c>
      <c r="CL75" s="47">
        <v>0</v>
      </c>
      <c r="CM75" s="47">
        <v>0</v>
      </c>
      <c r="CN75" s="47">
        <v>0</v>
      </c>
      <c r="CO75" s="47">
        <v>0</v>
      </c>
      <c r="CP75" s="47">
        <v>0</v>
      </c>
      <c r="CQ75" s="47">
        <v>0</v>
      </c>
      <c r="CR75" s="47">
        <v>0</v>
      </c>
      <c r="CS75" s="47">
        <v>0</v>
      </c>
      <c r="CT75" s="47">
        <v>0</v>
      </c>
      <c r="CU75" s="47">
        <v>0</v>
      </c>
      <c r="CV75" s="47">
        <v>0</v>
      </c>
      <c r="CW75" s="47">
        <v>0</v>
      </c>
      <c r="CX75" s="47">
        <v>0</v>
      </c>
      <c r="CY75" s="47">
        <v>0</v>
      </c>
      <c r="CZ75" s="47">
        <v>0</v>
      </c>
      <c r="DA75" s="47">
        <v>0</v>
      </c>
      <c r="DB75" s="47">
        <v>0</v>
      </c>
      <c r="DC75" s="47">
        <v>0</v>
      </c>
      <c r="DD75" s="47">
        <v>0</v>
      </c>
      <c r="DE75" s="47">
        <v>0</v>
      </c>
      <c r="DF75" s="47">
        <v>0</v>
      </c>
      <c r="DG75" s="47">
        <v>0</v>
      </c>
      <c r="DH75" s="47">
        <v>0</v>
      </c>
      <c r="DI75" s="47">
        <v>0</v>
      </c>
      <c r="DJ75" s="47">
        <v>0</v>
      </c>
      <c r="DK75" s="47">
        <v>0</v>
      </c>
      <c r="DL75" s="47">
        <v>0</v>
      </c>
      <c r="DM75" s="47">
        <v>0</v>
      </c>
      <c r="DN75" s="47">
        <v>0</v>
      </c>
      <c r="DO75" s="47">
        <v>0</v>
      </c>
      <c r="DP75" s="47">
        <v>0</v>
      </c>
      <c r="DQ75" s="47">
        <v>0</v>
      </c>
      <c r="DR75" s="47">
        <v>0</v>
      </c>
    </row>
    <row r="76" spans="1:124" x14ac:dyDescent="0.25">
      <c r="A76" s="47" t="s">
        <v>486</v>
      </c>
      <c r="B76" s="47" t="s">
        <v>151</v>
      </c>
      <c r="C76" s="47" t="s">
        <v>487</v>
      </c>
      <c r="D76" s="47" t="s">
        <v>488</v>
      </c>
      <c r="E76" s="47" t="s">
        <v>489</v>
      </c>
      <c r="F76" s="47" t="s">
        <v>380</v>
      </c>
      <c r="G76" s="47" t="s">
        <v>381</v>
      </c>
      <c r="H76" s="47" t="str">
        <f>=IFERROR(VLOOKUP(A76,'ETPT Format DDG'!A:J,10,FALSE),"")</f>
        <v>0</v>
      </c>
      <c r="I76" s="47" t="str">
        <f>='ETPT Format DDG'!M76</f>
        <v/>
      </c>
      <c r="J76" s="47" t="str">
        <f>='ETPT Format DDG'!D76</f>
        <v/>
      </c>
      <c r="K76" s="47" t="s">
        <v>155</v>
      </c>
      <c r="L76" s="47" t="s">
        <v>490</v>
      </c>
      <c r="M76" s="47"/>
      <c r="N76" s="47">
        <v>1</v>
      </c>
      <c r="O76" s="47">
        <v>0</v>
      </c>
      <c r="P76" s="47">
        <v>0</v>
      </c>
      <c r="Q76" s="47">
        <v>0</v>
      </c>
      <c r="R76" s="47">
        <v>0</v>
      </c>
      <c r="S76" s="47">
        <v>0</v>
      </c>
      <c r="T76" s="47">
        <v>0</v>
      </c>
      <c r="U76" s="47">
        <v>0</v>
      </c>
      <c r="V76" s="47">
        <v>0</v>
      </c>
      <c r="W76" s="47">
        <v>0</v>
      </c>
      <c r="X76" s="47">
        <v>0</v>
      </c>
      <c r="Y76" s="47">
        <v>0</v>
      </c>
      <c r="Z76" s="47">
        <v>0</v>
      </c>
      <c r="AA76" s="47">
        <v>0</v>
      </c>
      <c r="AB76" s="47">
        <v>0</v>
      </c>
      <c r="AC76" s="47">
        <v>0</v>
      </c>
      <c r="AD76" s="47">
        <v>0</v>
      </c>
      <c r="AE76" s="47">
        <v>0</v>
      </c>
      <c r="AF76" s="47">
        <v>0</v>
      </c>
      <c r="AG76" s="47">
        <v>0</v>
      </c>
      <c r="AH76" s="47">
        <v>0</v>
      </c>
      <c r="AI76" s="47">
        <v>0</v>
      </c>
      <c r="AJ76" s="47">
        <v>0</v>
      </c>
      <c r="AK76" s="47">
        <v>0</v>
      </c>
      <c r="AL76" s="47">
        <v>0</v>
      </c>
      <c r="AM76" s="47">
        <v>0</v>
      </c>
      <c r="AN76" s="47">
        <v>0</v>
      </c>
      <c r="AO76" s="47">
        <v>0</v>
      </c>
      <c r="AP76" s="47">
        <v>0</v>
      </c>
      <c r="AQ76" s="47">
        <v>0</v>
      </c>
      <c r="AR76" s="47">
        <v>0</v>
      </c>
      <c r="AS76" s="47">
        <v>0</v>
      </c>
      <c r="AT76" s="47">
        <v>0</v>
      </c>
      <c r="AU76" s="47">
        <v>0</v>
      </c>
      <c r="AV76" s="47">
        <v>0</v>
      </c>
      <c r="AW76" s="47">
        <v>0</v>
      </c>
      <c r="AX76" s="47">
        <v>0</v>
      </c>
      <c r="AY76" s="47">
        <v>0</v>
      </c>
      <c r="AZ76" s="47">
        <v>0</v>
      </c>
      <c r="BA76" s="47">
        <v>0</v>
      </c>
      <c r="BB76" s="47">
        <v>0</v>
      </c>
      <c r="BC76" s="47">
        <v>0</v>
      </c>
      <c r="BD76" s="47">
        <v>0</v>
      </c>
      <c r="BE76" s="47">
        <v>0</v>
      </c>
      <c r="BF76" s="47">
        <v>0</v>
      </c>
      <c r="BG76" s="47">
        <v>0</v>
      </c>
      <c r="BH76" s="47">
        <v>0</v>
      </c>
      <c r="BI76" s="47">
        <v>0</v>
      </c>
      <c r="BJ76" s="47">
        <v>0</v>
      </c>
      <c r="BK76" s="47">
        <v>0</v>
      </c>
      <c r="BL76" s="47">
        <v>0</v>
      </c>
      <c r="BM76" s="47">
        <v>0</v>
      </c>
      <c r="BN76" s="47">
        <v>0</v>
      </c>
      <c r="BO76" s="47">
        <v>0</v>
      </c>
      <c r="BP76" s="47">
        <v>0</v>
      </c>
      <c r="BQ76" s="47">
        <v>0</v>
      </c>
      <c r="BR76" s="47">
        <v>0</v>
      </c>
      <c r="BS76" s="47">
        <v>0</v>
      </c>
      <c r="BT76" s="47">
        <v>0</v>
      </c>
      <c r="BU76" s="47">
        <v>0</v>
      </c>
      <c r="BV76" s="47">
        <v>0</v>
      </c>
      <c r="BW76" s="47">
        <v>0</v>
      </c>
      <c r="BX76" s="47">
        <v>0</v>
      </c>
      <c r="BY76" s="47">
        <v>0</v>
      </c>
      <c r="BZ76" s="47">
        <v>0</v>
      </c>
      <c r="CA76" s="47">
        <v>0</v>
      </c>
      <c r="CB76" s="47">
        <v>0</v>
      </c>
      <c r="CC76" s="47">
        <v>0</v>
      </c>
      <c r="CD76" s="47">
        <v>0</v>
      </c>
      <c r="CE76" s="47">
        <v>0</v>
      </c>
      <c r="CF76" s="47">
        <v>0</v>
      </c>
      <c r="CG76" s="47">
        <v>0</v>
      </c>
      <c r="CH76" s="47">
        <v>0</v>
      </c>
      <c r="CI76" s="47">
        <v>0</v>
      </c>
      <c r="CJ76" s="47">
        <v>0</v>
      </c>
      <c r="CK76" s="47">
        <v>0</v>
      </c>
      <c r="CL76" s="47">
        <v>0</v>
      </c>
      <c r="CM76" s="47">
        <v>0</v>
      </c>
      <c r="CN76" s="47">
        <v>0</v>
      </c>
      <c r="CO76" s="47">
        <v>0</v>
      </c>
      <c r="CP76" s="47">
        <v>0</v>
      </c>
      <c r="CQ76" s="47">
        <v>0</v>
      </c>
      <c r="CR76" s="47">
        <v>0</v>
      </c>
      <c r="CS76" s="47">
        <v>0</v>
      </c>
      <c r="CT76" s="47">
        <v>0</v>
      </c>
      <c r="CU76" s="47">
        <v>0</v>
      </c>
      <c r="CV76" s="47">
        <v>0</v>
      </c>
      <c r="CW76" s="47">
        <v>0</v>
      </c>
      <c r="CX76" s="47">
        <v>0</v>
      </c>
      <c r="CY76" s="47">
        <v>0</v>
      </c>
      <c r="CZ76" s="47">
        <v>0</v>
      </c>
      <c r="DA76" s="47">
        <v>0</v>
      </c>
      <c r="DB76" s="47">
        <v>0</v>
      </c>
      <c r="DC76" s="47">
        <v>0</v>
      </c>
      <c r="DD76" s="47">
        <v>0</v>
      </c>
      <c r="DE76" s="47">
        <v>0</v>
      </c>
      <c r="DF76" s="47">
        <v>0</v>
      </c>
      <c r="DG76" s="47">
        <v>0</v>
      </c>
      <c r="DH76" s="47">
        <v>0</v>
      </c>
      <c r="DI76" s="47">
        <v>0</v>
      </c>
      <c r="DJ76" s="47">
        <v>0</v>
      </c>
      <c r="DK76" s="47">
        <v>0</v>
      </c>
      <c r="DL76" s="47">
        <v>0</v>
      </c>
      <c r="DM76" s="47">
        <v>0</v>
      </c>
      <c r="DN76" s="47">
        <v>0</v>
      </c>
      <c r="DO76" s="47">
        <v>0</v>
      </c>
      <c r="DP76" s="47">
        <v>0</v>
      </c>
      <c r="DQ76" s="47">
        <v>0</v>
      </c>
      <c r="DR76" s="47">
        <v>0</v>
      </c>
    </row>
    <row r="77" spans="1:124" x14ac:dyDescent="0.25">
      <c r="A77" s="47" t="s">
        <v>491</v>
      </c>
      <c r="B77" s="47" t="s">
        <v>151</v>
      </c>
      <c r="C77" s="47" t="s">
        <v>492</v>
      </c>
      <c r="D77" s="47" t="s">
        <v>493</v>
      </c>
      <c r="E77" s="47" t="s">
        <v>494</v>
      </c>
      <c r="F77" s="47" t="s">
        <v>380</v>
      </c>
      <c r="G77" s="47" t="s">
        <v>421</v>
      </c>
      <c r="H77" s="47" t="str">
        <f>=IFERROR(VLOOKUP(A77,'ETPT Format DDG'!A:J,10,FALSE),"")</f>
        <v>0</v>
      </c>
      <c r="I77" s="47" t="str">
        <f>='ETPT Format DDG'!M77</f>
        <v/>
      </c>
      <c r="J77" s="47" t="str">
        <f>='ETPT Format DDG'!D77</f>
        <v/>
      </c>
      <c r="K77" s="47" t="s">
        <v>155</v>
      </c>
      <c r="L77" s="47" t="s">
        <v>495</v>
      </c>
      <c r="M77" s="47"/>
      <c r="N77" s="47">
        <v>1</v>
      </c>
      <c r="O77" s="47">
        <v>1</v>
      </c>
      <c r="P77" s="47">
        <v>0</v>
      </c>
      <c r="Q77" s="47">
        <v>0</v>
      </c>
      <c r="R77" s="47">
        <v>0</v>
      </c>
      <c r="S77" s="47">
        <v>0</v>
      </c>
      <c r="T77" s="47">
        <v>0</v>
      </c>
      <c r="U77" s="47">
        <v>0</v>
      </c>
      <c r="V77" s="47">
        <v>0</v>
      </c>
      <c r="W77" s="47">
        <v>0</v>
      </c>
      <c r="X77" s="47">
        <v>0</v>
      </c>
      <c r="Y77" s="47">
        <v>0</v>
      </c>
      <c r="Z77" s="47">
        <v>0</v>
      </c>
      <c r="AA77" s="47">
        <v>0</v>
      </c>
      <c r="AB77" s="47">
        <v>0</v>
      </c>
      <c r="AC77" s="47">
        <v>0</v>
      </c>
      <c r="AD77" s="47">
        <v>0</v>
      </c>
      <c r="AE77" s="47">
        <v>0</v>
      </c>
      <c r="AF77" s="47">
        <v>0</v>
      </c>
      <c r="AG77" s="47">
        <v>0</v>
      </c>
      <c r="AH77" s="47">
        <v>0</v>
      </c>
      <c r="AI77" s="47">
        <v>0</v>
      </c>
      <c r="AJ77" s="47">
        <v>0</v>
      </c>
      <c r="AK77" s="47">
        <v>0</v>
      </c>
      <c r="AL77" s="47">
        <v>0</v>
      </c>
      <c r="AM77" s="47">
        <v>0</v>
      </c>
      <c r="AN77" s="47">
        <v>0</v>
      </c>
      <c r="AO77" s="47">
        <v>0</v>
      </c>
      <c r="AP77" s="47">
        <v>0</v>
      </c>
      <c r="AQ77" s="47">
        <v>0</v>
      </c>
      <c r="AR77" s="47">
        <v>0</v>
      </c>
      <c r="AS77" s="47">
        <v>0</v>
      </c>
      <c r="AT77" s="47">
        <v>0</v>
      </c>
      <c r="AU77" s="47">
        <v>0</v>
      </c>
      <c r="AV77" s="47">
        <v>0</v>
      </c>
      <c r="AW77" s="47">
        <v>0</v>
      </c>
      <c r="AX77" s="47">
        <v>0</v>
      </c>
      <c r="AY77" s="47">
        <v>0</v>
      </c>
      <c r="AZ77" s="47">
        <v>0</v>
      </c>
      <c r="BA77" s="47">
        <v>0</v>
      </c>
      <c r="BB77" s="47">
        <v>0</v>
      </c>
      <c r="BC77" s="47">
        <v>0</v>
      </c>
      <c r="BD77" s="47">
        <v>0</v>
      </c>
      <c r="BE77" s="47">
        <v>0</v>
      </c>
      <c r="BF77" s="47">
        <v>0</v>
      </c>
      <c r="BG77" s="47">
        <v>0</v>
      </c>
      <c r="BH77" s="47">
        <v>0</v>
      </c>
      <c r="BI77" s="47">
        <v>0</v>
      </c>
      <c r="BJ77" s="47">
        <v>0</v>
      </c>
      <c r="BK77" s="47">
        <v>0</v>
      </c>
      <c r="BL77" s="47">
        <v>0</v>
      </c>
      <c r="BM77" s="47">
        <v>0</v>
      </c>
      <c r="BN77" s="47">
        <v>0</v>
      </c>
      <c r="BO77" s="47">
        <v>0</v>
      </c>
      <c r="BP77" s="47">
        <v>0</v>
      </c>
      <c r="BQ77" s="47">
        <v>0</v>
      </c>
      <c r="BR77" s="47">
        <v>0</v>
      </c>
      <c r="BS77" s="47">
        <v>0</v>
      </c>
      <c r="BT77" s="47">
        <v>0</v>
      </c>
      <c r="BU77" s="47">
        <v>0</v>
      </c>
      <c r="BV77" s="47">
        <v>0</v>
      </c>
      <c r="BW77" s="47">
        <v>0</v>
      </c>
      <c r="BX77" s="47">
        <v>0</v>
      </c>
      <c r="BY77" s="47">
        <v>0</v>
      </c>
      <c r="BZ77" s="47">
        <v>0</v>
      </c>
      <c r="CA77" s="47">
        <v>0</v>
      </c>
      <c r="CB77" s="47">
        <v>0</v>
      </c>
      <c r="CC77" s="47">
        <v>0</v>
      </c>
      <c r="CD77" s="47">
        <v>0</v>
      </c>
      <c r="CE77" s="47">
        <v>0</v>
      </c>
      <c r="CF77" s="47">
        <v>0</v>
      </c>
      <c r="CG77" s="47">
        <v>0</v>
      </c>
      <c r="CH77" s="47">
        <v>0</v>
      </c>
      <c r="CI77" s="47">
        <v>0</v>
      </c>
      <c r="CJ77" s="47">
        <v>0</v>
      </c>
      <c r="CK77" s="47">
        <v>0</v>
      </c>
      <c r="CL77" s="47">
        <v>0</v>
      </c>
      <c r="CM77" s="47">
        <v>0</v>
      </c>
      <c r="CN77" s="47">
        <v>0</v>
      </c>
      <c r="CO77" s="47">
        <v>0</v>
      </c>
      <c r="CP77" s="47">
        <v>0</v>
      </c>
      <c r="CQ77" s="47">
        <v>0</v>
      </c>
      <c r="CR77" s="47">
        <v>0</v>
      </c>
      <c r="CS77" s="47">
        <v>0</v>
      </c>
      <c r="CT77" s="47">
        <v>1</v>
      </c>
      <c r="CU77" s="47">
        <v>0.871</v>
      </c>
      <c r="CV77" s="47">
        <v>0.022</v>
      </c>
      <c r="CW77" s="47">
        <v>0.057</v>
      </c>
      <c r="CX77" s="47">
        <v>0</v>
      </c>
      <c r="CY77" s="47">
        <v>0</v>
      </c>
      <c r="CZ77" s="47">
        <v>0</v>
      </c>
      <c r="DA77" s="47">
        <v>0</v>
      </c>
      <c r="DB77" s="47">
        <v>0.05</v>
      </c>
      <c r="DC77" s="47">
        <v>0</v>
      </c>
      <c r="DD77" s="47">
        <v>0</v>
      </c>
      <c r="DE77" s="47">
        <v>0</v>
      </c>
      <c r="DF77" s="47">
        <v>0</v>
      </c>
      <c r="DG77" s="47">
        <v>0</v>
      </c>
      <c r="DH77" s="47">
        <v>0</v>
      </c>
      <c r="DI77" s="47">
        <v>0</v>
      </c>
      <c r="DJ77" s="47">
        <v>0</v>
      </c>
      <c r="DK77" s="47">
        <v>0</v>
      </c>
      <c r="DL77" s="47">
        <v>0</v>
      </c>
      <c r="DM77" s="47">
        <v>0</v>
      </c>
      <c r="DN77" s="47">
        <v>0</v>
      </c>
      <c r="DO77" s="47">
        <v>0</v>
      </c>
      <c r="DP77" s="47">
        <v>0</v>
      </c>
      <c r="DQ77" s="47">
        <v>0</v>
      </c>
      <c r="DR77" s="47">
        <v>0</v>
      </c>
    </row>
    <row r="78" spans="1:124" x14ac:dyDescent="0.25">
      <c r="A78" s="47" t="s">
        <v>496</v>
      </c>
      <c r="B78" s="47" t="s">
        <v>151</v>
      </c>
      <c r="C78" s="47" t="s">
        <v>497</v>
      </c>
      <c r="D78" s="47" t="s">
        <v>498</v>
      </c>
      <c r="E78" s="47" t="s">
        <v>499</v>
      </c>
      <c r="F78" s="47" t="s">
        <v>380</v>
      </c>
      <c r="G78" s="47" t="s">
        <v>411</v>
      </c>
      <c r="H78" s="47" t="str">
        <f>=IFERROR(VLOOKUP(A78,'ETPT Format DDG'!A:J,10,FALSE),"")</f>
        <v>0</v>
      </c>
      <c r="I78" s="47" t="str">
        <f>='ETPT Format DDG'!M78</f>
        <v/>
      </c>
      <c r="J78" s="47" t="str">
        <f>='ETPT Format DDG'!D78</f>
        <v/>
      </c>
      <c r="K78" s="47" t="s">
        <v>155</v>
      </c>
      <c r="L78" s="47" t="s">
        <v>500</v>
      </c>
      <c r="M78" s="47"/>
      <c r="N78" s="47">
        <v>0.5161</v>
      </c>
      <c r="O78" s="47">
        <v>0.4839</v>
      </c>
      <c r="P78" s="47">
        <v>0</v>
      </c>
      <c r="Q78" s="47">
        <v>0</v>
      </c>
      <c r="R78" s="47">
        <v>0</v>
      </c>
      <c r="S78" s="47">
        <v>0</v>
      </c>
      <c r="T78" s="47">
        <v>0</v>
      </c>
      <c r="U78" s="47">
        <v>0</v>
      </c>
      <c r="V78" s="47">
        <v>0</v>
      </c>
      <c r="W78" s="47">
        <v>0</v>
      </c>
      <c r="X78" s="47">
        <v>0</v>
      </c>
      <c r="Y78" s="47">
        <v>0</v>
      </c>
      <c r="Z78" s="47">
        <v>0</v>
      </c>
      <c r="AA78" s="47">
        <v>0</v>
      </c>
      <c r="AB78" s="47">
        <v>0</v>
      </c>
      <c r="AC78" s="47">
        <v>0</v>
      </c>
      <c r="AD78" s="47">
        <v>0</v>
      </c>
      <c r="AE78" s="47">
        <v>0.4839</v>
      </c>
      <c r="AF78" s="47">
        <v>0</v>
      </c>
      <c r="AG78" s="47">
        <v>0</v>
      </c>
      <c r="AH78" s="47">
        <v>0</v>
      </c>
      <c r="AI78" s="47">
        <v>0</v>
      </c>
      <c r="AJ78" s="47">
        <v>0.4839</v>
      </c>
      <c r="AK78" s="47">
        <v>0</v>
      </c>
      <c r="AL78" s="47">
        <v>0</v>
      </c>
      <c r="AM78" s="47">
        <v>0</v>
      </c>
      <c r="AN78" s="47">
        <v>0</v>
      </c>
      <c r="AO78" s="47">
        <v>0</v>
      </c>
      <c r="AP78" s="47">
        <v>0</v>
      </c>
      <c r="AQ78" s="47">
        <v>0</v>
      </c>
      <c r="AR78" s="47">
        <v>0</v>
      </c>
      <c r="AS78" s="47">
        <v>0</v>
      </c>
      <c r="AT78" s="47">
        <v>0</v>
      </c>
      <c r="AU78" s="47">
        <v>0</v>
      </c>
      <c r="AV78" s="47">
        <v>0</v>
      </c>
      <c r="AW78" s="47">
        <v>0</v>
      </c>
      <c r="AX78" s="47">
        <v>0</v>
      </c>
      <c r="AY78" s="47">
        <v>0</v>
      </c>
      <c r="AZ78" s="47">
        <v>0</v>
      </c>
      <c r="BA78" s="47">
        <v>0</v>
      </c>
      <c r="BB78" s="47">
        <v>0</v>
      </c>
      <c r="BC78" s="47">
        <v>0</v>
      </c>
      <c r="BD78" s="47">
        <v>0</v>
      </c>
      <c r="BE78" s="47">
        <v>0</v>
      </c>
      <c r="BF78" s="47">
        <v>0</v>
      </c>
      <c r="BG78" s="47">
        <v>0</v>
      </c>
      <c r="BH78" s="47">
        <v>0</v>
      </c>
      <c r="BI78" s="47">
        <v>0</v>
      </c>
      <c r="BJ78" s="47">
        <v>0</v>
      </c>
      <c r="BK78" s="47">
        <v>0</v>
      </c>
      <c r="BL78" s="47">
        <v>0</v>
      </c>
      <c r="BM78" s="47">
        <v>0</v>
      </c>
      <c r="BN78" s="47">
        <v>0</v>
      </c>
      <c r="BO78" s="47">
        <v>0</v>
      </c>
      <c r="BP78" s="47">
        <v>0</v>
      </c>
      <c r="BQ78" s="47">
        <v>0</v>
      </c>
      <c r="BR78" s="47">
        <v>0</v>
      </c>
      <c r="BS78" s="47">
        <v>0</v>
      </c>
      <c r="BT78" s="47">
        <v>0</v>
      </c>
      <c r="BU78" s="47">
        <v>0</v>
      </c>
      <c r="BV78" s="47">
        <v>0</v>
      </c>
      <c r="BW78" s="47">
        <v>0</v>
      </c>
      <c r="BX78" s="47">
        <v>0</v>
      </c>
      <c r="BY78" s="47">
        <v>0</v>
      </c>
      <c r="BZ78" s="47">
        <v>0</v>
      </c>
      <c r="CA78" s="47">
        <v>0</v>
      </c>
      <c r="CB78" s="47">
        <v>0</v>
      </c>
      <c r="CC78" s="47">
        <v>0</v>
      </c>
      <c r="CD78" s="47">
        <v>0</v>
      </c>
      <c r="CE78" s="47">
        <v>0</v>
      </c>
      <c r="CF78" s="47">
        <v>0</v>
      </c>
      <c r="CG78" s="47">
        <v>0</v>
      </c>
      <c r="CH78" s="47">
        <v>0</v>
      </c>
      <c r="CI78" s="47">
        <v>0</v>
      </c>
      <c r="CJ78" s="47">
        <v>0</v>
      </c>
      <c r="CK78" s="47">
        <v>0</v>
      </c>
      <c r="CL78" s="47">
        <v>0</v>
      </c>
      <c r="CM78" s="47">
        <v>0</v>
      </c>
      <c r="CN78" s="47">
        <v>0</v>
      </c>
      <c r="CO78" s="47">
        <v>0</v>
      </c>
      <c r="CP78" s="47">
        <v>0</v>
      </c>
      <c r="CQ78" s="47">
        <v>0</v>
      </c>
      <c r="CR78" s="47">
        <v>0</v>
      </c>
      <c r="CS78" s="47">
        <v>0</v>
      </c>
      <c r="CT78" s="47">
        <v>0</v>
      </c>
      <c r="CU78" s="47">
        <v>0</v>
      </c>
      <c r="CV78" s="47">
        <v>0</v>
      </c>
      <c r="CW78" s="47">
        <v>0</v>
      </c>
      <c r="CX78" s="47">
        <v>0</v>
      </c>
      <c r="CY78" s="47">
        <v>0</v>
      </c>
      <c r="CZ78" s="47">
        <v>0</v>
      </c>
      <c r="DA78" s="47">
        <v>0</v>
      </c>
      <c r="DB78" s="47">
        <v>0</v>
      </c>
      <c r="DC78" s="47">
        <v>0</v>
      </c>
      <c r="DD78" s="47">
        <v>0</v>
      </c>
      <c r="DE78" s="47">
        <v>0</v>
      </c>
      <c r="DF78" s="47">
        <v>0</v>
      </c>
      <c r="DG78" s="47">
        <v>0</v>
      </c>
      <c r="DH78" s="47">
        <v>0</v>
      </c>
      <c r="DI78" s="47">
        <v>0</v>
      </c>
      <c r="DJ78" s="47">
        <v>0</v>
      </c>
      <c r="DK78" s="47">
        <v>0</v>
      </c>
      <c r="DL78" s="47">
        <v>0</v>
      </c>
      <c r="DM78" s="47">
        <v>0</v>
      </c>
      <c r="DN78" s="47">
        <v>0</v>
      </c>
      <c r="DO78" s="47">
        <v>0</v>
      </c>
      <c r="DP78" s="47">
        <v>0</v>
      </c>
      <c r="DQ78" s="47">
        <v>0</v>
      </c>
      <c r="DR78" s="47">
        <v>0</v>
      </c>
    </row>
    <row r="79" spans="1:124" x14ac:dyDescent="0.25">
      <c r="A79" s="47" t="s">
        <v>501</v>
      </c>
      <c r="B79" s="47" t="s">
        <v>151</v>
      </c>
      <c r="C79" s="47" t="s">
        <v>502</v>
      </c>
      <c r="D79" s="47" t="s">
        <v>503</v>
      </c>
      <c r="E79" s="47" t="s">
        <v>504</v>
      </c>
      <c r="F79" s="47" t="s">
        <v>380</v>
      </c>
      <c r="G79" s="47" t="s">
        <v>381</v>
      </c>
      <c r="H79" s="47" t="str">
        <f>=IFERROR(VLOOKUP(A79,'ETPT Format DDG'!A:J,10,FALSE),"")</f>
        <v>0</v>
      </c>
      <c r="I79" s="47" t="str">
        <f>='ETPT Format DDG'!M79</f>
        <v/>
      </c>
      <c r="J79" s="47" t="str">
        <f>='ETPT Format DDG'!D79</f>
        <v/>
      </c>
      <c r="K79" s="47" t="s">
        <v>155</v>
      </c>
      <c r="L79" s="47" t="s">
        <v>505</v>
      </c>
      <c r="M79" s="47"/>
      <c r="N79" s="47">
        <v>1</v>
      </c>
      <c r="O79" s="47">
        <v>0.0005</v>
      </c>
      <c r="P79" s="47">
        <v>0</v>
      </c>
      <c r="Q79" s="47">
        <v>0</v>
      </c>
      <c r="R79" s="47">
        <v>0</v>
      </c>
      <c r="S79" s="47">
        <v>0</v>
      </c>
      <c r="T79" s="47">
        <v>0</v>
      </c>
      <c r="U79" s="47">
        <v>0</v>
      </c>
      <c r="V79" s="47">
        <v>0</v>
      </c>
      <c r="W79" s="47">
        <v>0</v>
      </c>
      <c r="X79" s="47">
        <v>0</v>
      </c>
      <c r="Y79" s="47">
        <v>0</v>
      </c>
      <c r="Z79" s="47">
        <v>0</v>
      </c>
      <c r="AA79" s="47">
        <v>0</v>
      </c>
      <c r="AB79" s="47">
        <v>0</v>
      </c>
      <c r="AC79" s="47">
        <v>0</v>
      </c>
      <c r="AD79" s="47">
        <v>0</v>
      </c>
      <c r="AE79" s="47">
        <v>0</v>
      </c>
      <c r="AF79" s="47">
        <v>0</v>
      </c>
      <c r="AG79" s="47">
        <v>0</v>
      </c>
      <c r="AH79" s="47">
        <v>0</v>
      </c>
      <c r="AI79" s="47">
        <v>0</v>
      </c>
      <c r="AJ79" s="47">
        <v>0</v>
      </c>
      <c r="AK79" s="47">
        <v>0</v>
      </c>
      <c r="AL79" s="47">
        <v>0</v>
      </c>
      <c r="AM79" s="47">
        <v>0</v>
      </c>
      <c r="AN79" s="47">
        <v>0</v>
      </c>
      <c r="AO79" s="47">
        <v>0</v>
      </c>
      <c r="AP79" s="47">
        <v>0</v>
      </c>
      <c r="AQ79" s="47">
        <v>0</v>
      </c>
      <c r="AR79" s="47">
        <v>0</v>
      </c>
      <c r="AS79" s="47">
        <v>0</v>
      </c>
      <c r="AT79" s="47">
        <v>0</v>
      </c>
      <c r="AU79" s="47">
        <v>0</v>
      </c>
      <c r="AV79" s="47">
        <v>0</v>
      </c>
      <c r="AW79" s="47">
        <v>0</v>
      </c>
      <c r="AX79" s="47">
        <v>0</v>
      </c>
      <c r="AY79" s="47">
        <v>0</v>
      </c>
      <c r="AZ79" s="47">
        <v>0</v>
      </c>
      <c r="BA79" s="47">
        <v>0</v>
      </c>
      <c r="BB79" s="47">
        <v>0</v>
      </c>
      <c r="BC79" s="47">
        <v>0</v>
      </c>
      <c r="BD79" s="47">
        <v>0</v>
      </c>
      <c r="BE79" s="47">
        <v>0</v>
      </c>
      <c r="BF79" s="47">
        <v>0</v>
      </c>
      <c r="BG79" s="47">
        <v>0</v>
      </c>
      <c r="BH79" s="47">
        <v>0</v>
      </c>
      <c r="BI79" s="47">
        <v>0</v>
      </c>
      <c r="BJ79" s="47">
        <v>0</v>
      </c>
      <c r="BK79" s="47">
        <v>0</v>
      </c>
      <c r="BL79" s="47">
        <v>0</v>
      </c>
      <c r="BM79" s="47">
        <v>0</v>
      </c>
      <c r="BN79" s="47">
        <v>0</v>
      </c>
      <c r="BO79" s="47">
        <v>0</v>
      </c>
      <c r="BP79" s="47">
        <v>0</v>
      </c>
      <c r="BQ79" s="47">
        <v>0</v>
      </c>
      <c r="BR79" s="47">
        <v>0</v>
      </c>
      <c r="BS79" s="47">
        <v>0</v>
      </c>
      <c r="BT79" s="47">
        <v>0</v>
      </c>
      <c r="BU79" s="47">
        <v>0</v>
      </c>
      <c r="BV79" s="47">
        <v>0</v>
      </c>
      <c r="BW79" s="47">
        <v>0</v>
      </c>
      <c r="BX79" s="47">
        <v>0</v>
      </c>
      <c r="BY79" s="47">
        <v>0</v>
      </c>
      <c r="BZ79" s="47">
        <v>0</v>
      </c>
      <c r="CA79" s="47">
        <v>0</v>
      </c>
      <c r="CB79" s="47">
        <v>0</v>
      </c>
      <c r="CC79" s="47">
        <v>0</v>
      </c>
      <c r="CD79" s="47">
        <v>0</v>
      </c>
      <c r="CE79" s="47">
        <v>0</v>
      </c>
      <c r="CF79" s="47">
        <v>0</v>
      </c>
      <c r="CG79" s="47">
        <v>0</v>
      </c>
      <c r="CH79" s="47">
        <v>0</v>
      </c>
      <c r="CI79" s="47">
        <v>0</v>
      </c>
      <c r="CJ79" s="47">
        <v>0</v>
      </c>
      <c r="CK79" s="47">
        <v>0</v>
      </c>
      <c r="CL79" s="47">
        <v>0</v>
      </c>
      <c r="CM79" s="47">
        <v>0</v>
      </c>
      <c r="CN79" s="47">
        <v>0</v>
      </c>
      <c r="CO79" s="47">
        <v>0</v>
      </c>
      <c r="CP79" s="47">
        <v>0</v>
      </c>
      <c r="CQ79" s="47">
        <v>0</v>
      </c>
      <c r="CR79" s="47">
        <v>0</v>
      </c>
      <c r="CS79" s="47">
        <v>0</v>
      </c>
      <c r="CT79" s="47">
        <v>0.0005</v>
      </c>
      <c r="CU79" s="47">
        <v>0</v>
      </c>
      <c r="CV79" s="47">
        <v>0.0003</v>
      </c>
      <c r="CW79" s="47">
        <v>0</v>
      </c>
      <c r="CX79" s="47">
        <v>0</v>
      </c>
      <c r="CY79" s="47">
        <v>0</v>
      </c>
      <c r="CZ79" s="47">
        <v>0.0002</v>
      </c>
      <c r="DA79" s="47">
        <v>0</v>
      </c>
      <c r="DB79" s="47">
        <v>0</v>
      </c>
      <c r="DC79" s="47">
        <v>0</v>
      </c>
      <c r="DD79" s="47">
        <v>0</v>
      </c>
      <c r="DE79" s="47">
        <v>0</v>
      </c>
      <c r="DF79" s="47">
        <v>0</v>
      </c>
      <c r="DG79" s="47">
        <v>0</v>
      </c>
      <c r="DH79" s="47">
        <v>0</v>
      </c>
      <c r="DI79" s="47">
        <v>0</v>
      </c>
      <c r="DJ79" s="47">
        <v>0</v>
      </c>
      <c r="DK79" s="47">
        <v>0</v>
      </c>
      <c r="DL79" s="47">
        <v>0</v>
      </c>
      <c r="DM79" s="47">
        <v>0</v>
      </c>
      <c r="DN79" s="47">
        <v>0</v>
      </c>
      <c r="DO79" s="47">
        <v>0</v>
      </c>
      <c r="DP79" s="47">
        <v>0</v>
      </c>
      <c r="DQ79" s="47">
        <v>0</v>
      </c>
      <c r="DR79" s="47">
        <v>0</v>
      </c>
    </row>
    <row r="80" spans="1:124" x14ac:dyDescent="0.25">
      <c r="A80" s="47" t="s">
        <v>506</v>
      </c>
      <c r="B80" s="47" t="s">
        <v>151</v>
      </c>
      <c r="C80" s="47" t="s">
        <v>507</v>
      </c>
      <c r="D80" s="47" t="s">
        <v>508</v>
      </c>
      <c r="E80" s="47" t="s">
        <v>509</v>
      </c>
      <c r="F80" s="47" t="s">
        <v>380</v>
      </c>
      <c r="G80" s="47" t="s">
        <v>510</v>
      </c>
      <c r="H80" s="47" t="str">
        <f>=IFERROR(VLOOKUP(A80,'ETPT Format DDG'!A:J,10,FALSE),"")</f>
        <v>0</v>
      </c>
      <c r="I80" s="47" t="str">
        <f>='ETPT Format DDG'!M80</f>
        <v/>
      </c>
      <c r="J80" s="47" t="str">
        <f>='ETPT Format DDG'!D80</f>
        <v/>
      </c>
      <c r="K80" s="47" t="s">
        <v>155</v>
      </c>
      <c r="L80" s="47" t="s">
        <v>511</v>
      </c>
      <c r="M80" s="47"/>
      <c r="N80" s="47">
        <v>0.8185</v>
      </c>
      <c r="O80" s="47">
        <v>0.8185</v>
      </c>
      <c r="P80" s="47">
        <v>0</v>
      </c>
      <c r="Q80" s="47">
        <v>0</v>
      </c>
      <c r="R80" s="47">
        <v>0</v>
      </c>
      <c r="S80" s="47">
        <v>0</v>
      </c>
      <c r="T80" s="47">
        <v>0</v>
      </c>
      <c r="U80" s="47">
        <v>0</v>
      </c>
      <c r="V80" s="47">
        <v>0</v>
      </c>
      <c r="W80" s="47">
        <v>0</v>
      </c>
      <c r="X80" s="47">
        <v>0</v>
      </c>
      <c r="Y80" s="47">
        <v>0</v>
      </c>
      <c r="Z80" s="47">
        <v>0</v>
      </c>
      <c r="AA80" s="47">
        <v>0</v>
      </c>
      <c r="AB80" s="47">
        <v>0</v>
      </c>
      <c r="AC80" s="47">
        <v>0</v>
      </c>
      <c r="AD80" s="47">
        <v>0</v>
      </c>
      <c r="AE80" s="47">
        <v>0</v>
      </c>
      <c r="AF80" s="47">
        <v>0</v>
      </c>
      <c r="AG80" s="47">
        <v>0</v>
      </c>
      <c r="AH80" s="47">
        <v>0</v>
      </c>
      <c r="AI80" s="47">
        <v>0</v>
      </c>
      <c r="AJ80" s="47">
        <v>0</v>
      </c>
      <c r="AK80" s="47">
        <v>0</v>
      </c>
      <c r="AL80" s="47">
        <v>0</v>
      </c>
      <c r="AM80" s="47">
        <v>0</v>
      </c>
      <c r="AN80" s="47">
        <v>0</v>
      </c>
      <c r="AO80" s="47">
        <v>0</v>
      </c>
      <c r="AP80" s="47">
        <v>0</v>
      </c>
      <c r="AQ80" s="47">
        <v>0</v>
      </c>
      <c r="AR80" s="47">
        <v>0</v>
      </c>
      <c r="AS80" s="47">
        <v>0</v>
      </c>
      <c r="AT80" s="47">
        <v>0</v>
      </c>
      <c r="AU80" s="47">
        <v>0</v>
      </c>
      <c r="AV80" s="47">
        <v>0</v>
      </c>
      <c r="AW80" s="47">
        <v>0</v>
      </c>
      <c r="AX80" s="47">
        <v>0</v>
      </c>
      <c r="AY80" s="47">
        <v>0</v>
      </c>
      <c r="AZ80" s="47">
        <v>0</v>
      </c>
      <c r="BA80" s="47">
        <v>0</v>
      </c>
      <c r="BB80" s="47">
        <v>0</v>
      </c>
      <c r="BC80" s="47">
        <v>0</v>
      </c>
      <c r="BD80" s="47">
        <v>0</v>
      </c>
      <c r="BE80" s="47">
        <v>0</v>
      </c>
      <c r="BF80" s="47">
        <v>0</v>
      </c>
      <c r="BG80" s="47">
        <v>0</v>
      </c>
      <c r="BH80" s="47">
        <v>0</v>
      </c>
      <c r="BI80" s="47">
        <v>0</v>
      </c>
      <c r="BJ80" s="47">
        <v>0</v>
      </c>
      <c r="BK80" s="47">
        <v>0</v>
      </c>
      <c r="BL80" s="47">
        <v>0</v>
      </c>
      <c r="BM80" s="47">
        <v>0</v>
      </c>
      <c r="BN80" s="47">
        <v>0</v>
      </c>
      <c r="BO80" s="47">
        <v>0</v>
      </c>
      <c r="BP80" s="47">
        <v>0</v>
      </c>
      <c r="BQ80" s="47">
        <v>0</v>
      </c>
      <c r="BR80" s="47">
        <v>0</v>
      </c>
      <c r="BS80" s="47">
        <v>0</v>
      </c>
      <c r="BT80" s="47">
        <v>0</v>
      </c>
      <c r="BU80" s="47">
        <v>0</v>
      </c>
      <c r="BV80" s="47">
        <v>0</v>
      </c>
      <c r="BW80" s="47">
        <v>0</v>
      </c>
      <c r="BX80" s="47">
        <v>0</v>
      </c>
      <c r="BY80" s="47">
        <v>0</v>
      </c>
      <c r="BZ80" s="47">
        <v>0</v>
      </c>
      <c r="CA80" s="47">
        <v>0</v>
      </c>
      <c r="CB80" s="47">
        <v>0</v>
      </c>
      <c r="CC80" s="47">
        <v>0</v>
      </c>
      <c r="CD80" s="47">
        <v>0</v>
      </c>
      <c r="CE80" s="47">
        <v>0</v>
      </c>
      <c r="CF80" s="47">
        <v>0</v>
      </c>
      <c r="CG80" s="47">
        <v>0</v>
      </c>
      <c r="CH80" s="47">
        <v>0</v>
      </c>
      <c r="CI80" s="47">
        <v>0</v>
      </c>
      <c r="CJ80" s="47">
        <v>0</v>
      </c>
      <c r="CK80" s="47">
        <v>0</v>
      </c>
      <c r="CL80" s="47">
        <v>0</v>
      </c>
      <c r="CM80" s="47">
        <v>0</v>
      </c>
      <c r="CN80" s="47">
        <v>0</v>
      </c>
      <c r="CO80" s="47">
        <v>0</v>
      </c>
      <c r="CP80" s="47">
        <v>0</v>
      </c>
      <c r="CQ80" s="47">
        <v>0</v>
      </c>
      <c r="CR80" s="47">
        <v>0</v>
      </c>
      <c r="CS80" s="47">
        <v>0</v>
      </c>
      <c r="CT80" s="47">
        <v>0.8185</v>
      </c>
      <c r="CU80" s="47">
        <v>0</v>
      </c>
      <c r="CV80" s="47">
        <v>0</v>
      </c>
      <c r="CW80" s="47">
        <v>0</v>
      </c>
      <c r="CX80" s="47">
        <v>0</v>
      </c>
      <c r="CY80" s="47">
        <v>0</v>
      </c>
      <c r="CZ80" s="47">
        <v>0</v>
      </c>
      <c r="DA80" s="47">
        <v>0</v>
      </c>
      <c r="DB80" s="47">
        <v>0</v>
      </c>
      <c r="DC80" s="47">
        <v>0</v>
      </c>
      <c r="DD80" s="47">
        <v>0.0819</v>
      </c>
      <c r="DE80" s="47">
        <v>0.7367</v>
      </c>
      <c r="DF80" s="47">
        <v>0.1815</v>
      </c>
      <c r="DG80" s="47">
        <v>0.1815</v>
      </c>
      <c r="DH80" s="47">
        <v>0</v>
      </c>
      <c r="DI80" s="47">
        <v>0</v>
      </c>
      <c r="DJ80" s="47">
        <v>0</v>
      </c>
      <c r="DK80" s="47">
        <v>0</v>
      </c>
      <c r="DL80" s="47">
        <v>0</v>
      </c>
      <c r="DM80" s="47">
        <v>0</v>
      </c>
      <c r="DN80" s="47">
        <v>0</v>
      </c>
      <c r="DO80" s="47">
        <v>0</v>
      </c>
      <c r="DP80" s="47">
        <v>0</v>
      </c>
      <c r="DQ80" s="47">
        <v>0</v>
      </c>
      <c r="DR80" s="47">
        <v>0</v>
      </c>
    </row>
    <row r="81" spans="1:124" x14ac:dyDescent="0.25">
      <c r="A81" s="47" t="s">
        <v>512</v>
      </c>
      <c r="B81" s="47" t="s">
        <v>151</v>
      </c>
      <c r="C81" s="47" t="s">
        <v>513</v>
      </c>
      <c r="D81" s="47" t="s">
        <v>514</v>
      </c>
      <c r="E81" s="47" t="s">
        <v>515</v>
      </c>
      <c r="F81" s="47" t="s">
        <v>380</v>
      </c>
      <c r="G81" s="47" t="s">
        <v>411</v>
      </c>
      <c r="H81" s="47" t="str">
        <f>=IFERROR(VLOOKUP(A81,'ETPT Format DDG'!A:J,10,FALSE),"")</f>
        <v>0</v>
      </c>
      <c r="I81" s="47" t="str">
        <f>='ETPT Format DDG'!M81</f>
        <v/>
      </c>
      <c r="J81" s="47" t="str">
        <f>='ETPT Format DDG'!D81</f>
        <v/>
      </c>
      <c r="K81" s="47" t="s">
        <v>155</v>
      </c>
      <c r="L81" s="47" t="s">
        <v>516</v>
      </c>
      <c r="M81" s="47"/>
      <c r="N81" s="47">
        <v>1</v>
      </c>
      <c r="O81" s="47">
        <v>0</v>
      </c>
      <c r="P81" s="47">
        <v>0</v>
      </c>
      <c r="Q81" s="47">
        <v>0</v>
      </c>
      <c r="R81" s="47">
        <v>0</v>
      </c>
      <c r="S81" s="47">
        <v>0</v>
      </c>
      <c r="T81" s="47">
        <v>0</v>
      </c>
      <c r="U81" s="47">
        <v>0</v>
      </c>
      <c r="V81" s="47">
        <v>0</v>
      </c>
      <c r="W81" s="47">
        <v>0</v>
      </c>
      <c r="X81" s="47">
        <v>0</v>
      </c>
      <c r="Y81" s="47">
        <v>0</v>
      </c>
      <c r="Z81" s="47">
        <v>0</v>
      </c>
      <c r="AA81" s="47">
        <v>0</v>
      </c>
      <c r="AB81" s="47">
        <v>0</v>
      </c>
      <c r="AC81" s="47">
        <v>0</v>
      </c>
      <c r="AD81" s="47">
        <v>0</v>
      </c>
      <c r="AE81" s="47">
        <v>0</v>
      </c>
      <c r="AF81" s="47">
        <v>0</v>
      </c>
      <c r="AG81" s="47">
        <v>0</v>
      </c>
      <c r="AH81" s="47">
        <v>0</v>
      </c>
      <c r="AI81" s="47">
        <v>0</v>
      </c>
      <c r="AJ81" s="47">
        <v>0</v>
      </c>
      <c r="AK81" s="47">
        <v>0</v>
      </c>
      <c r="AL81" s="47">
        <v>0</v>
      </c>
      <c r="AM81" s="47">
        <v>0</v>
      </c>
      <c r="AN81" s="47">
        <v>0</v>
      </c>
      <c r="AO81" s="47">
        <v>0</v>
      </c>
      <c r="AP81" s="47">
        <v>0</v>
      </c>
      <c r="AQ81" s="47">
        <v>0</v>
      </c>
      <c r="AR81" s="47">
        <v>0</v>
      </c>
      <c r="AS81" s="47">
        <v>0</v>
      </c>
      <c r="AT81" s="47">
        <v>0</v>
      </c>
      <c r="AU81" s="47">
        <v>0</v>
      </c>
      <c r="AV81" s="47">
        <v>0</v>
      </c>
      <c r="AW81" s="47">
        <v>0</v>
      </c>
      <c r="AX81" s="47">
        <v>0</v>
      </c>
      <c r="AY81" s="47">
        <v>0</v>
      </c>
      <c r="AZ81" s="47">
        <v>0</v>
      </c>
      <c r="BA81" s="47">
        <v>0</v>
      </c>
      <c r="BB81" s="47">
        <v>0</v>
      </c>
      <c r="BC81" s="47">
        <v>0</v>
      </c>
      <c r="BD81" s="47">
        <v>0</v>
      </c>
      <c r="BE81" s="47">
        <v>0</v>
      </c>
      <c r="BF81" s="47">
        <v>0</v>
      </c>
      <c r="BG81" s="47">
        <v>0</v>
      </c>
      <c r="BH81" s="47">
        <v>0</v>
      </c>
      <c r="BI81" s="47">
        <v>0</v>
      </c>
      <c r="BJ81" s="47">
        <v>0</v>
      </c>
      <c r="BK81" s="47">
        <v>0</v>
      </c>
      <c r="BL81" s="47">
        <v>0</v>
      </c>
      <c r="BM81" s="47">
        <v>0</v>
      </c>
      <c r="BN81" s="47">
        <v>0</v>
      </c>
      <c r="BO81" s="47">
        <v>0</v>
      </c>
      <c r="BP81" s="47">
        <v>0</v>
      </c>
      <c r="BQ81" s="47">
        <v>0</v>
      </c>
      <c r="BR81" s="47">
        <v>0</v>
      </c>
      <c r="BS81" s="47">
        <v>0</v>
      </c>
      <c r="BT81" s="47">
        <v>0</v>
      </c>
      <c r="BU81" s="47">
        <v>0</v>
      </c>
      <c r="BV81" s="47">
        <v>0</v>
      </c>
      <c r="BW81" s="47">
        <v>0</v>
      </c>
      <c r="BX81" s="47">
        <v>0</v>
      </c>
      <c r="BY81" s="47">
        <v>0</v>
      </c>
      <c r="BZ81" s="47">
        <v>0</v>
      </c>
      <c r="CA81" s="47">
        <v>0</v>
      </c>
      <c r="CB81" s="47">
        <v>0</v>
      </c>
      <c r="CC81" s="47">
        <v>0</v>
      </c>
      <c r="CD81" s="47">
        <v>0</v>
      </c>
      <c r="CE81" s="47">
        <v>0</v>
      </c>
      <c r="CF81" s="47">
        <v>0</v>
      </c>
      <c r="CG81" s="47">
        <v>0</v>
      </c>
      <c r="CH81" s="47">
        <v>0</v>
      </c>
      <c r="CI81" s="47">
        <v>0</v>
      </c>
      <c r="CJ81" s="47">
        <v>0</v>
      </c>
      <c r="CK81" s="47">
        <v>0</v>
      </c>
      <c r="CL81" s="47">
        <v>0</v>
      </c>
      <c r="CM81" s="47">
        <v>0</v>
      </c>
      <c r="CN81" s="47">
        <v>0</v>
      </c>
      <c r="CO81" s="47">
        <v>0</v>
      </c>
      <c r="CP81" s="47">
        <v>0</v>
      </c>
      <c r="CQ81" s="47">
        <v>0</v>
      </c>
      <c r="CR81" s="47">
        <v>0</v>
      </c>
      <c r="CS81" s="47">
        <v>0</v>
      </c>
      <c r="CT81" s="47">
        <v>0</v>
      </c>
      <c r="CU81" s="47">
        <v>0</v>
      </c>
      <c r="CV81" s="47">
        <v>0</v>
      </c>
      <c r="CW81" s="47">
        <v>0</v>
      </c>
      <c r="CX81" s="47">
        <v>0</v>
      </c>
      <c r="CY81" s="47">
        <v>0</v>
      </c>
      <c r="CZ81" s="47">
        <v>0</v>
      </c>
      <c r="DA81" s="47">
        <v>0</v>
      </c>
      <c r="DB81" s="47">
        <v>0</v>
      </c>
      <c r="DC81" s="47">
        <v>0</v>
      </c>
      <c r="DD81" s="47">
        <v>0</v>
      </c>
      <c r="DE81" s="47">
        <v>0</v>
      </c>
      <c r="DF81" s="47">
        <v>0</v>
      </c>
      <c r="DG81" s="47">
        <v>0</v>
      </c>
      <c r="DH81" s="47">
        <v>0</v>
      </c>
      <c r="DI81" s="47">
        <v>0</v>
      </c>
      <c r="DJ81" s="47">
        <v>0</v>
      </c>
      <c r="DK81" s="47">
        <v>0</v>
      </c>
      <c r="DL81" s="47">
        <v>0</v>
      </c>
      <c r="DM81" s="47">
        <v>0</v>
      </c>
      <c r="DN81" s="47">
        <v>0</v>
      </c>
      <c r="DO81" s="47">
        <v>0</v>
      </c>
      <c r="DP81" s="47">
        <v>0</v>
      </c>
      <c r="DQ81" s="47">
        <v>0</v>
      </c>
      <c r="DR81" s="47">
        <v>0</v>
      </c>
    </row>
    <row r="82" spans="1:124" x14ac:dyDescent="0.25">
      <c r="A82" s="47" t="s">
        <v>517</v>
      </c>
      <c r="B82" s="47" t="s">
        <v>151</v>
      </c>
      <c r="C82" s="47" t="s">
        <v>518</v>
      </c>
      <c r="D82" s="47" t="s">
        <v>519</v>
      </c>
      <c r="E82" s="47" t="s">
        <v>520</v>
      </c>
      <c r="F82" s="47" t="s">
        <v>380</v>
      </c>
      <c r="G82" s="47" t="s">
        <v>381</v>
      </c>
      <c r="H82" s="47" t="str">
        <f>=IFERROR(VLOOKUP(A82,'ETPT Format DDG'!A:J,10,FALSE),"")</f>
        <v>0</v>
      </c>
      <c r="I82" s="47" t="str">
        <f>='ETPT Format DDG'!M82</f>
        <v/>
      </c>
      <c r="J82" s="47" t="str">
        <f>='ETPT Format DDG'!D82</f>
        <v/>
      </c>
      <c r="K82" s="47" t="s">
        <v>155</v>
      </c>
      <c r="L82" s="47" t="s">
        <v>521</v>
      </c>
      <c r="M82" s="47"/>
      <c r="N82" s="47">
        <v>1</v>
      </c>
      <c r="O82" s="47">
        <v>0</v>
      </c>
      <c r="P82" s="47">
        <v>0</v>
      </c>
      <c r="Q82" s="47">
        <v>0</v>
      </c>
      <c r="R82" s="47">
        <v>0</v>
      </c>
      <c r="S82" s="47">
        <v>0</v>
      </c>
      <c r="T82" s="47">
        <v>0</v>
      </c>
      <c r="U82" s="47">
        <v>0</v>
      </c>
      <c r="V82" s="47">
        <v>0</v>
      </c>
      <c r="W82" s="47">
        <v>0</v>
      </c>
      <c r="X82" s="47">
        <v>0</v>
      </c>
      <c r="Y82" s="47">
        <v>0</v>
      </c>
      <c r="Z82" s="47">
        <v>0</v>
      </c>
      <c r="AA82" s="47">
        <v>0</v>
      </c>
      <c r="AB82" s="47">
        <v>0</v>
      </c>
      <c r="AC82" s="47">
        <v>0</v>
      </c>
      <c r="AD82" s="47">
        <v>0</v>
      </c>
      <c r="AE82" s="47">
        <v>0</v>
      </c>
      <c r="AF82" s="47">
        <v>0</v>
      </c>
      <c r="AG82" s="47">
        <v>0</v>
      </c>
      <c r="AH82" s="47">
        <v>0</v>
      </c>
      <c r="AI82" s="47">
        <v>0</v>
      </c>
      <c r="AJ82" s="47">
        <v>0</v>
      </c>
      <c r="AK82" s="47">
        <v>0</v>
      </c>
      <c r="AL82" s="47">
        <v>0</v>
      </c>
      <c r="AM82" s="47">
        <v>0</v>
      </c>
      <c r="AN82" s="47">
        <v>0</v>
      </c>
      <c r="AO82" s="47">
        <v>0</v>
      </c>
      <c r="AP82" s="47">
        <v>0</v>
      </c>
      <c r="AQ82" s="47">
        <v>0</v>
      </c>
      <c r="AR82" s="47">
        <v>0</v>
      </c>
      <c r="AS82" s="47">
        <v>0</v>
      </c>
      <c r="AT82" s="47">
        <v>0</v>
      </c>
      <c r="AU82" s="47">
        <v>0</v>
      </c>
      <c r="AV82" s="47">
        <v>0</v>
      </c>
      <c r="AW82" s="47">
        <v>0</v>
      </c>
      <c r="AX82" s="47">
        <v>0</v>
      </c>
      <c r="AY82" s="47">
        <v>0</v>
      </c>
      <c r="AZ82" s="47">
        <v>0</v>
      </c>
      <c r="BA82" s="47">
        <v>0</v>
      </c>
      <c r="BB82" s="47">
        <v>0</v>
      </c>
      <c r="BC82" s="47">
        <v>0</v>
      </c>
      <c r="BD82" s="47">
        <v>0</v>
      </c>
      <c r="BE82" s="47">
        <v>0</v>
      </c>
      <c r="BF82" s="47">
        <v>0</v>
      </c>
      <c r="BG82" s="47">
        <v>0</v>
      </c>
      <c r="BH82" s="47">
        <v>0</v>
      </c>
      <c r="BI82" s="47">
        <v>0</v>
      </c>
      <c r="BJ82" s="47">
        <v>0</v>
      </c>
      <c r="BK82" s="47">
        <v>0</v>
      </c>
      <c r="BL82" s="47">
        <v>0</v>
      </c>
      <c r="BM82" s="47">
        <v>0</v>
      </c>
      <c r="BN82" s="47">
        <v>0</v>
      </c>
      <c r="BO82" s="47">
        <v>0</v>
      </c>
      <c r="BP82" s="47">
        <v>0</v>
      </c>
      <c r="BQ82" s="47">
        <v>0</v>
      </c>
      <c r="BR82" s="47">
        <v>0</v>
      </c>
      <c r="BS82" s="47">
        <v>0</v>
      </c>
      <c r="BT82" s="47">
        <v>0</v>
      </c>
      <c r="BU82" s="47">
        <v>0</v>
      </c>
      <c r="BV82" s="47">
        <v>0</v>
      </c>
      <c r="BW82" s="47">
        <v>0</v>
      </c>
      <c r="BX82" s="47">
        <v>0</v>
      </c>
      <c r="BY82" s="47">
        <v>0</v>
      </c>
      <c r="BZ82" s="47">
        <v>0</v>
      </c>
      <c r="CA82" s="47">
        <v>0</v>
      </c>
      <c r="CB82" s="47">
        <v>0</v>
      </c>
      <c r="CC82" s="47">
        <v>0</v>
      </c>
      <c r="CD82" s="47">
        <v>0</v>
      </c>
      <c r="CE82" s="47">
        <v>0</v>
      </c>
      <c r="CF82" s="47">
        <v>0</v>
      </c>
      <c r="CG82" s="47">
        <v>0</v>
      </c>
      <c r="CH82" s="47">
        <v>0</v>
      </c>
      <c r="CI82" s="47">
        <v>0</v>
      </c>
      <c r="CJ82" s="47">
        <v>0</v>
      </c>
      <c r="CK82" s="47">
        <v>0</v>
      </c>
      <c r="CL82" s="47">
        <v>0</v>
      </c>
      <c r="CM82" s="47">
        <v>0</v>
      </c>
      <c r="CN82" s="47">
        <v>0</v>
      </c>
      <c r="CO82" s="47">
        <v>0</v>
      </c>
      <c r="CP82" s="47">
        <v>0</v>
      </c>
      <c r="CQ82" s="47">
        <v>0</v>
      </c>
      <c r="CR82" s="47">
        <v>0</v>
      </c>
      <c r="CS82" s="47">
        <v>0</v>
      </c>
      <c r="CT82" s="47">
        <v>0</v>
      </c>
      <c r="CU82" s="47">
        <v>0</v>
      </c>
      <c r="CV82" s="47">
        <v>0</v>
      </c>
      <c r="CW82" s="47">
        <v>0</v>
      </c>
      <c r="CX82" s="47">
        <v>0</v>
      </c>
      <c r="CY82" s="47">
        <v>0</v>
      </c>
      <c r="CZ82" s="47">
        <v>0</v>
      </c>
      <c r="DA82" s="47">
        <v>0</v>
      </c>
      <c r="DB82" s="47">
        <v>0</v>
      </c>
      <c r="DC82" s="47">
        <v>0</v>
      </c>
      <c r="DD82" s="47">
        <v>0</v>
      </c>
      <c r="DE82" s="47">
        <v>0</v>
      </c>
      <c r="DF82" s="47">
        <v>0</v>
      </c>
      <c r="DG82" s="47">
        <v>0</v>
      </c>
      <c r="DH82" s="47">
        <v>0</v>
      </c>
      <c r="DI82" s="47">
        <v>0</v>
      </c>
      <c r="DJ82" s="47">
        <v>0</v>
      </c>
      <c r="DK82" s="47">
        <v>0</v>
      </c>
      <c r="DL82" s="47">
        <v>0</v>
      </c>
      <c r="DM82" s="47">
        <v>0</v>
      </c>
      <c r="DN82" s="47">
        <v>0</v>
      </c>
      <c r="DO82" s="47">
        <v>0</v>
      </c>
      <c r="DP82" s="47">
        <v>0</v>
      </c>
      <c r="DQ82" s="47">
        <v>0</v>
      </c>
      <c r="DR82" s="47">
        <v>0</v>
      </c>
    </row>
    <row r="83" spans="1:124" x14ac:dyDescent="0.25">
      <c r="A83" s="47" t="s">
        <v>522</v>
      </c>
      <c r="B83" s="47" t="s">
        <v>151</v>
      </c>
      <c r="C83" s="47" t="s">
        <v>523</v>
      </c>
      <c r="D83" s="47" t="s">
        <v>524</v>
      </c>
      <c r="E83" s="47" t="s">
        <v>525</v>
      </c>
      <c r="F83" s="47" t="s">
        <v>380</v>
      </c>
      <c r="G83" s="47" t="s">
        <v>526</v>
      </c>
      <c r="H83" s="47" t="str">
        <f>=IFERROR(VLOOKUP(A83,'ETPT Format DDG'!A:J,10,FALSE),"")</f>
        <v>0</v>
      </c>
      <c r="I83" s="47" t="str">
        <f>='ETPT Format DDG'!M83</f>
        <v/>
      </c>
      <c r="J83" s="47" t="str">
        <f>='ETPT Format DDG'!D83</f>
        <v/>
      </c>
      <c r="K83" s="47" t="s">
        <v>155</v>
      </c>
      <c r="L83" s="47" t="s">
        <v>527</v>
      </c>
      <c r="M83" s="47" t="s">
        <v>528</v>
      </c>
      <c r="N83" s="47">
        <v>0.5242</v>
      </c>
      <c r="O83" s="47">
        <v>0.5242</v>
      </c>
      <c r="P83" s="47">
        <v>0</v>
      </c>
      <c r="Q83" s="47">
        <v>0</v>
      </c>
      <c r="R83" s="47">
        <v>0</v>
      </c>
      <c r="S83" s="47">
        <v>0</v>
      </c>
      <c r="T83" s="47">
        <v>0</v>
      </c>
      <c r="U83" s="47">
        <v>0.5242</v>
      </c>
      <c r="V83" s="47">
        <v>0</v>
      </c>
      <c r="W83" s="47">
        <v>0</v>
      </c>
      <c r="X83" s="47">
        <v>0</v>
      </c>
      <c r="Y83" s="47">
        <v>0</v>
      </c>
      <c r="Z83" s="47">
        <v>0</v>
      </c>
      <c r="AA83" s="47">
        <v>0</v>
      </c>
      <c r="AB83" s="47">
        <v>0</v>
      </c>
      <c r="AC83" s="47">
        <v>0</v>
      </c>
      <c r="AD83" s="47">
        <v>0</v>
      </c>
      <c r="AE83" s="47">
        <v>0</v>
      </c>
      <c r="AF83" s="47">
        <v>0</v>
      </c>
      <c r="AG83" s="47">
        <v>0</v>
      </c>
      <c r="AH83" s="47">
        <v>0</v>
      </c>
      <c r="AI83" s="47">
        <v>0</v>
      </c>
      <c r="AJ83" s="47">
        <v>0</v>
      </c>
      <c r="AK83" s="47">
        <v>0</v>
      </c>
      <c r="AL83" s="47">
        <v>0</v>
      </c>
      <c r="AM83" s="47">
        <v>0</v>
      </c>
      <c r="AN83" s="47">
        <v>0</v>
      </c>
      <c r="AO83" s="47">
        <v>0</v>
      </c>
      <c r="AP83" s="47">
        <v>0</v>
      </c>
      <c r="AQ83" s="47">
        <v>0</v>
      </c>
      <c r="AR83" s="47">
        <v>0</v>
      </c>
      <c r="AS83" s="47">
        <v>0</v>
      </c>
      <c r="AT83" s="47">
        <v>0</v>
      </c>
      <c r="AU83" s="47">
        <v>0</v>
      </c>
      <c r="AV83" s="47">
        <v>0</v>
      </c>
      <c r="AW83" s="47">
        <v>0</v>
      </c>
      <c r="AX83" s="47">
        <v>0</v>
      </c>
      <c r="AY83" s="47">
        <v>0</v>
      </c>
      <c r="AZ83" s="47">
        <v>0</v>
      </c>
      <c r="BA83" s="47">
        <v>0</v>
      </c>
      <c r="BB83" s="47">
        <v>0</v>
      </c>
      <c r="BC83" s="47">
        <v>0</v>
      </c>
      <c r="BD83" s="47">
        <v>0</v>
      </c>
      <c r="BE83" s="47">
        <v>0</v>
      </c>
      <c r="BF83" s="47">
        <v>0</v>
      </c>
      <c r="BG83" s="47">
        <v>0</v>
      </c>
      <c r="BH83" s="47">
        <v>0</v>
      </c>
      <c r="BI83" s="47">
        <v>0</v>
      </c>
      <c r="BJ83" s="47">
        <v>0</v>
      </c>
      <c r="BK83" s="47">
        <v>0</v>
      </c>
      <c r="BL83" s="47">
        <v>0</v>
      </c>
      <c r="BM83" s="47">
        <v>0</v>
      </c>
      <c r="BN83" s="47">
        <v>0</v>
      </c>
      <c r="BO83" s="47">
        <v>0</v>
      </c>
      <c r="BP83" s="47">
        <v>0</v>
      </c>
      <c r="BQ83" s="47">
        <v>0</v>
      </c>
      <c r="BR83" s="47">
        <v>0</v>
      </c>
      <c r="BS83" s="47">
        <v>0</v>
      </c>
      <c r="BT83" s="47">
        <v>0</v>
      </c>
      <c r="BU83" s="47">
        <v>0</v>
      </c>
      <c r="BV83" s="47">
        <v>0</v>
      </c>
      <c r="BW83" s="47">
        <v>0</v>
      </c>
      <c r="BX83" s="47">
        <v>0</v>
      </c>
      <c r="BY83" s="47">
        <v>0</v>
      </c>
      <c r="BZ83" s="47">
        <v>0</v>
      </c>
      <c r="CA83" s="47">
        <v>0</v>
      </c>
      <c r="CB83" s="47">
        <v>0</v>
      </c>
      <c r="CC83" s="47">
        <v>0</v>
      </c>
      <c r="CD83" s="47">
        <v>0</v>
      </c>
      <c r="CE83" s="47">
        <v>0</v>
      </c>
      <c r="CF83" s="47">
        <v>0</v>
      </c>
      <c r="CG83" s="47">
        <v>0</v>
      </c>
      <c r="CH83" s="47">
        <v>0</v>
      </c>
      <c r="CI83" s="47">
        <v>0</v>
      </c>
      <c r="CJ83" s="47">
        <v>0</v>
      </c>
      <c r="CK83" s="47">
        <v>0</v>
      </c>
      <c r="CL83" s="47">
        <v>0</v>
      </c>
      <c r="CM83" s="47">
        <v>0</v>
      </c>
      <c r="CN83" s="47">
        <v>0</v>
      </c>
      <c r="CO83" s="47">
        <v>0</v>
      </c>
      <c r="CP83" s="47">
        <v>0</v>
      </c>
      <c r="CQ83" s="47">
        <v>0</v>
      </c>
      <c r="CR83" s="47">
        <v>0</v>
      </c>
      <c r="CS83" s="47">
        <v>0</v>
      </c>
      <c r="CT83" s="47">
        <v>0</v>
      </c>
      <c r="CU83" s="47">
        <v>0</v>
      </c>
      <c r="CV83" s="47">
        <v>0</v>
      </c>
      <c r="CW83" s="47">
        <v>0</v>
      </c>
      <c r="CX83" s="47">
        <v>0</v>
      </c>
      <c r="CY83" s="47">
        <v>0</v>
      </c>
      <c r="CZ83" s="47">
        <v>0</v>
      </c>
      <c r="DA83" s="47">
        <v>0</v>
      </c>
      <c r="DB83" s="47">
        <v>0</v>
      </c>
      <c r="DC83" s="47">
        <v>0</v>
      </c>
      <c r="DD83" s="47">
        <v>0</v>
      </c>
      <c r="DE83" s="47">
        <v>0</v>
      </c>
      <c r="DF83" s="47">
        <v>0</v>
      </c>
      <c r="DG83" s="47">
        <v>0</v>
      </c>
      <c r="DH83" s="47">
        <v>0</v>
      </c>
      <c r="DI83" s="47">
        <v>0</v>
      </c>
      <c r="DJ83" s="47">
        <v>0</v>
      </c>
      <c r="DK83" s="47">
        <v>0</v>
      </c>
      <c r="DL83" s="47">
        <v>0</v>
      </c>
      <c r="DM83" s="47">
        <v>0</v>
      </c>
      <c r="DN83" s="47">
        <v>0</v>
      </c>
      <c r="DO83" s="47">
        <v>0</v>
      </c>
      <c r="DP83" s="47">
        <v>0</v>
      </c>
      <c r="DQ83" s="47">
        <v>0</v>
      </c>
      <c r="DR83" s="47">
        <v>0</v>
      </c>
    </row>
    <row r="84" spans="1:124" x14ac:dyDescent="0.25">
      <c r="A84" s="47" t="s">
        <v>529</v>
      </c>
      <c r="B84" s="47" t="s">
        <v>151</v>
      </c>
      <c r="C84" s="47" t="s">
        <v>530</v>
      </c>
      <c r="D84" s="47" t="s">
        <v>531</v>
      </c>
      <c r="E84" s="47" t="s">
        <v>532</v>
      </c>
      <c r="F84" s="47" t="s">
        <v>380</v>
      </c>
      <c r="G84" s="47" t="s">
        <v>381</v>
      </c>
      <c r="H84" s="47" t="str">
        <f>=IFERROR(VLOOKUP(A84,'ETPT Format DDG'!A:J,10,FALSE),"")</f>
        <v>0</v>
      </c>
      <c r="I84" s="47" t="str">
        <f>='ETPT Format DDG'!M84</f>
        <v/>
      </c>
      <c r="J84" s="47" t="str">
        <f>='ETPT Format DDG'!D84</f>
        <v/>
      </c>
      <c r="K84" s="47" t="s">
        <v>155</v>
      </c>
      <c r="L84" s="47" t="s">
        <v>533</v>
      </c>
      <c r="M84" s="47"/>
      <c r="N84" s="47">
        <v>1</v>
      </c>
      <c r="O84" s="47">
        <v>0</v>
      </c>
      <c r="P84" s="47">
        <v>0</v>
      </c>
      <c r="Q84" s="47">
        <v>0</v>
      </c>
      <c r="R84" s="47">
        <v>0</v>
      </c>
      <c r="S84" s="47">
        <v>0</v>
      </c>
      <c r="T84" s="47">
        <v>0</v>
      </c>
      <c r="U84" s="47">
        <v>0</v>
      </c>
      <c r="V84" s="47">
        <v>0</v>
      </c>
      <c r="W84" s="47">
        <v>0</v>
      </c>
      <c r="X84" s="47">
        <v>0</v>
      </c>
      <c r="Y84" s="47">
        <v>0</v>
      </c>
      <c r="Z84" s="47">
        <v>0</v>
      </c>
      <c r="AA84" s="47">
        <v>0</v>
      </c>
      <c r="AB84" s="47">
        <v>0</v>
      </c>
      <c r="AC84" s="47">
        <v>0</v>
      </c>
      <c r="AD84" s="47">
        <v>0</v>
      </c>
      <c r="AE84" s="47">
        <v>0</v>
      </c>
      <c r="AF84" s="47">
        <v>0</v>
      </c>
      <c r="AG84" s="47">
        <v>0</v>
      </c>
      <c r="AH84" s="47">
        <v>0</v>
      </c>
      <c r="AI84" s="47">
        <v>0</v>
      </c>
      <c r="AJ84" s="47">
        <v>0</v>
      </c>
      <c r="AK84" s="47">
        <v>0</v>
      </c>
      <c r="AL84" s="47">
        <v>0</v>
      </c>
      <c r="AM84" s="47">
        <v>0</v>
      </c>
      <c r="AN84" s="47">
        <v>0</v>
      </c>
      <c r="AO84" s="47">
        <v>0</v>
      </c>
      <c r="AP84" s="47">
        <v>0</v>
      </c>
      <c r="AQ84" s="47">
        <v>0</v>
      </c>
      <c r="AR84" s="47">
        <v>0</v>
      </c>
      <c r="AS84" s="47">
        <v>0</v>
      </c>
      <c r="AT84" s="47">
        <v>0</v>
      </c>
      <c r="AU84" s="47">
        <v>0</v>
      </c>
      <c r="AV84" s="47">
        <v>0</v>
      </c>
      <c r="AW84" s="47">
        <v>0</v>
      </c>
      <c r="AX84" s="47">
        <v>0</v>
      </c>
      <c r="AY84" s="47">
        <v>0</v>
      </c>
      <c r="AZ84" s="47">
        <v>0</v>
      </c>
      <c r="BA84" s="47">
        <v>0</v>
      </c>
      <c r="BB84" s="47">
        <v>0</v>
      </c>
      <c r="BC84" s="47">
        <v>0</v>
      </c>
      <c r="BD84" s="47">
        <v>0</v>
      </c>
      <c r="BE84" s="47">
        <v>0</v>
      </c>
      <c r="BF84" s="47">
        <v>0</v>
      </c>
      <c r="BG84" s="47">
        <v>0</v>
      </c>
      <c r="BH84" s="47">
        <v>0</v>
      </c>
      <c r="BI84" s="47">
        <v>0</v>
      </c>
      <c r="BJ84" s="47">
        <v>0</v>
      </c>
      <c r="BK84" s="47">
        <v>0</v>
      </c>
      <c r="BL84" s="47">
        <v>0</v>
      </c>
      <c r="BM84" s="47">
        <v>0</v>
      </c>
      <c r="BN84" s="47">
        <v>0</v>
      </c>
      <c r="BO84" s="47">
        <v>0</v>
      </c>
      <c r="BP84" s="47">
        <v>0</v>
      </c>
      <c r="BQ84" s="47">
        <v>0</v>
      </c>
      <c r="BR84" s="47">
        <v>0</v>
      </c>
      <c r="BS84" s="47">
        <v>0</v>
      </c>
      <c r="BT84" s="47">
        <v>0</v>
      </c>
      <c r="BU84" s="47">
        <v>0</v>
      </c>
      <c r="BV84" s="47">
        <v>0</v>
      </c>
      <c r="BW84" s="47">
        <v>0</v>
      </c>
      <c r="BX84" s="47">
        <v>0</v>
      </c>
      <c r="BY84" s="47">
        <v>0</v>
      </c>
      <c r="BZ84" s="47">
        <v>0</v>
      </c>
      <c r="CA84" s="47">
        <v>0</v>
      </c>
      <c r="CB84" s="47">
        <v>0</v>
      </c>
      <c r="CC84" s="47">
        <v>0</v>
      </c>
      <c r="CD84" s="47">
        <v>0</v>
      </c>
      <c r="CE84" s="47">
        <v>0</v>
      </c>
      <c r="CF84" s="47">
        <v>0</v>
      </c>
      <c r="CG84" s="47">
        <v>0</v>
      </c>
      <c r="CH84" s="47">
        <v>0</v>
      </c>
      <c r="CI84" s="47">
        <v>0</v>
      </c>
      <c r="CJ84" s="47">
        <v>0</v>
      </c>
      <c r="CK84" s="47">
        <v>0</v>
      </c>
      <c r="CL84" s="47">
        <v>0</v>
      </c>
      <c r="CM84" s="47">
        <v>0</v>
      </c>
      <c r="CN84" s="47">
        <v>0</v>
      </c>
      <c r="CO84" s="47">
        <v>0</v>
      </c>
      <c r="CP84" s="47">
        <v>0</v>
      </c>
      <c r="CQ84" s="47">
        <v>0</v>
      </c>
      <c r="CR84" s="47">
        <v>0</v>
      </c>
      <c r="CS84" s="47">
        <v>0</v>
      </c>
      <c r="CT84" s="47">
        <v>0</v>
      </c>
      <c r="CU84" s="47">
        <v>0</v>
      </c>
      <c r="CV84" s="47">
        <v>0</v>
      </c>
      <c r="CW84" s="47">
        <v>0</v>
      </c>
      <c r="CX84" s="47">
        <v>0</v>
      </c>
      <c r="CY84" s="47">
        <v>0</v>
      </c>
      <c r="CZ84" s="47">
        <v>0</v>
      </c>
      <c r="DA84" s="47">
        <v>0</v>
      </c>
      <c r="DB84" s="47">
        <v>0</v>
      </c>
      <c r="DC84" s="47">
        <v>0</v>
      </c>
      <c r="DD84" s="47">
        <v>0</v>
      </c>
      <c r="DE84" s="47">
        <v>0</v>
      </c>
      <c r="DF84" s="47">
        <v>0</v>
      </c>
      <c r="DG84" s="47">
        <v>0</v>
      </c>
      <c r="DH84" s="47">
        <v>0</v>
      </c>
      <c r="DI84" s="47">
        <v>0</v>
      </c>
      <c r="DJ84" s="47">
        <v>0</v>
      </c>
      <c r="DK84" s="47">
        <v>0</v>
      </c>
      <c r="DL84" s="47">
        <v>0</v>
      </c>
      <c r="DM84" s="47">
        <v>0</v>
      </c>
      <c r="DN84" s="47">
        <v>0</v>
      </c>
      <c r="DO84" s="47">
        <v>0</v>
      </c>
      <c r="DP84" s="47">
        <v>0</v>
      </c>
      <c r="DQ84" s="47">
        <v>0</v>
      </c>
      <c r="DR84" s="47">
        <v>0</v>
      </c>
    </row>
    <row r="85" spans="1:124" x14ac:dyDescent="0.25">
      <c r="A85" s="47" t="s">
        <v>534</v>
      </c>
      <c r="B85" s="47" t="s">
        <v>151</v>
      </c>
      <c r="C85" s="47" t="s">
        <v>535</v>
      </c>
      <c r="D85" s="47" t="s">
        <v>536</v>
      </c>
      <c r="E85" s="47" t="s">
        <v>537</v>
      </c>
      <c r="F85" s="47" t="s">
        <v>380</v>
      </c>
      <c r="G85" s="47" t="s">
        <v>381</v>
      </c>
      <c r="H85" s="47" t="str">
        <f>=IFERROR(VLOOKUP(A85,'ETPT Format DDG'!A:J,10,FALSE),"")</f>
        <v>0</v>
      </c>
      <c r="I85" s="47" t="str">
        <f>='ETPT Format DDG'!M85</f>
        <v/>
      </c>
      <c r="J85" s="47" t="str">
        <f>='ETPT Format DDG'!D85</f>
        <v/>
      </c>
      <c r="K85" s="47" t="s">
        <v>155</v>
      </c>
      <c r="L85" s="47" t="s">
        <v>169</v>
      </c>
      <c r="M85" s="47"/>
      <c r="N85" s="47">
        <v>0.3024</v>
      </c>
      <c r="O85" s="47">
        <v>0.3024</v>
      </c>
      <c r="P85" s="47">
        <v>0</v>
      </c>
      <c r="Q85" s="47">
        <v>0</v>
      </c>
      <c r="R85" s="47">
        <v>0</v>
      </c>
      <c r="S85" s="47">
        <v>0</v>
      </c>
      <c r="T85" s="47">
        <v>0</v>
      </c>
      <c r="U85" s="47">
        <v>0</v>
      </c>
      <c r="V85" s="47">
        <v>0</v>
      </c>
      <c r="W85" s="47">
        <v>0</v>
      </c>
      <c r="X85" s="47">
        <v>0</v>
      </c>
      <c r="Y85" s="47">
        <v>0</v>
      </c>
      <c r="Z85" s="47">
        <v>0</v>
      </c>
      <c r="AA85" s="47">
        <v>0</v>
      </c>
      <c r="AB85" s="47">
        <v>0</v>
      </c>
      <c r="AC85" s="47">
        <v>0</v>
      </c>
      <c r="AD85" s="47">
        <v>0</v>
      </c>
      <c r="AE85" s="47">
        <v>0</v>
      </c>
      <c r="AF85" s="47">
        <v>0</v>
      </c>
      <c r="AG85" s="47">
        <v>0</v>
      </c>
      <c r="AH85" s="47">
        <v>0</v>
      </c>
      <c r="AI85" s="47">
        <v>0</v>
      </c>
      <c r="AJ85" s="47">
        <v>0</v>
      </c>
      <c r="AK85" s="47">
        <v>0</v>
      </c>
      <c r="AL85" s="47">
        <v>0</v>
      </c>
      <c r="AM85" s="47">
        <v>0</v>
      </c>
      <c r="AN85" s="47">
        <v>0</v>
      </c>
      <c r="AO85" s="47">
        <v>0</v>
      </c>
      <c r="AP85" s="47">
        <v>0</v>
      </c>
      <c r="AQ85" s="47">
        <v>0</v>
      </c>
      <c r="AR85" s="47">
        <v>0</v>
      </c>
      <c r="AS85" s="47">
        <v>0</v>
      </c>
      <c r="AT85" s="47">
        <v>0</v>
      </c>
      <c r="AU85" s="47">
        <v>0</v>
      </c>
      <c r="AV85" s="47">
        <v>0</v>
      </c>
      <c r="AW85" s="47">
        <v>0</v>
      </c>
      <c r="AX85" s="47">
        <v>0</v>
      </c>
      <c r="AY85" s="47">
        <v>0</v>
      </c>
      <c r="AZ85" s="47">
        <v>0</v>
      </c>
      <c r="BA85" s="47">
        <v>0</v>
      </c>
      <c r="BB85" s="47">
        <v>0</v>
      </c>
      <c r="BC85" s="47">
        <v>0</v>
      </c>
      <c r="BD85" s="47">
        <v>0</v>
      </c>
      <c r="BE85" s="47">
        <v>0</v>
      </c>
      <c r="BF85" s="47">
        <v>0</v>
      </c>
      <c r="BG85" s="47">
        <v>0</v>
      </c>
      <c r="BH85" s="47">
        <v>0.1815</v>
      </c>
      <c r="BI85" s="47">
        <v>0</v>
      </c>
      <c r="BJ85" s="47">
        <v>0</v>
      </c>
      <c r="BK85" s="47">
        <v>0</v>
      </c>
      <c r="BL85" s="47">
        <v>0</v>
      </c>
      <c r="BM85" s="47">
        <v>0</v>
      </c>
      <c r="BN85" s="47">
        <v>0</v>
      </c>
      <c r="BO85" s="47">
        <v>0</v>
      </c>
      <c r="BP85" s="47">
        <v>0</v>
      </c>
      <c r="BQ85" s="47">
        <v>0</v>
      </c>
      <c r="BR85" s="47">
        <v>0</v>
      </c>
      <c r="BS85" s="47">
        <v>0</v>
      </c>
      <c r="BT85" s="47">
        <v>0</v>
      </c>
      <c r="BU85" s="47">
        <v>0</v>
      </c>
      <c r="BV85" s="47">
        <v>0</v>
      </c>
      <c r="BW85" s="47">
        <v>0</v>
      </c>
      <c r="BX85" s="47">
        <v>0</v>
      </c>
      <c r="BY85" s="47">
        <v>0</v>
      </c>
      <c r="BZ85" s="47">
        <v>0</v>
      </c>
      <c r="CA85" s="47">
        <v>0</v>
      </c>
      <c r="CB85" s="47">
        <v>0</v>
      </c>
      <c r="CC85" s="47">
        <v>0</v>
      </c>
      <c r="CD85" s="47">
        <v>0</v>
      </c>
      <c r="CE85" s="47">
        <v>0</v>
      </c>
      <c r="CF85" s="47">
        <v>0</v>
      </c>
      <c r="CG85" s="47">
        <v>0</v>
      </c>
      <c r="CH85" s="47">
        <v>0</v>
      </c>
      <c r="CI85" s="47">
        <v>0</v>
      </c>
      <c r="CJ85" s="47">
        <v>0</v>
      </c>
      <c r="CK85" s="47">
        <v>0</v>
      </c>
      <c r="CL85" s="47">
        <v>0</v>
      </c>
      <c r="CM85" s="47">
        <v>0</v>
      </c>
      <c r="CN85" s="47">
        <v>0</v>
      </c>
      <c r="CO85" s="47">
        <v>0</v>
      </c>
      <c r="CP85" s="47">
        <v>0</v>
      </c>
      <c r="CQ85" s="47">
        <v>0.121</v>
      </c>
      <c r="CR85" s="47">
        <v>0</v>
      </c>
      <c r="CS85" s="47">
        <v>0</v>
      </c>
      <c r="CT85" s="47">
        <v>0</v>
      </c>
      <c r="CU85" s="47">
        <v>0</v>
      </c>
      <c r="CV85" s="47">
        <v>0</v>
      </c>
      <c r="CW85" s="47">
        <v>0</v>
      </c>
      <c r="CX85" s="47">
        <v>0</v>
      </c>
      <c r="CY85" s="47">
        <v>0</v>
      </c>
      <c r="CZ85" s="47">
        <v>0</v>
      </c>
      <c r="DA85" s="47">
        <v>0</v>
      </c>
      <c r="DB85" s="47">
        <v>0</v>
      </c>
      <c r="DC85" s="47">
        <v>0</v>
      </c>
      <c r="DD85" s="47">
        <v>0</v>
      </c>
      <c r="DE85" s="47">
        <v>0</v>
      </c>
      <c r="DF85" s="47">
        <v>0</v>
      </c>
      <c r="DG85" s="47">
        <v>0</v>
      </c>
      <c r="DH85" s="47">
        <v>0</v>
      </c>
      <c r="DI85" s="47">
        <v>0</v>
      </c>
      <c r="DJ85" s="47">
        <v>0</v>
      </c>
      <c r="DK85" s="47">
        <v>0</v>
      </c>
      <c r="DL85" s="47">
        <v>0</v>
      </c>
      <c r="DM85" s="47">
        <v>0</v>
      </c>
      <c r="DN85" s="47">
        <v>0</v>
      </c>
      <c r="DO85" s="47">
        <v>0</v>
      </c>
      <c r="DP85" s="47">
        <v>0</v>
      </c>
      <c r="DQ85" s="47">
        <v>0</v>
      </c>
      <c r="DR85" s="47">
        <v>0</v>
      </c>
    </row>
    <row r="86" spans="1:124" x14ac:dyDescent="0.25">
      <c r="A86" s="47" t="s">
        <v>538</v>
      </c>
      <c r="B86" s="47" t="s">
        <v>151</v>
      </c>
      <c r="C86" s="47" t="s">
        <v>539</v>
      </c>
      <c r="D86" s="47" t="s">
        <v>540</v>
      </c>
      <c r="E86" s="47" t="s">
        <v>541</v>
      </c>
      <c r="F86" s="47" t="s">
        <v>380</v>
      </c>
      <c r="G86" s="47" t="s">
        <v>411</v>
      </c>
      <c r="H86" s="47" t="str">
        <f>=IFERROR(VLOOKUP(A86,'ETPT Format DDG'!A:J,10,FALSE),"")</f>
        <v>0</v>
      </c>
      <c r="I86" s="47" t="str">
        <f>='ETPT Format DDG'!M86</f>
        <v/>
      </c>
      <c r="J86" s="47" t="str">
        <f>='ETPT Format DDG'!D86</f>
        <v/>
      </c>
      <c r="K86" s="47" t="s">
        <v>155</v>
      </c>
      <c r="L86" s="47" t="s">
        <v>542</v>
      </c>
      <c r="M86" s="47"/>
      <c r="N86" s="47">
        <v>1</v>
      </c>
      <c r="O86" s="47">
        <v>1</v>
      </c>
      <c r="P86" s="47">
        <v>0</v>
      </c>
      <c r="Q86" s="47">
        <v>0</v>
      </c>
      <c r="R86" s="47">
        <v>0</v>
      </c>
      <c r="S86" s="47">
        <v>0</v>
      </c>
      <c r="T86" s="47">
        <v>0</v>
      </c>
      <c r="U86" s="47">
        <v>0</v>
      </c>
      <c r="V86" s="47">
        <v>0</v>
      </c>
      <c r="W86" s="47">
        <v>0</v>
      </c>
      <c r="X86" s="47">
        <v>0</v>
      </c>
      <c r="Y86" s="47">
        <v>0</v>
      </c>
      <c r="Z86" s="47">
        <v>0</v>
      </c>
      <c r="AA86" s="47">
        <v>0</v>
      </c>
      <c r="AB86" s="47">
        <v>0</v>
      </c>
      <c r="AC86" s="47">
        <v>0</v>
      </c>
      <c r="AD86" s="47">
        <v>0</v>
      </c>
      <c r="AE86" s="47">
        <v>0</v>
      </c>
      <c r="AF86" s="47">
        <v>0</v>
      </c>
      <c r="AG86" s="47">
        <v>0</v>
      </c>
      <c r="AH86" s="47">
        <v>0</v>
      </c>
      <c r="AI86" s="47">
        <v>0</v>
      </c>
      <c r="AJ86" s="47">
        <v>0</v>
      </c>
      <c r="AK86" s="47">
        <v>0</v>
      </c>
      <c r="AL86" s="47">
        <v>0</v>
      </c>
      <c r="AM86" s="47">
        <v>0</v>
      </c>
      <c r="AN86" s="47">
        <v>0</v>
      </c>
      <c r="AO86" s="47">
        <v>0</v>
      </c>
      <c r="AP86" s="47">
        <v>0</v>
      </c>
      <c r="AQ86" s="47">
        <v>0</v>
      </c>
      <c r="AR86" s="47">
        <v>0</v>
      </c>
      <c r="AS86" s="47">
        <v>0</v>
      </c>
      <c r="AT86" s="47">
        <v>0</v>
      </c>
      <c r="AU86" s="47">
        <v>0</v>
      </c>
      <c r="AV86" s="47">
        <v>0</v>
      </c>
      <c r="AW86" s="47">
        <v>0</v>
      </c>
      <c r="AX86" s="47">
        <v>0</v>
      </c>
      <c r="AY86" s="47">
        <v>0</v>
      </c>
      <c r="AZ86" s="47">
        <v>0</v>
      </c>
      <c r="BA86" s="47">
        <v>0</v>
      </c>
      <c r="BB86" s="47">
        <v>0</v>
      </c>
      <c r="BC86" s="47">
        <v>0</v>
      </c>
      <c r="BD86" s="47">
        <v>0</v>
      </c>
      <c r="BE86" s="47">
        <v>0</v>
      </c>
      <c r="BF86" s="47">
        <v>0</v>
      </c>
      <c r="BG86" s="47">
        <v>0</v>
      </c>
      <c r="BH86" s="47">
        <v>0</v>
      </c>
      <c r="BI86" s="47">
        <v>0</v>
      </c>
      <c r="BJ86" s="47">
        <v>0</v>
      </c>
      <c r="BK86" s="47">
        <v>0</v>
      </c>
      <c r="BL86" s="47">
        <v>0</v>
      </c>
      <c r="BM86" s="47">
        <v>0</v>
      </c>
      <c r="BN86" s="47">
        <v>0</v>
      </c>
      <c r="BO86" s="47">
        <v>0</v>
      </c>
      <c r="BP86" s="47">
        <v>0</v>
      </c>
      <c r="BQ86" s="47">
        <v>0</v>
      </c>
      <c r="BR86" s="47">
        <v>0</v>
      </c>
      <c r="BS86" s="47">
        <v>0</v>
      </c>
      <c r="BT86" s="47">
        <v>0</v>
      </c>
      <c r="BU86" s="47">
        <v>0</v>
      </c>
      <c r="BV86" s="47">
        <v>0</v>
      </c>
      <c r="BW86" s="47">
        <v>0</v>
      </c>
      <c r="BX86" s="47">
        <v>0</v>
      </c>
      <c r="BY86" s="47">
        <v>0</v>
      </c>
      <c r="BZ86" s="47">
        <v>0</v>
      </c>
      <c r="CA86" s="47">
        <v>0</v>
      </c>
      <c r="CB86" s="47">
        <v>0</v>
      </c>
      <c r="CC86" s="47">
        <v>0</v>
      </c>
      <c r="CD86" s="47">
        <v>0</v>
      </c>
      <c r="CE86" s="47">
        <v>0</v>
      </c>
      <c r="CF86" s="47">
        <v>0</v>
      </c>
      <c r="CG86" s="47">
        <v>0</v>
      </c>
      <c r="CH86" s="47">
        <v>0</v>
      </c>
      <c r="CI86" s="47">
        <v>0</v>
      </c>
      <c r="CJ86" s="47">
        <v>0</v>
      </c>
      <c r="CK86" s="47">
        <v>0</v>
      </c>
      <c r="CL86" s="47">
        <v>0</v>
      </c>
      <c r="CM86" s="47">
        <v>0</v>
      </c>
      <c r="CN86" s="47">
        <v>0</v>
      </c>
      <c r="CO86" s="47">
        <v>0</v>
      </c>
      <c r="CP86" s="47">
        <v>0</v>
      </c>
      <c r="CQ86" s="47">
        <v>0</v>
      </c>
      <c r="CR86" s="47">
        <v>0</v>
      </c>
      <c r="CS86" s="47">
        <v>0</v>
      </c>
      <c r="CT86" s="47">
        <v>1</v>
      </c>
      <c r="CU86" s="47">
        <v>0</v>
      </c>
      <c r="CV86" s="47">
        <v>0</v>
      </c>
      <c r="CW86" s="47">
        <v>0</v>
      </c>
      <c r="CX86" s="47">
        <v>1</v>
      </c>
      <c r="CY86" s="47">
        <v>0</v>
      </c>
      <c r="CZ86" s="47">
        <v>0</v>
      </c>
      <c r="DA86" s="47">
        <v>0</v>
      </c>
      <c r="DB86" s="47">
        <v>0</v>
      </c>
      <c r="DC86" s="47">
        <v>0</v>
      </c>
      <c r="DD86" s="47">
        <v>0</v>
      </c>
      <c r="DE86" s="47">
        <v>0</v>
      </c>
      <c r="DF86" s="47">
        <v>0</v>
      </c>
      <c r="DG86" s="47">
        <v>0</v>
      </c>
      <c r="DH86" s="47">
        <v>0</v>
      </c>
      <c r="DI86" s="47">
        <v>0</v>
      </c>
      <c r="DJ86" s="47">
        <v>0</v>
      </c>
      <c r="DK86" s="47">
        <v>0</v>
      </c>
      <c r="DL86" s="47">
        <v>0</v>
      </c>
      <c r="DM86" s="47">
        <v>0</v>
      </c>
      <c r="DN86" s="47">
        <v>0</v>
      </c>
      <c r="DO86" s="47">
        <v>0</v>
      </c>
      <c r="DP86" s="47">
        <v>0</v>
      </c>
      <c r="DQ86" s="47">
        <v>0</v>
      </c>
      <c r="DR86" s="47">
        <v>0</v>
      </c>
    </row>
    <row r="87" spans="1:124" x14ac:dyDescent="0.25">
      <c r="A87" s="47" t="s">
        <v>543</v>
      </c>
      <c r="B87" s="47" t="s">
        <v>151</v>
      </c>
      <c r="C87" s="47" t="s">
        <v>544</v>
      </c>
      <c r="D87" s="47" t="s">
        <v>545</v>
      </c>
      <c r="E87" s="47" t="s">
        <v>546</v>
      </c>
      <c r="F87" s="47" t="s">
        <v>380</v>
      </c>
      <c r="G87" s="47" t="s">
        <v>411</v>
      </c>
      <c r="H87" s="47" t="str">
        <f>=IFERROR(VLOOKUP(A87,'ETPT Format DDG'!A:J,10,FALSE),"")</f>
        <v>0</v>
      </c>
      <c r="I87" s="47" t="str">
        <f>='ETPT Format DDG'!M87</f>
        <v/>
      </c>
      <c r="J87" s="47" t="str">
        <f>='ETPT Format DDG'!D87</f>
        <v/>
      </c>
      <c r="K87" s="47" t="s">
        <v>155</v>
      </c>
      <c r="L87" s="47" t="s">
        <v>547</v>
      </c>
      <c r="M87" s="47"/>
      <c r="N87" s="47">
        <v>1</v>
      </c>
      <c r="O87" s="47">
        <v>0</v>
      </c>
      <c r="P87" s="47">
        <v>0</v>
      </c>
      <c r="Q87" s="47">
        <v>0</v>
      </c>
      <c r="R87" s="47">
        <v>0</v>
      </c>
      <c r="S87" s="47">
        <v>0</v>
      </c>
      <c r="T87" s="47">
        <v>0</v>
      </c>
      <c r="U87" s="47">
        <v>0</v>
      </c>
      <c r="V87" s="47">
        <v>0</v>
      </c>
      <c r="W87" s="47">
        <v>0</v>
      </c>
      <c r="X87" s="47">
        <v>0</v>
      </c>
      <c r="Y87" s="47">
        <v>0</v>
      </c>
      <c r="Z87" s="47">
        <v>0</v>
      </c>
      <c r="AA87" s="47">
        <v>0</v>
      </c>
      <c r="AB87" s="47">
        <v>0</v>
      </c>
      <c r="AC87" s="47">
        <v>0</v>
      </c>
      <c r="AD87" s="47">
        <v>0</v>
      </c>
      <c r="AE87" s="47">
        <v>0</v>
      </c>
      <c r="AF87" s="47">
        <v>0</v>
      </c>
      <c r="AG87" s="47">
        <v>0</v>
      </c>
      <c r="AH87" s="47">
        <v>0</v>
      </c>
      <c r="AI87" s="47">
        <v>0</v>
      </c>
      <c r="AJ87" s="47">
        <v>0</v>
      </c>
      <c r="AK87" s="47">
        <v>0</v>
      </c>
      <c r="AL87" s="47">
        <v>0</v>
      </c>
      <c r="AM87" s="47">
        <v>0</v>
      </c>
      <c r="AN87" s="47">
        <v>0</v>
      </c>
      <c r="AO87" s="47">
        <v>0</v>
      </c>
      <c r="AP87" s="47">
        <v>0</v>
      </c>
      <c r="AQ87" s="47">
        <v>0</v>
      </c>
      <c r="AR87" s="47">
        <v>0</v>
      </c>
      <c r="AS87" s="47">
        <v>0</v>
      </c>
      <c r="AT87" s="47">
        <v>0</v>
      </c>
      <c r="AU87" s="47">
        <v>0</v>
      </c>
      <c r="AV87" s="47">
        <v>0</v>
      </c>
      <c r="AW87" s="47">
        <v>0</v>
      </c>
      <c r="AX87" s="47">
        <v>0</v>
      </c>
      <c r="AY87" s="47">
        <v>0</v>
      </c>
      <c r="AZ87" s="47">
        <v>0</v>
      </c>
      <c r="BA87" s="47">
        <v>0</v>
      </c>
      <c r="BB87" s="47">
        <v>0</v>
      </c>
      <c r="BC87" s="47">
        <v>0</v>
      </c>
      <c r="BD87" s="47">
        <v>0</v>
      </c>
      <c r="BE87" s="47">
        <v>0</v>
      </c>
      <c r="BF87" s="47">
        <v>0</v>
      </c>
      <c r="BG87" s="47">
        <v>0</v>
      </c>
      <c r="BH87" s="47">
        <v>0</v>
      </c>
      <c r="BI87" s="47">
        <v>0</v>
      </c>
      <c r="BJ87" s="47">
        <v>0</v>
      </c>
      <c r="BK87" s="47">
        <v>0</v>
      </c>
      <c r="BL87" s="47">
        <v>0</v>
      </c>
      <c r="BM87" s="47">
        <v>0</v>
      </c>
      <c r="BN87" s="47">
        <v>0</v>
      </c>
      <c r="BO87" s="47">
        <v>0</v>
      </c>
      <c r="BP87" s="47">
        <v>0</v>
      </c>
      <c r="BQ87" s="47">
        <v>0</v>
      </c>
      <c r="BR87" s="47">
        <v>0</v>
      </c>
      <c r="BS87" s="47">
        <v>0</v>
      </c>
      <c r="BT87" s="47">
        <v>0</v>
      </c>
      <c r="BU87" s="47">
        <v>0</v>
      </c>
      <c r="BV87" s="47">
        <v>0</v>
      </c>
      <c r="BW87" s="47">
        <v>0</v>
      </c>
      <c r="BX87" s="47">
        <v>0</v>
      </c>
      <c r="BY87" s="47">
        <v>0</v>
      </c>
      <c r="BZ87" s="47">
        <v>0</v>
      </c>
      <c r="CA87" s="47">
        <v>0</v>
      </c>
      <c r="CB87" s="47">
        <v>0</v>
      </c>
      <c r="CC87" s="47">
        <v>0</v>
      </c>
      <c r="CD87" s="47">
        <v>0</v>
      </c>
      <c r="CE87" s="47">
        <v>0</v>
      </c>
      <c r="CF87" s="47">
        <v>0</v>
      </c>
      <c r="CG87" s="47">
        <v>0</v>
      </c>
      <c r="CH87" s="47">
        <v>0</v>
      </c>
      <c r="CI87" s="47">
        <v>0</v>
      </c>
      <c r="CJ87" s="47">
        <v>0</v>
      </c>
      <c r="CK87" s="47">
        <v>0</v>
      </c>
      <c r="CL87" s="47">
        <v>0</v>
      </c>
      <c r="CM87" s="47">
        <v>0</v>
      </c>
      <c r="CN87" s="47">
        <v>0</v>
      </c>
      <c r="CO87" s="47">
        <v>0</v>
      </c>
      <c r="CP87" s="47">
        <v>0</v>
      </c>
      <c r="CQ87" s="47">
        <v>0</v>
      </c>
      <c r="CR87" s="47">
        <v>0</v>
      </c>
      <c r="CS87" s="47">
        <v>0</v>
      </c>
      <c r="CT87" s="47">
        <v>0</v>
      </c>
      <c r="CU87" s="47">
        <v>0</v>
      </c>
      <c r="CV87" s="47">
        <v>0</v>
      </c>
      <c r="CW87" s="47">
        <v>0</v>
      </c>
      <c r="CX87" s="47">
        <v>0</v>
      </c>
      <c r="CY87" s="47">
        <v>0</v>
      </c>
      <c r="CZ87" s="47">
        <v>0</v>
      </c>
      <c r="DA87" s="47">
        <v>0</v>
      </c>
      <c r="DB87" s="47">
        <v>0</v>
      </c>
      <c r="DC87" s="47">
        <v>0</v>
      </c>
      <c r="DD87" s="47">
        <v>0</v>
      </c>
      <c r="DE87" s="47">
        <v>0</v>
      </c>
      <c r="DF87" s="47">
        <v>0</v>
      </c>
      <c r="DG87" s="47">
        <v>0</v>
      </c>
      <c r="DH87" s="47">
        <v>0</v>
      </c>
      <c r="DI87" s="47">
        <v>0</v>
      </c>
      <c r="DJ87" s="47">
        <v>0</v>
      </c>
      <c r="DK87" s="47">
        <v>0</v>
      </c>
      <c r="DL87" s="47">
        <v>0</v>
      </c>
      <c r="DM87" s="47">
        <v>0</v>
      </c>
      <c r="DN87" s="47">
        <v>0</v>
      </c>
      <c r="DO87" s="47">
        <v>0</v>
      </c>
      <c r="DP87" s="47">
        <v>0</v>
      </c>
      <c r="DQ87" s="47">
        <v>0</v>
      </c>
      <c r="DR87" s="47">
        <v>0</v>
      </c>
    </row>
    <row r="88" spans="1:124" x14ac:dyDescent="0.25">
      <c r="A88" s="47" t="s">
        <v>548</v>
      </c>
      <c r="B88" s="47" t="s">
        <v>151</v>
      </c>
      <c r="C88" s="47" t="s">
        <v>549</v>
      </c>
      <c r="D88" s="47" t="s">
        <v>550</v>
      </c>
      <c r="E88" s="47" t="s">
        <v>551</v>
      </c>
      <c r="F88" s="47" t="s">
        <v>380</v>
      </c>
      <c r="G88" s="47" t="s">
        <v>381</v>
      </c>
      <c r="H88" s="47" t="str">
        <f>=IFERROR(VLOOKUP(A88,'ETPT Format DDG'!A:J,10,FALSE),"")</f>
        <v>0</v>
      </c>
      <c r="I88" s="47" t="str">
        <f>='ETPT Format DDG'!M88</f>
        <v/>
      </c>
      <c r="J88" s="47" t="str">
        <f>='ETPT Format DDG'!D88</f>
        <v/>
      </c>
      <c r="K88" s="47" t="s">
        <v>155</v>
      </c>
      <c r="L88" s="47" t="s">
        <v>470</v>
      </c>
      <c r="M88" s="47"/>
      <c r="N88" s="47">
        <v>1</v>
      </c>
      <c r="O88" s="47">
        <v>0</v>
      </c>
      <c r="P88" s="47">
        <v>0</v>
      </c>
      <c r="Q88" s="47">
        <v>0</v>
      </c>
      <c r="R88" s="47">
        <v>0</v>
      </c>
      <c r="S88" s="47">
        <v>0</v>
      </c>
      <c r="T88" s="47">
        <v>0</v>
      </c>
      <c r="U88" s="47">
        <v>0</v>
      </c>
      <c r="V88" s="47">
        <v>0</v>
      </c>
      <c r="W88" s="47">
        <v>0</v>
      </c>
      <c r="X88" s="47">
        <v>0</v>
      </c>
      <c r="Y88" s="47">
        <v>0</v>
      </c>
      <c r="Z88" s="47">
        <v>0</v>
      </c>
      <c r="AA88" s="47">
        <v>0</v>
      </c>
      <c r="AB88" s="47">
        <v>0</v>
      </c>
      <c r="AC88" s="47">
        <v>0</v>
      </c>
      <c r="AD88" s="47">
        <v>0</v>
      </c>
      <c r="AE88" s="47">
        <v>0</v>
      </c>
      <c r="AF88" s="47">
        <v>0</v>
      </c>
      <c r="AG88" s="47">
        <v>0</v>
      </c>
      <c r="AH88" s="47">
        <v>0</v>
      </c>
      <c r="AI88" s="47">
        <v>0</v>
      </c>
      <c r="AJ88" s="47">
        <v>0</v>
      </c>
      <c r="AK88" s="47">
        <v>0</v>
      </c>
      <c r="AL88" s="47">
        <v>0</v>
      </c>
      <c r="AM88" s="47">
        <v>0</v>
      </c>
      <c r="AN88" s="47">
        <v>0</v>
      </c>
      <c r="AO88" s="47">
        <v>0</v>
      </c>
      <c r="AP88" s="47">
        <v>0</v>
      </c>
      <c r="AQ88" s="47">
        <v>0</v>
      </c>
      <c r="AR88" s="47">
        <v>0</v>
      </c>
      <c r="AS88" s="47">
        <v>0</v>
      </c>
      <c r="AT88" s="47">
        <v>0</v>
      </c>
      <c r="AU88" s="47">
        <v>0</v>
      </c>
      <c r="AV88" s="47">
        <v>0</v>
      </c>
      <c r="AW88" s="47">
        <v>0</v>
      </c>
      <c r="AX88" s="47">
        <v>0</v>
      </c>
      <c r="AY88" s="47">
        <v>0</v>
      </c>
      <c r="AZ88" s="47">
        <v>0</v>
      </c>
      <c r="BA88" s="47">
        <v>0</v>
      </c>
      <c r="BB88" s="47">
        <v>0</v>
      </c>
      <c r="BC88" s="47">
        <v>0</v>
      </c>
      <c r="BD88" s="47">
        <v>0</v>
      </c>
      <c r="BE88" s="47">
        <v>0</v>
      </c>
      <c r="BF88" s="47">
        <v>0</v>
      </c>
      <c r="BG88" s="47">
        <v>0</v>
      </c>
      <c r="BH88" s="47">
        <v>0</v>
      </c>
      <c r="BI88" s="47">
        <v>0</v>
      </c>
      <c r="BJ88" s="47">
        <v>0</v>
      </c>
      <c r="BK88" s="47">
        <v>0</v>
      </c>
      <c r="BL88" s="47">
        <v>0</v>
      </c>
      <c r="BM88" s="47">
        <v>0</v>
      </c>
      <c r="BN88" s="47">
        <v>0</v>
      </c>
      <c r="BO88" s="47">
        <v>0</v>
      </c>
      <c r="BP88" s="47">
        <v>0</v>
      </c>
      <c r="BQ88" s="47">
        <v>0</v>
      </c>
      <c r="BR88" s="47">
        <v>0</v>
      </c>
      <c r="BS88" s="47">
        <v>0</v>
      </c>
      <c r="BT88" s="47">
        <v>0</v>
      </c>
      <c r="BU88" s="47">
        <v>0</v>
      </c>
      <c r="BV88" s="47">
        <v>0</v>
      </c>
      <c r="BW88" s="47">
        <v>0</v>
      </c>
      <c r="BX88" s="47">
        <v>0</v>
      </c>
      <c r="BY88" s="47">
        <v>0</v>
      </c>
      <c r="BZ88" s="47">
        <v>0</v>
      </c>
      <c r="CA88" s="47">
        <v>0</v>
      </c>
      <c r="CB88" s="47">
        <v>0</v>
      </c>
      <c r="CC88" s="47">
        <v>0</v>
      </c>
      <c r="CD88" s="47">
        <v>0</v>
      </c>
      <c r="CE88" s="47">
        <v>0</v>
      </c>
      <c r="CF88" s="47">
        <v>0</v>
      </c>
      <c r="CG88" s="47">
        <v>0</v>
      </c>
      <c r="CH88" s="47">
        <v>0</v>
      </c>
      <c r="CI88" s="47">
        <v>0</v>
      </c>
      <c r="CJ88" s="47">
        <v>0</v>
      </c>
      <c r="CK88" s="47">
        <v>0</v>
      </c>
      <c r="CL88" s="47">
        <v>0</v>
      </c>
      <c r="CM88" s="47">
        <v>0</v>
      </c>
      <c r="CN88" s="47">
        <v>0</v>
      </c>
      <c r="CO88" s="47">
        <v>0</v>
      </c>
      <c r="CP88" s="47">
        <v>0</v>
      </c>
      <c r="CQ88" s="47">
        <v>0</v>
      </c>
      <c r="CR88" s="47">
        <v>0</v>
      </c>
      <c r="CS88" s="47">
        <v>0</v>
      </c>
      <c r="CT88" s="47">
        <v>0</v>
      </c>
      <c r="CU88" s="47">
        <v>0</v>
      </c>
      <c r="CV88" s="47">
        <v>0</v>
      </c>
      <c r="CW88" s="47">
        <v>0</v>
      </c>
      <c r="CX88" s="47">
        <v>0</v>
      </c>
      <c r="CY88" s="47">
        <v>0</v>
      </c>
      <c r="CZ88" s="47">
        <v>0</v>
      </c>
      <c r="DA88" s="47">
        <v>0</v>
      </c>
      <c r="DB88" s="47">
        <v>0</v>
      </c>
      <c r="DC88" s="47">
        <v>0</v>
      </c>
      <c r="DD88" s="47">
        <v>0</v>
      </c>
      <c r="DE88" s="47">
        <v>0</v>
      </c>
      <c r="DF88" s="47">
        <v>0</v>
      </c>
      <c r="DG88" s="47">
        <v>0</v>
      </c>
      <c r="DH88" s="47">
        <v>0</v>
      </c>
      <c r="DI88" s="47">
        <v>0</v>
      </c>
      <c r="DJ88" s="47">
        <v>0</v>
      </c>
      <c r="DK88" s="47">
        <v>0</v>
      </c>
      <c r="DL88" s="47">
        <v>0</v>
      </c>
      <c r="DM88" s="47">
        <v>0</v>
      </c>
      <c r="DN88" s="47">
        <v>0</v>
      </c>
      <c r="DO88" s="47">
        <v>0</v>
      </c>
      <c r="DP88" s="47">
        <v>0</v>
      </c>
      <c r="DQ88" s="47">
        <v>0</v>
      </c>
      <c r="DR88" s="47">
        <v>0</v>
      </c>
    </row>
    <row r="89" spans="1:124" x14ac:dyDescent="0.25">
      <c r="A89" s="47" t="s">
        <v>552</v>
      </c>
      <c r="B89" s="47" t="s">
        <v>151</v>
      </c>
      <c r="C89" s="47" t="s">
        <v>553</v>
      </c>
      <c r="D89" s="47" t="s">
        <v>554</v>
      </c>
      <c r="E89" s="47" t="s">
        <v>555</v>
      </c>
      <c r="F89" s="47" t="s">
        <v>380</v>
      </c>
      <c r="G89" s="47" t="s">
        <v>381</v>
      </c>
      <c r="H89" s="47" t="str">
        <f>=IFERROR(VLOOKUP(A89,'ETPT Format DDG'!A:J,10,FALSE),"")</f>
        <v>0</v>
      </c>
      <c r="I89" s="47" t="str">
        <f>='ETPT Format DDG'!M89</f>
        <v/>
      </c>
      <c r="J89" s="47" t="str">
        <f>='ETPT Format DDG'!D89</f>
        <v/>
      </c>
      <c r="K89" s="47" t="s">
        <v>155</v>
      </c>
      <c r="L89" s="47" t="s">
        <v>556</v>
      </c>
      <c r="M89" s="47"/>
      <c r="N89" s="47">
        <v>1</v>
      </c>
      <c r="O89" s="47">
        <v>1</v>
      </c>
      <c r="P89" s="47">
        <v>0</v>
      </c>
      <c r="Q89" s="47">
        <v>0</v>
      </c>
      <c r="R89" s="47">
        <v>0</v>
      </c>
      <c r="S89" s="47">
        <v>0</v>
      </c>
      <c r="T89" s="47">
        <v>0</v>
      </c>
      <c r="U89" s="47">
        <v>0</v>
      </c>
      <c r="V89" s="47">
        <v>0</v>
      </c>
      <c r="W89" s="47">
        <v>0</v>
      </c>
      <c r="X89" s="47">
        <v>0</v>
      </c>
      <c r="Y89" s="47">
        <v>0</v>
      </c>
      <c r="Z89" s="47">
        <v>0</v>
      </c>
      <c r="AA89" s="47">
        <v>0</v>
      </c>
      <c r="AB89" s="47">
        <v>0</v>
      </c>
      <c r="AC89" s="47">
        <v>0</v>
      </c>
      <c r="AD89" s="47">
        <v>0</v>
      </c>
      <c r="AE89" s="47">
        <v>0.4</v>
      </c>
      <c r="AF89" s="47">
        <v>0.2</v>
      </c>
      <c r="AG89" s="47">
        <v>0.2</v>
      </c>
      <c r="AH89" s="47">
        <v>0</v>
      </c>
      <c r="AI89" s="47">
        <v>0</v>
      </c>
      <c r="AJ89" s="47">
        <v>0</v>
      </c>
      <c r="AK89" s="47">
        <v>0</v>
      </c>
      <c r="AL89" s="47">
        <v>0</v>
      </c>
      <c r="AM89" s="47">
        <v>0</v>
      </c>
      <c r="AN89" s="47">
        <v>0.15</v>
      </c>
      <c r="AO89" s="47">
        <v>0</v>
      </c>
      <c r="AP89" s="47">
        <v>0.1</v>
      </c>
      <c r="AQ89" s="47">
        <v>0</v>
      </c>
      <c r="AR89" s="47">
        <v>0</v>
      </c>
      <c r="AS89" s="47">
        <v>0</v>
      </c>
      <c r="AT89" s="47">
        <v>0</v>
      </c>
      <c r="AU89" s="47">
        <v>0</v>
      </c>
      <c r="AV89" s="47">
        <v>0</v>
      </c>
      <c r="AW89" s="47">
        <v>0</v>
      </c>
      <c r="AX89" s="47">
        <v>0</v>
      </c>
      <c r="AY89" s="47">
        <v>0</v>
      </c>
      <c r="AZ89" s="47">
        <v>0</v>
      </c>
      <c r="BA89" s="47">
        <v>0</v>
      </c>
      <c r="BB89" s="47">
        <v>0</v>
      </c>
      <c r="BC89" s="47">
        <v>0</v>
      </c>
      <c r="BD89" s="47">
        <v>0</v>
      </c>
      <c r="BE89" s="47">
        <v>0</v>
      </c>
      <c r="BF89" s="47">
        <v>0</v>
      </c>
      <c r="BG89" s="47">
        <v>0.05</v>
      </c>
      <c r="BH89" s="47">
        <v>0</v>
      </c>
      <c r="BI89" s="47">
        <v>0</v>
      </c>
      <c r="BJ89" s="47">
        <v>0</v>
      </c>
      <c r="BK89" s="47">
        <v>0</v>
      </c>
      <c r="BL89" s="47">
        <v>0</v>
      </c>
      <c r="BM89" s="47">
        <v>0</v>
      </c>
      <c r="BN89" s="47">
        <v>0</v>
      </c>
      <c r="BO89" s="47">
        <v>0</v>
      </c>
      <c r="BP89" s="47">
        <v>0</v>
      </c>
      <c r="BQ89" s="47">
        <v>0</v>
      </c>
      <c r="BR89" s="47">
        <v>0</v>
      </c>
      <c r="BS89" s="47">
        <v>0</v>
      </c>
      <c r="BT89" s="47">
        <v>0</v>
      </c>
      <c r="BU89" s="47">
        <v>0</v>
      </c>
      <c r="BV89" s="47">
        <v>0</v>
      </c>
      <c r="BW89" s="47">
        <v>0</v>
      </c>
      <c r="BX89" s="47">
        <v>0</v>
      </c>
      <c r="BY89" s="47">
        <v>0</v>
      </c>
      <c r="BZ89" s="47">
        <v>0</v>
      </c>
      <c r="CA89" s="47">
        <v>0</v>
      </c>
      <c r="CB89" s="47">
        <v>0</v>
      </c>
      <c r="CC89" s="47">
        <v>0</v>
      </c>
      <c r="CD89" s="47">
        <v>0</v>
      </c>
      <c r="CE89" s="47">
        <v>0</v>
      </c>
      <c r="CF89" s="47">
        <v>0</v>
      </c>
      <c r="CG89" s="47">
        <v>0</v>
      </c>
      <c r="CH89" s="47">
        <v>0</v>
      </c>
      <c r="CI89" s="47">
        <v>0</v>
      </c>
      <c r="CJ89" s="47">
        <v>0</v>
      </c>
      <c r="CK89" s="47">
        <v>0</v>
      </c>
      <c r="CL89" s="47">
        <v>0</v>
      </c>
      <c r="CM89" s="47">
        <v>0</v>
      </c>
      <c r="CN89" s="47">
        <v>0</v>
      </c>
      <c r="CO89" s="47">
        <v>0</v>
      </c>
      <c r="CP89" s="47">
        <v>0</v>
      </c>
      <c r="CQ89" s="47">
        <v>0</v>
      </c>
      <c r="CR89" s="47">
        <v>0</v>
      </c>
      <c r="CS89" s="47">
        <v>0</v>
      </c>
      <c r="CT89" s="47">
        <v>0.45</v>
      </c>
      <c r="CU89" s="47">
        <v>0.45</v>
      </c>
      <c r="CV89" s="47">
        <v>0</v>
      </c>
      <c r="CW89" s="47">
        <v>0</v>
      </c>
      <c r="CX89" s="47">
        <v>0</v>
      </c>
      <c r="CY89" s="47">
        <v>0</v>
      </c>
      <c r="CZ89" s="47">
        <v>0</v>
      </c>
      <c r="DA89" s="47">
        <v>0</v>
      </c>
      <c r="DB89" s="47">
        <v>0</v>
      </c>
      <c r="DC89" s="47">
        <v>0</v>
      </c>
      <c r="DD89" s="47">
        <v>0</v>
      </c>
      <c r="DE89" s="47">
        <v>0</v>
      </c>
      <c r="DF89" s="47">
        <v>0</v>
      </c>
      <c r="DG89" s="47">
        <v>0</v>
      </c>
      <c r="DH89" s="47">
        <v>0</v>
      </c>
      <c r="DI89" s="47">
        <v>0</v>
      </c>
      <c r="DJ89" s="47">
        <v>0</v>
      </c>
      <c r="DK89" s="47">
        <v>0</v>
      </c>
      <c r="DL89" s="47">
        <v>0</v>
      </c>
      <c r="DM89" s="47">
        <v>0</v>
      </c>
      <c r="DN89" s="47">
        <v>0</v>
      </c>
      <c r="DO89" s="47">
        <v>0</v>
      </c>
      <c r="DP89" s="47">
        <v>0</v>
      </c>
      <c r="DQ89" s="47">
        <v>0</v>
      </c>
      <c r="DR89" s="47">
        <v>0</v>
      </c>
    </row>
    <row r="90" spans="1:124" x14ac:dyDescent="0.25">
      <c r="A90" s="47" t="s">
        <v>557</v>
      </c>
      <c r="B90" s="47" t="s">
        <v>151</v>
      </c>
      <c r="C90" s="47" t="s">
        <v>558</v>
      </c>
      <c r="D90" s="47" t="s">
        <v>559</v>
      </c>
      <c r="E90" s="47" t="s">
        <v>560</v>
      </c>
      <c r="F90" s="47" t="s">
        <v>380</v>
      </c>
      <c r="G90" s="47" t="s">
        <v>411</v>
      </c>
      <c r="H90" s="47" t="str">
        <f>=IFERROR(VLOOKUP(A90,'ETPT Format DDG'!A:J,10,FALSE),"")</f>
        <v>0</v>
      </c>
      <c r="I90" s="47" t="str">
        <f>='ETPT Format DDG'!M90</f>
        <v/>
      </c>
      <c r="J90" s="47" t="str">
        <f>='ETPT Format DDG'!D90</f>
        <v/>
      </c>
      <c r="K90" s="47" t="s">
        <v>155</v>
      </c>
      <c r="L90" s="47" t="s">
        <v>561</v>
      </c>
      <c r="M90" s="47"/>
      <c r="N90" s="47">
        <v>1</v>
      </c>
      <c r="O90" s="47">
        <v>0</v>
      </c>
      <c r="P90" s="47">
        <v>0</v>
      </c>
      <c r="Q90" s="47">
        <v>0</v>
      </c>
      <c r="R90" s="47">
        <v>0</v>
      </c>
      <c r="S90" s="47">
        <v>0</v>
      </c>
      <c r="T90" s="47">
        <v>0</v>
      </c>
      <c r="U90" s="47">
        <v>0</v>
      </c>
      <c r="V90" s="47">
        <v>0</v>
      </c>
      <c r="W90" s="47">
        <v>0</v>
      </c>
      <c r="X90" s="47">
        <v>0</v>
      </c>
      <c r="Y90" s="47">
        <v>0</v>
      </c>
      <c r="Z90" s="47">
        <v>0</v>
      </c>
      <c r="AA90" s="47">
        <v>0</v>
      </c>
      <c r="AB90" s="47">
        <v>0</v>
      </c>
      <c r="AC90" s="47">
        <v>0</v>
      </c>
      <c r="AD90" s="47">
        <v>0</v>
      </c>
      <c r="AE90" s="47">
        <v>0</v>
      </c>
      <c r="AF90" s="47">
        <v>0</v>
      </c>
      <c r="AG90" s="47">
        <v>0</v>
      </c>
      <c r="AH90" s="47">
        <v>0</v>
      </c>
      <c r="AI90" s="47">
        <v>0</v>
      </c>
      <c r="AJ90" s="47">
        <v>0</v>
      </c>
      <c r="AK90" s="47">
        <v>0</v>
      </c>
      <c r="AL90" s="47">
        <v>0</v>
      </c>
      <c r="AM90" s="47">
        <v>0</v>
      </c>
      <c r="AN90" s="47">
        <v>0</v>
      </c>
      <c r="AO90" s="47">
        <v>0</v>
      </c>
      <c r="AP90" s="47">
        <v>0</v>
      </c>
      <c r="AQ90" s="47">
        <v>0</v>
      </c>
      <c r="AR90" s="47">
        <v>0</v>
      </c>
      <c r="AS90" s="47">
        <v>0</v>
      </c>
      <c r="AT90" s="47">
        <v>0</v>
      </c>
      <c r="AU90" s="47">
        <v>0</v>
      </c>
      <c r="AV90" s="47">
        <v>0</v>
      </c>
      <c r="AW90" s="47">
        <v>0</v>
      </c>
      <c r="AX90" s="47">
        <v>0</v>
      </c>
      <c r="AY90" s="47">
        <v>0</v>
      </c>
      <c r="AZ90" s="47">
        <v>0</v>
      </c>
      <c r="BA90" s="47">
        <v>0</v>
      </c>
      <c r="BB90" s="47">
        <v>0</v>
      </c>
      <c r="BC90" s="47">
        <v>0</v>
      </c>
      <c r="BD90" s="47">
        <v>0</v>
      </c>
      <c r="BE90" s="47">
        <v>0</v>
      </c>
      <c r="BF90" s="47">
        <v>0</v>
      </c>
      <c r="BG90" s="47">
        <v>0</v>
      </c>
      <c r="BH90" s="47">
        <v>0</v>
      </c>
      <c r="BI90" s="47">
        <v>0</v>
      </c>
      <c r="BJ90" s="47">
        <v>0</v>
      </c>
      <c r="BK90" s="47">
        <v>0</v>
      </c>
      <c r="BL90" s="47">
        <v>0</v>
      </c>
      <c r="BM90" s="47">
        <v>0</v>
      </c>
      <c r="BN90" s="47">
        <v>0</v>
      </c>
      <c r="BO90" s="47">
        <v>0</v>
      </c>
      <c r="BP90" s="47">
        <v>0</v>
      </c>
      <c r="BQ90" s="47">
        <v>0</v>
      </c>
      <c r="BR90" s="47">
        <v>0</v>
      </c>
      <c r="BS90" s="47">
        <v>0</v>
      </c>
      <c r="BT90" s="47">
        <v>0</v>
      </c>
      <c r="BU90" s="47">
        <v>0</v>
      </c>
      <c r="BV90" s="47">
        <v>0</v>
      </c>
      <c r="BW90" s="47">
        <v>0</v>
      </c>
      <c r="BX90" s="47">
        <v>0</v>
      </c>
      <c r="BY90" s="47">
        <v>0</v>
      </c>
      <c r="BZ90" s="47">
        <v>0</v>
      </c>
      <c r="CA90" s="47">
        <v>0</v>
      </c>
      <c r="CB90" s="47">
        <v>0</v>
      </c>
      <c r="CC90" s="47">
        <v>0</v>
      </c>
      <c r="CD90" s="47">
        <v>0</v>
      </c>
      <c r="CE90" s="47">
        <v>0</v>
      </c>
      <c r="CF90" s="47">
        <v>0</v>
      </c>
      <c r="CG90" s="47">
        <v>0</v>
      </c>
      <c r="CH90" s="47">
        <v>0</v>
      </c>
      <c r="CI90" s="47">
        <v>0</v>
      </c>
      <c r="CJ90" s="47">
        <v>0</v>
      </c>
      <c r="CK90" s="47">
        <v>0</v>
      </c>
      <c r="CL90" s="47">
        <v>0</v>
      </c>
      <c r="CM90" s="47">
        <v>0</v>
      </c>
      <c r="CN90" s="47">
        <v>0</v>
      </c>
      <c r="CO90" s="47">
        <v>0</v>
      </c>
      <c r="CP90" s="47">
        <v>0</v>
      </c>
      <c r="CQ90" s="47">
        <v>0</v>
      </c>
      <c r="CR90" s="47">
        <v>0</v>
      </c>
      <c r="CS90" s="47">
        <v>0</v>
      </c>
      <c r="CT90" s="47">
        <v>0</v>
      </c>
      <c r="CU90" s="47">
        <v>0</v>
      </c>
      <c r="CV90" s="47">
        <v>0</v>
      </c>
      <c r="CW90" s="47">
        <v>0</v>
      </c>
      <c r="CX90" s="47">
        <v>0</v>
      </c>
      <c r="CY90" s="47">
        <v>0</v>
      </c>
      <c r="CZ90" s="47">
        <v>0</v>
      </c>
      <c r="DA90" s="47">
        <v>0</v>
      </c>
      <c r="DB90" s="47">
        <v>0</v>
      </c>
      <c r="DC90" s="47">
        <v>0</v>
      </c>
      <c r="DD90" s="47">
        <v>0</v>
      </c>
      <c r="DE90" s="47">
        <v>0</v>
      </c>
      <c r="DF90" s="47">
        <v>0</v>
      </c>
      <c r="DG90" s="47">
        <v>0</v>
      </c>
      <c r="DH90" s="47">
        <v>0</v>
      </c>
      <c r="DI90" s="47">
        <v>0</v>
      </c>
      <c r="DJ90" s="47">
        <v>0</v>
      </c>
      <c r="DK90" s="47">
        <v>0</v>
      </c>
      <c r="DL90" s="47">
        <v>0</v>
      </c>
      <c r="DM90" s="47">
        <v>0</v>
      </c>
      <c r="DN90" s="47">
        <v>0</v>
      </c>
      <c r="DO90" s="47">
        <v>0</v>
      </c>
      <c r="DP90" s="47">
        <v>0</v>
      </c>
      <c r="DQ90" s="47">
        <v>0</v>
      </c>
      <c r="DR90" s="47">
        <v>0</v>
      </c>
    </row>
    <row r="91" spans="1:124" x14ac:dyDescent="0.25">
      <c r="A91" s="47" t="s">
        <v>562</v>
      </c>
      <c r="B91" s="47" t="s">
        <v>151</v>
      </c>
      <c r="C91" s="47" t="s">
        <v>563</v>
      </c>
      <c r="D91" s="47" t="s">
        <v>564</v>
      </c>
      <c r="E91" s="47" t="s">
        <v>565</v>
      </c>
      <c r="F91" s="47" t="s">
        <v>380</v>
      </c>
      <c r="G91" s="47" t="s">
        <v>411</v>
      </c>
      <c r="H91" s="47" t="str">
        <f>=IFERROR(VLOOKUP(A91,'ETPT Format DDG'!A:J,10,FALSE),"")</f>
        <v>0</v>
      </c>
      <c r="I91" s="47" t="str">
        <f>='ETPT Format DDG'!M91</f>
        <v/>
      </c>
      <c r="J91" s="47" t="str">
        <f>='ETPT Format DDG'!D91</f>
        <v/>
      </c>
      <c r="K91" s="47" t="s">
        <v>155</v>
      </c>
      <c r="L91" s="47" t="s">
        <v>400</v>
      </c>
      <c r="M91" s="47"/>
      <c r="N91" s="47">
        <v>1</v>
      </c>
      <c r="O91" s="47">
        <v>1</v>
      </c>
      <c r="P91" s="47">
        <v>0</v>
      </c>
      <c r="Q91" s="47">
        <v>0</v>
      </c>
      <c r="R91" s="47">
        <v>0</v>
      </c>
      <c r="S91" s="47">
        <v>0</v>
      </c>
      <c r="T91" s="47">
        <v>0</v>
      </c>
      <c r="U91" s="47">
        <v>0</v>
      </c>
      <c r="V91" s="47">
        <v>0</v>
      </c>
      <c r="W91" s="47">
        <v>0</v>
      </c>
      <c r="X91" s="47">
        <v>0</v>
      </c>
      <c r="Y91" s="47">
        <v>0</v>
      </c>
      <c r="Z91" s="47">
        <v>0</v>
      </c>
      <c r="AA91" s="47">
        <v>0</v>
      </c>
      <c r="AB91" s="47">
        <v>0</v>
      </c>
      <c r="AC91" s="47">
        <v>0</v>
      </c>
      <c r="AD91" s="47">
        <v>0</v>
      </c>
      <c r="AE91" s="47">
        <v>0</v>
      </c>
      <c r="AF91" s="47">
        <v>0</v>
      </c>
      <c r="AG91" s="47">
        <v>0</v>
      </c>
      <c r="AH91" s="47">
        <v>0</v>
      </c>
      <c r="AI91" s="47">
        <v>0</v>
      </c>
      <c r="AJ91" s="47">
        <v>0</v>
      </c>
      <c r="AK91" s="47">
        <v>0</v>
      </c>
      <c r="AL91" s="47">
        <v>0</v>
      </c>
      <c r="AM91" s="47">
        <v>0</v>
      </c>
      <c r="AN91" s="47">
        <v>0</v>
      </c>
      <c r="AO91" s="47">
        <v>0</v>
      </c>
      <c r="AP91" s="47">
        <v>0</v>
      </c>
      <c r="AQ91" s="47">
        <v>0</v>
      </c>
      <c r="AR91" s="47">
        <v>0</v>
      </c>
      <c r="AS91" s="47">
        <v>0</v>
      </c>
      <c r="AT91" s="47">
        <v>0</v>
      </c>
      <c r="AU91" s="47">
        <v>0</v>
      </c>
      <c r="AV91" s="47">
        <v>0</v>
      </c>
      <c r="AW91" s="47">
        <v>0</v>
      </c>
      <c r="AX91" s="47">
        <v>0</v>
      </c>
      <c r="AY91" s="47">
        <v>0</v>
      </c>
      <c r="AZ91" s="47">
        <v>0</v>
      </c>
      <c r="BA91" s="47">
        <v>0</v>
      </c>
      <c r="BB91" s="47">
        <v>0</v>
      </c>
      <c r="BC91" s="47">
        <v>0</v>
      </c>
      <c r="BD91" s="47">
        <v>0</v>
      </c>
      <c r="BE91" s="47">
        <v>0</v>
      </c>
      <c r="BF91" s="47">
        <v>0</v>
      </c>
      <c r="BG91" s="47">
        <v>0</v>
      </c>
      <c r="BH91" s="47">
        <v>0</v>
      </c>
      <c r="BI91" s="47">
        <v>0</v>
      </c>
      <c r="BJ91" s="47">
        <v>0</v>
      </c>
      <c r="BK91" s="47">
        <v>0</v>
      </c>
      <c r="BL91" s="47">
        <v>0</v>
      </c>
      <c r="BM91" s="47">
        <v>0</v>
      </c>
      <c r="BN91" s="47">
        <v>0</v>
      </c>
      <c r="BO91" s="47">
        <v>0</v>
      </c>
      <c r="BP91" s="47">
        <v>0</v>
      </c>
      <c r="BQ91" s="47">
        <v>0</v>
      </c>
      <c r="BR91" s="47">
        <v>0</v>
      </c>
      <c r="BS91" s="47">
        <v>0</v>
      </c>
      <c r="BT91" s="47">
        <v>0</v>
      </c>
      <c r="BU91" s="47">
        <v>0</v>
      </c>
      <c r="BV91" s="47">
        <v>0</v>
      </c>
      <c r="BW91" s="47">
        <v>0</v>
      </c>
      <c r="BX91" s="47">
        <v>0</v>
      </c>
      <c r="BY91" s="47">
        <v>0</v>
      </c>
      <c r="BZ91" s="47">
        <v>0</v>
      </c>
      <c r="CA91" s="47">
        <v>0</v>
      </c>
      <c r="CB91" s="47">
        <v>0</v>
      </c>
      <c r="CC91" s="47">
        <v>0</v>
      </c>
      <c r="CD91" s="47">
        <v>0</v>
      </c>
      <c r="CE91" s="47">
        <v>0</v>
      </c>
      <c r="CF91" s="47">
        <v>0</v>
      </c>
      <c r="CG91" s="47">
        <v>0</v>
      </c>
      <c r="CH91" s="47">
        <v>0</v>
      </c>
      <c r="CI91" s="47">
        <v>0</v>
      </c>
      <c r="CJ91" s="47">
        <v>0</v>
      </c>
      <c r="CK91" s="47">
        <v>0</v>
      </c>
      <c r="CL91" s="47">
        <v>0</v>
      </c>
      <c r="CM91" s="47">
        <v>0</v>
      </c>
      <c r="CN91" s="47">
        <v>0</v>
      </c>
      <c r="CO91" s="47">
        <v>0</v>
      </c>
      <c r="CP91" s="47">
        <v>0</v>
      </c>
      <c r="CQ91" s="47">
        <v>0</v>
      </c>
      <c r="CR91" s="47">
        <v>0</v>
      </c>
      <c r="CS91" s="47">
        <v>0</v>
      </c>
      <c r="CT91" s="47">
        <v>1</v>
      </c>
      <c r="CU91" s="47">
        <v>0</v>
      </c>
      <c r="CV91" s="47">
        <v>0.0004</v>
      </c>
      <c r="CW91" s="47">
        <v>0</v>
      </c>
      <c r="CX91" s="47">
        <v>0</v>
      </c>
      <c r="CY91" s="47">
        <v>0</v>
      </c>
      <c r="CZ91" s="47">
        <v>0</v>
      </c>
      <c r="DA91" s="47">
        <v>0</v>
      </c>
      <c r="DB91" s="47">
        <v>0</v>
      </c>
      <c r="DC91" s="47">
        <v>0</v>
      </c>
      <c r="DD91" s="47">
        <v>0</v>
      </c>
      <c r="DE91" s="47">
        <v>0.9996</v>
      </c>
      <c r="DF91" s="47">
        <v>0</v>
      </c>
      <c r="DG91" s="47">
        <v>0</v>
      </c>
      <c r="DH91" s="47">
        <v>0</v>
      </c>
      <c r="DI91" s="47">
        <v>0</v>
      </c>
      <c r="DJ91" s="47">
        <v>0</v>
      </c>
      <c r="DK91" s="47">
        <v>0</v>
      </c>
      <c r="DL91" s="47">
        <v>0</v>
      </c>
      <c r="DM91" s="47">
        <v>0</v>
      </c>
      <c r="DN91" s="47">
        <v>0</v>
      </c>
      <c r="DO91" s="47">
        <v>0</v>
      </c>
      <c r="DP91" s="47">
        <v>0</v>
      </c>
      <c r="DQ91" s="47">
        <v>0</v>
      </c>
      <c r="DR91" s="47">
        <v>0</v>
      </c>
    </row>
    <row r="92" spans="1:124" x14ac:dyDescent="0.25">
      <c r="A92" s="47" t="s">
        <v>566</v>
      </c>
      <c r="B92" s="47" t="s">
        <v>151</v>
      </c>
      <c r="C92" s="47" t="s">
        <v>567</v>
      </c>
      <c r="D92" s="47" t="s">
        <v>568</v>
      </c>
      <c r="E92" s="47" t="s">
        <v>569</v>
      </c>
      <c r="F92" s="47" t="s">
        <v>380</v>
      </c>
      <c r="G92" s="47" t="s">
        <v>421</v>
      </c>
      <c r="H92" s="47" t="str">
        <f>=IFERROR(VLOOKUP(A92,'ETPT Format DDG'!A:J,10,FALSE),"")</f>
        <v>0</v>
      </c>
      <c r="I92" s="47" t="str">
        <f>='ETPT Format DDG'!M92</f>
        <v/>
      </c>
      <c r="J92" s="47" t="str">
        <f>='ETPT Format DDG'!D92</f>
        <v/>
      </c>
      <c r="K92" s="47" t="s">
        <v>155</v>
      </c>
      <c r="L92" s="47" t="s">
        <v>475</v>
      </c>
      <c r="M92" s="47" t="s">
        <v>570</v>
      </c>
      <c r="N92" s="47">
        <v>0.0524</v>
      </c>
      <c r="O92" s="47">
        <v>0</v>
      </c>
      <c r="P92" s="47">
        <v>0</v>
      </c>
      <c r="Q92" s="47">
        <v>0</v>
      </c>
      <c r="R92" s="47">
        <v>0</v>
      </c>
      <c r="S92" s="47">
        <v>0</v>
      </c>
      <c r="T92" s="47">
        <v>0</v>
      </c>
      <c r="U92" s="47">
        <v>0</v>
      </c>
      <c r="V92" s="47">
        <v>0</v>
      </c>
      <c r="W92" s="47">
        <v>0</v>
      </c>
      <c r="X92" s="47">
        <v>0</v>
      </c>
      <c r="Y92" s="47">
        <v>0</v>
      </c>
      <c r="Z92" s="47">
        <v>0</v>
      </c>
      <c r="AA92" s="47">
        <v>0</v>
      </c>
      <c r="AB92" s="47">
        <v>0</v>
      </c>
      <c r="AC92" s="47">
        <v>0</v>
      </c>
      <c r="AD92" s="47">
        <v>0</v>
      </c>
      <c r="AE92" s="47">
        <v>0</v>
      </c>
      <c r="AF92" s="47">
        <v>0</v>
      </c>
      <c r="AG92" s="47">
        <v>0</v>
      </c>
      <c r="AH92" s="47">
        <v>0</v>
      </c>
      <c r="AI92" s="47">
        <v>0</v>
      </c>
      <c r="AJ92" s="47">
        <v>0</v>
      </c>
      <c r="AK92" s="47">
        <v>0</v>
      </c>
      <c r="AL92" s="47">
        <v>0</v>
      </c>
      <c r="AM92" s="47">
        <v>0</v>
      </c>
      <c r="AN92" s="47">
        <v>0</v>
      </c>
      <c r="AO92" s="47">
        <v>0</v>
      </c>
      <c r="AP92" s="47">
        <v>0</v>
      </c>
      <c r="AQ92" s="47">
        <v>0</v>
      </c>
      <c r="AR92" s="47">
        <v>0</v>
      </c>
      <c r="AS92" s="47">
        <v>0</v>
      </c>
      <c r="AT92" s="47">
        <v>0</v>
      </c>
      <c r="AU92" s="47">
        <v>0</v>
      </c>
      <c r="AV92" s="47">
        <v>0</v>
      </c>
      <c r="AW92" s="47">
        <v>0</v>
      </c>
      <c r="AX92" s="47">
        <v>0</v>
      </c>
      <c r="AY92" s="47">
        <v>0</v>
      </c>
      <c r="AZ92" s="47">
        <v>0</v>
      </c>
      <c r="BA92" s="47">
        <v>0</v>
      </c>
      <c r="BB92" s="47">
        <v>0</v>
      </c>
      <c r="BC92" s="47">
        <v>0</v>
      </c>
      <c r="BD92" s="47">
        <v>0</v>
      </c>
      <c r="BE92" s="47">
        <v>0</v>
      </c>
      <c r="BF92" s="47">
        <v>0</v>
      </c>
      <c r="BG92" s="47">
        <v>0</v>
      </c>
      <c r="BH92" s="47">
        <v>0</v>
      </c>
      <c r="BI92" s="47">
        <v>0</v>
      </c>
      <c r="BJ92" s="47">
        <v>0</v>
      </c>
      <c r="BK92" s="47">
        <v>0</v>
      </c>
      <c r="BL92" s="47">
        <v>0</v>
      </c>
      <c r="BM92" s="47">
        <v>0</v>
      </c>
      <c r="BN92" s="47">
        <v>0</v>
      </c>
      <c r="BO92" s="47">
        <v>0</v>
      </c>
      <c r="BP92" s="47">
        <v>0</v>
      </c>
      <c r="BQ92" s="47">
        <v>0</v>
      </c>
      <c r="BR92" s="47">
        <v>0</v>
      </c>
      <c r="BS92" s="47">
        <v>0</v>
      </c>
      <c r="BT92" s="47">
        <v>0</v>
      </c>
      <c r="BU92" s="47">
        <v>0</v>
      </c>
      <c r="BV92" s="47">
        <v>0</v>
      </c>
      <c r="BW92" s="47">
        <v>0</v>
      </c>
      <c r="BX92" s="47">
        <v>0</v>
      </c>
      <c r="BY92" s="47">
        <v>0</v>
      </c>
      <c r="BZ92" s="47">
        <v>0</v>
      </c>
      <c r="CA92" s="47">
        <v>0</v>
      </c>
      <c r="CB92" s="47">
        <v>0</v>
      </c>
      <c r="CC92" s="47">
        <v>0</v>
      </c>
      <c r="CD92" s="47">
        <v>0</v>
      </c>
      <c r="CE92" s="47">
        <v>0</v>
      </c>
      <c r="CF92" s="47">
        <v>0</v>
      </c>
      <c r="CG92" s="47">
        <v>0</v>
      </c>
      <c r="CH92" s="47">
        <v>0</v>
      </c>
      <c r="CI92" s="47">
        <v>0</v>
      </c>
      <c r="CJ92" s="47">
        <v>0</v>
      </c>
      <c r="CK92" s="47">
        <v>0</v>
      </c>
      <c r="CL92" s="47">
        <v>0</v>
      </c>
      <c r="CM92" s="47">
        <v>0</v>
      </c>
      <c r="CN92" s="47">
        <v>0</v>
      </c>
      <c r="CO92" s="47">
        <v>0</v>
      </c>
      <c r="CP92" s="47">
        <v>0</v>
      </c>
      <c r="CQ92" s="47">
        <v>0</v>
      </c>
      <c r="CR92" s="47">
        <v>0</v>
      </c>
      <c r="CS92" s="47">
        <v>0</v>
      </c>
      <c r="CT92" s="47">
        <v>0</v>
      </c>
      <c r="CU92" s="47">
        <v>0</v>
      </c>
      <c r="CV92" s="47">
        <v>0</v>
      </c>
      <c r="CW92" s="47">
        <v>0</v>
      </c>
      <c r="CX92" s="47">
        <v>0</v>
      </c>
      <c r="CY92" s="47">
        <v>0</v>
      </c>
      <c r="CZ92" s="47">
        <v>0</v>
      </c>
      <c r="DA92" s="47">
        <v>0</v>
      </c>
      <c r="DB92" s="47">
        <v>0</v>
      </c>
      <c r="DC92" s="47">
        <v>0</v>
      </c>
      <c r="DD92" s="47">
        <v>0</v>
      </c>
      <c r="DE92" s="47">
        <v>0</v>
      </c>
      <c r="DF92" s="47">
        <v>0</v>
      </c>
      <c r="DG92" s="47">
        <v>0</v>
      </c>
      <c r="DH92" s="47">
        <v>0</v>
      </c>
      <c r="DI92" s="47">
        <v>0</v>
      </c>
      <c r="DJ92" s="47">
        <v>0</v>
      </c>
      <c r="DK92" s="47">
        <v>0</v>
      </c>
      <c r="DL92" s="47">
        <v>0</v>
      </c>
      <c r="DM92" s="47">
        <v>0</v>
      </c>
      <c r="DN92" s="47">
        <v>0</v>
      </c>
      <c r="DO92" s="47">
        <v>0</v>
      </c>
      <c r="DP92" s="47">
        <v>0</v>
      </c>
      <c r="DQ92" s="47">
        <v>0</v>
      </c>
      <c r="DR92" s="47">
        <v>0</v>
      </c>
    </row>
    <row r="93" spans="1:124" x14ac:dyDescent="0.25">
      <c r="A93" s="47" t="s">
        <v>571</v>
      </c>
      <c r="B93" s="47" t="s">
        <v>151</v>
      </c>
      <c r="C93" s="47" t="s">
        <v>572</v>
      </c>
      <c r="D93" s="47" t="s">
        <v>573</v>
      </c>
      <c r="E93" s="47" t="s">
        <v>574</v>
      </c>
      <c r="F93" s="47" t="s">
        <v>380</v>
      </c>
      <c r="G93" s="47" t="s">
        <v>411</v>
      </c>
      <c r="H93" s="47" t="str">
        <f>=IFERROR(VLOOKUP(A93,'ETPT Format DDG'!A:J,10,FALSE),"")</f>
        <v>0</v>
      </c>
      <c r="I93" s="47" t="str">
        <f>='ETPT Format DDG'!M93</f>
        <v/>
      </c>
      <c r="J93" s="47" t="str">
        <f>='ETPT Format DDG'!D93</f>
        <v/>
      </c>
      <c r="K93" s="47" t="s">
        <v>155</v>
      </c>
      <c r="L93" s="47" t="s">
        <v>575</v>
      </c>
      <c r="M93" s="47"/>
      <c r="N93" s="47">
        <v>1</v>
      </c>
      <c r="O93" s="47">
        <v>0</v>
      </c>
      <c r="P93" s="47">
        <v>0</v>
      </c>
      <c r="Q93" s="47">
        <v>0</v>
      </c>
      <c r="R93" s="47">
        <v>0</v>
      </c>
      <c r="S93" s="47">
        <v>0</v>
      </c>
      <c r="T93" s="47">
        <v>0</v>
      </c>
      <c r="U93" s="47">
        <v>0</v>
      </c>
      <c r="V93" s="47">
        <v>0</v>
      </c>
      <c r="W93" s="47">
        <v>0</v>
      </c>
      <c r="X93" s="47">
        <v>0</v>
      </c>
      <c r="Y93" s="47">
        <v>0</v>
      </c>
      <c r="Z93" s="47">
        <v>0</v>
      </c>
      <c r="AA93" s="47">
        <v>0</v>
      </c>
      <c r="AB93" s="47">
        <v>0</v>
      </c>
      <c r="AC93" s="47">
        <v>0</v>
      </c>
      <c r="AD93" s="47">
        <v>0</v>
      </c>
      <c r="AE93" s="47">
        <v>0</v>
      </c>
      <c r="AF93" s="47">
        <v>0</v>
      </c>
      <c r="AG93" s="47">
        <v>0</v>
      </c>
      <c r="AH93" s="47">
        <v>0</v>
      </c>
      <c r="AI93" s="47">
        <v>0</v>
      </c>
      <c r="AJ93" s="47">
        <v>0</v>
      </c>
      <c r="AK93" s="47">
        <v>0</v>
      </c>
      <c r="AL93" s="47">
        <v>0</v>
      </c>
      <c r="AM93" s="47">
        <v>0</v>
      </c>
      <c r="AN93" s="47">
        <v>0</v>
      </c>
      <c r="AO93" s="47">
        <v>0</v>
      </c>
      <c r="AP93" s="47">
        <v>0</v>
      </c>
      <c r="AQ93" s="47">
        <v>0</v>
      </c>
      <c r="AR93" s="47">
        <v>0</v>
      </c>
      <c r="AS93" s="47">
        <v>0</v>
      </c>
      <c r="AT93" s="47">
        <v>0</v>
      </c>
      <c r="AU93" s="47">
        <v>0</v>
      </c>
      <c r="AV93" s="47">
        <v>0</v>
      </c>
      <c r="AW93" s="47">
        <v>0</v>
      </c>
      <c r="AX93" s="47">
        <v>0</v>
      </c>
      <c r="AY93" s="47">
        <v>0</v>
      </c>
      <c r="AZ93" s="47">
        <v>0</v>
      </c>
      <c r="BA93" s="47">
        <v>0</v>
      </c>
      <c r="BB93" s="47">
        <v>0</v>
      </c>
      <c r="BC93" s="47">
        <v>0</v>
      </c>
      <c r="BD93" s="47">
        <v>0</v>
      </c>
      <c r="BE93" s="47">
        <v>0</v>
      </c>
      <c r="BF93" s="47">
        <v>0</v>
      </c>
      <c r="BG93" s="47">
        <v>0</v>
      </c>
      <c r="BH93" s="47">
        <v>0</v>
      </c>
      <c r="BI93" s="47">
        <v>0</v>
      </c>
      <c r="BJ93" s="47">
        <v>0</v>
      </c>
      <c r="BK93" s="47">
        <v>0</v>
      </c>
      <c r="BL93" s="47">
        <v>0</v>
      </c>
      <c r="BM93" s="47">
        <v>0</v>
      </c>
      <c r="BN93" s="47">
        <v>0</v>
      </c>
      <c r="BO93" s="47">
        <v>0</v>
      </c>
      <c r="BP93" s="47">
        <v>0</v>
      </c>
      <c r="BQ93" s="47">
        <v>0</v>
      </c>
      <c r="BR93" s="47">
        <v>0</v>
      </c>
      <c r="BS93" s="47">
        <v>0</v>
      </c>
      <c r="BT93" s="47">
        <v>0</v>
      </c>
      <c r="BU93" s="47">
        <v>0</v>
      </c>
      <c r="BV93" s="47">
        <v>0</v>
      </c>
      <c r="BW93" s="47">
        <v>0</v>
      </c>
      <c r="BX93" s="47">
        <v>0</v>
      </c>
      <c r="BY93" s="47">
        <v>0</v>
      </c>
      <c r="BZ93" s="47">
        <v>0</v>
      </c>
      <c r="CA93" s="47">
        <v>0</v>
      </c>
      <c r="CB93" s="47">
        <v>0</v>
      </c>
      <c r="CC93" s="47">
        <v>0</v>
      </c>
      <c r="CD93" s="47">
        <v>0</v>
      </c>
      <c r="CE93" s="47">
        <v>0</v>
      </c>
      <c r="CF93" s="47">
        <v>0</v>
      </c>
      <c r="CG93" s="47">
        <v>0</v>
      </c>
      <c r="CH93" s="47">
        <v>0</v>
      </c>
      <c r="CI93" s="47">
        <v>0</v>
      </c>
      <c r="CJ93" s="47">
        <v>0</v>
      </c>
      <c r="CK93" s="47">
        <v>0</v>
      </c>
      <c r="CL93" s="47">
        <v>0</v>
      </c>
      <c r="CM93" s="47">
        <v>0</v>
      </c>
      <c r="CN93" s="47">
        <v>0</v>
      </c>
      <c r="CO93" s="47">
        <v>0</v>
      </c>
      <c r="CP93" s="47">
        <v>0</v>
      </c>
      <c r="CQ93" s="47">
        <v>0</v>
      </c>
      <c r="CR93" s="47">
        <v>0</v>
      </c>
      <c r="CS93" s="47">
        <v>0</v>
      </c>
      <c r="CT93" s="47">
        <v>0</v>
      </c>
      <c r="CU93" s="47">
        <v>0</v>
      </c>
      <c r="CV93" s="47">
        <v>0</v>
      </c>
      <c r="CW93" s="47">
        <v>0</v>
      </c>
      <c r="CX93" s="47">
        <v>0</v>
      </c>
      <c r="CY93" s="47">
        <v>0</v>
      </c>
      <c r="CZ93" s="47">
        <v>0</v>
      </c>
      <c r="DA93" s="47">
        <v>0</v>
      </c>
      <c r="DB93" s="47">
        <v>0</v>
      </c>
      <c r="DC93" s="47">
        <v>0</v>
      </c>
      <c r="DD93" s="47">
        <v>0</v>
      </c>
      <c r="DE93" s="47">
        <v>0</v>
      </c>
      <c r="DF93" s="47">
        <v>0</v>
      </c>
      <c r="DG93" s="47">
        <v>0</v>
      </c>
      <c r="DH93" s="47">
        <v>0</v>
      </c>
      <c r="DI93" s="47">
        <v>0</v>
      </c>
      <c r="DJ93" s="47">
        <v>0</v>
      </c>
      <c r="DK93" s="47">
        <v>0</v>
      </c>
      <c r="DL93" s="47">
        <v>0</v>
      </c>
      <c r="DM93" s="47">
        <v>0</v>
      </c>
      <c r="DN93" s="47">
        <v>0</v>
      </c>
      <c r="DO93" s="47">
        <v>0</v>
      </c>
      <c r="DP93" s="47">
        <v>0</v>
      </c>
      <c r="DQ93" s="47">
        <v>0</v>
      </c>
      <c r="DR93" s="47">
        <v>0</v>
      </c>
    </row>
    <row r="94" spans="1:124" x14ac:dyDescent="0.25">
      <c r="A94" s="47" t="s">
        <v>576</v>
      </c>
      <c r="B94" s="47" t="s">
        <v>151</v>
      </c>
      <c r="C94" s="47" t="s">
        <v>577</v>
      </c>
      <c r="D94" s="47" t="s">
        <v>578</v>
      </c>
      <c r="E94" s="47" t="s">
        <v>579</v>
      </c>
      <c r="F94" s="47" t="s">
        <v>380</v>
      </c>
      <c r="G94" s="47" t="s">
        <v>580</v>
      </c>
      <c r="H94" s="47" t="str">
        <f>=IFERROR(VLOOKUP(A94,'ETPT Format DDG'!A:J,10,FALSE),"")</f>
        <v>0</v>
      </c>
      <c r="I94" s="47" t="str">
        <f>='ETPT Format DDG'!M94</f>
        <v/>
      </c>
      <c r="J94" s="47" t="str">
        <f>='ETPT Format DDG'!D94</f>
        <v/>
      </c>
      <c r="K94" s="47" t="s">
        <v>155</v>
      </c>
      <c r="L94" s="47" t="s">
        <v>581</v>
      </c>
      <c r="M94" s="47"/>
      <c r="N94" s="47">
        <v>1</v>
      </c>
      <c r="O94" s="47">
        <v>1</v>
      </c>
      <c r="P94" s="47">
        <v>0</v>
      </c>
      <c r="Q94" s="47">
        <v>0</v>
      </c>
      <c r="R94" s="47">
        <v>0</v>
      </c>
      <c r="S94" s="47">
        <v>0</v>
      </c>
      <c r="T94" s="47">
        <v>0</v>
      </c>
      <c r="U94" s="47">
        <v>0</v>
      </c>
      <c r="V94" s="47">
        <v>0</v>
      </c>
      <c r="W94" s="47">
        <v>0</v>
      </c>
      <c r="X94" s="47">
        <v>0</v>
      </c>
      <c r="Y94" s="47">
        <v>0</v>
      </c>
      <c r="Z94" s="47">
        <v>0</v>
      </c>
      <c r="AA94" s="47">
        <v>0</v>
      </c>
      <c r="AB94" s="47">
        <v>0</v>
      </c>
      <c r="AC94" s="47">
        <v>0</v>
      </c>
      <c r="AD94" s="47">
        <v>0</v>
      </c>
      <c r="AE94" s="47">
        <v>0</v>
      </c>
      <c r="AF94" s="47">
        <v>0</v>
      </c>
      <c r="AG94" s="47">
        <v>0</v>
      </c>
      <c r="AH94" s="47">
        <v>0</v>
      </c>
      <c r="AI94" s="47">
        <v>0</v>
      </c>
      <c r="AJ94" s="47">
        <v>0</v>
      </c>
      <c r="AK94" s="47">
        <v>0</v>
      </c>
      <c r="AL94" s="47">
        <v>0</v>
      </c>
      <c r="AM94" s="47">
        <v>0</v>
      </c>
      <c r="AN94" s="47">
        <v>0</v>
      </c>
      <c r="AO94" s="47">
        <v>0</v>
      </c>
      <c r="AP94" s="47">
        <v>0</v>
      </c>
      <c r="AQ94" s="47">
        <v>0</v>
      </c>
      <c r="AR94" s="47">
        <v>0</v>
      </c>
      <c r="AS94" s="47">
        <v>0</v>
      </c>
      <c r="AT94" s="47">
        <v>0</v>
      </c>
      <c r="AU94" s="47">
        <v>0</v>
      </c>
      <c r="AV94" s="47">
        <v>0</v>
      </c>
      <c r="AW94" s="47">
        <v>0</v>
      </c>
      <c r="AX94" s="47">
        <v>0</v>
      </c>
      <c r="AY94" s="47">
        <v>0</v>
      </c>
      <c r="AZ94" s="47">
        <v>0</v>
      </c>
      <c r="BA94" s="47">
        <v>0</v>
      </c>
      <c r="BB94" s="47">
        <v>0</v>
      </c>
      <c r="BC94" s="47">
        <v>0</v>
      </c>
      <c r="BD94" s="47">
        <v>0</v>
      </c>
      <c r="BE94" s="47">
        <v>0</v>
      </c>
      <c r="BF94" s="47">
        <v>0</v>
      </c>
      <c r="BG94" s="47">
        <v>0</v>
      </c>
      <c r="BH94" s="47">
        <v>0</v>
      </c>
      <c r="BI94" s="47">
        <v>0</v>
      </c>
      <c r="BJ94" s="47">
        <v>0</v>
      </c>
      <c r="BK94" s="47">
        <v>0</v>
      </c>
      <c r="BL94" s="47">
        <v>0</v>
      </c>
      <c r="BM94" s="47">
        <v>0</v>
      </c>
      <c r="BN94" s="47">
        <v>0</v>
      </c>
      <c r="BO94" s="47">
        <v>1</v>
      </c>
      <c r="BP94" s="47">
        <v>0</v>
      </c>
      <c r="BQ94" s="47">
        <v>0</v>
      </c>
      <c r="BR94" s="47">
        <v>0</v>
      </c>
      <c r="BS94" s="47">
        <v>0</v>
      </c>
      <c r="BT94" s="47">
        <v>0</v>
      </c>
      <c r="BU94" s="47">
        <v>0</v>
      </c>
      <c r="BV94" s="47">
        <v>0</v>
      </c>
      <c r="BW94" s="47">
        <v>0</v>
      </c>
      <c r="BX94" s="47">
        <v>0</v>
      </c>
      <c r="BY94" s="47">
        <v>0</v>
      </c>
      <c r="BZ94" s="47">
        <v>1</v>
      </c>
      <c r="CA94" s="47">
        <v>0</v>
      </c>
      <c r="CB94" s="47">
        <v>0</v>
      </c>
      <c r="CC94" s="47">
        <v>0</v>
      </c>
      <c r="CD94" s="47">
        <v>0</v>
      </c>
      <c r="CE94" s="47">
        <v>0</v>
      </c>
      <c r="CF94" s="47">
        <v>0</v>
      </c>
      <c r="CG94" s="47">
        <v>0</v>
      </c>
      <c r="CH94" s="47">
        <v>0</v>
      </c>
      <c r="CI94" s="47">
        <v>0</v>
      </c>
      <c r="CJ94" s="47">
        <v>0</v>
      </c>
      <c r="CK94" s="47">
        <v>0</v>
      </c>
      <c r="CL94" s="47">
        <v>0</v>
      </c>
      <c r="CM94" s="47">
        <v>0</v>
      </c>
      <c r="CN94" s="47">
        <v>0</v>
      </c>
      <c r="CO94" s="47">
        <v>0</v>
      </c>
      <c r="CP94" s="47">
        <v>0</v>
      </c>
      <c r="CQ94" s="47">
        <v>0</v>
      </c>
      <c r="CR94" s="47">
        <v>0</v>
      </c>
      <c r="CS94" s="47">
        <v>0</v>
      </c>
      <c r="CT94" s="47">
        <v>0</v>
      </c>
      <c r="CU94" s="47">
        <v>0</v>
      </c>
      <c r="CV94" s="47">
        <v>0</v>
      </c>
      <c r="CW94" s="47">
        <v>0</v>
      </c>
      <c r="CX94" s="47">
        <v>0</v>
      </c>
      <c r="CY94" s="47">
        <v>0</v>
      </c>
      <c r="CZ94" s="47">
        <v>0</v>
      </c>
      <c r="DA94" s="47">
        <v>0</v>
      </c>
      <c r="DB94" s="47">
        <v>0</v>
      </c>
      <c r="DC94" s="47">
        <v>0</v>
      </c>
      <c r="DD94" s="47">
        <v>0</v>
      </c>
      <c r="DE94" s="47">
        <v>0</v>
      </c>
      <c r="DF94" s="47">
        <v>0</v>
      </c>
      <c r="DG94" s="47">
        <v>0</v>
      </c>
      <c r="DH94" s="47">
        <v>0</v>
      </c>
      <c r="DI94" s="47">
        <v>0</v>
      </c>
      <c r="DJ94" s="47">
        <v>0</v>
      </c>
      <c r="DK94" s="47">
        <v>0</v>
      </c>
      <c r="DL94" s="47">
        <v>0</v>
      </c>
      <c r="DM94" s="47">
        <v>0</v>
      </c>
      <c r="DN94" s="47">
        <v>0</v>
      </c>
      <c r="DO94" s="47">
        <v>0</v>
      </c>
      <c r="DP94" s="47">
        <v>0</v>
      </c>
      <c r="DQ94" s="47">
        <v>0</v>
      </c>
      <c r="DR94" s="47">
        <v>0</v>
      </c>
    </row>
    <row r="95" spans="1:124" x14ac:dyDescent="0.25">
      <c r="A95" s="47" t="s">
        <v>582</v>
      </c>
      <c r="B95" s="47" t="s">
        <v>151</v>
      </c>
      <c r="C95" s="47" t="s">
        <v>583</v>
      </c>
      <c r="D95" s="47" t="s">
        <v>584</v>
      </c>
      <c r="E95" s="47" t="s">
        <v>585</v>
      </c>
      <c r="F95" s="47" t="s">
        <v>380</v>
      </c>
      <c r="G95" s="47" t="s">
        <v>586</v>
      </c>
      <c r="H95" s="47" t="str">
        <f>=IFERROR(VLOOKUP(A95,'ETPT Format DDG'!A:J,10,FALSE),"")</f>
        <v>0</v>
      </c>
      <c r="I95" s="47" t="str">
        <f>='ETPT Format DDG'!M95</f>
        <v/>
      </c>
      <c r="J95" s="47" t="str">
        <f>='ETPT Format DDG'!D95</f>
        <v/>
      </c>
      <c r="K95" s="47" t="s">
        <v>155</v>
      </c>
      <c r="L95" s="47" t="s">
        <v>516</v>
      </c>
      <c r="M95" s="47"/>
      <c r="N95" s="47">
        <v>1</v>
      </c>
      <c r="O95" s="47">
        <v>1</v>
      </c>
      <c r="P95" s="47">
        <v>0</v>
      </c>
      <c r="Q95" s="47">
        <v>0</v>
      </c>
      <c r="R95" s="47">
        <v>0</v>
      </c>
      <c r="S95" s="47">
        <v>0</v>
      </c>
      <c r="T95" s="47">
        <v>0</v>
      </c>
      <c r="U95" s="47">
        <v>0</v>
      </c>
      <c r="V95" s="47">
        <v>0</v>
      </c>
      <c r="W95" s="47">
        <v>0</v>
      </c>
      <c r="X95" s="47">
        <v>0</v>
      </c>
      <c r="Y95" s="47">
        <v>0</v>
      </c>
      <c r="Z95" s="47">
        <v>0</v>
      </c>
      <c r="AA95" s="47">
        <v>0</v>
      </c>
      <c r="AB95" s="47">
        <v>0</v>
      </c>
      <c r="AC95" s="47">
        <v>0</v>
      </c>
      <c r="AD95" s="47">
        <v>0</v>
      </c>
      <c r="AE95" s="47">
        <v>0</v>
      </c>
      <c r="AF95" s="47">
        <v>0</v>
      </c>
      <c r="AG95" s="47">
        <v>0</v>
      </c>
      <c r="AH95" s="47">
        <v>0</v>
      </c>
      <c r="AI95" s="47">
        <v>0</v>
      </c>
      <c r="AJ95" s="47">
        <v>0</v>
      </c>
      <c r="AK95" s="47">
        <v>0</v>
      </c>
      <c r="AL95" s="47">
        <v>0</v>
      </c>
      <c r="AM95" s="47">
        <v>0</v>
      </c>
      <c r="AN95" s="47">
        <v>0</v>
      </c>
      <c r="AO95" s="47">
        <v>0</v>
      </c>
      <c r="AP95" s="47">
        <v>0</v>
      </c>
      <c r="AQ95" s="47">
        <v>0</v>
      </c>
      <c r="AR95" s="47">
        <v>0</v>
      </c>
      <c r="AS95" s="47">
        <v>0</v>
      </c>
      <c r="AT95" s="47">
        <v>0</v>
      </c>
      <c r="AU95" s="47">
        <v>0</v>
      </c>
      <c r="AV95" s="47">
        <v>0</v>
      </c>
      <c r="AW95" s="47">
        <v>0</v>
      </c>
      <c r="AX95" s="47">
        <v>0</v>
      </c>
      <c r="AY95" s="47">
        <v>0</v>
      </c>
      <c r="AZ95" s="47">
        <v>0</v>
      </c>
      <c r="BA95" s="47">
        <v>0</v>
      </c>
      <c r="BB95" s="47">
        <v>0</v>
      </c>
      <c r="BC95" s="47">
        <v>0</v>
      </c>
      <c r="BD95" s="47">
        <v>0</v>
      </c>
      <c r="BE95" s="47">
        <v>0</v>
      </c>
      <c r="BF95" s="47">
        <v>0</v>
      </c>
      <c r="BG95" s="47">
        <v>0</v>
      </c>
      <c r="BH95" s="47">
        <v>0</v>
      </c>
      <c r="BI95" s="47">
        <v>0</v>
      </c>
      <c r="BJ95" s="47">
        <v>0</v>
      </c>
      <c r="BK95" s="47">
        <v>0</v>
      </c>
      <c r="BL95" s="47">
        <v>0</v>
      </c>
      <c r="BM95" s="47">
        <v>0</v>
      </c>
      <c r="BN95" s="47">
        <v>0</v>
      </c>
      <c r="BO95" s="47">
        <v>0</v>
      </c>
      <c r="BP95" s="47">
        <v>0</v>
      </c>
      <c r="BQ95" s="47">
        <v>0</v>
      </c>
      <c r="BR95" s="47">
        <v>0</v>
      </c>
      <c r="BS95" s="47">
        <v>0</v>
      </c>
      <c r="BT95" s="47">
        <v>0</v>
      </c>
      <c r="BU95" s="47">
        <v>0</v>
      </c>
      <c r="BV95" s="47">
        <v>0</v>
      </c>
      <c r="BW95" s="47">
        <v>0</v>
      </c>
      <c r="BX95" s="47">
        <v>0</v>
      </c>
      <c r="BY95" s="47">
        <v>0</v>
      </c>
      <c r="BZ95" s="47">
        <v>0</v>
      </c>
      <c r="CA95" s="47">
        <v>0</v>
      </c>
      <c r="CB95" s="47">
        <v>0</v>
      </c>
      <c r="CC95" s="47">
        <v>0</v>
      </c>
      <c r="CD95" s="47">
        <v>0</v>
      </c>
      <c r="CE95" s="47">
        <v>0</v>
      </c>
      <c r="CF95" s="47">
        <v>0</v>
      </c>
      <c r="CG95" s="47">
        <v>0</v>
      </c>
      <c r="CH95" s="47">
        <v>0</v>
      </c>
      <c r="CI95" s="47">
        <v>0</v>
      </c>
      <c r="CJ95" s="47">
        <v>0</v>
      </c>
      <c r="CK95" s="47">
        <v>0</v>
      </c>
      <c r="CL95" s="47">
        <v>0</v>
      </c>
      <c r="CM95" s="47">
        <v>0</v>
      </c>
      <c r="CN95" s="47">
        <v>0</v>
      </c>
      <c r="CO95" s="47">
        <v>0</v>
      </c>
      <c r="CP95" s="47">
        <v>0</v>
      </c>
      <c r="CQ95" s="47">
        <v>0</v>
      </c>
      <c r="CR95" s="47">
        <v>0</v>
      </c>
      <c r="CS95" s="47">
        <v>0</v>
      </c>
      <c r="CT95" s="47">
        <v>1</v>
      </c>
      <c r="CU95" s="47">
        <v>0</v>
      </c>
      <c r="CV95" s="47">
        <v>0</v>
      </c>
      <c r="CW95" s="47">
        <v>0</v>
      </c>
      <c r="CX95" s="47">
        <v>0</v>
      </c>
      <c r="CY95" s="47">
        <v>0</v>
      </c>
      <c r="CZ95" s="47">
        <v>0</v>
      </c>
      <c r="DA95" s="47">
        <v>0</v>
      </c>
      <c r="DB95" s="47">
        <v>0</v>
      </c>
      <c r="DC95" s="47">
        <v>0</v>
      </c>
      <c r="DD95" s="47">
        <v>0</v>
      </c>
      <c r="DE95" s="47">
        <v>1</v>
      </c>
      <c r="DF95" s="47">
        <v>0</v>
      </c>
      <c r="DG95" s="47">
        <v>0</v>
      </c>
      <c r="DH95" s="47">
        <v>0</v>
      </c>
      <c r="DI95" s="47">
        <v>0</v>
      </c>
      <c r="DJ95" s="47">
        <v>0</v>
      </c>
      <c r="DK95" s="47">
        <v>0</v>
      </c>
      <c r="DL95" s="47">
        <v>0</v>
      </c>
      <c r="DM95" s="47">
        <v>0</v>
      </c>
      <c r="DN95" s="47">
        <v>0</v>
      </c>
      <c r="DO95" s="47">
        <v>0</v>
      </c>
      <c r="DP95" s="47">
        <v>0</v>
      </c>
      <c r="DQ95" s="47">
        <v>0</v>
      </c>
      <c r="DR95" s="47">
        <v>0</v>
      </c>
    </row>
    <row r="96" spans="1:124" x14ac:dyDescent="0.25">
      <c r="A96" s="47" t="s">
        <v>587</v>
      </c>
      <c r="B96" s="47" t="s">
        <v>151</v>
      </c>
      <c r="C96" s="47" t="s">
        <v>588</v>
      </c>
      <c r="D96" s="47" t="s">
        <v>589</v>
      </c>
      <c r="E96" s="47" t="s">
        <v>590</v>
      </c>
      <c r="F96" s="47" t="s">
        <v>380</v>
      </c>
      <c r="G96" s="47" t="s">
        <v>411</v>
      </c>
      <c r="H96" s="47" t="str">
        <f>=IFERROR(VLOOKUP(A96,'ETPT Format DDG'!A:J,10,FALSE),"")</f>
        <v>0</v>
      </c>
      <c r="I96" s="47" t="str">
        <f>='ETPT Format DDG'!M96</f>
        <v/>
      </c>
      <c r="J96" s="47" t="str">
        <f>='ETPT Format DDG'!D96</f>
        <v/>
      </c>
      <c r="K96" s="47" t="s">
        <v>155</v>
      </c>
      <c r="L96" s="47" t="s">
        <v>591</v>
      </c>
      <c r="M96" s="47"/>
      <c r="N96" s="47">
        <v>1</v>
      </c>
      <c r="O96" s="47">
        <v>1</v>
      </c>
      <c r="P96" s="47">
        <v>0</v>
      </c>
      <c r="Q96" s="47">
        <v>0</v>
      </c>
      <c r="R96" s="47">
        <v>0</v>
      </c>
      <c r="S96" s="47">
        <v>0</v>
      </c>
      <c r="T96" s="47">
        <v>0</v>
      </c>
      <c r="U96" s="47">
        <v>0</v>
      </c>
      <c r="V96" s="47">
        <v>0</v>
      </c>
      <c r="W96" s="47">
        <v>0</v>
      </c>
      <c r="X96" s="47">
        <v>0</v>
      </c>
      <c r="Y96" s="47">
        <v>0</v>
      </c>
      <c r="Z96" s="47">
        <v>0</v>
      </c>
      <c r="AA96" s="47">
        <v>0</v>
      </c>
      <c r="AB96" s="47">
        <v>0</v>
      </c>
      <c r="AC96" s="47">
        <v>0</v>
      </c>
      <c r="AD96" s="47">
        <v>0</v>
      </c>
      <c r="AE96" s="47">
        <v>0</v>
      </c>
      <c r="AF96" s="47">
        <v>0</v>
      </c>
      <c r="AG96" s="47">
        <v>0</v>
      </c>
      <c r="AH96" s="47">
        <v>0</v>
      </c>
      <c r="AI96" s="47">
        <v>0</v>
      </c>
      <c r="AJ96" s="47">
        <v>0</v>
      </c>
      <c r="AK96" s="47">
        <v>0</v>
      </c>
      <c r="AL96" s="47">
        <v>0</v>
      </c>
      <c r="AM96" s="47">
        <v>0</v>
      </c>
      <c r="AN96" s="47">
        <v>0</v>
      </c>
      <c r="AO96" s="47">
        <v>0</v>
      </c>
      <c r="AP96" s="47">
        <v>0</v>
      </c>
      <c r="AQ96" s="47">
        <v>0</v>
      </c>
      <c r="AR96" s="47">
        <v>0</v>
      </c>
      <c r="AS96" s="47">
        <v>0</v>
      </c>
      <c r="AT96" s="47">
        <v>0</v>
      </c>
      <c r="AU96" s="47">
        <v>0</v>
      </c>
      <c r="AV96" s="47">
        <v>0</v>
      </c>
      <c r="AW96" s="47">
        <v>0</v>
      </c>
      <c r="AX96" s="47">
        <v>0</v>
      </c>
      <c r="AY96" s="47">
        <v>0</v>
      </c>
      <c r="AZ96" s="47">
        <v>0</v>
      </c>
      <c r="BA96" s="47">
        <v>0</v>
      </c>
      <c r="BB96" s="47">
        <v>0</v>
      </c>
      <c r="BC96" s="47">
        <v>0</v>
      </c>
      <c r="BD96" s="47">
        <v>0</v>
      </c>
      <c r="BE96" s="47">
        <v>0</v>
      </c>
      <c r="BF96" s="47">
        <v>0</v>
      </c>
      <c r="BG96" s="47">
        <v>0</v>
      </c>
      <c r="BH96" s="47">
        <v>0</v>
      </c>
      <c r="BI96" s="47">
        <v>0</v>
      </c>
      <c r="BJ96" s="47">
        <v>0</v>
      </c>
      <c r="BK96" s="47">
        <v>0</v>
      </c>
      <c r="BL96" s="47">
        <v>0</v>
      </c>
      <c r="BM96" s="47">
        <v>0</v>
      </c>
      <c r="BN96" s="47">
        <v>0</v>
      </c>
      <c r="BO96" s="47">
        <v>0</v>
      </c>
      <c r="BP96" s="47">
        <v>0</v>
      </c>
      <c r="BQ96" s="47">
        <v>0</v>
      </c>
      <c r="BR96" s="47">
        <v>0</v>
      </c>
      <c r="BS96" s="47">
        <v>0</v>
      </c>
      <c r="BT96" s="47">
        <v>0</v>
      </c>
      <c r="BU96" s="47">
        <v>0</v>
      </c>
      <c r="BV96" s="47">
        <v>0</v>
      </c>
      <c r="BW96" s="47">
        <v>0</v>
      </c>
      <c r="BX96" s="47">
        <v>0</v>
      </c>
      <c r="BY96" s="47">
        <v>0</v>
      </c>
      <c r="BZ96" s="47">
        <v>0</v>
      </c>
      <c r="CA96" s="47">
        <v>0</v>
      </c>
      <c r="CB96" s="47">
        <v>0</v>
      </c>
      <c r="CC96" s="47">
        <v>0</v>
      </c>
      <c r="CD96" s="47">
        <v>0</v>
      </c>
      <c r="CE96" s="47">
        <v>0</v>
      </c>
      <c r="CF96" s="47">
        <v>0</v>
      </c>
      <c r="CG96" s="47">
        <v>0</v>
      </c>
      <c r="CH96" s="47">
        <v>0</v>
      </c>
      <c r="CI96" s="47">
        <v>0</v>
      </c>
      <c r="CJ96" s="47">
        <v>0</v>
      </c>
      <c r="CK96" s="47">
        <v>0</v>
      </c>
      <c r="CL96" s="47">
        <v>0</v>
      </c>
      <c r="CM96" s="47">
        <v>0</v>
      </c>
      <c r="CN96" s="47">
        <v>0</v>
      </c>
      <c r="CO96" s="47">
        <v>0</v>
      </c>
      <c r="CP96" s="47">
        <v>0</v>
      </c>
      <c r="CQ96" s="47">
        <v>0</v>
      </c>
      <c r="CR96" s="47">
        <v>0</v>
      </c>
      <c r="CS96" s="47">
        <v>0</v>
      </c>
      <c r="CT96" s="47">
        <v>1</v>
      </c>
      <c r="CU96" s="47">
        <v>1</v>
      </c>
      <c r="CV96" s="47">
        <v>0</v>
      </c>
      <c r="CW96" s="47">
        <v>0</v>
      </c>
      <c r="CX96" s="47">
        <v>0</v>
      </c>
      <c r="CY96" s="47">
        <v>0</v>
      </c>
      <c r="CZ96" s="47">
        <v>0</v>
      </c>
      <c r="DA96" s="47">
        <v>0</v>
      </c>
      <c r="DB96" s="47">
        <v>0</v>
      </c>
      <c r="DC96" s="47">
        <v>0</v>
      </c>
      <c r="DD96" s="47">
        <v>0</v>
      </c>
      <c r="DE96" s="47">
        <v>0</v>
      </c>
      <c r="DF96" s="47">
        <v>0</v>
      </c>
      <c r="DG96" s="47">
        <v>0</v>
      </c>
      <c r="DH96" s="47">
        <v>0</v>
      </c>
      <c r="DI96" s="47">
        <v>0</v>
      </c>
      <c r="DJ96" s="47">
        <v>0</v>
      </c>
      <c r="DK96" s="47">
        <v>0</v>
      </c>
      <c r="DL96" s="47">
        <v>0</v>
      </c>
      <c r="DM96" s="47">
        <v>0</v>
      </c>
      <c r="DN96" s="47">
        <v>0</v>
      </c>
      <c r="DO96" s="47">
        <v>0</v>
      </c>
      <c r="DP96" s="47">
        <v>0</v>
      </c>
      <c r="DQ96" s="47">
        <v>0</v>
      </c>
      <c r="DR96" s="47">
        <v>0</v>
      </c>
    </row>
    <row r="97" spans="1:124" x14ac:dyDescent="0.25">
      <c r="A97" s="47" t="s">
        <v>592</v>
      </c>
      <c r="B97" s="47" t="s">
        <v>151</v>
      </c>
      <c r="C97" s="47" t="s">
        <v>593</v>
      </c>
      <c r="D97" s="47" t="s">
        <v>594</v>
      </c>
      <c r="E97" s="47" t="s">
        <v>595</v>
      </c>
      <c r="F97" s="47" t="s">
        <v>380</v>
      </c>
      <c r="G97" s="47" t="s">
        <v>411</v>
      </c>
      <c r="H97" s="47" t="str">
        <f>=IFERROR(VLOOKUP(A97,'ETPT Format DDG'!A:J,10,FALSE),"")</f>
        <v>0</v>
      </c>
      <c r="I97" s="47" t="str">
        <f>='ETPT Format DDG'!M97</f>
        <v/>
      </c>
      <c r="J97" s="47" t="str">
        <f>='ETPT Format DDG'!D97</f>
        <v/>
      </c>
      <c r="K97" s="47" t="s">
        <v>155</v>
      </c>
      <c r="L97" s="47" t="s">
        <v>596</v>
      </c>
      <c r="M97" s="47"/>
      <c r="N97" s="47">
        <v>1</v>
      </c>
      <c r="O97" s="47">
        <v>0</v>
      </c>
      <c r="P97" s="47">
        <v>0</v>
      </c>
      <c r="Q97" s="47">
        <v>0</v>
      </c>
      <c r="R97" s="47">
        <v>0</v>
      </c>
      <c r="S97" s="47">
        <v>0</v>
      </c>
      <c r="T97" s="47">
        <v>0</v>
      </c>
      <c r="U97" s="47">
        <v>0</v>
      </c>
      <c r="V97" s="47">
        <v>0</v>
      </c>
      <c r="W97" s="47">
        <v>0</v>
      </c>
      <c r="X97" s="47">
        <v>0</v>
      </c>
      <c r="Y97" s="47">
        <v>0</v>
      </c>
      <c r="Z97" s="47">
        <v>0</v>
      </c>
      <c r="AA97" s="47">
        <v>0</v>
      </c>
      <c r="AB97" s="47">
        <v>0</v>
      </c>
      <c r="AC97" s="47">
        <v>0</v>
      </c>
      <c r="AD97" s="47">
        <v>0</v>
      </c>
      <c r="AE97" s="47">
        <v>0</v>
      </c>
      <c r="AF97" s="47">
        <v>0</v>
      </c>
      <c r="AG97" s="47">
        <v>0</v>
      </c>
      <c r="AH97" s="47">
        <v>0</v>
      </c>
      <c r="AI97" s="47">
        <v>0</v>
      </c>
      <c r="AJ97" s="47">
        <v>0</v>
      </c>
      <c r="AK97" s="47">
        <v>0</v>
      </c>
      <c r="AL97" s="47">
        <v>0</v>
      </c>
      <c r="AM97" s="47">
        <v>0</v>
      </c>
      <c r="AN97" s="47">
        <v>0</v>
      </c>
      <c r="AO97" s="47">
        <v>0</v>
      </c>
      <c r="AP97" s="47">
        <v>0</v>
      </c>
      <c r="AQ97" s="47">
        <v>0</v>
      </c>
      <c r="AR97" s="47">
        <v>0</v>
      </c>
      <c r="AS97" s="47">
        <v>0</v>
      </c>
      <c r="AT97" s="47">
        <v>0</v>
      </c>
      <c r="AU97" s="47">
        <v>0</v>
      </c>
      <c r="AV97" s="47">
        <v>0</v>
      </c>
      <c r="AW97" s="47">
        <v>0</v>
      </c>
      <c r="AX97" s="47">
        <v>0</v>
      </c>
      <c r="AY97" s="47">
        <v>0</v>
      </c>
      <c r="AZ97" s="47">
        <v>0</v>
      </c>
      <c r="BA97" s="47">
        <v>0</v>
      </c>
      <c r="BB97" s="47">
        <v>0</v>
      </c>
      <c r="BC97" s="47">
        <v>0</v>
      </c>
      <c r="BD97" s="47">
        <v>0</v>
      </c>
      <c r="BE97" s="47">
        <v>0</v>
      </c>
      <c r="BF97" s="47">
        <v>0</v>
      </c>
      <c r="BG97" s="47">
        <v>0</v>
      </c>
      <c r="BH97" s="47">
        <v>0</v>
      </c>
      <c r="BI97" s="47">
        <v>0</v>
      </c>
      <c r="BJ97" s="47">
        <v>0</v>
      </c>
      <c r="BK97" s="47">
        <v>0</v>
      </c>
      <c r="BL97" s="47">
        <v>0</v>
      </c>
      <c r="BM97" s="47">
        <v>0</v>
      </c>
      <c r="BN97" s="47">
        <v>0</v>
      </c>
      <c r="BO97" s="47">
        <v>0</v>
      </c>
      <c r="BP97" s="47">
        <v>0</v>
      </c>
      <c r="BQ97" s="47">
        <v>0</v>
      </c>
      <c r="BR97" s="47">
        <v>0</v>
      </c>
      <c r="BS97" s="47">
        <v>0</v>
      </c>
      <c r="BT97" s="47">
        <v>0</v>
      </c>
      <c r="BU97" s="47">
        <v>0</v>
      </c>
      <c r="BV97" s="47">
        <v>0</v>
      </c>
      <c r="BW97" s="47">
        <v>0</v>
      </c>
      <c r="BX97" s="47">
        <v>0</v>
      </c>
      <c r="BY97" s="47">
        <v>0</v>
      </c>
      <c r="BZ97" s="47">
        <v>0</v>
      </c>
      <c r="CA97" s="47">
        <v>0</v>
      </c>
      <c r="CB97" s="47">
        <v>0</v>
      </c>
      <c r="CC97" s="47">
        <v>0</v>
      </c>
      <c r="CD97" s="47">
        <v>0</v>
      </c>
      <c r="CE97" s="47">
        <v>0</v>
      </c>
      <c r="CF97" s="47">
        <v>0</v>
      </c>
      <c r="CG97" s="47">
        <v>0</v>
      </c>
      <c r="CH97" s="47">
        <v>0</v>
      </c>
      <c r="CI97" s="47">
        <v>0</v>
      </c>
      <c r="CJ97" s="47">
        <v>0</v>
      </c>
      <c r="CK97" s="47">
        <v>0</v>
      </c>
      <c r="CL97" s="47">
        <v>0</v>
      </c>
      <c r="CM97" s="47">
        <v>0</v>
      </c>
      <c r="CN97" s="47">
        <v>0</v>
      </c>
      <c r="CO97" s="47">
        <v>0</v>
      </c>
      <c r="CP97" s="47">
        <v>0</v>
      </c>
      <c r="CQ97" s="47">
        <v>0</v>
      </c>
      <c r="CR97" s="47">
        <v>0</v>
      </c>
      <c r="CS97" s="47">
        <v>0</v>
      </c>
      <c r="CT97" s="47">
        <v>0</v>
      </c>
      <c r="CU97" s="47">
        <v>0</v>
      </c>
      <c r="CV97" s="47">
        <v>0</v>
      </c>
      <c r="CW97" s="47">
        <v>0</v>
      </c>
      <c r="CX97" s="47">
        <v>0</v>
      </c>
      <c r="CY97" s="47">
        <v>0</v>
      </c>
      <c r="CZ97" s="47">
        <v>0</v>
      </c>
      <c r="DA97" s="47">
        <v>0</v>
      </c>
      <c r="DB97" s="47">
        <v>0</v>
      </c>
      <c r="DC97" s="47">
        <v>0</v>
      </c>
      <c r="DD97" s="47">
        <v>0</v>
      </c>
      <c r="DE97" s="47">
        <v>0</v>
      </c>
      <c r="DF97" s="47">
        <v>0</v>
      </c>
      <c r="DG97" s="47">
        <v>0</v>
      </c>
      <c r="DH97" s="47">
        <v>0</v>
      </c>
      <c r="DI97" s="47">
        <v>0</v>
      </c>
      <c r="DJ97" s="47">
        <v>0</v>
      </c>
      <c r="DK97" s="47">
        <v>0</v>
      </c>
      <c r="DL97" s="47">
        <v>0</v>
      </c>
      <c r="DM97" s="47">
        <v>0</v>
      </c>
      <c r="DN97" s="47">
        <v>0</v>
      </c>
      <c r="DO97" s="47">
        <v>0</v>
      </c>
      <c r="DP97" s="47">
        <v>0</v>
      </c>
      <c r="DQ97" s="47">
        <v>0</v>
      </c>
      <c r="DR97" s="47">
        <v>0</v>
      </c>
    </row>
    <row r="98" spans="1:124" x14ac:dyDescent="0.25">
      <c r="A98" s="47" t="s">
        <v>597</v>
      </c>
      <c r="B98" s="47" t="s">
        <v>151</v>
      </c>
      <c r="C98" s="47" t="s">
        <v>598</v>
      </c>
      <c r="D98" s="47" t="s">
        <v>599</v>
      </c>
      <c r="E98" s="47" t="s">
        <v>600</v>
      </c>
      <c r="F98" s="47" t="s">
        <v>380</v>
      </c>
      <c r="G98" s="47" t="s">
        <v>381</v>
      </c>
      <c r="H98" s="47" t="str">
        <f>=IFERROR(VLOOKUP(A98,'ETPT Format DDG'!A:J,10,FALSE),"")</f>
        <v>0</v>
      </c>
      <c r="I98" s="47" t="str">
        <f>='ETPT Format DDG'!M98</f>
        <v/>
      </c>
      <c r="J98" s="47" t="str">
        <f>='ETPT Format DDG'!D98</f>
        <v/>
      </c>
      <c r="K98" s="47" t="s">
        <v>155</v>
      </c>
      <c r="L98" s="47" t="s">
        <v>601</v>
      </c>
      <c r="M98" s="47"/>
      <c r="N98" s="47">
        <v>1</v>
      </c>
      <c r="O98" s="47">
        <v>0</v>
      </c>
      <c r="P98" s="47">
        <v>0</v>
      </c>
      <c r="Q98" s="47">
        <v>0</v>
      </c>
      <c r="R98" s="47">
        <v>0</v>
      </c>
      <c r="S98" s="47">
        <v>0</v>
      </c>
      <c r="T98" s="47">
        <v>0</v>
      </c>
      <c r="U98" s="47">
        <v>0</v>
      </c>
      <c r="V98" s="47">
        <v>0</v>
      </c>
      <c r="W98" s="47">
        <v>0</v>
      </c>
      <c r="X98" s="47">
        <v>0</v>
      </c>
      <c r="Y98" s="47">
        <v>0</v>
      </c>
      <c r="Z98" s="47">
        <v>0</v>
      </c>
      <c r="AA98" s="47">
        <v>0</v>
      </c>
      <c r="AB98" s="47">
        <v>0</v>
      </c>
      <c r="AC98" s="47">
        <v>0</v>
      </c>
      <c r="AD98" s="47">
        <v>0</v>
      </c>
      <c r="AE98" s="47">
        <v>0</v>
      </c>
      <c r="AF98" s="47">
        <v>0</v>
      </c>
      <c r="AG98" s="47">
        <v>0</v>
      </c>
      <c r="AH98" s="47">
        <v>0</v>
      </c>
      <c r="AI98" s="47">
        <v>0</v>
      </c>
      <c r="AJ98" s="47">
        <v>0</v>
      </c>
      <c r="AK98" s="47">
        <v>0</v>
      </c>
      <c r="AL98" s="47">
        <v>0</v>
      </c>
      <c r="AM98" s="47">
        <v>0</v>
      </c>
      <c r="AN98" s="47">
        <v>0</v>
      </c>
      <c r="AO98" s="47">
        <v>0</v>
      </c>
      <c r="AP98" s="47">
        <v>0</v>
      </c>
      <c r="AQ98" s="47">
        <v>0</v>
      </c>
      <c r="AR98" s="47">
        <v>0</v>
      </c>
      <c r="AS98" s="47">
        <v>0</v>
      </c>
      <c r="AT98" s="47">
        <v>0</v>
      </c>
      <c r="AU98" s="47">
        <v>0</v>
      </c>
      <c r="AV98" s="47">
        <v>0</v>
      </c>
      <c r="AW98" s="47">
        <v>0</v>
      </c>
      <c r="AX98" s="47">
        <v>0</v>
      </c>
      <c r="AY98" s="47">
        <v>0</v>
      </c>
      <c r="AZ98" s="47">
        <v>0</v>
      </c>
      <c r="BA98" s="47">
        <v>0</v>
      </c>
      <c r="BB98" s="47">
        <v>0</v>
      </c>
      <c r="BC98" s="47">
        <v>0</v>
      </c>
      <c r="BD98" s="47">
        <v>0</v>
      </c>
      <c r="BE98" s="47">
        <v>0</v>
      </c>
      <c r="BF98" s="47">
        <v>0</v>
      </c>
      <c r="BG98" s="47">
        <v>0</v>
      </c>
      <c r="BH98" s="47">
        <v>0</v>
      </c>
      <c r="BI98" s="47">
        <v>0</v>
      </c>
      <c r="BJ98" s="47">
        <v>0</v>
      </c>
      <c r="BK98" s="47">
        <v>0</v>
      </c>
      <c r="BL98" s="47">
        <v>0</v>
      </c>
      <c r="BM98" s="47">
        <v>0</v>
      </c>
      <c r="BN98" s="47">
        <v>0</v>
      </c>
      <c r="BO98" s="47">
        <v>0</v>
      </c>
      <c r="BP98" s="47">
        <v>0</v>
      </c>
      <c r="BQ98" s="47">
        <v>0</v>
      </c>
      <c r="BR98" s="47">
        <v>0</v>
      </c>
      <c r="BS98" s="47">
        <v>0</v>
      </c>
      <c r="BT98" s="47">
        <v>0</v>
      </c>
      <c r="BU98" s="47">
        <v>0</v>
      </c>
      <c r="BV98" s="47">
        <v>0</v>
      </c>
      <c r="BW98" s="47">
        <v>0</v>
      </c>
      <c r="BX98" s="47">
        <v>0</v>
      </c>
      <c r="BY98" s="47">
        <v>0</v>
      </c>
      <c r="BZ98" s="47">
        <v>0</v>
      </c>
      <c r="CA98" s="47">
        <v>0</v>
      </c>
      <c r="CB98" s="47">
        <v>0</v>
      </c>
      <c r="CC98" s="47">
        <v>0</v>
      </c>
      <c r="CD98" s="47">
        <v>0</v>
      </c>
      <c r="CE98" s="47">
        <v>0</v>
      </c>
      <c r="CF98" s="47">
        <v>0</v>
      </c>
      <c r="CG98" s="47">
        <v>0</v>
      </c>
      <c r="CH98" s="47">
        <v>0</v>
      </c>
      <c r="CI98" s="47">
        <v>0</v>
      </c>
      <c r="CJ98" s="47">
        <v>0</v>
      </c>
      <c r="CK98" s="47">
        <v>0</v>
      </c>
      <c r="CL98" s="47">
        <v>0</v>
      </c>
      <c r="CM98" s="47">
        <v>0</v>
      </c>
      <c r="CN98" s="47">
        <v>0</v>
      </c>
      <c r="CO98" s="47">
        <v>0</v>
      </c>
      <c r="CP98" s="47">
        <v>0</v>
      </c>
      <c r="CQ98" s="47">
        <v>0</v>
      </c>
      <c r="CR98" s="47">
        <v>0</v>
      </c>
      <c r="CS98" s="47">
        <v>0</v>
      </c>
      <c r="CT98" s="47">
        <v>0</v>
      </c>
      <c r="CU98" s="47">
        <v>0</v>
      </c>
      <c r="CV98" s="47">
        <v>0</v>
      </c>
      <c r="CW98" s="47">
        <v>0</v>
      </c>
      <c r="CX98" s="47">
        <v>0</v>
      </c>
      <c r="CY98" s="47">
        <v>0</v>
      </c>
      <c r="CZ98" s="47">
        <v>0</v>
      </c>
      <c r="DA98" s="47">
        <v>0</v>
      </c>
      <c r="DB98" s="47">
        <v>0</v>
      </c>
      <c r="DC98" s="47">
        <v>0</v>
      </c>
      <c r="DD98" s="47">
        <v>0</v>
      </c>
      <c r="DE98" s="47">
        <v>0</v>
      </c>
      <c r="DF98" s="47">
        <v>0</v>
      </c>
      <c r="DG98" s="47">
        <v>0</v>
      </c>
      <c r="DH98" s="47">
        <v>0</v>
      </c>
      <c r="DI98" s="47">
        <v>0</v>
      </c>
      <c r="DJ98" s="47">
        <v>0</v>
      </c>
      <c r="DK98" s="47">
        <v>0</v>
      </c>
      <c r="DL98" s="47">
        <v>0</v>
      </c>
      <c r="DM98" s="47">
        <v>0</v>
      </c>
      <c r="DN98" s="47">
        <v>0</v>
      </c>
      <c r="DO98" s="47">
        <v>0</v>
      </c>
      <c r="DP98" s="47">
        <v>0</v>
      </c>
      <c r="DQ98" s="47">
        <v>0</v>
      </c>
      <c r="DR98" s="47">
        <v>0</v>
      </c>
    </row>
    <row r="99" spans="1:124" x14ac:dyDescent="0.25">
      <c r="A99" s="47" t="s">
        <v>602</v>
      </c>
      <c r="B99" s="47" t="s">
        <v>151</v>
      </c>
      <c r="C99" s="47" t="s">
        <v>603</v>
      </c>
      <c r="D99" s="47" t="s">
        <v>604</v>
      </c>
      <c r="E99" s="47" t="s">
        <v>605</v>
      </c>
      <c r="F99" s="47" t="s">
        <v>380</v>
      </c>
      <c r="G99" s="47" t="s">
        <v>381</v>
      </c>
      <c r="H99" s="47" t="str">
        <f>=IFERROR(VLOOKUP(A99,'ETPT Format DDG'!A:J,10,FALSE),"")</f>
        <v>0</v>
      </c>
      <c r="I99" s="47" t="str">
        <f>='ETPT Format DDG'!M99</f>
        <v/>
      </c>
      <c r="J99" s="47" t="str">
        <f>='ETPT Format DDG'!D99</f>
        <v/>
      </c>
      <c r="K99" s="47" t="s">
        <v>155</v>
      </c>
      <c r="L99" s="47" t="s">
        <v>606</v>
      </c>
      <c r="M99" s="47"/>
      <c r="N99" s="47">
        <v>1</v>
      </c>
      <c r="O99" s="47">
        <v>1</v>
      </c>
      <c r="P99" s="47">
        <v>0</v>
      </c>
      <c r="Q99" s="47">
        <v>0</v>
      </c>
      <c r="R99" s="47">
        <v>0</v>
      </c>
      <c r="S99" s="47">
        <v>0</v>
      </c>
      <c r="T99" s="47">
        <v>0</v>
      </c>
      <c r="U99" s="47">
        <v>0</v>
      </c>
      <c r="V99" s="47">
        <v>0</v>
      </c>
      <c r="W99" s="47">
        <v>0</v>
      </c>
      <c r="X99" s="47">
        <v>0</v>
      </c>
      <c r="Y99" s="47">
        <v>0</v>
      </c>
      <c r="Z99" s="47">
        <v>0</v>
      </c>
      <c r="AA99" s="47">
        <v>0</v>
      </c>
      <c r="AB99" s="47">
        <v>0</v>
      </c>
      <c r="AC99" s="47">
        <v>0</v>
      </c>
      <c r="AD99" s="47">
        <v>0</v>
      </c>
      <c r="AE99" s="47">
        <v>0</v>
      </c>
      <c r="AF99" s="47">
        <v>0</v>
      </c>
      <c r="AG99" s="47">
        <v>0</v>
      </c>
      <c r="AH99" s="47">
        <v>0</v>
      </c>
      <c r="AI99" s="47">
        <v>0</v>
      </c>
      <c r="AJ99" s="47">
        <v>0</v>
      </c>
      <c r="AK99" s="47">
        <v>0</v>
      </c>
      <c r="AL99" s="47">
        <v>0</v>
      </c>
      <c r="AM99" s="47">
        <v>0</v>
      </c>
      <c r="AN99" s="47">
        <v>0</v>
      </c>
      <c r="AO99" s="47">
        <v>0</v>
      </c>
      <c r="AP99" s="47">
        <v>0</v>
      </c>
      <c r="AQ99" s="47">
        <v>0</v>
      </c>
      <c r="AR99" s="47">
        <v>0</v>
      </c>
      <c r="AS99" s="47">
        <v>0</v>
      </c>
      <c r="AT99" s="47">
        <v>0</v>
      </c>
      <c r="AU99" s="47">
        <v>0</v>
      </c>
      <c r="AV99" s="47">
        <v>0</v>
      </c>
      <c r="AW99" s="47">
        <v>0</v>
      </c>
      <c r="AX99" s="47">
        <v>0</v>
      </c>
      <c r="AY99" s="47">
        <v>0</v>
      </c>
      <c r="AZ99" s="47">
        <v>0</v>
      </c>
      <c r="BA99" s="47">
        <v>0</v>
      </c>
      <c r="BB99" s="47">
        <v>0</v>
      </c>
      <c r="BC99" s="47">
        <v>0</v>
      </c>
      <c r="BD99" s="47">
        <v>0</v>
      </c>
      <c r="BE99" s="47">
        <v>0</v>
      </c>
      <c r="BF99" s="47">
        <v>0</v>
      </c>
      <c r="BG99" s="47">
        <v>0</v>
      </c>
      <c r="BH99" s="47">
        <v>0</v>
      </c>
      <c r="BI99" s="47">
        <v>0</v>
      </c>
      <c r="BJ99" s="47">
        <v>0</v>
      </c>
      <c r="BK99" s="47">
        <v>0</v>
      </c>
      <c r="BL99" s="47">
        <v>0</v>
      </c>
      <c r="BM99" s="47">
        <v>0</v>
      </c>
      <c r="BN99" s="47">
        <v>0</v>
      </c>
      <c r="BO99" s="47">
        <v>0</v>
      </c>
      <c r="BP99" s="47">
        <v>0</v>
      </c>
      <c r="BQ99" s="47">
        <v>0</v>
      </c>
      <c r="BR99" s="47">
        <v>0</v>
      </c>
      <c r="BS99" s="47">
        <v>0</v>
      </c>
      <c r="BT99" s="47">
        <v>0</v>
      </c>
      <c r="BU99" s="47">
        <v>0</v>
      </c>
      <c r="BV99" s="47">
        <v>0</v>
      </c>
      <c r="BW99" s="47">
        <v>0</v>
      </c>
      <c r="BX99" s="47">
        <v>0</v>
      </c>
      <c r="BY99" s="47">
        <v>0</v>
      </c>
      <c r="BZ99" s="47">
        <v>0</v>
      </c>
      <c r="CA99" s="47">
        <v>0</v>
      </c>
      <c r="CB99" s="47">
        <v>0</v>
      </c>
      <c r="CC99" s="47">
        <v>0</v>
      </c>
      <c r="CD99" s="47">
        <v>0</v>
      </c>
      <c r="CE99" s="47">
        <v>0</v>
      </c>
      <c r="CF99" s="47">
        <v>0</v>
      </c>
      <c r="CG99" s="47">
        <v>0</v>
      </c>
      <c r="CH99" s="47">
        <v>0</v>
      </c>
      <c r="CI99" s="47">
        <v>0</v>
      </c>
      <c r="CJ99" s="47">
        <v>0</v>
      </c>
      <c r="CK99" s="47">
        <v>0</v>
      </c>
      <c r="CL99" s="47">
        <v>0</v>
      </c>
      <c r="CM99" s="47">
        <v>0</v>
      </c>
      <c r="CN99" s="47">
        <v>0</v>
      </c>
      <c r="CO99" s="47">
        <v>0</v>
      </c>
      <c r="CP99" s="47">
        <v>0</v>
      </c>
      <c r="CQ99" s="47">
        <v>0</v>
      </c>
      <c r="CR99" s="47">
        <v>0</v>
      </c>
      <c r="CS99" s="47">
        <v>0</v>
      </c>
      <c r="CT99" s="47">
        <v>1</v>
      </c>
      <c r="CU99" s="47">
        <v>0</v>
      </c>
      <c r="CV99" s="47">
        <v>0</v>
      </c>
      <c r="CW99" s="47">
        <v>0</v>
      </c>
      <c r="CX99" s="47">
        <v>1</v>
      </c>
      <c r="CY99" s="47">
        <v>0</v>
      </c>
      <c r="CZ99" s="47">
        <v>0</v>
      </c>
      <c r="DA99" s="47">
        <v>0</v>
      </c>
      <c r="DB99" s="47">
        <v>0</v>
      </c>
      <c r="DC99" s="47">
        <v>0</v>
      </c>
      <c r="DD99" s="47">
        <v>0</v>
      </c>
      <c r="DE99" s="47">
        <v>0</v>
      </c>
      <c r="DF99" s="47">
        <v>0</v>
      </c>
      <c r="DG99" s="47">
        <v>0</v>
      </c>
      <c r="DH99" s="47">
        <v>0</v>
      </c>
      <c r="DI99" s="47">
        <v>0</v>
      </c>
      <c r="DJ99" s="47">
        <v>0</v>
      </c>
      <c r="DK99" s="47">
        <v>0</v>
      </c>
      <c r="DL99" s="47">
        <v>0</v>
      </c>
      <c r="DM99" s="47">
        <v>0</v>
      </c>
      <c r="DN99" s="47">
        <v>0</v>
      </c>
      <c r="DO99" s="47">
        <v>0</v>
      </c>
      <c r="DP99" s="47">
        <v>0</v>
      </c>
      <c r="DQ99" s="47">
        <v>0</v>
      </c>
      <c r="DR99" s="47">
        <v>0</v>
      </c>
    </row>
    <row r="100" spans="1:124" x14ac:dyDescent="0.25">
      <c r="A100" s="47" t="s">
        <v>607</v>
      </c>
      <c r="B100" s="47" t="s">
        <v>151</v>
      </c>
      <c r="C100" s="47" t="s">
        <v>608</v>
      </c>
      <c r="D100" s="47" t="s">
        <v>609</v>
      </c>
      <c r="E100" s="47" t="s">
        <v>610</v>
      </c>
      <c r="F100" s="47" t="s">
        <v>380</v>
      </c>
      <c r="G100" s="47" t="s">
        <v>411</v>
      </c>
      <c r="H100" s="47" t="str">
        <f>=IFERROR(VLOOKUP(A100,'ETPT Format DDG'!A:J,10,FALSE),"")</f>
        <v>0</v>
      </c>
      <c r="I100" s="47" t="str">
        <f>='ETPT Format DDG'!M100</f>
        <v/>
      </c>
      <c r="J100" s="47" t="str">
        <f>='ETPT Format DDG'!D100</f>
        <v/>
      </c>
      <c r="K100" s="47" t="s">
        <v>155</v>
      </c>
      <c r="L100" s="47" t="s">
        <v>257</v>
      </c>
      <c r="M100" s="47"/>
      <c r="N100" s="47">
        <v>1</v>
      </c>
      <c r="O100" s="47">
        <v>0</v>
      </c>
      <c r="P100" s="47">
        <v>0</v>
      </c>
      <c r="Q100" s="47">
        <v>0</v>
      </c>
      <c r="R100" s="47">
        <v>0</v>
      </c>
      <c r="S100" s="47">
        <v>0</v>
      </c>
      <c r="T100" s="47">
        <v>0</v>
      </c>
      <c r="U100" s="47">
        <v>0</v>
      </c>
      <c r="V100" s="47">
        <v>0</v>
      </c>
      <c r="W100" s="47">
        <v>0</v>
      </c>
      <c r="X100" s="47">
        <v>0</v>
      </c>
      <c r="Y100" s="47">
        <v>0</v>
      </c>
      <c r="Z100" s="47">
        <v>0</v>
      </c>
      <c r="AA100" s="47">
        <v>0</v>
      </c>
      <c r="AB100" s="47">
        <v>0</v>
      </c>
      <c r="AC100" s="47">
        <v>0</v>
      </c>
      <c r="AD100" s="47">
        <v>0</v>
      </c>
      <c r="AE100" s="47">
        <v>0</v>
      </c>
      <c r="AF100" s="47">
        <v>0</v>
      </c>
      <c r="AG100" s="47">
        <v>0</v>
      </c>
      <c r="AH100" s="47">
        <v>0</v>
      </c>
      <c r="AI100" s="47">
        <v>0</v>
      </c>
      <c r="AJ100" s="47">
        <v>0</v>
      </c>
      <c r="AK100" s="47">
        <v>0</v>
      </c>
      <c r="AL100" s="47">
        <v>0</v>
      </c>
      <c r="AM100" s="47">
        <v>0</v>
      </c>
      <c r="AN100" s="47">
        <v>0</v>
      </c>
      <c r="AO100" s="47">
        <v>0</v>
      </c>
      <c r="AP100" s="47">
        <v>0</v>
      </c>
      <c r="AQ100" s="47">
        <v>0</v>
      </c>
      <c r="AR100" s="47">
        <v>0</v>
      </c>
      <c r="AS100" s="47">
        <v>0</v>
      </c>
      <c r="AT100" s="47">
        <v>0</v>
      </c>
      <c r="AU100" s="47">
        <v>0</v>
      </c>
      <c r="AV100" s="47">
        <v>0</v>
      </c>
      <c r="AW100" s="47">
        <v>0</v>
      </c>
      <c r="AX100" s="47">
        <v>0</v>
      </c>
      <c r="AY100" s="47">
        <v>0</v>
      </c>
      <c r="AZ100" s="47">
        <v>0</v>
      </c>
      <c r="BA100" s="47">
        <v>0</v>
      </c>
      <c r="BB100" s="47">
        <v>0</v>
      </c>
      <c r="BC100" s="47">
        <v>0</v>
      </c>
      <c r="BD100" s="47">
        <v>0</v>
      </c>
      <c r="BE100" s="47">
        <v>0</v>
      </c>
      <c r="BF100" s="47">
        <v>0</v>
      </c>
      <c r="BG100" s="47">
        <v>0</v>
      </c>
      <c r="BH100" s="47">
        <v>0</v>
      </c>
      <c r="BI100" s="47">
        <v>0</v>
      </c>
      <c r="BJ100" s="47">
        <v>0</v>
      </c>
      <c r="BK100" s="47">
        <v>0</v>
      </c>
      <c r="BL100" s="47">
        <v>0</v>
      </c>
      <c r="BM100" s="47">
        <v>0</v>
      </c>
      <c r="BN100" s="47">
        <v>0</v>
      </c>
      <c r="BO100" s="47">
        <v>0</v>
      </c>
      <c r="BP100" s="47">
        <v>0</v>
      </c>
      <c r="BQ100" s="47">
        <v>0</v>
      </c>
      <c r="BR100" s="47">
        <v>0</v>
      </c>
      <c r="BS100" s="47">
        <v>0</v>
      </c>
      <c r="BT100" s="47">
        <v>0</v>
      </c>
      <c r="BU100" s="47">
        <v>0</v>
      </c>
      <c r="BV100" s="47">
        <v>0</v>
      </c>
      <c r="BW100" s="47">
        <v>0</v>
      </c>
      <c r="BX100" s="47">
        <v>0</v>
      </c>
      <c r="BY100" s="47">
        <v>0</v>
      </c>
      <c r="BZ100" s="47">
        <v>0</v>
      </c>
      <c r="CA100" s="47">
        <v>0</v>
      </c>
      <c r="CB100" s="47">
        <v>0</v>
      </c>
      <c r="CC100" s="47">
        <v>0</v>
      </c>
      <c r="CD100" s="47">
        <v>0</v>
      </c>
      <c r="CE100" s="47">
        <v>0</v>
      </c>
      <c r="CF100" s="47">
        <v>0</v>
      </c>
      <c r="CG100" s="47">
        <v>0</v>
      </c>
      <c r="CH100" s="47">
        <v>0</v>
      </c>
      <c r="CI100" s="47">
        <v>0</v>
      </c>
      <c r="CJ100" s="47">
        <v>0</v>
      </c>
      <c r="CK100" s="47">
        <v>0</v>
      </c>
      <c r="CL100" s="47">
        <v>0</v>
      </c>
      <c r="CM100" s="47">
        <v>0</v>
      </c>
      <c r="CN100" s="47">
        <v>0</v>
      </c>
      <c r="CO100" s="47">
        <v>0</v>
      </c>
      <c r="CP100" s="47">
        <v>0</v>
      </c>
      <c r="CQ100" s="47">
        <v>0</v>
      </c>
      <c r="CR100" s="47">
        <v>0</v>
      </c>
      <c r="CS100" s="47">
        <v>0</v>
      </c>
      <c r="CT100" s="47">
        <v>0</v>
      </c>
      <c r="CU100" s="47">
        <v>0</v>
      </c>
      <c r="CV100" s="47">
        <v>0</v>
      </c>
      <c r="CW100" s="47">
        <v>0</v>
      </c>
      <c r="CX100" s="47">
        <v>0</v>
      </c>
      <c r="CY100" s="47">
        <v>0</v>
      </c>
      <c r="CZ100" s="47">
        <v>0</v>
      </c>
      <c r="DA100" s="47">
        <v>0</v>
      </c>
      <c r="DB100" s="47">
        <v>0</v>
      </c>
      <c r="DC100" s="47">
        <v>0</v>
      </c>
      <c r="DD100" s="47">
        <v>0</v>
      </c>
      <c r="DE100" s="47">
        <v>0</v>
      </c>
      <c r="DF100" s="47">
        <v>0</v>
      </c>
      <c r="DG100" s="47">
        <v>0</v>
      </c>
      <c r="DH100" s="47">
        <v>0</v>
      </c>
      <c r="DI100" s="47">
        <v>0</v>
      </c>
      <c r="DJ100" s="47">
        <v>0</v>
      </c>
      <c r="DK100" s="47">
        <v>0</v>
      </c>
      <c r="DL100" s="47">
        <v>0</v>
      </c>
      <c r="DM100" s="47">
        <v>0</v>
      </c>
      <c r="DN100" s="47">
        <v>0</v>
      </c>
      <c r="DO100" s="47">
        <v>0</v>
      </c>
      <c r="DP100" s="47">
        <v>0</v>
      </c>
      <c r="DQ100" s="47">
        <v>0</v>
      </c>
      <c r="DR100" s="47">
        <v>0</v>
      </c>
    </row>
    <row r="101" spans="1:124" x14ac:dyDescent="0.25">
      <c r="A101" s="47" t="s">
        <v>611</v>
      </c>
      <c r="B101" s="47" t="s">
        <v>151</v>
      </c>
      <c r="C101" s="47" t="s">
        <v>612</v>
      </c>
      <c r="D101" s="47" t="s">
        <v>613</v>
      </c>
      <c r="E101" s="47" t="s">
        <v>614</v>
      </c>
      <c r="F101" s="47" t="s">
        <v>380</v>
      </c>
      <c r="G101" s="47" t="s">
        <v>411</v>
      </c>
      <c r="H101" s="47" t="str">
        <f>=IFERROR(VLOOKUP(A101,'ETPT Format DDG'!A:J,10,FALSE),"")</f>
        <v>0</v>
      </c>
      <c r="I101" s="47" t="str">
        <f>='ETPT Format DDG'!M101</f>
        <v/>
      </c>
      <c r="J101" s="47" t="str">
        <f>='ETPT Format DDG'!D101</f>
        <v/>
      </c>
      <c r="K101" s="47" t="s">
        <v>155</v>
      </c>
      <c r="L101" s="47" t="s">
        <v>615</v>
      </c>
      <c r="M101" s="47"/>
      <c r="N101" s="47">
        <v>1</v>
      </c>
      <c r="O101" s="47">
        <v>1</v>
      </c>
      <c r="P101" s="47">
        <v>0</v>
      </c>
      <c r="Q101" s="47">
        <v>0</v>
      </c>
      <c r="R101" s="47">
        <v>0</v>
      </c>
      <c r="S101" s="47">
        <v>0</v>
      </c>
      <c r="T101" s="47">
        <v>0</v>
      </c>
      <c r="U101" s="47">
        <v>0</v>
      </c>
      <c r="V101" s="47">
        <v>0</v>
      </c>
      <c r="W101" s="47">
        <v>0</v>
      </c>
      <c r="X101" s="47">
        <v>0</v>
      </c>
      <c r="Y101" s="47">
        <v>0</v>
      </c>
      <c r="Z101" s="47">
        <v>0</v>
      </c>
      <c r="AA101" s="47">
        <v>0</v>
      </c>
      <c r="AB101" s="47">
        <v>0</v>
      </c>
      <c r="AC101" s="47">
        <v>0</v>
      </c>
      <c r="AD101" s="47">
        <v>0</v>
      </c>
      <c r="AE101" s="47">
        <v>0</v>
      </c>
      <c r="AF101" s="47">
        <v>0</v>
      </c>
      <c r="AG101" s="47">
        <v>0</v>
      </c>
      <c r="AH101" s="47">
        <v>0</v>
      </c>
      <c r="AI101" s="47">
        <v>0</v>
      </c>
      <c r="AJ101" s="47">
        <v>0</v>
      </c>
      <c r="AK101" s="47">
        <v>0</v>
      </c>
      <c r="AL101" s="47">
        <v>0</v>
      </c>
      <c r="AM101" s="47">
        <v>0</v>
      </c>
      <c r="AN101" s="47">
        <v>0</v>
      </c>
      <c r="AO101" s="47">
        <v>0</v>
      </c>
      <c r="AP101" s="47">
        <v>0</v>
      </c>
      <c r="AQ101" s="47">
        <v>0</v>
      </c>
      <c r="AR101" s="47">
        <v>0</v>
      </c>
      <c r="AS101" s="47">
        <v>0</v>
      </c>
      <c r="AT101" s="47">
        <v>0</v>
      </c>
      <c r="AU101" s="47">
        <v>0</v>
      </c>
      <c r="AV101" s="47">
        <v>0</v>
      </c>
      <c r="AW101" s="47">
        <v>0</v>
      </c>
      <c r="AX101" s="47">
        <v>0</v>
      </c>
      <c r="AY101" s="47">
        <v>0</v>
      </c>
      <c r="AZ101" s="47">
        <v>0</v>
      </c>
      <c r="BA101" s="47">
        <v>0</v>
      </c>
      <c r="BB101" s="47">
        <v>0</v>
      </c>
      <c r="BC101" s="47">
        <v>0</v>
      </c>
      <c r="BD101" s="47">
        <v>0</v>
      </c>
      <c r="BE101" s="47">
        <v>0</v>
      </c>
      <c r="BF101" s="47">
        <v>0</v>
      </c>
      <c r="BG101" s="47">
        <v>0</v>
      </c>
      <c r="BH101" s="47">
        <v>0</v>
      </c>
      <c r="BI101" s="47">
        <v>0</v>
      </c>
      <c r="BJ101" s="47">
        <v>0</v>
      </c>
      <c r="BK101" s="47">
        <v>0</v>
      </c>
      <c r="BL101" s="47">
        <v>0</v>
      </c>
      <c r="BM101" s="47">
        <v>0</v>
      </c>
      <c r="BN101" s="47">
        <v>0</v>
      </c>
      <c r="BO101" s="47">
        <v>0</v>
      </c>
      <c r="BP101" s="47">
        <v>0</v>
      </c>
      <c r="BQ101" s="47">
        <v>0</v>
      </c>
      <c r="BR101" s="47">
        <v>0</v>
      </c>
      <c r="BS101" s="47">
        <v>0</v>
      </c>
      <c r="BT101" s="47">
        <v>0</v>
      </c>
      <c r="BU101" s="47">
        <v>0</v>
      </c>
      <c r="BV101" s="47">
        <v>0</v>
      </c>
      <c r="BW101" s="47">
        <v>0</v>
      </c>
      <c r="BX101" s="47">
        <v>0</v>
      </c>
      <c r="BY101" s="47">
        <v>0</v>
      </c>
      <c r="BZ101" s="47">
        <v>0</v>
      </c>
      <c r="CA101" s="47">
        <v>0</v>
      </c>
      <c r="CB101" s="47">
        <v>0</v>
      </c>
      <c r="CC101" s="47">
        <v>0</v>
      </c>
      <c r="CD101" s="47">
        <v>0</v>
      </c>
      <c r="CE101" s="47">
        <v>0</v>
      </c>
      <c r="CF101" s="47">
        <v>0</v>
      </c>
      <c r="CG101" s="47">
        <v>0</v>
      </c>
      <c r="CH101" s="47">
        <v>0</v>
      </c>
      <c r="CI101" s="47">
        <v>0</v>
      </c>
      <c r="CJ101" s="47">
        <v>0</v>
      </c>
      <c r="CK101" s="47">
        <v>0</v>
      </c>
      <c r="CL101" s="47">
        <v>0</v>
      </c>
      <c r="CM101" s="47">
        <v>0</v>
      </c>
      <c r="CN101" s="47">
        <v>0</v>
      </c>
      <c r="CO101" s="47">
        <v>0</v>
      </c>
      <c r="CP101" s="47">
        <v>0</v>
      </c>
      <c r="CQ101" s="47">
        <v>0</v>
      </c>
      <c r="CR101" s="47">
        <v>0</v>
      </c>
      <c r="CS101" s="47">
        <v>0</v>
      </c>
      <c r="CT101" s="47">
        <v>1</v>
      </c>
      <c r="CU101" s="47">
        <v>0</v>
      </c>
      <c r="CV101" s="47">
        <v>0</v>
      </c>
      <c r="CW101" s="47">
        <v>0</v>
      </c>
      <c r="CX101" s="47">
        <v>1</v>
      </c>
      <c r="CY101" s="47">
        <v>0</v>
      </c>
      <c r="CZ101" s="47">
        <v>0</v>
      </c>
      <c r="DA101" s="47">
        <v>0</v>
      </c>
      <c r="DB101" s="47">
        <v>0</v>
      </c>
      <c r="DC101" s="47">
        <v>0</v>
      </c>
      <c r="DD101" s="47">
        <v>0</v>
      </c>
      <c r="DE101" s="47">
        <v>0</v>
      </c>
      <c r="DF101" s="47">
        <v>0</v>
      </c>
      <c r="DG101" s="47">
        <v>0</v>
      </c>
      <c r="DH101" s="47">
        <v>0</v>
      </c>
      <c r="DI101" s="47">
        <v>0</v>
      </c>
      <c r="DJ101" s="47">
        <v>0</v>
      </c>
      <c r="DK101" s="47">
        <v>0</v>
      </c>
      <c r="DL101" s="47">
        <v>0</v>
      </c>
      <c r="DM101" s="47">
        <v>0</v>
      </c>
      <c r="DN101" s="47">
        <v>0</v>
      </c>
      <c r="DO101" s="47">
        <v>0</v>
      </c>
      <c r="DP101" s="47">
        <v>0</v>
      </c>
      <c r="DQ101" s="47">
        <v>0</v>
      </c>
      <c r="DR101" s="47">
        <v>0</v>
      </c>
    </row>
    <row r="102" spans="1:124" x14ac:dyDescent="0.25">
      <c r="A102" s="47" t="s">
        <v>616</v>
      </c>
      <c r="B102" s="47" t="s">
        <v>151</v>
      </c>
      <c r="C102" s="47" t="s">
        <v>617</v>
      </c>
      <c r="D102" s="47" t="s">
        <v>618</v>
      </c>
      <c r="E102" s="47" t="s">
        <v>404</v>
      </c>
      <c r="F102" s="47" t="s">
        <v>380</v>
      </c>
      <c r="G102" s="47" t="s">
        <v>411</v>
      </c>
      <c r="H102" s="47" t="str">
        <f>=IFERROR(VLOOKUP(A102,'ETPT Format DDG'!A:J,10,FALSE),"")</f>
        <v>0</v>
      </c>
      <c r="I102" s="47" t="str">
        <f>='ETPT Format DDG'!M102</f>
        <v/>
      </c>
      <c r="J102" s="47" t="str">
        <f>='ETPT Format DDG'!D102</f>
        <v/>
      </c>
      <c r="K102" s="47" t="s">
        <v>155</v>
      </c>
      <c r="L102" s="47" t="s">
        <v>619</v>
      </c>
      <c r="M102" s="47"/>
      <c r="N102" s="47">
        <v>1</v>
      </c>
      <c r="O102" s="47">
        <v>1</v>
      </c>
      <c r="P102" s="47">
        <v>0</v>
      </c>
      <c r="Q102" s="47">
        <v>0</v>
      </c>
      <c r="R102" s="47">
        <v>0</v>
      </c>
      <c r="S102" s="47">
        <v>0</v>
      </c>
      <c r="T102" s="47">
        <v>0</v>
      </c>
      <c r="U102" s="47">
        <v>0</v>
      </c>
      <c r="V102" s="47">
        <v>0</v>
      </c>
      <c r="W102" s="47">
        <v>0</v>
      </c>
      <c r="X102" s="47">
        <v>0</v>
      </c>
      <c r="Y102" s="47">
        <v>0</v>
      </c>
      <c r="Z102" s="47">
        <v>0</v>
      </c>
      <c r="AA102" s="47">
        <v>0</v>
      </c>
      <c r="AB102" s="47">
        <v>0</v>
      </c>
      <c r="AC102" s="47">
        <v>0</v>
      </c>
      <c r="AD102" s="47">
        <v>0</v>
      </c>
      <c r="AE102" s="47">
        <v>0</v>
      </c>
      <c r="AF102" s="47">
        <v>0</v>
      </c>
      <c r="AG102" s="47">
        <v>0</v>
      </c>
      <c r="AH102" s="47">
        <v>0</v>
      </c>
      <c r="AI102" s="47">
        <v>0</v>
      </c>
      <c r="AJ102" s="47">
        <v>0</v>
      </c>
      <c r="AK102" s="47">
        <v>0</v>
      </c>
      <c r="AL102" s="47">
        <v>0</v>
      </c>
      <c r="AM102" s="47">
        <v>0</v>
      </c>
      <c r="AN102" s="47">
        <v>0</v>
      </c>
      <c r="AO102" s="47">
        <v>0</v>
      </c>
      <c r="AP102" s="47">
        <v>0</v>
      </c>
      <c r="AQ102" s="47">
        <v>0</v>
      </c>
      <c r="AR102" s="47">
        <v>0</v>
      </c>
      <c r="AS102" s="47">
        <v>0</v>
      </c>
      <c r="AT102" s="47">
        <v>0</v>
      </c>
      <c r="AU102" s="47">
        <v>0</v>
      </c>
      <c r="AV102" s="47">
        <v>0</v>
      </c>
      <c r="AW102" s="47">
        <v>0</v>
      </c>
      <c r="AX102" s="47">
        <v>0</v>
      </c>
      <c r="AY102" s="47">
        <v>0</v>
      </c>
      <c r="AZ102" s="47">
        <v>0</v>
      </c>
      <c r="BA102" s="47">
        <v>0</v>
      </c>
      <c r="BB102" s="47">
        <v>0</v>
      </c>
      <c r="BC102" s="47">
        <v>0</v>
      </c>
      <c r="BD102" s="47">
        <v>0</v>
      </c>
      <c r="BE102" s="47">
        <v>0</v>
      </c>
      <c r="BF102" s="47">
        <v>0</v>
      </c>
      <c r="BG102" s="47">
        <v>0</v>
      </c>
      <c r="BH102" s="47">
        <v>0</v>
      </c>
      <c r="BI102" s="47">
        <v>0</v>
      </c>
      <c r="BJ102" s="47">
        <v>0</v>
      </c>
      <c r="BK102" s="47">
        <v>0</v>
      </c>
      <c r="BL102" s="47">
        <v>0</v>
      </c>
      <c r="BM102" s="47">
        <v>0</v>
      </c>
      <c r="BN102" s="47">
        <v>0</v>
      </c>
      <c r="BO102" s="47">
        <v>1</v>
      </c>
      <c r="BP102" s="47">
        <v>0</v>
      </c>
      <c r="BQ102" s="47">
        <v>0</v>
      </c>
      <c r="BR102" s="47">
        <v>0</v>
      </c>
      <c r="BS102" s="47">
        <v>0</v>
      </c>
      <c r="BT102" s="47">
        <v>0</v>
      </c>
      <c r="BU102" s="47">
        <v>0</v>
      </c>
      <c r="BV102" s="47">
        <v>0</v>
      </c>
      <c r="BW102" s="47">
        <v>0</v>
      </c>
      <c r="BX102" s="47">
        <v>0</v>
      </c>
      <c r="BY102" s="47">
        <v>0</v>
      </c>
      <c r="BZ102" s="47">
        <v>0</v>
      </c>
      <c r="CA102" s="47">
        <v>0</v>
      </c>
      <c r="CB102" s="47">
        <v>0</v>
      </c>
      <c r="CC102" s="47">
        <v>0</v>
      </c>
      <c r="CD102" s="47">
        <v>0</v>
      </c>
      <c r="CE102" s="47">
        <v>0</v>
      </c>
      <c r="CF102" s="47">
        <v>0</v>
      </c>
      <c r="CG102" s="47">
        <v>0</v>
      </c>
      <c r="CH102" s="47">
        <v>0</v>
      </c>
      <c r="CI102" s="47">
        <v>0</v>
      </c>
      <c r="CJ102" s="47">
        <v>0</v>
      </c>
      <c r="CK102" s="47">
        <v>0</v>
      </c>
      <c r="CL102" s="47">
        <v>0</v>
      </c>
      <c r="CM102" s="47">
        <v>0</v>
      </c>
      <c r="CN102" s="47">
        <v>0</v>
      </c>
      <c r="CO102" s="47">
        <v>0</v>
      </c>
      <c r="CP102" s="47">
        <v>0</v>
      </c>
      <c r="CQ102" s="47">
        <v>0</v>
      </c>
      <c r="CR102" s="47">
        <v>0</v>
      </c>
      <c r="CS102" s="47">
        <v>0</v>
      </c>
      <c r="CT102" s="47">
        <v>0</v>
      </c>
      <c r="CU102" s="47">
        <v>0</v>
      </c>
      <c r="CV102" s="47">
        <v>0</v>
      </c>
      <c r="CW102" s="47">
        <v>0</v>
      </c>
      <c r="CX102" s="47">
        <v>0</v>
      </c>
      <c r="CY102" s="47">
        <v>0</v>
      </c>
      <c r="CZ102" s="47">
        <v>0</v>
      </c>
      <c r="DA102" s="47">
        <v>0</v>
      </c>
      <c r="DB102" s="47">
        <v>0</v>
      </c>
      <c r="DC102" s="47">
        <v>0</v>
      </c>
      <c r="DD102" s="47">
        <v>0</v>
      </c>
      <c r="DE102" s="47">
        <v>0</v>
      </c>
      <c r="DF102" s="47">
        <v>0</v>
      </c>
      <c r="DG102" s="47">
        <v>0</v>
      </c>
      <c r="DH102" s="47">
        <v>0</v>
      </c>
      <c r="DI102" s="47">
        <v>0</v>
      </c>
      <c r="DJ102" s="47">
        <v>0</v>
      </c>
      <c r="DK102" s="47">
        <v>0</v>
      </c>
      <c r="DL102" s="47">
        <v>0</v>
      </c>
      <c r="DM102" s="47">
        <v>0</v>
      </c>
      <c r="DN102" s="47">
        <v>0</v>
      </c>
      <c r="DO102" s="47">
        <v>0</v>
      </c>
      <c r="DP102" s="47">
        <v>0</v>
      </c>
      <c r="DQ102" s="47">
        <v>0</v>
      </c>
      <c r="DR102" s="47">
        <v>0</v>
      </c>
    </row>
    <row r="103" spans="1:124" x14ac:dyDescent="0.25">
      <c r="A103" s="47" t="s">
        <v>620</v>
      </c>
      <c r="B103" s="47" t="s">
        <v>151</v>
      </c>
      <c r="C103" s="47" t="s">
        <v>621</v>
      </c>
      <c r="D103" s="47" t="s">
        <v>622</v>
      </c>
      <c r="E103" s="47" t="s">
        <v>623</v>
      </c>
      <c r="F103" s="47" t="s">
        <v>380</v>
      </c>
      <c r="G103" s="47" t="s">
        <v>624</v>
      </c>
      <c r="H103" s="47" t="str">
        <f>=IFERROR(VLOOKUP(A103,'ETPT Format DDG'!A:J,10,FALSE),"")</f>
        <v>0</v>
      </c>
      <c r="I103" s="47" t="str">
        <f>='ETPT Format DDG'!M103</f>
        <v/>
      </c>
      <c r="J103" s="47" t="str">
        <f>='ETPT Format DDG'!D103</f>
        <v/>
      </c>
      <c r="K103" s="47" t="s">
        <v>155</v>
      </c>
      <c r="L103" s="47" t="s">
        <v>505</v>
      </c>
      <c r="M103" s="47" t="s">
        <v>625</v>
      </c>
      <c r="N103" s="47">
        <v>0.1734</v>
      </c>
      <c r="O103" s="47">
        <v>0.1734</v>
      </c>
      <c r="P103" s="47">
        <v>0</v>
      </c>
      <c r="Q103" s="47">
        <v>0</v>
      </c>
      <c r="R103" s="47">
        <v>0</v>
      </c>
      <c r="S103" s="47">
        <v>0</v>
      </c>
      <c r="T103" s="47">
        <v>0</v>
      </c>
      <c r="U103" s="47">
        <v>0</v>
      </c>
      <c r="V103" s="47">
        <v>0</v>
      </c>
      <c r="W103" s="47">
        <v>0</v>
      </c>
      <c r="X103" s="47">
        <v>0</v>
      </c>
      <c r="Y103" s="47">
        <v>0</v>
      </c>
      <c r="Z103" s="47">
        <v>0</v>
      </c>
      <c r="AA103" s="47">
        <v>0</v>
      </c>
      <c r="AB103" s="47">
        <v>0</v>
      </c>
      <c r="AC103" s="47">
        <v>0</v>
      </c>
      <c r="AD103" s="47">
        <v>0</v>
      </c>
      <c r="AE103" s="47">
        <v>0</v>
      </c>
      <c r="AF103" s="47">
        <v>0</v>
      </c>
      <c r="AG103" s="47">
        <v>0</v>
      </c>
      <c r="AH103" s="47">
        <v>0</v>
      </c>
      <c r="AI103" s="47">
        <v>0</v>
      </c>
      <c r="AJ103" s="47">
        <v>0</v>
      </c>
      <c r="AK103" s="47">
        <v>0</v>
      </c>
      <c r="AL103" s="47">
        <v>0</v>
      </c>
      <c r="AM103" s="47">
        <v>0</v>
      </c>
      <c r="AN103" s="47">
        <v>0</v>
      </c>
      <c r="AO103" s="47">
        <v>0</v>
      </c>
      <c r="AP103" s="47">
        <v>0</v>
      </c>
      <c r="AQ103" s="47">
        <v>0</v>
      </c>
      <c r="AR103" s="47">
        <v>0</v>
      </c>
      <c r="AS103" s="47">
        <v>0</v>
      </c>
      <c r="AT103" s="47">
        <v>0</v>
      </c>
      <c r="AU103" s="47">
        <v>0</v>
      </c>
      <c r="AV103" s="47">
        <v>0</v>
      </c>
      <c r="AW103" s="47">
        <v>0</v>
      </c>
      <c r="AX103" s="47">
        <v>0</v>
      </c>
      <c r="AY103" s="47">
        <v>0</v>
      </c>
      <c r="AZ103" s="47">
        <v>0</v>
      </c>
      <c r="BA103" s="47">
        <v>0</v>
      </c>
      <c r="BB103" s="47">
        <v>0</v>
      </c>
      <c r="BC103" s="47">
        <v>0</v>
      </c>
      <c r="BD103" s="47">
        <v>0</v>
      </c>
      <c r="BE103" s="47">
        <v>0</v>
      </c>
      <c r="BF103" s="47">
        <v>0</v>
      </c>
      <c r="BG103" s="47">
        <v>0</v>
      </c>
      <c r="BH103" s="47">
        <v>0</v>
      </c>
      <c r="BI103" s="47">
        <v>0</v>
      </c>
      <c r="BJ103" s="47">
        <v>0</v>
      </c>
      <c r="BK103" s="47">
        <v>0</v>
      </c>
      <c r="BL103" s="47">
        <v>0</v>
      </c>
      <c r="BM103" s="47">
        <v>0</v>
      </c>
      <c r="BN103" s="47">
        <v>0</v>
      </c>
      <c r="BO103" s="47">
        <v>0</v>
      </c>
      <c r="BP103" s="47">
        <v>0</v>
      </c>
      <c r="BQ103" s="47">
        <v>0</v>
      </c>
      <c r="BR103" s="47">
        <v>0</v>
      </c>
      <c r="BS103" s="47">
        <v>0</v>
      </c>
      <c r="BT103" s="47">
        <v>0</v>
      </c>
      <c r="BU103" s="47">
        <v>0</v>
      </c>
      <c r="BV103" s="47">
        <v>0</v>
      </c>
      <c r="BW103" s="47">
        <v>0</v>
      </c>
      <c r="BX103" s="47">
        <v>0</v>
      </c>
      <c r="BY103" s="47">
        <v>0</v>
      </c>
      <c r="BZ103" s="47">
        <v>0</v>
      </c>
      <c r="CA103" s="47">
        <v>0</v>
      </c>
      <c r="CB103" s="47">
        <v>0</v>
      </c>
      <c r="CC103" s="47">
        <v>0</v>
      </c>
      <c r="CD103" s="47">
        <v>0</v>
      </c>
      <c r="CE103" s="47">
        <v>0</v>
      </c>
      <c r="CF103" s="47">
        <v>0</v>
      </c>
      <c r="CG103" s="47">
        <v>0</v>
      </c>
      <c r="CH103" s="47">
        <v>0</v>
      </c>
      <c r="CI103" s="47">
        <v>0</v>
      </c>
      <c r="CJ103" s="47">
        <v>0</v>
      </c>
      <c r="CK103" s="47">
        <v>0</v>
      </c>
      <c r="CL103" s="47">
        <v>0</v>
      </c>
      <c r="CM103" s="47">
        <v>0</v>
      </c>
      <c r="CN103" s="47">
        <v>0</v>
      </c>
      <c r="CO103" s="47">
        <v>0</v>
      </c>
      <c r="CP103" s="47">
        <v>0</v>
      </c>
      <c r="CQ103" s="47">
        <v>0</v>
      </c>
      <c r="CR103" s="47">
        <v>0</v>
      </c>
      <c r="CS103" s="47">
        <v>0</v>
      </c>
      <c r="CT103" s="47">
        <v>0.1734</v>
      </c>
      <c r="CU103" s="47">
        <v>0.1734</v>
      </c>
      <c r="CV103" s="47">
        <v>0</v>
      </c>
      <c r="CW103" s="47">
        <v>0</v>
      </c>
      <c r="CX103" s="47">
        <v>0</v>
      </c>
      <c r="CY103" s="47">
        <v>0</v>
      </c>
      <c r="CZ103" s="47">
        <v>0</v>
      </c>
      <c r="DA103" s="47">
        <v>0</v>
      </c>
      <c r="DB103" s="47">
        <v>0</v>
      </c>
      <c r="DC103" s="47">
        <v>0</v>
      </c>
      <c r="DD103" s="47">
        <v>0</v>
      </c>
      <c r="DE103" s="47">
        <v>0</v>
      </c>
      <c r="DF103" s="47">
        <v>0</v>
      </c>
      <c r="DG103" s="47">
        <v>0</v>
      </c>
      <c r="DH103" s="47">
        <v>0</v>
      </c>
      <c r="DI103" s="47">
        <v>0</v>
      </c>
      <c r="DJ103" s="47">
        <v>0</v>
      </c>
      <c r="DK103" s="47">
        <v>0</v>
      </c>
      <c r="DL103" s="47">
        <v>0</v>
      </c>
      <c r="DM103" s="47">
        <v>0</v>
      </c>
      <c r="DN103" s="47">
        <v>0</v>
      </c>
      <c r="DO103" s="47">
        <v>0</v>
      </c>
      <c r="DP103" s="47">
        <v>0</v>
      </c>
      <c r="DQ103" s="47">
        <v>0</v>
      </c>
      <c r="DR103" s="47">
        <v>0</v>
      </c>
    </row>
    <row r="104" spans="1:124" x14ac:dyDescent="0.25">
      <c r="A104" s="47" t="s">
        <v>626</v>
      </c>
      <c r="B104" s="47" t="s">
        <v>151</v>
      </c>
      <c r="C104" s="47" t="s">
        <v>627</v>
      </c>
      <c r="D104" s="47" t="s">
        <v>628</v>
      </c>
      <c r="E104" s="47" t="s">
        <v>629</v>
      </c>
      <c r="F104" s="47" t="s">
        <v>380</v>
      </c>
      <c r="G104" s="47" t="s">
        <v>381</v>
      </c>
      <c r="H104" s="47" t="str">
        <f>=IFERROR(VLOOKUP(A104,'ETPT Format DDG'!A:J,10,FALSE),"")</f>
        <v>0</v>
      </c>
      <c r="I104" s="47" t="str">
        <f>='ETPT Format DDG'!M104</f>
        <v/>
      </c>
      <c r="J104" s="47" t="str">
        <f>='ETPT Format DDG'!D104</f>
        <v/>
      </c>
      <c r="K104" s="47" t="s">
        <v>155</v>
      </c>
      <c r="L104" s="47" t="s">
        <v>386</v>
      </c>
      <c r="M104" s="47"/>
      <c r="N104" s="47">
        <v>0.9677</v>
      </c>
      <c r="O104" s="47">
        <v>0.9677</v>
      </c>
      <c r="P104" s="47">
        <v>0</v>
      </c>
      <c r="Q104" s="47">
        <v>0</v>
      </c>
      <c r="R104" s="47">
        <v>0</v>
      </c>
      <c r="S104" s="47">
        <v>0</v>
      </c>
      <c r="T104" s="47">
        <v>0</v>
      </c>
      <c r="U104" s="47">
        <v>0</v>
      </c>
      <c r="V104" s="47">
        <v>0</v>
      </c>
      <c r="W104" s="47">
        <v>0</v>
      </c>
      <c r="X104" s="47">
        <v>0</v>
      </c>
      <c r="Y104" s="47">
        <v>0</v>
      </c>
      <c r="Z104" s="47">
        <v>0</v>
      </c>
      <c r="AA104" s="47">
        <v>0</v>
      </c>
      <c r="AB104" s="47">
        <v>0</v>
      </c>
      <c r="AC104" s="47">
        <v>0</v>
      </c>
      <c r="AD104" s="47">
        <v>0</v>
      </c>
      <c r="AE104" s="47">
        <v>0</v>
      </c>
      <c r="AF104" s="47">
        <v>0</v>
      </c>
      <c r="AG104" s="47">
        <v>0</v>
      </c>
      <c r="AH104" s="47">
        <v>0</v>
      </c>
      <c r="AI104" s="47">
        <v>0</v>
      </c>
      <c r="AJ104" s="47">
        <v>0</v>
      </c>
      <c r="AK104" s="47">
        <v>0</v>
      </c>
      <c r="AL104" s="47">
        <v>0</v>
      </c>
      <c r="AM104" s="47">
        <v>0</v>
      </c>
      <c r="AN104" s="47">
        <v>0</v>
      </c>
      <c r="AO104" s="47">
        <v>0</v>
      </c>
      <c r="AP104" s="47">
        <v>0</v>
      </c>
      <c r="AQ104" s="47">
        <v>0</v>
      </c>
      <c r="AR104" s="47">
        <v>0</v>
      </c>
      <c r="AS104" s="47">
        <v>0</v>
      </c>
      <c r="AT104" s="47">
        <v>0</v>
      </c>
      <c r="AU104" s="47">
        <v>0</v>
      </c>
      <c r="AV104" s="47">
        <v>0</v>
      </c>
      <c r="AW104" s="47">
        <v>0</v>
      </c>
      <c r="AX104" s="47">
        <v>0</v>
      </c>
      <c r="AY104" s="47">
        <v>0</v>
      </c>
      <c r="AZ104" s="47">
        <v>0</v>
      </c>
      <c r="BA104" s="47">
        <v>0</v>
      </c>
      <c r="BB104" s="47">
        <v>0</v>
      </c>
      <c r="BC104" s="47">
        <v>0</v>
      </c>
      <c r="BD104" s="47">
        <v>0</v>
      </c>
      <c r="BE104" s="47">
        <v>0</v>
      </c>
      <c r="BF104" s="47">
        <v>0</v>
      </c>
      <c r="BG104" s="47">
        <v>0</v>
      </c>
      <c r="BH104" s="47">
        <v>0</v>
      </c>
      <c r="BI104" s="47">
        <v>0</v>
      </c>
      <c r="BJ104" s="47">
        <v>0</v>
      </c>
      <c r="BK104" s="47">
        <v>0</v>
      </c>
      <c r="BL104" s="47">
        <v>0</v>
      </c>
      <c r="BM104" s="47">
        <v>0</v>
      </c>
      <c r="BN104" s="47">
        <v>0</v>
      </c>
      <c r="BO104" s="47">
        <v>0.9677</v>
      </c>
      <c r="BP104" s="47">
        <v>0.1935</v>
      </c>
      <c r="BQ104" s="47">
        <v>0.7742</v>
      </c>
      <c r="BR104" s="47">
        <v>0</v>
      </c>
      <c r="BS104" s="47">
        <v>0</v>
      </c>
      <c r="BT104" s="47">
        <v>0</v>
      </c>
      <c r="BU104" s="47">
        <v>0</v>
      </c>
      <c r="BV104" s="47">
        <v>0</v>
      </c>
      <c r="BW104" s="47">
        <v>0</v>
      </c>
      <c r="BX104" s="47">
        <v>0</v>
      </c>
      <c r="BY104" s="47">
        <v>0</v>
      </c>
      <c r="BZ104" s="47">
        <v>0</v>
      </c>
      <c r="CA104" s="47">
        <v>0</v>
      </c>
      <c r="CB104" s="47">
        <v>0</v>
      </c>
      <c r="CC104" s="47">
        <v>0</v>
      </c>
      <c r="CD104" s="47">
        <v>0</v>
      </c>
      <c r="CE104" s="47">
        <v>0</v>
      </c>
      <c r="CF104" s="47">
        <v>0</v>
      </c>
      <c r="CG104" s="47">
        <v>0</v>
      </c>
      <c r="CH104" s="47">
        <v>0</v>
      </c>
      <c r="CI104" s="47">
        <v>0</v>
      </c>
      <c r="CJ104" s="47">
        <v>0</v>
      </c>
      <c r="CK104" s="47">
        <v>0</v>
      </c>
      <c r="CL104" s="47">
        <v>0</v>
      </c>
      <c r="CM104" s="47">
        <v>0</v>
      </c>
      <c r="CN104" s="47">
        <v>0</v>
      </c>
      <c r="CO104" s="47">
        <v>0</v>
      </c>
      <c r="CP104" s="47">
        <v>0</v>
      </c>
      <c r="CQ104" s="47">
        <v>0</v>
      </c>
      <c r="CR104" s="47">
        <v>0</v>
      </c>
      <c r="CS104" s="47">
        <v>0</v>
      </c>
      <c r="CT104" s="47">
        <v>0</v>
      </c>
      <c r="CU104" s="47">
        <v>0</v>
      </c>
      <c r="CV104" s="47">
        <v>0</v>
      </c>
      <c r="CW104" s="47">
        <v>0</v>
      </c>
      <c r="CX104" s="47">
        <v>0</v>
      </c>
      <c r="CY104" s="47">
        <v>0</v>
      </c>
      <c r="CZ104" s="47">
        <v>0</v>
      </c>
      <c r="DA104" s="47">
        <v>0</v>
      </c>
      <c r="DB104" s="47">
        <v>0</v>
      </c>
      <c r="DC104" s="47">
        <v>0</v>
      </c>
      <c r="DD104" s="47">
        <v>0</v>
      </c>
      <c r="DE104" s="47">
        <v>0</v>
      </c>
      <c r="DF104" s="47">
        <v>0.0323</v>
      </c>
      <c r="DG104" s="47">
        <v>0.0202</v>
      </c>
      <c r="DH104" s="47">
        <v>0</v>
      </c>
      <c r="DI104" s="47">
        <v>0</v>
      </c>
      <c r="DJ104" s="47">
        <v>0</v>
      </c>
      <c r="DK104" s="47">
        <v>0.0121</v>
      </c>
      <c r="DL104" s="47">
        <v>0</v>
      </c>
      <c r="DM104" s="47">
        <v>0</v>
      </c>
      <c r="DN104" s="47">
        <v>0</v>
      </c>
      <c r="DO104" s="47">
        <v>0</v>
      </c>
      <c r="DP104" s="47">
        <v>0</v>
      </c>
      <c r="DQ104" s="47">
        <v>0</v>
      </c>
      <c r="DR104" s="47">
        <v>0</v>
      </c>
    </row>
    <row r="105" spans="1:124" x14ac:dyDescent="0.25">
      <c r="A105" s="47" t="s">
        <v>630</v>
      </c>
      <c r="B105" s="47" t="s">
        <v>151</v>
      </c>
      <c r="C105" s="47" t="s">
        <v>631</v>
      </c>
      <c r="D105" s="47" t="s">
        <v>632</v>
      </c>
      <c r="E105" s="47" t="s">
        <v>633</v>
      </c>
      <c r="F105" s="47" t="s">
        <v>380</v>
      </c>
      <c r="G105" s="47" t="s">
        <v>586</v>
      </c>
      <c r="H105" s="47" t="str">
        <f>=IFERROR(VLOOKUP(A105,'ETPT Format DDG'!A:J,10,FALSE),"")</f>
        <v>0</v>
      </c>
      <c r="I105" s="47" t="str">
        <f>='ETPT Format DDG'!M105</f>
        <v/>
      </c>
      <c r="J105" s="47" t="str">
        <f>='ETPT Format DDG'!D105</f>
        <v/>
      </c>
      <c r="K105" s="47" t="s">
        <v>155</v>
      </c>
      <c r="L105" s="47" t="s">
        <v>596</v>
      </c>
      <c r="M105" s="47"/>
      <c r="N105" s="47">
        <v>0.9758</v>
      </c>
      <c r="O105" s="47">
        <v>0.9758</v>
      </c>
      <c r="P105" s="47">
        <v>0</v>
      </c>
      <c r="Q105" s="47">
        <v>0</v>
      </c>
      <c r="R105" s="47">
        <v>0</v>
      </c>
      <c r="S105" s="47">
        <v>0</v>
      </c>
      <c r="T105" s="47">
        <v>0</v>
      </c>
      <c r="U105" s="47">
        <v>0</v>
      </c>
      <c r="V105" s="47">
        <v>0</v>
      </c>
      <c r="W105" s="47">
        <v>0</v>
      </c>
      <c r="X105" s="47">
        <v>0</v>
      </c>
      <c r="Y105" s="47">
        <v>0</v>
      </c>
      <c r="Z105" s="47">
        <v>0</v>
      </c>
      <c r="AA105" s="47">
        <v>0</v>
      </c>
      <c r="AB105" s="47">
        <v>0</v>
      </c>
      <c r="AC105" s="47">
        <v>0</v>
      </c>
      <c r="AD105" s="47">
        <v>0</v>
      </c>
      <c r="AE105" s="47">
        <v>0.3367</v>
      </c>
      <c r="AF105" s="47">
        <v>0</v>
      </c>
      <c r="AG105" s="47">
        <v>0</v>
      </c>
      <c r="AH105" s="47">
        <v>0</v>
      </c>
      <c r="AI105" s="47">
        <v>0</v>
      </c>
      <c r="AJ105" s="47">
        <v>0</v>
      </c>
      <c r="AK105" s="47">
        <v>0.3367</v>
      </c>
      <c r="AL105" s="47">
        <v>0</v>
      </c>
      <c r="AM105" s="47">
        <v>0</v>
      </c>
      <c r="AN105" s="47">
        <v>0.3367</v>
      </c>
      <c r="AO105" s="47">
        <v>0</v>
      </c>
      <c r="AP105" s="47">
        <v>0</v>
      </c>
      <c r="AQ105" s="47">
        <v>0</v>
      </c>
      <c r="AR105" s="47">
        <v>0</v>
      </c>
      <c r="AS105" s="47">
        <v>0</v>
      </c>
      <c r="AT105" s="47">
        <v>0</v>
      </c>
      <c r="AU105" s="47">
        <v>0</v>
      </c>
      <c r="AV105" s="47">
        <v>0</v>
      </c>
      <c r="AW105" s="47">
        <v>0</v>
      </c>
      <c r="AX105" s="47">
        <v>0</v>
      </c>
      <c r="AY105" s="47">
        <v>0</v>
      </c>
      <c r="AZ105" s="47">
        <v>0</v>
      </c>
      <c r="BA105" s="47">
        <v>0</v>
      </c>
      <c r="BB105" s="47">
        <v>0</v>
      </c>
      <c r="BC105" s="47">
        <v>0</v>
      </c>
      <c r="BD105" s="47">
        <v>0</v>
      </c>
      <c r="BE105" s="47">
        <v>0</v>
      </c>
      <c r="BF105" s="47">
        <v>0</v>
      </c>
      <c r="BG105" s="47">
        <v>0</v>
      </c>
      <c r="BH105" s="47">
        <v>0</v>
      </c>
      <c r="BI105" s="47">
        <v>0</v>
      </c>
      <c r="BJ105" s="47">
        <v>0</v>
      </c>
      <c r="BK105" s="47">
        <v>0</v>
      </c>
      <c r="BL105" s="47">
        <v>0</v>
      </c>
      <c r="BM105" s="47">
        <v>0</v>
      </c>
      <c r="BN105" s="47">
        <v>0</v>
      </c>
      <c r="BO105" s="47">
        <v>0</v>
      </c>
      <c r="BP105" s="47">
        <v>0</v>
      </c>
      <c r="BQ105" s="47">
        <v>0</v>
      </c>
      <c r="BR105" s="47">
        <v>0</v>
      </c>
      <c r="BS105" s="47">
        <v>0</v>
      </c>
      <c r="BT105" s="47">
        <v>0</v>
      </c>
      <c r="BU105" s="47">
        <v>0</v>
      </c>
      <c r="BV105" s="47">
        <v>0</v>
      </c>
      <c r="BW105" s="47">
        <v>0</v>
      </c>
      <c r="BX105" s="47">
        <v>0</v>
      </c>
      <c r="BY105" s="47">
        <v>0</v>
      </c>
      <c r="BZ105" s="47">
        <v>0</v>
      </c>
      <c r="CA105" s="47">
        <v>0</v>
      </c>
      <c r="CB105" s="47">
        <v>0</v>
      </c>
      <c r="CC105" s="47">
        <v>0</v>
      </c>
      <c r="CD105" s="47">
        <v>0</v>
      </c>
      <c r="CE105" s="47">
        <v>0</v>
      </c>
      <c r="CF105" s="47">
        <v>0</v>
      </c>
      <c r="CG105" s="47">
        <v>0</v>
      </c>
      <c r="CH105" s="47">
        <v>0</v>
      </c>
      <c r="CI105" s="47">
        <v>0</v>
      </c>
      <c r="CJ105" s="47">
        <v>0</v>
      </c>
      <c r="CK105" s="47">
        <v>0</v>
      </c>
      <c r="CL105" s="47">
        <v>0</v>
      </c>
      <c r="CM105" s="47">
        <v>0</v>
      </c>
      <c r="CN105" s="47">
        <v>0</v>
      </c>
      <c r="CO105" s="47">
        <v>0</v>
      </c>
      <c r="CP105" s="47">
        <v>0</v>
      </c>
      <c r="CQ105" s="47">
        <v>0</v>
      </c>
      <c r="CR105" s="47">
        <v>0</v>
      </c>
      <c r="CS105" s="47">
        <v>0</v>
      </c>
      <c r="CT105" s="47">
        <v>0.3024</v>
      </c>
      <c r="CU105" s="47">
        <v>0</v>
      </c>
      <c r="CV105" s="47">
        <v>0</v>
      </c>
      <c r="CW105" s="47">
        <v>0</v>
      </c>
      <c r="CX105" s="47">
        <v>0</v>
      </c>
      <c r="CY105" s="47">
        <v>0</v>
      </c>
      <c r="CZ105" s="47">
        <v>0</v>
      </c>
      <c r="DA105" s="47">
        <v>0</v>
      </c>
      <c r="DB105" s="47">
        <v>0</v>
      </c>
      <c r="DC105" s="47">
        <v>0</v>
      </c>
      <c r="DD105" s="47">
        <v>0</v>
      </c>
      <c r="DE105" s="47">
        <v>0.3024</v>
      </c>
      <c r="DF105" s="47">
        <v>0.0242</v>
      </c>
      <c r="DG105" s="47">
        <v>0.0242</v>
      </c>
      <c r="DH105" s="47">
        <v>0</v>
      </c>
      <c r="DI105" s="47">
        <v>0</v>
      </c>
      <c r="DJ105" s="47">
        <v>0</v>
      </c>
      <c r="DK105" s="47">
        <v>0</v>
      </c>
      <c r="DL105" s="47">
        <v>0</v>
      </c>
      <c r="DM105" s="47">
        <v>0</v>
      </c>
      <c r="DN105" s="47">
        <v>0</v>
      </c>
      <c r="DO105" s="47">
        <v>0</v>
      </c>
      <c r="DP105" s="47">
        <v>0</v>
      </c>
      <c r="DQ105" s="47">
        <v>0</v>
      </c>
      <c r="DR105" s="47">
        <v>0</v>
      </c>
    </row>
    <row r="106" spans="1:124" x14ac:dyDescent="0.25">
      <c r="A106" s="47" t="s">
        <v>634</v>
      </c>
      <c r="B106" s="47" t="s">
        <v>151</v>
      </c>
      <c r="C106" s="47" t="s">
        <v>635</v>
      </c>
      <c r="D106" s="47" t="s">
        <v>636</v>
      </c>
      <c r="E106" s="47" t="s">
        <v>637</v>
      </c>
      <c r="F106" s="47" t="s">
        <v>380</v>
      </c>
      <c r="G106" s="47" t="s">
        <v>381</v>
      </c>
      <c r="H106" s="47" t="str">
        <f>=IFERROR(VLOOKUP(A106,'ETPT Format DDG'!A:J,10,FALSE),"")</f>
        <v>0</v>
      </c>
      <c r="I106" s="47" t="str">
        <f>='ETPT Format DDG'!M106</f>
        <v/>
      </c>
      <c r="J106" s="47" t="str">
        <f>='ETPT Format DDG'!D106</f>
        <v/>
      </c>
      <c r="K106" s="47" t="s">
        <v>155</v>
      </c>
      <c r="L106" s="47" t="s">
        <v>596</v>
      </c>
      <c r="M106" s="47"/>
      <c r="N106" s="47">
        <v>1</v>
      </c>
      <c r="O106" s="47">
        <v>1</v>
      </c>
      <c r="P106" s="47">
        <v>0</v>
      </c>
      <c r="Q106" s="47">
        <v>0</v>
      </c>
      <c r="R106" s="47">
        <v>0</v>
      </c>
      <c r="S106" s="47">
        <v>0</v>
      </c>
      <c r="T106" s="47">
        <v>0</v>
      </c>
      <c r="U106" s="47">
        <v>0</v>
      </c>
      <c r="V106" s="47">
        <v>0</v>
      </c>
      <c r="W106" s="47">
        <v>0</v>
      </c>
      <c r="X106" s="47">
        <v>0</v>
      </c>
      <c r="Y106" s="47">
        <v>0</v>
      </c>
      <c r="Z106" s="47">
        <v>0</v>
      </c>
      <c r="AA106" s="47">
        <v>0</v>
      </c>
      <c r="AB106" s="47">
        <v>0</v>
      </c>
      <c r="AC106" s="47">
        <v>0</v>
      </c>
      <c r="AD106" s="47">
        <v>0</v>
      </c>
      <c r="AE106" s="47">
        <v>0</v>
      </c>
      <c r="AF106" s="47">
        <v>0</v>
      </c>
      <c r="AG106" s="47">
        <v>0</v>
      </c>
      <c r="AH106" s="47">
        <v>0</v>
      </c>
      <c r="AI106" s="47">
        <v>0</v>
      </c>
      <c r="AJ106" s="47">
        <v>0</v>
      </c>
      <c r="AK106" s="47">
        <v>0</v>
      </c>
      <c r="AL106" s="47">
        <v>0</v>
      </c>
      <c r="AM106" s="47">
        <v>0</v>
      </c>
      <c r="AN106" s="47">
        <v>0</v>
      </c>
      <c r="AO106" s="47">
        <v>0</v>
      </c>
      <c r="AP106" s="47">
        <v>0</v>
      </c>
      <c r="AQ106" s="47">
        <v>0</v>
      </c>
      <c r="AR106" s="47">
        <v>0</v>
      </c>
      <c r="AS106" s="47">
        <v>0</v>
      </c>
      <c r="AT106" s="47">
        <v>0</v>
      </c>
      <c r="AU106" s="47">
        <v>0</v>
      </c>
      <c r="AV106" s="47">
        <v>0</v>
      </c>
      <c r="AW106" s="47">
        <v>0</v>
      </c>
      <c r="AX106" s="47">
        <v>0</v>
      </c>
      <c r="AY106" s="47">
        <v>0</v>
      </c>
      <c r="AZ106" s="47">
        <v>0</v>
      </c>
      <c r="BA106" s="47">
        <v>0</v>
      </c>
      <c r="BB106" s="47">
        <v>0</v>
      </c>
      <c r="BC106" s="47">
        <v>0</v>
      </c>
      <c r="BD106" s="47">
        <v>0</v>
      </c>
      <c r="BE106" s="47">
        <v>0</v>
      </c>
      <c r="BF106" s="47">
        <v>0</v>
      </c>
      <c r="BG106" s="47">
        <v>0</v>
      </c>
      <c r="BH106" s="47">
        <v>0.2413</v>
      </c>
      <c r="BI106" s="47">
        <v>0</v>
      </c>
      <c r="BJ106" s="47">
        <v>0</v>
      </c>
      <c r="BK106" s="47">
        <v>0</v>
      </c>
      <c r="BL106" s="47">
        <v>0</v>
      </c>
      <c r="BM106" s="47">
        <v>0</v>
      </c>
      <c r="BN106" s="47">
        <v>0</v>
      </c>
      <c r="BO106" s="47">
        <v>0.0173</v>
      </c>
      <c r="BP106" s="47">
        <v>0</v>
      </c>
      <c r="BQ106" s="47">
        <v>0</v>
      </c>
      <c r="BR106" s="47">
        <v>0</v>
      </c>
      <c r="BS106" s="47">
        <v>0</v>
      </c>
      <c r="BT106" s="47">
        <v>0</v>
      </c>
      <c r="BU106" s="47">
        <v>0</v>
      </c>
      <c r="BV106" s="47">
        <v>0</v>
      </c>
      <c r="BW106" s="47">
        <v>0</v>
      </c>
      <c r="BX106" s="47">
        <v>0</v>
      </c>
      <c r="BY106" s="47">
        <v>0</v>
      </c>
      <c r="BZ106" s="47">
        <v>0</v>
      </c>
      <c r="CA106" s="47">
        <v>0</v>
      </c>
      <c r="CB106" s="47">
        <v>0</v>
      </c>
      <c r="CC106" s="47">
        <v>0</v>
      </c>
      <c r="CD106" s="47">
        <v>0</v>
      </c>
      <c r="CE106" s="47">
        <v>0</v>
      </c>
      <c r="CF106" s="47">
        <v>0.5</v>
      </c>
      <c r="CG106" s="47">
        <v>0</v>
      </c>
      <c r="CH106" s="47">
        <v>0</v>
      </c>
      <c r="CI106" s="47">
        <v>0</v>
      </c>
      <c r="CJ106" s="47">
        <v>0</v>
      </c>
      <c r="CK106" s="47">
        <v>0</v>
      </c>
      <c r="CL106" s="47">
        <v>0</v>
      </c>
      <c r="CM106" s="47">
        <v>0</v>
      </c>
      <c r="CN106" s="47">
        <v>0</v>
      </c>
      <c r="CO106" s="47">
        <v>0</v>
      </c>
      <c r="CP106" s="47">
        <v>0</v>
      </c>
      <c r="CQ106" s="47">
        <v>0.2413</v>
      </c>
      <c r="CR106" s="47">
        <v>0</v>
      </c>
      <c r="CS106" s="47">
        <v>0</v>
      </c>
      <c r="CT106" s="47">
        <v>0</v>
      </c>
      <c r="CU106" s="47">
        <v>0</v>
      </c>
      <c r="CV106" s="47">
        <v>0</v>
      </c>
      <c r="CW106" s="47">
        <v>0</v>
      </c>
      <c r="CX106" s="47">
        <v>0</v>
      </c>
      <c r="CY106" s="47">
        <v>0</v>
      </c>
      <c r="CZ106" s="47">
        <v>0</v>
      </c>
      <c r="DA106" s="47">
        <v>0</v>
      </c>
      <c r="DB106" s="47">
        <v>0</v>
      </c>
      <c r="DC106" s="47">
        <v>0</v>
      </c>
      <c r="DD106" s="47">
        <v>0</v>
      </c>
      <c r="DE106" s="47">
        <v>0</v>
      </c>
      <c r="DF106" s="47">
        <v>0</v>
      </c>
      <c r="DG106" s="47">
        <v>0</v>
      </c>
      <c r="DH106" s="47">
        <v>0</v>
      </c>
      <c r="DI106" s="47">
        <v>0</v>
      </c>
      <c r="DJ106" s="47">
        <v>0</v>
      </c>
      <c r="DK106" s="47">
        <v>0</v>
      </c>
      <c r="DL106" s="47">
        <v>0</v>
      </c>
      <c r="DM106" s="47">
        <v>0</v>
      </c>
      <c r="DN106" s="47">
        <v>0</v>
      </c>
      <c r="DO106" s="47">
        <v>0</v>
      </c>
      <c r="DP106" s="47">
        <v>0</v>
      </c>
      <c r="DQ106" s="47">
        <v>0</v>
      </c>
      <c r="DR106" s="47">
        <v>0</v>
      </c>
    </row>
    <row r="107" spans="1:124" x14ac:dyDescent="0.25">
      <c r="A107" s="47" t="s">
        <v>638</v>
      </c>
      <c r="B107" s="47" t="s">
        <v>151</v>
      </c>
      <c r="C107" s="47" t="s">
        <v>639</v>
      </c>
      <c r="D107" s="47" t="s">
        <v>640</v>
      </c>
      <c r="E107" s="47" t="s">
        <v>641</v>
      </c>
      <c r="F107" s="47" t="s">
        <v>380</v>
      </c>
      <c r="G107" s="47" t="s">
        <v>421</v>
      </c>
      <c r="H107" s="47" t="str">
        <f>=IFERROR(VLOOKUP(A107,'ETPT Format DDG'!A:J,10,FALSE),"")</f>
        <v>0</v>
      </c>
      <c r="I107" s="47" t="str">
        <f>='ETPT Format DDG'!M107</f>
        <v/>
      </c>
      <c r="J107" s="47" t="str">
        <f>='ETPT Format DDG'!D107</f>
        <v/>
      </c>
      <c r="K107" s="47" t="s">
        <v>155</v>
      </c>
      <c r="L107" s="47" t="s">
        <v>642</v>
      </c>
      <c r="M107" s="47"/>
      <c r="N107" s="47">
        <v>1</v>
      </c>
      <c r="O107" s="47">
        <v>0</v>
      </c>
      <c r="P107" s="47">
        <v>0</v>
      </c>
      <c r="Q107" s="47">
        <v>0</v>
      </c>
      <c r="R107" s="47">
        <v>0</v>
      </c>
      <c r="S107" s="47">
        <v>0</v>
      </c>
      <c r="T107" s="47">
        <v>0</v>
      </c>
      <c r="U107" s="47">
        <v>0</v>
      </c>
      <c r="V107" s="47">
        <v>0</v>
      </c>
      <c r="W107" s="47">
        <v>0</v>
      </c>
      <c r="X107" s="47">
        <v>0</v>
      </c>
      <c r="Y107" s="47">
        <v>0</v>
      </c>
      <c r="Z107" s="47">
        <v>0</v>
      </c>
      <c r="AA107" s="47">
        <v>0</v>
      </c>
      <c r="AB107" s="47">
        <v>0</v>
      </c>
      <c r="AC107" s="47">
        <v>0</v>
      </c>
      <c r="AD107" s="47">
        <v>0</v>
      </c>
      <c r="AE107" s="47">
        <v>0</v>
      </c>
      <c r="AF107" s="47">
        <v>0</v>
      </c>
      <c r="AG107" s="47">
        <v>0</v>
      </c>
      <c r="AH107" s="47">
        <v>0</v>
      </c>
      <c r="AI107" s="47">
        <v>0</v>
      </c>
      <c r="AJ107" s="47">
        <v>0</v>
      </c>
      <c r="AK107" s="47">
        <v>0</v>
      </c>
      <c r="AL107" s="47">
        <v>0</v>
      </c>
      <c r="AM107" s="47">
        <v>0</v>
      </c>
      <c r="AN107" s="47">
        <v>0</v>
      </c>
      <c r="AO107" s="47">
        <v>0</v>
      </c>
      <c r="AP107" s="47">
        <v>0</v>
      </c>
      <c r="AQ107" s="47">
        <v>0</v>
      </c>
      <c r="AR107" s="47">
        <v>0</v>
      </c>
      <c r="AS107" s="47">
        <v>0</v>
      </c>
      <c r="AT107" s="47">
        <v>0</v>
      </c>
      <c r="AU107" s="47">
        <v>0</v>
      </c>
      <c r="AV107" s="47">
        <v>0</v>
      </c>
      <c r="AW107" s="47">
        <v>0</v>
      </c>
      <c r="AX107" s="47">
        <v>0</v>
      </c>
      <c r="AY107" s="47">
        <v>0</v>
      </c>
      <c r="AZ107" s="47">
        <v>0</v>
      </c>
      <c r="BA107" s="47">
        <v>0</v>
      </c>
      <c r="BB107" s="47">
        <v>0</v>
      </c>
      <c r="BC107" s="47">
        <v>0</v>
      </c>
      <c r="BD107" s="47">
        <v>0</v>
      </c>
      <c r="BE107" s="47">
        <v>0</v>
      </c>
      <c r="BF107" s="47">
        <v>0</v>
      </c>
      <c r="BG107" s="47">
        <v>0</v>
      </c>
      <c r="BH107" s="47">
        <v>0</v>
      </c>
      <c r="BI107" s="47">
        <v>0</v>
      </c>
      <c r="BJ107" s="47">
        <v>0</v>
      </c>
      <c r="BK107" s="47">
        <v>0</v>
      </c>
      <c r="BL107" s="47">
        <v>0</v>
      </c>
      <c r="BM107" s="47">
        <v>0</v>
      </c>
      <c r="BN107" s="47">
        <v>0</v>
      </c>
      <c r="BO107" s="47">
        <v>0</v>
      </c>
      <c r="BP107" s="47">
        <v>0</v>
      </c>
      <c r="BQ107" s="47">
        <v>0</v>
      </c>
      <c r="BR107" s="47">
        <v>0</v>
      </c>
      <c r="BS107" s="47">
        <v>0</v>
      </c>
      <c r="BT107" s="47">
        <v>0</v>
      </c>
      <c r="BU107" s="47">
        <v>0</v>
      </c>
      <c r="BV107" s="47">
        <v>0</v>
      </c>
      <c r="BW107" s="47">
        <v>0</v>
      </c>
      <c r="BX107" s="47">
        <v>0</v>
      </c>
      <c r="BY107" s="47">
        <v>0</v>
      </c>
      <c r="BZ107" s="47">
        <v>0</v>
      </c>
      <c r="CA107" s="47">
        <v>0</v>
      </c>
      <c r="CB107" s="47">
        <v>0</v>
      </c>
      <c r="CC107" s="47">
        <v>0</v>
      </c>
      <c r="CD107" s="47">
        <v>0</v>
      </c>
      <c r="CE107" s="47">
        <v>0</v>
      </c>
      <c r="CF107" s="47">
        <v>0</v>
      </c>
      <c r="CG107" s="47">
        <v>0</v>
      </c>
      <c r="CH107" s="47">
        <v>0</v>
      </c>
      <c r="CI107" s="47">
        <v>0</v>
      </c>
      <c r="CJ107" s="47">
        <v>0</v>
      </c>
      <c r="CK107" s="47">
        <v>0</v>
      </c>
      <c r="CL107" s="47">
        <v>0</v>
      </c>
      <c r="CM107" s="47">
        <v>0</v>
      </c>
      <c r="CN107" s="47">
        <v>0</v>
      </c>
      <c r="CO107" s="47">
        <v>0</v>
      </c>
      <c r="CP107" s="47">
        <v>0</v>
      </c>
      <c r="CQ107" s="47">
        <v>0</v>
      </c>
      <c r="CR107" s="47">
        <v>0</v>
      </c>
      <c r="CS107" s="47">
        <v>0</v>
      </c>
      <c r="CT107" s="47">
        <v>0</v>
      </c>
      <c r="CU107" s="47">
        <v>0</v>
      </c>
      <c r="CV107" s="47">
        <v>0</v>
      </c>
      <c r="CW107" s="47">
        <v>0</v>
      </c>
      <c r="CX107" s="47">
        <v>0</v>
      </c>
      <c r="CY107" s="47">
        <v>0</v>
      </c>
      <c r="CZ107" s="47">
        <v>0</v>
      </c>
      <c r="DA107" s="47">
        <v>0</v>
      </c>
      <c r="DB107" s="47">
        <v>0</v>
      </c>
      <c r="DC107" s="47">
        <v>0</v>
      </c>
      <c r="DD107" s="47">
        <v>0</v>
      </c>
      <c r="DE107" s="47">
        <v>0</v>
      </c>
      <c r="DF107" s="47">
        <v>0</v>
      </c>
      <c r="DG107" s="47">
        <v>0</v>
      </c>
      <c r="DH107" s="47">
        <v>0</v>
      </c>
      <c r="DI107" s="47">
        <v>0</v>
      </c>
      <c r="DJ107" s="47">
        <v>0</v>
      </c>
      <c r="DK107" s="47">
        <v>0</v>
      </c>
      <c r="DL107" s="47">
        <v>0</v>
      </c>
      <c r="DM107" s="47">
        <v>0</v>
      </c>
      <c r="DN107" s="47">
        <v>0</v>
      </c>
      <c r="DO107" s="47">
        <v>0</v>
      </c>
      <c r="DP107" s="47">
        <v>0</v>
      </c>
      <c r="DQ107" s="47">
        <v>0</v>
      </c>
      <c r="DR107" s="47">
        <v>0</v>
      </c>
    </row>
    <row r="108" spans="1:124" x14ac:dyDescent="0.25">
      <c r="A108" s="47" t="s">
        <v>643</v>
      </c>
      <c r="B108" s="47" t="s">
        <v>151</v>
      </c>
      <c r="C108" s="47" t="s">
        <v>644</v>
      </c>
      <c r="D108" s="47" t="s">
        <v>645</v>
      </c>
      <c r="E108" s="47" t="s">
        <v>646</v>
      </c>
      <c r="F108" s="47" t="s">
        <v>380</v>
      </c>
      <c r="G108" s="47" t="s">
        <v>381</v>
      </c>
      <c r="H108" s="47" t="str">
        <f>=IFERROR(VLOOKUP(A108,'ETPT Format DDG'!A:J,10,FALSE),"")</f>
        <v>0</v>
      </c>
      <c r="I108" s="47" t="str">
        <f>='ETPT Format DDG'!M108</f>
        <v/>
      </c>
      <c r="J108" s="47" t="str">
        <f>='ETPT Format DDG'!D108</f>
        <v/>
      </c>
      <c r="K108" s="47" t="s">
        <v>155</v>
      </c>
      <c r="L108" s="47" t="s">
        <v>647</v>
      </c>
      <c r="M108" s="47"/>
      <c r="N108" s="47">
        <v>0.9879</v>
      </c>
      <c r="O108" s="47">
        <v>0.9879</v>
      </c>
      <c r="P108" s="47">
        <v>0</v>
      </c>
      <c r="Q108" s="47">
        <v>0</v>
      </c>
      <c r="R108" s="47">
        <v>0</v>
      </c>
      <c r="S108" s="47">
        <v>0</v>
      </c>
      <c r="T108" s="47">
        <v>0</v>
      </c>
      <c r="U108" s="47">
        <v>0.9879</v>
      </c>
      <c r="V108" s="47">
        <v>0</v>
      </c>
      <c r="W108" s="47">
        <v>0</v>
      </c>
      <c r="X108" s="47">
        <v>0</v>
      </c>
      <c r="Y108" s="47">
        <v>0</v>
      </c>
      <c r="Z108" s="47">
        <v>0</v>
      </c>
      <c r="AA108" s="47">
        <v>0</v>
      </c>
      <c r="AB108" s="47">
        <v>0</v>
      </c>
      <c r="AC108" s="47">
        <v>0</v>
      </c>
      <c r="AD108" s="47">
        <v>0</v>
      </c>
      <c r="AE108" s="47">
        <v>0</v>
      </c>
      <c r="AF108" s="47">
        <v>0</v>
      </c>
      <c r="AG108" s="47">
        <v>0</v>
      </c>
      <c r="AH108" s="47">
        <v>0</v>
      </c>
      <c r="AI108" s="47">
        <v>0</v>
      </c>
      <c r="AJ108" s="47">
        <v>0</v>
      </c>
      <c r="AK108" s="47">
        <v>0</v>
      </c>
      <c r="AL108" s="47">
        <v>0</v>
      </c>
      <c r="AM108" s="47">
        <v>0</v>
      </c>
      <c r="AN108" s="47">
        <v>0</v>
      </c>
      <c r="AO108" s="47">
        <v>0</v>
      </c>
      <c r="AP108" s="47">
        <v>0</v>
      </c>
      <c r="AQ108" s="47">
        <v>0</v>
      </c>
      <c r="AR108" s="47">
        <v>0</v>
      </c>
      <c r="AS108" s="47">
        <v>0</v>
      </c>
      <c r="AT108" s="47">
        <v>0</v>
      </c>
      <c r="AU108" s="47">
        <v>0</v>
      </c>
      <c r="AV108" s="47">
        <v>0</v>
      </c>
      <c r="AW108" s="47">
        <v>0</v>
      </c>
      <c r="AX108" s="47">
        <v>0</v>
      </c>
      <c r="AY108" s="47">
        <v>0</v>
      </c>
      <c r="AZ108" s="47">
        <v>0</v>
      </c>
      <c r="BA108" s="47">
        <v>0</v>
      </c>
      <c r="BB108" s="47">
        <v>0</v>
      </c>
      <c r="BC108" s="47">
        <v>0</v>
      </c>
      <c r="BD108" s="47">
        <v>0</v>
      </c>
      <c r="BE108" s="47">
        <v>0</v>
      </c>
      <c r="BF108" s="47">
        <v>0</v>
      </c>
      <c r="BG108" s="47">
        <v>0</v>
      </c>
      <c r="BH108" s="47">
        <v>0</v>
      </c>
      <c r="BI108" s="47">
        <v>0</v>
      </c>
      <c r="BJ108" s="47">
        <v>0</v>
      </c>
      <c r="BK108" s="47">
        <v>0</v>
      </c>
      <c r="BL108" s="47">
        <v>0</v>
      </c>
      <c r="BM108" s="47">
        <v>0</v>
      </c>
      <c r="BN108" s="47">
        <v>0</v>
      </c>
      <c r="BO108" s="47">
        <v>0</v>
      </c>
      <c r="BP108" s="47">
        <v>0</v>
      </c>
      <c r="BQ108" s="47">
        <v>0</v>
      </c>
      <c r="BR108" s="47">
        <v>0</v>
      </c>
      <c r="BS108" s="47">
        <v>0</v>
      </c>
      <c r="BT108" s="47">
        <v>0</v>
      </c>
      <c r="BU108" s="47">
        <v>0</v>
      </c>
      <c r="BV108" s="47">
        <v>0</v>
      </c>
      <c r="BW108" s="47">
        <v>0</v>
      </c>
      <c r="BX108" s="47">
        <v>0</v>
      </c>
      <c r="BY108" s="47">
        <v>0</v>
      </c>
      <c r="BZ108" s="47">
        <v>0</v>
      </c>
      <c r="CA108" s="47">
        <v>0</v>
      </c>
      <c r="CB108" s="47">
        <v>0</v>
      </c>
      <c r="CC108" s="47">
        <v>0</v>
      </c>
      <c r="CD108" s="47">
        <v>0</v>
      </c>
      <c r="CE108" s="47">
        <v>0</v>
      </c>
      <c r="CF108" s="47">
        <v>0</v>
      </c>
      <c r="CG108" s="47">
        <v>0</v>
      </c>
      <c r="CH108" s="47">
        <v>0</v>
      </c>
      <c r="CI108" s="47">
        <v>0</v>
      </c>
      <c r="CJ108" s="47">
        <v>0</v>
      </c>
      <c r="CK108" s="47">
        <v>0</v>
      </c>
      <c r="CL108" s="47">
        <v>0</v>
      </c>
      <c r="CM108" s="47">
        <v>0</v>
      </c>
      <c r="CN108" s="47">
        <v>0</v>
      </c>
      <c r="CO108" s="47">
        <v>0</v>
      </c>
      <c r="CP108" s="47">
        <v>0</v>
      </c>
      <c r="CQ108" s="47">
        <v>0</v>
      </c>
      <c r="CR108" s="47">
        <v>0</v>
      </c>
      <c r="CS108" s="47">
        <v>0</v>
      </c>
      <c r="CT108" s="47">
        <v>0</v>
      </c>
      <c r="CU108" s="47">
        <v>0</v>
      </c>
      <c r="CV108" s="47">
        <v>0</v>
      </c>
      <c r="CW108" s="47">
        <v>0</v>
      </c>
      <c r="CX108" s="47">
        <v>0</v>
      </c>
      <c r="CY108" s="47">
        <v>0</v>
      </c>
      <c r="CZ108" s="47">
        <v>0</v>
      </c>
      <c r="DA108" s="47">
        <v>0</v>
      </c>
      <c r="DB108" s="47">
        <v>0</v>
      </c>
      <c r="DC108" s="47">
        <v>0</v>
      </c>
      <c r="DD108" s="47">
        <v>0</v>
      </c>
      <c r="DE108" s="47">
        <v>0</v>
      </c>
      <c r="DF108" s="47">
        <v>0.0121</v>
      </c>
      <c r="DG108" s="47">
        <v>0.0121</v>
      </c>
      <c r="DH108" s="47">
        <v>0</v>
      </c>
      <c r="DI108" s="47">
        <v>0</v>
      </c>
      <c r="DJ108" s="47">
        <v>0</v>
      </c>
      <c r="DK108" s="47">
        <v>0</v>
      </c>
      <c r="DL108" s="47">
        <v>0</v>
      </c>
      <c r="DM108" s="47">
        <v>0</v>
      </c>
      <c r="DN108" s="47">
        <v>0</v>
      </c>
      <c r="DO108" s="47">
        <v>0</v>
      </c>
      <c r="DP108" s="47">
        <v>0</v>
      </c>
      <c r="DQ108" s="47">
        <v>0</v>
      </c>
      <c r="DR108" s="47">
        <v>0</v>
      </c>
    </row>
    <row r="109" spans="1:124" x14ac:dyDescent="0.25">
      <c r="A109" s="47" t="s">
        <v>648</v>
      </c>
      <c r="B109" s="47" t="s">
        <v>151</v>
      </c>
      <c r="C109" s="47" t="s">
        <v>649</v>
      </c>
      <c r="D109" s="47" t="s">
        <v>650</v>
      </c>
      <c r="E109" s="47" t="s">
        <v>651</v>
      </c>
      <c r="F109" s="47" t="s">
        <v>380</v>
      </c>
      <c r="G109" s="47" t="s">
        <v>580</v>
      </c>
      <c r="H109" s="47" t="str">
        <f>=IFERROR(VLOOKUP(A109,'ETPT Format DDG'!A:J,10,FALSE),"")</f>
        <v>0</v>
      </c>
      <c r="I109" s="47" t="str">
        <f>='ETPT Format DDG'!M109</f>
        <v/>
      </c>
      <c r="J109" s="47" t="str">
        <f>='ETPT Format DDG'!D109</f>
        <v/>
      </c>
      <c r="K109" s="47" t="s">
        <v>155</v>
      </c>
      <c r="L109" s="47" t="s">
        <v>647</v>
      </c>
      <c r="M109" s="47" t="s">
        <v>652</v>
      </c>
      <c r="N109" s="47">
        <v>0.5161</v>
      </c>
      <c r="O109" s="47">
        <v>0.5161</v>
      </c>
      <c r="P109" s="47">
        <v>0</v>
      </c>
      <c r="Q109" s="47">
        <v>0</v>
      </c>
      <c r="R109" s="47">
        <v>0</v>
      </c>
      <c r="S109" s="47">
        <v>0</v>
      </c>
      <c r="T109" s="47">
        <v>0</v>
      </c>
      <c r="U109" s="47">
        <v>0</v>
      </c>
      <c r="V109" s="47">
        <v>0</v>
      </c>
      <c r="W109" s="47">
        <v>0</v>
      </c>
      <c r="X109" s="47">
        <v>0</v>
      </c>
      <c r="Y109" s="47">
        <v>0</v>
      </c>
      <c r="Z109" s="47">
        <v>0</v>
      </c>
      <c r="AA109" s="47">
        <v>0</v>
      </c>
      <c r="AB109" s="47">
        <v>0</v>
      </c>
      <c r="AC109" s="47">
        <v>0</v>
      </c>
      <c r="AD109" s="47">
        <v>0</v>
      </c>
      <c r="AE109" s="47">
        <v>0.5161</v>
      </c>
      <c r="AF109" s="47">
        <v>0.3448</v>
      </c>
      <c r="AG109" s="47">
        <v>0</v>
      </c>
      <c r="AH109" s="47">
        <v>0</v>
      </c>
      <c r="AI109" s="47">
        <v>0</v>
      </c>
      <c r="AJ109" s="47">
        <v>0.1714</v>
      </c>
      <c r="AK109" s="47">
        <v>0</v>
      </c>
      <c r="AL109" s="47">
        <v>0</v>
      </c>
      <c r="AM109" s="47">
        <v>0</v>
      </c>
      <c r="AN109" s="47">
        <v>0</v>
      </c>
      <c r="AO109" s="47">
        <v>0</v>
      </c>
      <c r="AP109" s="47">
        <v>0</v>
      </c>
      <c r="AQ109" s="47">
        <v>0</v>
      </c>
      <c r="AR109" s="47">
        <v>0</v>
      </c>
      <c r="AS109" s="47">
        <v>0</v>
      </c>
      <c r="AT109" s="47">
        <v>0</v>
      </c>
      <c r="AU109" s="47">
        <v>0</v>
      </c>
      <c r="AV109" s="47">
        <v>0</v>
      </c>
      <c r="AW109" s="47">
        <v>0</v>
      </c>
      <c r="AX109" s="47">
        <v>0</v>
      </c>
      <c r="AY109" s="47">
        <v>0</v>
      </c>
      <c r="AZ109" s="47">
        <v>0</v>
      </c>
      <c r="BA109" s="47">
        <v>0</v>
      </c>
      <c r="BB109" s="47">
        <v>0</v>
      </c>
      <c r="BC109" s="47">
        <v>0</v>
      </c>
      <c r="BD109" s="47">
        <v>0</v>
      </c>
      <c r="BE109" s="47">
        <v>0</v>
      </c>
      <c r="BF109" s="47">
        <v>0</v>
      </c>
      <c r="BG109" s="47">
        <v>0</v>
      </c>
      <c r="BH109" s="47">
        <v>0</v>
      </c>
      <c r="BI109" s="47">
        <v>0</v>
      </c>
      <c r="BJ109" s="47">
        <v>0</v>
      </c>
      <c r="BK109" s="47">
        <v>0</v>
      </c>
      <c r="BL109" s="47">
        <v>0</v>
      </c>
      <c r="BM109" s="47">
        <v>0</v>
      </c>
      <c r="BN109" s="47">
        <v>0</v>
      </c>
      <c r="BO109" s="47">
        <v>0</v>
      </c>
      <c r="BP109" s="47">
        <v>0</v>
      </c>
      <c r="BQ109" s="47">
        <v>0</v>
      </c>
      <c r="BR109" s="47">
        <v>0</v>
      </c>
      <c r="BS109" s="47">
        <v>0</v>
      </c>
      <c r="BT109" s="47">
        <v>0</v>
      </c>
      <c r="BU109" s="47">
        <v>0</v>
      </c>
      <c r="BV109" s="47">
        <v>0</v>
      </c>
      <c r="BW109" s="47">
        <v>0</v>
      </c>
      <c r="BX109" s="47">
        <v>0</v>
      </c>
      <c r="BY109" s="47">
        <v>0</v>
      </c>
      <c r="BZ109" s="47">
        <v>0</v>
      </c>
      <c r="CA109" s="47">
        <v>0</v>
      </c>
      <c r="CB109" s="47">
        <v>0</v>
      </c>
      <c r="CC109" s="47">
        <v>0</v>
      </c>
      <c r="CD109" s="47">
        <v>0</v>
      </c>
      <c r="CE109" s="47">
        <v>0</v>
      </c>
      <c r="CF109" s="47">
        <v>0</v>
      </c>
      <c r="CG109" s="47">
        <v>0</v>
      </c>
      <c r="CH109" s="47">
        <v>0</v>
      </c>
      <c r="CI109" s="47">
        <v>0</v>
      </c>
      <c r="CJ109" s="47">
        <v>0</v>
      </c>
      <c r="CK109" s="47">
        <v>0</v>
      </c>
      <c r="CL109" s="47">
        <v>0</v>
      </c>
      <c r="CM109" s="47">
        <v>0</v>
      </c>
      <c r="CN109" s="47">
        <v>0</v>
      </c>
      <c r="CO109" s="47">
        <v>0</v>
      </c>
      <c r="CP109" s="47">
        <v>0</v>
      </c>
      <c r="CQ109" s="47">
        <v>0</v>
      </c>
      <c r="CR109" s="47">
        <v>0</v>
      </c>
      <c r="CS109" s="47">
        <v>0</v>
      </c>
      <c r="CT109" s="47">
        <v>0</v>
      </c>
      <c r="CU109" s="47">
        <v>0</v>
      </c>
      <c r="CV109" s="47">
        <v>0</v>
      </c>
      <c r="CW109" s="47">
        <v>0</v>
      </c>
      <c r="CX109" s="47">
        <v>0</v>
      </c>
      <c r="CY109" s="47">
        <v>0</v>
      </c>
      <c r="CZ109" s="47">
        <v>0</v>
      </c>
      <c r="DA109" s="47">
        <v>0</v>
      </c>
      <c r="DB109" s="47">
        <v>0</v>
      </c>
      <c r="DC109" s="47">
        <v>0</v>
      </c>
      <c r="DD109" s="47">
        <v>0</v>
      </c>
      <c r="DE109" s="47">
        <v>0</v>
      </c>
      <c r="DF109" s="47">
        <v>0</v>
      </c>
      <c r="DG109" s="47">
        <v>0</v>
      </c>
      <c r="DH109" s="47">
        <v>0</v>
      </c>
      <c r="DI109" s="47">
        <v>0</v>
      </c>
      <c r="DJ109" s="47">
        <v>0</v>
      </c>
      <c r="DK109" s="47">
        <v>0</v>
      </c>
      <c r="DL109" s="47">
        <v>0</v>
      </c>
      <c r="DM109" s="47">
        <v>0</v>
      </c>
      <c r="DN109" s="47">
        <v>0</v>
      </c>
      <c r="DO109" s="47">
        <v>0</v>
      </c>
      <c r="DP109" s="47">
        <v>0</v>
      </c>
      <c r="DQ109" s="47">
        <v>0</v>
      </c>
      <c r="DR109" s="47">
        <v>0</v>
      </c>
    </row>
    <row r="110" spans="1:124" x14ac:dyDescent="0.25">
      <c r="A110" s="47" t="s">
        <v>653</v>
      </c>
      <c r="B110" s="47" t="s">
        <v>151</v>
      </c>
      <c r="C110" s="47" t="s">
        <v>654</v>
      </c>
      <c r="D110" s="47" t="s">
        <v>655</v>
      </c>
      <c r="E110" s="47" t="s">
        <v>656</v>
      </c>
      <c r="F110" s="47" t="s">
        <v>380</v>
      </c>
      <c r="G110" s="47" t="s">
        <v>411</v>
      </c>
      <c r="H110" s="47" t="str">
        <f>=IFERROR(VLOOKUP(A110,'ETPT Format DDG'!A:J,10,FALSE),"")</f>
        <v>0</v>
      </c>
      <c r="I110" s="47" t="str">
        <f>='ETPT Format DDG'!M110</f>
        <v/>
      </c>
      <c r="J110" s="47" t="str">
        <f>='ETPT Format DDG'!D110</f>
        <v/>
      </c>
      <c r="K110" s="47" t="s">
        <v>155</v>
      </c>
      <c r="L110" s="47" t="s">
        <v>657</v>
      </c>
      <c r="M110" s="47"/>
      <c r="N110" s="47">
        <v>0.2137</v>
      </c>
      <c r="O110" s="47">
        <v>0</v>
      </c>
      <c r="P110" s="47">
        <v>0</v>
      </c>
      <c r="Q110" s="47">
        <v>0</v>
      </c>
      <c r="R110" s="47">
        <v>0</v>
      </c>
      <c r="S110" s="47">
        <v>0</v>
      </c>
      <c r="T110" s="47">
        <v>0</v>
      </c>
      <c r="U110" s="47">
        <v>0</v>
      </c>
      <c r="V110" s="47">
        <v>0</v>
      </c>
      <c r="W110" s="47">
        <v>0</v>
      </c>
      <c r="X110" s="47">
        <v>0</v>
      </c>
      <c r="Y110" s="47">
        <v>0</v>
      </c>
      <c r="Z110" s="47">
        <v>0</v>
      </c>
      <c r="AA110" s="47">
        <v>0</v>
      </c>
      <c r="AB110" s="47">
        <v>0</v>
      </c>
      <c r="AC110" s="47">
        <v>0</v>
      </c>
      <c r="AD110" s="47">
        <v>0</v>
      </c>
      <c r="AE110" s="47">
        <v>0</v>
      </c>
      <c r="AF110" s="47">
        <v>0</v>
      </c>
      <c r="AG110" s="47">
        <v>0</v>
      </c>
      <c r="AH110" s="47">
        <v>0</v>
      </c>
      <c r="AI110" s="47">
        <v>0</v>
      </c>
      <c r="AJ110" s="47">
        <v>0</v>
      </c>
      <c r="AK110" s="47">
        <v>0</v>
      </c>
      <c r="AL110" s="47">
        <v>0</v>
      </c>
      <c r="AM110" s="47">
        <v>0</v>
      </c>
      <c r="AN110" s="47">
        <v>0</v>
      </c>
      <c r="AO110" s="47">
        <v>0</v>
      </c>
      <c r="AP110" s="47">
        <v>0</v>
      </c>
      <c r="AQ110" s="47">
        <v>0</v>
      </c>
      <c r="AR110" s="47">
        <v>0</v>
      </c>
      <c r="AS110" s="47">
        <v>0</v>
      </c>
      <c r="AT110" s="47">
        <v>0</v>
      </c>
      <c r="AU110" s="47">
        <v>0</v>
      </c>
      <c r="AV110" s="47">
        <v>0</v>
      </c>
      <c r="AW110" s="47">
        <v>0</v>
      </c>
      <c r="AX110" s="47">
        <v>0</v>
      </c>
      <c r="AY110" s="47">
        <v>0</v>
      </c>
      <c r="AZ110" s="47">
        <v>0</v>
      </c>
      <c r="BA110" s="47">
        <v>0</v>
      </c>
      <c r="BB110" s="47">
        <v>0</v>
      </c>
      <c r="BC110" s="47">
        <v>0</v>
      </c>
      <c r="BD110" s="47">
        <v>0</v>
      </c>
      <c r="BE110" s="47">
        <v>0</v>
      </c>
      <c r="BF110" s="47">
        <v>0</v>
      </c>
      <c r="BG110" s="47">
        <v>0</v>
      </c>
      <c r="BH110" s="47">
        <v>0</v>
      </c>
      <c r="BI110" s="47">
        <v>0</v>
      </c>
      <c r="BJ110" s="47">
        <v>0</v>
      </c>
      <c r="BK110" s="47">
        <v>0</v>
      </c>
      <c r="BL110" s="47">
        <v>0</v>
      </c>
      <c r="BM110" s="47">
        <v>0</v>
      </c>
      <c r="BN110" s="47">
        <v>0</v>
      </c>
      <c r="BO110" s="47">
        <v>0</v>
      </c>
      <c r="BP110" s="47">
        <v>0</v>
      </c>
      <c r="BQ110" s="47">
        <v>0</v>
      </c>
      <c r="BR110" s="47">
        <v>0</v>
      </c>
      <c r="BS110" s="47">
        <v>0</v>
      </c>
      <c r="BT110" s="47">
        <v>0</v>
      </c>
      <c r="BU110" s="47">
        <v>0</v>
      </c>
      <c r="BV110" s="47">
        <v>0</v>
      </c>
      <c r="BW110" s="47">
        <v>0</v>
      </c>
      <c r="BX110" s="47">
        <v>0</v>
      </c>
      <c r="BY110" s="47">
        <v>0</v>
      </c>
      <c r="BZ110" s="47">
        <v>0</v>
      </c>
      <c r="CA110" s="47">
        <v>0</v>
      </c>
      <c r="CB110" s="47">
        <v>0</v>
      </c>
      <c r="CC110" s="47">
        <v>0</v>
      </c>
      <c r="CD110" s="47">
        <v>0</v>
      </c>
      <c r="CE110" s="47">
        <v>0</v>
      </c>
      <c r="CF110" s="47">
        <v>0</v>
      </c>
      <c r="CG110" s="47">
        <v>0</v>
      </c>
      <c r="CH110" s="47">
        <v>0</v>
      </c>
      <c r="CI110" s="47">
        <v>0</v>
      </c>
      <c r="CJ110" s="47">
        <v>0</v>
      </c>
      <c r="CK110" s="47">
        <v>0</v>
      </c>
      <c r="CL110" s="47">
        <v>0</v>
      </c>
      <c r="CM110" s="47">
        <v>0</v>
      </c>
      <c r="CN110" s="47">
        <v>0</v>
      </c>
      <c r="CO110" s="47">
        <v>0</v>
      </c>
      <c r="CP110" s="47">
        <v>0</v>
      </c>
      <c r="CQ110" s="47">
        <v>0</v>
      </c>
      <c r="CR110" s="47">
        <v>0</v>
      </c>
      <c r="CS110" s="47">
        <v>0</v>
      </c>
      <c r="CT110" s="47">
        <v>0</v>
      </c>
      <c r="CU110" s="47">
        <v>0</v>
      </c>
      <c r="CV110" s="47">
        <v>0</v>
      </c>
      <c r="CW110" s="47">
        <v>0</v>
      </c>
      <c r="CX110" s="47">
        <v>0</v>
      </c>
      <c r="CY110" s="47">
        <v>0</v>
      </c>
      <c r="CZ110" s="47">
        <v>0</v>
      </c>
      <c r="DA110" s="47">
        <v>0</v>
      </c>
      <c r="DB110" s="47">
        <v>0</v>
      </c>
      <c r="DC110" s="47">
        <v>0</v>
      </c>
      <c r="DD110" s="47">
        <v>0</v>
      </c>
      <c r="DE110" s="47">
        <v>0</v>
      </c>
      <c r="DF110" s="47">
        <v>0</v>
      </c>
      <c r="DG110" s="47">
        <v>0</v>
      </c>
      <c r="DH110" s="47">
        <v>0</v>
      </c>
      <c r="DI110" s="47">
        <v>0</v>
      </c>
      <c r="DJ110" s="47">
        <v>0</v>
      </c>
      <c r="DK110" s="47">
        <v>0</v>
      </c>
      <c r="DL110" s="47">
        <v>0</v>
      </c>
      <c r="DM110" s="47">
        <v>0</v>
      </c>
      <c r="DN110" s="47">
        <v>0</v>
      </c>
      <c r="DO110" s="47">
        <v>0</v>
      </c>
      <c r="DP110" s="47">
        <v>0</v>
      </c>
      <c r="DQ110" s="47">
        <v>0</v>
      </c>
      <c r="DR110" s="47">
        <v>0</v>
      </c>
    </row>
    <row r="111" spans="1:124" x14ac:dyDescent="0.25">
      <c r="A111" s="47" t="s">
        <v>658</v>
      </c>
      <c r="B111" s="47" t="s">
        <v>151</v>
      </c>
      <c r="C111" s="47" t="s">
        <v>659</v>
      </c>
      <c r="D111" s="47" t="s">
        <v>660</v>
      </c>
      <c r="E111" s="47" t="s">
        <v>661</v>
      </c>
      <c r="F111" s="47" t="s">
        <v>380</v>
      </c>
      <c r="G111" s="47" t="s">
        <v>411</v>
      </c>
      <c r="H111" s="47" t="str">
        <f>=IFERROR(VLOOKUP(A111,'ETPT Format DDG'!A:J,10,FALSE),"")</f>
        <v>0</v>
      </c>
      <c r="I111" s="47" t="str">
        <f>='ETPT Format DDG'!M111</f>
        <v/>
      </c>
      <c r="J111" s="47" t="str">
        <f>='ETPT Format DDG'!D111</f>
        <v/>
      </c>
      <c r="K111" s="47" t="s">
        <v>155</v>
      </c>
      <c r="L111" s="47" t="s">
        <v>208</v>
      </c>
      <c r="M111" s="47" t="s">
        <v>662</v>
      </c>
      <c r="N111" s="47">
        <v>1</v>
      </c>
      <c r="O111" s="47">
        <v>1</v>
      </c>
      <c r="P111" s="47">
        <v>0</v>
      </c>
      <c r="Q111" s="47">
        <v>0</v>
      </c>
      <c r="R111" s="47">
        <v>0</v>
      </c>
      <c r="S111" s="47">
        <v>0</v>
      </c>
      <c r="T111" s="47">
        <v>0</v>
      </c>
      <c r="U111" s="47">
        <v>0</v>
      </c>
      <c r="V111" s="47">
        <v>0</v>
      </c>
      <c r="W111" s="47">
        <v>0</v>
      </c>
      <c r="X111" s="47">
        <v>0</v>
      </c>
      <c r="Y111" s="47">
        <v>0</v>
      </c>
      <c r="Z111" s="47">
        <v>0</v>
      </c>
      <c r="AA111" s="47">
        <v>0</v>
      </c>
      <c r="AB111" s="47">
        <v>0</v>
      </c>
      <c r="AC111" s="47">
        <v>0</v>
      </c>
      <c r="AD111" s="47">
        <v>0</v>
      </c>
      <c r="AE111" s="47">
        <v>0</v>
      </c>
      <c r="AF111" s="47">
        <v>0</v>
      </c>
      <c r="AG111" s="47">
        <v>0</v>
      </c>
      <c r="AH111" s="47">
        <v>0</v>
      </c>
      <c r="AI111" s="47">
        <v>0</v>
      </c>
      <c r="AJ111" s="47">
        <v>0</v>
      </c>
      <c r="AK111" s="47">
        <v>0</v>
      </c>
      <c r="AL111" s="47">
        <v>0</v>
      </c>
      <c r="AM111" s="47">
        <v>0</v>
      </c>
      <c r="AN111" s="47">
        <v>0</v>
      </c>
      <c r="AO111" s="47">
        <v>0</v>
      </c>
      <c r="AP111" s="47">
        <v>0</v>
      </c>
      <c r="AQ111" s="47">
        <v>0</v>
      </c>
      <c r="AR111" s="47">
        <v>0</v>
      </c>
      <c r="AS111" s="47">
        <v>0</v>
      </c>
      <c r="AT111" s="47">
        <v>0</v>
      </c>
      <c r="AU111" s="47">
        <v>0</v>
      </c>
      <c r="AV111" s="47">
        <v>0</v>
      </c>
      <c r="AW111" s="47">
        <v>0</v>
      </c>
      <c r="AX111" s="47">
        <v>0</v>
      </c>
      <c r="AY111" s="47">
        <v>0</v>
      </c>
      <c r="AZ111" s="47">
        <v>0</v>
      </c>
      <c r="BA111" s="47">
        <v>0</v>
      </c>
      <c r="BB111" s="47">
        <v>0</v>
      </c>
      <c r="BC111" s="47">
        <v>0</v>
      </c>
      <c r="BD111" s="47">
        <v>0</v>
      </c>
      <c r="BE111" s="47">
        <v>0</v>
      </c>
      <c r="BF111" s="47">
        <v>0</v>
      </c>
      <c r="BG111" s="47">
        <v>0</v>
      </c>
      <c r="BH111" s="47">
        <v>0</v>
      </c>
      <c r="BI111" s="47">
        <v>0</v>
      </c>
      <c r="BJ111" s="47">
        <v>0</v>
      </c>
      <c r="BK111" s="47">
        <v>0</v>
      </c>
      <c r="BL111" s="47">
        <v>0</v>
      </c>
      <c r="BM111" s="47">
        <v>0</v>
      </c>
      <c r="BN111" s="47">
        <v>0</v>
      </c>
      <c r="BO111" s="47">
        <v>0</v>
      </c>
      <c r="BP111" s="47">
        <v>0</v>
      </c>
      <c r="BQ111" s="47">
        <v>0</v>
      </c>
      <c r="BR111" s="47">
        <v>0</v>
      </c>
      <c r="BS111" s="47">
        <v>0</v>
      </c>
      <c r="BT111" s="47">
        <v>0</v>
      </c>
      <c r="BU111" s="47">
        <v>0</v>
      </c>
      <c r="BV111" s="47">
        <v>0</v>
      </c>
      <c r="BW111" s="47">
        <v>0</v>
      </c>
      <c r="BX111" s="47">
        <v>0</v>
      </c>
      <c r="BY111" s="47">
        <v>0</v>
      </c>
      <c r="BZ111" s="47">
        <v>0</v>
      </c>
      <c r="CA111" s="47">
        <v>0</v>
      </c>
      <c r="CB111" s="47">
        <v>0</v>
      </c>
      <c r="CC111" s="47">
        <v>0</v>
      </c>
      <c r="CD111" s="47">
        <v>0</v>
      </c>
      <c r="CE111" s="47">
        <v>0</v>
      </c>
      <c r="CF111" s="47">
        <v>0</v>
      </c>
      <c r="CG111" s="47">
        <v>0</v>
      </c>
      <c r="CH111" s="47">
        <v>0</v>
      </c>
      <c r="CI111" s="47">
        <v>0</v>
      </c>
      <c r="CJ111" s="47">
        <v>0</v>
      </c>
      <c r="CK111" s="47">
        <v>0</v>
      </c>
      <c r="CL111" s="47">
        <v>0</v>
      </c>
      <c r="CM111" s="47">
        <v>0</v>
      </c>
      <c r="CN111" s="47">
        <v>0</v>
      </c>
      <c r="CO111" s="47">
        <v>0</v>
      </c>
      <c r="CP111" s="47">
        <v>0</v>
      </c>
      <c r="CQ111" s="47">
        <v>0</v>
      </c>
      <c r="CR111" s="47">
        <v>0</v>
      </c>
      <c r="CS111" s="47">
        <v>0</v>
      </c>
      <c r="CT111" s="47">
        <v>1</v>
      </c>
      <c r="CU111" s="47">
        <v>0</v>
      </c>
      <c r="CV111" s="47">
        <v>0</v>
      </c>
      <c r="CW111" s="47">
        <v>0</v>
      </c>
      <c r="CX111" s="47">
        <v>0</v>
      </c>
      <c r="CY111" s="47">
        <v>0</v>
      </c>
      <c r="CZ111" s="47">
        <v>0</v>
      </c>
      <c r="DA111" s="47">
        <v>0</v>
      </c>
      <c r="DB111" s="47">
        <v>0</v>
      </c>
      <c r="DC111" s="47">
        <v>0</v>
      </c>
      <c r="DD111" s="47">
        <v>1</v>
      </c>
      <c r="DE111" s="47">
        <v>0</v>
      </c>
      <c r="DF111" s="47">
        <v>0</v>
      </c>
      <c r="DG111" s="47">
        <v>0</v>
      </c>
      <c r="DH111" s="47">
        <v>0</v>
      </c>
      <c r="DI111" s="47">
        <v>0</v>
      </c>
      <c r="DJ111" s="47">
        <v>0</v>
      </c>
      <c r="DK111" s="47">
        <v>0</v>
      </c>
      <c r="DL111" s="47">
        <v>0</v>
      </c>
      <c r="DM111" s="47">
        <v>0</v>
      </c>
      <c r="DN111" s="47">
        <v>0</v>
      </c>
      <c r="DO111" s="47">
        <v>0</v>
      </c>
      <c r="DP111" s="47">
        <v>0</v>
      </c>
      <c r="DQ111" s="47">
        <v>0</v>
      </c>
      <c r="DR111" s="47">
        <v>0</v>
      </c>
    </row>
    <row r="112" spans="1:124" x14ac:dyDescent="0.25">
      <c r="A112" s="47" t="s">
        <v>663</v>
      </c>
      <c r="B112" s="47" t="s">
        <v>151</v>
      </c>
      <c r="C112" s="47" t="s">
        <v>664</v>
      </c>
      <c r="D112" s="47" t="s">
        <v>665</v>
      </c>
      <c r="E112" s="47" t="s">
        <v>666</v>
      </c>
      <c r="F112" s="47" t="s">
        <v>380</v>
      </c>
      <c r="G112" s="47" t="s">
        <v>411</v>
      </c>
      <c r="H112" s="47" t="str">
        <f>=IFERROR(VLOOKUP(A112,'ETPT Format DDG'!A:J,10,FALSE),"")</f>
        <v>0</v>
      </c>
      <c r="I112" s="47" t="str">
        <f>='ETPT Format DDG'!M112</f>
        <v/>
      </c>
      <c r="J112" s="47" t="str">
        <f>='ETPT Format DDG'!D112</f>
        <v/>
      </c>
      <c r="K112" s="47" t="s">
        <v>155</v>
      </c>
      <c r="L112" s="47" t="s">
        <v>667</v>
      </c>
      <c r="M112" s="47"/>
      <c r="N112" s="47">
        <v>1</v>
      </c>
      <c r="O112" s="47">
        <v>1</v>
      </c>
      <c r="P112" s="47">
        <v>0</v>
      </c>
      <c r="Q112" s="47">
        <v>0</v>
      </c>
      <c r="R112" s="47">
        <v>0</v>
      </c>
      <c r="S112" s="47">
        <v>0</v>
      </c>
      <c r="T112" s="47">
        <v>0</v>
      </c>
      <c r="U112" s="47">
        <v>0</v>
      </c>
      <c r="V112" s="47">
        <v>0</v>
      </c>
      <c r="W112" s="47">
        <v>0</v>
      </c>
      <c r="X112" s="47">
        <v>0</v>
      </c>
      <c r="Y112" s="47">
        <v>0</v>
      </c>
      <c r="Z112" s="47">
        <v>0</v>
      </c>
      <c r="AA112" s="47">
        <v>0</v>
      </c>
      <c r="AB112" s="47">
        <v>0</v>
      </c>
      <c r="AC112" s="47">
        <v>0</v>
      </c>
      <c r="AD112" s="47">
        <v>0</v>
      </c>
      <c r="AE112" s="47">
        <v>0</v>
      </c>
      <c r="AF112" s="47">
        <v>0</v>
      </c>
      <c r="AG112" s="47">
        <v>0</v>
      </c>
      <c r="AH112" s="47">
        <v>0</v>
      </c>
      <c r="AI112" s="47">
        <v>0</v>
      </c>
      <c r="AJ112" s="47">
        <v>0</v>
      </c>
      <c r="AK112" s="47">
        <v>0</v>
      </c>
      <c r="AL112" s="47">
        <v>0</v>
      </c>
      <c r="AM112" s="47">
        <v>0</v>
      </c>
      <c r="AN112" s="47">
        <v>0</v>
      </c>
      <c r="AO112" s="47">
        <v>0</v>
      </c>
      <c r="AP112" s="47">
        <v>0</v>
      </c>
      <c r="AQ112" s="47">
        <v>0</v>
      </c>
      <c r="AR112" s="47">
        <v>0</v>
      </c>
      <c r="AS112" s="47">
        <v>0</v>
      </c>
      <c r="AT112" s="47">
        <v>0</v>
      </c>
      <c r="AU112" s="47">
        <v>0</v>
      </c>
      <c r="AV112" s="47">
        <v>0</v>
      </c>
      <c r="AW112" s="47">
        <v>0</v>
      </c>
      <c r="AX112" s="47">
        <v>0</v>
      </c>
      <c r="AY112" s="47">
        <v>0</v>
      </c>
      <c r="AZ112" s="47">
        <v>0</v>
      </c>
      <c r="BA112" s="47">
        <v>0</v>
      </c>
      <c r="BB112" s="47">
        <v>0</v>
      </c>
      <c r="BC112" s="47">
        <v>0</v>
      </c>
      <c r="BD112" s="47">
        <v>0</v>
      </c>
      <c r="BE112" s="47">
        <v>0</v>
      </c>
      <c r="BF112" s="47">
        <v>0</v>
      </c>
      <c r="BG112" s="47">
        <v>0</v>
      </c>
      <c r="BH112" s="47">
        <v>0</v>
      </c>
      <c r="BI112" s="47">
        <v>0</v>
      </c>
      <c r="BJ112" s="47">
        <v>0</v>
      </c>
      <c r="BK112" s="47">
        <v>0</v>
      </c>
      <c r="BL112" s="47">
        <v>0</v>
      </c>
      <c r="BM112" s="47">
        <v>0</v>
      </c>
      <c r="BN112" s="47">
        <v>0</v>
      </c>
      <c r="BO112" s="47">
        <v>0</v>
      </c>
      <c r="BP112" s="47">
        <v>0</v>
      </c>
      <c r="BQ112" s="47">
        <v>0</v>
      </c>
      <c r="BR112" s="47">
        <v>0</v>
      </c>
      <c r="BS112" s="47">
        <v>0</v>
      </c>
      <c r="BT112" s="47">
        <v>0</v>
      </c>
      <c r="BU112" s="47">
        <v>0</v>
      </c>
      <c r="BV112" s="47">
        <v>0</v>
      </c>
      <c r="BW112" s="47">
        <v>0</v>
      </c>
      <c r="BX112" s="47">
        <v>0</v>
      </c>
      <c r="BY112" s="47">
        <v>0</v>
      </c>
      <c r="BZ112" s="47">
        <v>0</v>
      </c>
      <c r="CA112" s="47">
        <v>0</v>
      </c>
      <c r="CB112" s="47">
        <v>0</v>
      </c>
      <c r="CC112" s="47">
        <v>0</v>
      </c>
      <c r="CD112" s="47">
        <v>0</v>
      </c>
      <c r="CE112" s="47">
        <v>0</v>
      </c>
      <c r="CF112" s="47">
        <v>0</v>
      </c>
      <c r="CG112" s="47">
        <v>0</v>
      </c>
      <c r="CH112" s="47">
        <v>0</v>
      </c>
      <c r="CI112" s="47">
        <v>0</v>
      </c>
      <c r="CJ112" s="47">
        <v>0</v>
      </c>
      <c r="CK112" s="47">
        <v>0</v>
      </c>
      <c r="CL112" s="47">
        <v>0</v>
      </c>
      <c r="CM112" s="47">
        <v>0</v>
      </c>
      <c r="CN112" s="47">
        <v>0</v>
      </c>
      <c r="CO112" s="47">
        <v>0</v>
      </c>
      <c r="CP112" s="47">
        <v>0</v>
      </c>
      <c r="CQ112" s="47">
        <v>0</v>
      </c>
      <c r="CR112" s="47">
        <v>0</v>
      </c>
      <c r="CS112" s="47">
        <v>0</v>
      </c>
      <c r="CT112" s="47">
        <v>1</v>
      </c>
      <c r="CU112" s="47">
        <v>0</v>
      </c>
      <c r="CV112" s="47">
        <v>0</v>
      </c>
      <c r="CW112" s="47">
        <v>0</v>
      </c>
      <c r="CX112" s="47">
        <v>0</v>
      </c>
      <c r="CY112" s="47">
        <v>0</v>
      </c>
      <c r="CZ112" s="47">
        <v>0</v>
      </c>
      <c r="DA112" s="47">
        <v>0</v>
      </c>
      <c r="DB112" s="47">
        <v>1</v>
      </c>
      <c r="DC112" s="47">
        <v>0</v>
      </c>
      <c r="DD112" s="47">
        <v>0</v>
      </c>
      <c r="DE112" s="47">
        <v>0</v>
      </c>
      <c r="DF112" s="47">
        <v>0</v>
      </c>
      <c r="DG112" s="47">
        <v>0</v>
      </c>
      <c r="DH112" s="47">
        <v>0</v>
      </c>
      <c r="DI112" s="47">
        <v>0</v>
      </c>
      <c r="DJ112" s="47">
        <v>0</v>
      </c>
      <c r="DK112" s="47">
        <v>0</v>
      </c>
      <c r="DL112" s="47">
        <v>0</v>
      </c>
      <c r="DM112" s="47">
        <v>0</v>
      </c>
      <c r="DN112" s="47">
        <v>0</v>
      </c>
      <c r="DO112" s="47">
        <v>0</v>
      </c>
      <c r="DP112" s="47">
        <v>0</v>
      </c>
      <c r="DQ112" s="47">
        <v>0</v>
      </c>
      <c r="DR112" s="47">
        <v>0</v>
      </c>
    </row>
    <row r="113" spans="1:124" x14ac:dyDescent="0.25">
      <c r="A113" s="47" t="s">
        <v>668</v>
      </c>
      <c r="B113" s="47" t="s">
        <v>151</v>
      </c>
      <c r="C113" s="47" t="s">
        <v>669</v>
      </c>
      <c r="D113" s="47" t="s">
        <v>670</v>
      </c>
      <c r="E113" s="47" t="s">
        <v>671</v>
      </c>
      <c r="F113" s="47" t="s">
        <v>380</v>
      </c>
      <c r="G113" s="47" t="s">
        <v>381</v>
      </c>
      <c r="H113" s="47" t="str">
        <f>=IFERROR(VLOOKUP(A113,'ETPT Format DDG'!A:J,10,FALSE),"")</f>
        <v>0</v>
      </c>
      <c r="I113" s="47" t="str">
        <f>='ETPT Format DDG'!M113</f>
        <v/>
      </c>
      <c r="J113" s="47" t="str">
        <f>='ETPT Format DDG'!D113</f>
        <v/>
      </c>
      <c r="K113" s="47" t="s">
        <v>155</v>
      </c>
      <c r="L113" s="47" t="s">
        <v>672</v>
      </c>
      <c r="M113" s="47"/>
      <c r="N113" s="47">
        <v>0.8</v>
      </c>
      <c r="O113" s="47">
        <v>0</v>
      </c>
      <c r="P113" s="47">
        <v>0</v>
      </c>
      <c r="Q113" s="47">
        <v>0</v>
      </c>
      <c r="R113" s="47">
        <v>0</v>
      </c>
      <c r="S113" s="47">
        <v>0</v>
      </c>
      <c r="T113" s="47">
        <v>0</v>
      </c>
      <c r="U113" s="47">
        <v>0</v>
      </c>
      <c r="V113" s="47">
        <v>0</v>
      </c>
      <c r="W113" s="47">
        <v>0</v>
      </c>
      <c r="X113" s="47">
        <v>0</v>
      </c>
      <c r="Y113" s="47">
        <v>0</v>
      </c>
      <c r="Z113" s="47">
        <v>0</v>
      </c>
      <c r="AA113" s="47">
        <v>0</v>
      </c>
      <c r="AB113" s="47">
        <v>0</v>
      </c>
      <c r="AC113" s="47">
        <v>0</v>
      </c>
      <c r="AD113" s="47">
        <v>0</v>
      </c>
      <c r="AE113" s="47">
        <v>0</v>
      </c>
      <c r="AF113" s="47">
        <v>0</v>
      </c>
      <c r="AG113" s="47">
        <v>0</v>
      </c>
      <c r="AH113" s="47">
        <v>0</v>
      </c>
      <c r="AI113" s="47">
        <v>0</v>
      </c>
      <c r="AJ113" s="47">
        <v>0</v>
      </c>
      <c r="AK113" s="47">
        <v>0</v>
      </c>
      <c r="AL113" s="47">
        <v>0</v>
      </c>
      <c r="AM113" s="47">
        <v>0</v>
      </c>
      <c r="AN113" s="47">
        <v>0</v>
      </c>
      <c r="AO113" s="47">
        <v>0</v>
      </c>
      <c r="AP113" s="47">
        <v>0</v>
      </c>
      <c r="AQ113" s="47">
        <v>0</v>
      </c>
      <c r="AR113" s="47">
        <v>0</v>
      </c>
      <c r="AS113" s="47">
        <v>0</v>
      </c>
      <c r="AT113" s="47">
        <v>0</v>
      </c>
      <c r="AU113" s="47">
        <v>0</v>
      </c>
      <c r="AV113" s="47">
        <v>0</v>
      </c>
      <c r="AW113" s="47">
        <v>0</v>
      </c>
      <c r="AX113" s="47">
        <v>0</v>
      </c>
      <c r="AY113" s="47">
        <v>0</v>
      </c>
      <c r="AZ113" s="47">
        <v>0</v>
      </c>
      <c r="BA113" s="47">
        <v>0</v>
      </c>
      <c r="BB113" s="47">
        <v>0</v>
      </c>
      <c r="BC113" s="47">
        <v>0</v>
      </c>
      <c r="BD113" s="47">
        <v>0</v>
      </c>
      <c r="BE113" s="47">
        <v>0</v>
      </c>
      <c r="BF113" s="47">
        <v>0</v>
      </c>
      <c r="BG113" s="47">
        <v>0</v>
      </c>
      <c r="BH113" s="47">
        <v>0</v>
      </c>
      <c r="BI113" s="47">
        <v>0</v>
      </c>
      <c r="BJ113" s="47">
        <v>0</v>
      </c>
      <c r="BK113" s="47">
        <v>0</v>
      </c>
      <c r="BL113" s="47">
        <v>0</v>
      </c>
      <c r="BM113" s="47">
        <v>0</v>
      </c>
      <c r="BN113" s="47">
        <v>0</v>
      </c>
      <c r="BO113" s="47">
        <v>0</v>
      </c>
      <c r="BP113" s="47">
        <v>0</v>
      </c>
      <c r="BQ113" s="47">
        <v>0</v>
      </c>
      <c r="BR113" s="47">
        <v>0</v>
      </c>
      <c r="BS113" s="47">
        <v>0</v>
      </c>
      <c r="BT113" s="47">
        <v>0</v>
      </c>
      <c r="BU113" s="47">
        <v>0</v>
      </c>
      <c r="BV113" s="47">
        <v>0</v>
      </c>
      <c r="BW113" s="47">
        <v>0</v>
      </c>
      <c r="BX113" s="47">
        <v>0</v>
      </c>
      <c r="BY113" s="47">
        <v>0</v>
      </c>
      <c r="BZ113" s="47">
        <v>0</v>
      </c>
      <c r="CA113" s="47">
        <v>0</v>
      </c>
      <c r="CB113" s="47">
        <v>0</v>
      </c>
      <c r="CC113" s="47">
        <v>0</v>
      </c>
      <c r="CD113" s="47">
        <v>0</v>
      </c>
      <c r="CE113" s="47">
        <v>0</v>
      </c>
      <c r="CF113" s="47">
        <v>0</v>
      </c>
      <c r="CG113" s="47">
        <v>0</v>
      </c>
      <c r="CH113" s="47">
        <v>0</v>
      </c>
      <c r="CI113" s="47">
        <v>0</v>
      </c>
      <c r="CJ113" s="47">
        <v>0</v>
      </c>
      <c r="CK113" s="47">
        <v>0</v>
      </c>
      <c r="CL113" s="47">
        <v>0</v>
      </c>
      <c r="CM113" s="47">
        <v>0</v>
      </c>
      <c r="CN113" s="47">
        <v>0</v>
      </c>
      <c r="CO113" s="47">
        <v>0</v>
      </c>
      <c r="CP113" s="47">
        <v>0</v>
      </c>
      <c r="CQ113" s="47">
        <v>0</v>
      </c>
      <c r="CR113" s="47">
        <v>0</v>
      </c>
      <c r="CS113" s="47">
        <v>0</v>
      </c>
      <c r="CT113" s="47">
        <v>0</v>
      </c>
      <c r="CU113" s="47">
        <v>0</v>
      </c>
      <c r="CV113" s="47">
        <v>0</v>
      </c>
      <c r="CW113" s="47">
        <v>0</v>
      </c>
      <c r="CX113" s="47">
        <v>0</v>
      </c>
      <c r="CY113" s="47">
        <v>0</v>
      </c>
      <c r="CZ113" s="47">
        <v>0</v>
      </c>
      <c r="DA113" s="47">
        <v>0</v>
      </c>
      <c r="DB113" s="47">
        <v>0</v>
      </c>
      <c r="DC113" s="47">
        <v>0</v>
      </c>
      <c r="DD113" s="47">
        <v>0</v>
      </c>
      <c r="DE113" s="47">
        <v>0</v>
      </c>
      <c r="DF113" s="47">
        <v>0</v>
      </c>
      <c r="DG113" s="47">
        <v>0</v>
      </c>
      <c r="DH113" s="47">
        <v>0</v>
      </c>
      <c r="DI113" s="47">
        <v>0</v>
      </c>
      <c r="DJ113" s="47">
        <v>0</v>
      </c>
      <c r="DK113" s="47">
        <v>0</v>
      </c>
      <c r="DL113" s="47">
        <v>0</v>
      </c>
      <c r="DM113" s="47">
        <v>0</v>
      </c>
      <c r="DN113" s="47">
        <v>0</v>
      </c>
      <c r="DO113" s="47">
        <v>0</v>
      </c>
      <c r="DP113" s="47">
        <v>0</v>
      </c>
      <c r="DQ113" s="47">
        <v>0</v>
      </c>
      <c r="DR113" s="47">
        <v>0</v>
      </c>
    </row>
    <row r="114" spans="1:124" x14ac:dyDescent="0.25">
      <c r="A114" s="47" t="s">
        <v>673</v>
      </c>
      <c r="B114" s="47" t="s">
        <v>151</v>
      </c>
      <c r="C114" s="47" t="s">
        <v>674</v>
      </c>
      <c r="D114" s="47" t="s">
        <v>675</v>
      </c>
      <c r="E114" s="47" t="s">
        <v>676</v>
      </c>
      <c r="F114" s="47" t="s">
        <v>380</v>
      </c>
      <c r="G114" s="47" t="s">
        <v>411</v>
      </c>
      <c r="H114" s="47" t="str">
        <f>=IFERROR(VLOOKUP(A114,'ETPT Format DDG'!A:J,10,FALSE),"")</f>
        <v>0</v>
      </c>
      <c r="I114" s="47" t="str">
        <f>='ETPT Format DDG'!M114</f>
        <v/>
      </c>
      <c r="J114" s="47" t="str">
        <f>='ETPT Format DDG'!D114</f>
        <v/>
      </c>
      <c r="K114" s="47" t="s">
        <v>155</v>
      </c>
      <c r="L114" s="47" t="s">
        <v>440</v>
      </c>
      <c r="M114" s="47"/>
      <c r="N114" s="47">
        <v>1</v>
      </c>
      <c r="O114" s="47">
        <v>0</v>
      </c>
      <c r="P114" s="47">
        <v>0</v>
      </c>
      <c r="Q114" s="47">
        <v>0</v>
      </c>
      <c r="R114" s="47">
        <v>0</v>
      </c>
      <c r="S114" s="47">
        <v>0</v>
      </c>
      <c r="T114" s="47">
        <v>0</v>
      </c>
      <c r="U114" s="47">
        <v>0</v>
      </c>
      <c r="V114" s="47">
        <v>0</v>
      </c>
      <c r="W114" s="47">
        <v>0</v>
      </c>
      <c r="X114" s="47">
        <v>0</v>
      </c>
      <c r="Y114" s="47">
        <v>0</v>
      </c>
      <c r="Z114" s="47">
        <v>0</v>
      </c>
      <c r="AA114" s="47">
        <v>0</v>
      </c>
      <c r="AB114" s="47">
        <v>0</v>
      </c>
      <c r="AC114" s="47">
        <v>0</v>
      </c>
      <c r="AD114" s="47">
        <v>0</v>
      </c>
      <c r="AE114" s="47">
        <v>0</v>
      </c>
      <c r="AF114" s="47">
        <v>0</v>
      </c>
      <c r="AG114" s="47">
        <v>0</v>
      </c>
      <c r="AH114" s="47">
        <v>0</v>
      </c>
      <c r="AI114" s="47">
        <v>0</v>
      </c>
      <c r="AJ114" s="47">
        <v>0</v>
      </c>
      <c r="AK114" s="47">
        <v>0</v>
      </c>
      <c r="AL114" s="47">
        <v>0</v>
      </c>
      <c r="AM114" s="47">
        <v>0</v>
      </c>
      <c r="AN114" s="47">
        <v>0</v>
      </c>
      <c r="AO114" s="47">
        <v>0</v>
      </c>
      <c r="AP114" s="47">
        <v>0</v>
      </c>
      <c r="AQ114" s="47">
        <v>0</v>
      </c>
      <c r="AR114" s="47">
        <v>0</v>
      </c>
      <c r="AS114" s="47">
        <v>0</v>
      </c>
      <c r="AT114" s="47">
        <v>0</v>
      </c>
      <c r="AU114" s="47">
        <v>0</v>
      </c>
      <c r="AV114" s="47">
        <v>0</v>
      </c>
      <c r="AW114" s="47">
        <v>0</v>
      </c>
      <c r="AX114" s="47">
        <v>0</v>
      </c>
      <c r="AY114" s="47">
        <v>0</v>
      </c>
      <c r="AZ114" s="47">
        <v>0</v>
      </c>
      <c r="BA114" s="47">
        <v>0</v>
      </c>
      <c r="BB114" s="47">
        <v>0</v>
      </c>
      <c r="BC114" s="47">
        <v>0</v>
      </c>
      <c r="BD114" s="47">
        <v>0</v>
      </c>
      <c r="BE114" s="47">
        <v>0</v>
      </c>
      <c r="BF114" s="47">
        <v>0</v>
      </c>
      <c r="BG114" s="47">
        <v>0</v>
      </c>
      <c r="BH114" s="47">
        <v>0</v>
      </c>
      <c r="BI114" s="47">
        <v>0</v>
      </c>
      <c r="BJ114" s="47">
        <v>0</v>
      </c>
      <c r="BK114" s="47">
        <v>0</v>
      </c>
      <c r="BL114" s="47">
        <v>0</v>
      </c>
      <c r="BM114" s="47">
        <v>0</v>
      </c>
      <c r="BN114" s="47">
        <v>0</v>
      </c>
      <c r="BO114" s="47">
        <v>0</v>
      </c>
      <c r="BP114" s="47">
        <v>0</v>
      </c>
      <c r="BQ114" s="47">
        <v>0</v>
      </c>
      <c r="BR114" s="47">
        <v>0</v>
      </c>
      <c r="BS114" s="47">
        <v>0</v>
      </c>
      <c r="BT114" s="47">
        <v>0</v>
      </c>
      <c r="BU114" s="47">
        <v>0</v>
      </c>
      <c r="BV114" s="47">
        <v>0</v>
      </c>
      <c r="BW114" s="47">
        <v>0</v>
      </c>
      <c r="BX114" s="47">
        <v>0</v>
      </c>
      <c r="BY114" s="47">
        <v>0</v>
      </c>
      <c r="BZ114" s="47">
        <v>0</v>
      </c>
      <c r="CA114" s="47">
        <v>0</v>
      </c>
      <c r="CB114" s="47">
        <v>0</v>
      </c>
      <c r="CC114" s="47">
        <v>0</v>
      </c>
      <c r="CD114" s="47">
        <v>0</v>
      </c>
      <c r="CE114" s="47">
        <v>0</v>
      </c>
      <c r="CF114" s="47">
        <v>0</v>
      </c>
      <c r="CG114" s="47">
        <v>0</v>
      </c>
      <c r="CH114" s="47">
        <v>0</v>
      </c>
      <c r="CI114" s="47">
        <v>0</v>
      </c>
      <c r="CJ114" s="47">
        <v>0</v>
      </c>
      <c r="CK114" s="47">
        <v>0</v>
      </c>
      <c r="CL114" s="47">
        <v>0</v>
      </c>
      <c r="CM114" s="47">
        <v>0</v>
      </c>
      <c r="CN114" s="47">
        <v>0</v>
      </c>
      <c r="CO114" s="47">
        <v>0</v>
      </c>
      <c r="CP114" s="47">
        <v>0</v>
      </c>
      <c r="CQ114" s="47">
        <v>0</v>
      </c>
      <c r="CR114" s="47">
        <v>0</v>
      </c>
      <c r="CS114" s="47">
        <v>0</v>
      </c>
      <c r="CT114" s="47">
        <v>0</v>
      </c>
      <c r="CU114" s="47">
        <v>0</v>
      </c>
      <c r="CV114" s="47">
        <v>0</v>
      </c>
      <c r="CW114" s="47">
        <v>0</v>
      </c>
      <c r="CX114" s="47">
        <v>0</v>
      </c>
      <c r="CY114" s="47">
        <v>0</v>
      </c>
      <c r="CZ114" s="47">
        <v>0</v>
      </c>
      <c r="DA114" s="47">
        <v>0</v>
      </c>
      <c r="DB114" s="47">
        <v>0</v>
      </c>
      <c r="DC114" s="47">
        <v>0</v>
      </c>
      <c r="DD114" s="47">
        <v>0</v>
      </c>
      <c r="DE114" s="47">
        <v>0</v>
      </c>
      <c r="DF114" s="47">
        <v>0</v>
      </c>
      <c r="DG114" s="47">
        <v>0</v>
      </c>
      <c r="DH114" s="47">
        <v>0</v>
      </c>
      <c r="DI114" s="47">
        <v>0</v>
      </c>
      <c r="DJ114" s="47">
        <v>0</v>
      </c>
      <c r="DK114" s="47">
        <v>0</v>
      </c>
      <c r="DL114" s="47">
        <v>0</v>
      </c>
      <c r="DM114" s="47">
        <v>0</v>
      </c>
      <c r="DN114" s="47">
        <v>0</v>
      </c>
      <c r="DO114" s="47">
        <v>0</v>
      </c>
      <c r="DP114" s="47">
        <v>0</v>
      </c>
      <c r="DQ114" s="47">
        <v>0</v>
      </c>
      <c r="DR114" s="47">
        <v>0</v>
      </c>
    </row>
    <row r="115" spans="1:124" x14ac:dyDescent="0.25">
      <c r="A115" s="47" t="s">
        <v>677</v>
      </c>
      <c r="B115" s="47" t="s">
        <v>151</v>
      </c>
      <c r="C115" s="47" t="s">
        <v>678</v>
      </c>
      <c r="D115" s="47" t="s">
        <v>679</v>
      </c>
      <c r="E115" s="47" t="s">
        <v>680</v>
      </c>
      <c r="F115" s="47" t="s">
        <v>380</v>
      </c>
      <c r="G115" s="47" t="s">
        <v>381</v>
      </c>
      <c r="H115" s="47" t="str">
        <f>=IFERROR(VLOOKUP(A115,'ETPT Format DDG'!A:J,10,FALSE),"")</f>
        <v>0</v>
      </c>
      <c r="I115" s="47" t="str">
        <f>='ETPT Format DDG'!M115</f>
        <v/>
      </c>
      <c r="J115" s="47" t="str">
        <f>='ETPT Format DDG'!D115</f>
        <v/>
      </c>
      <c r="K115" s="47" t="s">
        <v>155</v>
      </c>
      <c r="L115" s="47" t="s">
        <v>681</v>
      </c>
      <c r="M115" s="47"/>
      <c r="N115" s="47">
        <v>1</v>
      </c>
      <c r="O115" s="47">
        <v>0</v>
      </c>
      <c r="P115" s="47">
        <v>0</v>
      </c>
      <c r="Q115" s="47">
        <v>0</v>
      </c>
      <c r="R115" s="47">
        <v>0</v>
      </c>
      <c r="S115" s="47">
        <v>0</v>
      </c>
      <c r="T115" s="47">
        <v>0</v>
      </c>
      <c r="U115" s="47">
        <v>0</v>
      </c>
      <c r="V115" s="47">
        <v>0</v>
      </c>
      <c r="W115" s="47">
        <v>0</v>
      </c>
      <c r="X115" s="47">
        <v>0</v>
      </c>
      <c r="Y115" s="47">
        <v>0</v>
      </c>
      <c r="Z115" s="47">
        <v>0</v>
      </c>
      <c r="AA115" s="47">
        <v>0</v>
      </c>
      <c r="AB115" s="47">
        <v>0</v>
      </c>
      <c r="AC115" s="47">
        <v>0</v>
      </c>
      <c r="AD115" s="47">
        <v>0</v>
      </c>
      <c r="AE115" s="47">
        <v>0</v>
      </c>
      <c r="AF115" s="47">
        <v>0</v>
      </c>
      <c r="AG115" s="47">
        <v>0</v>
      </c>
      <c r="AH115" s="47">
        <v>0</v>
      </c>
      <c r="AI115" s="47">
        <v>0</v>
      </c>
      <c r="AJ115" s="47">
        <v>0</v>
      </c>
      <c r="AK115" s="47">
        <v>0</v>
      </c>
      <c r="AL115" s="47">
        <v>0</v>
      </c>
      <c r="AM115" s="47">
        <v>0</v>
      </c>
      <c r="AN115" s="47">
        <v>0</v>
      </c>
      <c r="AO115" s="47">
        <v>0</v>
      </c>
      <c r="AP115" s="47">
        <v>0</v>
      </c>
      <c r="AQ115" s="47">
        <v>0</v>
      </c>
      <c r="AR115" s="47">
        <v>0</v>
      </c>
      <c r="AS115" s="47">
        <v>0</v>
      </c>
      <c r="AT115" s="47">
        <v>0</v>
      </c>
      <c r="AU115" s="47">
        <v>0</v>
      </c>
      <c r="AV115" s="47">
        <v>0</v>
      </c>
      <c r="AW115" s="47">
        <v>0</v>
      </c>
      <c r="AX115" s="47">
        <v>0</v>
      </c>
      <c r="AY115" s="47">
        <v>0</v>
      </c>
      <c r="AZ115" s="47">
        <v>0</v>
      </c>
      <c r="BA115" s="47">
        <v>0</v>
      </c>
      <c r="BB115" s="47">
        <v>0</v>
      </c>
      <c r="BC115" s="47">
        <v>0</v>
      </c>
      <c r="BD115" s="47">
        <v>0</v>
      </c>
      <c r="BE115" s="47">
        <v>0</v>
      </c>
      <c r="BF115" s="47">
        <v>0</v>
      </c>
      <c r="BG115" s="47">
        <v>0</v>
      </c>
      <c r="BH115" s="47">
        <v>0</v>
      </c>
      <c r="BI115" s="47">
        <v>0</v>
      </c>
      <c r="BJ115" s="47">
        <v>0</v>
      </c>
      <c r="BK115" s="47">
        <v>0</v>
      </c>
      <c r="BL115" s="47">
        <v>0</v>
      </c>
      <c r="BM115" s="47">
        <v>0</v>
      </c>
      <c r="BN115" s="47">
        <v>0</v>
      </c>
      <c r="BO115" s="47">
        <v>0</v>
      </c>
      <c r="BP115" s="47">
        <v>0</v>
      </c>
      <c r="BQ115" s="47">
        <v>0</v>
      </c>
      <c r="BR115" s="47">
        <v>0</v>
      </c>
      <c r="BS115" s="47">
        <v>0</v>
      </c>
      <c r="BT115" s="47">
        <v>0</v>
      </c>
      <c r="BU115" s="47">
        <v>0</v>
      </c>
      <c r="BV115" s="47">
        <v>0</v>
      </c>
      <c r="BW115" s="47">
        <v>0</v>
      </c>
      <c r="BX115" s="47">
        <v>0</v>
      </c>
      <c r="BY115" s="47">
        <v>0</v>
      </c>
      <c r="BZ115" s="47">
        <v>0</v>
      </c>
      <c r="CA115" s="47">
        <v>0</v>
      </c>
      <c r="CB115" s="47">
        <v>0</v>
      </c>
      <c r="CC115" s="47">
        <v>0</v>
      </c>
      <c r="CD115" s="47">
        <v>0</v>
      </c>
      <c r="CE115" s="47">
        <v>0</v>
      </c>
      <c r="CF115" s="47">
        <v>0</v>
      </c>
      <c r="CG115" s="47">
        <v>0</v>
      </c>
      <c r="CH115" s="47">
        <v>0</v>
      </c>
      <c r="CI115" s="47">
        <v>0</v>
      </c>
      <c r="CJ115" s="47">
        <v>0</v>
      </c>
      <c r="CK115" s="47">
        <v>0</v>
      </c>
      <c r="CL115" s="47">
        <v>0</v>
      </c>
      <c r="CM115" s="47">
        <v>0</v>
      </c>
      <c r="CN115" s="47">
        <v>0</v>
      </c>
      <c r="CO115" s="47">
        <v>0</v>
      </c>
      <c r="CP115" s="47">
        <v>0</v>
      </c>
      <c r="CQ115" s="47">
        <v>0</v>
      </c>
      <c r="CR115" s="47">
        <v>0</v>
      </c>
      <c r="CS115" s="47">
        <v>0</v>
      </c>
      <c r="CT115" s="47">
        <v>0</v>
      </c>
      <c r="CU115" s="47">
        <v>0</v>
      </c>
      <c r="CV115" s="47">
        <v>0</v>
      </c>
      <c r="CW115" s="47">
        <v>0</v>
      </c>
      <c r="CX115" s="47">
        <v>0</v>
      </c>
      <c r="CY115" s="47">
        <v>0</v>
      </c>
      <c r="CZ115" s="47">
        <v>0</v>
      </c>
      <c r="DA115" s="47">
        <v>0</v>
      </c>
      <c r="DB115" s="47">
        <v>0</v>
      </c>
      <c r="DC115" s="47">
        <v>0</v>
      </c>
      <c r="DD115" s="47">
        <v>0</v>
      </c>
      <c r="DE115" s="47">
        <v>0</v>
      </c>
      <c r="DF115" s="47">
        <v>0</v>
      </c>
      <c r="DG115" s="47">
        <v>0</v>
      </c>
      <c r="DH115" s="47">
        <v>0</v>
      </c>
      <c r="DI115" s="47">
        <v>0</v>
      </c>
      <c r="DJ115" s="47">
        <v>0</v>
      </c>
      <c r="DK115" s="47">
        <v>0</v>
      </c>
      <c r="DL115" s="47">
        <v>0</v>
      </c>
      <c r="DM115" s="47">
        <v>0</v>
      </c>
      <c r="DN115" s="47">
        <v>0</v>
      </c>
      <c r="DO115" s="47">
        <v>0</v>
      </c>
      <c r="DP115" s="47">
        <v>0</v>
      </c>
      <c r="DQ115" s="47">
        <v>0</v>
      </c>
      <c r="DR115" s="47">
        <v>0</v>
      </c>
    </row>
    <row r="116" spans="1:124" x14ac:dyDescent="0.25">
      <c r="A116" s="47" t="s">
        <v>682</v>
      </c>
      <c r="B116" s="47" t="s">
        <v>151</v>
      </c>
      <c r="C116" s="47" t="s">
        <v>683</v>
      </c>
      <c r="D116" s="47" t="s">
        <v>684</v>
      </c>
      <c r="E116" s="47" t="s">
        <v>685</v>
      </c>
      <c r="F116" s="47" t="s">
        <v>380</v>
      </c>
      <c r="G116" s="47" t="s">
        <v>411</v>
      </c>
      <c r="H116" s="47" t="str">
        <f>=IFERROR(VLOOKUP(A116,'ETPT Format DDG'!A:J,10,FALSE),"")</f>
        <v>0</v>
      </c>
      <c r="I116" s="47" t="str">
        <f>='ETPT Format DDG'!M116</f>
        <v/>
      </c>
      <c r="J116" s="47" t="str">
        <f>='ETPT Format DDG'!D116</f>
        <v/>
      </c>
      <c r="K116" s="47" t="s">
        <v>155</v>
      </c>
      <c r="L116" s="47" t="s">
        <v>686</v>
      </c>
      <c r="M116" s="47"/>
      <c r="N116" s="47">
        <v>1</v>
      </c>
      <c r="O116" s="47">
        <v>0</v>
      </c>
      <c r="P116" s="47">
        <v>0</v>
      </c>
      <c r="Q116" s="47">
        <v>0</v>
      </c>
      <c r="R116" s="47">
        <v>0</v>
      </c>
      <c r="S116" s="47">
        <v>0</v>
      </c>
      <c r="T116" s="47">
        <v>0</v>
      </c>
      <c r="U116" s="47">
        <v>0</v>
      </c>
      <c r="V116" s="47">
        <v>0</v>
      </c>
      <c r="W116" s="47">
        <v>0</v>
      </c>
      <c r="X116" s="47">
        <v>0</v>
      </c>
      <c r="Y116" s="47">
        <v>0</v>
      </c>
      <c r="Z116" s="47">
        <v>0</v>
      </c>
      <c r="AA116" s="47">
        <v>0</v>
      </c>
      <c r="AB116" s="47">
        <v>0</v>
      </c>
      <c r="AC116" s="47">
        <v>0</v>
      </c>
      <c r="AD116" s="47">
        <v>0</v>
      </c>
      <c r="AE116" s="47">
        <v>0</v>
      </c>
      <c r="AF116" s="47">
        <v>0</v>
      </c>
      <c r="AG116" s="47">
        <v>0</v>
      </c>
      <c r="AH116" s="47">
        <v>0</v>
      </c>
      <c r="AI116" s="47">
        <v>0</v>
      </c>
      <c r="AJ116" s="47">
        <v>0</v>
      </c>
      <c r="AK116" s="47">
        <v>0</v>
      </c>
      <c r="AL116" s="47">
        <v>0</v>
      </c>
      <c r="AM116" s="47">
        <v>0</v>
      </c>
      <c r="AN116" s="47">
        <v>0</v>
      </c>
      <c r="AO116" s="47">
        <v>0</v>
      </c>
      <c r="AP116" s="47">
        <v>0</v>
      </c>
      <c r="AQ116" s="47">
        <v>0</v>
      </c>
      <c r="AR116" s="47">
        <v>0</v>
      </c>
      <c r="AS116" s="47">
        <v>0</v>
      </c>
      <c r="AT116" s="47">
        <v>0</v>
      </c>
      <c r="AU116" s="47">
        <v>0</v>
      </c>
      <c r="AV116" s="47">
        <v>0</v>
      </c>
      <c r="AW116" s="47">
        <v>0</v>
      </c>
      <c r="AX116" s="47">
        <v>0</v>
      </c>
      <c r="AY116" s="47">
        <v>0</v>
      </c>
      <c r="AZ116" s="47">
        <v>0</v>
      </c>
      <c r="BA116" s="47">
        <v>0</v>
      </c>
      <c r="BB116" s="47">
        <v>0</v>
      </c>
      <c r="BC116" s="47">
        <v>0</v>
      </c>
      <c r="BD116" s="47">
        <v>0</v>
      </c>
      <c r="BE116" s="47">
        <v>0</v>
      </c>
      <c r="BF116" s="47">
        <v>0</v>
      </c>
      <c r="BG116" s="47">
        <v>0</v>
      </c>
      <c r="BH116" s="47">
        <v>0</v>
      </c>
      <c r="BI116" s="47">
        <v>0</v>
      </c>
      <c r="BJ116" s="47">
        <v>0</v>
      </c>
      <c r="BK116" s="47">
        <v>0</v>
      </c>
      <c r="BL116" s="47">
        <v>0</v>
      </c>
      <c r="BM116" s="47">
        <v>0</v>
      </c>
      <c r="BN116" s="47">
        <v>0</v>
      </c>
      <c r="BO116" s="47">
        <v>0</v>
      </c>
      <c r="BP116" s="47">
        <v>0</v>
      </c>
      <c r="BQ116" s="47">
        <v>0</v>
      </c>
      <c r="BR116" s="47">
        <v>0</v>
      </c>
      <c r="BS116" s="47">
        <v>0</v>
      </c>
      <c r="BT116" s="47">
        <v>0</v>
      </c>
      <c r="BU116" s="47">
        <v>0</v>
      </c>
      <c r="BV116" s="47">
        <v>0</v>
      </c>
      <c r="BW116" s="47">
        <v>0</v>
      </c>
      <c r="BX116" s="47">
        <v>0</v>
      </c>
      <c r="BY116" s="47">
        <v>0</v>
      </c>
      <c r="BZ116" s="47">
        <v>0</v>
      </c>
      <c r="CA116" s="47">
        <v>0</v>
      </c>
      <c r="CB116" s="47">
        <v>0</v>
      </c>
      <c r="CC116" s="47">
        <v>0</v>
      </c>
      <c r="CD116" s="47">
        <v>0</v>
      </c>
      <c r="CE116" s="47">
        <v>0</v>
      </c>
      <c r="CF116" s="47">
        <v>0</v>
      </c>
      <c r="CG116" s="47">
        <v>0</v>
      </c>
      <c r="CH116" s="47">
        <v>0</v>
      </c>
      <c r="CI116" s="47">
        <v>0</v>
      </c>
      <c r="CJ116" s="47">
        <v>0</v>
      </c>
      <c r="CK116" s="47">
        <v>0</v>
      </c>
      <c r="CL116" s="47">
        <v>0</v>
      </c>
      <c r="CM116" s="47">
        <v>0</v>
      </c>
      <c r="CN116" s="47">
        <v>0</v>
      </c>
      <c r="CO116" s="47">
        <v>0</v>
      </c>
      <c r="CP116" s="47">
        <v>0</v>
      </c>
      <c r="CQ116" s="47">
        <v>0</v>
      </c>
      <c r="CR116" s="47">
        <v>0</v>
      </c>
      <c r="CS116" s="47">
        <v>0</v>
      </c>
      <c r="CT116" s="47">
        <v>0</v>
      </c>
      <c r="CU116" s="47">
        <v>0</v>
      </c>
      <c r="CV116" s="47">
        <v>0</v>
      </c>
      <c r="CW116" s="47">
        <v>0</v>
      </c>
      <c r="CX116" s="47">
        <v>0</v>
      </c>
      <c r="CY116" s="47">
        <v>0</v>
      </c>
      <c r="CZ116" s="47">
        <v>0</v>
      </c>
      <c r="DA116" s="47">
        <v>0</v>
      </c>
      <c r="DB116" s="47">
        <v>0</v>
      </c>
      <c r="DC116" s="47">
        <v>0</v>
      </c>
      <c r="DD116" s="47">
        <v>0</v>
      </c>
      <c r="DE116" s="47">
        <v>0</v>
      </c>
      <c r="DF116" s="47">
        <v>0</v>
      </c>
      <c r="DG116" s="47">
        <v>0</v>
      </c>
      <c r="DH116" s="47">
        <v>0</v>
      </c>
      <c r="DI116" s="47">
        <v>0</v>
      </c>
      <c r="DJ116" s="47">
        <v>0</v>
      </c>
      <c r="DK116" s="47">
        <v>0</v>
      </c>
      <c r="DL116" s="47">
        <v>0</v>
      </c>
      <c r="DM116" s="47">
        <v>0</v>
      </c>
      <c r="DN116" s="47">
        <v>0</v>
      </c>
      <c r="DO116" s="47">
        <v>0</v>
      </c>
      <c r="DP116" s="47">
        <v>0</v>
      </c>
      <c r="DQ116" s="47">
        <v>0</v>
      </c>
      <c r="DR116" s="47">
        <v>0</v>
      </c>
    </row>
    <row r="117" spans="1:124" x14ac:dyDescent="0.25">
      <c r="A117" s="47" t="s">
        <v>687</v>
      </c>
      <c r="B117" s="47" t="s">
        <v>151</v>
      </c>
      <c r="C117" s="47" t="s">
        <v>688</v>
      </c>
      <c r="D117" s="47" t="s">
        <v>689</v>
      </c>
      <c r="E117" s="47" t="s">
        <v>690</v>
      </c>
      <c r="F117" s="47" t="s">
        <v>380</v>
      </c>
      <c r="G117" s="47" t="s">
        <v>421</v>
      </c>
      <c r="H117" s="47" t="str">
        <f>=IFERROR(VLOOKUP(A117,'ETPT Format DDG'!A:J,10,FALSE),"")</f>
        <v>0</v>
      </c>
      <c r="I117" s="47" t="str">
        <f>='ETPT Format DDG'!M117</f>
        <v/>
      </c>
      <c r="J117" s="47" t="str">
        <f>='ETPT Format DDG'!D117</f>
        <v/>
      </c>
      <c r="K117" s="47" t="s">
        <v>155</v>
      </c>
      <c r="L117" s="47" t="s">
        <v>208</v>
      </c>
      <c r="M117" s="47"/>
      <c r="N117" s="47">
        <v>1</v>
      </c>
      <c r="O117" s="47">
        <v>1</v>
      </c>
      <c r="P117" s="47">
        <v>0</v>
      </c>
      <c r="Q117" s="47">
        <v>0</v>
      </c>
      <c r="R117" s="47">
        <v>0</v>
      </c>
      <c r="S117" s="47">
        <v>0</v>
      </c>
      <c r="T117" s="47">
        <v>0</v>
      </c>
      <c r="U117" s="47">
        <v>0</v>
      </c>
      <c r="V117" s="47">
        <v>0</v>
      </c>
      <c r="W117" s="47">
        <v>0</v>
      </c>
      <c r="X117" s="47">
        <v>0</v>
      </c>
      <c r="Y117" s="47">
        <v>0</v>
      </c>
      <c r="Z117" s="47">
        <v>0</v>
      </c>
      <c r="AA117" s="47">
        <v>0</v>
      </c>
      <c r="AB117" s="47">
        <v>0</v>
      </c>
      <c r="AC117" s="47">
        <v>0</v>
      </c>
      <c r="AD117" s="47">
        <v>0</v>
      </c>
      <c r="AE117" s="47">
        <v>0</v>
      </c>
      <c r="AF117" s="47">
        <v>0</v>
      </c>
      <c r="AG117" s="47">
        <v>0</v>
      </c>
      <c r="AH117" s="47">
        <v>0</v>
      </c>
      <c r="AI117" s="47">
        <v>0</v>
      </c>
      <c r="AJ117" s="47">
        <v>0</v>
      </c>
      <c r="AK117" s="47">
        <v>0</v>
      </c>
      <c r="AL117" s="47">
        <v>0</v>
      </c>
      <c r="AM117" s="47">
        <v>0</v>
      </c>
      <c r="AN117" s="47">
        <v>0</v>
      </c>
      <c r="AO117" s="47">
        <v>0</v>
      </c>
      <c r="AP117" s="47">
        <v>0</v>
      </c>
      <c r="AQ117" s="47">
        <v>0</v>
      </c>
      <c r="AR117" s="47">
        <v>0</v>
      </c>
      <c r="AS117" s="47">
        <v>0</v>
      </c>
      <c r="AT117" s="47">
        <v>0</v>
      </c>
      <c r="AU117" s="47">
        <v>0</v>
      </c>
      <c r="AV117" s="47">
        <v>0</v>
      </c>
      <c r="AW117" s="47">
        <v>0</v>
      </c>
      <c r="AX117" s="47">
        <v>0</v>
      </c>
      <c r="AY117" s="47">
        <v>0</v>
      </c>
      <c r="AZ117" s="47">
        <v>0</v>
      </c>
      <c r="BA117" s="47">
        <v>0</v>
      </c>
      <c r="BB117" s="47">
        <v>0</v>
      </c>
      <c r="BC117" s="47">
        <v>0</v>
      </c>
      <c r="BD117" s="47">
        <v>0</v>
      </c>
      <c r="BE117" s="47">
        <v>0</v>
      </c>
      <c r="BF117" s="47">
        <v>0</v>
      </c>
      <c r="BG117" s="47">
        <v>0</v>
      </c>
      <c r="BH117" s="47">
        <v>0</v>
      </c>
      <c r="BI117" s="47">
        <v>0</v>
      </c>
      <c r="BJ117" s="47">
        <v>0</v>
      </c>
      <c r="BK117" s="47">
        <v>0</v>
      </c>
      <c r="BL117" s="47">
        <v>0</v>
      </c>
      <c r="BM117" s="47">
        <v>0</v>
      </c>
      <c r="BN117" s="47">
        <v>0</v>
      </c>
      <c r="BO117" s="47">
        <v>0</v>
      </c>
      <c r="BP117" s="47">
        <v>0</v>
      </c>
      <c r="BQ117" s="47">
        <v>0</v>
      </c>
      <c r="BR117" s="47">
        <v>0</v>
      </c>
      <c r="BS117" s="47">
        <v>0</v>
      </c>
      <c r="BT117" s="47">
        <v>0</v>
      </c>
      <c r="BU117" s="47">
        <v>0</v>
      </c>
      <c r="BV117" s="47">
        <v>0</v>
      </c>
      <c r="BW117" s="47">
        <v>0</v>
      </c>
      <c r="BX117" s="47">
        <v>0</v>
      </c>
      <c r="BY117" s="47">
        <v>0</v>
      </c>
      <c r="BZ117" s="47">
        <v>0</v>
      </c>
      <c r="CA117" s="47">
        <v>0</v>
      </c>
      <c r="CB117" s="47">
        <v>0</v>
      </c>
      <c r="CC117" s="47">
        <v>0</v>
      </c>
      <c r="CD117" s="47">
        <v>0</v>
      </c>
      <c r="CE117" s="47">
        <v>0</v>
      </c>
      <c r="CF117" s="47">
        <v>0</v>
      </c>
      <c r="CG117" s="47">
        <v>0</v>
      </c>
      <c r="CH117" s="47">
        <v>0</v>
      </c>
      <c r="CI117" s="47">
        <v>0</v>
      </c>
      <c r="CJ117" s="47">
        <v>0</v>
      </c>
      <c r="CK117" s="47">
        <v>0</v>
      </c>
      <c r="CL117" s="47">
        <v>0</v>
      </c>
      <c r="CM117" s="47">
        <v>0</v>
      </c>
      <c r="CN117" s="47">
        <v>0</v>
      </c>
      <c r="CO117" s="47">
        <v>0</v>
      </c>
      <c r="CP117" s="47">
        <v>0</v>
      </c>
      <c r="CQ117" s="47">
        <v>0</v>
      </c>
      <c r="CR117" s="47">
        <v>0</v>
      </c>
      <c r="CS117" s="47">
        <v>0</v>
      </c>
      <c r="CT117" s="47">
        <v>1</v>
      </c>
      <c r="CU117" s="47">
        <v>1</v>
      </c>
      <c r="CV117" s="47">
        <v>0</v>
      </c>
      <c r="CW117" s="47">
        <v>0</v>
      </c>
      <c r="CX117" s="47">
        <v>0</v>
      </c>
      <c r="CY117" s="47">
        <v>0</v>
      </c>
      <c r="CZ117" s="47">
        <v>0</v>
      </c>
      <c r="DA117" s="47">
        <v>0</v>
      </c>
      <c r="DB117" s="47">
        <v>0</v>
      </c>
      <c r="DC117" s="47">
        <v>0</v>
      </c>
      <c r="DD117" s="47">
        <v>0</v>
      </c>
      <c r="DE117" s="47">
        <v>0</v>
      </c>
      <c r="DF117" s="47">
        <v>0</v>
      </c>
      <c r="DG117" s="47">
        <v>0</v>
      </c>
      <c r="DH117" s="47">
        <v>0</v>
      </c>
      <c r="DI117" s="47">
        <v>0</v>
      </c>
      <c r="DJ117" s="47">
        <v>0</v>
      </c>
      <c r="DK117" s="47">
        <v>0</v>
      </c>
      <c r="DL117" s="47">
        <v>0</v>
      </c>
      <c r="DM117" s="47">
        <v>0</v>
      </c>
      <c r="DN117" s="47">
        <v>0</v>
      </c>
      <c r="DO117" s="47">
        <v>0</v>
      </c>
      <c r="DP117" s="47">
        <v>0</v>
      </c>
      <c r="DQ117" s="47">
        <v>0</v>
      </c>
      <c r="DR117" s="47">
        <v>0</v>
      </c>
    </row>
    <row r="118" spans="1:124" x14ac:dyDescent="0.25">
      <c r="A118" s="47" t="s">
        <v>691</v>
      </c>
      <c r="B118" s="47" t="s">
        <v>151</v>
      </c>
      <c r="C118" s="47" t="s">
        <v>692</v>
      </c>
      <c r="D118" s="47" t="s">
        <v>693</v>
      </c>
      <c r="E118" s="47" t="s">
        <v>694</v>
      </c>
      <c r="F118" s="47" t="s">
        <v>380</v>
      </c>
      <c r="G118" s="47" t="s">
        <v>624</v>
      </c>
      <c r="H118" s="47" t="str">
        <f>=IFERROR(VLOOKUP(A118,'ETPT Format DDG'!A:J,10,FALSE),"")</f>
        <v>0</v>
      </c>
      <c r="I118" s="47" t="str">
        <f>='ETPT Format DDG'!M118</f>
        <v/>
      </c>
      <c r="J118" s="47" t="str">
        <f>='ETPT Format DDG'!D118</f>
        <v/>
      </c>
      <c r="K118" s="47" t="s">
        <v>155</v>
      </c>
      <c r="L118" s="47" t="s">
        <v>695</v>
      </c>
      <c r="M118" s="47" t="s">
        <v>662</v>
      </c>
      <c r="N118" s="47">
        <v>0.121</v>
      </c>
      <c r="O118" s="47">
        <v>0.121</v>
      </c>
      <c r="P118" s="47">
        <v>0</v>
      </c>
      <c r="Q118" s="47">
        <v>0</v>
      </c>
      <c r="R118" s="47">
        <v>0</v>
      </c>
      <c r="S118" s="47">
        <v>0</v>
      </c>
      <c r="T118" s="47">
        <v>0</v>
      </c>
      <c r="U118" s="47">
        <v>0</v>
      </c>
      <c r="V118" s="47">
        <v>0</v>
      </c>
      <c r="W118" s="47">
        <v>0</v>
      </c>
      <c r="X118" s="47">
        <v>0</v>
      </c>
      <c r="Y118" s="47">
        <v>0</v>
      </c>
      <c r="Z118" s="47">
        <v>0</v>
      </c>
      <c r="AA118" s="47">
        <v>0</v>
      </c>
      <c r="AB118" s="47">
        <v>0</v>
      </c>
      <c r="AC118" s="47">
        <v>0</v>
      </c>
      <c r="AD118" s="47">
        <v>0</v>
      </c>
      <c r="AE118" s="47">
        <v>0</v>
      </c>
      <c r="AF118" s="47">
        <v>0</v>
      </c>
      <c r="AG118" s="47">
        <v>0</v>
      </c>
      <c r="AH118" s="47">
        <v>0</v>
      </c>
      <c r="AI118" s="47">
        <v>0</v>
      </c>
      <c r="AJ118" s="47">
        <v>0</v>
      </c>
      <c r="AK118" s="47">
        <v>0</v>
      </c>
      <c r="AL118" s="47">
        <v>0</v>
      </c>
      <c r="AM118" s="47">
        <v>0</v>
      </c>
      <c r="AN118" s="47">
        <v>0</v>
      </c>
      <c r="AO118" s="47">
        <v>0</v>
      </c>
      <c r="AP118" s="47">
        <v>0</v>
      </c>
      <c r="AQ118" s="47">
        <v>0</v>
      </c>
      <c r="AR118" s="47">
        <v>0</v>
      </c>
      <c r="AS118" s="47">
        <v>0</v>
      </c>
      <c r="AT118" s="47">
        <v>0</v>
      </c>
      <c r="AU118" s="47">
        <v>0</v>
      </c>
      <c r="AV118" s="47">
        <v>0</v>
      </c>
      <c r="AW118" s="47">
        <v>0</v>
      </c>
      <c r="AX118" s="47">
        <v>0</v>
      </c>
      <c r="AY118" s="47">
        <v>0</v>
      </c>
      <c r="AZ118" s="47">
        <v>0</v>
      </c>
      <c r="BA118" s="47">
        <v>0</v>
      </c>
      <c r="BB118" s="47">
        <v>0</v>
      </c>
      <c r="BC118" s="47">
        <v>0</v>
      </c>
      <c r="BD118" s="47">
        <v>0</v>
      </c>
      <c r="BE118" s="47">
        <v>0</v>
      </c>
      <c r="BF118" s="47">
        <v>0</v>
      </c>
      <c r="BG118" s="47">
        <v>0</v>
      </c>
      <c r="BH118" s="47">
        <v>0.0605</v>
      </c>
      <c r="BI118" s="47">
        <v>0</v>
      </c>
      <c r="BJ118" s="47">
        <v>0.0242</v>
      </c>
      <c r="BK118" s="47">
        <v>0.0363</v>
      </c>
      <c r="BL118" s="47">
        <v>0</v>
      </c>
      <c r="BM118" s="47">
        <v>0</v>
      </c>
      <c r="BN118" s="47">
        <v>0</v>
      </c>
      <c r="BO118" s="47">
        <v>0</v>
      </c>
      <c r="BP118" s="47">
        <v>0</v>
      </c>
      <c r="BQ118" s="47">
        <v>0</v>
      </c>
      <c r="BR118" s="47">
        <v>0</v>
      </c>
      <c r="BS118" s="47">
        <v>0</v>
      </c>
      <c r="BT118" s="47">
        <v>0</v>
      </c>
      <c r="BU118" s="47">
        <v>0</v>
      </c>
      <c r="BV118" s="47">
        <v>0</v>
      </c>
      <c r="BW118" s="47">
        <v>0</v>
      </c>
      <c r="BX118" s="47">
        <v>0</v>
      </c>
      <c r="BY118" s="47">
        <v>0</v>
      </c>
      <c r="BZ118" s="47">
        <v>0</v>
      </c>
      <c r="CA118" s="47">
        <v>0</v>
      </c>
      <c r="CB118" s="47">
        <v>0</v>
      </c>
      <c r="CC118" s="47">
        <v>0</v>
      </c>
      <c r="CD118" s="47">
        <v>0</v>
      </c>
      <c r="CE118" s="47">
        <v>0</v>
      </c>
      <c r="CF118" s="47">
        <v>0</v>
      </c>
      <c r="CG118" s="47">
        <v>0</v>
      </c>
      <c r="CH118" s="47">
        <v>0</v>
      </c>
      <c r="CI118" s="47">
        <v>0</v>
      </c>
      <c r="CJ118" s="47">
        <v>0</v>
      </c>
      <c r="CK118" s="47">
        <v>0</v>
      </c>
      <c r="CL118" s="47">
        <v>0</v>
      </c>
      <c r="CM118" s="47">
        <v>0</v>
      </c>
      <c r="CN118" s="47">
        <v>0</v>
      </c>
      <c r="CO118" s="47">
        <v>0</v>
      </c>
      <c r="CP118" s="47">
        <v>0</v>
      </c>
      <c r="CQ118" s="47">
        <v>0.0484</v>
      </c>
      <c r="CR118" s="47">
        <v>0.0484</v>
      </c>
      <c r="CS118" s="47">
        <v>0</v>
      </c>
      <c r="CT118" s="47">
        <v>0.0121</v>
      </c>
      <c r="CU118" s="47">
        <v>0</v>
      </c>
      <c r="CV118" s="47">
        <v>0</v>
      </c>
      <c r="CW118" s="47">
        <v>0</v>
      </c>
      <c r="CX118" s="47">
        <v>0.0121</v>
      </c>
      <c r="CY118" s="47">
        <v>0</v>
      </c>
      <c r="CZ118" s="47">
        <v>0</v>
      </c>
      <c r="DA118" s="47">
        <v>0</v>
      </c>
      <c r="DB118" s="47">
        <v>0</v>
      </c>
      <c r="DC118" s="47">
        <v>0</v>
      </c>
      <c r="DD118" s="47">
        <v>0</v>
      </c>
      <c r="DE118" s="47">
        <v>0</v>
      </c>
      <c r="DF118" s="47">
        <v>0</v>
      </c>
      <c r="DG118" s="47">
        <v>0</v>
      </c>
      <c r="DH118" s="47">
        <v>0</v>
      </c>
      <c r="DI118" s="47">
        <v>0</v>
      </c>
      <c r="DJ118" s="47">
        <v>0</v>
      </c>
      <c r="DK118" s="47">
        <v>0</v>
      </c>
      <c r="DL118" s="47">
        <v>0</v>
      </c>
      <c r="DM118" s="47">
        <v>0</v>
      </c>
      <c r="DN118" s="47">
        <v>0</v>
      </c>
      <c r="DO118" s="47">
        <v>0</v>
      </c>
      <c r="DP118" s="47">
        <v>0</v>
      </c>
      <c r="DQ118" s="47">
        <v>0</v>
      </c>
      <c r="DR118" s="47">
        <v>0</v>
      </c>
    </row>
    <row r="119" spans="1:124" x14ac:dyDescent="0.25">
      <c r="A119" s="47" t="s">
        <v>696</v>
      </c>
      <c r="B119" s="47" t="s">
        <v>151</v>
      </c>
      <c r="C119" s="47" t="s">
        <v>697</v>
      </c>
      <c r="D119" s="47" t="s">
        <v>698</v>
      </c>
      <c r="E119" s="47" t="s">
        <v>699</v>
      </c>
      <c r="F119" s="47" t="s">
        <v>380</v>
      </c>
      <c r="G119" s="47" t="s">
        <v>381</v>
      </c>
      <c r="H119" s="47" t="str">
        <f>=IFERROR(VLOOKUP(A119,'ETPT Format DDG'!A:J,10,FALSE),"")</f>
        <v>0</v>
      </c>
      <c r="I119" s="47" t="str">
        <f>='ETPT Format DDG'!M119</f>
        <v/>
      </c>
      <c r="J119" s="47" t="str">
        <f>='ETPT Format DDG'!D119</f>
        <v/>
      </c>
      <c r="K119" s="47" t="s">
        <v>155</v>
      </c>
      <c r="L119" s="47" t="s">
        <v>556</v>
      </c>
      <c r="M119" s="47"/>
      <c r="N119" s="47">
        <v>1</v>
      </c>
      <c r="O119" s="47">
        <v>1</v>
      </c>
      <c r="P119" s="47">
        <v>0</v>
      </c>
      <c r="Q119" s="47">
        <v>0</v>
      </c>
      <c r="R119" s="47">
        <v>0</v>
      </c>
      <c r="S119" s="47">
        <v>0</v>
      </c>
      <c r="T119" s="47">
        <v>0</v>
      </c>
      <c r="U119" s="47">
        <v>0</v>
      </c>
      <c r="V119" s="47">
        <v>0</v>
      </c>
      <c r="W119" s="47">
        <v>0</v>
      </c>
      <c r="X119" s="47">
        <v>0</v>
      </c>
      <c r="Y119" s="47">
        <v>0</v>
      </c>
      <c r="Z119" s="47">
        <v>0</v>
      </c>
      <c r="AA119" s="47">
        <v>0</v>
      </c>
      <c r="AB119" s="47">
        <v>0</v>
      </c>
      <c r="AC119" s="47">
        <v>0</v>
      </c>
      <c r="AD119" s="47">
        <v>0</v>
      </c>
      <c r="AE119" s="47">
        <v>0</v>
      </c>
      <c r="AF119" s="47">
        <v>0</v>
      </c>
      <c r="AG119" s="47">
        <v>0</v>
      </c>
      <c r="AH119" s="47">
        <v>0</v>
      </c>
      <c r="AI119" s="47">
        <v>0</v>
      </c>
      <c r="AJ119" s="47">
        <v>0</v>
      </c>
      <c r="AK119" s="47">
        <v>0</v>
      </c>
      <c r="AL119" s="47">
        <v>0</v>
      </c>
      <c r="AM119" s="47">
        <v>0</v>
      </c>
      <c r="AN119" s="47">
        <v>1</v>
      </c>
      <c r="AO119" s="47">
        <v>0</v>
      </c>
      <c r="AP119" s="47">
        <v>0</v>
      </c>
      <c r="AQ119" s="47">
        <v>0</v>
      </c>
      <c r="AR119" s="47">
        <v>0</v>
      </c>
      <c r="AS119" s="47">
        <v>0</v>
      </c>
      <c r="AT119" s="47">
        <v>0</v>
      </c>
      <c r="AU119" s="47">
        <v>0</v>
      </c>
      <c r="AV119" s="47">
        <v>0</v>
      </c>
      <c r="AW119" s="47">
        <v>0</v>
      </c>
      <c r="AX119" s="47">
        <v>0</v>
      </c>
      <c r="AY119" s="47">
        <v>0</v>
      </c>
      <c r="AZ119" s="47">
        <v>0</v>
      </c>
      <c r="BA119" s="47">
        <v>0</v>
      </c>
      <c r="BB119" s="47">
        <v>0</v>
      </c>
      <c r="BC119" s="47">
        <v>0</v>
      </c>
      <c r="BD119" s="47">
        <v>0</v>
      </c>
      <c r="BE119" s="47">
        <v>0</v>
      </c>
      <c r="BF119" s="47">
        <v>0</v>
      </c>
      <c r="BG119" s="47">
        <v>0</v>
      </c>
      <c r="BH119" s="47">
        <v>0</v>
      </c>
      <c r="BI119" s="47">
        <v>0</v>
      </c>
      <c r="BJ119" s="47">
        <v>0</v>
      </c>
      <c r="BK119" s="47">
        <v>0</v>
      </c>
      <c r="BL119" s="47">
        <v>0</v>
      </c>
      <c r="BM119" s="47">
        <v>0</v>
      </c>
      <c r="BN119" s="47">
        <v>0</v>
      </c>
      <c r="BO119" s="47">
        <v>0</v>
      </c>
      <c r="BP119" s="47">
        <v>0</v>
      </c>
      <c r="BQ119" s="47">
        <v>0</v>
      </c>
      <c r="BR119" s="47">
        <v>0</v>
      </c>
      <c r="BS119" s="47">
        <v>0</v>
      </c>
      <c r="BT119" s="47">
        <v>0</v>
      </c>
      <c r="BU119" s="47">
        <v>0</v>
      </c>
      <c r="BV119" s="47">
        <v>0</v>
      </c>
      <c r="BW119" s="47">
        <v>0</v>
      </c>
      <c r="BX119" s="47">
        <v>0</v>
      </c>
      <c r="BY119" s="47">
        <v>0</v>
      </c>
      <c r="BZ119" s="47">
        <v>0</v>
      </c>
      <c r="CA119" s="47">
        <v>0</v>
      </c>
      <c r="CB119" s="47">
        <v>0</v>
      </c>
      <c r="CC119" s="47">
        <v>0</v>
      </c>
      <c r="CD119" s="47">
        <v>0</v>
      </c>
      <c r="CE119" s="47">
        <v>0</v>
      </c>
      <c r="CF119" s="47">
        <v>0</v>
      </c>
      <c r="CG119" s="47">
        <v>0</v>
      </c>
      <c r="CH119" s="47">
        <v>0</v>
      </c>
      <c r="CI119" s="47">
        <v>0</v>
      </c>
      <c r="CJ119" s="47">
        <v>0</v>
      </c>
      <c r="CK119" s="47">
        <v>0</v>
      </c>
      <c r="CL119" s="47">
        <v>0</v>
      </c>
      <c r="CM119" s="47">
        <v>0</v>
      </c>
      <c r="CN119" s="47">
        <v>0</v>
      </c>
      <c r="CO119" s="47">
        <v>0</v>
      </c>
      <c r="CP119" s="47">
        <v>0</v>
      </c>
      <c r="CQ119" s="47">
        <v>0</v>
      </c>
      <c r="CR119" s="47">
        <v>0</v>
      </c>
      <c r="CS119" s="47">
        <v>0</v>
      </c>
      <c r="CT119" s="47">
        <v>0</v>
      </c>
      <c r="CU119" s="47">
        <v>0</v>
      </c>
      <c r="CV119" s="47">
        <v>0</v>
      </c>
      <c r="CW119" s="47">
        <v>0</v>
      </c>
      <c r="CX119" s="47">
        <v>0</v>
      </c>
      <c r="CY119" s="47">
        <v>0</v>
      </c>
      <c r="CZ119" s="47">
        <v>0</v>
      </c>
      <c r="DA119" s="47">
        <v>0</v>
      </c>
      <c r="DB119" s="47">
        <v>0</v>
      </c>
      <c r="DC119" s="47">
        <v>0</v>
      </c>
      <c r="DD119" s="47">
        <v>0</v>
      </c>
      <c r="DE119" s="47">
        <v>0</v>
      </c>
      <c r="DF119" s="47">
        <v>0</v>
      </c>
      <c r="DG119" s="47">
        <v>0</v>
      </c>
      <c r="DH119" s="47">
        <v>0</v>
      </c>
      <c r="DI119" s="47">
        <v>0</v>
      </c>
      <c r="DJ119" s="47">
        <v>0</v>
      </c>
      <c r="DK119" s="47">
        <v>0</v>
      </c>
      <c r="DL119" s="47">
        <v>0</v>
      </c>
      <c r="DM119" s="47">
        <v>0</v>
      </c>
      <c r="DN119" s="47">
        <v>0</v>
      </c>
      <c r="DO119" s="47">
        <v>0</v>
      </c>
      <c r="DP119" s="47">
        <v>0</v>
      </c>
      <c r="DQ119" s="47">
        <v>0</v>
      </c>
      <c r="DR119" s="47">
        <v>0</v>
      </c>
    </row>
    <row r="120" spans="1:124" x14ac:dyDescent="0.25">
      <c r="A120" s="47" t="s">
        <v>700</v>
      </c>
      <c r="B120" s="47" t="s">
        <v>151</v>
      </c>
      <c r="C120" s="47" t="s">
        <v>701</v>
      </c>
      <c r="D120" s="47" t="s">
        <v>702</v>
      </c>
      <c r="E120" s="47" t="s">
        <v>703</v>
      </c>
      <c r="F120" s="47" t="s">
        <v>380</v>
      </c>
      <c r="G120" s="47" t="s">
        <v>381</v>
      </c>
      <c r="H120" s="47" t="str">
        <f>=IFERROR(VLOOKUP(A120,'ETPT Format DDG'!A:J,10,FALSE),"")</f>
        <v>0</v>
      </c>
      <c r="I120" s="47" t="str">
        <f>='ETPT Format DDG'!M120</f>
        <v/>
      </c>
      <c r="J120" s="47" t="str">
        <f>='ETPT Format DDG'!D120</f>
        <v/>
      </c>
      <c r="K120" s="47" t="s">
        <v>155</v>
      </c>
      <c r="L120" s="47" t="s">
        <v>704</v>
      </c>
      <c r="M120" s="47"/>
      <c r="N120" s="47">
        <v>0.4242</v>
      </c>
      <c r="O120" s="47">
        <v>0.4242</v>
      </c>
      <c r="P120" s="47">
        <v>0</v>
      </c>
      <c r="Q120" s="47">
        <v>0</v>
      </c>
      <c r="R120" s="47">
        <v>0</v>
      </c>
      <c r="S120" s="47">
        <v>0</v>
      </c>
      <c r="T120" s="47">
        <v>0</v>
      </c>
      <c r="U120" s="47">
        <v>0</v>
      </c>
      <c r="V120" s="47">
        <v>0</v>
      </c>
      <c r="W120" s="47">
        <v>0</v>
      </c>
      <c r="X120" s="47">
        <v>0</v>
      </c>
      <c r="Y120" s="47">
        <v>0</v>
      </c>
      <c r="Z120" s="47">
        <v>0</v>
      </c>
      <c r="AA120" s="47">
        <v>0</v>
      </c>
      <c r="AB120" s="47">
        <v>0</v>
      </c>
      <c r="AC120" s="47">
        <v>0</v>
      </c>
      <c r="AD120" s="47">
        <v>0</v>
      </c>
      <c r="AE120" s="47">
        <v>0</v>
      </c>
      <c r="AF120" s="47">
        <v>0</v>
      </c>
      <c r="AG120" s="47">
        <v>0</v>
      </c>
      <c r="AH120" s="47">
        <v>0</v>
      </c>
      <c r="AI120" s="47">
        <v>0</v>
      </c>
      <c r="AJ120" s="47">
        <v>0</v>
      </c>
      <c r="AK120" s="47">
        <v>0</v>
      </c>
      <c r="AL120" s="47">
        <v>0</v>
      </c>
      <c r="AM120" s="47">
        <v>0</v>
      </c>
      <c r="AN120" s="47">
        <v>0</v>
      </c>
      <c r="AO120" s="47">
        <v>0</v>
      </c>
      <c r="AP120" s="47">
        <v>0</v>
      </c>
      <c r="AQ120" s="47">
        <v>0</v>
      </c>
      <c r="AR120" s="47">
        <v>0</v>
      </c>
      <c r="AS120" s="47">
        <v>0</v>
      </c>
      <c r="AT120" s="47">
        <v>0</v>
      </c>
      <c r="AU120" s="47">
        <v>0</v>
      </c>
      <c r="AV120" s="47">
        <v>0</v>
      </c>
      <c r="AW120" s="47">
        <v>0</v>
      </c>
      <c r="AX120" s="47">
        <v>0</v>
      </c>
      <c r="AY120" s="47">
        <v>0</v>
      </c>
      <c r="AZ120" s="47">
        <v>0</v>
      </c>
      <c r="BA120" s="47">
        <v>0</v>
      </c>
      <c r="BB120" s="47">
        <v>0</v>
      </c>
      <c r="BC120" s="47">
        <v>0</v>
      </c>
      <c r="BD120" s="47">
        <v>0</v>
      </c>
      <c r="BE120" s="47">
        <v>0</v>
      </c>
      <c r="BF120" s="47">
        <v>0</v>
      </c>
      <c r="BG120" s="47">
        <v>0</v>
      </c>
      <c r="BH120" s="47">
        <v>0</v>
      </c>
      <c r="BI120" s="47">
        <v>0</v>
      </c>
      <c r="BJ120" s="47">
        <v>0</v>
      </c>
      <c r="BK120" s="47">
        <v>0</v>
      </c>
      <c r="BL120" s="47">
        <v>0</v>
      </c>
      <c r="BM120" s="47">
        <v>0</v>
      </c>
      <c r="BN120" s="47">
        <v>0</v>
      </c>
      <c r="BO120" s="47">
        <v>0</v>
      </c>
      <c r="BP120" s="47">
        <v>0</v>
      </c>
      <c r="BQ120" s="47">
        <v>0</v>
      </c>
      <c r="BR120" s="47">
        <v>0</v>
      </c>
      <c r="BS120" s="47">
        <v>0</v>
      </c>
      <c r="BT120" s="47">
        <v>0</v>
      </c>
      <c r="BU120" s="47">
        <v>0</v>
      </c>
      <c r="BV120" s="47">
        <v>0</v>
      </c>
      <c r="BW120" s="47">
        <v>0</v>
      </c>
      <c r="BX120" s="47">
        <v>0</v>
      </c>
      <c r="BY120" s="47">
        <v>0</v>
      </c>
      <c r="BZ120" s="47">
        <v>0</v>
      </c>
      <c r="CA120" s="47">
        <v>0</v>
      </c>
      <c r="CB120" s="47">
        <v>0</v>
      </c>
      <c r="CC120" s="47">
        <v>0</v>
      </c>
      <c r="CD120" s="47">
        <v>0</v>
      </c>
      <c r="CE120" s="47">
        <v>0</v>
      </c>
      <c r="CF120" s="47">
        <v>0</v>
      </c>
      <c r="CG120" s="47">
        <v>0</v>
      </c>
      <c r="CH120" s="47">
        <v>0</v>
      </c>
      <c r="CI120" s="47">
        <v>0</v>
      </c>
      <c r="CJ120" s="47">
        <v>0</v>
      </c>
      <c r="CK120" s="47">
        <v>0</v>
      </c>
      <c r="CL120" s="47">
        <v>0</v>
      </c>
      <c r="CM120" s="47">
        <v>0</v>
      </c>
      <c r="CN120" s="47">
        <v>0</v>
      </c>
      <c r="CO120" s="47">
        <v>0</v>
      </c>
      <c r="CP120" s="47">
        <v>0</v>
      </c>
      <c r="CQ120" s="47">
        <v>0</v>
      </c>
      <c r="CR120" s="47">
        <v>0</v>
      </c>
      <c r="CS120" s="47">
        <v>0</v>
      </c>
      <c r="CT120" s="47">
        <v>0.4242</v>
      </c>
      <c r="CU120" s="47">
        <v>0</v>
      </c>
      <c r="CV120" s="47">
        <v>0</v>
      </c>
      <c r="CW120" s="47">
        <v>0</v>
      </c>
      <c r="CX120" s="47">
        <v>0</v>
      </c>
      <c r="CY120" s="47">
        <v>0</v>
      </c>
      <c r="CZ120" s="47">
        <v>0</v>
      </c>
      <c r="DA120" s="47">
        <v>0</v>
      </c>
      <c r="DB120" s="47">
        <v>0</v>
      </c>
      <c r="DC120" s="47">
        <v>0</v>
      </c>
      <c r="DD120" s="47">
        <v>0</v>
      </c>
      <c r="DE120" s="47">
        <v>0.4242</v>
      </c>
      <c r="DF120" s="47">
        <v>0.4798</v>
      </c>
      <c r="DG120" s="47">
        <v>0</v>
      </c>
      <c r="DH120" s="47">
        <v>0.4798</v>
      </c>
      <c r="DI120" s="47">
        <v>0</v>
      </c>
      <c r="DJ120" s="47">
        <v>0</v>
      </c>
      <c r="DK120" s="47">
        <v>0</v>
      </c>
      <c r="DL120" s="47">
        <v>0</v>
      </c>
      <c r="DM120" s="47">
        <v>0</v>
      </c>
      <c r="DN120" s="47">
        <v>0</v>
      </c>
      <c r="DO120" s="47">
        <v>0</v>
      </c>
      <c r="DP120" s="47">
        <v>0</v>
      </c>
      <c r="DQ120" s="47">
        <v>0</v>
      </c>
      <c r="DR120" s="47">
        <v>0</v>
      </c>
    </row>
    <row r="121" spans="1:124" x14ac:dyDescent="0.25">
      <c r="A121" s="47" t="s">
        <v>705</v>
      </c>
      <c r="B121" s="47" t="s">
        <v>151</v>
      </c>
      <c r="C121" s="47" t="s">
        <v>706</v>
      </c>
      <c r="D121" s="47" t="s">
        <v>707</v>
      </c>
      <c r="E121" s="47" t="s">
        <v>708</v>
      </c>
      <c r="F121" s="47" t="s">
        <v>380</v>
      </c>
      <c r="G121" s="47" t="s">
        <v>411</v>
      </c>
      <c r="H121" s="47" t="str">
        <f>=IFERROR(VLOOKUP(A121,'ETPT Format DDG'!A:J,10,FALSE),"")</f>
        <v>0</v>
      </c>
      <c r="I121" s="47" t="str">
        <f>='ETPT Format DDG'!M121</f>
        <v/>
      </c>
      <c r="J121" s="47" t="str">
        <f>='ETPT Format DDG'!D121</f>
        <v/>
      </c>
      <c r="K121" s="47" t="s">
        <v>155</v>
      </c>
      <c r="L121" s="47" t="s">
        <v>709</v>
      </c>
      <c r="M121" s="47"/>
      <c r="N121" s="47">
        <v>1</v>
      </c>
      <c r="O121" s="47">
        <v>1</v>
      </c>
      <c r="P121" s="47">
        <v>0</v>
      </c>
      <c r="Q121" s="47">
        <v>0</v>
      </c>
      <c r="R121" s="47">
        <v>0</v>
      </c>
      <c r="S121" s="47">
        <v>0</v>
      </c>
      <c r="T121" s="47">
        <v>0</v>
      </c>
      <c r="U121" s="47">
        <v>0</v>
      </c>
      <c r="V121" s="47">
        <v>0</v>
      </c>
      <c r="W121" s="47">
        <v>0</v>
      </c>
      <c r="X121" s="47">
        <v>0</v>
      </c>
      <c r="Y121" s="47">
        <v>0</v>
      </c>
      <c r="Z121" s="47">
        <v>0</v>
      </c>
      <c r="AA121" s="47">
        <v>0</v>
      </c>
      <c r="AB121" s="47">
        <v>0</v>
      </c>
      <c r="AC121" s="47">
        <v>0</v>
      </c>
      <c r="AD121" s="47">
        <v>0</v>
      </c>
      <c r="AE121" s="47">
        <v>0</v>
      </c>
      <c r="AF121" s="47">
        <v>0</v>
      </c>
      <c r="AG121" s="47">
        <v>0</v>
      </c>
      <c r="AH121" s="47">
        <v>0</v>
      </c>
      <c r="AI121" s="47">
        <v>0</v>
      </c>
      <c r="AJ121" s="47">
        <v>0</v>
      </c>
      <c r="AK121" s="47">
        <v>0</v>
      </c>
      <c r="AL121" s="47">
        <v>0</v>
      </c>
      <c r="AM121" s="47">
        <v>0</v>
      </c>
      <c r="AN121" s="47">
        <v>0</v>
      </c>
      <c r="AO121" s="47">
        <v>0</v>
      </c>
      <c r="AP121" s="47">
        <v>0</v>
      </c>
      <c r="AQ121" s="47">
        <v>0</v>
      </c>
      <c r="AR121" s="47">
        <v>0</v>
      </c>
      <c r="AS121" s="47">
        <v>0</v>
      </c>
      <c r="AT121" s="47">
        <v>0</v>
      </c>
      <c r="AU121" s="47">
        <v>0</v>
      </c>
      <c r="AV121" s="47">
        <v>0</v>
      </c>
      <c r="AW121" s="47">
        <v>0</v>
      </c>
      <c r="AX121" s="47">
        <v>0</v>
      </c>
      <c r="AY121" s="47">
        <v>0</v>
      </c>
      <c r="AZ121" s="47">
        <v>0</v>
      </c>
      <c r="BA121" s="47">
        <v>0</v>
      </c>
      <c r="BB121" s="47">
        <v>0</v>
      </c>
      <c r="BC121" s="47">
        <v>0</v>
      </c>
      <c r="BD121" s="47">
        <v>0</v>
      </c>
      <c r="BE121" s="47">
        <v>0</v>
      </c>
      <c r="BF121" s="47">
        <v>0</v>
      </c>
      <c r="BG121" s="47">
        <v>0</v>
      </c>
      <c r="BH121" s="47">
        <v>0</v>
      </c>
      <c r="BI121" s="47">
        <v>0</v>
      </c>
      <c r="BJ121" s="47">
        <v>0</v>
      </c>
      <c r="BK121" s="47">
        <v>0</v>
      </c>
      <c r="BL121" s="47">
        <v>1</v>
      </c>
      <c r="BM121" s="47">
        <v>0</v>
      </c>
      <c r="BN121" s="47">
        <v>1</v>
      </c>
      <c r="BO121" s="47">
        <v>0</v>
      </c>
      <c r="BP121" s="47">
        <v>0</v>
      </c>
      <c r="BQ121" s="47">
        <v>0</v>
      </c>
      <c r="BR121" s="47">
        <v>0</v>
      </c>
      <c r="BS121" s="47">
        <v>0</v>
      </c>
      <c r="BT121" s="47">
        <v>0</v>
      </c>
      <c r="BU121" s="47">
        <v>0</v>
      </c>
      <c r="BV121" s="47">
        <v>0</v>
      </c>
      <c r="BW121" s="47">
        <v>0</v>
      </c>
      <c r="BX121" s="47">
        <v>0</v>
      </c>
      <c r="BY121" s="47">
        <v>0</v>
      </c>
      <c r="BZ121" s="47">
        <v>0</v>
      </c>
      <c r="CA121" s="47">
        <v>0</v>
      </c>
      <c r="CB121" s="47">
        <v>0</v>
      </c>
      <c r="CC121" s="47">
        <v>0</v>
      </c>
      <c r="CD121" s="47">
        <v>0</v>
      </c>
      <c r="CE121" s="47">
        <v>0</v>
      </c>
      <c r="CF121" s="47">
        <v>0</v>
      </c>
      <c r="CG121" s="47">
        <v>0</v>
      </c>
      <c r="CH121" s="47">
        <v>0</v>
      </c>
      <c r="CI121" s="47">
        <v>0</v>
      </c>
      <c r="CJ121" s="47">
        <v>0</v>
      </c>
      <c r="CK121" s="47">
        <v>0</v>
      </c>
      <c r="CL121" s="47">
        <v>0</v>
      </c>
      <c r="CM121" s="47">
        <v>0</v>
      </c>
      <c r="CN121" s="47">
        <v>0</v>
      </c>
      <c r="CO121" s="47">
        <v>0</v>
      </c>
      <c r="CP121" s="47">
        <v>0</v>
      </c>
      <c r="CQ121" s="47">
        <v>0</v>
      </c>
      <c r="CR121" s="47">
        <v>0</v>
      </c>
      <c r="CS121" s="47">
        <v>0</v>
      </c>
      <c r="CT121" s="47">
        <v>0</v>
      </c>
      <c r="CU121" s="47">
        <v>0</v>
      </c>
      <c r="CV121" s="47">
        <v>0</v>
      </c>
      <c r="CW121" s="47">
        <v>0</v>
      </c>
      <c r="CX121" s="47">
        <v>0</v>
      </c>
      <c r="CY121" s="47">
        <v>0</v>
      </c>
      <c r="CZ121" s="47">
        <v>0</v>
      </c>
      <c r="DA121" s="47">
        <v>0</v>
      </c>
      <c r="DB121" s="47">
        <v>0</v>
      </c>
      <c r="DC121" s="47">
        <v>0</v>
      </c>
      <c r="DD121" s="47">
        <v>0</v>
      </c>
      <c r="DE121" s="47">
        <v>0</v>
      </c>
      <c r="DF121" s="47">
        <v>0</v>
      </c>
      <c r="DG121" s="47">
        <v>0</v>
      </c>
      <c r="DH121" s="47">
        <v>0</v>
      </c>
      <c r="DI121" s="47">
        <v>0</v>
      </c>
      <c r="DJ121" s="47">
        <v>0</v>
      </c>
      <c r="DK121" s="47">
        <v>0</v>
      </c>
      <c r="DL121" s="47">
        <v>0</v>
      </c>
      <c r="DM121" s="47">
        <v>0</v>
      </c>
      <c r="DN121" s="47">
        <v>0</v>
      </c>
      <c r="DO121" s="47">
        <v>0</v>
      </c>
      <c r="DP121" s="47">
        <v>0</v>
      </c>
      <c r="DQ121" s="47">
        <v>0</v>
      </c>
      <c r="DR121" s="47">
        <v>0</v>
      </c>
    </row>
    <row r="122" spans="1:124" x14ac:dyDescent="0.25">
      <c r="A122" s="47" t="s">
        <v>710</v>
      </c>
      <c r="B122" s="47" t="s">
        <v>151</v>
      </c>
      <c r="C122" s="47" t="s">
        <v>711</v>
      </c>
      <c r="D122" s="47" t="s">
        <v>712</v>
      </c>
      <c r="E122" s="47" t="s">
        <v>713</v>
      </c>
      <c r="F122" s="47" t="s">
        <v>380</v>
      </c>
      <c r="G122" s="47" t="s">
        <v>714</v>
      </c>
      <c r="H122" s="47" t="str">
        <f>=IFERROR(VLOOKUP(A122,'ETPT Format DDG'!A:J,10,FALSE),"")</f>
        <v>0</v>
      </c>
      <c r="I122" s="47" t="str">
        <f>='ETPT Format DDG'!M122</f>
        <v/>
      </c>
      <c r="J122" s="47" t="str">
        <f>='ETPT Format DDG'!D122</f>
        <v/>
      </c>
      <c r="K122" s="47" t="s">
        <v>155</v>
      </c>
      <c r="L122" s="47" t="s">
        <v>176</v>
      </c>
      <c r="M122" s="47"/>
      <c r="N122" s="47">
        <v>1</v>
      </c>
      <c r="O122" s="47">
        <v>1</v>
      </c>
      <c r="P122" s="47">
        <v>0</v>
      </c>
      <c r="Q122" s="47">
        <v>0</v>
      </c>
      <c r="R122" s="47">
        <v>0</v>
      </c>
      <c r="S122" s="47">
        <v>0</v>
      </c>
      <c r="T122" s="47">
        <v>0</v>
      </c>
      <c r="U122" s="47">
        <v>0</v>
      </c>
      <c r="V122" s="47">
        <v>0</v>
      </c>
      <c r="W122" s="47">
        <v>0</v>
      </c>
      <c r="X122" s="47">
        <v>0</v>
      </c>
      <c r="Y122" s="47">
        <v>0</v>
      </c>
      <c r="Z122" s="47">
        <v>0</v>
      </c>
      <c r="AA122" s="47">
        <v>0</v>
      </c>
      <c r="AB122" s="47">
        <v>0</v>
      </c>
      <c r="AC122" s="47">
        <v>0</v>
      </c>
      <c r="AD122" s="47">
        <v>0</v>
      </c>
      <c r="AE122" s="47">
        <v>0</v>
      </c>
      <c r="AF122" s="47">
        <v>0</v>
      </c>
      <c r="AG122" s="47">
        <v>0</v>
      </c>
      <c r="AH122" s="47">
        <v>0</v>
      </c>
      <c r="AI122" s="47">
        <v>0</v>
      </c>
      <c r="AJ122" s="47">
        <v>0</v>
      </c>
      <c r="AK122" s="47">
        <v>0</v>
      </c>
      <c r="AL122" s="47">
        <v>0</v>
      </c>
      <c r="AM122" s="47">
        <v>0</v>
      </c>
      <c r="AN122" s="47">
        <v>0</v>
      </c>
      <c r="AO122" s="47">
        <v>0</v>
      </c>
      <c r="AP122" s="47">
        <v>0</v>
      </c>
      <c r="AQ122" s="47">
        <v>0</v>
      </c>
      <c r="AR122" s="47">
        <v>0</v>
      </c>
      <c r="AS122" s="47">
        <v>0</v>
      </c>
      <c r="AT122" s="47">
        <v>0</v>
      </c>
      <c r="AU122" s="47">
        <v>0</v>
      </c>
      <c r="AV122" s="47">
        <v>0</v>
      </c>
      <c r="AW122" s="47">
        <v>0</v>
      </c>
      <c r="AX122" s="47">
        <v>0</v>
      </c>
      <c r="AY122" s="47">
        <v>0</v>
      </c>
      <c r="AZ122" s="47">
        <v>0</v>
      </c>
      <c r="BA122" s="47">
        <v>0</v>
      </c>
      <c r="BB122" s="47">
        <v>0</v>
      </c>
      <c r="BC122" s="47">
        <v>0</v>
      </c>
      <c r="BD122" s="47">
        <v>0</v>
      </c>
      <c r="BE122" s="47">
        <v>0</v>
      </c>
      <c r="BF122" s="47">
        <v>0</v>
      </c>
      <c r="BG122" s="47">
        <v>0</v>
      </c>
      <c r="BH122" s="47">
        <v>0</v>
      </c>
      <c r="BI122" s="47">
        <v>0</v>
      </c>
      <c r="BJ122" s="47">
        <v>0</v>
      </c>
      <c r="BK122" s="47">
        <v>0</v>
      </c>
      <c r="BL122" s="47">
        <v>0</v>
      </c>
      <c r="BM122" s="47">
        <v>0</v>
      </c>
      <c r="BN122" s="47">
        <v>0</v>
      </c>
      <c r="BO122" s="47">
        <v>0</v>
      </c>
      <c r="BP122" s="47">
        <v>0</v>
      </c>
      <c r="BQ122" s="47">
        <v>0</v>
      </c>
      <c r="BR122" s="47">
        <v>0</v>
      </c>
      <c r="BS122" s="47">
        <v>0</v>
      </c>
      <c r="BT122" s="47">
        <v>0</v>
      </c>
      <c r="BU122" s="47">
        <v>0</v>
      </c>
      <c r="BV122" s="47">
        <v>0</v>
      </c>
      <c r="BW122" s="47">
        <v>0</v>
      </c>
      <c r="BX122" s="47">
        <v>0</v>
      </c>
      <c r="BY122" s="47">
        <v>0</v>
      </c>
      <c r="BZ122" s="47">
        <v>0</v>
      </c>
      <c r="CA122" s="47">
        <v>0</v>
      </c>
      <c r="CB122" s="47">
        <v>0</v>
      </c>
      <c r="CC122" s="47">
        <v>0</v>
      </c>
      <c r="CD122" s="47">
        <v>0</v>
      </c>
      <c r="CE122" s="47">
        <v>0</v>
      </c>
      <c r="CF122" s="47">
        <v>0</v>
      </c>
      <c r="CG122" s="47">
        <v>0</v>
      </c>
      <c r="CH122" s="47">
        <v>0</v>
      </c>
      <c r="CI122" s="47">
        <v>0</v>
      </c>
      <c r="CJ122" s="47">
        <v>0</v>
      </c>
      <c r="CK122" s="47">
        <v>0</v>
      </c>
      <c r="CL122" s="47">
        <v>0</v>
      </c>
      <c r="CM122" s="47">
        <v>0</v>
      </c>
      <c r="CN122" s="47">
        <v>0</v>
      </c>
      <c r="CO122" s="47">
        <v>0</v>
      </c>
      <c r="CP122" s="47">
        <v>0</v>
      </c>
      <c r="CQ122" s="47">
        <v>0</v>
      </c>
      <c r="CR122" s="47">
        <v>0</v>
      </c>
      <c r="CS122" s="47">
        <v>0</v>
      </c>
      <c r="CT122" s="47">
        <v>1</v>
      </c>
      <c r="CU122" s="47">
        <v>0</v>
      </c>
      <c r="CV122" s="47">
        <v>0</v>
      </c>
      <c r="CW122" s="47">
        <v>0</v>
      </c>
      <c r="CX122" s="47">
        <v>1</v>
      </c>
      <c r="CY122" s="47">
        <v>0</v>
      </c>
      <c r="CZ122" s="47">
        <v>0</v>
      </c>
      <c r="DA122" s="47">
        <v>0</v>
      </c>
      <c r="DB122" s="47">
        <v>0</v>
      </c>
      <c r="DC122" s="47">
        <v>0</v>
      </c>
      <c r="DD122" s="47">
        <v>0</v>
      </c>
      <c r="DE122" s="47">
        <v>0</v>
      </c>
      <c r="DF122" s="47">
        <v>0</v>
      </c>
      <c r="DG122" s="47">
        <v>0</v>
      </c>
      <c r="DH122" s="47">
        <v>0</v>
      </c>
      <c r="DI122" s="47">
        <v>0</v>
      </c>
      <c r="DJ122" s="47">
        <v>0</v>
      </c>
      <c r="DK122" s="47">
        <v>0</v>
      </c>
      <c r="DL122" s="47">
        <v>0</v>
      </c>
      <c r="DM122" s="47">
        <v>0</v>
      </c>
      <c r="DN122" s="47">
        <v>0</v>
      </c>
      <c r="DO122" s="47">
        <v>0</v>
      </c>
      <c r="DP122" s="47">
        <v>0</v>
      </c>
      <c r="DQ122" s="47">
        <v>0</v>
      </c>
      <c r="DR122" s="47">
        <v>0</v>
      </c>
    </row>
    <row r="123" spans="1:124" x14ac:dyDescent="0.25">
      <c r="A123" s="47" t="s">
        <v>715</v>
      </c>
      <c r="B123" s="47" t="s">
        <v>151</v>
      </c>
      <c r="C123" s="47" t="s">
        <v>716</v>
      </c>
      <c r="D123" s="47" t="s">
        <v>717</v>
      </c>
      <c r="E123" s="47" t="s">
        <v>718</v>
      </c>
      <c r="F123" s="47" t="s">
        <v>380</v>
      </c>
      <c r="G123" s="47" t="s">
        <v>411</v>
      </c>
      <c r="H123" s="47" t="str">
        <f>=IFERROR(VLOOKUP(A123,'ETPT Format DDG'!A:J,10,FALSE),"")</f>
        <v>0</v>
      </c>
      <c r="I123" s="47" t="str">
        <f>='ETPT Format DDG'!M123</f>
        <v/>
      </c>
      <c r="J123" s="47" t="str">
        <f>='ETPT Format DDG'!D123</f>
        <v/>
      </c>
      <c r="K123" s="47" t="s">
        <v>155</v>
      </c>
      <c r="L123" s="47" t="s">
        <v>719</v>
      </c>
      <c r="M123" s="47"/>
      <c r="N123" s="47">
        <v>1</v>
      </c>
      <c r="O123" s="47">
        <v>0</v>
      </c>
      <c r="P123" s="47">
        <v>0</v>
      </c>
      <c r="Q123" s="47">
        <v>0</v>
      </c>
      <c r="R123" s="47">
        <v>0</v>
      </c>
      <c r="S123" s="47">
        <v>0</v>
      </c>
      <c r="T123" s="47">
        <v>0</v>
      </c>
      <c r="U123" s="47">
        <v>0</v>
      </c>
      <c r="V123" s="47">
        <v>0</v>
      </c>
      <c r="W123" s="47">
        <v>0</v>
      </c>
      <c r="X123" s="47">
        <v>0</v>
      </c>
      <c r="Y123" s="47">
        <v>0</v>
      </c>
      <c r="Z123" s="47">
        <v>0</v>
      </c>
      <c r="AA123" s="47">
        <v>0</v>
      </c>
      <c r="AB123" s="47">
        <v>0</v>
      </c>
      <c r="AC123" s="47">
        <v>0</v>
      </c>
      <c r="AD123" s="47">
        <v>0</v>
      </c>
      <c r="AE123" s="47">
        <v>0</v>
      </c>
      <c r="AF123" s="47">
        <v>0</v>
      </c>
      <c r="AG123" s="47">
        <v>0</v>
      </c>
      <c r="AH123" s="47">
        <v>0</v>
      </c>
      <c r="AI123" s="47">
        <v>0</v>
      </c>
      <c r="AJ123" s="47">
        <v>0</v>
      </c>
      <c r="AK123" s="47">
        <v>0</v>
      </c>
      <c r="AL123" s="47">
        <v>0</v>
      </c>
      <c r="AM123" s="47">
        <v>0</v>
      </c>
      <c r="AN123" s="47">
        <v>0</v>
      </c>
      <c r="AO123" s="47">
        <v>0</v>
      </c>
      <c r="AP123" s="47">
        <v>0</v>
      </c>
      <c r="AQ123" s="47">
        <v>0</v>
      </c>
      <c r="AR123" s="47">
        <v>0</v>
      </c>
      <c r="AS123" s="47">
        <v>0</v>
      </c>
      <c r="AT123" s="47">
        <v>0</v>
      </c>
      <c r="AU123" s="47">
        <v>0</v>
      </c>
      <c r="AV123" s="47">
        <v>0</v>
      </c>
      <c r="AW123" s="47">
        <v>0</v>
      </c>
      <c r="AX123" s="47">
        <v>0</v>
      </c>
      <c r="AY123" s="47">
        <v>0</v>
      </c>
      <c r="AZ123" s="47">
        <v>0</v>
      </c>
      <c r="BA123" s="47">
        <v>0</v>
      </c>
      <c r="BB123" s="47">
        <v>0</v>
      </c>
      <c r="BC123" s="47">
        <v>0</v>
      </c>
      <c r="BD123" s="47">
        <v>0</v>
      </c>
      <c r="BE123" s="47">
        <v>0</v>
      </c>
      <c r="BF123" s="47">
        <v>0</v>
      </c>
      <c r="BG123" s="47">
        <v>0</v>
      </c>
      <c r="BH123" s="47">
        <v>0</v>
      </c>
      <c r="BI123" s="47">
        <v>0</v>
      </c>
      <c r="BJ123" s="47">
        <v>0</v>
      </c>
      <c r="BK123" s="47">
        <v>0</v>
      </c>
      <c r="BL123" s="47">
        <v>0</v>
      </c>
      <c r="BM123" s="47">
        <v>0</v>
      </c>
      <c r="BN123" s="47">
        <v>0</v>
      </c>
      <c r="BO123" s="47">
        <v>0</v>
      </c>
      <c r="BP123" s="47">
        <v>0</v>
      </c>
      <c r="BQ123" s="47">
        <v>0</v>
      </c>
      <c r="BR123" s="47">
        <v>0</v>
      </c>
      <c r="BS123" s="47">
        <v>0</v>
      </c>
      <c r="BT123" s="47">
        <v>0</v>
      </c>
      <c r="BU123" s="47">
        <v>0</v>
      </c>
      <c r="BV123" s="47">
        <v>0</v>
      </c>
      <c r="BW123" s="47">
        <v>0</v>
      </c>
      <c r="BX123" s="47">
        <v>0</v>
      </c>
      <c r="BY123" s="47">
        <v>0</v>
      </c>
      <c r="BZ123" s="47">
        <v>0</v>
      </c>
      <c r="CA123" s="47">
        <v>0</v>
      </c>
      <c r="CB123" s="47">
        <v>0</v>
      </c>
      <c r="CC123" s="47">
        <v>0</v>
      </c>
      <c r="CD123" s="47">
        <v>0</v>
      </c>
      <c r="CE123" s="47">
        <v>0</v>
      </c>
      <c r="CF123" s="47">
        <v>0</v>
      </c>
      <c r="CG123" s="47">
        <v>0</v>
      </c>
      <c r="CH123" s="47">
        <v>0</v>
      </c>
      <c r="CI123" s="47">
        <v>0</v>
      </c>
      <c r="CJ123" s="47">
        <v>0</v>
      </c>
      <c r="CK123" s="47">
        <v>0</v>
      </c>
      <c r="CL123" s="47">
        <v>0</v>
      </c>
      <c r="CM123" s="47">
        <v>0</v>
      </c>
      <c r="CN123" s="47">
        <v>0</v>
      </c>
      <c r="CO123" s="47">
        <v>0</v>
      </c>
      <c r="CP123" s="47">
        <v>0</v>
      </c>
      <c r="CQ123" s="47">
        <v>0</v>
      </c>
      <c r="CR123" s="47">
        <v>0</v>
      </c>
      <c r="CS123" s="47">
        <v>0</v>
      </c>
      <c r="CT123" s="47">
        <v>0</v>
      </c>
      <c r="CU123" s="47">
        <v>0</v>
      </c>
      <c r="CV123" s="47">
        <v>0</v>
      </c>
      <c r="CW123" s="47">
        <v>0</v>
      </c>
      <c r="CX123" s="47">
        <v>0</v>
      </c>
      <c r="CY123" s="47">
        <v>0</v>
      </c>
      <c r="CZ123" s="47">
        <v>0</v>
      </c>
      <c r="DA123" s="47">
        <v>0</v>
      </c>
      <c r="DB123" s="47">
        <v>0</v>
      </c>
      <c r="DC123" s="47">
        <v>0</v>
      </c>
      <c r="DD123" s="47">
        <v>0</v>
      </c>
      <c r="DE123" s="47">
        <v>0</v>
      </c>
      <c r="DF123" s="47">
        <v>0</v>
      </c>
      <c r="DG123" s="47">
        <v>0</v>
      </c>
      <c r="DH123" s="47">
        <v>0</v>
      </c>
      <c r="DI123" s="47">
        <v>0</v>
      </c>
      <c r="DJ123" s="47">
        <v>0</v>
      </c>
      <c r="DK123" s="47">
        <v>0</v>
      </c>
      <c r="DL123" s="47">
        <v>0</v>
      </c>
      <c r="DM123" s="47">
        <v>0</v>
      </c>
      <c r="DN123" s="47">
        <v>0</v>
      </c>
      <c r="DO123" s="47">
        <v>0</v>
      </c>
      <c r="DP123" s="47">
        <v>0</v>
      </c>
      <c r="DQ123" s="47">
        <v>0</v>
      </c>
      <c r="DR123" s="47">
        <v>0</v>
      </c>
    </row>
    <row r="124" spans="1:124" x14ac:dyDescent="0.25">
      <c r="A124" s="47" t="s">
        <v>720</v>
      </c>
      <c r="B124" s="47" t="s">
        <v>151</v>
      </c>
      <c r="C124" s="47" t="s">
        <v>721</v>
      </c>
      <c r="D124" s="47" t="s">
        <v>722</v>
      </c>
      <c r="E124" s="47" t="s">
        <v>723</v>
      </c>
      <c r="F124" s="47" t="s">
        <v>380</v>
      </c>
      <c r="G124" s="47" t="s">
        <v>381</v>
      </c>
      <c r="H124" s="47" t="str">
        <f>=IFERROR(VLOOKUP(A124,'ETPT Format DDG'!A:J,10,FALSE),"")</f>
        <v>0</v>
      </c>
      <c r="I124" s="47" t="str">
        <f>='ETPT Format DDG'!M124</f>
        <v/>
      </c>
      <c r="J124" s="47" t="str">
        <f>='ETPT Format DDG'!D124</f>
        <v/>
      </c>
      <c r="K124" s="47" t="s">
        <v>155</v>
      </c>
      <c r="L124" s="47" t="s">
        <v>386</v>
      </c>
      <c r="M124" s="47"/>
      <c r="N124" s="47">
        <v>1</v>
      </c>
      <c r="O124" s="47">
        <v>0</v>
      </c>
      <c r="P124" s="47">
        <v>0</v>
      </c>
      <c r="Q124" s="47">
        <v>0</v>
      </c>
      <c r="R124" s="47">
        <v>0</v>
      </c>
      <c r="S124" s="47">
        <v>0</v>
      </c>
      <c r="T124" s="47">
        <v>0</v>
      </c>
      <c r="U124" s="47">
        <v>0</v>
      </c>
      <c r="V124" s="47">
        <v>0</v>
      </c>
      <c r="W124" s="47">
        <v>0</v>
      </c>
      <c r="X124" s="47">
        <v>0</v>
      </c>
      <c r="Y124" s="47">
        <v>0</v>
      </c>
      <c r="Z124" s="47">
        <v>0</v>
      </c>
      <c r="AA124" s="47">
        <v>0</v>
      </c>
      <c r="AB124" s="47">
        <v>0</v>
      </c>
      <c r="AC124" s="47">
        <v>0</v>
      </c>
      <c r="AD124" s="47">
        <v>0</v>
      </c>
      <c r="AE124" s="47">
        <v>0</v>
      </c>
      <c r="AF124" s="47">
        <v>0</v>
      </c>
      <c r="AG124" s="47">
        <v>0</v>
      </c>
      <c r="AH124" s="47">
        <v>0</v>
      </c>
      <c r="AI124" s="47">
        <v>0</v>
      </c>
      <c r="AJ124" s="47">
        <v>0</v>
      </c>
      <c r="AK124" s="47">
        <v>0</v>
      </c>
      <c r="AL124" s="47">
        <v>0</v>
      </c>
      <c r="AM124" s="47">
        <v>0</v>
      </c>
      <c r="AN124" s="47">
        <v>0</v>
      </c>
      <c r="AO124" s="47">
        <v>0</v>
      </c>
      <c r="AP124" s="47">
        <v>0</v>
      </c>
      <c r="AQ124" s="47">
        <v>0</v>
      </c>
      <c r="AR124" s="47">
        <v>0</v>
      </c>
      <c r="AS124" s="47">
        <v>0</v>
      </c>
      <c r="AT124" s="47">
        <v>0</v>
      </c>
      <c r="AU124" s="47">
        <v>0</v>
      </c>
      <c r="AV124" s="47">
        <v>0</v>
      </c>
      <c r="AW124" s="47">
        <v>0</v>
      </c>
      <c r="AX124" s="47">
        <v>0</v>
      </c>
      <c r="AY124" s="47">
        <v>0</v>
      </c>
      <c r="AZ124" s="47">
        <v>0</v>
      </c>
      <c r="BA124" s="47">
        <v>0</v>
      </c>
      <c r="BB124" s="47">
        <v>0</v>
      </c>
      <c r="BC124" s="47">
        <v>0</v>
      </c>
      <c r="BD124" s="47">
        <v>0</v>
      </c>
      <c r="BE124" s="47">
        <v>0</v>
      </c>
      <c r="BF124" s="47">
        <v>0</v>
      </c>
      <c r="BG124" s="47">
        <v>0</v>
      </c>
      <c r="BH124" s="47">
        <v>0</v>
      </c>
      <c r="BI124" s="47">
        <v>0</v>
      </c>
      <c r="BJ124" s="47">
        <v>0</v>
      </c>
      <c r="BK124" s="47">
        <v>0</v>
      </c>
      <c r="BL124" s="47">
        <v>0</v>
      </c>
      <c r="BM124" s="47">
        <v>0</v>
      </c>
      <c r="BN124" s="47">
        <v>0</v>
      </c>
      <c r="BO124" s="47">
        <v>0</v>
      </c>
      <c r="BP124" s="47">
        <v>0</v>
      </c>
      <c r="BQ124" s="47">
        <v>0</v>
      </c>
      <c r="BR124" s="47">
        <v>0</v>
      </c>
      <c r="BS124" s="47">
        <v>0</v>
      </c>
      <c r="BT124" s="47">
        <v>0</v>
      </c>
      <c r="BU124" s="47">
        <v>0</v>
      </c>
      <c r="BV124" s="47">
        <v>0</v>
      </c>
      <c r="BW124" s="47">
        <v>0</v>
      </c>
      <c r="BX124" s="47">
        <v>0</v>
      </c>
      <c r="BY124" s="47">
        <v>0</v>
      </c>
      <c r="BZ124" s="47">
        <v>0</v>
      </c>
      <c r="CA124" s="47">
        <v>0</v>
      </c>
      <c r="CB124" s="47">
        <v>0</v>
      </c>
      <c r="CC124" s="47">
        <v>0</v>
      </c>
      <c r="CD124" s="47">
        <v>0</v>
      </c>
      <c r="CE124" s="47">
        <v>0</v>
      </c>
      <c r="CF124" s="47">
        <v>0</v>
      </c>
      <c r="CG124" s="47">
        <v>0</v>
      </c>
      <c r="CH124" s="47">
        <v>0</v>
      </c>
      <c r="CI124" s="47">
        <v>0</v>
      </c>
      <c r="CJ124" s="47">
        <v>0</v>
      </c>
      <c r="CK124" s="47">
        <v>0</v>
      </c>
      <c r="CL124" s="47">
        <v>0</v>
      </c>
      <c r="CM124" s="47">
        <v>0</v>
      </c>
      <c r="CN124" s="47">
        <v>0</v>
      </c>
      <c r="CO124" s="47">
        <v>0</v>
      </c>
      <c r="CP124" s="47">
        <v>0</v>
      </c>
      <c r="CQ124" s="47">
        <v>0</v>
      </c>
      <c r="CR124" s="47">
        <v>0</v>
      </c>
      <c r="CS124" s="47">
        <v>0</v>
      </c>
      <c r="CT124" s="47">
        <v>0</v>
      </c>
      <c r="CU124" s="47">
        <v>0</v>
      </c>
      <c r="CV124" s="47">
        <v>0</v>
      </c>
      <c r="CW124" s="47">
        <v>0</v>
      </c>
      <c r="CX124" s="47">
        <v>0</v>
      </c>
      <c r="CY124" s="47">
        <v>0</v>
      </c>
      <c r="CZ124" s="47">
        <v>0</v>
      </c>
      <c r="DA124" s="47">
        <v>0</v>
      </c>
      <c r="DB124" s="47">
        <v>0</v>
      </c>
      <c r="DC124" s="47">
        <v>0</v>
      </c>
      <c r="DD124" s="47">
        <v>0</v>
      </c>
      <c r="DE124" s="47">
        <v>0</v>
      </c>
      <c r="DF124" s="47">
        <v>0</v>
      </c>
      <c r="DG124" s="47">
        <v>0</v>
      </c>
      <c r="DH124" s="47">
        <v>0</v>
      </c>
      <c r="DI124" s="47">
        <v>0</v>
      </c>
      <c r="DJ124" s="47">
        <v>0</v>
      </c>
      <c r="DK124" s="47">
        <v>0</v>
      </c>
      <c r="DL124" s="47">
        <v>0</v>
      </c>
      <c r="DM124" s="47">
        <v>0</v>
      </c>
      <c r="DN124" s="47">
        <v>0</v>
      </c>
      <c r="DO124" s="47">
        <v>0</v>
      </c>
      <c r="DP124" s="47">
        <v>0</v>
      </c>
      <c r="DQ124" s="47">
        <v>0</v>
      </c>
      <c r="DR124" s="47">
        <v>0</v>
      </c>
    </row>
    <row r="125" spans="1:124" x14ac:dyDescent="0.25">
      <c r="A125" s="47" t="s">
        <v>724</v>
      </c>
      <c r="B125" s="47" t="s">
        <v>151</v>
      </c>
      <c r="C125" s="47" t="s">
        <v>725</v>
      </c>
      <c r="D125" s="47" t="s">
        <v>726</v>
      </c>
      <c r="E125" s="47" t="s">
        <v>727</v>
      </c>
      <c r="F125" s="47" t="s">
        <v>380</v>
      </c>
      <c r="G125" s="47" t="s">
        <v>381</v>
      </c>
      <c r="H125" s="47" t="str">
        <f>=IFERROR(VLOOKUP(A125,'ETPT Format DDG'!A:J,10,FALSE),"")</f>
        <v>0</v>
      </c>
      <c r="I125" s="47" t="str">
        <f>='ETPT Format DDG'!M125</f>
        <v/>
      </c>
      <c r="J125" s="47" t="str">
        <f>='ETPT Format DDG'!D125</f>
        <v/>
      </c>
      <c r="K125" s="47" t="s">
        <v>155</v>
      </c>
      <c r="L125" s="47" t="s">
        <v>581</v>
      </c>
      <c r="M125" s="47"/>
      <c r="N125" s="47">
        <v>1</v>
      </c>
      <c r="O125" s="47">
        <v>0</v>
      </c>
      <c r="P125" s="47">
        <v>0</v>
      </c>
      <c r="Q125" s="47">
        <v>0</v>
      </c>
      <c r="R125" s="47">
        <v>0</v>
      </c>
      <c r="S125" s="47">
        <v>0</v>
      </c>
      <c r="T125" s="47">
        <v>0</v>
      </c>
      <c r="U125" s="47">
        <v>0</v>
      </c>
      <c r="V125" s="47">
        <v>0</v>
      </c>
      <c r="W125" s="47">
        <v>0</v>
      </c>
      <c r="X125" s="47">
        <v>0</v>
      </c>
      <c r="Y125" s="47">
        <v>0</v>
      </c>
      <c r="Z125" s="47">
        <v>0</v>
      </c>
      <c r="AA125" s="47">
        <v>0</v>
      </c>
      <c r="AB125" s="47">
        <v>0</v>
      </c>
      <c r="AC125" s="47">
        <v>0</v>
      </c>
      <c r="AD125" s="47">
        <v>0</v>
      </c>
      <c r="AE125" s="47">
        <v>0</v>
      </c>
      <c r="AF125" s="47">
        <v>0</v>
      </c>
      <c r="AG125" s="47">
        <v>0</v>
      </c>
      <c r="AH125" s="47">
        <v>0</v>
      </c>
      <c r="AI125" s="47">
        <v>0</v>
      </c>
      <c r="AJ125" s="47">
        <v>0</v>
      </c>
      <c r="AK125" s="47">
        <v>0</v>
      </c>
      <c r="AL125" s="47">
        <v>0</v>
      </c>
      <c r="AM125" s="47">
        <v>0</v>
      </c>
      <c r="AN125" s="47">
        <v>0</v>
      </c>
      <c r="AO125" s="47">
        <v>0</v>
      </c>
      <c r="AP125" s="47">
        <v>0</v>
      </c>
      <c r="AQ125" s="47">
        <v>0</v>
      </c>
      <c r="AR125" s="47">
        <v>0</v>
      </c>
      <c r="AS125" s="47">
        <v>0</v>
      </c>
      <c r="AT125" s="47">
        <v>0</v>
      </c>
      <c r="AU125" s="47">
        <v>0</v>
      </c>
      <c r="AV125" s="47">
        <v>0</v>
      </c>
      <c r="AW125" s="47">
        <v>0</v>
      </c>
      <c r="AX125" s="47">
        <v>0</v>
      </c>
      <c r="AY125" s="47">
        <v>0</v>
      </c>
      <c r="AZ125" s="47">
        <v>0</v>
      </c>
      <c r="BA125" s="47">
        <v>0</v>
      </c>
      <c r="BB125" s="47">
        <v>0</v>
      </c>
      <c r="BC125" s="47">
        <v>0</v>
      </c>
      <c r="BD125" s="47">
        <v>0</v>
      </c>
      <c r="BE125" s="47">
        <v>0</v>
      </c>
      <c r="BF125" s="47">
        <v>0</v>
      </c>
      <c r="BG125" s="47">
        <v>0</v>
      </c>
      <c r="BH125" s="47">
        <v>0</v>
      </c>
      <c r="BI125" s="47">
        <v>0</v>
      </c>
      <c r="BJ125" s="47">
        <v>0</v>
      </c>
      <c r="BK125" s="47">
        <v>0</v>
      </c>
      <c r="BL125" s="47">
        <v>0</v>
      </c>
      <c r="BM125" s="47">
        <v>0</v>
      </c>
      <c r="BN125" s="47">
        <v>0</v>
      </c>
      <c r="BO125" s="47">
        <v>0</v>
      </c>
      <c r="BP125" s="47">
        <v>0</v>
      </c>
      <c r="BQ125" s="47">
        <v>0</v>
      </c>
      <c r="BR125" s="47">
        <v>0</v>
      </c>
      <c r="BS125" s="47">
        <v>0</v>
      </c>
      <c r="BT125" s="47">
        <v>0</v>
      </c>
      <c r="BU125" s="47">
        <v>0</v>
      </c>
      <c r="BV125" s="47">
        <v>0</v>
      </c>
      <c r="BW125" s="47">
        <v>0</v>
      </c>
      <c r="BX125" s="47">
        <v>0</v>
      </c>
      <c r="BY125" s="47">
        <v>0</v>
      </c>
      <c r="BZ125" s="47">
        <v>0</v>
      </c>
      <c r="CA125" s="47">
        <v>0</v>
      </c>
      <c r="CB125" s="47">
        <v>0</v>
      </c>
      <c r="CC125" s="47">
        <v>0</v>
      </c>
      <c r="CD125" s="47">
        <v>0</v>
      </c>
      <c r="CE125" s="47">
        <v>0</v>
      </c>
      <c r="CF125" s="47">
        <v>0</v>
      </c>
      <c r="CG125" s="47">
        <v>0</v>
      </c>
      <c r="CH125" s="47">
        <v>0</v>
      </c>
      <c r="CI125" s="47">
        <v>0</v>
      </c>
      <c r="CJ125" s="47">
        <v>0</v>
      </c>
      <c r="CK125" s="47">
        <v>0</v>
      </c>
      <c r="CL125" s="47">
        <v>0</v>
      </c>
      <c r="CM125" s="47">
        <v>0</v>
      </c>
      <c r="CN125" s="47">
        <v>0</v>
      </c>
      <c r="CO125" s="47">
        <v>0</v>
      </c>
      <c r="CP125" s="47">
        <v>0</v>
      </c>
      <c r="CQ125" s="47">
        <v>0</v>
      </c>
      <c r="CR125" s="47">
        <v>0</v>
      </c>
      <c r="CS125" s="47">
        <v>0</v>
      </c>
      <c r="CT125" s="47">
        <v>0</v>
      </c>
      <c r="CU125" s="47">
        <v>0</v>
      </c>
      <c r="CV125" s="47">
        <v>0</v>
      </c>
      <c r="CW125" s="47">
        <v>0</v>
      </c>
      <c r="CX125" s="47">
        <v>0</v>
      </c>
      <c r="CY125" s="47">
        <v>0</v>
      </c>
      <c r="CZ125" s="47">
        <v>0</v>
      </c>
      <c r="DA125" s="47">
        <v>0</v>
      </c>
      <c r="DB125" s="47">
        <v>0</v>
      </c>
      <c r="DC125" s="47">
        <v>0</v>
      </c>
      <c r="DD125" s="47">
        <v>0</v>
      </c>
      <c r="DE125" s="47">
        <v>0</v>
      </c>
      <c r="DF125" s="47">
        <v>0</v>
      </c>
      <c r="DG125" s="47">
        <v>0</v>
      </c>
      <c r="DH125" s="47">
        <v>0</v>
      </c>
      <c r="DI125" s="47">
        <v>0</v>
      </c>
      <c r="DJ125" s="47">
        <v>0</v>
      </c>
      <c r="DK125" s="47">
        <v>0</v>
      </c>
      <c r="DL125" s="47">
        <v>0</v>
      </c>
      <c r="DM125" s="47">
        <v>0</v>
      </c>
      <c r="DN125" s="47">
        <v>0</v>
      </c>
      <c r="DO125" s="47">
        <v>0</v>
      </c>
      <c r="DP125" s="47">
        <v>0</v>
      </c>
      <c r="DQ125" s="47">
        <v>0</v>
      </c>
      <c r="DR125" s="47">
        <v>0</v>
      </c>
    </row>
    <row r="126" spans="1:124" x14ac:dyDescent="0.25">
      <c r="A126" s="47" t="s">
        <v>728</v>
      </c>
      <c r="B126" s="47" t="s">
        <v>151</v>
      </c>
      <c r="C126" s="47" t="s">
        <v>729</v>
      </c>
      <c r="D126" s="47" t="s">
        <v>730</v>
      </c>
      <c r="E126" s="47" t="s">
        <v>731</v>
      </c>
      <c r="F126" s="47" t="s">
        <v>380</v>
      </c>
      <c r="G126" s="47" t="s">
        <v>421</v>
      </c>
      <c r="H126" s="47" t="str">
        <f>=IFERROR(VLOOKUP(A126,'ETPT Format DDG'!A:J,10,FALSE),"")</f>
        <v>0</v>
      </c>
      <c r="I126" s="47" t="str">
        <f>='ETPT Format DDG'!M126</f>
        <v/>
      </c>
      <c r="J126" s="47" t="str">
        <f>='ETPT Format DDG'!D126</f>
        <v/>
      </c>
      <c r="K126" s="47" t="s">
        <v>155</v>
      </c>
      <c r="L126" s="47" t="s">
        <v>176</v>
      </c>
      <c r="M126" s="47"/>
      <c r="N126" s="47">
        <v>1</v>
      </c>
      <c r="O126" s="47">
        <v>0</v>
      </c>
      <c r="P126" s="47">
        <v>0</v>
      </c>
      <c r="Q126" s="47">
        <v>0</v>
      </c>
      <c r="R126" s="47">
        <v>0</v>
      </c>
      <c r="S126" s="47">
        <v>0</v>
      </c>
      <c r="T126" s="47">
        <v>0</v>
      </c>
      <c r="U126" s="47">
        <v>0</v>
      </c>
      <c r="V126" s="47">
        <v>0</v>
      </c>
      <c r="W126" s="47">
        <v>0</v>
      </c>
      <c r="X126" s="47">
        <v>0</v>
      </c>
      <c r="Y126" s="47">
        <v>0</v>
      </c>
      <c r="Z126" s="47">
        <v>0</v>
      </c>
      <c r="AA126" s="47">
        <v>0</v>
      </c>
      <c r="AB126" s="47">
        <v>0</v>
      </c>
      <c r="AC126" s="47">
        <v>0</v>
      </c>
      <c r="AD126" s="47">
        <v>0</v>
      </c>
      <c r="AE126" s="47">
        <v>0</v>
      </c>
      <c r="AF126" s="47">
        <v>0</v>
      </c>
      <c r="AG126" s="47">
        <v>0</v>
      </c>
      <c r="AH126" s="47">
        <v>0</v>
      </c>
      <c r="AI126" s="47">
        <v>0</v>
      </c>
      <c r="AJ126" s="47">
        <v>0</v>
      </c>
      <c r="AK126" s="47">
        <v>0</v>
      </c>
      <c r="AL126" s="47">
        <v>0</v>
      </c>
      <c r="AM126" s="47">
        <v>0</v>
      </c>
      <c r="AN126" s="47">
        <v>0</v>
      </c>
      <c r="AO126" s="47">
        <v>0</v>
      </c>
      <c r="AP126" s="47">
        <v>0</v>
      </c>
      <c r="AQ126" s="47">
        <v>0</v>
      </c>
      <c r="AR126" s="47">
        <v>0</v>
      </c>
      <c r="AS126" s="47">
        <v>0</v>
      </c>
      <c r="AT126" s="47">
        <v>0</v>
      </c>
      <c r="AU126" s="47">
        <v>0</v>
      </c>
      <c r="AV126" s="47">
        <v>0</v>
      </c>
      <c r="AW126" s="47">
        <v>0</v>
      </c>
      <c r="AX126" s="47">
        <v>0</v>
      </c>
      <c r="AY126" s="47">
        <v>0</v>
      </c>
      <c r="AZ126" s="47">
        <v>0</v>
      </c>
      <c r="BA126" s="47">
        <v>0</v>
      </c>
      <c r="BB126" s="47">
        <v>0</v>
      </c>
      <c r="BC126" s="47">
        <v>0</v>
      </c>
      <c r="BD126" s="47">
        <v>0</v>
      </c>
      <c r="BE126" s="47">
        <v>0</v>
      </c>
      <c r="BF126" s="47">
        <v>0</v>
      </c>
      <c r="BG126" s="47">
        <v>0</v>
      </c>
      <c r="BH126" s="47">
        <v>0</v>
      </c>
      <c r="BI126" s="47">
        <v>0</v>
      </c>
      <c r="BJ126" s="47">
        <v>0</v>
      </c>
      <c r="BK126" s="47">
        <v>0</v>
      </c>
      <c r="BL126" s="47">
        <v>0</v>
      </c>
      <c r="BM126" s="47">
        <v>0</v>
      </c>
      <c r="BN126" s="47">
        <v>0</v>
      </c>
      <c r="BO126" s="47">
        <v>0</v>
      </c>
      <c r="BP126" s="47">
        <v>0</v>
      </c>
      <c r="BQ126" s="47">
        <v>0</v>
      </c>
      <c r="BR126" s="47">
        <v>0</v>
      </c>
      <c r="BS126" s="47">
        <v>0</v>
      </c>
      <c r="BT126" s="47">
        <v>0</v>
      </c>
      <c r="BU126" s="47">
        <v>0</v>
      </c>
      <c r="BV126" s="47">
        <v>0</v>
      </c>
      <c r="BW126" s="47">
        <v>0</v>
      </c>
      <c r="BX126" s="47">
        <v>0</v>
      </c>
      <c r="BY126" s="47">
        <v>0</v>
      </c>
      <c r="BZ126" s="47">
        <v>0</v>
      </c>
      <c r="CA126" s="47">
        <v>0</v>
      </c>
      <c r="CB126" s="47">
        <v>0</v>
      </c>
      <c r="CC126" s="47">
        <v>0</v>
      </c>
      <c r="CD126" s="47">
        <v>0</v>
      </c>
      <c r="CE126" s="47">
        <v>0</v>
      </c>
      <c r="CF126" s="47">
        <v>0</v>
      </c>
      <c r="CG126" s="47">
        <v>0</v>
      </c>
      <c r="CH126" s="47">
        <v>0</v>
      </c>
      <c r="CI126" s="47">
        <v>0</v>
      </c>
      <c r="CJ126" s="47">
        <v>0</v>
      </c>
      <c r="CK126" s="47">
        <v>0</v>
      </c>
      <c r="CL126" s="47">
        <v>0</v>
      </c>
      <c r="CM126" s="47">
        <v>0</v>
      </c>
      <c r="CN126" s="47">
        <v>0</v>
      </c>
      <c r="CO126" s="47">
        <v>0</v>
      </c>
      <c r="CP126" s="47">
        <v>0</v>
      </c>
      <c r="CQ126" s="47">
        <v>0</v>
      </c>
      <c r="CR126" s="47">
        <v>0</v>
      </c>
      <c r="CS126" s="47">
        <v>0</v>
      </c>
      <c r="CT126" s="47">
        <v>0</v>
      </c>
      <c r="CU126" s="47">
        <v>0</v>
      </c>
      <c r="CV126" s="47">
        <v>0</v>
      </c>
      <c r="CW126" s="47">
        <v>0</v>
      </c>
      <c r="CX126" s="47">
        <v>0</v>
      </c>
      <c r="CY126" s="47">
        <v>0</v>
      </c>
      <c r="CZ126" s="47">
        <v>0</v>
      </c>
      <c r="DA126" s="47">
        <v>0</v>
      </c>
      <c r="DB126" s="47">
        <v>0</v>
      </c>
      <c r="DC126" s="47">
        <v>0</v>
      </c>
      <c r="DD126" s="47">
        <v>0</v>
      </c>
      <c r="DE126" s="47">
        <v>0</v>
      </c>
      <c r="DF126" s="47">
        <v>0</v>
      </c>
      <c r="DG126" s="47">
        <v>0</v>
      </c>
      <c r="DH126" s="47">
        <v>0</v>
      </c>
      <c r="DI126" s="47">
        <v>0</v>
      </c>
      <c r="DJ126" s="47">
        <v>0</v>
      </c>
      <c r="DK126" s="47">
        <v>0</v>
      </c>
      <c r="DL126" s="47">
        <v>0</v>
      </c>
      <c r="DM126" s="47">
        <v>0</v>
      </c>
      <c r="DN126" s="47">
        <v>0</v>
      </c>
      <c r="DO126" s="47">
        <v>0</v>
      </c>
      <c r="DP126" s="47">
        <v>0</v>
      </c>
      <c r="DQ126" s="47">
        <v>0</v>
      </c>
      <c r="DR126" s="47">
        <v>0</v>
      </c>
    </row>
    <row r="127" spans="1:124" x14ac:dyDescent="0.25">
      <c r="A127" s="47" t="s">
        <v>732</v>
      </c>
      <c r="B127" s="47" t="s">
        <v>151</v>
      </c>
      <c r="C127" s="47" t="s">
        <v>733</v>
      </c>
      <c r="D127" s="47" t="s">
        <v>734</v>
      </c>
      <c r="E127" s="47" t="s">
        <v>735</v>
      </c>
      <c r="F127" s="47" t="s">
        <v>380</v>
      </c>
      <c r="G127" s="47" t="s">
        <v>381</v>
      </c>
      <c r="H127" s="47" t="str">
        <f>=IFERROR(VLOOKUP(A127,'ETPT Format DDG'!A:J,10,FALSE),"")</f>
        <v>0</v>
      </c>
      <c r="I127" s="47" t="str">
        <f>='ETPT Format DDG'!M127</f>
        <v/>
      </c>
      <c r="J127" s="47" t="str">
        <f>='ETPT Format DDG'!D127</f>
        <v/>
      </c>
      <c r="K127" s="47" t="s">
        <v>155</v>
      </c>
      <c r="L127" s="47" t="s">
        <v>736</v>
      </c>
      <c r="M127" s="47"/>
      <c r="N127" s="47">
        <v>1</v>
      </c>
      <c r="O127" s="47">
        <v>0</v>
      </c>
      <c r="P127" s="47">
        <v>0</v>
      </c>
      <c r="Q127" s="47">
        <v>0</v>
      </c>
      <c r="R127" s="47">
        <v>0</v>
      </c>
      <c r="S127" s="47">
        <v>0</v>
      </c>
      <c r="T127" s="47">
        <v>0</v>
      </c>
      <c r="U127" s="47">
        <v>0</v>
      </c>
      <c r="V127" s="47">
        <v>0</v>
      </c>
      <c r="W127" s="47">
        <v>0</v>
      </c>
      <c r="X127" s="47">
        <v>0</v>
      </c>
      <c r="Y127" s="47">
        <v>0</v>
      </c>
      <c r="Z127" s="47">
        <v>0</v>
      </c>
      <c r="AA127" s="47">
        <v>0</v>
      </c>
      <c r="AB127" s="47">
        <v>0</v>
      </c>
      <c r="AC127" s="47">
        <v>0</v>
      </c>
      <c r="AD127" s="47">
        <v>0</v>
      </c>
      <c r="AE127" s="47">
        <v>0</v>
      </c>
      <c r="AF127" s="47">
        <v>0</v>
      </c>
      <c r="AG127" s="47">
        <v>0</v>
      </c>
      <c r="AH127" s="47">
        <v>0</v>
      </c>
      <c r="AI127" s="47">
        <v>0</v>
      </c>
      <c r="AJ127" s="47">
        <v>0</v>
      </c>
      <c r="AK127" s="47">
        <v>0</v>
      </c>
      <c r="AL127" s="47">
        <v>0</v>
      </c>
      <c r="AM127" s="47">
        <v>0</v>
      </c>
      <c r="AN127" s="47">
        <v>0</v>
      </c>
      <c r="AO127" s="47">
        <v>0</v>
      </c>
      <c r="AP127" s="47">
        <v>0</v>
      </c>
      <c r="AQ127" s="47">
        <v>0</v>
      </c>
      <c r="AR127" s="47">
        <v>0</v>
      </c>
      <c r="AS127" s="47">
        <v>0</v>
      </c>
      <c r="AT127" s="47">
        <v>0</v>
      </c>
      <c r="AU127" s="47">
        <v>0</v>
      </c>
      <c r="AV127" s="47">
        <v>0</v>
      </c>
      <c r="AW127" s="47">
        <v>0</v>
      </c>
      <c r="AX127" s="47">
        <v>0</v>
      </c>
      <c r="AY127" s="47">
        <v>0</v>
      </c>
      <c r="AZ127" s="47">
        <v>0</v>
      </c>
      <c r="BA127" s="47">
        <v>0</v>
      </c>
      <c r="BB127" s="47">
        <v>0</v>
      </c>
      <c r="BC127" s="47">
        <v>0</v>
      </c>
      <c r="BD127" s="47">
        <v>0</v>
      </c>
      <c r="BE127" s="47">
        <v>0</v>
      </c>
      <c r="BF127" s="47">
        <v>0</v>
      </c>
      <c r="BG127" s="47">
        <v>0</v>
      </c>
      <c r="BH127" s="47">
        <v>0</v>
      </c>
      <c r="BI127" s="47">
        <v>0</v>
      </c>
      <c r="BJ127" s="47">
        <v>0</v>
      </c>
      <c r="BK127" s="47">
        <v>0</v>
      </c>
      <c r="BL127" s="47">
        <v>0</v>
      </c>
      <c r="BM127" s="47">
        <v>0</v>
      </c>
      <c r="BN127" s="47">
        <v>0</v>
      </c>
      <c r="BO127" s="47">
        <v>0</v>
      </c>
      <c r="BP127" s="47">
        <v>0</v>
      </c>
      <c r="BQ127" s="47">
        <v>0</v>
      </c>
      <c r="BR127" s="47">
        <v>0</v>
      </c>
      <c r="BS127" s="47">
        <v>0</v>
      </c>
      <c r="BT127" s="47">
        <v>0</v>
      </c>
      <c r="BU127" s="47">
        <v>0</v>
      </c>
      <c r="BV127" s="47">
        <v>0</v>
      </c>
      <c r="BW127" s="47">
        <v>0</v>
      </c>
      <c r="BX127" s="47">
        <v>0</v>
      </c>
      <c r="BY127" s="47">
        <v>0</v>
      </c>
      <c r="BZ127" s="47">
        <v>0</v>
      </c>
      <c r="CA127" s="47">
        <v>0</v>
      </c>
      <c r="CB127" s="47">
        <v>0</v>
      </c>
      <c r="CC127" s="47">
        <v>0</v>
      </c>
      <c r="CD127" s="47">
        <v>0</v>
      </c>
      <c r="CE127" s="47">
        <v>0</v>
      </c>
      <c r="CF127" s="47">
        <v>0</v>
      </c>
      <c r="CG127" s="47">
        <v>0</v>
      </c>
      <c r="CH127" s="47">
        <v>0</v>
      </c>
      <c r="CI127" s="47">
        <v>0</v>
      </c>
      <c r="CJ127" s="47">
        <v>0</v>
      </c>
      <c r="CK127" s="47">
        <v>0</v>
      </c>
      <c r="CL127" s="47">
        <v>0</v>
      </c>
      <c r="CM127" s="47">
        <v>0</v>
      </c>
      <c r="CN127" s="47">
        <v>0</v>
      </c>
      <c r="CO127" s="47">
        <v>0</v>
      </c>
      <c r="CP127" s="47">
        <v>0</v>
      </c>
      <c r="CQ127" s="47">
        <v>0</v>
      </c>
      <c r="CR127" s="47">
        <v>0</v>
      </c>
      <c r="CS127" s="47">
        <v>0</v>
      </c>
      <c r="CT127" s="47">
        <v>0</v>
      </c>
      <c r="CU127" s="47">
        <v>0</v>
      </c>
      <c r="CV127" s="47">
        <v>0</v>
      </c>
      <c r="CW127" s="47">
        <v>0</v>
      </c>
      <c r="CX127" s="47">
        <v>0</v>
      </c>
      <c r="CY127" s="47">
        <v>0</v>
      </c>
      <c r="CZ127" s="47">
        <v>0</v>
      </c>
      <c r="DA127" s="47">
        <v>0</v>
      </c>
      <c r="DB127" s="47">
        <v>0</v>
      </c>
      <c r="DC127" s="47">
        <v>0</v>
      </c>
      <c r="DD127" s="47">
        <v>0</v>
      </c>
      <c r="DE127" s="47">
        <v>0</v>
      </c>
      <c r="DF127" s="47">
        <v>0</v>
      </c>
      <c r="DG127" s="47">
        <v>0</v>
      </c>
      <c r="DH127" s="47">
        <v>0</v>
      </c>
      <c r="DI127" s="47">
        <v>0</v>
      </c>
      <c r="DJ127" s="47">
        <v>0</v>
      </c>
      <c r="DK127" s="47">
        <v>0</v>
      </c>
      <c r="DL127" s="47">
        <v>0</v>
      </c>
      <c r="DM127" s="47">
        <v>0</v>
      </c>
      <c r="DN127" s="47">
        <v>0</v>
      </c>
      <c r="DO127" s="47">
        <v>0</v>
      </c>
      <c r="DP127" s="47">
        <v>0</v>
      </c>
      <c r="DQ127" s="47">
        <v>0</v>
      </c>
      <c r="DR127" s="47">
        <v>0</v>
      </c>
    </row>
    <row r="128" spans="1:124" x14ac:dyDescent="0.25">
      <c r="A128" s="47" t="s">
        <v>737</v>
      </c>
      <c r="B128" s="47" t="s">
        <v>151</v>
      </c>
      <c r="C128" s="47" t="s">
        <v>738</v>
      </c>
      <c r="D128" s="47" t="s">
        <v>739</v>
      </c>
      <c r="E128" s="47" t="s">
        <v>740</v>
      </c>
      <c r="F128" s="47" t="s">
        <v>380</v>
      </c>
      <c r="G128" s="47" t="s">
        <v>381</v>
      </c>
      <c r="H128" s="47" t="str">
        <f>=IFERROR(VLOOKUP(A128,'ETPT Format DDG'!A:J,10,FALSE),"")</f>
        <v>0</v>
      </c>
      <c r="I128" s="47" t="str">
        <f>='ETPT Format DDG'!M128</f>
        <v/>
      </c>
      <c r="J128" s="47" t="str">
        <f>='ETPT Format DDG'!D128</f>
        <v/>
      </c>
      <c r="K128" s="47" t="s">
        <v>155</v>
      </c>
      <c r="L128" s="47" t="s">
        <v>521</v>
      </c>
      <c r="M128" s="47"/>
      <c r="N128" s="47">
        <v>0.9</v>
      </c>
      <c r="O128" s="47">
        <v>0.9</v>
      </c>
      <c r="P128" s="47">
        <v>0</v>
      </c>
      <c r="Q128" s="47">
        <v>0</v>
      </c>
      <c r="R128" s="47">
        <v>0</v>
      </c>
      <c r="S128" s="47">
        <v>0</v>
      </c>
      <c r="T128" s="47">
        <v>0</v>
      </c>
      <c r="U128" s="47">
        <v>0</v>
      </c>
      <c r="V128" s="47">
        <v>0</v>
      </c>
      <c r="W128" s="47">
        <v>0</v>
      </c>
      <c r="X128" s="47">
        <v>0</v>
      </c>
      <c r="Y128" s="47">
        <v>0</v>
      </c>
      <c r="Z128" s="47">
        <v>0</v>
      </c>
      <c r="AA128" s="47">
        <v>0</v>
      </c>
      <c r="AB128" s="47">
        <v>0</v>
      </c>
      <c r="AC128" s="47">
        <v>0</v>
      </c>
      <c r="AD128" s="47">
        <v>0</v>
      </c>
      <c r="AE128" s="47">
        <v>0</v>
      </c>
      <c r="AF128" s="47">
        <v>0</v>
      </c>
      <c r="AG128" s="47">
        <v>0</v>
      </c>
      <c r="AH128" s="47">
        <v>0</v>
      </c>
      <c r="AI128" s="47">
        <v>0</v>
      </c>
      <c r="AJ128" s="47">
        <v>0</v>
      </c>
      <c r="AK128" s="47">
        <v>0</v>
      </c>
      <c r="AL128" s="47">
        <v>0</v>
      </c>
      <c r="AM128" s="47">
        <v>0</v>
      </c>
      <c r="AN128" s="47">
        <v>0</v>
      </c>
      <c r="AO128" s="47">
        <v>0</v>
      </c>
      <c r="AP128" s="47">
        <v>0</v>
      </c>
      <c r="AQ128" s="47">
        <v>0</v>
      </c>
      <c r="AR128" s="47">
        <v>0</v>
      </c>
      <c r="AS128" s="47">
        <v>0</v>
      </c>
      <c r="AT128" s="47">
        <v>0</v>
      </c>
      <c r="AU128" s="47">
        <v>0</v>
      </c>
      <c r="AV128" s="47">
        <v>0</v>
      </c>
      <c r="AW128" s="47">
        <v>0</v>
      </c>
      <c r="AX128" s="47">
        <v>0</v>
      </c>
      <c r="AY128" s="47">
        <v>0</v>
      </c>
      <c r="AZ128" s="47">
        <v>0</v>
      </c>
      <c r="BA128" s="47">
        <v>0</v>
      </c>
      <c r="BB128" s="47">
        <v>0</v>
      </c>
      <c r="BC128" s="47">
        <v>0</v>
      </c>
      <c r="BD128" s="47">
        <v>0</v>
      </c>
      <c r="BE128" s="47">
        <v>0</v>
      </c>
      <c r="BF128" s="47">
        <v>0</v>
      </c>
      <c r="BG128" s="47">
        <v>0</v>
      </c>
      <c r="BH128" s="47">
        <v>0</v>
      </c>
      <c r="BI128" s="47">
        <v>0</v>
      </c>
      <c r="BJ128" s="47">
        <v>0</v>
      </c>
      <c r="BK128" s="47">
        <v>0</v>
      </c>
      <c r="BL128" s="47">
        <v>0</v>
      </c>
      <c r="BM128" s="47">
        <v>0</v>
      </c>
      <c r="BN128" s="47">
        <v>0</v>
      </c>
      <c r="BO128" s="47">
        <v>0</v>
      </c>
      <c r="BP128" s="47">
        <v>0</v>
      </c>
      <c r="BQ128" s="47">
        <v>0</v>
      </c>
      <c r="BR128" s="47">
        <v>0</v>
      </c>
      <c r="BS128" s="47">
        <v>0</v>
      </c>
      <c r="BT128" s="47">
        <v>0</v>
      </c>
      <c r="BU128" s="47">
        <v>0</v>
      </c>
      <c r="BV128" s="47">
        <v>0</v>
      </c>
      <c r="BW128" s="47">
        <v>0</v>
      </c>
      <c r="BX128" s="47">
        <v>0</v>
      </c>
      <c r="BY128" s="47">
        <v>0</v>
      </c>
      <c r="BZ128" s="47">
        <v>0</v>
      </c>
      <c r="CA128" s="47">
        <v>0</v>
      </c>
      <c r="CB128" s="47">
        <v>0</v>
      </c>
      <c r="CC128" s="47">
        <v>0</v>
      </c>
      <c r="CD128" s="47">
        <v>0</v>
      </c>
      <c r="CE128" s="47">
        <v>0</v>
      </c>
      <c r="CF128" s="47">
        <v>0</v>
      </c>
      <c r="CG128" s="47">
        <v>0</v>
      </c>
      <c r="CH128" s="47">
        <v>0</v>
      </c>
      <c r="CI128" s="47">
        <v>0</v>
      </c>
      <c r="CJ128" s="47">
        <v>0</v>
      </c>
      <c r="CK128" s="47">
        <v>0</v>
      </c>
      <c r="CL128" s="47">
        <v>0.9</v>
      </c>
      <c r="CM128" s="47">
        <v>0</v>
      </c>
      <c r="CN128" s="47">
        <v>0</v>
      </c>
      <c r="CO128" s="47">
        <v>0</v>
      </c>
      <c r="CP128" s="47">
        <v>0</v>
      </c>
      <c r="CQ128" s="47">
        <v>0</v>
      </c>
      <c r="CR128" s="47">
        <v>0</v>
      </c>
      <c r="CS128" s="47">
        <v>0</v>
      </c>
      <c r="CT128" s="47">
        <v>0</v>
      </c>
      <c r="CU128" s="47">
        <v>0</v>
      </c>
      <c r="CV128" s="47">
        <v>0</v>
      </c>
      <c r="CW128" s="47">
        <v>0</v>
      </c>
      <c r="CX128" s="47">
        <v>0</v>
      </c>
      <c r="CY128" s="47">
        <v>0</v>
      </c>
      <c r="CZ128" s="47">
        <v>0</v>
      </c>
      <c r="DA128" s="47">
        <v>0</v>
      </c>
      <c r="DB128" s="47">
        <v>0</v>
      </c>
      <c r="DC128" s="47">
        <v>0</v>
      </c>
      <c r="DD128" s="47">
        <v>0</v>
      </c>
      <c r="DE128" s="47">
        <v>0</v>
      </c>
      <c r="DF128" s="47">
        <v>0</v>
      </c>
      <c r="DG128" s="47">
        <v>0</v>
      </c>
      <c r="DH128" s="47">
        <v>0</v>
      </c>
      <c r="DI128" s="47">
        <v>0</v>
      </c>
      <c r="DJ128" s="47">
        <v>0</v>
      </c>
      <c r="DK128" s="47">
        <v>0</v>
      </c>
      <c r="DL128" s="47">
        <v>0</v>
      </c>
      <c r="DM128" s="47">
        <v>0</v>
      </c>
      <c r="DN128" s="47">
        <v>0</v>
      </c>
      <c r="DO128" s="47">
        <v>0</v>
      </c>
      <c r="DP128" s="47">
        <v>0</v>
      </c>
      <c r="DQ128" s="47">
        <v>0</v>
      </c>
      <c r="DR128" s="47">
        <v>0</v>
      </c>
    </row>
    <row r="129" spans="1:124" x14ac:dyDescent="0.25">
      <c r="A129" s="47" t="s">
        <v>741</v>
      </c>
      <c r="B129" s="47" t="s">
        <v>151</v>
      </c>
      <c r="C129" s="47" t="s">
        <v>742</v>
      </c>
      <c r="D129" s="47" t="s">
        <v>743</v>
      </c>
      <c r="E129" s="47" t="s">
        <v>744</v>
      </c>
      <c r="F129" s="47" t="s">
        <v>380</v>
      </c>
      <c r="G129" s="47" t="s">
        <v>586</v>
      </c>
      <c r="H129" s="47" t="str">
        <f>=IFERROR(VLOOKUP(A129,'ETPT Format DDG'!A:J,10,FALSE),"")</f>
        <v>0</v>
      </c>
      <c r="I129" s="47" t="str">
        <f>='ETPT Format DDG'!M129</f>
        <v/>
      </c>
      <c r="J129" s="47" t="str">
        <f>='ETPT Format DDG'!D129</f>
        <v/>
      </c>
      <c r="K129" s="47" t="s">
        <v>155</v>
      </c>
      <c r="L129" s="47" t="s">
        <v>681</v>
      </c>
      <c r="M129" s="47"/>
      <c r="N129" s="47">
        <v>0.6605</v>
      </c>
      <c r="O129" s="47">
        <v>0.6605</v>
      </c>
      <c r="P129" s="47">
        <v>0</v>
      </c>
      <c r="Q129" s="47">
        <v>0</v>
      </c>
      <c r="R129" s="47">
        <v>0</v>
      </c>
      <c r="S129" s="47">
        <v>0</v>
      </c>
      <c r="T129" s="47">
        <v>0</v>
      </c>
      <c r="U129" s="47">
        <v>0</v>
      </c>
      <c r="V129" s="47">
        <v>0</v>
      </c>
      <c r="W129" s="47">
        <v>0</v>
      </c>
      <c r="X129" s="47">
        <v>0</v>
      </c>
      <c r="Y129" s="47">
        <v>0</v>
      </c>
      <c r="Z129" s="47">
        <v>0</v>
      </c>
      <c r="AA129" s="47">
        <v>0</v>
      </c>
      <c r="AB129" s="47">
        <v>0</v>
      </c>
      <c r="AC129" s="47">
        <v>0</v>
      </c>
      <c r="AD129" s="47">
        <v>0</v>
      </c>
      <c r="AE129" s="47">
        <v>0.6605</v>
      </c>
      <c r="AF129" s="47">
        <v>0.6605</v>
      </c>
      <c r="AG129" s="47">
        <v>0</v>
      </c>
      <c r="AH129" s="47">
        <v>0</v>
      </c>
      <c r="AI129" s="47">
        <v>0</v>
      </c>
      <c r="AJ129" s="47">
        <v>0</v>
      </c>
      <c r="AK129" s="47">
        <v>0</v>
      </c>
      <c r="AL129" s="47">
        <v>0</v>
      </c>
      <c r="AM129" s="47">
        <v>0</v>
      </c>
      <c r="AN129" s="47">
        <v>0</v>
      </c>
      <c r="AO129" s="47">
        <v>0</v>
      </c>
      <c r="AP129" s="47">
        <v>0</v>
      </c>
      <c r="AQ129" s="47">
        <v>0</v>
      </c>
      <c r="AR129" s="47">
        <v>0</v>
      </c>
      <c r="AS129" s="47">
        <v>0</v>
      </c>
      <c r="AT129" s="47">
        <v>0</v>
      </c>
      <c r="AU129" s="47">
        <v>0</v>
      </c>
      <c r="AV129" s="47">
        <v>0</v>
      </c>
      <c r="AW129" s="47">
        <v>0</v>
      </c>
      <c r="AX129" s="47">
        <v>0</v>
      </c>
      <c r="AY129" s="47">
        <v>0</v>
      </c>
      <c r="AZ129" s="47">
        <v>0</v>
      </c>
      <c r="BA129" s="47">
        <v>0</v>
      </c>
      <c r="BB129" s="47">
        <v>0</v>
      </c>
      <c r="BC129" s="47">
        <v>0</v>
      </c>
      <c r="BD129" s="47">
        <v>0</v>
      </c>
      <c r="BE129" s="47">
        <v>0</v>
      </c>
      <c r="BF129" s="47">
        <v>0</v>
      </c>
      <c r="BG129" s="47">
        <v>0</v>
      </c>
      <c r="BH129" s="47">
        <v>0</v>
      </c>
      <c r="BI129" s="47">
        <v>0</v>
      </c>
      <c r="BJ129" s="47">
        <v>0</v>
      </c>
      <c r="BK129" s="47">
        <v>0</v>
      </c>
      <c r="BL129" s="47">
        <v>0</v>
      </c>
      <c r="BM129" s="47">
        <v>0</v>
      </c>
      <c r="BN129" s="47">
        <v>0</v>
      </c>
      <c r="BO129" s="47">
        <v>0</v>
      </c>
      <c r="BP129" s="47">
        <v>0</v>
      </c>
      <c r="BQ129" s="47">
        <v>0</v>
      </c>
      <c r="BR129" s="47">
        <v>0</v>
      </c>
      <c r="BS129" s="47">
        <v>0</v>
      </c>
      <c r="BT129" s="47">
        <v>0</v>
      </c>
      <c r="BU129" s="47">
        <v>0</v>
      </c>
      <c r="BV129" s="47">
        <v>0</v>
      </c>
      <c r="BW129" s="47">
        <v>0</v>
      </c>
      <c r="BX129" s="47">
        <v>0</v>
      </c>
      <c r="BY129" s="47">
        <v>0</v>
      </c>
      <c r="BZ129" s="47">
        <v>0</v>
      </c>
      <c r="CA129" s="47">
        <v>0</v>
      </c>
      <c r="CB129" s="47">
        <v>0</v>
      </c>
      <c r="CC129" s="47">
        <v>0</v>
      </c>
      <c r="CD129" s="47">
        <v>0</v>
      </c>
      <c r="CE129" s="47">
        <v>0</v>
      </c>
      <c r="CF129" s="47">
        <v>0</v>
      </c>
      <c r="CG129" s="47">
        <v>0</v>
      </c>
      <c r="CH129" s="47">
        <v>0</v>
      </c>
      <c r="CI129" s="47">
        <v>0</v>
      </c>
      <c r="CJ129" s="47">
        <v>0</v>
      </c>
      <c r="CK129" s="47">
        <v>0</v>
      </c>
      <c r="CL129" s="47">
        <v>0</v>
      </c>
      <c r="CM129" s="47">
        <v>0</v>
      </c>
      <c r="CN129" s="47">
        <v>0</v>
      </c>
      <c r="CO129" s="47">
        <v>0</v>
      </c>
      <c r="CP129" s="47">
        <v>0</v>
      </c>
      <c r="CQ129" s="47">
        <v>0</v>
      </c>
      <c r="CR129" s="47">
        <v>0</v>
      </c>
      <c r="CS129" s="47">
        <v>0</v>
      </c>
      <c r="CT129" s="47">
        <v>0</v>
      </c>
      <c r="CU129" s="47">
        <v>0</v>
      </c>
      <c r="CV129" s="47">
        <v>0</v>
      </c>
      <c r="CW129" s="47">
        <v>0</v>
      </c>
      <c r="CX129" s="47">
        <v>0</v>
      </c>
      <c r="CY129" s="47">
        <v>0</v>
      </c>
      <c r="CZ129" s="47">
        <v>0</v>
      </c>
      <c r="DA129" s="47">
        <v>0</v>
      </c>
      <c r="DB129" s="47">
        <v>0</v>
      </c>
      <c r="DC129" s="47">
        <v>0</v>
      </c>
      <c r="DD129" s="47">
        <v>0</v>
      </c>
      <c r="DE129" s="47">
        <v>0</v>
      </c>
      <c r="DF129" s="47">
        <v>0</v>
      </c>
      <c r="DG129" s="47">
        <v>0</v>
      </c>
      <c r="DH129" s="47">
        <v>0</v>
      </c>
      <c r="DI129" s="47">
        <v>0</v>
      </c>
      <c r="DJ129" s="47">
        <v>0</v>
      </c>
      <c r="DK129" s="47">
        <v>0</v>
      </c>
      <c r="DL129" s="47">
        <v>0</v>
      </c>
      <c r="DM129" s="47">
        <v>0</v>
      </c>
      <c r="DN129" s="47">
        <v>0</v>
      </c>
      <c r="DO129" s="47">
        <v>0</v>
      </c>
      <c r="DP129" s="47">
        <v>0</v>
      </c>
      <c r="DQ129" s="47">
        <v>0</v>
      </c>
      <c r="DR129" s="47">
        <v>0</v>
      </c>
    </row>
    <row r="130" spans="1:124" x14ac:dyDescent="0.25">
      <c r="A130" s="47" t="s">
        <v>745</v>
      </c>
      <c r="B130" s="47" t="s">
        <v>151</v>
      </c>
      <c r="C130" s="47" t="s">
        <v>746</v>
      </c>
      <c r="D130" s="47" t="s">
        <v>747</v>
      </c>
      <c r="E130" s="47" t="s">
        <v>748</v>
      </c>
      <c r="F130" s="47" t="s">
        <v>380</v>
      </c>
      <c r="G130" s="47" t="s">
        <v>381</v>
      </c>
      <c r="H130" s="47" t="str">
        <f>=IFERROR(VLOOKUP(A130,'ETPT Format DDG'!A:J,10,FALSE),"")</f>
        <v>0</v>
      </c>
      <c r="I130" s="47" t="str">
        <f>='ETPT Format DDG'!M130</f>
        <v/>
      </c>
      <c r="J130" s="47" t="str">
        <f>='ETPT Format DDG'!D130</f>
        <v/>
      </c>
      <c r="K130" s="47" t="s">
        <v>155</v>
      </c>
      <c r="L130" s="47" t="s">
        <v>455</v>
      </c>
      <c r="M130" s="47"/>
      <c r="N130" s="47">
        <v>0.8</v>
      </c>
      <c r="O130" s="47">
        <v>0.8</v>
      </c>
      <c r="P130" s="47">
        <v>0</v>
      </c>
      <c r="Q130" s="47">
        <v>0</v>
      </c>
      <c r="R130" s="47">
        <v>0</v>
      </c>
      <c r="S130" s="47">
        <v>0</v>
      </c>
      <c r="T130" s="47">
        <v>0</v>
      </c>
      <c r="U130" s="47">
        <v>0</v>
      </c>
      <c r="V130" s="47">
        <v>0</v>
      </c>
      <c r="W130" s="47">
        <v>0</v>
      </c>
      <c r="X130" s="47">
        <v>0</v>
      </c>
      <c r="Y130" s="47">
        <v>0</v>
      </c>
      <c r="Z130" s="47">
        <v>0</v>
      </c>
      <c r="AA130" s="47">
        <v>0</v>
      </c>
      <c r="AB130" s="47">
        <v>0</v>
      </c>
      <c r="AC130" s="47">
        <v>0</v>
      </c>
      <c r="AD130" s="47">
        <v>0</v>
      </c>
      <c r="AE130" s="47">
        <v>0</v>
      </c>
      <c r="AF130" s="47">
        <v>0</v>
      </c>
      <c r="AG130" s="47">
        <v>0</v>
      </c>
      <c r="AH130" s="47">
        <v>0</v>
      </c>
      <c r="AI130" s="47">
        <v>0</v>
      </c>
      <c r="AJ130" s="47">
        <v>0</v>
      </c>
      <c r="AK130" s="47">
        <v>0</v>
      </c>
      <c r="AL130" s="47">
        <v>0</v>
      </c>
      <c r="AM130" s="47">
        <v>0</v>
      </c>
      <c r="AN130" s="47">
        <v>0</v>
      </c>
      <c r="AO130" s="47">
        <v>0</v>
      </c>
      <c r="AP130" s="47">
        <v>0</v>
      </c>
      <c r="AQ130" s="47">
        <v>0</v>
      </c>
      <c r="AR130" s="47">
        <v>0</v>
      </c>
      <c r="AS130" s="47">
        <v>0</v>
      </c>
      <c r="AT130" s="47">
        <v>0</v>
      </c>
      <c r="AU130" s="47">
        <v>0</v>
      </c>
      <c r="AV130" s="47">
        <v>0</v>
      </c>
      <c r="AW130" s="47">
        <v>0</v>
      </c>
      <c r="AX130" s="47">
        <v>0</v>
      </c>
      <c r="AY130" s="47">
        <v>0</v>
      </c>
      <c r="AZ130" s="47">
        <v>0</v>
      </c>
      <c r="BA130" s="47">
        <v>0</v>
      </c>
      <c r="BB130" s="47">
        <v>0</v>
      </c>
      <c r="BC130" s="47">
        <v>0</v>
      </c>
      <c r="BD130" s="47">
        <v>0</v>
      </c>
      <c r="BE130" s="47">
        <v>0</v>
      </c>
      <c r="BF130" s="47">
        <v>0</v>
      </c>
      <c r="BG130" s="47">
        <v>0</v>
      </c>
      <c r="BH130" s="47">
        <v>0</v>
      </c>
      <c r="BI130" s="47">
        <v>0</v>
      </c>
      <c r="BJ130" s="47">
        <v>0</v>
      </c>
      <c r="BK130" s="47">
        <v>0</v>
      </c>
      <c r="BL130" s="47">
        <v>0</v>
      </c>
      <c r="BM130" s="47">
        <v>0</v>
      </c>
      <c r="BN130" s="47">
        <v>0</v>
      </c>
      <c r="BO130" s="47">
        <v>0.8</v>
      </c>
      <c r="BP130" s="47">
        <v>0</v>
      </c>
      <c r="BQ130" s="47">
        <v>0</v>
      </c>
      <c r="BR130" s="47">
        <v>0</v>
      </c>
      <c r="BS130" s="47">
        <v>0</v>
      </c>
      <c r="BT130" s="47">
        <v>0</v>
      </c>
      <c r="BU130" s="47">
        <v>0</v>
      </c>
      <c r="BV130" s="47">
        <v>0</v>
      </c>
      <c r="BW130" s="47">
        <v>0</v>
      </c>
      <c r="BX130" s="47">
        <v>0</v>
      </c>
      <c r="BY130" s="47">
        <v>0</v>
      </c>
      <c r="BZ130" s="47">
        <v>0</v>
      </c>
      <c r="CA130" s="47">
        <v>0</v>
      </c>
      <c r="CB130" s="47">
        <v>0</v>
      </c>
      <c r="CC130" s="47">
        <v>0</v>
      </c>
      <c r="CD130" s="47">
        <v>0</v>
      </c>
      <c r="CE130" s="47">
        <v>0</v>
      </c>
      <c r="CF130" s="47">
        <v>0</v>
      </c>
      <c r="CG130" s="47">
        <v>0</v>
      </c>
      <c r="CH130" s="47">
        <v>0</v>
      </c>
      <c r="CI130" s="47">
        <v>0</v>
      </c>
      <c r="CJ130" s="47">
        <v>0</v>
      </c>
      <c r="CK130" s="47">
        <v>0</v>
      </c>
      <c r="CL130" s="47">
        <v>0</v>
      </c>
      <c r="CM130" s="47">
        <v>0</v>
      </c>
      <c r="CN130" s="47">
        <v>0</v>
      </c>
      <c r="CO130" s="47">
        <v>0</v>
      </c>
      <c r="CP130" s="47">
        <v>0</v>
      </c>
      <c r="CQ130" s="47">
        <v>0</v>
      </c>
      <c r="CR130" s="47">
        <v>0</v>
      </c>
      <c r="CS130" s="47">
        <v>0</v>
      </c>
      <c r="CT130" s="47">
        <v>0</v>
      </c>
      <c r="CU130" s="47">
        <v>0</v>
      </c>
      <c r="CV130" s="47">
        <v>0</v>
      </c>
      <c r="CW130" s="47">
        <v>0</v>
      </c>
      <c r="CX130" s="47">
        <v>0</v>
      </c>
      <c r="CY130" s="47">
        <v>0</v>
      </c>
      <c r="CZ130" s="47">
        <v>0</v>
      </c>
      <c r="DA130" s="47">
        <v>0</v>
      </c>
      <c r="DB130" s="47">
        <v>0</v>
      </c>
      <c r="DC130" s="47">
        <v>0</v>
      </c>
      <c r="DD130" s="47">
        <v>0</v>
      </c>
      <c r="DE130" s="47">
        <v>0</v>
      </c>
      <c r="DF130" s="47">
        <v>0</v>
      </c>
      <c r="DG130" s="47">
        <v>0</v>
      </c>
      <c r="DH130" s="47">
        <v>0</v>
      </c>
      <c r="DI130" s="47">
        <v>0</v>
      </c>
      <c r="DJ130" s="47">
        <v>0</v>
      </c>
      <c r="DK130" s="47">
        <v>0</v>
      </c>
      <c r="DL130" s="47">
        <v>0</v>
      </c>
      <c r="DM130" s="47">
        <v>0</v>
      </c>
      <c r="DN130" s="47">
        <v>0</v>
      </c>
      <c r="DO130" s="47">
        <v>0</v>
      </c>
      <c r="DP130" s="47">
        <v>0</v>
      </c>
      <c r="DQ130" s="47">
        <v>0</v>
      </c>
      <c r="DR130" s="47">
        <v>0</v>
      </c>
    </row>
    <row r="131" spans="1:124" x14ac:dyDescent="0.25">
      <c r="A131" s="47" t="s">
        <v>749</v>
      </c>
      <c r="B131" s="47" t="s">
        <v>151</v>
      </c>
      <c r="C131" s="47" t="s">
        <v>750</v>
      </c>
      <c r="D131" s="47" t="s">
        <v>751</v>
      </c>
      <c r="E131" s="47" t="s">
        <v>752</v>
      </c>
      <c r="F131" s="47" t="s">
        <v>380</v>
      </c>
      <c r="G131" s="47" t="s">
        <v>411</v>
      </c>
      <c r="H131" s="47" t="str">
        <f>=IFERROR(VLOOKUP(A131,'ETPT Format DDG'!A:J,10,FALSE),"")</f>
        <v>0</v>
      </c>
      <c r="I131" s="47" t="str">
        <f>='ETPT Format DDG'!M131</f>
        <v/>
      </c>
      <c r="J131" s="47" t="str">
        <f>='ETPT Format DDG'!D131</f>
        <v/>
      </c>
      <c r="K131" s="47" t="s">
        <v>155</v>
      </c>
      <c r="L131" s="47" t="s">
        <v>753</v>
      </c>
      <c r="M131" s="47"/>
      <c r="N131" s="47">
        <v>0</v>
      </c>
      <c r="O131" s="47">
        <v>0</v>
      </c>
      <c r="P131" s="47">
        <v>0</v>
      </c>
      <c r="Q131" s="47">
        <v>0</v>
      </c>
      <c r="R131" s="47">
        <v>0</v>
      </c>
      <c r="S131" s="47">
        <v>0</v>
      </c>
      <c r="T131" s="47">
        <v>0</v>
      </c>
      <c r="U131" s="47">
        <v>0</v>
      </c>
      <c r="V131" s="47">
        <v>0</v>
      </c>
      <c r="W131" s="47">
        <v>0</v>
      </c>
      <c r="X131" s="47">
        <v>0</v>
      </c>
      <c r="Y131" s="47">
        <v>0</v>
      </c>
      <c r="Z131" s="47">
        <v>0</v>
      </c>
      <c r="AA131" s="47">
        <v>0</v>
      </c>
      <c r="AB131" s="47">
        <v>0</v>
      </c>
      <c r="AC131" s="47">
        <v>0</v>
      </c>
      <c r="AD131" s="47">
        <v>0</v>
      </c>
      <c r="AE131" s="47">
        <v>0</v>
      </c>
      <c r="AF131" s="47">
        <v>0</v>
      </c>
      <c r="AG131" s="47">
        <v>0</v>
      </c>
      <c r="AH131" s="47">
        <v>0</v>
      </c>
      <c r="AI131" s="47">
        <v>0</v>
      </c>
      <c r="AJ131" s="47">
        <v>0</v>
      </c>
      <c r="AK131" s="47">
        <v>0</v>
      </c>
      <c r="AL131" s="47">
        <v>0</v>
      </c>
      <c r="AM131" s="47">
        <v>0</v>
      </c>
      <c r="AN131" s="47">
        <v>0</v>
      </c>
      <c r="AO131" s="47">
        <v>0</v>
      </c>
      <c r="AP131" s="47">
        <v>0</v>
      </c>
      <c r="AQ131" s="47">
        <v>0</v>
      </c>
      <c r="AR131" s="47">
        <v>0</v>
      </c>
      <c r="AS131" s="47">
        <v>0</v>
      </c>
      <c r="AT131" s="47">
        <v>0</v>
      </c>
      <c r="AU131" s="47">
        <v>0</v>
      </c>
      <c r="AV131" s="47">
        <v>0</v>
      </c>
      <c r="AW131" s="47">
        <v>0</v>
      </c>
      <c r="AX131" s="47">
        <v>0</v>
      </c>
      <c r="AY131" s="47">
        <v>0</v>
      </c>
      <c r="AZ131" s="47">
        <v>0</v>
      </c>
      <c r="BA131" s="47">
        <v>0</v>
      </c>
      <c r="BB131" s="47">
        <v>0</v>
      </c>
      <c r="BC131" s="47">
        <v>0</v>
      </c>
      <c r="BD131" s="47">
        <v>0</v>
      </c>
      <c r="BE131" s="47">
        <v>0</v>
      </c>
      <c r="BF131" s="47">
        <v>0</v>
      </c>
      <c r="BG131" s="47">
        <v>0</v>
      </c>
      <c r="BH131" s="47">
        <v>0</v>
      </c>
      <c r="BI131" s="47">
        <v>0</v>
      </c>
      <c r="BJ131" s="47">
        <v>0</v>
      </c>
      <c r="BK131" s="47">
        <v>0</v>
      </c>
      <c r="BL131" s="47">
        <v>0</v>
      </c>
      <c r="BM131" s="47">
        <v>0</v>
      </c>
      <c r="BN131" s="47">
        <v>0</v>
      </c>
      <c r="BO131" s="47">
        <v>0</v>
      </c>
      <c r="BP131" s="47">
        <v>0</v>
      </c>
      <c r="BQ131" s="47">
        <v>0</v>
      </c>
      <c r="BR131" s="47">
        <v>0</v>
      </c>
      <c r="BS131" s="47">
        <v>0</v>
      </c>
      <c r="BT131" s="47">
        <v>0</v>
      </c>
      <c r="BU131" s="47">
        <v>0</v>
      </c>
      <c r="BV131" s="47">
        <v>0</v>
      </c>
      <c r="BW131" s="47">
        <v>0</v>
      </c>
      <c r="BX131" s="47">
        <v>0</v>
      </c>
      <c r="BY131" s="47">
        <v>0</v>
      </c>
      <c r="BZ131" s="47">
        <v>0</v>
      </c>
      <c r="CA131" s="47">
        <v>0</v>
      </c>
      <c r="CB131" s="47">
        <v>0</v>
      </c>
      <c r="CC131" s="47">
        <v>0</v>
      </c>
      <c r="CD131" s="47">
        <v>0</v>
      </c>
      <c r="CE131" s="47">
        <v>0</v>
      </c>
      <c r="CF131" s="47">
        <v>0</v>
      </c>
      <c r="CG131" s="47">
        <v>0</v>
      </c>
      <c r="CH131" s="47">
        <v>0</v>
      </c>
      <c r="CI131" s="47">
        <v>0</v>
      </c>
      <c r="CJ131" s="47">
        <v>0</v>
      </c>
      <c r="CK131" s="47">
        <v>0</v>
      </c>
      <c r="CL131" s="47">
        <v>0</v>
      </c>
      <c r="CM131" s="47">
        <v>0</v>
      </c>
      <c r="CN131" s="47">
        <v>0</v>
      </c>
      <c r="CO131" s="47">
        <v>0</v>
      </c>
      <c r="CP131" s="47">
        <v>0</v>
      </c>
      <c r="CQ131" s="47">
        <v>0</v>
      </c>
      <c r="CR131" s="47">
        <v>0</v>
      </c>
      <c r="CS131" s="47">
        <v>0</v>
      </c>
      <c r="CT131" s="47">
        <v>0</v>
      </c>
      <c r="CU131" s="47">
        <v>0</v>
      </c>
      <c r="CV131" s="47">
        <v>0</v>
      </c>
      <c r="CW131" s="47">
        <v>0</v>
      </c>
      <c r="CX131" s="47">
        <v>0</v>
      </c>
      <c r="CY131" s="47">
        <v>0</v>
      </c>
      <c r="CZ131" s="47">
        <v>0</v>
      </c>
      <c r="DA131" s="47">
        <v>0</v>
      </c>
      <c r="DB131" s="47">
        <v>0</v>
      </c>
      <c r="DC131" s="47">
        <v>0</v>
      </c>
      <c r="DD131" s="47">
        <v>0</v>
      </c>
      <c r="DE131" s="47">
        <v>0</v>
      </c>
      <c r="DF131" s="47">
        <v>1</v>
      </c>
      <c r="DG131" s="47">
        <v>1</v>
      </c>
      <c r="DH131" s="47">
        <v>0</v>
      </c>
      <c r="DI131" s="47">
        <v>0</v>
      </c>
      <c r="DJ131" s="47">
        <v>0</v>
      </c>
      <c r="DK131" s="47">
        <v>0</v>
      </c>
      <c r="DL131" s="47">
        <v>0</v>
      </c>
      <c r="DM131" s="47">
        <v>0</v>
      </c>
      <c r="DN131" s="47">
        <v>0</v>
      </c>
      <c r="DO131" s="47">
        <v>0</v>
      </c>
      <c r="DP131" s="47">
        <v>0</v>
      </c>
      <c r="DQ131" s="47">
        <v>0</v>
      </c>
      <c r="DR131" s="47">
        <v>0</v>
      </c>
    </row>
    <row r="132" spans="1:124" x14ac:dyDescent="0.25">
      <c r="A132" s="47" t="s">
        <v>754</v>
      </c>
      <c r="B132" s="47" t="s">
        <v>151</v>
      </c>
      <c r="C132" s="47" t="s">
        <v>755</v>
      </c>
      <c r="D132" s="47" t="s">
        <v>756</v>
      </c>
      <c r="E132" s="47" t="s">
        <v>757</v>
      </c>
      <c r="F132" s="47" t="s">
        <v>380</v>
      </c>
      <c r="G132" s="47" t="s">
        <v>381</v>
      </c>
      <c r="H132" s="47" t="str">
        <f>=IFERROR(VLOOKUP(A132,'ETPT Format DDG'!A:J,10,FALSE),"")</f>
        <v>0</v>
      </c>
      <c r="I132" s="47" t="str">
        <f>='ETPT Format DDG'!M132</f>
        <v/>
      </c>
      <c r="J132" s="47" t="str">
        <f>='ETPT Format DDG'!D132</f>
        <v/>
      </c>
      <c r="K132" s="47" t="s">
        <v>155</v>
      </c>
      <c r="L132" s="47" t="s">
        <v>386</v>
      </c>
      <c r="M132" s="47"/>
      <c r="N132" s="47">
        <v>1</v>
      </c>
      <c r="O132" s="47">
        <v>0</v>
      </c>
      <c r="P132" s="47">
        <v>0</v>
      </c>
      <c r="Q132" s="47">
        <v>0</v>
      </c>
      <c r="R132" s="47">
        <v>0</v>
      </c>
      <c r="S132" s="47">
        <v>0</v>
      </c>
      <c r="T132" s="47">
        <v>0</v>
      </c>
      <c r="U132" s="47">
        <v>0</v>
      </c>
      <c r="V132" s="47">
        <v>0</v>
      </c>
      <c r="W132" s="47">
        <v>0</v>
      </c>
      <c r="X132" s="47">
        <v>0</v>
      </c>
      <c r="Y132" s="47">
        <v>0</v>
      </c>
      <c r="Z132" s="47">
        <v>0</v>
      </c>
      <c r="AA132" s="47">
        <v>0</v>
      </c>
      <c r="AB132" s="47">
        <v>0</v>
      </c>
      <c r="AC132" s="47">
        <v>0</v>
      </c>
      <c r="AD132" s="47">
        <v>0</v>
      </c>
      <c r="AE132" s="47">
        <v>0</v>
      </c>
      <c r="AF132" s="47">
        <v>0</v>
      </c>
      <c r="AG132" s="47">
        <v>0</v>
      </c>
      <c r="AH132" s="47">
        <v>0</v>
      </c>
      <c r="AI132" s="47">
        <v>0</v>
      </c>
      <c r="AJ132" s="47">
        <v>0</v>
      </c>
      <c r="AK132" s="47">
        <v>0</v>
      </c>
      <c r="AL132" s="47">
        <v>0</v>
      </c>
      <c r="AM132" s="47">
        <v>0</v>
      </c>
      <c r="AN132" s="47">
        <v>0</v>
      </c>
      <c r="AO132" s="47">
        <v>0</v>
      </c>
      <c r="AP132" s="47">
        <v>0</v>
      </c>
      <c r="AQ132" s="47">
        <v>0</v>
      </c>
      <c r="AR132" s="47">
        <v>0</v>
      </c>
      <c r="AS132" s="47">
        <v>0</v>
      </c>
      <c r="AT132" s="47">
        <v>0</v>
      </c>
      <c r="AU132" s="47">
        <v>0</v>
      </c>
      <c r="AV132" s="47">
        <v>0</v>
      </c>
      <c r="AW132" s="47">
        <v>0</v>
      </c>
      <c r="AX132" s="47">
        <v>0</v>
      </c>
      <c r="AY132" s="47">
        <v>0</v>
      </c>
      <c r="AZ132" s="47">
        <v>0</v>
      </c>
      <c r="BA132" s="47">
        <v>0</v>
      </c>
      <c r="BB132" s="47">
        <v>0</v>
      </c>
      <c r="BC132" s="47">
        <v>0</v>
      </c>
      <c r="BD132" s="47">
        <v>0</v>
      </c>
      <c r="BE132" s="47">
        <v>0</v>
      </c>
      <c r="BF132" s="47">
        <v>0</v>
      </c>
      <c r="BG132" s="47">
        <v>0</v>
      </c>
      <c r="BH132" s="47">
        <v>0</v>
      </c>
      <c r="BI132" s="47">
        <v>0</v>
      </c>
      <c r="BJ132" s="47">
        <v>0</v>
      </c>
      <c r="BK132" s="47">
        <v>0</v>
      </c>
      <c r="BL132" s="47">
        <v>0</v>
      </c>
      <c r="BM132" s="47">
        <v>0</v>
      </c>
      <c r="BN132" s="47">
        <v>0</v>
      </c>
      <c r="BO132" s="47">
        <v>0</v>
      </c>
      <c r="BP132" s="47">
        <v>0</v>
      </c>
      <c r="BQ132" s="47">
        <v>0</v>
      </c>
      <c r="BR132" s="47">
        <v>0</v>
      </c>
      <c r="BS132" s="47">
        <v>0</v>
      </c>
      <c r="BT132" s="47">
        <v>0</v>
      </c>
      <c r="BU132" s="47">
        <v>0</v>
      </c>
      <c r="BV132" s="47">
        <v>0</v>
      </c>
      <c r="BW132" s="47">
        <v>0</v>
      </c>
      <c r="BX132" s="47">
        <v>0</v>
      </c>
      <c r="BY132" s="47">
        <v>0</v>
      </c>
      <c r="BZ132" s="47">
        <v>0</v>
      </c>
      <c r="CA132" s="47">
        <v>0</v>
      </c>
      <c r="CB132" s="47">
        <v>0</v>
      </c>
      <c r="CC132" s="47">
        <v>0</v>
      </c>
      <c r="CD132" s="47">
        <v>0</v>
      </c>
      <c r="CE132" s="47">
        <v>0</v>
      </c>
      <c r="CF132" s="47">
        <v>0</v>
      </c>
      <c r="CG132" s="47">
        <v>0</v>
      </c>
      <c r="CH132" s="47">
        <v>0</v>
      </c>
      <c r="CI132" s="47">
        <v>0</v>
      </c>
      <c r="CJ132" s="47">
        <v>0</v>
      </c>
      <c r="CK132" s="47">
        <v>0</v>
      </c>
      <c r="CL132" s="47">
        <v>0</v>
      </c>
      <c r="CM132" s="47">
        <v>0</v>
      </c>
      <c r="CN132" s="47">
        <v>0</v>
      </c>
      <c r="CO132" s="47">
        <v>0</v>
      </c>
      <c r="CP132" s="47">
        <v>0</v>
      </c>
      <c r="CQ132" s="47">
        <v>0</v>
      </c>
      <c r="CR132" s="47">
        <v>0</v>
      </c>
      <c r="CS132" s="47">
        <v>0</v>
      </c>
      <c r="CT132" s="47">
        <v>0</v>
      </c>
      <c r="CU132" s="47">
        <v>0</v>
      </c>
      <c r="CV132" s="47">
        <v>0</v>
      </c>
      <c r="CW132" s="47">
        <v>0</v>
      </c>
      <c r="CX132" s="47">
        <v>0</v>
      </c>
      <c r="CY132" s="47">
        <v>0</v>
      </c>
      <c r="CZ132" s="47">
        <v>0</v>
      </c>
      <c r="DA132" s="47">
        <v>0</v>
      </c>
      <c r="DB132" s="47">
        <v>0</v>
      </c>
      <c r="DC132" s="47">
        <v>0</v>
      </c>
      <c r="DD132" s="47">
        <v>0</v>
      </c>
      <c r="DE132" s="47">
        <v>0</v>
      </c>
      <c r="DF132" s="47">
        <v>0</v>
      </c>
      <c r="DG132" s="47">
        <v>0</v>
      </c>
      <c r="DH132" s="47">
        <v>0</v>
      </c>
      <c r="DI132" s="47">
        <v>0</v>
      </c>
      <c r="DJ132" s="47">
        <v>0</v>
      </c>
      <c r="DK132" s="47">
        <v>0</v>
      </c>
      <c r="DL132" s="47">
        <v>0</v>
      </c>
      <c r="DM132" s="47">
        <v>0</v>
      </c>
      <c r="DN132" s="47">
        <v>0</v>
      </c>
      <c r="DO132" s="47">
        <v>0</v>
      </c>
      <c r="DP132" s="47">
        <v>0</v>
      </c>
      <c r="DQ132" s="47">
        <v>0</v>
      </c>
      <c r="DR132" s="47">
        <v>0</v>
      </c>
    </row>
    <row r="133" spans="1:124" x14ac:dyDescent="0.25">
      <c r="A133" s="47" t="s">
        <v>758</v>
      </c>
      <c r="B133" s="47" t="s">
        <v>151</v>
      </c>
      <c r="C133" s="47" t="s">
        <v>759</v>
      </c>
      <c r="D133" s="47" t="s">
        <v>760</v>
      </c>
      <c r="E133" s="47" t="s">
        <v>761</v>
      </c>
      <c r="F133" s="47" t="s">
        <v>380</v>
      </c>
      <c r="G133" s="47" t="s">
        <v>381</v>
      </c>
      <c r="H133" s="47" t="str">
        <f>=IFERROR(VLOOKUP(A133,'ETPT Format DDG'!A:J,10,FALSE),"")</f>
        <v>0</v>
      </c>
      <c r="I133" s="47" t="str">
        <f>='ETPT Format DDG'!M133</f>
        <v/>
      </c>
      <c r="J133" s="47" t="str">
        <f>='ETPT Format DDG'!D133</f>
        <v/>
      </c>
      <c r="K133" s="47" t="s">
        <v>155</v>
      </c>
      <c r="L133" s="47" t="s">
        <v>208</v>
      </c>
      <c r="M133" s="47"/>
      <c r="N133" s="47">
        <v>0.8</v>
      </c>
      <c r="O133" s="47">
        <v>0.0832</v>
      </c>
      <c r="P133" s="47">
        <v>0</v>
      </c>
      <c r="Q133" s="47">
        <v>0</v>
      </c>
      <c r="R133" s="47">
        <v>0</v>
      </c>
      <c r="S133" s="47">
        <v>0</v>
      </c>
      <c r="T133" s="47">
        <v>0</v>
      </c>
      <c r="U133" s="47">
        <v>0</v>
      </c>
      <c r="V133" s="47">
        <v>0</v>
      </c>
      <c r="W133" s="47">
        <v>0</v>
      </c>
      <c r="X133" s="47">
        <v>0</v>
      </c>
      <c r="Y133" s="47">
        <v>0</v>
      </c>
      <c r="Z133" s="47">
        <v>0</v>
      </c>
      <c r="AA133" s="47">
        <v>0</v>
      </c>
      <c r="AB133" s="47">
        <v>0</v>
      </c>
      <c r="AC133" s="47">
        <v>0</v>
      </c>
      <c r="AD133" s="47">
        <v>0</v>
      </c>
      <c r="AE133" s="47">
        <v>0</v>
      </c>
      <c r="AF133" s="47">
        <v>0</v>
      </c>
      <c r="AG133" s="47">
        <v>0</v>
      </c>
      <c r="AH133" s="47">
        <v>0</v>
      </c>
      <c r="AI133" s="47">
        <v>0</v>
      </c>
      <c r="AJ133" s="47">
        <v>0</v>
      </c>
      <c r="AK133" s="47">
        <v>0</v>
      </c>
      <c r="AL133" s="47">
        <v>0</v>
      </c>
      <c r="AM133" s="47">
        <v>0</v>
      </c>
      <c r="AN133" s="47">
        <v>0</v>
      </c>
      <c r="AO133" s="47">
        <v>0</v>
      </c>
      <c r="AP133" s="47">
        <v>0</v>
      </c>
      <c r="AQ133" s="47">
        <v>0</v>
      </c>
      <c r="AR133" s="47">
        <v>0</v>
      </c>
      <c r="AS133" s="47">
        <v>0</v>
      </c>
      <c r="AT133" s="47">
        <v>0</v>
      </c>
      <c r="AU133" s="47">
        <v>0</v>
      </c>
      <c r="AV133" s="47">
        <v>0</v>
      </c>
      <c r="AW133" s="47">
        <v>0</v>
      </c>
      <c r="AX133" s="47">
        <v>0</v>
      </c>
      <c r="AY133" s="47">
        <v>0</v>
      </c>
      <c r="AZ133" s="47">
        <v>0</v>
      </c>
      <c r="BA133" s="47">
        <v>0</v>
      </c>
      <c r="BB133" s="47">
        <v>0</v>
      </c>
      <c r="BC133" s="47">
        <v>0</v>
      </c>
      <c r="BD133" s="47">
        <v>0</v>
      </c>
      <c r="BE133" s="47">
        <v>0</v>
      </c>
      <c r="BF133" s="47">
        <v>0</v>
      </c>
      <c r="BG133" s="47">
        <v>0</v>
      </c>
      <c r="BH133" s="47">
        <v>0</v>
      </c>
      <c r="BI133" s="47">
        <v>0</v>
      </c>
      <c r="BJ133" s="47">
        <v>0</v>
      </c>
      <c r="BK133" s="47">
        <v>0</v>
      </c>
      <c r="BL133" s="47">
        <v>0</v>
      </c>
      <c r="BM133" s="47">
        <v>0</v>
      </c>
      <c r="BN133" s="47">
        <v>0</v>
      </c>
      <c r="BO133" s="47">
        <v>0</v>
      </c>
      <c r="BP133" s="47">
        <v>0</v>
      </c>
      <c r="BQ133" s="47">
        <v>0</v>
      </c>
      <c r="BR133" s="47">
        <v>0</v>
      </c>
      <c r="BS133" s="47">
        <v>0</v>
      </c>
      <c r="BT133" s="47">
        <v>0</v>
      </c>
      <c r="BU133" s="47">
        <v>0</v>
      </c>
      <c r="BV133" s="47">
        <v>0</v>
      </c>
      <c r="BW133" s="47">
        <v>0</v>
      </c>
      <c r="BX133" s="47">
        <v>0</v>
      </c>
      <c r="BY133" s="47">
        <v>0</v>
      </c>
      <c r="BZ133" s="47">
        <v>0</v>
      </c>
      <c r="CA133" s="47">
        <v>0</v>
      </c>
      <c r="CB133" s="47">
        <v>0</v>
      </c>
      <c r="CC133" s="47">
        <v>0</v>
      </c>
      <c r="CD133" s="47">
        <v>0</v>
      </c>
      <c r="CE133" s="47">
        <v>0</v>
      </c>
      <c r="CF133" s="47">
        <v>0</v>
      </c>
      <c r="CG133" s="47">
        <v>0</v>
      </c>
      <c r="CH133" s="47">
        <v>0</v>
      </c>
      <c r="CI133" s="47">
        <v>0</v>
      </c>
      <c r="CJ133" s="47">
        <v>0</v>
      </c>
      <c r="CK133" s="47">
        <v>0</v>
      </c>
      <c r="CL133" s="47">
        <v>0</v>
      </c>
      <c r="CM133" s="47">
        <v>0</v>
      </c>
      <c r="CN133" s="47">
        <v>0</v>
      </c>
      <c r="CO133" s="47">
        <v>0</v>
      </c>
      <c r="CP133" s="47">
        <v>0</v>
      </c>
      <c r="CQ133" s="47">
        <v>0</v>
      </c>
      <c r="CR133" s="47">
        <v>0</v>
      </c>
      <c r="CS133" s="47">
        <v>0</v>
      </c>
      <c r="CT133" s="47">
        <v>0.0832</v>
      </c>
      <c r="CU133" s="47">
        <v>0</v>
      </c>
      <c r="CV133" s="47">
        <v>0.0032</v>
      </c>
      <c r="CW133" s="47">
        <v>0</v>
      </c>
      <c r="CX133" s="47">
        <v>0</v>
      </c>
      <c r="CY133" s="47">
        <v>0</v>
      </c>
      <c r="CZ133" s="47">
        <v>0.08</v>
      </c>
      <c r="DA133" s="47">
        <v>0</v>
      </c>
      <c r="DB133" s="47">
        <v>0</v>
      </c>
      <c r="DC133" s="47">
        <v>0</v>
      </c>
      <c r="DD133" s="47">
        <v>0</v>
      </c>
      <c r="DE133" s="47">
        <v>0</v>
      </c>
      <c r="DF133" s="47">
        <v>0</v>
      </c>
      <c r="DG133" s="47">
        <v>0</v>
      </c>
      <c r="DH133" s="47">
        <v>0</v>
      </c>
      <c r="DI133" s="47">
        <v>0</v>
      </c>
      <c r="DJ133" s="47">
        <v>0</v>
      </c>
      <c r="DK133" s="47">
        <v>0</v>
      </c>
      <c r="DL133" s="47">
        <v>0</v>
      </c>
      <c r="DM133" s="47">
        <v>0</v>
      </c>
      <c r="DN133" s="47">
        <v>0</v>
      </c>
      <c r="DO133" s="47">
        <v>0</v>
      </c>
      <c r="DP133" s="47">
        <v>0</v>
      </c>
      <c r="DQ133" s="47">
        <v>0</v>
      </c>
      <c r="DR133" s="47">
        <v>0</v>
      </c>
    </row>
    <row r="134" spans="1:124" x14ac:dyDescent="0.25">
      <c r="A134" s="47" t="s">
        <v>762</v>
      </c>
      <c r="B134" s="47" t="s">
        <v>151</v>
      </c>
      <c r="C134" s="47" t="s">
        <v>763</v>
      </c>
      <c r="D134" s="47" t="s">
        <v>764</v>
      </c>
      <c r="E134" s="47" t="s">
        <v>765</v>
      </c>
      <c r="F134" s="47" t="s">
        <v>380</v>
      </c>
      <c r="G134" s="47" t="s">
        <v>381</v>
      </c>
      <c r="H134" s="47" t="str">
        <f>=IFERROR(VLOOKUP(A134,'ETPT Format DDG'!A:J,10,FALSE),"")</f>
        <v>0</v>
      </c>
      <c r="I134" s="47" t="str">
        <f>='ETPT Format DDG'!M134</f>
        <v/>
      </c>
      <c r="J134" s="47" t="str">
        <f>='ETPT Format DDG'!D134</f>
        <v/>
      </c>
      <c r="K134" s="47" t="s">
        <v>155</v>
      </c>
      <c r="L134" s="47" t="s">
        <v>766</v>
      </c>
      <c r="M134" s="47"/>
      <c r="N134" s="47">
        <v>1</v>
      </c>
      <c r="O134" s="47">
        <v>0</v>
      </c>
      <c r="P134" s="47">
        <v>0</v>
      </c>
      <c r="Q134" s="47">
        <v>0</v>
      </c>
      <c r="R134" s="47">
        <v>0</v>
      </c>
      <c r="S134" s="47">
        <v>0</v>
      </c>
      <c r="T134" s="47">
        <v>0</v>
      </c>
      <c r="U134" s="47">
        <v>0</v>
      </c>
      <c r="V134" s="47">
        <v>0</v>
      </c>
      <c r="W134" s="47">
        <v>0</v>
      </c>
      <c r="X134" s="47">
        <v>0</v>
      </c>
      <c r="Y134" s="47">
        <v>0</v>
      </c>
      <c r="Z134" s="47">
        <v>0</v>
      </c>
      <c r="AA134" s="47">
        <v>0</v>
      </c>
      <c r="AB134" s="47">
        <v>0</v>
      </c>
      <c r="AC134" s="47">
        <v>0</v>
      </c>
      <c r="AD134" s="47">
        <v>0</v>
      </c>
      <c r="AE134" s="47">
        <v>0</v>
      </c>
      <c r="AF134" s="47">
        <v>0</v>
      </c>
      <c r="AG134" s="47">
        <v>0</v>
      </c>
      <c r="AH134" s="47">
        <v>0</v>
      </c>
      <c r="AI134" s="47">
        <v>0</v>
      </c>
      <c r="AJ134" s="47">
        <v>0</v>
      </c>
      <c r="AK134" s="47">
        <v>0</v>
      </c>
      <c r="AL134" s="47">
        <v>0</v>
      </c>
      <c r="AM134" s="47">
        <v>0</v>
      </c>
      <c r="AN134" s="47">
        <v>0</v>
      </c>
      <c r="AO134" s="47">
        <v>0</v>
      </c>
      <c r="AP134" s="47">
        <v>0</v>
      </c>
      <c r="AQ134" s="47">
        <v>0</v>
      </c>
      <c r="AR134" s="47">
        <v>0</v>
      </c>
      <c r="AS134" s="47">
        <v>0</v>
      </c>
      <c r="AT134" s="47">
        <v>0</v>
      </c>
      <c r="AU134" s="47">
        <v>0</v>
      </c>
      <c r="AV134" s="47">
        <v>0</v>
      </c>
      <c r="AW134" s="47">
        <v>0</v>
      </c>
      <c r="AX134" s="47">
        <v>0</v>
      </c>
      <c r="AY134" s="47">
        <v>0</v>
      </c>
      <c r="AZ134" s="47">
        <v>0</v>
      </c>
      <c r="BA134" s="47">
        <v>0</v>
      </c>
      <c r="BB134" s="47">
        <v>0</v>
      </c>
      <c r="BC134" s="47">
        <v>0</v>
      </c>
      <c r="BD134" s="47">
        <v>0</v>
      </c>
      <c r="BE134" s="47">
        <v>0</v>
      </c>
      <c r="BF134" s="47">
        <v>0</v>
      </c>
      <c r="BG134" s="47">
        <v>0</v>
      </c>
      <c r="BH134" s="47">
        <v>0</v>
      </c>
      <c r="BI134" s="47">
        <v>0</v>
      </c>
      <c r="BJ134" s="47">
        <v>0</v>
      </c>
      <c r="BK134" s="47">
        <v>0</v>
      </c>
      <c r="BL134" s="47">
        <v>0</v>
      </c>
      <c r="BM134" s="47">
        <v>0</v>
      </c>
      <c r="BN134" s="47">
        <v>0</v>
      </c>
      <c r="BO134" s="47">
        <v>0</v>
      </c>
      <c r="BP134" s="47">
        <v>0</v>
      </c>
      <c r="BQ134" s="47">
        <v>0</v>
      </c>
      <c r="BR134" s="47">
        <v>0</v>
      </c>
      <c r="BS134" s="47">
        <v>0</v>
      </c>
      <c r="BT134" s="47">
        <v>0</v>
      </c>
      <c r="BU134" s="47">
        <v>0</v>
      </c>
      <c r="BV134" s="47">
        <v>0</v>
      </c>
      <c r="BW134" s="47">
        <v>0</v>
      </c>
      <c r="BX134" s="47">
        <v>0</v>
      </c>
      <c r="BY134" s="47">
        <v>0</v>
      </c>
      <c r="BZ134" s="47">
        <v>0</v>
      </c>
      <c r="CA134" s="47">
        <v>0</v>
      </c>
      <c r="CB134" s="47">
        <v>0</v>
      </c>
      <c r="CC134" s="47">
        <v>0</v>
      </c>
      <c r="CD134" s="47">
        <v>0</v>
      </c>
      <c r="CE134" s="47">
        <v>0</v>
      </c>
      <c r="CF134" s="47">
        <v>0</v>
      </c>
      <c r="CG134" s="47">
        <v>0</v>
      </c>
      <c r="CH134" s="47">
        <v>0</v>
      </c>
      <c r="CI134" s="47">
        <v>0</v>
      </c>
      <c r="CJ134" s="47">
        <v>0</v>
      </c>
      <c r="CK134" s="47">
        <v>0</v>
      </c>
      <c r="CL134" s="47">
        <v>0</v>
      </c>
      <c r="CM134" s="47">
        <v>0</v>
      </c>
      <c r="CN134" s="47">
        <v>0</v>
      </c>
      <c r="CO134" s="47">
        <v>0</v>
      </c>
      <c r="CP134" s="47">
        <v>0</v>
      </c>
      <c r="CQ134" s="47">
        <v>0</v>
      </c>
      <c r="CR134" s="47">
        <v>0</v>
      </c>
      <c r="CS134" s="47">
        <v>0</v>
      </c>
      <c r="CT134" s="47">
        <v>0</v>
      </c>
      <c r="CU134" s="47">
        <v>0</v>
      </c>
      <c r="CV134" s="47">
        <v>0</v>
      </c>
      <c r="CW134" s="47">
        <v>0</v>
      </c>
      <c r="CX134" s="47">
        <v>0</v>
      </c>
      <c r="CY134" s="47">
        <v>0</v>
      </c>
      <c r="CZ134" s="47">
        <v>0</v>
      </c>
      <c r="DA134" s="47">
        <v>0</v>
      </c>
      <c r="DB134" s="47">
        <v>0</v>
      </c>
      <c r="DC134" s="47">
        <v>0</v>
      </c>
      <c r="DD134" s="47">
        <v>0</v>
      </c>
      <c r="DE134" s="47">
        <v>0</v>
      </c>
      <c r="DF134" s="47">
        <v>0</v>
      </c>
      <c r="DG134" s="47">
        <v>0</v>
      </c>
      <c r="DH134" s="47">
        <v>0</v>
      </c>
      <c r="DI134" s="47">
        <v>0</v>
      </c>
      <c r="DJ134" s="47">
        <v>0</v>
      </c>
      <c r="DK134" s="47">
        <v>0</v>
      </c>
      <c r="DL134" s="47">
        <v>0</v>
      </c>
      <c r="DM134" s="47">
        <v>0</v>
      </c>
      <c r="DN134" s="47">
        <v>0</v>
      </c>
      <c r="DO134" s="47">
        <v>0</v>
      </c>
      <c r="DP134" s="47">
        <v>0</v>
      </c>
      <c r="DQ134" s="47">
        <v>0</v>
      </c>
      <c r="DR134" s="47">
        <v>0</v>
      </c>
    </row>
    <row r="135" spans="1:124" x14ac:dyDescent="0.25">
      <c r="A135" s="47" t="s">
        <v>767</v>
      </c>
      <c r="B135" s="47" t="s">
        <v>151</v>
      </c>
      <c r="C135" s="47" t="s">
        <v>768</v>
      </c>
      <c r="D135" s="47" t="s">
        <v>769</v>
      </c>
      <c r="E135" s="47" t="s">
        <v>770</v>
      </c>
      <c r="F135" s="47" t="s">
        <v>380</v>
      </c>
      <c r="G135" s="47" t="s">
        <v>381</v>
      </c>
      <c r="H135" s="47" t="str">
        <f>=IFERROR(VLOOKUP(A135,'ETPT Format DDG'!A:J,10,FALSE),"")</f>
        <v>0</v>
      </c>
      <c r="I135" s="47" t="str">
        <f>='ETPT Format DDG'!M135</f>
        <v/>
      </c>
      <c r="J135" s="47" t="str">
        <f>='ETPT Format DDG'!D135</f>
        <v/>
      </c>
      <c r="K135" s="47" t="s">
        <v>155</v>
      </c>
      <c r="L135" s="47" t="s">
        <v>601</v>
      </c>
      <c r="M135" s="47"/>
      <c r="N135" s="47">
        <v>1</v>
      </c>
      <c r="O135" s="47">
        <v>1</v>
      </c>
      <c r="P135" s="47">
        <v>0</v>
      </c>
      <c r="Q135" s="47">
        <v>0</v>
      </c>
      <c r="R135" s="47">
        <v>0</v>
      </c>
      <c r="S135" s="47">
        <v>0</v>
      </c>
      <c r="T135" s="47">
        <v>0</v>
      </c>
      <c r="U135" s="47">
        <v>0</v>
      </c>
      <c r="V135" s="47">
        <v>0</v>
      </c>
      <c r="W135" s="47">
        <v>0</v>
      </c>
      <c r="X135" s="47">
        <v>0</v>
      </c>
      <c r="Y135" s="47">
        <v>0</v>
      </c>
      <c r="Z135" s="47">
        <v>0</v>
      </c>
      <c r="AA135" s="47">
        <v>0</v>
      </c>
      <c r="AB135" s="47">
        <v>0</v>
      </c>
      <c r="AC135" s="47">
        <v>0</v>
      </c>
      <c r="AD135" s="47">
        <v>0</v>
      </c>
      <c r="AE135" s="47">
        <v>0.6278</v>
      </c>
      <c r="AF135" s="47">
        <v>0</v>
      </c>
      <c r="AG135" s="47">
        <v>0.1744</v>
      </c>
      <c r="AH135" s="47">
        <v>0</v>
      </c>
      <c r="AI135" s="47">
        <v>0</v>
      </c>
      <c r="AJ135" s="47">
        <v>0</v>
      </c>
      <c r="AK135" s="47">
        <v>0.1046</v>
      </c>
      <c r="AL135" s="47">
        <v>0</v>
      </c>
      <c r="AM135" s="47">
        <v>0.3488</v>
      </c>
      <c r="AN135" s="47">
        <v>0</v>
      </c>
      <c r="AO135" s="47">
        <v>0</v>
      </c>
      <c r="AP135" s="47">
        <v>0</v>
      </c>
      <c r="AQ135" s="47">
        <v>0</v>
      </c>
      <c r="AR135" s="47">
        <v>0</v>
      </c>
      <c r="AS135" s="47">
        <v>0</v>
      </c>
      <c r="AT135" s="47">
        <v>0</v>
      </c>
      <c r="AU135" s="47">
        <v>0</v>
      </c>
      <c r="AV135" s="47">
        <v>0</v>
      </c>
      <c r="AW135" s="47">
        <v>0</v>
      </c>
      <c r="AX135" s="47">
        <v>0</v>
      </c>
      <c r="AY135" s="47">
        <v>0</v>
      </c>
      <c r="AZ135" s="47">
        <v>0</v>
      </c>
      <c r="BA135" s="47">
        <v>0</v>
      </c>
      <c r="BB135" s="47">
        <v>0</v>
      </c>
      <c r="BC135" s="47">
        <v>0</v>
      </c>
      <c r="BD135" s="47">
        <v>0</v>
      </c>
      <c r="BE135" s="47">
        <v>0</v>
      </c>
      <c r="BF135" s="47">
        <v>0</v>
      </c>
      <c r="BG135" s="47">
        <v>0</v>
      </c>
      <c r="BH135" s="47">
        <v>0</v>
      </c>
      <c r="BI135" s="47">
        <v>0</v>
      </c>
      <c r="BJ135" s="47">
        <v>0</v>
      </c>
      <c r="BK135" s="47">
        <v>0</v>
      </c>
      <c r="BL135" s="47">
        <v>0</v>
      </c>
      <c r="BM135" s="47">
        <v>0</v>
      </c>
      <c r="BN135" s="47">
        <v>0</v>
      </c>
      <c r="BO135" s="47">
        <v>0</v>
      </c>
      <c r="BP135" s="47">
        <v>0</v>
      </c>
      <c r="BQ135" s="47">
        <v>0</v>
      </c>
      <c r="BR135" s="47">
        <v>0</v>
      </c>
      <c r="BS135" s="47">
        <v>0</v>
      </c>
      <c r="BT135" s="47">
        <v>0</v>
      </c>
      <c r="BU135" s="47">
        <v>0</v>
      </c>
      <c r="BV135" s="47">
        <v>0</v>
      </c>
      <c r="BW135" s="47">
        <v>0</v>
      </c>
      <c r="BX135" s="47">
        <v>0</v>
      </c>
      <c r="BY135" s="47">
        <v>0</v>
      </c>
      <c r="BZ135" s="47">
        <v>0</v>
      </c>
      <c r="CA135" s="47">
        <v>0</v>
      </c>
      <c r="CB135" s="47">
        <v>0</v>
      </c>
      <c r="CC135" s="47">
        <v>0</v>
      </c>
      <c r="CD135" s="47">
        <v>0</v>
      </c>
      <c r="CE135" s="47">
        <v>0</v>
      </c>
      <c r="CF135" s="47">
        <v>0</v>
      </c>
      <c r="CG135" s="47">
        <v>0</v>
      </c>
      <c r="CH135" s="47">
        <v>0</v>
      </c>
      <c r="CI135" s="47">
        <v>0</v>
      </c>
      <c r="CJ135" s="47">
        <v>0</v>
      </c>
      <c r="CK135" s="47">
        <v>0</v>
      </c>
      <c r="CL135" s="47">
        <v>0.2722</v>
      </c>
      <c r="CM135" s="47">
        <v>0</v>
      </c>
      <c r="CN135" s="47">
        <v>0</v>
      </c>
      <c r="CO135" s="47">
        <v>0</v>
      </c>
      <c r="CP135" s="47">
        <v>0</v>
      </c>
      <c r="CQ135" s="47">
        <v>0</v>
      </c>
      <c r="CR135" s="47">
        <v>0</v>
      </c>
      <c r="CS135" s="47">
        <v>0</v>
      </c>
      <c r="CT135" s="47">
        <v>0.1</v>
      </c>
      <c r="CU135" s="47">
        <v>0.1</v>
      </c>
      <c r="CV135" s="47">
        <v>0</v>
      </c>
      <c r="CW135" s="47">
        <v>0</v>
      </c>
      <c r="CX135" s="47">
        <v>0</v>
      </c>
      <c r="CY135" s="47">
        <v>0</v>
      </c>
      <c r="CZ135" s="47">
        <v>0</v>
      </c>
      <c r="DA135" s="47">
        <v>0</v>
      </c>
      <c r="DB135" s="47">
        <v>0</v>
      </c>
      <c r="DC135" s="47">
        <v>0</v>
      </c>
      <c r="DD135" s="47">
        <v>0</v>
      </c>
      <c r="DE135" s="47">
        <v>0</v>
      </c>
      <c r="DF135" s="47">
        <v>0</v>
      </c>
      <c r="DG135" s="47">
        <v>0</v>
      </c>
      <c r="DH135" s="47">
        <v>0</v>
      </c>
      <c r="DI135" s="47">
        <v>0</v>
      </c>
      <c r="DJ135" s="47">
        <v>0</v>
      </c>
      <c r="DK135" s="47">
        <v>0</v>
      </c>
      <c r="DL135" s="47">
        <v>0</v>
      </c>
      <c r="DM135" s="47">
        <v>0</v>
      </c>
      <c r="DN135" s="47">
        <v>0</v>
      </c>
      <c r="DO135" s="47">
        <v>0</v>
      </c>
      <c r="DP135" s="47">
        <v>0</v>
      </c>
      <c r="DQ135" s="47">
        <v>0</v>
      </c>
      <c r="DR135" s="47">
        <v>0</v>
      </c>
    </row>
    <row r="136" spans="1:124" x14ac:dyDescent="0.25">
      <c r="A136" s="47" t="s">
        <v>771</v>
      </c>
      <c r="B136" s="47" t="s">
        <v>151</v>
      </c>
      <c r="C136" s="47" t="s">
        <v>772</v>
      </c>
      <c r="D136" s="47" t="s">
        <v>773</v>
      </c>
      <c r="E136" s="47" t="s">
        <v>774</v>
      </c>
      <c r="F136" s="47" t="s">
        <v>380</v>
      </c>
      <c r="G136" s="47" t="s">
        <v>381</v>
      </c>
      <c r="H136" s="47" t="str">
        <f>=IFERROR(VLOOKUP(A136,'ETPT Format DDG'!A:J,10,FALSE),"")</f>
        <v>0</v>
      </c>
      <c r="I136" s="47" t="str">
        <f>='ETPT Format DDG'!M136</f>
        <v/>
      </c>
      <c r="J136" s="47" t="str">
        <f>='ETPT Format DDG'!D136</f>
        <v/>
      </c>
      <c r="K136" s="47" t="s">
        <v>155</v>
      </c>
      <c r="L136" s="47" t="s">
        <v>775</v>
      </c>
      <c r="M136" s="47"/>
      <c r="N136" s="47">
        <v>0.125</v>
      </c>
      <c r="O136" s="47">
        <v>0.125</v>
      </c>
      <c r="P136" s="47">
        <v>0</v>
      </c>
      <c r="Q136" s="47">
        <v>0</v>
      </c>
      <c r="R136" s="47">
        <v>0</v>
      </c>
      <c r="S136" s="47">
        <v>0</v>
      </c>
      <c r="T136" s="47">
        <v>0</v>
      </c>
      <c r="U136" s="47">
        <v>0</v>
      </c>
      <c r="V136" s="47">
        <v>0</v>
      </c>
      <c r="W136" s="47">
        <v>0</v>
      </c>
      <c r="X136" s="47">
        <v>0</v>
      </c>
      <c r="Y136" s="47">
        <v>0</v>
      </c>
      <c r="Z136" s="47">
        <v>0</v>
      </c>
      <c r="AA136" s="47">
        <v>0</v>
      </c>
      <c r="AB136" s="47">
        <v>0</v>
      </c>
      <c r="AC136" s="47">
        <v>0</v>
      </c>
      <c r="AD136" s="47">
        <v>0</v>
      </c>
      <c r="AE136" s="47">
        <v>0.125</v>
      </c>
      <c r="AF136" s="47">
        <v>0</v>
      </c>
      <c r="AG136" s="47">
        <v>0</v>
      </c>
      <c r="AH136" s="47">
        <v>0</v>
      </c>
      <c r="AI136" s="47">
        <v>0</v>
      </c>
      <c r="AJ136" s="47">
        <v>0</v>
      </c>
      <c r="AK136" s="47">
        <v>0</v>
      </c>
      <c r="AL136" s="47">
        <v>0</v>
      </c>
      <c r="AM136" s="47">
        <v>0</v>
      </c>
      <c r="AN136" s="47">
        <v>0</v>
      </c>
      <c r="AO136" s="47">
        <v>0</v>
      </c>
      <c r="AP136" s="47">
        <v>0</v>
      </c>
      <c r="AQ136" s="47">
        <v>0</v>
      </c>
      <c r="AR136" s="47">
        <v>0</v>
      </c>
      <c r="AS136" s="47">
        <v>0</v>
      </c>
      <c r="AT136" s="47">
        <v>0</v>
      </c>
      <c r="AU136" s="47">
        <v>0</v>
      </c>
      <c r="AV136" s="47">
        <v>0</v>
      </c>
      <c r="AW136" s="47">
        <v>0</v>
      </c>
      <c r="AX136" s="47">
        <v>0</v>
      </c>
      <c r="AY136" s="47">
        <v>0</v>
      </c>
      <c r="AZ136" s="47">
        <v>0</v>
      </c>
      <c r="BA136" s="47">
        <v>0</v>
      </c>
      <c r="BB136" s="47">
        <v>0</v>
      </c>
      <c r="BC136" s="47">
        <v>0</v>
      </c>
      <c r="BD136" s="47">
        <v>0</v>
      </c>
      <c r="BE136" s="47">
        <v>0</v>
      </c>
      <c r="BF136" s="47">
        <v>0</v>
      </c>
      <c r="BG136" s="47">
        <v>0</v>
      </c>
      <c r="BH136" s="47">
        <v>0</v>
      </c>
      <c r="BI136" s="47">
        <v>0</v>
      </c>
      <c r="BJ136" s="47">
        <v>0</v>
      </c>
      <c r="BK136" s="47">
        <v>0</v>
      </c>
      <c r="BL136" s="47">
        <v>0</v>
      </c>
      <c r="BM136" s="47">
        <v>0</v>
      </c>
      <c r="BN136" s="47">
        <v>0</v>
      </c>
      <c r="BO136" s="47">
        <v>0</v>
      </c>
      <c r="BP136" s="47">
        <v>0</v>
      </c>
      <c r="BQ136" s="47">
        <v>0</v>
      </c>
      <c r="BR136" s="47">
        <v>0</v>
      </c>
      <c r="BS136" s="47">
        <v>0</v>
      </c>
      <c r="BT136" s="47">
        <v>0</v>
      </c>
      <c r="BU136" s="47">
        <v>0</v>
      </c>
      <c r="BV136" s="47">
        <v>0</v>
      </c>
      <c r="BW136" s="47">
        <v>0</v>
      </c>
      <c r="BX136" s="47">
        <v>0</v>
      </c>
      <c r="BY136" s="47">
        <v>0</v>
      </c>
      <c r="BZ136" s="47">
        <v>0</v>
      </c>
      <c r="CA136" s="47">
        <v>0</v>
      </c>
      <c r="CB136" s="47">
        <v>0</v>
      </c>
      <c r="CC136" s="47">
        <v>0</v>
      </c>
      <c r="CD136" s="47">
        <v>0</v>
      </c>
      <c r="CE136" s="47">
        <v>0</v>
      </c>
      <c r="CF136" s="47">
        <v>0</v>
      </c>
      <c r="CG136" s="47">
        <v>0</v>
      </c>
      <c r="CH136" s="47">
        <v>0</v>
      </c>
      <c r="CI136" s="47">
        <v>0</v>
      </c>
      <c r="CJ136" s="47">
        <v>0</v>
      </c>
      <c r="CK136" s="47">
        <v>0</v>
      </c>
      <c r="CL136" s="47">
        <v>0</v>
      </c>
      <c r="CM136" s="47">
        <v>0</v>
      </c>
      <c r="CN136" s="47">
        <v>0</v>
      </c>
      <c r="CO136" s="47">
        <v>0</v>
      </c>
      <c r="CP136" s="47">
        <v>0</v>
      </c>
      <c r="CQ136" s="47">
        <v>0</v>
      </c>
      <c r="CR136" s="47">
        <v>0</v>
      </c>
      <c r="CS136" s="47">
        <v>0</v>
      </c>
      <c r="CT136" s="47">
        <v>0</v>
      </c>
      <c r="CU136" s="47">
        <v>0</v>
      </c>
      <c r="CV136" s="47">
        <v>0</v>
      </c>
      <c r="CW136" s="47">
        <v>0</v>
      </c>
      <c r="CX136" s="47">
        <v>0</v>
      </c>
      <c r="CY136" s="47">
        <v>0</v>
      </c>
      <c r="CZ136" s="47">
        <v>0</v>
      </c>
      <c r="DA136" s="47">
        <v>0</v>
      </c>
      <c r="DB136" s="47">
        <v>0</v>
      </c>
      <c r="DC136" s="47">
        <v>0</v>
      </c>
      <c r="DD136" s="47">
        <v>0</v>
      </c>
      <c r="DE136" s="47">
        <v>0</v>
      </c>
      <c r="DF136" s="47">
        <v>0</v>
      </c>
      <c r="DG136" s="47">
        <v>0</v>
      </c>
      <c r="DH136" s="47">
        <v>0</v>
      </c>
      <c r="DI136" s="47">
        <v>0</v>
      </c>
      <c r="DJ136" s="47">
        <v>0</v>
      </c>
      <c r="DK136" s="47">
        <v>0</v>
      </c>
      <c r="DL136" s="47">
        <v>0</v>
      </c>
      <c r="DM136" s="47">
        <v>0</v>
      </c>
      <c r="DN136" s="47">
        <v>0</v>
      </c>
      <c r="DO136" s="47">
        <v>0</v>
      </c>
      <c r="DP136" s="47">
        <v>0</v>
      </c>
      <c r="DQ136" s="47">
        <v>0</v>
      </c>
      <c r="DR136" s="47">
        <v>0</v>
      </c>
    </row>
    <row r="137" spans="1:124" x14ac:dyDescent="0.25">
      <c r="A137" s="47" t="s">
        <v>776</v>
      </c>
      <c r="B137" s="47" t="s">
        <v>151</v>
      </c>
      <c r="C137" s="47" t="s">
        <v>777</v>
      </c>
      <c r="D137" s="47" t="s">
        <v>778</v>
      </c>
      <c r="E137" s="47" t="s">
        <v>779</v>
      </c>
      <c r="F137" s="47" t="s">
        <v>380</v>
      </c>
      <c r="G137" s="47" t="s">
        <v>780</v>
      </c>
      <c r="H137" s="47" t="str">
        <f>=IFERROR(VLOOKUP(A137,'ETPT Format DDG'!A:J,10,FALSE),"")</f>
        <v>0</v>
      </c>
      <c r="I137" s="47" t="str">
        <f>='ETPT Format DDG'!M137</f>
        <v/>
      </c>
      <c r="J137" s="47" t="str">
        <f>='ETPT Format DDG'!D137</f>
        <v/>
      </c>
      <c r="K137" s="47" t="s">
        <v>155</v>
      </c>
      <c r="L137" s="47" t="s">
        <v>781</v>
      </c>
      <c r="M137" s="47" t="s">
        <v>782</v>
      </c>
      <c r="N137" s="47">
        <v>0.1734</v>
      </c>
      <c r="O137" s="47">
        <v>0.1734</v>
      </c>
      <c r="P137" s="47">
        <v>0</v>
      </c>
      <c r="Q137" s="47">
        <v>0</v>
      </c>
      <c r="R137" s="47">
        <v>0</v>
      </c>
      <c r="S137" s="47">
        <v>0</v>
      </c>
      <c r="T137" s="47">
        <v>0</v>
      </c>
      <c r="U137" s="47">
        <v>0</v>
      </c>
      <c r="V137" s="47">
        <v>0</v>
      </c>
      <c r="W137" s="47">
        <v>0</v>
      </c>
      <c r="X137" s="47">
        <v>0</v>
      </c>
      <c r="Y137" s="47">
        <v>0</v>
      </c>
      <c r="Z137" s="47">
        <v>0</v>
      </c>
      <c r="AA137" s="47">
        <v>0</v>
      </c>
      <c r="AB137" s="47">
        <v>0</v>
      </c>
      <c r="AC137" s="47">
        <v>0</v>
      </c>
      <c r="AD137" s="47">
        <v>0</v>
      </c>
      <c r="AE137" s="47">
        <v>0.1127</v>
      </c>
      <c r="AF137" s="47">
        <v>0</v>
      </c>
      <c r="AG137" s="47">
        <v>0.1127</v>
      </c>
      <c r="AH137" s="47">
        <v>0</v>
      </c>
      <c r="AI137" s="47">
        <v>0</v>
      </c>
      <c r="AJ137" s="47">
        <v>0</v>
      </c>
      <c r="AK137" s="47">
        <v>0</v>
      </c>
      <c r="AL137" s="47">
        <v>0</v>
      </c>
      <c r="AM137" s="47">
        <v>0</v>
      </c>
      <c r="AN137" s="47">
        <v>0.0607</v>
      </c>
      <c r="AO137" s="47">
        <v>0.0607</v>
      </c>
      <c r="AP137" s="47">
        <v>0</v>
      </c>
      <c r="AQ137" s="47">
        <v>0</v>
      </c>
      <c r="AR137" s="47">
        <v>0</v>
      </c>
      <c r="AS137" s="47">
        <v>0</v>
      </c>
      <c r="AT137" s="47">
        <v>0</v>
      </c>
      <c r="AU137" s="47">
        <v>0</v>
      </c>
      <c r="AV137" s="47">
        <v>0</v>
      </c>
      <c r="AW137" s="47">
        <v>0</v>
      </c>
      <c r="AX137" s="47">
        <v>0</v>
      </c>
      <c r="AY137" s="47">
        <v>0</v>
      </c>
      <c r="AZ137" s="47">
        <v>0</v>
      </c>
      <c r="BA137" s="47">
        <v>0</v>
      </c>
      <c r="BB137" s="47">
        <v>0</v>
      </c>
      <c r="BC137" s="47">
        <v>0</v>
      </c>
      <c r="BD137" s="47">
        <v>0</v>
      </c>
      <c r="BE137" s="47">
        <v>0</v>
      </c>
      <c r="BF137" s="47">
        <v>0</v>
      </c>
      <c r="BG137" s="47">
        <v>0</v>
      </c>
      <c r="BH137" s="47">
        <v>0</v>
      </c>
      <c r="BI137" s="47">
        <v>0</v>
      </c>
      <c r="BJ137" s="47">
        <v>0</v>
      </c>
      <c r="BK137" s="47">
        <v>0</v>
      </c>
      <c r="BL137" s="47">
        <v>0</v>
      </c>
      <c r="BM137" s="47">
        <v>0</v>
      </c>
      <c r="BN137" s="47">
        <v>0</v>
      </c>
      <c r="BO137" s="47">
        <v>0</v>
      </c>
      <c r="BP137" s="47">
        <v>0</v>
      </c>
      <c r="BQ137" s="47">
        <v>0</v>
      </c>
      <c r="BR137" s="47">
        <v>0</v>
      </c>
      <c r="BS137" s="47">
        <v>0</v>
      </c>
      <c r="BT137" s="47">
        <v>0</v>
      </c>
      <c r="BU137" s="47">
        <v>0</v>
      </c>
      <c r="BV137" s="47">
        <v>0</v>
      </c>
      <c r="BW137" s="47">
        <v>0</v>
      </c>
      <c r="BX137" s="47">
        <v>0</v>
      </c>
      <c r="BY137" s="47">
        <v>0</v>
      </c>
      <c r="BZ137" s="47">
        <v>0</v>
      </c>
      <c r="CA137" s="47">
        <v>0</v>
      </c>
      <c r="CB137" s="47">
        <v>0</v>
      </c>
      <c r="CC137" s="47">
        <v>0</v>
      </c>
      <c r="CD137" s="47">
        <v>0</v>
      </c>
      <c r="CE137" s="47">
        <v>0</v>
      </c>
      <c r="CF137" s="47">
        <v>0</v>
      </c>
      <c r="CG137" s="47">
        <v>0</v>
      </c>
      <c r="CH137" s="47">
        <v>0</v>
      </c>
      <c r="CI137" s="47">
        <v>0</v>
      </c>
      <c r="CJ137" s="47">
        <v>0</v>
      </c>
      <c r="CK137" s="47">
        <v>0</v>
      </c>
      <c r="CL137" s="47">
        <v>0</v>
      </c>
      <c r="CM137" s="47">
        <v>0</v>
      </c>
      <c r="CN137" s="47">
        <v>0</v>
      </c>
      <c r="CO137" s="47">
        <v>0</v>
      </c>
      <c r="CP137" s="47">
        <v>0</v>
      </c>
      <c r="CQ137" s="47">
        <v>0</v>
      </c>
      <c r="CR137" s="47">
        <v>0</v>
      </c>
      <c r="CS137" s="47">
        <v>0</v>
      </c>
      <c r="CT137" s="47">
        <v>0</v>
      </c>
      <c r="CU137" s="47">
        <v>0</v>
      </c>
      <c r="CV137" s="47">
        <v>0</v>
      </c>
      <c r="CW137" s="47">
        <v>0</v>
      </c>
      <c r="CX137" s="47">
        <v>0</v>
      </c>
      <c r="CY137" s="47">
        <v>0</v>
      </c>
      <c r="CZ137" s="47">
        <v>0</v>
      </c>
      <c r="DA137" s="47">
        <v>0</v>
      </c>
      <c r="DB137" s="47">
        <v>0</v>
      </c>
      <c r="DC137" s="47">
        <v>0</v>
      </c>
      <c r="DD137" s="47">
        <v>0</v>
      </c>
      <c r="DE137" s="47">
        <v>0</v>
      </c>
      <c r="DF137" s="47">
        <v>0</v>
      </c>
      <c r="DG137" s="47">
        <v>0</v>
      </c>
      <c r="DH137" s="47">
        <v>0</v>
      </c>
      <c r="DI137" s="47">
        <v>0</v>
      </c>
      <c r="DJ137" s="47">
        <v>0</v>
      </c>
      <c r="DK137" s="47">
        <v>0</v>
      </c>
      <c r="DL137" s="47">
        <v>0</v>
      </c>
      <c r="DM137" s="47">
        <v>0</v>
      </c>
      <c r="DN137" s="47">
        <v>0</v>
      </c>
      <c r="DO137" s="47">
        <v>0</v>
      </c>
      <c r="DP137" s="47">
        <v>0</v>
      </c>
      <c r="DQ137" s="47">
        <v>0</v>
      </c>
      <c r="DR137" s="47">
        <v>0</v>
      </c>
    </row>
    <row r="138" spans="1:124" x14ac:dyDescent="0.25">
      <c r="A138" s="47" t="s">
        <v>783</v>
      </c>
      <c r="B138" s="47" t="s">
        <v>151</v>
      </c>
      <c r="C138" s="47" t="s">
        <v>784</v>
      </c>
      <c r="D138" s="47" t="s">
        <v>785</v>
      </c>
      <c r="E138" s="47" t="s">
        <v>786</v>
      </c>
      <c r="F138" s="47" t="s">
        <v>380</v>
      </c>
      <c r="G138" s="47" t="s">
        <v>787</v>
      </c>
      <c r="H138" s="47" t="str">
        <f>=IFERROR(VLOOKUP(A138,'ETPT Format DDG'!A:J,10,FALSE),"")</f>
        <v>0</v>
      </c>
      <c r="I138" s="47" t="str">
        <f>='ETPT Format DDG'!M138</f>
        <v/>
      </c>
      <c r="J138" s="47" t="str">
        <f>='ETPT Format DDG'!D138</f>
        <v/>
      </c>
      <c r="K138" s="47" t="s">
        <v>155</v>
      </c>
      <c r="L138" s="47" t="s">
        <v>788</v>
      </c>
      <c r="M138" s="47"/>
      <c r="N138" s="47">
        <v>0.9879</v>
      </c>
      <c r="O138" s="47">
        <v>0.9879</v>
      </c>
      <c r="P138" s="47">
        <v>0</v>
      </c>
      <c r="Q138" s="47">
        <v>0</v>
      </c>
      <c r="R138" s="47">
        <v>0</v>
      </c>
      <c r="S138" s="47">
        <v>0</v>
      </c>
      <c r="T138" s="47">
        <v>0</v>
      </c>
      <c r="U138" s="47">
        <v>0</v>
      </c>
      <c r="V138" s="47">
        <v>0</v>
      </c>
      <c r="W138" s="47">
        <v>0</v>
      </c>
      <c r="X138" s="47">
        <v>0</v>
      </c>
      <c r="Y138" s="47">
        <v>0</v>
      </c>
      <c r="Z138" s="47">
        <v>0</v>
      </c>
      <c r="AA138" s="47">
        <v>0</v>
      </c>
      <c r="AB138" s="47">
        <v>0</v>
      </c>
      <c r="AC138" s="47">
        <v>0</v>
      </c>
      <c r="AD138" s="47">
        <v>0</v>
      </c>
      <c r="AE138" s="47">
        <v>0</v>
      </c>
      <c r="AF138" s="47">
        <v>0</v>
      </c>
      <c r="AG138" s="47">
        <v>0</v>
      </c>
      <c r="AH138" s="47">
        <v>0</v>
      </c>
      <c r="AI138" s="47">
        <v>0</v>
      </c>
      <c r="AJ138" s="47">
        <v>0</v>
      </c>
      <c r="AK138" s="47">
        <v>0</v>
      </c>
      <c r="AL138" s="47">
        <v>0</v>
      </c>
      <c r="AM138" s="47">
        <v>0</v>
      </c>
      <c r="AN138" s="47">
        <v>0</v>
      </c>
      <c r="AO138" s="47">
        <v>0</v>
      </c>
      <c r="AP138" s="47">
        <v>0</v>
      </c>
      <c r="AQ138" s="47">
        <v>0</v>
      </c>
      <c r="AR138" s="47">
        <v>0</v>
      </c>
      <c r="AS138" s="47">
        <v>0</v>
      </c>
      <c r="AT138" s="47">
        <v>0</v>
      </c>
      <c r="AU138" s="47">
        <v>0</v>
      </c>
      <c r="AV138" s="47">
        <v>0</v>
      </c>
      <c r="AW138" s="47">
        <v>0</v>
      </c>
      <c r="AX138" s="47">
        <v>0</v>
      </c>
      <c r="AY138" s="47">
        <v>0</v>
      </c>
      <c r="AZ138" s="47">
        <v>0</v>
      </c>
      <c r="BA138" s="47">
        <v>0</v>
      </c>
      <c r="BB138" s="47">
        <v>0</v>
      </c>
      <c r="BC138" s="47">
        <v>0</v>
      </c>
      <c r="BD138" s="47">
        <v>0</v>
      </c>
      <c r="BE138" s="47">
        <v>0</v>
      </c>
      <c r="BF138" s="47">
        <v>0</v>
      </c>
      <c r="BG138" s="47">
        <v>0</v>
      </c>
      <c r="BH138" s="47">
        <v>0</v>
      </c>
      <c r="BI138" s="47">
        <v>0</v>
      </c>
      <c r="BJ138" s="47">
        <v>0</v>
      </c>
      <c r="BK138" s="47">
        <v>0</v>
      </c>
      <c r="BL138" s="47">
        <v>0</v>
      </c>
      <c r="BM138" s="47">
        <v>0</v>
      </c>
      <c r="BN138" s="47">
        <v>0</v>
      </c>
      <c r="BO138" s="47">
        <v>0</v>
      </c>
      <c r="BP138" s="47">
        <v>0</v>
      </c>
      <c r="BQ138" s="47">
        <v>0</v>
      </c>
      <c r="BR138" s="47">
        <v>0</v>
      </c>
      <c r="BS138" s="47">
        <v>0</v>
      </c>
      <c r="BT138" s="47">
        <v>0</v>
      </c>
      <c r="BU138" s="47">
        <v>0</v>
      </c>
      <c r="BV138" s="47">
        <v>0</v>
      </c>
      <c r="BW138" s="47">
        <v>0</v>
      </c>
      <c r="BX138" s="47">
        <v>0</v>
      </c>
      <c r="BY138" s="47">
        <v>0</v>
      </c>
      <c r="BZ138" s="47">
        <v>0</v>
      </c>
      <c r="CA138" s="47">
        <v>0</v>
      </c>
      <c r="CB138" s="47">
        <v>0</v>
      </c>
      <c r="CC138" s="47">
        <v>0</v>
      </c>
      <c r="CD138" s="47">
        <v>0</v>
      </c>
      <c r="CE138" s="47">
        <v>0</v>
      </c>
      <c r="CF138" s="47">
        <v>0</v>
      </c>
      <c r="CG138" s="47">
        <v>0</v>
      </c>
      <c r="CH138" s="47">
        <v>0</v>
      </c>
      <c r="CI138" s="47">
        <v>0</v>
      </c>
      <c r="CJ138" s="47">
        <v>0</v>
      </c>
      <c r="CK138" s="47">
        <v>0</v>
      </c>
      <c r="CL138" s="47">
        <v>0</v>
      </c>
      <c r="CM138" s="47">
        <v>0</v>
      </c>
      <c r="CN138" s="47">
        <v>0</v>
      </c>
      <c r="CO138" s="47">
        <v>0</v>
      </c>
      <c r="CP138" s="47">
        <v>0</v>
      </c>
      <c r="CQ138" s="47">
        <v>0</v>
      </c>
      <c r="CR138" s="47">
        <v>0</v>
      </c>
      <c r="CS138" s="47">
        <v>0</v>
      </c>
      <c r="CT138" s="47">
        <v>0.9879</v>
      </c>
      <c r="CU138" s="47">
        <v>0.9718</v>
      </c>
      <c r="CV138" s="47">
        <v>0.0161</v>
      </c>
      <c r="CW138" s="47">
        <v>0</v>
      </c>
      <c r="CX138" s="47">
        <v>0</v>
      </c>
      <c r="CY138" s="47">
        <v>0</v>
      </c>
      <c r="CZ138" s="47">
        <v>0</v>
      </c>
      <c r="DA138" s="47">
        <v>0</v>
      </c>
      <c r="DB138" s="47">
        <v>0</v>
      </c>
      <c r="DC138" s="47">
        <v>0</v>
      </c>
      <c r="DD138" s="47">
        <v>0</v>
      </c>
      <c r="DE138" s="47">
        <v>0</v>
      </c>
      <c r="DF138" s="47">
        <v>0.0121</v>
      </c>
      <c r="DG138" s="47">
        <v>0.0121</v>
      </c>
      <c r="DH138" s="47">
        <v>0</v>
      </c>
      <c r="DI138" s="47">
        <v>0</v>
      </c>
      <c r="DJ138" s="47">
        <v>0</v>
      </c>
      <c r="DK138" s="47">
        <v>0</v>
      </c>
      <c r="DL138" s="47">
        <v>0</v>
      </c>
      <c r="DM138" s="47">
        <v>0</v>
      </c>
      <c r="DN138" s="47">
        <v>0</v>
      </c>
      <c r="DO138" s="47">
        <v>0</v>
      </c>
      <c r="DP138" s="47">
        <v>0</v>
      </c>
      <c r="DQ138" s="47">
        <v>0</v>
      </c>
      <c r="DR138" s="47">
        <v>0</v>
      </c>
    </row>
    <row r="139" spans="1:124" x14ac:dyDescent="0.25">
      <c r="A139" s="47" t="s">
        <v>789</v>
      </c>
      <c r="B139" s="47" t="s">
        <v>151</v>
      </c>
      <c r="C139" s="47" t="s">
        <v>790</v>
      </c>
      <c r="D139" s="47" t="s">
        <v>791</v>
      </c>
      <c r="E139" s="47" t="s">
        <v>792</v>
      </c>
      <c r="F139" s="47" t="s">
        <v>380</v>
      </c>
      <c r="G139" s="47" t="s">
        <v>421</v>
      </c>
      <c r="H139" s="47" t="str">
        <f>=IFERROR(VLOOKUP(A139,'ETPT Format DDG'!A:J,10,FALSE),"")</f>
        <v>0</v>
      </c>
      <c r="I139" s="47" t="str">
        <f>='ETPT Format DDG'!M139</f>
        <v/>
      </c>
      <c r="J139" s="47" t="str">
        <f>='ETPT Format DDG'!D139</f>
        <v/>
      </c>
      <c r="K139" s="47" t="s">
        <v>155</v>
      </c>
      <c r="L139" s="47" t="s">
        <v>793</v>
      </c>
      <c r="M139" s="47"/>
      <c r="N139" s="47">
        <v>1</v>
      </c>
      <c r="O139" s="47">
        <v>1</v>
      </c>
      <c r="P139" s="47">
        <v>0</v>
      </c>
      <c r="Q139" s="47">
        <v>0</v>
      </c>
      <c r="R139" s="47">
        <v>0</v>
      </c>
      <c r="S139" s="47">
        <v>0</v>
      </c>
      <c r="T139" s="47">
        <v>0</v>
      </c>
      <c r="U139" s="47">
        <v>0</v>
      </c>
      <c r="V139" s="47">
        <v>0</v>
      </c>
      <c r="W139" s="47">
        <v>0</v>
      </c>
      <c r="X139" s="47">
        <v>0</v>
      </c>
      <c r="Y139" s="47">
        <v>0</v>
      </c>
      <c r="Z139" s="47">
        <v>0</v>
      </c>
      <c r="AA139" s="47">
        <v>0</v>
      </c>
      <c r="AB139" s="47">
        <v>0</v>
      </c>
      <c r="AC139" s="47">
        <v>0</v>
      </c>
      <c r="AD139" s="47">
        <v>0</v>
      </c>
      <c r="AE139" s="47">
        <v>0</v>
      </c>
      <c r="AF139" s="47">
        <v>0</v>
      </c>
      <c r="AG139" s="47">
        <v>0</v>
      </c>
      <c r="AH139" s="47">
        <v>0</v>
      </c>
      <c r="AI139" s="47">
        <v>0</v>
      </c>
      <c r="AJ139" s="47">
        <v>0</v>
      </c>
      <c r="AK139" s="47">
        <v>0</v>
      </c>
      <c r="AL139" s="47">
        <v>0</v>
      </c>
      <c r="AM139" s="47">
        <v>0</v>
      </c>
      <c r="AN139" s="47">
        <v>0</v>
      </c>
      <c r="AO139" s="47">
        <v>0</v>
      </c>
      <c r="AP139" s="47">
        <v>0</v>
      </c>
      <c r="AQ139" s="47">
        <v>0</v>
      </c>
      <c r="AR139" s="47">
        <v>0</v>
      </c>
      <c r="AS139" s="47">
        <v>0</v>
      </c>
      <c r="AT139" s="47">
        <v>0</v>
      </c>
      <c r="AU139" s="47">
        <v>0</v>
      </c>
      <c r="AV139" s="47">
        <v>0</v>
      </c>
      <c r="AW139" s="47">
        <v>0</v>
      </c>
      <c r="AX139" s="47">
        <v>0</v>
      </c>
      <c r="AY139" s="47">
        <v>0</v>
      </c>
      <c r="AZ139" s="47">
        <v>0</v>
      </c>
      <c r="BA139" s="47">
        <v>0</v>
      </c>
      <c r="BB139" s="47">
        <v>0</v>
      </c>
      <c r="BC139" s="47">
        <v>0</v>
      </c>
      <c r="BD139" s="47">
        <v>0</v>
      </c>
      <c r="BE139" s="47">
        <v>0</v>
      </c>
      <c r="BF139" s="47">
        <v>0</v>
      </c>
      <c r="BG139" s="47">
        <v>0</v>
      </c>
      <c r="BH139" s="47">
        <v>0</v>
      </c>
      <c r="BI139" s="47">
        <v>0</v>
      </c>
      <c r="BJ139" s="47">
        <v>0</v>
      </c>
      <c r="BK139" s="47">
        <v>0</v>
      </c>
      <c r="BL139" s="47">
        <v>0</v>
      </c>
      <c r="BM139" s="47">
        <v>0</v>
      </c>
      <c r="BN139" s="47">
        <v>0</v>
      </c>
      <c r="BO139" s="47">
        <v>0</v>
      </c>
      <c r="BP139" s="47">
        <v>0</v>
      </c>
      <c r="BQ139" s="47">
        <v>0</v>
      </c>
      <c r="BR139" s="47">
        <v>0</v>
      </c>
      <c r="BS139" s="47">
        <v>0</v>
      </c>
      <c r="BT139" s="47">
        <v>0</v>
      </c>
      <c r="BU139" s="47">
        <v>0</v>
      </c>
      <c r="BV139" s="47">
        <v>0</v>
      </c>
      <c r="BW139" s="47">
        <v>0</v>
      </c>
      <c r="BX139" s="47">
        <v>0</v>
      </c>
      <c r="BY139" s="47">
        <v>0</v>
      </c>
      <c r="BZ139" s="47">
        <v>0</v>
      </c>
      <c r="CA139" s="47">
        <v>0</v>
      </c>
      <c r="CB139" s="47">
        <v>0</v>
      </c>
      <c r="CC139" s="47">
        <v>0</v>
      </c>
      <c r="CD139" s="47">
        <v>0</v>
      </c>
      <c r="CE139" s="47">
        <v>0</v>
      </c>
      <c r="CF139" s="47">
        <v>0</v>
      </c>
      <c r="CG139" s="47">
        <v>0</v>
      </c>
      <c r="CH139" s="47">
        <v>0</v>
      </c>
      <c r="CI139" s="47">
        <v>0</v>
      </c>
      <c r="CJ139" s="47">
        <v>0</v>
      </c>
      <c r="CK139" s="47">
        <v>0</v>
      </c>
      <c r="CL139" s="47">
        <v>0</v>
      </c>
      <c r="CM139" s="47">
        <v>0</v>
      </c>
      <c r="CN139" s="47">
        <v>0</v>
      </c>
      <c r="CO139" s="47">
        <v>0</v>
      </c>
      <c r="CP139" s="47">
        <v>0</v>
      </c>
      <c r="CQ139" s="47">
        <v>0</v>
      </c>
      <c r="CR139" s="47">
        <v>0</v>
      </c>
      <c r="CS139" s="47">
        <v>0</v>
      </c>
      <c r="CT139" s="47">
        <v>1</v>
      </c>
      <c r="CU139" s="47">
        <v>1</v>
      </c>
      <c r="CV139" s="47">
        <v>0</v>
      </c>
      <c r="CW139" s="47">
        <v>0</v>
      </c>
      <c r="CX139" s="47">
        <v>0</v>
      </c>
      <c r="CY139" s="47">
        <v>0</v>
      </c>
      <c r="CZ139" s="47">
        <v>0</v>
      </c>
      <c r="DA139" s="47">
        <v>0</v>
      </c>
      <c r="DB139" s="47">
        <v>0</v>
      </c>
      <c r="DC139" s="47">
        <v>0</v>
      </c>
      <c r="DD139" s="47">
        <v>0</v>
      </c>
      <c r="DE139" s="47">
        <v>0</v>
      </c>
      <c r="DF139" s="47">
        <v>0</v>
      </c>
      <c r="DG139" s="47">
        <v>0</v>
      </c>
      <c r="DH139" s="47">
        <v>0</v>
      </c>
      <c r="DI139" s="47">
        <v>0</v>
      </c>
      <c r="DJ139" s="47">
        <v>0</v>
      </c>
      <c r="DK139" s="47">
        <v>0</v>
      </c>
      <c r="DL139" s="47">
        <v>0</v>
      </c>
      <c r="DM139" s="47">
        <v>0</v>
      </c>
      <c r="DN139" s="47">
        <v>0</v>
      </c>
      <c r="DO139" s="47">
        <v>0</v>
      </c>
      <c r="DP139" s="47">
        <v>0</v>
      </c>
      <c r="DQ139" s="47">
        <v>0</v>
      </c>
      <c r="DR139" s="47">
        <v>0</v>
      </c>
    </row>
    <row r="140" spans="1:124" x14ac:dyDescent="0.25">
      <c r="A140" s="47" t="s">
        <v>794</v>
      </c>
      <c r="B140" s="47" t="s">
        <v>151</v>
      </c>
      <c r="C140" s="47" t="s">
        <v>795</v>
      </c>
      <c r="D140" s="47" t="s">
        <v>796</v>
      </c>
      <c r="E140" s="47" t="s">
        <v>797</v>
      </c>
      <c r="F140" s="47" t="s">
        <v>380</v>
      </c>
      <c r="G140" s="47" t="s">
        <v>411</v>
      </c>
      <c r="H140" s="47" t="str">
        <f>=IFERROR(VLOOKUP(A140,'ETPT Format DDG'!A:J,10,FALSE),"")</f>
        <v>0</v>
      </c>
      <c r="I140" s="47" t="str">
        <f>='ETPT Format DDG'!M140</f>
        <v/>
      </c>
      <c r="J140" s="47" t="str">
        <f>='ETPT Format DDG'!D140</f>
        <v/>
      </c>
      <c r="K140" s="47" t="s">
        <v>155</v>
      </c>
      <c r="L140" s="47" t="s">
        <v>798</v>
      </c>
      <c r="M140" s="47"/>
      <c r="N140" s="47">
        <v>1</v>
      </c>
      <c r="O140" s="47">
        <v>0</v>
      </c>
      <c r="P140" s="47">
        <v>0</v>
      </c>
      <c r="Q140" s="47">
        <v>0</v>
      </c>
      <c r="R140" s="47">
        <v>0</v>
      </c>
      <c r="S140" s="47">
        <v>0</v>
      </c>
      <c r="T140" s="47">
        <v>0</v>
      </c>
      <c r="U140" s="47">
        <v>0</v>
      </c>
      <c r="V140" s="47">
        <v>0</v>
      </c>
      <c r="W140" s="47">
        <v>0</v>
      </c>
      <c r="X140" s="47">
        <v>0</v>
      </c>
      <c r="Y140" s="47">
        <v>0</v>
      </c>
      <c r="Z140" s="47">
        <v>0</v>
      </c>
      <c r="AA140" s="47">
        <v>0</v>
      </c>
      <c r="AB140" s="47">
        <v>0</v>
      </c>
      <c r="AC140" s="47">
        <v>0</v>
      </c>
      <c r="AD140" s="47">
        <v>0</v>
      </c>
      <c r="AE140" s="47">
        <v>0</v>
      </c>
      <c r="AF140" s="47">
        <v>0</v>
      </c>
      <c r="AG140" s="47">
        <v>0</v>
      </c>
      <c r="AH140" s="47">
        <v>0</v>
      </c>
      <c r="AI140" s="47">
        <v>0</v>
      </c>
      <c r="AJ140" s="47">
        <v>0</v>
      </c>
      <c r="AK140" s="47">
        <v>0</v>
      </c>
      <c r="AL140" s="47">
        <v>0</v>
      </c>
      <c r="AM140" s="47">
        <v>0</v>
      </c>
      <c r="AN140" s="47">
        <v>0</v>
      </c>
      <c r="AO140" s="47">
        <v>0</v>
      </c>
      <c r="AP140" s="47">
        <v>0</v>
      </c>
      <c r="AQ140" s="47">
        <v>0</v>
      </c>
      <c r="AR140" s="47">
        <v>0</v>
      </c>
      <c r="AS140" s="47">
        <v>0</v>
      </c>
      <c r="AT140" s="47">
        <v>0</v>
      </c>
      <c r="AU140" s="47">
        <v>0</v>
      </c>
      <c r="AV140" s="47">
        <v>0</v>
      </c>
      <c r="AW140" s="47">
        <v>0</v>
      </c>
      <c r="AX140" s="47">
        <v>0</v>
      </c>
      <c r="AY140" s="47">
        <v>0</v>
      </c>
      <c r="AZ140" s="47">
        <v>0</v>
      </c>
      <c r="BA140" s="47">
        <v>0</v>
      </c>
      <c r="BB140" s="47">
        <v>0</v>
      </c>
      <c r="BC140" s="47">
        <v>0</v>
      </c>
      <c r="BD140" s="47">
        <v>0</v>
      </c>
      <c r="BE140" s="47">
        <v>0</v>
      </c>
      <c r="BF140" s="47">
        <v>0</v>
      </c>
      <c r="BG140" s="47">
        <v>0</v>
      </c>
      <c r="BH140" s="47">
        <v>0</v>
      </c>
      <c r="BI140" s="47">
        <v>0</v>
      </c>
      <c r="BJ140" s="47">
        <v>0</v>
      </c>
      <c r="BK140" s="47">
        <v>0</v>
      </c>
      <c r="BL140" s="47">
        <v>0</v>
      </c>
      <c r="BM140" s="47">
        <v>0</v>
      </c>
      <c r="BN140" s="47">
        <v>0</v>
      </c>
      <c r="BO140" s="47">
        <v>0</v>
      </c>
      <c r="BP140" s="47">
        <v>0</v>
      </c>
      <c r="BQ140" s="47">
        <v>0</v>
      </c>
      <c r="BR140" s="47">
        <v>0</v>
      </c>
      <c r="BS140" s="47">
        <v>0</v>
      </c>
      <c r="BT140" s="47">
        <v>0</v>
      </c>
      <c r="BU140" s="47">
        <v>0</v>
      </c>
      <c r="BV140" s="47">
        <v>0</v>
      </c>
      <c r="BW140" s="47">
        <v>0</v>
      </c>
      <c r="BX140" s="47">
        <v>0</v>
      </c>
      <c r="BY140" s="47">
        <v>0</v>
      </c>
      <c r="BZ140" s="47">
        <v>0</v>
      </c>
      <c r="CA140" s="47">
        <v>0</v>
      </c>
      <c r="CB140" s="47">
        <v>0</v>
      </c>
      <c r="CC140" s="47">
        <v>0</v>
      </c>
      <c r="CD140" s="47">
        <v>0</v>
      </c>
      <c r="CE140" s="47">
        <v>0</v>
      </c>
      <c r="CF140" s="47">
        <v>0</v>
      </c>
      <c r="CG140" s="47">
        <v>0</v>
      </c>
      <c r="CH140" s="47">
        <v>0</v>
      </c>
      <c r="CI140" s="47">
        <v>0</v>
      </c>
      <c r="CJ140" s="47">
        <v>0</v>
      </c>
      <c r="CK140" s="47">
        <v>0</v>
      </c>
      <c r="CL140" s="47">
        <v>0</v>
      </c>
      <c r="CM140" s="47">
        <v>0</v>
      </c>
      <c r="CN140" s="47">
        <v>0</v>
      </c>
      <c r="CO140" s="47">
        <v>0</v>
      </c>
      <c r="CP140" s="47">
        <v>0</v>
      </c>
      <c r="CQ140" s="47">
        <v>0</v>
      </c>
      <c r="CR140" s="47">
        <v>0</v>
      </c>
      <c r="CS140" s="47">
        <v>0</v>
      </c>
      <c r="CT140" s="47">
        <v>0</v>
      </c>
      <c r="CU140" s="47">
        <v>0</v>
      </c>
      <c r="CV140" s="47">
        <v>0</v>
      </c>
      <c r="CW140" s="47">
        <v>0</v>
      </c>
      <c r="CX140" s="47">
        <v>0</v>
      </c>
      <c r="CY140" s="47">
        <v>0</v>
      </c>
      <c r="CZ140" s="47">
        <v>0</v>
      </c>
      <c r="DA140" s="47">
        <v>0</v>
      </c>
      <c r="DB140" s="47">
        <v>0</v>
      </c>
      <c r="DC140" s="47">
        <v>0</v>
      </c>
      <c r="DD140" s="47">
        <v>0</v>
      </c>
      <c r="DE140" s="47">
        <v>0</v>
      </c>
      <c r="DF140" s="47">
        <v>0</v>
      </c>
      <c r="DG140" s="47">
        <v>0</v>
      </c>
      <c r="DH140" s="47">
        <v>0</v>
      </c>
      <c r="DI140" s="47">
        <v>0</v>
      </c>
      <c r="DJ140" s="47">
        <v>0</v>
      </c>
      <c r="DK140" s="47">
        <v>0</v>
      </c>
      <c r="DL140" s="47">
        <v>0</v>
      </c>
      <c r="DM140" s="47">
        <v>0</v>
      </c>
      <c r="DN140" s="47">
        <v>0</v>
      </c>
      <c r="DO140" s="47">
        <v>0</v>
      </c>
      <c r="DP140" s="47">
        <v>0</v>
      </c>
      <c r="DQ140" s="47">
        <v>0</v>
      </c>
      <c r="DR140" s="47">
        <v>0</v>
      </c>
    </row>
    <row r="141" spans="1:124" x14ac:dyDescent="0.25">
      <c r="A141" s="47" t="s">
        <v>799</v>
      </c>
      <c r="B141" s="47" t="s">
        <v>151</v>
      </c>
      <c r="C141" s="47" t="s">
        <v>800</v>
      </c>
      <c r="D141" s="47" t="s">
        <v>801</v>
      </c>
      <c r="E141" s="47" t="s">
        <v>802</v>
      </c>
      <c r="F141" s="47" t="s">
        <v>380</v>
      </c>
      <c r="G141" s="47" t="s">
        <v>381</v>
      </c>
      <c r="H141" s="47" t="str">
        <f>=IFERROR(VLOOKUP(A141,'ETPT Format DDG'!A:J,10,FALSE),"")</f>
        <v>0</v>
      </c>
      <c r="I141" s="47" t="str">
        <f>='ETPT Format DDG'!M141</f>
        <v/>
      </c>
      <c r="J141" s="47" t="str">
        <f>='ETPT Format DDG'!D141</f>
        <v/>
      </c>
      <c r="K141" s="47" t="s">
        <v>155</v>
      </c>
      <c r="L141" s="47" t="s">
        <v>803</v>
      </c>
      <c r="M141" s="47"/>
      <c r="N141" s="47">
        <v>1</v>
      </c>
      <c r="O141" s="47">
        <v>0</v>
      </c>
      <c r="P141" s="47">
        <v>0</v>
      </c>
      <c r="Q141" s="47">
        <v>0</v>
      </c>
      <c r="R141" s="47">
        <v>0</v>
      </c>
      <c r="S141" s="47">
        <v>0</v>
      </c>
      <c r="T141" s="47">
        <v>0</v>
      </c>
      <c r="U141" s="47">
        <v>0</v>
      </c>
      <c r="V141" s="47">
        <v>0</v>
      </c>
      <c r="W141" s="47">
        <v>0</v>
      </c>
      <c r="X141" s="47">
        <v>0</v>
      </c>
      <c r="Y141" s="47">
        <v>0</v>
      </c>
      <c r="Z141" s="47">
        <v>0</v>
      </c>
      <c r="AA141" s="47">
        <v>0</v>
      </c>
      <c r="AB141" s="47">
        <v>0</v>
      </c>
      <c r="AC141" s="47">
        <v>0</v>
      </c>
      <c r="AD141" s="47">
        <v>0</v>
      </c>
      <c r="AE141" s="47">
        <v>0</v>
      </c>
      <c r="AF141" s="47">
        <v>0</v>
      </c>
      <c r="AG141" s="47">
        <v>0</v>
      </c>
      <c r="AH141" s="47">
        <v>0</v>
      </c>
      <c r="AI141" s="47">
        <v>0</v>
      </c>
      <c r="AJ141" s="47">
        <v>0</v>
      </c>
      <c r="AK141" s="47">
        <v>0</v>
      </c>
      <c r="AL141" s="47">
        <v>0</v>
      </c>
      <c r="AM141" s="47">
        <v>0</v>
      </c>
      <c r="AN141" s="47">
        <v>0</v>
      </c>
      <c r="AO141" s="47">
        <v>0</v>
      </c>
      <c r="AP141" s="47">
        <v>0</v>
      </c>
      <c r="AQ141" s="47">
        <v>0</v>
      </c>
      <c r="AR141" s="47">
        <v>0</v>
      </c>
      <c r="AS141" s="47">
        <v>0</v>
      </c>
      <c r="AT141" s="47">
        <v>0</v>
      </c>
      <c r="AU141" s="47">
        <v>0</v>
      </c>
      <c r="AV141" s="47">
        <v>0</v>
      </c>
      <c r="AW141" s="47">
        <v>0</v>
      </c>
      <c r="AX141" s="47">
        <v>0</v>
      </c>
      <c r="AY141" s="47">
        <v>0</v>
      </c>
      <c r="AZ141" s="47">
        <v>0</v>
      </c>
      <c r="BA141" s="47">
        <v>0</v>
      </c>
      <c r="BB141" s="47">
        <v>0</v>
      </c>
      <c r="BC141" s="47">
        <v>0</v>
      </c>
      <c r="BD141" s="47">
        <v>0</v>
      </c>
      <c r="BE141" s="47">
        <v>0</v>
      </c>
      <c r="BF141" s="47">
        <v>0</v>
      </c>
      <c r="BG141" s="47">
        <v>0</v>
      </c>
      <c r="BH141" s="47">
        <v>0</v>
      </c>
      <c r="BI141" s="47">
        <v>0</v>
      </c>
      <c r="BJ141" s="47">
        <v>0</v>
      </c>
      <c r="BK141" s="47">
        <v>0</v>
      </c>
      <c r="BL141" s="47">
        <v>0</v>
      </c>
      <c r="BM141" s="47">
        <v>0</v>
      </c>
      <c r="BN141" s="47">
        <v>0</v>
      </c>
      <c r="BO141" s="47">
        <v>0</v>
      </c>
      <c r="BP141" s="47">
        <v>0</v>
      </c>
      <c r="BQ141" s="47">
        <v>0</v>
      </c>
      <c r="BR141" s="47">
        <v>0</v>
      </c>
      <c r="BS141" s="47">
        <v>0</v>
      </c>
      <c r="BT141" s="47">
        <v>0</v>
      </c>
      <c r="BU141" s="47">
        <v>0</v>
      </c>
      <c r="BV141" s="47">
        <v>0</v>
      </c>
      <c r="BW141" s="47">
        <v>0</v>
      </c>
      <c r="BX141" s="47">
        <v>0</v>
      </c>
      <c r="BY141" s="47">
        <v>0</v>
      </c>
      <c r="BZ141" s="47">
        <v>0</v>
      </c>
      <c r="CA141" s="47">
        <v>0</v>
      </c>
      <c r="CB141" s="47">
        <v>0</v>
      </c>
      <c r="CC141" s="47">
        <v>0</v>
      </c>
      <c r="CD141" s="47">
        <v>0</v>
      </c>
      <c r="CE141" s="47">
        <v>0</v>
      </c>
      <c r="CF141" s="47">
        <v>0</v>
      </c>
      <c r="CG141" s="47">
        <v>0</v>
      </c>
      <c r="CH141" s="47">
        <v>0</v>
      </c>
      <c r="CI141" s="47">
        <v>0</v>
      </c>
      <c r="CJ141" s="47">
        <v>0</v>
      </c>
      <c r="CK141" s="47">
        <v>0</v>
      </c>
      <c r="CL141" s="47">
        <v>0</v>
      </c>
      <c r="CM141" s="47">
        <v>0</v>
      </c>
      <c r="CN141" s="47">
        <v>0</v>
      </c>
      <c r="CO141" s="47">
        <v>0</v>
      </c>
      <c r="CP141" s="47">
        <v>0</v>
      </c>
      <c r="CQ141" s="47">
        <v>0</v>
      </c>
      <c r="CR141" s="47">
        <v>0</v>
      </c>
      <c r="CS141" s="47">
        <v>0</v>
      </c>
      <c r="CT141" s="47">
        <v>0</v>
      </c>
      <c r="CU141" s="47">
        <v>0</v>
      </c>
      <c r="CV141" s="47">
        <v>0</v>
      </c>
      <c r="CW141" s="47">
        <v>0</v>
      </c>
      <c r="CX141" s="47">
        <v>0</v>
      </c>
      <c r="CY141" s="47">
        <v>0</v>
      </c>
      <c r="CZ141" s="47">
        <v>0</v>
      </c>
      <c r="DA141" s="47">
        <v>0</v>
      </c>
      <c r="DB141" s="47">
        <v>0</v>
      </c>
      <c r="DC141" s="47">
        <v>0</v>
      </c>
      <c r="DD141" s="47">
        <v>0</v>
      </c>
      <c r="DE141" s="47">
        <v>0</v>
      </c>
      <c r="DF141" s="47">
        <v>0</v>
      </c>
      <c r="DG141" s="47">
        <v>0</v>
      </c>
      <c r="DH141" s="47">
        <v>0</v>
      </c>
      <c r="DI141" s="47">
        <v>0</v>
      </c>
      <c r="DJ141" s="47">
        <v>0</v>
      </c>
      <c r="DK141" s="47">
        <v>0</v>
      </c>
      <c r="DL141" s="47">
        <v>0</v>
      </c>
      <c r="DM141" s="47">
        <v>0</v>
      </c>
      <c r="DN141" s="47">
        <v>0</v>
      </c>
      <c r="DO141" s="47">
        <v>0</v>
      </c>
      <c r="DP141" s="47">
        <v>0</v>
      </c>
      <c r="DQ141" s="47">
        <v>0</v>
      </c>
      <c r="DR141" s="47">
        <v>0</v>
      </c>
    </row>
    <row r="142" spans="1:124" x14ac:dyDescent="0.25">
      <c r="A142" s="47" t="s">
        <v>804</v>
      </c>
      <c r="B142" s="47" t="s">
        <v>151</v>
      </c>
      <c r="C142" s="47" t="s">
        <v>805</v>
      </c>
      <c r="D142" s="47" t="s">
        <v>806</v>
      </c>
      <c r="E142" s="47" t="s">
        <v>807</v>
      </c>
      <c r="F142" s="47" t="s">
        <v>380</v>
      </c>
      <c r="G142" s="47" t="s">
        <v>411</v>
      </c>
      <c r="H142" s="47" t="str">
        <f>=IFERROR(VLOOKUP(A142,'ETPT Format DDG'!A:J,10,FALSE),"")</f>
        <v>0</v>
      </c>
      <c r="I142" s="47" t="str">
        <f>='ETPT Format DDG'!M142</f>
        <v/>
      </c>
      <c r="J142" s="47" t="str">
        <f>='ETPT Format DDG'!D142</f>
        <v/>
      </c>
      <c r="K142" s="47" t="s">
        <v>155</v>
      </c>
      <c r="L142" s="47" t="s">
        <v>808</v>
      </c>
      <c r="M142" s="47"/>
      <c r="N142" s="47">
        <v>1</v>
      </c>
      <c r="O142" s="47">
        <v>0</v>
      </c>
      <c r="P142" s="47">
        <v>0</v>
      </c>
      <c r="Q142" s="47">
        <v>0</v>
      </c>
      <c r="R142" s="47">
        <v>0</v>
      </c>
      <c r="S142" s="47">
        <v>0</v>
      </c>
      <c r="T142" s="47">
        <v>0</v>
      </c>
      <c r="U142" s="47">
        <v>0</v>
      </c>
      <c r="V142" s="47">
        <v>0</v>
      </c>
      <c r="W142" s="47">
        <v>0</v>
      </c>
      <c r="X142" s="47">
        <v>0</v>
      </c>
      <c r="Y142" s="47">
        <v>0</v>
      </c>
      <c r="Z142" s="47">
        <v>0</v>
      </c>
      <c r="AA142" s="47">
        <v>0</v>
      </c>
      <c r="AB142" s="47">
        <v>0</v>
      </c>
      <c r="AC142" s="47">
        <v>0</v>
      </c>
      <c r="AD142" s="47">
        <v>0</v>
      </c>
      <c r="AE142" s="47">
        <v>0</v>
      </c>
      <c r="AF142" s="47">
        <v>0</v>
      </c>
      <c r="AG142" s="47">
        <v>0</v>
      </c>
      <c r="AH142" s="47">
        <v>0</v>
      </c>
      <c r="AI142" s="47">
        <v>0</v>
      </c>
      <c r="AJ142" s="47">
        <v>0</v>
      </c>
      <c r="AK142" s="47">
        <v>0</v>
      </c>
      <c r="AL142" s="47">
        <v>0</v>
      </c>
      <c r="AM142" s="47">
        <v>0</v>
      </c>
      <c r="AN142" s="47">
        <v>0</v>
      </c>
      <c r="AO142" s="47">
        <v>0</v>
      </c>
      <c r="AP142" s="47">
        <v>0</v>
      </c>
      <c r="AQ142" s="47">
        <v>0</v>
      </c>
      <c r="AR142" s="47">
        <v>0</v>
      </c>
      <c r="AS142" s="47">
        <v>0</v>
      </c>
      <c r="AT142" s="47">
        <v>0</v>
      </c>
      <c r="AU142" s="47">
        <v>0</v>
      </c>
      <c r="AV142" s="47">
        <v>0</v>
      </c>
      <c r="AW142" s="47">
        <v>0</v>
      </c>
      <c r="AX142" s="47">
        <v>0</v>
      </c>
      <c r="AY142" s="47">
        <v>0</v>
      </c>
      <c r="AZ142" s="47">
        <v>0</v>
      </c>
      <c r="BA142" s="47">
        <v>0</v>
      </c>
      <c r="BB142" s="47">
        <v>0</v>
      </c>
      <c r="BC142" s="47">
        <v>0</v>
      </c>
      <c r="BD142" s="47">
        <v>0</v>
      </c>
      <c r="BE142" s="47">
        <v>0</v>
      </c>
      <c r="BF142" s="47">
        <v>0</v>
      </c>
      <c r="BG142" s="47">
        <v>0</v>
      </c>
      <c r="BH142" s="47">
        <v>0</v>
      </c>
      <c r="BI142" s="47">
        <v>0</v>
      </c>
      <c r="BJ142" s="47">
        <v>0</v>
      </c>
      <c r="BK142" s="47">
        <v>0</v>
      </c>
      <c r="BL142" s="47">
        <v>0</v>
      </c>
      <c r="BM142" s="47">
        <v>0</v>
      </c>
      <c r="BN142" s="47">
        <v>0</v>
      </c>
      <c r="BO142" s="47">
        <v>0</v>
      </c>
      <c r="BP142" s="47">
        <v>0</v>
      </c>
      <c r="BQ142" s="47">
        <v>0</v>
      </c>
      <c r="BR142" s="47">
        <v>0</v>
      </c>
      <c r="BS142" s="47">
        <v>0</v>
      </c>
      <c r="BT142" s="47">
        <v>0</v>
      </c>
      <c r="BU142" s="47">
        <v>0</v>
      </c>
      <c r="BV142" s="47">
        <v>0</v>
      </c>
      <c r="BW142" s="47">
        <v>0</v>
      </c>
      <c r="BX142" s="47">
        <v>0</v>
      </c>
      <c r="BY142" s="47">
        <v>0</v>
      </c>
      <c r="BZ142" s="47">
        <v>0</v>
      </c>
      <c r="CA142" s="47">
        <v>0</v>
      </c>
      <c r="CB142" s="47">
        <v>0</v>
      </c>
      <c r="CC142" s="47">
        <v>0</v>
      </c>
      <c r="CD142" s="47">
        <v>0</v>
      </c>
      <c r="CE142" s="47">
        <v>0</v>
      </c>
      <c r="CF142" s="47">
        <v>0</v>
      </c>
      <c r="CG142" s="47">
        <v>0</v>
      </c>
      <c r="CH142" s="47">
        <v>0</v>
      </c>
      <c r="CI142" s="47">
        <v>0</v>
      </c>
      <c r="CJ142" s="47">
        <v>0</v>
      </c>
      <c r="CK142" s="47">
        <v>0</v>
      </c>
      <c r="CL142" s="47">
        <v>0</v>
      </c>
      <c r="CM142" s="47">
        <v>0</v>
      </c>
      <c r="CN142" s="47">
        <v>0</v>
      </c>
      <c r="CO142" s="47">
        <v>0</v>
      </c>
      <c r="CP142" s="47">
        <v>0</v>
      </c>
      <c r="CQ142" s="47">
        <v>0</v>
      </c>
      <c r="CR142" s="47">
        <v>0</v>
      </c>
      <c r="CS142" s="47">
        <v>0</v>
      </c>
      <c r="CT142" s="47">
        <v>0</v>
      </c>
      <c r="CU142" s="47">
        <v>0</v>
      </c>
      <c r="CV142" s="47">
        <v>0</v>
      </c>
      <c r="CW142" s="47">
        <v>0</v>
      </c>
      <c r="CX142" s="47">
        <v>0</v>
      </c>
      <c r="CY142" s="47">
        <v>0</v>
      </c>
      <c r="CZ142" s="47">
        <v>0</v>
      </c>
      <c r="DA142" s="47">
        <v>0</v>
      </c>
      <c r="DB142" s="47">
        <v>0</v>
      </c>
      <c r="DC142" s="47">
        <v>0</v>
      </c>
      <c r="DD142" s="47">
        <v>0</v>
      </c>
      <c r="DE142" s="47">
        <v>0</v>
      </c>
      <c r="DF142" s="47">
        <v>0</v>
      </c>
      <c r="DG142" s="47">
        <v>0</v>
      </c>
      <c r="DH142" s="47">
        <v>0</v>
      </c>
      <c r="DI142" s="47">
        <v>0</v>
      </c>
      <c r="DJ142" s="47">
        <v>0</v>
      </c>
      <c r="DK142" s="47">
        <v>0</v>
      </c>
      <c r="DL142" s="47">
        <v>0</v>
      </c>
      <c r="DM142" s="47">
        <v>0</v>
      </c>
      <c r="DN142" s="47">
        <v>0</v>
      </c>
      <c r="DO142" s="47">
        <v>0</v>
      </c>
      <c r="DP142" s="47">
        <v>0</v>
      </c>
      <c r="DQ142" s="47">
        <v>0</v>
      </c>
      <c r="DR142" s="47">
        <v>0</v>
      </c>
    </row>
    <row r="143" spans="1:124" x14ac:dyDescent="0.25">
      <c r="A143" s="47" t="s">
        <v>809</v>
      </c>
      <c r="B143" s="47" t="s">
        <v>151</v>
      </c>
      <c r="C143" s="47" t="s">
        <v>810</v>
      </c>
      <c r="D143" s="47" t="s">
        <v>811</v>
      </c>
      <c r="E143" s="47" t="s">
        <v>812</v>
      </c>
      <c r="F143" s="47" t="s">
        <v>380</v>
      </c>
      <c r="G143" s="47" t="s">
        <v>381</v>
      </c>
      <c r="H143" s="47" t="str">
        <f>=IFERROR(VLOOKUP(A143,'ETPT Format DDG'!A:J,10,FALSE),"")</f>
        <v>0</v>
      </c>
      <c r="I143" s="47" t="str">
        <f>='ETPT Format DDG'!M143</f>
        <v/>
      </c>
      <c r="J143" s="47" t="str">
        <f>='ETPT Format DDG'!D143</f>
        <v/>
      </c>
      <c r="K143" s="47" t="s">
        <v>155</v>
      </c>
      <c r="L143" s="47" t="s">
        <v>533</v>
      </c>
      <c r="M143" s="47"/>
      <c r="N143" s="47">
        <v>1</v>
      </c>
      <c r="O143" s="47">
        <v>0</v>
      </c>
      <c r="P143" s="47">
        <v>0</v>
      </c>
      <c r="Q143" s="47">
        <v>0</v>
      </c>
      <c r="R143" s="47">
        <v>0</v>
      </c>
      <c r="S143" s="47">
        <v>0</v>
      </c>
      <c r="T143" s="47">
        <v>0</v>
      </c>
      <c r="U143" s="47">
        <v>0</v>
      </c>
      <c r="V143" s="47">
        <v>0</v>
      </c>
      <c r="W143" s="47">
        <v>0</v>
      </c>
      <c r="X143" s="47">
        <v>0</v>
      </c>
      <c r="Y143" s="47">
        <v>0</v>
      </c>
      <c r="Z143" s="47">
        <v>0</v>
      </c>
      <c r="AA143" s="47">
        <v>0</v>
      </c>
      <c r="AB143" s="47">
        <v>0</v>
      </c>
      <c r="AC143" s="47">
        <v>0</v>
      </c>
      <c r="AD143" s="47">
        <v>0</v>
      </c>
      <c r="AE143" s="47">
        <v>0</v>
      </c>
      <c r="AF143" s="47">
        <v>0</v>
      </c>
      <c r="AG143" s="47">
        <v>0</v>
      </c>
      <c r="AH143" s="47">
        <v>0</v>
      </c>
      <c r="AI143" s="47">
        <v>0</v>
      </c>
      <c r="AJ143" s="47">
        <v>0</v>
      </c>
      <c r="AK143" s="47">
        <v>0</v>
      </c>
      <c r="AL143" s="47">
        <v>0</v>
      </c>
      <c r="AM143" s="47">
        <v>0</v>
      </c>
      <c r="AN143" s="47">
        <v>0</v>
      </c>
      <c r="AO143" s="47">
        <v>0</v>
      </c>
      <c r="AP143" s="47">
        <v>0</v>
      </c>
      <c r="AQ143" s="47">
        <v>0</v>
      </c>
      <c r="AR143" s="47">
        <v>0</v>
      </c>
      <c r="AS143" s="47">
        <v>0</v>
      </c>
      <c r="AT143" s="47">
        <v>0</v>
      </c>
      <c r="AU143" s="47">
        <v>0</v>
      </c>
      <c r="AV143" s="47">
        <v>0</v>
      </c>
      <c r="AW143" s="47">
        <v>0</v>
      </c>
      <c r="AX143" s="47">
        <v>0</v>
      </c>
      <c r="AY143" s="47">
        <v>0</v>
      </c>
      <c r="AZ143" s="47">
        <v>0</v>
      </c>
      <c r="BA143" s="47">
        <v>0</v>
      </c>
      <c r="BB143" s="47">
        <v>0</v>
      </c>
      <c r="BC143" s="47">
        <v>0</v>
      </c>
      <c r="BD143" s="47">
        <v>0</v>
      </c>
      <c r="BE143" s="47">
        <v>0</v>
      </c>
      <c r="BF143" s="47">
        <v>0</v>
      </c>
      <c r="BG143" s="47">
        <v>0</v>
      </c>
      <c r="BH143" s="47">
        <v>0</v>
      </c>
      <c r="BI143" s="47">
        <v>0</v>
      </c>
      <c r="BJ143" s="47">
        <v>0</v>
      </c>
      <c r="BK143" s="47">
        <v>0</v>
      </c>
      <c r="BL143" s="47">
        <v>0</v>
      </c>
      <c r="BM143" s="47">
        <v>0</v>
      </c>
      <c r="BN143" s="47">
        <v>0</v>
      </c>
      <c r="BO143" s="47">
        <v>0</v>
      </c>
      <c r="BP143" s="47">
        <v>0</v>
      </c>
      <c r="BQ143" s="47">
        <v>0</v>
      </c>
      <c r="BR143" s="47">
        <v>0</v>
      </c>
      <c r="BS143" s="47">
        <v>0</v>
      </c>
      <c r="BT143" s="47">
        <v>0</v>
      </c>
      <c r="BU143" s="47">
        <v>0</v>
      </c>
      <c r="BV143" s="47">
        <v>0</v>
      </c>
      <c r="BW143" s="47">
        <v>0</v>
      </c>
      <c r="BX143" s="47">
        <v>0</v>
      </c>
      <c r="BY143" s="47">
        <v>0</v>
      </c>
      <c r="BZ143" s="47">
        <v>0</v>
      </c>
      <c r="CA143" s="47">
        <v>0</v>
      </c>
      <c r="CB143" s="47">
        <v>0</v>
      </c>
      <c r="CC143" s="47">
        <v>0</v>
      </c>
      <c r="CD143" s="47">
        <v>0</v>
      </c>
      <c r="CE143" s="47">
        <v>0</v>
      </c>
      <c r="CF143" s="47">
        <v>0</v>
      </c>
      <c r="CG143" s="47">
        <v>0</v>
      </c>
      <c r="CH143" s="47">
        <v>0</v>
      </c>
      <c r="CI143" s="47">
        <v>0</v>
      </c>
      <c r="CJ143" s="47">
        <v>0</v>
      </c>
      <c r="CK143" s="47">
        <v>0</v>
      </c>
      <c r="CL143" s="47">
        <v>0</v>
      </c>
      <c r="CM143" s="47">
        <v>0</v>
      </c>
      <c r="CN143" s="47">
        <v>0</v>
      </c>
      <c r="CO143" s="47">
        <v>0</v>
      </c>
      <c r="CP143" s="47">
        <v>0</v>
      </c>
      <c r="CQ143" s="47">
        <v>0</v>
      </c>
      <c r="CR143" s="47">
        <v>0</v>
      </c>
      <c r="CS143" s="47">
        <v>0</v>
      </c>
      <c r="CT143" s="47">
        <v>0</v>
      </c>
      <c r="CU143" s="47">
        <v>0</v>
      </c>
      <c r="CV143" s="47">
        <v>0</v>
      </c>
      <c r="CW143" s="47">
        <v>0</v>
      </c>
      <c r="CX143" s="47">
        <v>0</v>
      </c>
      <c r="CY143" s="47">
        <v>0</v>
      </c>
      <c r="CZ143" s="47">
        <v>0</v>
      </c>
      <c r="DA143" s="47">
        <v>0</v>
      </c>
      <c r="DB143" s="47">
        <v>0</v>
      </c>
      <c r="DC143" s="47">
        <v>0</v>
      </c>
      <c r="DD143" s="47">
        <v>0</v>
      </c>
      <c r="DE143" s="47">
        <v>0</v>
      </c>
      <c r="DF143" s="47">
        <v>0</v>
      </c>
      <c r="DG143" s="47">
        <v>0</v>
      </c>
      <c r="DH143" s="47">
        <v>0</v>
      </c>
      <c r="DI143" s="47">
        <v>0</v>
      </c>
      <c r="DJ143" s="47">
        <v>0</v>
      </c>
      <c r="DK143" s="47">
        <v>0</v>
      </c>
      <c r="DL143" s="47">
        <v>0</v>
      </c>
      <c r="DM143" s="47">
        <v>0</v>
      </c>
      <c r="DN143" s="47">
        <v>0</v>
      </c>
      <c r="DO143" s="47">
        <v>0</v>
      </c>
      <c r="DP143" s="47">
        <v>0</v>
      </c>
      <c r="DQ143" s="47">
        <v>0</v>
      </c>
      <c r="DR143" s="47">
        <v>0</v>
      </c>
    </row>
    <row r="144" spans="1:124" x14ac:dyDescent="0.25">
      <c r="A144" s="47" t="s">
        <v>813</v>
      </c>
      <c r="B144" s="47" t="s">
        <v>151</v>
      </c>
      <c r="C144" s="47" t="s">
        <v>814</v>
      </c>
      <c r="D144" s="47" t="s">
        <v>815</v>
      </c>
      <c r="E144" s="47" t="s">
        <v>816</v>
      </c>
      <c r="F144" s="47" t="s">
        <v>380</v>
      </c>
      <c r="G144" s="47" t="s">
        <v>714</v>
      </c>
      <c r="H144" s="47" t="str">
        <f>=IFERROR(VLOOKUP(A144,'ETPT Format DDG'!A:J,10,FALSE),"")</f>
        <v>0</v>
      </c>
      <c r="I144" s="47" t="str">
        <f>='ETPT Format DDG'!M144</f>
        <v/>
      </c>
      <c r="J144" s="47" t="str">
        <f>='ETPT Format DDG'!D144</f>
        <v/>
      </c>
      <c r="K144" s="47" t="s">
        <v>155</v>
      </c>
      <c r="L144" s="47" t="s">
        <v>766</v>
      </c>
      <c r="M144" s="47"/>
      <c r="N144" s="47">
        <v>0.9798</v>
      </c>
      <c r="O144" s="47">
        <v>0.9798</v>
      </c>
      <c r="P144" s="47">
        <v>0</v>
      </c>
      <c r="Q144" s="47">
        <v>0</v>
      </c>
      <c r="R144" s="47">
        <v>0</v>
      </c>
      <c r="S144" s="47">
        <v>0</v>
      </c>
      <c r="T144" s="47">
        <v>0</v>
      </c>
      <c r="U144" s="47">
        <v>0</v>
      </c>
      <c r="V144" s="47">
        <v>0</v>
      </c>
      <c r="W144" s="47">
        <v>0</v>
      </c>
      <c r="X144" s="47">
        <v>0</v>
      </c>
      <c r="Y144" s="47">
        <v>0</v>
      </c>
      <c r="Z144" s="47">
        <v>0</v>
      </c>
      <c r="AA144" s="47">
        <v>0</v>
      </c>
      <c r="AB144" s="47">
        <v>0</v>
      </c>
      <c r="AC144" s="47">
        <v>0</v>
      </c>
      <c r="AD144" s="47">
        <v>0</v>
      </c>
      <c r="AE144" s="47">
        <v>0</v>
      </c>
      <c r="AF144" s="47">
        <v>0</v>
      </c>
      <c r="AG144" s="47">
        <v>0</v>
      </c>
      <c r="AH144" s="47">
        <v>0</v>
      </c>
      <c r="AI144" s="47">
        <v>0</v>
      </c>
      <c r="AJ144" s="47">
        <v>0</v>
      </c>
      <c r="AK144" s="47">
        <v>0</v>
      </c>
      <c r="AL144" s="47">
        <v>0</v>
      </c>
      <c r="AM144" s="47">
        <v>0</v>
      </c>
      <c r="AN144" s="47">
        <v>0</v>
      </c>
      <c r="AO144" s="47">
        <v>0</v>
      </c>
      <c r="AP144" s="47">
        <v>0</v>
      </c>
      <c r="AQ144" s="47">
        <v>0</v>
      </c>
      <c r="AR144" s="47">
        <v>0</v>
      </c>
      <c r="AS144" s="47">
        <v>0</v>
      </c>
      <c r="AT144" s="47">
        <v>0</v>
      </c>
      <c r="AU144" s="47">
        <v>0</v>
      </c>
      <c r="AV144" s="47">
        <v>0</v>
      </c>
      <c r="AW144" s="47">
        <v>0</v>
      </c>
      <c r="AX144" s="47">
        <v>0</v>
      </c>
      <c r="AY144" s="47">
        <v>0</v>
      </c>
      <c r="AZ144" s="47">
        <v>0</v>
      </c>
      <c r="BA144" s="47">
        <v>0</v>
      </c>
      <c r="BB144" s="47">
        <v>0</v>
      </c>
      <c r="BC144" s="47">
        <v>0</v>
      </c>
      <c r="BD144" s="47">
        <v>0</v>
      </c>
      <c r="BE144" s="47">
        <v>0</v>
      </c>
      <c r="BF144" s="47">
        <v>0</v>
      </c>
      <c r="BG144" s="47">
        <v>0</v>
      </c>
      <c r="BH144" s="47">
        <v>0</v>
      </c>
      <c r="BI144" s="47">
        <v>0</v>
      </c>
      <c r="BJ144" s="47">
        <v>0</v>
      </c>
      <c r="BK144" s="47">
        <v>0</v>
      </c>
      <c r="BL144" s="47">
        <v>0</v>
      </c>
      <c r="BM144" s="47">
        <v>0</v>
      </c>
      <c r="BN144" s="47">
        <v>0</v>
      </c>
      <c r="BO144" s="47">
        <v>0</v>
      </c>
      <c r="BP144" s="47">
        <v>0</v>
      </c>
      <c r="BQ144" s="47">
        <v>0</v>
      </c>
      <c r="BR144" s="47">
        <v>0</v>
      </c>
      <c r="BS144" s="47">
        <v>0</v>
      </c>
      <c r="BT144" s="47">
        <v>0</v>
      </c>
      <c r="BU144" s="47">
        <v>0</v>
      </c>
      <c r="BV144" s="47">
        <v>0</v>
      </c>
      <c r="BW144" s="47">
        <v>0</v>
      </c>
      <c r="BX144" s="47">
        <v>0</v>
      </c>
      <c r="BY144" s="47">
        <v>0</v>
      </c>
      <c r="BZ144" s="47">
        <v>0</v>
      </c>
      <c r="CA144" s="47">
        <v>0</v>
      </c>
      <c r="CB144" s="47">
        <v>0</v>
      </c>
      <c r="CC144" s="47">
        <v>0</v>
      </c>
      <c r="CD144" s="47">
        <v>0</v>
      </c>
      <c r="CE144" s="47">
        <v>0</v>
      </c>
      <c r="CF144" s="47">
        <v>0</v>
      </c>
      <c r="CG144" s="47">
        <v>0</v>
      </c>
      <c r="CH144" s="47">
        <v>0</v>
      </c>
      <c r="CI144" s="47">
        <v>0</v>
      </c>
      <c r="CJ144" s="47">
        <v>0</v>
      </c>
      <c r="CK144" s="47">
        <v>0</v>
      </c>
      <c r="CL144" s="47">
        <v>0</v>
      </c>
      <c r="CM144" s="47">
        <v>0</v>
      </c>
      <c r="CN144" s="47">
        <v>0</v>
      </c>
      <c r="CO144" s="47">
        <v>0</v>
      </c>
      <c r="CP144" s="47">
        <v>0</v>
      </c>
      <c r="CQ144" s="47">
        <v>0</v>
      </c>
      <c r="CR144" s="47">
        <v>0</v>
      </c>
      <c r="CS144" s="47">
        <v>0</v>
      </c>
      <c r="CT144" s="47">
        <v>0.9798</v>
      </c>
      <c r="CU144" s="47">
        <v>0.9798</v>
      </c>
      <c r="CV144" s="47">
        <v>0</v>
      </c>
      <c r="CW144" s="47">
        <v>0</v>
      </c>
      <c r="CX144" s="47">
        <v>0</v>
      </c>
      <c r="CY144" s="47">
        <v>0</v>
      </c>
      <c r="CZ144" s="47">
        <v>0</v>
      </c>
      <c r="DA144" s="47">
        <v>0</v>
      </c>
      <c r="DB144" s="47">
        <v>0</v>
      </c>
      <c r="DC144" s="47">
        <v>0</v>
      </c>
      <c r="DD144" s="47">
        <v>0</v>
      </c>
      <c r="DE144" s="47">
        <v>0</v>
      </c>
      <c r="DF144" s="47">
        <v>0.0202</v>
      </c>
      <c r="DG144" s="47">
        <v>0</v>
      </c>
      <c r="DH144" s="47">
        <v>0</v>
      </c>
      <c r="DI144" s="47">
        <v>0</v>
      </c>
      <c r="DJ144" s="47">
        <v>0</v>
      </c>
      <c r="DK144" s="47">
        <v>0.0202</v>
      </c>
      <c r="DL144" s="47">
        <v>0</v>
      </c>
      <c r="DM144" s="47">
        <v>0</v>
      </c>
      <c r="DN144" s="47">
        <v>0</v>
      </c>
      <c r="DO144" s="47">
        <v>0</v>
      </c>
      <c r="DP144" s="47">
        <v>0</v>
      </c>
      <c r="DQ144" s="47">
        <v>0</v>
      </c>
      <c r="DR144" s="47">
        <v>0</v>
      </c>
    </row>
    <row r="145" spans="1:124" x14ac:dyDescent="0.25">
      <c r="A145" s="47" t="s">
        <v>817</v>
      </c>
      <c r="B145" s="47" t="s">
        <v>151</v>
      </c>
      <c r="C145" s="47" t="s">
        <v>818</v>
      </c>
      <c r="D145" s="47" t="s">
        <v>819</v>
      </c>
      <c r="E145" s="47" t="s">
        <v>820</v>
      </c>
      <c r="F145" s="47" t="s">
        <v>380</v>
      </c>
      <c r="G145" s="47" t="s">
        <v>411</v>
      </c>
      <c r="H145" s="47" t="str">
        <f>=IFERROR(VLOOKUP(A145,'ETPT Format DDG'!A:J,10,FALSE),"")</f>
        <v>0</v>
      </c>
      <c r="I145" s="47" t="str">
        <f>='ETPT Format DDG'!M145</f>
        <v/>
      </c>
      <c r="J145" s="47" t="str">
        <f>='ETPT Format DDG'!D145</f>
        <v/>
      </c>
      <c r="K145" s="47" t="s">
        <v>155</v>
      </c>
      <c r="L145" s="47" t="s">
        <v>821</v>
      </c>
      <c r="M145" s="47"/>
      <c r="N145" s="47">
        <v>1</v>
      </c>
      <c r="O145" s="47">
        <v>0</v>
      </c>
      <c r="P145" s="47">
        <v>0</v>
      </c>
      <c r="Q145" s="47">
        <v>0</v>
      </c>
      <c r="R145" s="47">
        <v>0</v>
      </c>
      <c r="S145" s="47">
        <v>0</v>
      </c>
      <c r="T145" s="47">
        <v>0</v>
      </c>
      <c r="U145" s="47">
        <v>0</v>
      </c>
      <c r="V145" s="47">
        <v>0</v>
      </c>
      <c r="W145" s="47">
        <v>0</v>
      </c>
      <c r="X145" s="47">
        <v>0</v>
      </c>
      <c r="Y145" s="47">
        <v>0</v>
      </c>
      <c r="Z145" s="47">
        <v>0</v>
      </c>
      <c r="AA145" s="47">
        <v>0</v>
      </c>
      <c r="AB145" s="47">
        <v>0</v>
      </c>
      <c r="AC145" s="47">
        <v>0</v>
      </c>
      <c r="AD145" s="47">
        <v>0</v>
      </c>
      <c r="AE145" s="47">
        <v>0</v>
      </c>
      <c r="AF145" s="47">
        <v>0</v>
      </c>
      <c r="AG145" s="47">
        <v>0</v>
      </c>
      <c r="AH145" s="47">
        <v>0</v>
      </c>
      <c r="AI145" s="47">
        <v>0</v>
      </c>
      <c r="AJ145" s="47">
        <v>0</v>
      </c>
      <c r="AK145" s="47">
        <v>0</v>
      </c>
      <c r="AL145" s="47">
        <v>0</v>
      </c>
      <c r="AM145" s="47">
        <v>0</v>
      </c>
      <c r="AN145" s="47">
        <v>0</v>
      </c>
      <c r="AO145" s="47">
        <v>0</v>
      </c>
      <c r="AP145" s="47">
        <v>0</v>
      </c>
      <c r="AQ145" s="47">
        <v>0</v>
      </c>
      <c r="AR145" s="47">
        <v>0</v>
      </c>
      <c r="AS145" s="47">
        <v>0</v>
      </c>
      <c r="AT145" s="47">
        <v>0</v>
      </c>
      <c r="AU145" s="47">
        <v>0</v>
      </c>
      <c r="AV145" s="47">
        <v>0</v>
      </c>
      <c r="AW145" s="47">
        <v>0</v>
      </c>
      <c r="AX145" s="47">
        <v>0</v>
      </c>
      <c r="AY145" s="47">
        <v>0</v>
      </c>
      <c r="AZ145" s="47">
        <v>0</v>
      </c>
      <c r="BA145" s="47">
        <v>0</v>
      </c>
      <c r="BB145" s="47">
        <v>0</v>
      </c>
      <c r="BC145" s="47">
        <v>0</v>
      </c>
      <c r="BD145" s="47">
        <v>0</v>
      </c>
      <c r="BE145" s="47">
        <v>0</v>
      </c>
      <c r="BF145" s="47">
        <v>0</v>
      </c>
      <c r="BG145" s="47">
        <v>0</v>
      </c>
      <c r="BH145" s="47">
        <v>0</v>
      </c>
      <c r="BI145" s="47">
        <v>0</v>
      </c>
      <c r="BJ145" s="47">
        <v>0</v>
      </c>
      <c r="BK145" s="47">
        <v>0</v>
      </c>
      <c r="BL145" s="47">
        <v>0</v>
      </c>
      <c r="BM145" s="47">
        <v>0</v>
      </c>
      <c r="BN145" s="47">
        <v>0</v>
      </c>
      <c r="BO145" s="47">
        <v>0</v>
      </c>
      <c r="BP145" s="47">
        <v>0</v>
      </c>
      <c r="BQ145" s="47">
        <v>0</v>
      </c>
      <c r="BR145" s="47">
        <v>0</v>
      </c>
      <c r="BS145" s="47">
        <v>0</v>
      </c>
      <c r="BT145" s="47">
        <v>0</v>
      </c>
      <c r="BU145" s="47">
        <v>0</v>
      </c>
      <c r="BV145" s="47">
        <v>0</v>
      </c>
      <c r="BW145" s="47">
        <v>0</v>
      </c>
      <c r="BX145" s="47">
        <v>0</v>
      </c>
      <c r="BY145" s="47">
        <v>0</v>
      </c>
      <c r="BZ145" s="47">
        <v>0</v>
      </c>
      <c r="CA145" s="47">
        <v>0</v>
      </c>
      <c r="CB145" s="47">
        <v>0</v>
      </c>
      <c r="CC145" s="47">
        <v>0</v>
      </c>
      <c r="CD145" s="47">
        <v>0</v>
      </c>
      <c r="CE145" s="47">
        <v>0</v>
      </c>
      <c r="CF145" s="47">
        <v>0</v>
      </c>
      <c r="CG145" s="47">
        <v>0</v>
      </c>
      <c r="CH145" s="47">
        <v>0</v>
      </c>
      <c r="CI145" s="47">
        <v>0</v>
      </c>
      <c r="CJ145" s="47">
        <v>0</v>
      </c>
      <c r="CK145" s="47">
        <v>0</v>
      </c>
      <c r="CL145" s="47">
        <v>0</v>
      </c>
      <c r="CM145" s="47">
        <v>0</v>
      </c>
      <c r="CN145" s="47">
        <v>0</v>
      </c>
      <c r="CO145" s="47">
        <v>0</v>
      </c>
      <c r="CP145" s="47">
        <v>0</v>
      </c>
      <c r="CQ145" s="47">
        <v>0</v>
      </c>
      <c r="CR145" s="47">
        <v>0</v>
      </c>
      <c r="CS145" s="47">
        <v>0</v>
      </c>
      <c r="CT145" s="47">
        <v>0</v>
      </c>
      <c r="CU145" s="47">
        <v>0</v>
      </c>
      <c r="CV145" s="47">
        <v>0</v>
      </c>
      <c r="CW145" s="47">
        <v>0</v>
      </c>
      <c r="CX145" s="47">
        <v>0</v>
      </c>
      <c r="CY145" s="47">
        <v>0</v>
      </c>
      <c r="CZ145" s="47">
        <v>0</v>
      </c>
      <c r="DA145" s="47">
        <v>0</v>
      </c>
      <c r="DB145" s="47">
        <v>0</v>
      </c>
      <c r="DC145" s="47">
        <v>0</v>
      </c>
      <c r="DD145" s="47">
        <v>0</v>
      </c>
      <c r="DE145" s="47">
        <v>0</v>
      </c>
      <c r="DF145" s="47">
        <v>0</v>
      </c>
      <c r="DG145" s="47">
        <v>0</v>
      </c>
      <c r="DH145" s="47">
        <v>0</v>
      </c>
      <c r="DI145" s="47">
        <v>0</v>
      </c>
      <c r="DJ145" s="47">
        <v>0</v>
      </c>
      <c r="DK145" s="47">
        <v>0</v>
      </c>
      <c r="DL145" s="47">
        <v>0</v>
      </c>
      <c r="DM145" s="47">
        <v>0</v>
      </c>
      <c r="DN145" s="47">
        <v>0</v>
      </c>
      <c r="DO145" s="47">
        <v>0</v>
      </c>
      <c r="DP145" s="47">
        <v>0</v>
      </c>
      <c r="DQ145" s="47">
        <v>0</v>
      </c>
      <c r="DR145" s="47">
        <v>0</v>
      </c>
    </row>
    <row r="146" spans="1:124" x14ac:dyDescent="0.25">
      <c r="A146" s="47" t="s">
        <v>822</v>
      </c>
      <c r="B146" s="47" t="s">
        <v>151</v>
      </c>
      <c r="C146" s="47" t="s">
        <v>823</v>
      </c>
      <c r="D146" s="47" t="s">
        <v>824</v>
      </c>
      <c r="E146" s="47" t="s">
        <v>825</v>
      </c>
      <c r="F146" s="47" t="s">
        <v>380</v>
      </c>
      <c r="G146" s="47" t="s">
        <v>714</v>
      </c>
      <c r="H146" s="47" t="str">
        <f>=IFERROR(VLOOKUP(A146,'ETPT Format DDG'!A:J,10,FALSE),"")</f>
        <v>0</v>
      </c>
      <c r="I146" s="47" t="str">
        <f>='ETPT Format DDG'!M146</f>
        <v/>
      </c>
      <c r="J146" s="47" t="str">
        <f>='ETPT Format DDG'!D146</f>
        <v/>
      </c>
      <c r="K146" s="47" t="s">
        <v>155</v>
      </c>
      <c r="L146" s="47" t="s">
        <v>826</v>
      </c>
      <c r="M146" s="47"/>
      <c r="N146" s="47">
        <v>1</v>
      </c>
      <c r="O146" s="47">
        <v>1</v>
      </c>
      <c r="P146" s="47">
        <v>0</v>
      </c>
      <c r="Q146" s="47">
        <v>0</v>
      </c>
      <c r="R146" s="47">
        <v>0</v>
      </c>
      <c r="S146" s="47">
        <v>0</v>
      </c>
      <c r="T146" s="47">
        <v>0</v>
      </c>
      <c r="U146" s="47">
        <v>0</v>
      </c>
      <c r="V146" s="47">
        <v>0</v>
      </c>
      <c r="W146" s="47">
        <v>0</v>
      </c>
      <c r="X146" s="47">
        <v>0</v>
      </c>
      <c r="Y146" s="47">
        <v>0</v>
      </c>
      <c r="Z146" s="47">
        <v>0</v>
      </c>
      <c r="AA146" s="47">
        <v>0</v>
      </c>
      <c r="AB146" s="47">
        <v>0</v>
      </c>
      <c r="AC146" s="47">
        <v>0</v>
      </c>
      <c r="AD146" s="47">
        <v>0</v>
      </c>
      <c r="AE146" s="47">
        <v>0</v>
      </c>
      <c r="AF146" s="47">
        <v>0</v>
      </c>
      <c r="AG146" s="47">
        <v>0</v>
      </c>
      <c r="AH146" s="47">
        <v>0</v>
      </c>
      <c r="AI146" s="47">
        <v>0</v>
      </c>
      <c r="AJ146" s="47">
        <v>0</v>
      </c>
      <c r="AK146" s="47">
        <v>0</v>
      </c>
      <c r="AL146" s="47">
        <v>0</v>
      </c>
      <c r="AM146" s="47">
        <v>0</v>
      </c>
      <c r="AN146" s="47">
        <v>1</v>
      </c>
      <c r="AO146" s="47">
        <v>0</v>
      </c>
      <c r="AP146" s="47">
        <v>0</v>
      </c>
      <c r="AQ146" s="47">
        <v>0</v>
      </c>
      <c r="AR146" s="47">
        <v>0</v>
      </c>
      <c r="AS146" s="47">
        <v>0</v>
      </c>
      <c r="AT146" s="47">
        <v>0</v>
      </c>
      <c r="AU146" s="47">
        <v>0</v>
      </c>
      <c r="AV146" s="47">
        <v>0</v>
      </c>
      <c r="AW146" s="47">
        <v>0</v>
      </c>
      <c r="AX146" s="47">
        <v>0</v>
      </c>
      <c r="AY146" s="47">
        <v>0</v>
      </c>
      <c r="AZ146" s="47">
        <v>0</v>
      </c>
      <c r="BA146" s="47">
        <v>0</v>
      </c>
      <c r="BB146" s="47">
        <v>0</v>
      </c>
      <c r="BC146" s="47">
        <v>0</v>
      </c>
      <c r="BD146" s="47">
        <v>0</v>
      </c>
      <c r="BE146" s="47">
        <v>0</v>
      </c>
      <c r="BF146" s="47">
        <v>0</v>
      </c>
      <c r="BG146" s="47">
        <v>0</v>
      </c>
      <c r="BH146" s="47">
        <v>0</v>
      </c>
      <c r="BI146" s="47">
        <v>0</v>
      </c>
      <c r="BJ146" s="47">
        <v>0</v>
      </c>
      <c r="BK146" s="47">
        <v>0</v>
      </c>
      <c r="BL146" s="47">
        <v>0</v>
      </c>
      <c r="BM146" s="47">
        <v>0</v>
      </c>
      <c r="BN146" s="47">
        <v>0</v>
      </c>
      <c r="BO146" s="47">
        <v>0</v>
      </c>
      <c r="BP146" s="47">
        <v>0</v>
      </c>
      <c r="BQ146" s="47">
        <v>0</v>
      </c>
      <c r="BR146" s="47">
        <v>0</v>
      </c>
      <c r="BS146" s="47">
        <v>0</v>
      </c>
      <c r="BT146" s="47">
        <v>0</v>
      </c>
      <c r="BU146" s="47">
        <v>0</v>
      </c>
      <c r="BV146" s="47">
        <v>0</v>
      </c>
      <c r="BW146" s="47">
        <v>0</v>
      </c>
      <c r="BX146" s="47">
        <v>0</v>
      </c>
      <c r="BY146" s="47">
        <v>0</v>
      </c>
      <c r="BZ146" s="47">
        <v>0</v>
      </c>
      <c r="CA146" s="47">
        <v>0</v>
      </c>
      <c r="CB146" s="47">
        <v>0</v>
      </c>
      <c r="CC146" s="47">
        <v>0</v>
      </c>
      <c r="CD146" s="47">
        <v>0</v>
      </c>
      <c r="CE146" s="47">
        <v>0</v>
      </c>
      <c r="CF146" s="47">
        <v>0</v>
      </c>
      <c r="CG146" s="47">
        <v>0</v>
      </c>
      <c r="CH146" s="47">
        <v>0</v>
      </c>
      <c r="CI146" s="47">
        <v>0</v>
      </c>
      <c r="CJ146" s="47">
        <v>0</v>
      </c>
      <c r="CK146" s="47">
        <v>0</v>
      </c>
      <c r="CL146" s="47">
        <v>0</v>
      </c>
      <c r="CM146" s="47">
        <v>0</v>
      </c>
      <c r="CN146" s="47">
        <v>0</v>
      </c>
      <c r="CO146" s="47">
        <v>0</v>
      </c>
      <c r="CP146" s="47">
        <v>0</v>
      </c>
      <c r="CQ146" s="47">
        <v>0</v>
      </c>
      <c r="CR146" s="47">
        <v>0</v>
      </c>
      <c r="CS146" s="47">
        <v>0</v>
      </c>
      <c r="CT146" s="47">
        <v>0</v>
      </c>
      <c r="CU146" s="47">
        <v>0</v>
      </c>
      <c r="CV146" s="47">
        <v>0</v>
      </c>
      <c r="CW146" s="47">
        <v>0</v>
      </c>
      <c r="CX146" s="47">
        <v>0</v>
      </c>
      <c r="CY146" s="47">
        <v>0</v>
      </c>
      <c r="CZ146" s="47">
        <v>0</v>
      </c>
      <c r="DA146" s="47">
        <v>0</v>
      </c>
      <c r="DB146" s="47">
        <v>0</v>
      </c>
      <c r="DC146" s="47">
        <v>0</v>
      </c>
      <c r="DD146" s="47">
        <v>0</v>
      </c>
      <c r="DE146" s="47">
        <v>0</v>
      </c>
      <c r="DF146" s="47">
        <v>0</v>
      </c>
      <c r="DG146" s="47">
        <v>0</v>
      </c>
      <c r="DH146" s="47">
        <v>0</v>
      </c>
      <c r="DI146" s="47">
        <v>0</v>
      </c>
      <c r="DJ146" s="47">
        <v>0</v>
      </c>
      <c r="DK146" s="47">
        <v>0</v>
      </c>
      <c r="DL146" s="47">
        <v>0</v>
      </c>
      <c r="DM146" s="47">
        <v>0</v>
      </c>
      <c r="DN146" s="47">
        <v>0</v>
      </c>
      <c r="DO146" s="47">
        <v>0</v>
      </c>
      <c r="DP146" s="47">
        <v>0</v>
      </c>
      <c r="DQ146" s="47">
        <v>0</v>
      </c>
      <c r="DR146" s="47">
        <v>0</v>
      </c>
    </row>
    <row r="147" spans="1:124" x14ac:dyDescent="0.25">
      <c r="A147" s="47" t="s">
        <v>827</v>
      </c>
      <c r="B147" s="47" t="s">
        <v>151</v>
      </c>
      <c r="C147" s="47" t="s">
        <v>828</v>
      </c>
      <c r="D147" s="47" t="s">
        <v>829</v>
      </c>
      <c r="E147" s="47" t="s">
        <v>830</v>
      </c>
      <c r="F147" s="47" t="s">
        <v>380</v>
      </c>
      <c r="G147" s="47" t="s">
        <v>381</v>
      </c>
      <c r="H147" s="47" t="str">
        <f>=IFERROR(VLOOKUP(A147,'ETPT Format DDG'!A:J,10,FALSE),"")</f>
        <v>0</v>
      </c>
      <c r="I147" s="47" t="str">
        <f>='ETPT Format DDG'!M147</f>
        <v/>
      </c>
      <c r="J147" s="47" t="str">
        <f>='ETPT Format DDG'!D147</f>
        <v/>
      </c>
      <c r="K147" s="47" t="s">
        <v>155</v>
      </c>
      <c r="L147" s="47" t="s">
        <v>831</v>
      </c>
      <c r="M147" s="47"/>
      <c r="N147" s="47">
        <v>0</v>
      </c>
      <c r="O147" s="47">
        <v>0</v>
      </c>
      <c r="P147" s="47">
        <v>0</v>
      </c>
      <c r="Q147" s="47">
        <v>0</v>
      </c>
      <c r="R147" s="47">
        <v>0</v>
      </c>
      <c r="S147" s="47">
        <v>0</v>
      </c>
      <c r="T147" s="47">
        <v>0</v>
      </c>
      <c r="U147" s="47">
        <v>0</v>
      </c>
      <c r="V147" s="47">
        <v>0</v>
      </c>
      <c r="W147" s="47">
        <v>0</v>
      </c>
      <c r="X147" s="47">
        <v>0</v>
      </c>
      <c r="Y147" s="47">
        <v>0</v>
      </c>
      <c r="Z147" s="47">
        <v>0</v>
      </c>
      <c r="AA147" s="47">
        <v>0</v>
      </c>
      <c r="AB147" s="47">
        <v>0</v>
      </c>
      <c r="AC147" s="47">
        <v>0</v>
      </c>
      <c r="AD147" s="47">
        <v>0</v>
      </c>
      <c r="AE147" s="47">
        <v>0</v>
      </c>
      <c r="AF147" s="47">
        <v>0</v>
      </c>
      <c r="AG147" s="47">
        <v>0</v>
      </c>
      <c r="AH147" s="47">
        <v>0</v>
      </c>
      <c r="AI147" s="47">
        <v>0</v>
      </c>
      <c r="AJ147" s="47">
        <v>0</v>
      </c>
      <c r="AK147" s="47">
        <v>0</v>
      </c>
      <c r="AL147" s="47">
        <v>0</v>
      </c>
      <c r="AM147" s="47">
        <v>0</v>
      </c>
      <c r="AN147" s="47">
        <v>0</v>
      </c>
      <c r="AO147" s="47">
        <v>0</v>
      </c>
      <c r="AP147" s="47">
        <v>0</v>
      </c>
      <c r="AQ147" s="47">
        <v>0</v>
      </c>
      <c r="AR147" s="47">
        <v>0</v>
      </c>
      <c r="AS147" s="47">
        <v>0</v>
      </c>
      <c r="AT147" s="47">
        <v>0</v>
      </c>
      <c r="AU147" s="47">
        <v>0</v>
      </c>
      <c r="AV147" s="47">
        <v>0</v>
      </c>
      <c r="AW147" s="47">
        <v>0</v>
      </c>
      <c r="AX147" s="47">
        <v>0</v>
      </c>
      <c r="AY147" s="47">
        <v>0</v>
      </c>
      <c r="AZ147" s="47">
        <v>0</v>
      </c>
      <c r="BA147" s="47">
        <v>0</v>
      </c>
      <c r="BB147" s="47">
        <v>0</v>
      </c>
      <c r="BC147" s="47">
        <v>0</v>
      </c>
      <c r="BD147" s="47">
        <v>0</v>
      </c>
      <c r="BE147" s="47">
        <v>0</v>
      </c>
      <c r="BF147" s="47">
        <v>0</v>
      </c>
      <c r="BG147" s="47">
        <v>0</v>
      </c>
      <c r="BH147" s="47">
        <v>0</v>
      </c>
      <c r="BI147" s="47">
        <v>0</v>
      </c>
      <c r="BJ147" s="47">
        <v>0</v>
      </c>
      <c r="BK147" s="47">
        <v>0</v>
      </c>
      <c r="BL147" s="47">
        <v>0</v>
      </c>
      <c r="BM147" s="47">
        <v>0</v>
      </c>
      <c r="BN147" s="47">
        <v>0</v>
      </c>
      <c r="BO147" s="47">
        <v>0</v>
      </c>
      <c r="BP147" s="47">
        <v>0</v>
      </c>
      <c r="BQ147" s="47">
        <v>0</v>
      </c>
      <c r="BR147" s="47">
        <v>0</v>
      </c>
      <c r="BS147" s="47">
        <v>0</v>
      </c>
      <c r="BT147" s="47">
        <v>0</v>
      </c>
      <c r="BU147" s="47">
        <v>0</v>
      </c>
      <c r="BV147" s="47">
        <v>0</v>
      </c>
      <c r="BW147" s="47">
        <v>0</v>
      </c>
      <c r="BX147" s="47">
        <v>0</v>
      </c>
      <c r="BY147" s="47">
        <v>0</v>
      </c>
      <c r="BZ147" s="47">
        <v>0</v>
      </c>
      <c r="CA147" s="47">
        <v>0</v>
      </c>
      <c r="CB147" s="47">
        <v>0</v>
      </c>
      <c r="CC147" s="47">
        <v>0</v>
      </c>
      <c r="CD147" s="47">
        <v>0</v>
      </c>
      <c r="CE147" s="47">
        <v>0</v>
      </c>
      <c r="CF147" s="47">
        <v>0</v>
      </c>
      <c r="CG147" s="47">
        <v>0</v>
      </c>
      <c r="CH147" s="47">
        <v>0</v>
      </c>
      <c r="CI147" s="47">
        <v>0</v>
      </c>
      <c r="CJ147" s="47">
        <v>0</v>
      </c>
      <c r="CK147" s="47">
        <v>0</v>
      </c>
      <c r="CL147" s="47">
        <v>0</v>
      </c>
      <c r="CM147" s="47">
        <v>0</v>
      </c>
      <c r="CN147" s="47">
        <v>0</v>
      </c>
      <c r="CO147" s="47">
        <v>0</v>
      </c>
      <c r="CP147" s="47">
        <v>0</v>
      </c>
      <c r="CQ147" s="47">
        <v>0</v>
      </c>
      <c r="CR147" s="47">
        <v>0</v>
      </c>
      <c r="CS147" s="47">
        <v>0</v>
      </c>
      <c r="CT147" s="47">
        <v>0</v>
      </c>
      <c r="CU147" s="47">
        <v>0</v>
      </c>
      <c r="CV147" s="47">
        <v>0</v>
      </c>
      <c r="CW147" s="47">
        <v>0</v>
      </c>
      <c r="CX147" s="47">
        <v>0</v>
      </c>
      <c r="CY147" s="47">
        <v>0</v>
      </c>
      <c r="CZ147" s="47">
        <v>0</v>
      </c>
      <c r="DA147" s="47">
        <v>0</v>
      </c>
      <c r="DB147" s="47">
        <v>0</v>
      </c>
      <c r="DC147" s="47">
        <v>0</v>
      </c>
      <c r="DD147" s="47">
        <v>0</v>
      </c>
      <c r="DE147" s="47">
        <v>0</v>
      </c>
      <c r="DF147" s="47">
        <v>0.5</v>
      </c>
      <c r="DG147" s="47">
        <v>0</v>
      </c>
      <c r="DH147" s="47">
        <v>0</v>
      </c>
      <c r="DI147" s="47">
        <v>0</v>
      </c>
      <c r="DJ147" s="47">
        <v>0</v>
      </c>
      <c r="DK147" s="47">
        <v>0</v>
      </c>
      <c r="DL147" s="47">
        <v>0</v>
      </c>
      <c r="DM147" s="47">
        <v>0</v>
      </c>
      <c r="DN147" s="47">
        <v>0</v>
      </c>
      <c r="DO147" s="47">
        <v>0</v>
      </c>
      <c r="DP147" s="47">
        <v>0</v>
      </c>
      <c r="DQ147" s="47">
        <v>0</v>
      </c>
      <c r="DR147" s="47">
        <v>0.5</v>
      </c>
    </row>
    <row r="148" spans="1:124" x14ac:dyDescent="0.25">
      <c r="A148" s="47" t="s">
        <v>832</v>
      </c>
      <c r="B148" s="47" t="s">
        <v>151</v>
      </c>
      <c r="C148" s="47" t="s">
        <v>833</v>
      </c>
      <c r="D148" s="47" t="s">
        <v>834</v>
      </c>
      <c r="E148" s="47" t="s">
        <v>835</v>
      </c>
      <c r="F148" s="47" t="s">
        <v>380</v>
      </c>
      <c r="G148" s="47" t="s">
        <v>381</v>
      </c>
      <c r="H148" s="47" t="str">
        <f>=IFERROR(VLOOKUP(A148,'ETPT Format DDG'!A:J,10,FALSE),"")</f>
        <v>0</v>
      </c>
      <c r="I148" s="47" t="str">
        <f>='ETPT Format DDG'!M148</f>
        <v/>
      </c>
      <c r="J148" s="47" t="str">
        <f>='ETPT Format DDG'!D148</f>
        <v/>
      </c>
      <c r="K148" s="47" t="s">
        <v>155</v>
      </c>
      <c r="L148" s="47" t="s">
        <v>836</v>
      </c>
      <c r="M148" s="47"/>
      <c r="N148" s="47">
        <v>1</v>
      </c>
      <c r="O148" s="47">
        <v>1</v>
      </c>
      <c r="P148" s="47">
        <v>0</v>
      </c>
      <c r="Q148" s="47">
        <v>0</v>
      </c>
      <c r="R148" s="47">
        <v>0</v>
      </c>
      <c r="S148" s="47">
        <v>0</v>
      </c>
      <c r="T148" s="47">
        <v>0</v>
      </c>
      <c r="U148" s="47">
        <v>0</v>
      </c>
      <c r="V148" s="47">
        <v>0</v>
      </c>
      <c r="W148" s="47">
        <v>0</v>
      </c>
      <c r="X148" s="47">
        <v>0</v>
      </c>
      <c r="Y148" s="47">
        <v>0</v>
      </c>
      <c r="Z148" s="47">
        <v>0</v>
      </c>
      <c r="AA148" s="47">
        <v>0</v>
      </c>
      <c r="AB148" s="47">
        <v>0</v>
      </c>
      <c r="AC148" s="47">
        <v>0</v>
      </c>
      <c r="AD148" s="47">
        <v>0</v>
      </c>
      <c r="AE148" s="47">
        <v>0</v>
      </c>
      <c r="AF148" s="47">
        <v>0</v>
      </c>
      <c r="AG148" s="47">
        <v>0</v>
      </c>
      <c r="AH148" s="47">
        <v>0</v>
      </c>
      <c r="AI148" s="47">
        <v>0</v>
      </c>
      <c r="AJ148" s="47">
        <v>0</v>
      </c>
      <c r="AK148" s="47">
        <v>0</v>
      </c>
      <c r="AL148" s="47">
        <v>0</v>
      </c>
      <c r="AM148" s="47">
        <v>0</v>
      </c>
      <c r="AN148" s="47">
        <v>0</v>
      </c>
      <c r="AO148" s="47">
        <v>0</v>
      </c>
      <c r="AP148" s="47">
        <v>0</v>
      </c>
      <c r="AQ148" s="47">
        <v>0</v>
      </c>
      <c r="AR148" s="47">
        <v>0</v>
      </c>
      <c r="AS148" s="47">
        <v>0</v>
      </c>
      <c r="AT148" s="47">
        <v>0</v>
      </c>
      <c r="AU148" s="47">
        <v>0</v>
      </c>
      <c r="AV148" s="47">
        <v>0</v>
      </c>
      <c r="AW148" s="47">
        <v>0</v>
      </c>
      <c r="AX148" s="47">
        <v>0</v>
      </c>
      <c r="AY148" s="47">
        <v>0</v>
      </c>
      <c r="AZ148" s="47">
        <v>0</v>
      </c>
      <c r="BA148" s="47">
        <v>0</v>
      </c>
      <c r="BB148" s="47">
        <v>0</v>
      </c>
      <c r="BC148" s="47">
        <v>0</v>
      </c>
      <c r="BD148" s="47">
        <v>0</v>
      </c>
      <c r="BE148" s="47">
        <v>0</v>
      </c>
      <c r="BF148" s="47">
        <v>0</v>
      </c>
      <c r="BG148" s="47">
        <v>0</v>
      </c>
      <c r="BH148" s="47">
        <v>0</v>
      </c>
      <c r="BI148" s="47">
        <v>0</v>
      </c>
      <c r="BJ148" s="47">
        <v>0</v>
      </c>
      <c r="BK148" s="47">
        <v>0</v>
      </c>
      <c r="BL148" s="47">
        <v>0</v>
      </c>
      <c r="BM148" s="47">
        <v>0</v>
      </c>
      <c r="BN148" s="47">
        <v>0</v>
      </c>
      <c r="BO148" s="47">
        <v>0</v>
      </c>
      <c r="BP148" s="47">
        <v>0</v>
      </c>
      <c r="BQ148" s="47">
        <v>0</v>
      </c>
      <c r="BR148" s="47">
        <v>0</v>
      </c>
      <c r="BS148" s="47">
        <v>0</v>
      </c>
      <c r="BT148" s="47">
        <v>0</v>
      </c>
      <c r="BU148" s="47">
        <v>0</v>
      </c>
      <c r="BV148" s="47">
        <v>0</v>
      </c>
      <c r="BW148" s="47">
        <v>0</v>
      </c>
      <c r="BX148" s="47">
        <v>0</v>
      </c>
      <c r="BY148" s="47">
        <v>0</v>
      </c>
      <c r="BZ148" s="47">
        <v>0</v>
      </c>
      <c r="CA148" s="47">
        <v>0</v>
      </c>
      <c r="CB148" s="47">
        <v>0</v>
      </c>
      <c r="CC148" s="47">
        <v>0</v>
      </c>
      <c r="CD148" s="47">
        <v>0</v>
      </c>
      <c r="CE148" s="47">
        <v>0</v>
      </c>
      <c r="CF148" s="47">
        <v>0</v>
      </c>
      <c r="CG148" s="47">
        <v>0</v>
      </c>
      <c r="CH148" s="47">
        <v>0</v>
      </c>
      <c r="CI148" s="47">
        <v>0</v>
      </c>
      <c r="CJ148" s="47">
        <v>0</v>
      </c>
      <c r="CK148" s="47">
        <v>0</v>
      </c>
      <c r="CL148" s="47">
        <v>0</v>
      </c>
      <c r="CM148" s="47">
        <v>0</v>
      </c>
      <c r="CN148" s="47">
        <v>0</v>
      </c>
      <c r="CO148" s="47">
        <v>0</v>
      </c>
      <c r="CP148" s="47">
        <v>0</v>
      </c>
      <c r="CQ148" s="47">
        <v>0</v>
      </c>
      <c r="CR148" s="47">
        <v>0</v>
      </c>
      <c r="CS148" s="47">
        <v>0</v>
      </c>
      <c r="CT148" s="47">
        <v>1</v>
      </c>
      <c r="CU148" s="47">
        <v>0</v>
      </c>
      <c r="CV148" s="47">
        <v>0</v>
      </c>
      <c r="CW148" s="47">
        <v>0</v>
      </c>
      <c r="CX148" s="47">
        <v>0</v>
      </c>
      <c r="CY148" s="47">
        <v>0</v>
      </c>
      <c r="CZ148" s="47">
        <v>1</v>
      </c>
      <c r="DA148" s="47">
        <v>0</v>
      </c>
      <c r="DB148" s="47">
        <v>0</v>
      </c>
      <c r="DC148" s="47">
        <v>0</v>
      </c>
      <c r="DD148" s="47">
        <v>0</v>
      </c>
      <c r="DE148" s="47">
        <v>0</v>
      </c>
      <c r="DF148" s="47">
        <v>0</v>
      </c>
      <c r="DG148" s="47">
        <v>0</v>
      </c>
      <c r="DH148" s="47">
        <v>0</v>
      </c>
      <c r="DI148" s="47">
        <v>0</v>
      </c>
      <c r="DJ148" s="47">
        <v>0</v>
      </c>
      <c r="DK148" s="47">
        <v>0</v>
      </c>
      <c r="DL148" s="47">
        <v>0</v>
      </c>
      <c r="DM148" s="47">
        <v>0</v>
      </c>
      <c r="DN148" s="47">
        <v>0</v>
      </c>
      <c r="DO148" s="47">
        <v>0</v>
      </c>
      <c r="DP148" s="47">
        <v>0</v>
      </c>
      <c r="DQ148" s="47">
        <v>0</v>
      </c>
      <c r="DR148" s="47">
        <v>0</v>
      </c>
    </row>
    <row r="149" spans="1:124" x14ac:dyDescent="0.25">
      <c r="A149" s="47" t="s">
        <v>837</v>
      </c>
      <c r="B149" s="47" t="s">
        <v>151</v>
      </c>
      <c r="C149" s="47" t="s">
        <v>838</v>
      </c>
      <c r="D149" s="47" t="s">
        <v>839</v>
      </c>
      <c r="E149" s="47" t="s">
        <v>840</v>
      </c>
      <c r="F149" s="47" t="s">
        <v>380</v>
      </c>
      <c r="G149" s="47" t="s">
        <v>411</v>
      </c>
      <c r="H149" s="47" t="str">
        <f>=IFERROR(VLOOKUP(A149,'ETPT Format DDG'!A:J,10,FALSE),"")</f>
        <v>0</v>
      </c>
      <c r="I149" s="47" t="str">
        <f>='ETPT Format DDG'!M149</f>
        <v/>
      </c>
      <c r="J149" s="47" t="str">
        <f>='ETPT Format DDG'!D149</f>
        <v/>
      </c>
      <c r="K149" s="47" t="s">
        <v>155</v>
      </c>
      <c r="L149" s="47" t="s">
        <v>841</v>
      </c>
      <c r="M149" s="47"/>
      <c r="N149" s="47">
        <v>1</v>
      </c>
      <c r="O149" s="47">
        <v>1</v>
      </c>
      <c r="P149" s="47">
        <v>0</v>
      </c>
      <c r="Q149" s="47">
        <v>0</v>
      </c>
      <c r="R149" s="47">
        <v>0</v>
      </c>
      <c r="S149" s="47">
        <v>0</v>
      </c>
      <c r="T149" s="47">
        <v>0</v>
      </c>
      <c r="U149" s="47">
        <v>0</v>
      </c>
      <c r="V149" s="47">
        <v>0</v>
      </c>
      <c r="W149" s="47">
        <v>0</v>
      </c>
      <c r="X149" s="47">
        <v>0</v>
      </c>
      <c r="Y149" s="47">
        <v>0</v>
      </c>
      <c r="Z149" s="47">
        <v>0</v>
      </c>
      <c r="AA149" s="47">
        <v>0</v>
      </c>
      <c r="AB149" s="47">
        <v>0</v>
      </c>
      <c r="AC149" s="47">
        <v>0</v>
      </c>
      <c r="AD149" s="47">
        <v>0</v>
      </c>
      <c r="AE149" s="47">
        <v>0</v>
      </c>
      <c r="AF149" s="47">
        <v>0</v>
      </c>
      <c r="AG149" s="47">
        <v>0</v>
      </c>
      <c r="AH149" s="47">
        <v>0</v>
      </c>
      <c r="AI149" s="47">
        <v>0</v>
      </c>
      <c r="AJ149" s="47">
        <v>0</v>
      </c>
      <c r="AK149" s="47">
        <v>0</v>
      </c>
      <c r="AL149" s="47">
        <v>0</v>
      </c>
      <c r="AM149" s="47">
        <v>0</v>
      </c>
      <c r="AN149" s="47">
        <v>0</v>
      </c>
      <c r="AO149" s="47">
        <v>0</v>
      </c>
      <c r="AP149" s="47">
        <v>0</v>
      </c>
      <c r="AQ149" s="47">
        <v>0</v>
      </c>
      <c r="AR149" s="47">
        <v>0</v>
      </c>
      <c r="AS149" s="47">
        <v>0</v>
      </c>
      <c r="AT149" s="47">
        <v>0</v>
      </c>
      <c r="AU149" s="47">
        <v>0</v>
      </c>
      <c r="AV149" s="47">
        <v>0</v>
      </c>
      <c r="AW149" s="47">
        <v>0</v>
      </c>
      <c r="AX149" s="47">
        <v>0</v>
      </c>
      <c r="AY149" s="47">
        <v>0</v>
      </c>
      <c r="AZ149" s="47">
        <v>0</v>
      </c>
      <c r="BA149" s="47">
        <v>0</v>
      </c>
      <c r="BB149" s="47">
        <v>0</v>
      </c>
      <c r="BC149" s="47">
        <v>0</v>
      </c>
      <c r="BD149" s="47">
        <v>0</v>
      </c>
      <c r="BE149" s="47">
        <v>0</v>
      </c>
      <c r="BF149" s="47">
        <v>0</v>
      </c>
      <c r="BG149" s="47">
        <v>0</v>
      </c>
      <c r="BH149" s="47">
        <v>0</v>
      </c>
      <c r="BI149" s="47">
        <v>0</v>
      </c>
      <c r="BJ149" s="47">
        <v>0</v>
      </c>
      <c r="BK149" s="47">
        <v>0</v>
      </c>
      <c r="BL149" s="47">
        <v>0</v>
      </c>
      <c r="BM149" s="47">
        <v>0</v>
      </c>
      <c r="BN149" s="47">
        <v>0</v>
      </c>
      <c r="BO149" s="47">
        <v>0</v>
      </c>
      <c r="BP149" s="47">
        <v>0</v>
      </c>
      <c r="BQ149" s="47">
        <v>0</v>
      </c>
      <c r="BR149" s="47">
        <v>0</v>
      </c>
      <c r="BS149" s="47">
        <v>0</v>
      </c>
      <c r="BT149" s="47">
        <v>0</v>
      </c>
      <c r="BU149" s="47">
        <v>0</v>
      </c>
      <c r="BV149" s="47">
        <v>0</v>
      </c>
      <c r="BW149" s="47">
        <v>0</v>
      </c>
      <c r="BX149" s="47">
        <v>0</v>
      </c>
      <c r="BY149" s="47">
        <v>0</v>
      </c>
      <c r="BZ149" s="47">
        <v>0</v>
      </c>
      <c r="CA149" s="47">
        <v>0</v>
      </c>
      <c r="CB149" s="47">
        <v>0</v>
      </c>
      <c r="CC149" s="47">
        <v>0</v>
      </c>
      <c r="CD149" s="47">
        <v>0</v>
      </c>
      <c r="CE149" s="47">
        <v>0</v>
      </c>
      <c r="CF149" s="47">
        <v>0</v>
      </c>
      <c r="CG149" s="47">
        <v>0</v>
      </c>
      <c r="CH149" s="47">
        <v>0</v>
      </c>
      <c r="CI149" s="47">
        <v>0</v>
      </c>
      <c r="CJ149" s="47">
        <v>0</v>
      </c>
      <c r="CK149" s="47">
        <v>0</v>
      </c>
      <c r="CL149" s="47">
        <v>0</v>
      </c>
      <c r="CM149" s="47">
        <v>0</v>
      </c>
      <c r="CN149" s="47">
        <v>0</v>
      </c>
      <c r="CO149" s="47">
        <v>0</v>
      </c>
      <c r="CP149" s="47">
        <v>0</v>
      </c>
      <c r="CQ149" s="47">
        <v>0</v>
      </c>
      <c r="CR149" s="47">
        <v>0</v>
      </c>
      <c r="CS149" s="47">
        <v>0</v>
      </c>
      <c r="CT149" s="47">
        <v>1</v>
      </c>
      <c r="CU149" s="47">
        <v>0</v>
      </c>
      <c r="CV149" s="47">
        <v>0</v>
      </c>
      <c r="CW149" s="47">
        <v>0</v>
      </c>
      <c r="CX149" s="47">
        <v>0</v>
      </c>
      <c r="CY149" s="47">
        <v>0</v>
      </c>
      <c r="CZ149" s="47">
        <v>0</v>
      </c>
      <c r="DA149" s="47">
        <v>0</v>
      </c>
      <c r="DB149" s="47">
        <v>0</v>
      </c>
      <c r="DC149" s="47">
        <v>0</v>
      </c>
      <c r="DD149" s="47">
        <v>0</v>
      </c>
      <c r="DE149" s="47">
        <v>1</v>
      </c>
      <c r="DF149" s="47">
        <v>0</v>
      </c>
      <c r="DG149" s="47">
        <v>0</v>
      </c>
      <c r="DH149" s="47">
        <v>0</v>
      </c>
      <c r="DI149" s="47">
        <v>0</v>
      </c>
      <c r="DJ149" s="47">
        <v>0</v>
      </c>
      <c r="DK149" s="47">
        <v>0</v>
      </c>
      <c r="DL149" s="47">
        <v>0</v>
      </c>
      <c r="DM149" s="47">
        <v>0</v>
      </c>
      <c r="DN149" s="47">
        <v>0</v>
      </c>
      <c r="DO149" s="47">
        <v>0</v>
      </c>
      <c r="DP149" s="47">
        <v>0</v>
      </c>
      <c r="DQ149" s="47">
        <v>0</v>
      </c>
      <c r="DR149" s="47">
        <v>0</v>
      </c>
    </row>
    <row r="150" spans="1:124" x14ac:dyDescent="0.25">
      <c r="A150" s="47" t="s">
        <v>842</v>
      </c>
      <c r="B150" s="47" t="s">
        <v>151</v>
      </c>
      <c r="C150" s="47" t="s">
        <v>843</v>
      </c>
      <c r="D150" s="47" t="s">
        <v>844</v>
      </c>
      <c r="E150" s="47" t="s">
        <v>845</v>
      </c>
      <c r="F150" s="47" t="s">
        <v>380</v>
      </c>
      <c r="G150" s="47" t="s">
        <v>381</v>
      </c>
      <c r="H150" s="47" t="str">
        <f>=IFERROR(VLOOKUP(A150,'ETPT Format DDG'!A:J,10,FALSE),"")</f>
        <v>0</v>
      </c>
      <c r="I150" s="47" t="str">
        <f>='ETPT Format DDG'!M150</f>
        <v/>
      </c>
      <c r="J150" s="47" t="str">
        <f>='ETPT Format DDG'!D150</f>
        <v/>
      </c>
      <c r="K150" s="47" t="s">
        <v>155</v>
      </c>
      <c r="L150" s="47" t="s">
        <v>846</v>
      </c>
      <c r="M150" s="47"/>
      <c r="N150" s="47">
        <v>1</v>
      </c>
      <c r="O150" s="47">
        <v>0</v>
      </c>
      <c r="P150" s="47">
        <v>0</v>
      </c>
      <c r="Q150" s="47">
        <v>0</v>
      </c>
      <c r="R150" s="47">
        <v>0</v>
      </c>
      <c r="S150" s="47">
        <v>0</v>
      </c>
      <c r="T150" s="47">
        <v>0</v>
      </c>
      <c r="U150" s="47">
        <v>0</v>
      </c>
      <c r="V150" s="47">
        <v>0</v>
      </c>
      <c r="W150" s="47">
        <v>0</v>
      </c>
      <c r="X150" s="47">
        <v>0</v>
      </c>
      <c r="Y150" s="47">
        <v>0</v>
      </c>
      <c r="Z150" s="47">
        <v>0</v>
      </c>
      <c r="AA150" s="47">
        <v>0</v>
      </c>
      <c r="AB150" s="47">
        <v>0</v>
      </c>
      <c r="AC150" s="47">
        <v>0</v>
      </c>
      <c r="AD150" s="47">
        <v>0</v>
      </c>
      <c r="AE150" s="47">
        <v>0</v>
      </c>
      <c r="AF150" s="47">
        <v>0</v>
      </c>
      <c r="AG150" s="47">
        <v>0</v>
      </c>
      <c r="AH150" s="47">
        <v>0</v>
      </c>
      <c r="AI150" s="47">
        <v>0</v>
      </c>
      <c r="AJ150" s="47">
        <v>0</v>
      </c>
      <c r="AK150" s="47">
        <v>0</v>
      </c>
      <c r="AL150" s="47">
        <v>0</v>
      </c>
      <c r="AM150" s="47">
        <v>0</v>
      </c>
      <c r="AN150" s="47">
        <v>0</v>
      </c>
      <c r="AO150" s="47">
        <v>0</v>
      </c>
      <c r="AP150" s="47">
        <v>0</v>
      </c>
      <c r="AQ150" s="47">
        <v>0</v>
      </c>
      <c r="AR150" s="47">
        <v>0</v>
      </c>
      <c r="AS150" s="47">
        <v>0</v>
      </c>
      <c r="AT150" s="47">
        <v>0</v>
      </c>
      <c r="AU150" s="47">
        <v>0</v>
      </c>
      <c r="AV150" s="47">
        <v>0</v>
      </c>
      <c r="AW150" s="47">
        <v>0</v>
      </c>
      <c r="AX150" s="47">
        <v>0</v>
      </c>
      <c r="AY150" s="47">
        <v>0</v>
      </c>
      <c r="AZ150" s="47">
        <v>0</v>
      </c>
      <c r="BA150" s="47">
        <v>0</v>
      </c>
      <c r="BB150" s="47">
        <v>0</v>
      </c>
      <c r="BC150" s="47">
        <v>0</v>
      </c>
      <c r="BD150" s="47">
        <v>0</v>
      </c>
      <c r="BE150" s="47">
        <v>0</v>
      </c>
      <c r="BF150" s="47">
        <v>0</v>
      </c>
      <c r="BG150" s="47">
        <v>0</v>
      </c>
      <c r="BH150" s="47">
        <v>0</v>
      </c>
      <c r="BI150" s="47">
        <v>0</v>
      </c>
      <c r="BJ150" s="47">
        <v>0</v>
      </c>
      <c r="BK150" s="47">
        <v>0</v>
      </c>
      <c r="BL150" s="47">
        <v>0</v>
      </c>
      <c r="BM150" s="47">
        <v>0</v>
      </c>
      <c r="BN150" s="47">
        <v>0</v>
      </c>
      <c r="BO150" s="47">
        <v>0</v>
      </c>
      <c r="BP150" s="47">
        <v>0</v>
      </c>
      <c r="BQ150" s="47">
        <v>0</v>
      </c>
      <c r="BR150" s="47">
        <v>0</v>
      </c>
      <c r="BS150" s="47">
        <v>0</v>
      </c>
      <c r="BT150" s="47">
        <v>0</v>
      </c>
      <c r="BU150" s="47">
        <v>0</v>
      </c>
      <c r="BV150" s="47">
        <v>0</v>
      </c>
      <c r="BW150" s="47">
        <v>0</v>
      </c>
      <c r="BX150" s="47">
        <v>0</v>
      </c>
      <c r="BY150" s="47">
        <v>0</v>
      </c>
      <c r="BZ150" s="47">
        <v>0</v>
      </c>
      <c r="CA150" s="47">
        <v>0</v>
      </c>
      <c r="CB150" s="47">
        <v>0</v>
      </c>
      <c r="CC150" s="47">
        <v>0</v>
      </c>
      <c r="CD150" s="47">
        <v>0</v>
      </c>
      <c r="CE150" s="47">
        <v>0</v>
      </c>
      <c r="CF150" s="47">
        <v>0</v>
      </c>
      <c r="CG150" s="47">
        <v>0</v>
      </c>
      <c r="CH150" s="47">
        <v>0</v>
      </c>
      <c r="CI150" s="47">
        <v>0</v>
      </c>
      <c r="CJ150" s="47">
        <v>0</v>
      </c>
      <c r="CK150" s="47">
        <v>0</v>
      </c>
      <c r="CL150" s="47">
        <v>0</v>
      </c>
      <c r="CM150" s="47">
        <v>0</v>
      </c>
      <c r="CN150" s="47">
        <v>0</v>
      </c>
      <c r="CO150" s="47">
        <v>0</v>
      </c>
      <c r="CP150" s="47">
        <v>0</v>
      </c>
      <c r="CQ150" s="47">
        <v>0</v>
      </c>
      <c r="CR150" s="47">
        <v>0</v>
      </c>
      <c r="CS150" s="47">
        <v>0</v>
      </c>
      <c r="CT150" s="47">
        <v>0</v>
      </c>
      <c r="CU150" s="47">
        <v>0</v>
      </c>
      <c r="CV150" s="47">
        <v>0</v>
      </c>
      <c r="CW150" s="47">
        <v>0</v>
      </c>
      <c r="CX150" s="47">
        <v>0</v>
      </c>
      <c r="CY150" s="47">
        <v>0</v>
      </c>
      <c r="CZ150" s="47">
        <v>0</v>
      </c>
      <c r="DA150" s="47">
        <v>0</v>
      </c>
      <c r="DB150" s="47">
        <v>0</v>
      </c>
      <c r="DC150" s="47">
        <v>0</v>
      </c>
      <c r="DD150" s="47">
        <v>0</v>
      </c>
      <c r="DE150" s="47">
        <v>0</v>
      </c>
      <c r="DF150" s="47">
        <v>0</v>
      </c>
      <c r="DG150" s="47">
        <v>0</v>
      </c>
      <c r="DH150" s="47">
        <v>0</v>
      </c>
      <c r="DI150" s="47">
        <v>0</v>
      </c>
      <c r="DJ150" s="47">
        <v>0</v>
      </c>
      <c r="DK150" s="47">
        <v>0</v>
      </c>
      <c r="DL150" s="47">
        <v>0</v>
      </c>
      <c r="DM150" s="47">
        <v>0</v>
      </c>
      <c r="DN150" s="47">
        <v>0</v>
      </c>
      <c r="DO150" s="47">
        <v>0</v>
      </c>
      <c r="DP150" s="47">
        <v>0</v>
      </c>
      <c r="DQ150" s="47">
        <v>0</v>
      </c>
      <c r="DR150" s="47">
        <v>0</v>
      </c>
    </row>
    <row r="151" spans="1:124" x14ac:dyDescent="0.25">
      <c r="A151" s="47" t="s">
        <v>847</v>
      </c>
      <c r="B151" s="47" t="s">
        <v>151</v>
      </c>
      <c r="C151" s="47" t="s">
        <v>848</v>
      </c>
      <c r="D151" s="47" t="s">
        <v>849</v>
      </c>
      <c r="E151" s="47" t="s">
        <v>850</v>
      </c>
      <c r="F151" s="47" t="s">
        <v>380</v>
      </c>
      <c r="G151" s="47" t="s">
        <v>421</v>
      </c>
      <c r="H151" s="47" t="str">
        <f>=IFERROR(VLOOKUP(A151,'ETPT Format DDG'!A:J,10,FALSE),"")</f>
        <v>0</v>
      </c>
      <c r="I151" s="47" t="str">
        <f>='ETPT Format DDG'!M151</f>
        <v/>
      </c>
      <c r="J151" s="47" t="str">
        <f>='ETPT Format DDG'!D151</f>
        <v/>
      </c>
      <c r="K151" s="47" t="s">
        <v>155</v>
      </c>
      <c r="L151" s="47" t="s">
        <v>176</v>
      </c>
      <c r="M151" s="47"/>
      <c r="N151" s="47">
        <v>1</v>
      </c>
      <c r="O151" s="47">
        <v>0</v>
      </c>
      <c r="P151" s="47">
        <v>0</v>
      </c>
      <c r="Q151" s="47">
        <v>0</v>
      </c>
      <c r="R151" s="47">
        <v>0</v>
      </c>
      <c r="S151" s="47">
        <v>0</v>
      </c>
      <c r="T151" s="47">
        <v>0</v>
      </c>
      <c r="U151" s="47">
        <v>0</v>
      </c>
      <c r="V151" s="47">
        <v>0</v>
      </c>
      <c r="W151" s="47">
        <v>0</v>
      </c>
      <c r="X151" s="47">
        <v>0</v>
      </c>
      <c r="Y151" s="47">
        <v>0</v>
      </c>
      <c r="Z151" s="47">
        <v>0</v>
      </c>
      <c r="AA151" s="47">
        <v>0</v>
      </c>
      <c r="AB151" s="47">
        <v>0</v>
      </c>
      <c r="AC151" s="47">
        <v>0</v>
      </c>
      <c r="AD151" s="47">
        <v>0</v>
      </c>
      <c r="AE151" s="47">
        <v>0</v>
      </c>
      <c r="AF151" s="47">
        <v>0</v>
      </c>
      <c r="AG151" s="47">
        <v>0</v>
      </c>
      <c r="AH151" s="47">
        <v>0</v>
      </c>
      <c r="AI151" s="47">
        <v>0</v>
      </c>
      <c r="AJ151" s="47">
        <v>0</v>
      </c>
      <c r="AK151" s="47">
        <v>0</v>
      </c>
      <c r="AL151" s="47">
        <v>0</v>
      </c>
      <c r="AM151" s="47">
        <v>0</v>
      </c>
      <c r="AN151" s="47">
        <v>0</v>
      </c>
      <c r="AO151" s="47">
        <v>0</v>
      </c>
      <c r="AP151" s="47">
        <v>0</v>
      </c>
      <c r="AQ151" s="47">
        <v>0</v>
      </c>
      <c r="AR151" s="47">
        <v>0</v>
      </c>
      <c r="AS151" s="47">
        <v>0</v>
      </c>
      <c r="AT151" s="47">
        <v>0</v>
      </c>
      <c r="AU151" s="47">
        <v>0</v>
      </c>
      <c r="AV151" s="47">
        <v>0</v>
      </c>
      <c r="AW151" s="47">
        <v>0</v>
      </c>
      <c r="AX151" s="47">
        <v>0</v>
      </c>
      <c r="AY151" s="47">
        <v>0</v>
      </c>
      <c r="AZ151" s="47">
        <v>0</v>
      </c>
      <c r="BA151" s="47">
        <v>0</v>
      </c>
      <c r="BB151" s="47">
        <v>0</v>
      </c>
      <c r="BC151" s="47">
        <v>0</v>
      </c>
      <c r="BD151" s="47">
        <v>0</v>
      </c>
      <c r="BE151" s="47">
        <v>0</v>
      </c>
      <c r="BF151" s="47">
        <v>0</v>
      </c>
      <c r="BG151" s="47">
        <v>0</v>
      </c>
      <c r="BH151" s="47">
        <v>0</v>
      </c>
      <c r="BI151" s="47">
        <v>0</v>
      </c>
      <c r="BJ151" s="47">
        <v>0</v>
      </c>
      <c r="BK151" s="47">
        <v>0</v>
      </c>
      <c r="BL151" s="47">
        <v>0</v>
      </c>
      <c r="BM151" s="47">
        <v>0</v>
      </c>
      <c r="BN151" s="47">
        <v>0</v>
      </c>
      <c r="BO151" s="47">
        <v>0</v>
      </c>
      <c r="BP151" s="47">
        <v>0</v>
      </c>
      <c r="BQ151" s="47">
        <v>0</v>
      </c>
      <c r="BR151" s="47">
        <v>0</v>
      </c>
      <c r="BS151" s="47">
        <v>0</v>
      </c>
      <c r="BT151" s="47">
        <v>0</v>
      </c>
      <c r="BU151" s="47">
        <v>0</v>
      </c>
      <c r="BV151" s="47">
        <v>0</v>
      </c>
      <c r="BW151" s="47">
        <v>0</v>
      </c>
      <c r="BX151" s="47">
        <v>0</v>
      </c>
      <c r="BY151" s="47">
        <v>0</v>
      </c>
      <c r="BZ151" s="47">
        <v>0</v>
      </c>
      <c r="CA151" s="47">
        <v>0</v>
      </c>
      <c r="CB151" s="47">
        <v>0</v>
      </c>
      <c r="CC151" s="47">
        <v>0</v>
      </c>
      <c r="CD151" s="47">
        <v>0</v>
      </c>
      <c r="CE151" s="47">
        <v>0</v>
      </c>
      <c r="CF151" s="47">
        <v>0</v>
      </c>
      <c r="CG151" s="47">
        <v>0</v>
      </c>
      <c r="CH151" s="47">
        <v>0</v>
      </c>
      <c r="CI151" s="47">
        <v>0</v>
      </c>
      <c r="CJ151" s="47">
        <v>0</v>
      </c>
      <c r="CK151" s="47">
        <v>0</v>
      </c>
      <c r="CL151" s="47">
        <v>0</v>
      </c>
      <c r="CM151" s="47">
        <v>0</v>
      </c>
      <c r="CN151" s="47">
        <v>0</v>
      </c>
      <c r="CO151" s="47">
        <v>0</v>
      </c>
      <c r="CP151" s="47">
        <v>0</v>
      </c>
      <c r="CQ151" s="47">
        <v>0</v>
      </c>
      <c r="CR151" s="47">
        <v>0</v>
      </c>
      <c r="CS151" s="47">
        <v>0</v>
      </c>
      <c r="CT151" s="47">
        <v>0</v>
      </c>
      <c r="CU151" s="47">
        <v>0</v>
      </c>
      <c r="CV151" s="47">
        <v>0</v>
      </c>
      <c r="CW151" s="47">
        <v>0</v>
      </c>
      <c r="CX151" s="47">
        <v>0</v>
      </c>
      <c r="CY151" s="47">
        <v>0</v>
      </c>
      <c r="CZ151" s="47">
        <v>0</v>
      </c>
      <c r="DA151" s="47">
        <v>0</v>
      </c>
      <c r="DB151" s="47">
        <v>0</v>
      </c>
      <c r="DC151" s="47">
        <v>0</v>
      </c>
      <c r="DD151" s="47">
        <v>0</v>
      </c>
      <c r="DE151" s="47">
        <v>0</v>
      </c>
      <c r="DF151" s="47">
        <v>0</v>
      </c>
      <c r="DG151" s="47">
        <v>0</v>
      </c>
      <c r="DH151" s="47">
        <v>0</v>
      </c>
      <c r="DI151" s="47">
        <v>0</v>
      </c>
      <c r="DJ151" s="47">
        <v>0</v>
      </c>
      <c r="DK151" s="47">
        <v>0</v>
      </c>
      <c r="DL151" s="47">
        <v>0</v>
      </c>
      <c r="DM151" s="47">
        <v>0</v>
      </c>
      <c r="DN151" s="47">
        <v>0</v>
      </c>
      <c r="DO151" s="47">
        <v>0</v>
      </c>
      <c r="DP151" s="47">
        <v>0</v>
      </c>
      <c r="DQ151" s="47">
        <v>0</v>
      </c>
      <c r="DR151" s="47">
        <v>0</v>
      </c>
    </row>
    <row r="152" spans="1:124" x14ac:dyDescent="0.25">
      <c r="A152" s="47" t="s">
        <v>851</v>
      </c>
      <c r="B152" s="47" t="s">
        <v>151</v>
      </c>
      <c r="C152" s="47" t="s">
        <v>852</v>
      </c>
      <c r="D152" s="47" t="s">
        <v>853</v>
      </c>
      <c r="E152" s="47" t="s">
        <v>779</v>
      </c>
      <c r="F152" s="47" t="s">
        <v>380</v>
      </c>
      <c r="G152" s="47" t="s">
        <v>411</v>
      </c>
      <c r="H152" s="47" t="str">
        <f>=IFERROR(VLOOKUP(A152,'ETPT Format DDG'!A:J,10,FALSE),"")</f>
        <v>0</v>
      </c>
      <c r="I152" s="47" t="str">
        <f>='ETPT Format DDG'!M152</f>
        <v/>
      </c>
      <c r="J152" s="47" t="str">
        <f>='ETPT Format DDG'!D152</f>
        <v/>
      </c>
      <c r="K152" s="47" t="s">
        <v>155</v>
      </c>
      <c r="L152" s="47" t="s">
        <v>208</v>
      </c>
      <c r="M152" s="47"/>
      <c r="N152" s="47">
        <v>1</v>
      </c>
      <c r="O152" s="47">
        <v>1</v>
      </c>
      <c r="P152" s="47">
        <v>0</v>
      </c>
      <c r="Q152" s="47">
        <v>0</v>
      </c>
      <c r="R152" s="47">
        <v>0</v>
      </c>
      <c r="S152" s="47">
        <v>0</v>
      </c>
      <c r="T152" s="47">
        <v>0</v>
      </c>
      <c r="U152" s="47">
        <v>0</v>
      </c>
      <c r="V152" s="47">
        <v>0</v>
      </c>
      <c r="W152" s="47">
        <v>0</v>
      </c>
      <c r="X152" s="47">
        <v>0</v>
      </c>
      <c r="Y152" s="47">
        <v>0</v>
      </c>
      <c r="Z152" s="47">
        <v>0</v>
      </c>
      <c r="AA152" s="47">
        <v>0</v>
      </c>
      <c r="AB152" s="47">
        <v>0</v>
      </c>
      <c r="AC152" s="47">
        <v>0</v>
      </c>
      <c r="AD152" s="47">
        <v>0</v>
      </c>
      <c r="AE152" s="47">
        <v>0</v>
      </c>
      <c r="AF152" s="47">
        <v>0</v>
      </c>
      <c r="AG152" s="47">
        <v>0</v>
      </c>
      <c r="AH152" s="47">
        <v>0</v>
      </c>
      <c r="AI152" s="47">
        <v>0</v>
      </c>
      <c r="AJ152" s="47">
        <v>0</v>
      </c>
      <c r="AK152" s="47">
        <v>0</v>
      </c>
      <c r="AL152" s="47">
        <v>0</v>
      </c>
      <c r="AM152" s="47">
        <v>0</v>
      </c>
      <c r="AN152" s="47">
        <v>0</v>
      </c>
      <c r="AO152" s="47">
        <v>0</v>
      </c>
      <c r="AP152" s="47">
        <v>0</v>
      </c>
      <c r="AQ152" s="47">
        <v>0</v>
      </c>
      <c r="AR152" s="47">
        <v>0</v>
      </c>
      <c r="AS152" s="47">
        <v>0</v>
      </c>
      <c r="AT152" s="47">
        <v>0</v>
      </c>
      <c r="AU152" s="47">
        <v>0</v>
      </c>
      <c r="AV152" s="47">
        <v>0</v>
      </c>
      <c r="AW152" s="47">
        <v>0</v>
      </c>
      <c r="AX152" s="47">
        <v>0</v>
      </c>
      <c r="AY152" s="47">
        <v>0</v>
      </c>
      <c r="AZ152" s="47">
        <v>0</v>
      </c>
      <c r="BA152" s="47">
        <v>0</v>
      </c>
      <c r="BB152" s="47">
        <v>0</v>
      </c>
      <c r="BC152" s="47">
        <v>0</v>
      </c>
      <c r="BD152" s="47">
        <v>0</v>
      </c>
      <c r="BE152" s="47">
        <v>0</v>
      </c>
      <c r="BF152" s="47">
        <v>0</v>
      </c>
      <c r="BG152" s="47">
        <v>0</v>
      </c>
      <c r="BH152" s="47">
        <v>0</v>
      </c>
      <c r="BI152" s="47">
        <v>0</v>
      </c>
      <c r="BJ152" s="47">
        <v>0</v>
      </c>
      <c r="BK152" s="47">
        <v>0</v>
      </c>
      <c r="BL152" s="47">
        <v>0</v>
      </c>
      <c r="BM152" s="47">
        <v>0</v>
      </c>
      <c r="BN152" s="47">
        <v>0</v>
      </c>
      <c r="BO152" s="47">
        <v>0</v>
      </c>
      <c r="BP152" s="47">
        <v>0</v>
      </c>
      <c r="BQ152" s="47">
        <v>0</v>
      </c>
      <c r="BR152" s="47">
        <v>0</v>
      </c>
      <c r="BS152" s="47">
        <v>0</v>
      </c>
      <c r="BT152" s="47">
        <v>0</v>
      </c>
      <c r="BU152" s="47">
        <v>0</v>
      </c>
      <c r="BV152" s="47">
        <v>0</v>
      </c>
      <c r="BW152" s="47">
        <v>0</v>
      </c>
      <c r="BX152" s="47">
        <v>0</v>
      </c>
      <c r="BY152" s="47">
        <v>0</v>
      </c>
      <c r="BZ152" s="47">
        <v>0</v>
      </c>
      <c r="CA152" s="47">
        <v>0</v>
      </c>
      <c r="CB152" s="47">
        <v>0</v>
      </c>
      <c r="CC152" s="47">
        <v>0</v>
      </c>
      <c r="CD152" s="47">
        <v>0</v>
      </c>
      <c r="CE152" s="47">
        <v>0</v>
      </c>
      <c r="CF152" s="47">
        <v>0</v>
      </c>
      <c r="CG152" s="47">
        <v>0</v>
      </c>
      <c r="CH152" s="47">
        <v>0</v>
      </c>
      <c r="CI152" s="47">
        <v>0</v>
      </c>
      <c r="CJ152" s="47">
        <v>0</v>
      </c>
      <c r="CK152" s="47">
        <v>0</v>
      </c>
      <c r="CL152" s="47">
        <v>0</v>
      </c>
      <c r="CM152" s="47">
        <v>0</v>
      </c>
      <c r="CN152" s="47">
        <v>0</v>
      </c>
      <c r="CO152" s="47">
        <v>0</v>
      </c>
      <c r="CP152" s="47">
        <v>0</v>
      </c>
      <c r="CQ152" s="47">
        <v>0</v>
      </c>
      <c r="CR152" s="47">
        <v>0</v>
      </c>
      <c r="CS152" s="47">
        <v>0</v>
      </c>
      <c r="CT152" s="47">
        <v>1</v>
      </c>
      <c r="CU152" s="47">
        <v>0</v>
      </c>
      <c r="CV152" s="47">
        <v>0</v>
      </c>
      <c r="CW152" s="47">
        <v>0</v>
      </c>
      <c r="CX152" s="47">
        <v>0</v>
      </c>
      <c r="CY152" s="47">
        <v>0</v>
      </c>
      <c r="CZ152" s="47">
        <v>1</v>
      </c>
      <c r="DA152" s="47">
        <v>0</v>
      </c>
      <c r="DB152" s="47">
        <v>0</v>
      </c>
      <c r="DC152" s="47">
        <v>0</v>
      </c>
      <c r="DD152" s="47">
        <v>0</v>
      </c>
      <c r="DE152" s="47">
        <v>0</v>
      </c>
      <c r="DF152" s="47">
        <v>0</v>
      </c>
      <c r="DG152" s="47">
        <v>0</v>
      </c>
      <c r="DH152" s="47">
        <v>0</v>
      </c>
      <c r="DI152" s="47">
        <v>0</v>
      </c>
      <c r="DJ152" s="47">
        <v>0</v>
      </c>
      <c r="DK152" s="47">
        <v>0</v>
      </c>
      <c r="DL152" s="47">
        <v>0</v>
      </c>
      <c r="DM152" s="47">
        <v>0</v>
      </c>
      <c r="DN152" s="47">
        <v>0</v>
      </c>
      <c r="DO152" s="47">
        <v>0</v>
      </c>
      <c r="DP152" s="47">
        <v>0</v>
      </c>
      <c r="DQ152" s="47">
        <v>0</v>
      </c>
      <c r="DR152" s="47">
        <v>0</v>
      </c>
    </row>
    <row r="153" spans="1:124" x14ac:dyDescent="0.25">
      <c r="A153" s="47" t="s">
        <v>854</v>
      </c>
      <c r="B153" s="47" t="s">
        <v>151</v>
      </c>
      <c r="C153" s="47" t="s">
        <v>855</v>
      </c>
      <c r="D153" s="47" t="s">
        <v>856</v>
      </c>
      <c r="E153" s="47" t="s">
        <v>857</v>
      </c>
      <c r="F153" s="47" t="s">
        <v>380</v>
      </c>
      <c r="G153" s="47" t="s">
        <v>381</v>
      </c>
      <c r="H153" s="47" t="str">
        <f>=IFERROR(VLOOKUP(A153,'ETPT Format DDG'!A:J,10,FALSE),"")</f>
        <v>0</v>
      </c>
      <c r="I153" s="47" t="str">
        <f>='ETPT Format DDG'!M153</f>
        <v/>
      </c>
      <c r="J153" s="47" t="str">
        <f>='ETPT Format DDG'!D153</f>
        <v/>
      </c>
      <c r="K153" s="47" t="s">
        <v>155</v>
      </c>
      <c r="L153" s="47" t="s">
        <v>475</v>
      </c>
      <c r="M153" s="47"/>
      <c r="N153" s="47">
        <v>1</v>
      </c>
      <c r="O153" s="47">
        <v>0</v>
      </c>
      <c r="P153" s="47">
        <v>0</v>
      </c>
      <c r="Q153" s="47">
        <v>0</v>
      </c>
      <c r="R153" s="47">
        <v>0</v>
      </c>
      <c r="S153" s="47">
        <v>0</v>
      </c>
      <c r="T153" s="47">
        <v>0</v>
      </c>
      <c r="U153" s="47">
        <v>0</v>
      </c>
      <c r="V153" s="47">
        <v>0</v>
      </c>
      <c r="W153" s="47">
        <v>0</v>
      </c>
      <c r="X153" s="47">
        <v>0</v>
      </c>
      <c r="Y153" s="47">
        <v>0</v>
      </c>
      <c r="Z153" s="47">
        <v>0</v>
      </c>
      <c r="AA153" s="47">
        <v>0</v>
      </c>
      <c r="AB153" s="47">
        <v>0</v>
      </c>
      <c r="AC153" s="47">
        <v>0</v>
      </c>
      <c r="AD153" s="47">
        <v>0</v>
      </c>
      <c r="AE153" s="47">
        <v>0</v>
      </c>
      <c r="AF153" s="47">
        <v>0</v>
      </c>
      <c r="AG153" s="47">
        <v>0</v>
      </c>
      <c r="AH153" s="47">
        <v>0</v>
      </c>
      <c r="AI153" s="47">
        <v>0</v>
      </c>
      <c r="AJ153" s="47">
        <v>0</v>
      </c>
      <c r="AK153" s="47">
        <v>0</v>
      </c>
      <c r="AL153" s="47">
        <v>0</v>
      </c>
      <c r="AM153" s="47">
        <v>0</v>
      </c>
      <c r="AN153" s="47">
        <v>0</v>
      </c>
      <c r="AO153" s="47">
        <v>0</v>
      </c>
      <c r="AP153" s="47">
        <v>0</v>
      </c>
      <c r="AQ153" s="47">
        <v>0</v>
      </c>
      <c r="AR153" s="47">
        <v>0</v>
      </c>
      <c r="AS153" s="47">
        <v>0</v>
      </c>
      <c r="AT153" s="47">
        <v>0</v>
      </c>
      <c r="AU153" s="47">
        <v>0</v>
      </c>
      <c r="AV153" s="47">
        <v>0</v>
      </c>
      <c r="AW153" s="47">
        <v>0</v>
      </c>
      <c r="AX153" s="47">
        <v>0</v>
      </c>
      <c r="AY153" s="47">
        <v>0</v>
      </c>
      <c r="AZ153" s="47">
        <v>0</v>
      </c>
      <c r="BA153" s="47">
        <v>0</v>
      </c>
      <c r="BB153" s="47">
        <v>0</v>
      </c>
      <c r="BC153" s="47">
        <v>0</v>
      </c>
      <c r="BD153" s="47">
        <v>0</v>
      </c>
      <c r="BE153" s="47">
        <v>0</v>
      </c>
      <c r="BF153" s="47">
        <v>0</v>
      </c>
      <c r="BG153" s="47">
        <v>0</v>
      </c>
      <c r="BH153" s="47">
        <v>0</v>
      </c>
      <c r="BI153" s="47">
        <v>0</v>
      </c>
      <c r="BJ153" s="47">
        <v>0</v>
      </c>
      <c r="BK153" s="47">
        <v>0</v>
      </c>
      <c r="BL153" s="47">
        <v>0</v>
      </c>
      <c r="BM153" s="47">
        <v>0</v>
      </c>
      <c r="BN153" s="47">
        <v>0</v>
      </c>
      <c r="BO153" s="47">
        <v>0</v>
      </c>
      <c r="BP153" s="47">
        <v>0</v>
      </c>
      <c r="BQ153" s="47">
        <v>0</v>
      </c>
      <c r="BR153" s="47">
        <v>0</v>
      </c>
      <c r="BS153" s="47">
        <v>0</v>
      </c>
      <c r="BT153" s="47">
        <v>0</v>
      </c>
      <c r="BU153" s="47">
        <v>0</v>
      </c>
      <c r="BV153" s="47">
        <v>0</v>
      </c>
      <c r="BW153" s="47">
        <v>0</v>
      </c>
      <c r="BX153" s="47">
        <v>0</v>
      </c>
      <c r="BY153" s="47">
        <v>0</v>
      </c>
      <c r="BZ153" s="47">
        <v>0</v>
      </c>
      <c r="CA153" s="47">
        <v>0</v>
      </c>
      <c r="CB153" s="47">
        <v>0</v>
      </c>
      <c r="CC153" s="47">
        <v>0</v>
      </c>
      <c r="CD153" s="47">
        <v>0</v>
      </c>
      <c r="CE153" s="47">
        <v>0</v>
      </c>
      <c r="CF153" s="47">
        <v>0</v>
      </c>
      <c r="CG153" s="47">
        <v>0</v>
      </c>
      <c r="CH153" s="47">
        <v>0</v>
      </c>
      <c r="CI153" s="47">
        <v>0</v>
      </c>
      <c r="CJ153" s="47">
        <v>0</v>
      </c>
      <c r="CK153" s="47">
        <v>0</v>
      </c>
      <c r="CL153" s="47">
        <v>0</v>
      </c>
      <c r="CM153" s="47">
        <v>0</v>
      </c>
      <c r="CN153" s="47">
        <v>0</v>
      </c>
      <c r="CO153" s="47">
        <v>0</v>
      </c>
      <c r="CP153" s="47">
        <v>0</v>
      </c>
      <c r="CQ153" s="47">
        <v>0</v>
      </c>
      <c r="CR153" s="47">
        <v>0</v>
      </c>
      <c r="CS153" s="47">
        <v>0</v>
      </c>
      <c r="CT153" s="47">
        <v>0</v>
      </c>
      <c r="CU153" s="47">
        <v>0</v>
      </c>
      <c r="CV153" s="47">
        <v>0</v>
      </c>
      <c r="CW153" s="47">
        <v>0</v>
      </c>
      <c r="CX153" s="47">
        <v>0</v>
      </c>
      <c r="CY153" s="47">
        <v>0</v>
      </c>
      <c r="CZ153" s="47">
        <v>0</v>
      </c>
      <c r="DA153" s="47">
        <v>0</v>
      </c>
      <c r="DB153" s="47">
        <v>0</v>
      </c>
      <c r="DC153" s="47">
        <v>0</v>
      </c>
      <c r="DD153" s="47">
        <v>0</v>
      </c>
      <c r="DE153" s="47">
        <v>0</v>
      </c>
      <c r="DF153" s="47">
        <v>0</v>
      </c>
      <c r="DG153" s="47">
        <v>0</v>
      </c>
      <c r="DH153" s="47">
        <v>0</v>
      </c>
      <c r="DI153" s="47">
        <v>0</v>
      </c>
      <c r="DJ153" s="47">
        <v>0</v>
      </c>
      <c r="DK153" s="47">
        <v>0</v>
      </c>
      <c r="DL153" s="47">
        <v>0</v>
      </c>
      <c r="DM153" s="47">
        <v>0</v>
      </c>
      <c r="DN153" s="47">
        <v>0</v>
      </c>
      <c r="DO153" s="47">
        <v>0</v>
      </c>
      <c r="DP153" s="47">
        <v>0</v>
      </c>
      <c r="DQ153" s="47">
        <v>0</v>
      </c>
      <c r="DR153" s="47">
        <v>0</v>
      </c>
    </row>
    <row r="154" spans="1:124" x14ac:dyDescent="0.25">
      <c r="A154" s="47" t="s">
        <v>858</v>
      </c>
      <c r="B154" s="47" t="s">
        <v>151</v>
      </c>
      <c r="C154" s="47" t="s">
        <v>859</v>
      </c>
      <c r="D154" s="47" t="s">
        <v>860</v>
      </c>
      <c r="E154" s="47" t="s">
        <v>241</v>
      </c>
      <c r="F154" s="47" t="s">
        <v>380</v>
      </c>
      <c r="G154" s="47" t="s">
        <v>421</v>
      </c>
      <c r="H154" s="47" t="str">
        <f>=IFERROR(VLOOKUP(A154,'ETPT Format DDG'!A:J,10,FALSE),"")</f>
        <v>0</v>
      </c>
      <c r="I154" s="47" t="str">
        <f>='ETPT Format DDG'!M154</f>
        <v/>
      </c>
      <c r="J154" s="47" t="str">
        <f>='ETPT Format DDG'!D154</f>
        <v/>
      </c>
      <c r="K154" s="47" t="s">
        <v>155</v>
      </c>
      <c r="L154" s="47" t="s">
        <v>861</v>
      </c>
      <c r="M154" s="47"/>
      <c r="N154" s="47">
        <v>1</v>
      </c>
      <c r="O154" s="47">
        <v>1</v>
      </c>
      <c r="P154" s="47">
        <v>0</v>
      </c>
      <c r="Q154" s="47">
        <v>0</v>
      </c>
      <c r="R154" s="47">
        <v>0</v>
      </c>
      <c r="S154" s="47">
        <v>0</v>
      </c>
      <c r="T154" s="47">
        <v>0</v>
      </c>
      <c r="U154" s="47">
        <v>0</v>
      </c>
      <c r="V154" s="47">
        <v>0</v>
      </c>
      <c r="W154" s="47">
        <v>0</v>
      </c>
      <c r="X154" s="47">
        <v>0</v>
      </c>
      <c r="Y154" s="47">
        <v>0</v>
      </c>
      <c r="Z154" s="47">
        <v>0</v>
      </c>
      <c r="AA154" s="47">
        <v>0</v>
      </c>
      <c r="AB154" s="47">
        <v>0</v>
      </c>
      <c r="AC154" s="47">
        <v>0</v>
      </c>
      <c r="AD154" s="47">
        <v>0</v>
      </c>
      <c r="AE154" s="47">
        <v>0</v>
      </c>
      <c r="AF154" s="47">
        <v>0</v>
      </c>
      <c r="AG154" s="47">
        <v>0</v>
      </c>
      <c r="AH154" s="47">
        <v>0</v>
      </c>
      <c r="AI154" s="47">
        <v>0</v>
      </c>
      <c r="AJ154" s="47">
        <v>0</v>
      </c>
      <c r="AK154" s="47">
        <v>0</v>
      </c>
      <c r="AL154" s="47">
        <v>0</v>
      </c>
      <c r="AM154" s="47">
        <v>0</v>
      </c>
      <c r="AN154" s="47">
        <v>0</v>
      </c>
      <c r="AO154" s="47">
        <v>0</v>
      </c>
      <c r="AP154" s="47">
        <v>0</v>
      </c>
      <c r="AQ154" s="47">
        <v>0</v>
      </c>
      <c r="AR154" s="47">
        <v>0</v>
      </c>
      <c r="AS154" s="47">
        <v>0</v>
      </c>
      <c r="AT154" s="47">
        <v>0</v>
      </c>
      <c r="AU154" s="47">
        <v>0</v>
      </c>
      <c r="AV154" s="47">
        <v>0</v>
      </c>
      <c r="AW154" s="47">
        <v>0</v>
      </c>
      <c r="AX154" s="47">
        <v>0</v>
      </c>
      <c r="AY154" s="47">
        <v>0</v>
      </c>
      <c r="AZ154" s="47">
        <v>0</v>
      </c>
      <c r="BA154" s="47">
        <v>0</v>
      </c>
      <c r="BB154" s="47">
        <v>0</v>
      </c>
      <c r="BC154" s="47">
        <v>0</v>
      </c>
      <c r="BD154" s="47">
        <v>0</v>
      </c>
      <c r="BE154" s="47">
        <v>0</v>
      </c>
      <c r="BF154" s="47">
        <v>0</v>
      </c>
      <c r="BG154" s="47">
        <v>0</v>
      </c>
      <c r="BH154" s="47">
        <v>0</v>
      </c>
      <c r="BI154" s="47">
        <v>0</v>
      </c>
      <c r="BJ154" s="47">
        <v>0</v>
      </c>
      <c r="BK154" s="47">
        <v>0</v>
      </c>
      <c r="BL154" s="47">
        <v>0</v>
      </c>
      <c r="BM154" s="47">
        <v>0</v>
      </c>
      <c r="BN154" s="47">
        <v>0</v>
      </c>
      <c r="BO154" s="47">
        <v>0</v>
      </c>
      <c r="BP154" s="47">
        <v>0</v>
      </c>
      <c r="BQ154" s="47">
        <v>0</v>
      </c>
      <c r="BR154" s="47">
        <v>0</v>
      </c>
      <c r="BS154" s="47">
        <v>0</v>
      </c>
      <c r="BT154" s="47">
        <v>0</v>
      </c>
      <c r="BU154" s="47">
        <v>0</v>
      </c>
      <c r="BV154" s="47">
        <v>0</v>
      </c>
      <c r="BW154" s="47">
        <v>0</v>
      </c>
      <c r="BX154" s="47">
        <v>0</v>
      </c>
      <c r="BY154" s="47">
        <v>0</v>
      </c>
      <c r="BZ154" s="47">
        <v>0</v>
      </c>
      <c r="CA154" s="47">
        <v>0</v>
      </c>
      <c r="CB154" s="47">
        <v>0</v>
      </c>
      <c r="CC154" s="47">
        <v>0</v>
      </c>
      <c r="CD154" s="47">
        <v>0</v>
      </c>
      <c r="CE154" s="47">
        <v>0</v>
      </c>
      <c r="CF154" s="47">
        <v>0</v>
      </c>
      <c r="CG154" s="47">
        <v>0</v>
      </c>
      <c r="CH154" s="47">
        <v>0</v>
      </c>
      <c r="CI154" s="47">
        <v>0</v>
      </c>
      <c r="CJ154" s="47">
        <v>0</v>
      </c>
      <c r="CK154" s="47">
        <v>0</v>
      </c>
      <c r="CL154" s="47">
        <v>0</v>
      </c>
      <c r="CM154" s="47">
        <v>0</v>
      </c>
      <c r="CN154" s="47">
        <v>0</v>
      </c>
      <c r="CO154" s="47">
        <v>0</v>
      </c>
      <c r="CP154" s="47">
        <v>0</v>
      </c>
      <c r="CQ154" s="47">
        <v>0</v>
      </c>
      <c r="CR154" s="47">
        <v>0</v>
      </c>
      <c r="CS154" s="47">
        <v>0</v>
      </c>
      <c r="CT154" s="47">
        <v>1</v>
      </c>
      <c r="CU154" s="47">
        <v>1</v>
      </c>
      <c r="CV154" s="47">
        <v>0</v>
      </c>
      <c r="CW154" s="47">
        <v>0</v>
      </c>
      <c r="CX154" s="47">
        <v>0</v>
      </c>
      <c r="CY154" s="47">
        <v>0</v>
      </c>
      <c r="CZ154" s="47">
        <v>0</v>
      </c>
      <c r="DA154" s="47">
        <v>0</v>
      </c>
      <c r="DB154" s="47">
        <v>0</v>
      </c>
      <c r="DC154" s="47">
        <v>0</v>
      </c>
      <c r="DD154" s="47">
        <v>0</v>
      </c>
      <c r="DE154" s="47">
        <v>0</v>
      </c>
      <c r="DF154" s="47">
        <v>0</v>
      </c>
      <c r="DG154" s="47">
        <v>0</v>
      </c>
      <c r="DH154" s="47">
        <v>0</v>
      </c>
      <c r="DI154" s="47">
        <v>0</v>
      </c>
      <c r="DJ154" s="47">
        <v>0</v>
      </c>
      <c r="DK154" s="47">
        <v>0</v>
      </c>
      <c r="DL154" s="47">
        <v>0</v>
      </c>
      <c r="DM154" s="47">
        <v>0</v>
      </c>
      <c r="DN154" s="47">
        <v>0</v>
      </c>
      <c r="DO154" s="47">
        <v>0</v>
      </c>
      <c r="DP154" s="47">
        <v>0</v>
      </c>
      <c r="DQ154" s="47">
        <v>0</v>
      </c>
      <c r="DR154" s="47">
        <v>0</v>
      </c>
    </row>
    <row r="155" spans="1:124" x14ac:dyDescent="0.25">
      <c r="A155" s="47" t="s">
        <v>862</v>
      </c>
      <c r="B155" s="47" t="s">
        <v>151</v>
      </c>
      <c r="C155" s="47" t="s">
        <v>863</v>
      </c>
      <c r="D155" s="47" t="s">
        <v>864</v>
      </c>
      <c r="E155" s="47" t="s">
        <v>865</v>
      </c>
      <c r="F155" s="47" t="s">
        <v>380</v>
      </c>
      <c r="G155" s="47" t="s">
        <v>411</v>
      </c>
      <c r="H155" s="47" t="str">
        <f>=IFERROR(VLOOKUP(A155,'ETPT Format DDG'!A:J,10,FALSE),"")</f>
        <v>0</v>
      </c>
      <c r="I155" s="47" t="str">
        <f>='ETPT Format DDG'!M155</f>
        <v/>
      </c>
      <c r="J155" s="47" t="str">
        <f>='ETPT Format DDG'!D155</f>
        <v/>
      </c>
      <c r="K155" s="47" t="s">
        <v>155</v>
      </c>
      <c r="L155" s="47" t="s">
        <v>866</v>
      </c>
      <c r="M155" s="47"/>
      <c r="N155" s="47">
        <v>0.121</v>
      </c>
      <c r="O155" s="47">
        <v>0.121</v>
      </c>
      <c r="P155" s="47">
        <v>0</v>
      </c>
      <c r="Q155" s="47">
        <v>0</v>
      </c>
      <c r="R155" s="47">
        <v>0</v>
      </c>
      <c r="S155" s="47">
        <v>0</v>
      </c>
      <c r="T155" s="47">
        <v>0</v>
      </c>
      <c r="U155" s="47">
        <v>0</v>
      </c>
      <c r="V155" s="47">
        <v>0</v>
      </c>
      <c r="W155" s="47">
        <v>0</v>
      </c>
      <c r="X155" s="47">
        <v>0</v>
      </c>
      <c r="Y155" s="47">
        <v>0</v>
      </c>
      <c r="Z155" s="47">
        <v>0</v>
      </c>
      <c r="AA155" s="47">
        <v>0</v>
      </c>
      <c r="AB155" s="47">
        <v>0</v>
      </c>
      <c r="AC155" s="47">
        <v>0</v>
      </c>
      <c r="AD155" s="47">
        <v>0</v>
      </c>
      <c r="AE155" s="47">
        <v>0</v>
      </c>
      <c r="AF155" s="47">
        <v>0</v>
      </c>
      <c r="AG155" s="47">
        <v>0</v>
      </c>
      <c r="AH155" s="47">
        <v>0</v>
      </c>
      <c r="AI155" s="47">
        <v>0</v>
      </c>
      <c r="AJ155" s="47">
        <v>0</v>
      </c>
      <c r="AK155" s="47">
        <v>0</v>
      </c>
      <c r="AL155" s="47">
        <v>0</v>
      </c>
      <c r="AM155" s="47">
        <v>0</v>
      </c>
      <c r="AN155" s="47">
        <v>0</v>
      </c>
      <c r="AO155" s="47">
        <v>0</v>
      </c>
      <c r="AP155" s="47">
        <v>0</v>
      </c>
      <c r="AQ155" s="47">
        <v>0</v>
      </c>
      <c r="AR155" s="47">
        <v>0</v>
      </c>
      <c r="AS155" s="47">
        <v>0</v>
      </c>
      <c r="AT155" s="47">
        <v>0</v>
      </c>
      <c r="AU155" s="47">
        <v>0</v>
      </c>
      <c r="AV155" s="47">
        <v>0</v>
      </c>
      <c r="AW155" s="47">
        <v>0</v>
      </c>
      <c r="AX155" s="47">
        <v>0</v>
      </c>
      <c r="AY155" s="47">
        <v>0</v>
      </c>
      <c r="AZ155" s="47">
        <v>0</v>
      </c>
      <c r="BA155" s="47">
        <v>0</v>
      </c>
      <c r="BB155" s="47">
        <v>0</v>
      </c>
      <c r="BC155" s="47">
        <v>0</v>
      </c>
      <c r="BD155" s="47">
        <v>0</v>
      </c>
      <c r="BE155" s="47">
        <v>0</v>
      </c>
      <c r="BF155" s="47">
        <v>0</v>
      </c>
      <c r="BG155" s="47">
        <v>0</v>
      </c>
      <c r="BH155" s="47">
        <v>0</v>
      </c>
      <c r="BI155" s="47">
        <v>0</v>
      </c>
      <c r="BJ155" s="47">
        <v>0</v>
      </c>
      <c r="BK155" s="47">
        <v>0</v>
      </c>
      <c r="BL155" s="47">
        <v>0</v>
      </c>
      <c r="BM155" s="47">
        <v>0</v>
      </c>
      <c r="BN155" s="47">
        <v>0</v>
      </c>
      <c r="BO155" s="47">
        <v>0</v>
      </c>
      <c r="BP155" s="47">
        <v>0</v>
      </c>
      <c r="BQ155" s="47">
        <v>0</v>
      </c>
      <c r="BR155" s="47">
        <v>0</v>
      </c>
      <c r="BS155" s="47">
        <v>0</v>
      </c>
      <c r="BT155" s="47">
        <v>0</v>
      </c>
      <c r="BU155" s="47">
        <v>0</v>
      </c>
      <c r="BV155" s="47">
        <v>0</v>
      </c>
      <c r="BW155" s="47">
        <v>0</v>
      </c>
      <c r="BX155" s="47">
        <v>0</v>
      </c>
      <c r="BY155" s="47">
        <v>0</v>
      </c>
      <c r="BZ155" s="47">
        <v>0</v>
      </c>
      <c r="CA155" s="47">
        <v>0</v>
      </c>
      <c r="CB155" s="47">
        <v>0</v>
      </c>
      <c r="CC155" s="47">
        <v>0</v>
      </c>
      <c r="CD155" s="47">
        <v>0</v>
      </c>
      <c r="CE155" s="47">
        <v>0</v>
      </c>
      <c r="CF155" s="47">
        <v>0</v>
      </c>
      <c r="CG155" s="47">
        <v>0</v>
      </c>
      <c r="CH155" s="47">
        <v>0</v>
      </c>
      <c r="CI155" s="47">
        <v>0</v>
      </c>
      <c r="CJ155" s="47">
        <v>0</v>
      </c>
      <c r="CK155" s="47">
        <v>0</v>
      </c>
      <c r="CL155" s="47">
        <v>0</v>
      </c>
      <c r="CM155" s="47">
        <v>0</v>
      </c>
      <c r="CN155" s="47">
        <v>0</v>
      </c>
      <c r="CO155" s="47">
        <v>0</v>
      </c>
      <c r="CP155" s="47">
        <v>0</v>
      </c>
      <c r="CQ155" s="47">
        <v>0</v>
      </c>
      <c r="CR155" s="47">
        <v>0</v>
      </c>
      <c r="CS155" s="47">
        <v>0</v>
      </c>
      <c r="CT155" s="47">
        <v>0.121</v>
      </c>
      <c r="CU155" s="47">
        <v>0.121</v>
      </c>
      <c r="CV155" s="47">
        <v>0</v>
      </c>
      <c r="CW155" s="47">
        <v>0</v>
      </c>
      <c r="CX155" s="47">
        <v>0</v>
      </c>
      <c r="CY155" s="47">
        <v>0</v>
      </c>
      <c r="CZ155" s="47">
        <v>0</v>
      </c>
      <c r="DA155" s="47">
        <v>0</v>
      </c>
      <c r="DB155" s="47">
        <v>0</v>
      </c>
      <c r="DC155" s="47">
        <v>0</v>
      </c>
      <c r="DD155" s="47">
        <v>0</v>
      </c>
      <c r="DE155" s="47">
        <v>0</v>
      </c>
      <c r="DF155" s="47">
        <v>0.8569</v>
      </c>
      <c r="DG155" s="47">
        <v>0.7359</v>
      </c>
      <c r="DH155" s="47">
        <v>0</v>
      </c>
      <c r="DI155" s="47">
        <v>0</v>
      </c>
      <c r="DJ155" s="47">
        <v>0</v>
      </c>
      <c r="DK155" s="47">
        <v>0</v>
      </c>
      <c r="DL155" s="47">
        <v>0</v>
      </c>
      <c r="DM155" s="47">
        <v>0</v>
      </c>
      <c r="DN155" s="47">
        <v>0.121</v>
      </c>
      <c r="DO155" s="47">
        <v>0</v>
      </c>
      <c r="DP155" s="47">
        <v>0</v>
      </c>
      <c r="DQ155" s="47">
        <v>0</v>
      </c>
      <c r="DR155" s="47">
        <v>0</v>
      </c>
    </row>
    <row r="156" spans="1:124" x14ac:dyDescent="0.25">
      <c r="A156" s="47" t="s">
        <v>867</v>
      </c>
      <c r="B156" s="47" t="s">
        <v>151</v>
      </c>
      <c r="C156" s="47" t="s">
        <v>868</v>
      </c>
      <c r="D156" s="47" t="s">
        <v>869</v>
      </c>
      <c r="E156" s="47" t="s">
        <v>870</v>
      </c>
      <c r="F156" s="47" t="s">
        <v>380</v>
      </c>
      <c r="G156" s="47" t="s">
        <v>510</v>
      </c>
      <c r="H156" s="47" t="str">
        <f>=IFERROR(VLOOKUP(A156,'ETPT Format DDG'!A:J,10,FALSE),"")</f>
        <v>0</v>
      </c>
      <c r="I156" s="47" t="str">
        <f>='ETPT Format DDG'!M156</f>
        <v/>
      </c>
      <c r="J156" s="47" t="str">
        <f>='ETPT Format DDG'!D156</f>
        <v/>
      </c>
      <c r="K156" s="47" t="s">
        <v>155</v>
      </c>
      <c r="L156" s="47" t="s">
        <v>871</v>
      </c>
      <c r="M156" s="47"/>
      <c r="N156" s="47">
        <v>0.8266</v>
      </c>
      <c r="O156" s="47">
        <v>0</v>
      </c>
      <c r="P156" s="47">
        <v>0</v>
      </c>
      <c r="Q156" s="47">
        <v>0</v>
      </c>
      <c r="R156" s="47">
        <v>0</v>
      </c>
      <c r="S156" s="47">
        <v>0</v>
      </c>
      <c r="T156" s="47">
        <v>0</v>
      </c>
      <c r="U156" s="47">
        <v>0</v>
      </c>
      <c r="V156" s="47">
        <v>0</v>
      </c>
      <c r="W156" s="47">
        <v>0</v>
      </c>
      <c r="X156" s="47">
        <v>0</v>
      </c>
      <c r="Y156" s="47">
        <v>0</v>
      </c>
      <c r="Z156" s="47">
        <v>0</v>
      </c>
      <c r="AA156" s="47">
        <v>0</v>
      </c>
      <c r="AB156" s="47">
        <v>0</v>
      </c>
      <c r="AC156" s="47">
        <v>0</v>
      </c>
      <c r="AD156" s="47">
        <v>0</v>
      </c>
      <c r="AE156" s="47">
        <v>0</v>
      </c>
      <c r="AF156" s="47">
        <v>0</v>
      </c>
      <c r="AG156" s="47">
        <v>0</v>
      </c>
      <c r="AH156" s="47">
        <v>0</v>
      </c>
      <c r="AI156" s="47">
        <v>0</v>
      </c>
      <c r="AJ156" s="47">
        <v>0</v>
      </c>
      <c r="AK156" s="47">
        <v>0</v>
      </c>
      <c r="AL156" s="47">
        <v>0</v>
      </c>
      <c r="AM156" s="47">
        <v>0</v>
      </c>
      <c r="AN156" s="47">
        <v>0</v>
      </c>
      <c r="AO156" s="47">
        <v>0</v>
      </c>
      <c r="AP156" s="47">
        <v>0</v>
      </c>
      <c r="AQ156" s="47">
        <v>0</v>
      </c>
      <c r="AR156" s="47">
        <v>0</v>
      </c>
      <c r="AS156" s="47">
        <v>0</v>
      </c>
      <c r="AT156" s="47">
        <v>0</v>
      </c>
      <c r="AU156" s="47">
        <v>0</v>
      </c>
      <c r="AV156" s="47">
        <v>0</v>
      </c>
      <c r="AW156" s="47">
        <v>0</v>
      </c>
      <c r="AX156" s="47">
        <v>0</v>
      </c>
      <c r="AY156" s="47">
        <v>0</v>
      </c>
      <c r="AZ156" s="47">
        <v>0</v>
      </c>
      <c r="BA156" s="47">
        <v>0</v>
      </c>
      <c r="BB156" s="47">
        <v>0</v>
      </c>
      <c r="BC156" s="47">
        <v>0</v>
      </c>
      <c r="BD156" s="47">
        <v>0</v>
      </c>
      <c r="BE156" s="47">
        <v>0</v>
      </c>
      <c r="BF156" s="47">
        <v>0</v>
      </c>
      <c r="BG156" s="47">
        <v>0</v>
      </c>
      <c r="BH156" s="47">
        <v>0</v>
      </c>
      <c r="BI156" s="47">
        <v>0</v>
      </c>
      <c r="BJ156" s="47">
        <v>0</v>
      </c>
      <c r="BK156" s="47">
        <v>0</v>
      </c>
      <c r="BL156" s="47">
        <v>0</v>
      </c>
      <c r="BM156" s="47">
        <v>0</v>
      </c>
      <c r="BN156" s="47">
        <v>0</v>
      </c>
      <c r="BO156" s="47">
        <v>0</v>
      </c>
      <c r="BP156" s="47">
        <v>0</v>
      </c>
      <c r="BQ156" s="47">
        <v>0</v>
      </c>
      <c r="BR156" s="47">
        <v>0</v>
      </c>
      <c r="BS156" s="47">
        <v>0</v>
      </c>
      <c r="BT156" s="47">
        <v>0</v>
      </c>
      <c r="BU156" s="47">
        <v>0</v>
      </c>
      <c r="BV156" s="47">
        <v>0</v>
      </c>
      <c r="BW156" s="47">
        <v>0</v>
      </c>
      <c r="BX156" s="47">
        <v>0</v>
      </c>
      <c r="BY156" s="47">
        <v>0</v>
      </c>
      <c r="BZ156" s="47">
        <v>0</v>
      </c>
      <c r="CA156" s="47">
        <v>0</v>
      </c>
      <c r="CB156" s="47">
        <v>0</v>
      </c>
      <c r="CC156" s="47">
        <v>0</v>
      </c>
      <c r="CD156" s="47">
        <v>0</v>
      </c>
      <c r="CE156" s="47">
        <v>0</v>
      </c>
      <c r="CF156" s="47">
        <v>0</v>
      </c>
      <c r="CG156" s="47">
        <v>0</v>
      </c>
      <c r="CH156" s="47">
        <v>0</v>
      </c>
      <c r="CI156" s="47">
        <v>0</v>
      </c>
      <c r="CJ156" s="47">
        <v>0</v>
      </c>
      <c r="CK156" s="47">
        <v>0</v>
      </c>
      <c r="CL156" s="47">
        <v>0</v>
      </c>
      <c r="CM156" s="47">
        <v>0</v>
      </c>
      <c r="CN156" s="47">
        <v>0</v>
      </c>
      <c r="CO156" s="47">
        <v>0</v>
      </c>
      <c r="CP156" s="47">
        <v>0</v>
      </c>
      <c r="CQ156" s="47">
        <v>0</v>
      </c>
      <c r="CR156" s="47">
        <v>0</v>
      </c>
      <c r="CS156" s="47">
        <v>0</v>
      </c>
      <c r="CT156" s="47">
        <v>0</v>
      </c>
      <c r="CU156" s="47">
        <v>0</v>
      </c>
      <c r="CV156" s="47">
        <v>0</v>
      </c>
      <c r="CW156" s="47">
        <v>0</v>
      </c>
      <c r="CX156" s="47">
        <v>0</v>
      </c>
      <c r="CY156" s="47">
        <v>0</v>
      </c>
      <c r="CZ156" s="47">
        <v>0</v>
      </c>
      <c r="DA156" s="47">
        <v>0</v>
      </c>
      <c r="DB156" s="47">
        <v>0</v>
      </c>
      <c r="DC156" s="47">
        <v>0</v>
      </c>
      <c r="DD156" s="47">
        <v>0</v>
      </c>
      <c r="DE156" s="47">
        <v>0</v>
      </c>
      <c r="DF156" s="47">
        <v>0</v>
      </c>
      <c r="DG156" s="47">
        <v>0</v>
      </c>
      <c r="DH156" s="47">
        <v>0</v>
      </c>
      <c r="DI156" s="47">
        <v>0</v>
      </c>
      <c r="DJ156" s="47">
        <v>0</v>
      </c>
      <c r="DK156" s="47">
        <v>0</v>
      </c>
      <c r="DL156" s="47">
        <v>0</v>
      </c>
      <c r="DM156" s="47">
        <v>0</v>
      </c>
      <c r="DN156" s="47">
        <v>0</v>
      </c>
      <c r="DO156" s="47">
        <v>0</v>
      </c>
      <c r="DP156" s="47">
        <v>0</v>
      </c>
      <c r="DQ156" s="47">
        <v>0</v>
      </c>
      <c r="DR156" s="47">
        <v>0</v>
      </c>
    </row>
    <row r="157" spans="1:124" x14ac:dyDescent="0.25">
      <c r="A157" s="47" t="s">
        <v>872</v>
      </c>
      <c r="B157" s="47" t="s">
        <v>151</v>
      </c>
      <c r="C157" s="47" t="s">
        <v>873</v>
      </c>
      <c r="D157" s="47" t="s">
        <v>874</v>
      </c>
      <c r="E157" s="47" t="s">
        <v>875</v>
      </c>
      <c r="F157" s="47" t="s">
        <v>380</v>
      </c>
      <c r="G157" s="47" t="s">
        <v>381</v>
      </c>
      <c r="H157" s="47" t="str">
        <f>=IFERROR(VLOOKUP(A157,'ETPT Format DDG'!A:J,10,FALSE),"")</f>
        <v>0</v>
      </c>
      <c r="I157" s="47" t="str">
        <f>='ETPT Format DDG'!M157</f>
        <v/>
      </c>
      <c r="J157" s="47" t="str">
        <f>='ETPT Format DDG'!D157</f>
        <v/>
      </c>
      <c r="K157" s="47" t="s">
        <v>155</v>
      </c>
      <c r="L157" s="47" t="s">
        <v>601</v>
      </c>
      <c r="M157" s="47"/>
      <c r="N157" s="47">
        <v>1</v>
      </c>
      <c r="O157" s="47">
        <v>0</v>
      </c>
      <c r="P157" s="47">
        <v>0</v>
      </c>
      <c r="Q157" s="47">
        <v>0</v>
      </c>
      <c r="R157" s="47">
        <v>0</v>
      </c>
      <c r="S157" s="47">
        <v>0</v>
      </c>
      <c r="T157" s="47">
        <v>0</v>
      </c>
      <c r="U157" s="47">
        <v>0</v>
      </c>
      <c r="V157" s="47">
        <v>0</v>
      </c>
      <c r="W157" s="47">
        <v>0</v>
      </c>
      <c r="X157" s="47">
        <v>0</v>
      </c>
      <c r="Y157" s="47">
        <v>0</v>
      </c>
      <c r="Z157" s="47">
        <v>0</v>
      </c>
      <c r="AA157" s="47">
        <v>0</v>
      </c>
      <c r="AB157" s="47">
        <v>0</v>
      </c>
      <c r="AC157" s="47">
        <v>0</v>
      </c>
      <c r="AD157" s="47">
        <v>0</v>
      </c>
      <c r="AE157" s="47">
        <v>0</v>
      </c>
      <c r="AF157" s="47">
        <v>0</v>
      </c>
      <c r="AG157" s="47">
        <v>0</v>
      </c>
      <c r="AH157" s="47">
        <v>0</v>
      </c>
      <c r="AI157" s="47">
        <v>0</v>
      </c>
      <c r="AJ157" s="47">
        <v>0</v>
      </c>
      <c r="AK157" s="47">
        <v>0</v>
      </c>
      <c r="AL157" s="47">
        <v>0</v>
      </c>
      <c r="AM157" s="47">
        <v>0</v>
      </c>
      <c r="AN157" s="47">
        <v>0</v>
      </c>
      <c r="AO157" s="47">
        <v>0</v>
      </c>
      <c r="AP157" s="47">
        <v>0</v>
      </c>
      <c r="AQ157" s="47">
        <v>0</v>
      </c>
      <c r="AR157" s="47">
        <v>0</v>
      </c>
      <c r="AS157" s="47">
        <v>0</v>
      </c>
      <c r="AT157" s="47">
        <v>0</v>
      </c>
      <c r="AU157" s="47">
        <v>0</v>
      </c>
      <c r="AV157" s="47">
        <v>0</v>
      </c>
      <c r="AW157" s="47">
        <v>0</v>
      </c>
      <c r="AX157" s="47">
        <v>0</v>
      </c>
      <c r="AY157" s="47">
        <v>0</v>
      </c>
      <c r="AZ157" s="47">
        <v>0</v>
      </c>
      <c r="BA157" s="47">
        <v>0</v>
      </c>
      <c r="BB157" s="47">
        <v>0</v>
      </c>
      <c r="BC157" s="47">
        <v>0</v>
      </c>
      <c r="BD157" s="47">
        <v>0</v>
      </c>
      <c r="BE157" s="47">
        <v>0</v>
      </c>
      <c r="BF157" s="47">
        <v>0</v>
      </c>
      <c r="BG157" s="47">
        <v>0</v>
      </c>
      <c r="BH157" s="47">
        <v>0</v>
      </c>
      <c r="BI157" s="47">
        <v>0</v>
      </c>
      <c r="BJ157" s="47">
        <v>0</v>
      </c>
      <c r="BK157" s="47">
        <v>0</v>
      </c>
      <c r="BL157" s="47">
        <v>0</v>
      </c>
      <c r="BM157" s="47">
        <v>0</v>
      </c>
      <c r="BN157" s="47">
        <v>0</v>
      </c>
      <c r="BO157" s="47">
        <v>0</v>
      </c>
      <c r="BP157" s="47">
        <v>0</v>
      </c>
      <c r="BQ157" s="47">
        <v>0</v>
      </c>
      <c r="BR157" s="47">
        <v>0</v>
      </c>
      <c r="BS157" s="47">
        <v>0</v>
      </c>
      <c r="BT157" s="47">
        <v>0</v>
      </c>
      <c r="BU157" s="47">
        <v>0</v>
      </c>
      <c r="BV157" s="47">
        <v>0</v>
      </c>
      <c r="BW157" s="47">
        <v>0</v>
      </c>
      <c r="BX157" s="47">
        <v>0</v>
      </c>
      <c r="BY157" s="47">
        <v>0</v>
      </c>
      <c r="BZ157" s="47">
        <v>0</v>
      </c>
      <c r="CA157" s="47">
        <v>0</v>
      </c>
      <c r="CB157" s="47">
        <v>0</v>
      </c>
      <c r="CC157" s="47">
        <v>0</v>
      </c>
      <c r="CD157" s="47">
        <v>0</v>
      </c>
      <c r="CE157" s="47">
        <v>0</v>
      </c>
      <c r="CF157" s="47">
        <v>0</v>
      </c>
      <c r="CG157" s="47">
        <v>0</v>
      </c>
      <c r="CH157" s="47">
        <v>0</v>
      </c>
      <c r="CI157" s="47">
        <v>0</v>
      </c>
      <c r="CJ157" s="47">
        <v>0</v>
      </c>
      <c r="CK157" s="47">
        <v>0</v>
      </c>
      <c r="CL157" s="47">
        <v>0</v>
      </c>
      <c r="CM157" s="47">
        <v>0</v>
      </c>
      <c r="CN157" s="47">
        <v>0</v>
      </c>
      <c r="CO157" s="47">
        <v>0</v>
      </c>
      <c r="CP157" s="47">
        <v>0</v>
      </c>
      <c r="CQ157" s="47">
        <v>0</v>
      </c>
      <c r="CR157" s="47">
        <v>0</v>
      </c>
      <c r="CS157" s="47">
        <v>0</v>
      </c>
      <c r="CT157" s="47">
        <v>0</v>
      </c>
      <c r="CU157" s="47">
        <v>0</v>
      </c>
      <c r="CV157" s="47">
        <v>0</v>
      </c>
      <c r="CW157" s="47">
        <v>0</v>
      </c>
      <c r="CX157" s="47">
        <v>0</v>
      </c>
      <c r="CY157" s="47">
        <v>0</v>
      </c>
      <c r="CZ157" s="47">
        <v>0</v>
      </c>
      <c r="DA157" s="47">
        <v>0</v>
      </c>
      <c r="DB157" s="47">
        <v>0</v>
      </c>
      <c r="DC157" s="47">
        <v>0</v>
      </c>
      <c r="DD157" s="47">
        <v>0</v>
      </c>
      <c r="DE157" s="47">
        <v>0</v>
      </c>
      <c r="DF157" s="47">
        <v>0</v>
      </c>
      <c r="DG157" s="47">
        <v>0</v>
      </c>
      <c r="DH157" s="47">
        <v>0</v>
      </c>
      <c r="DI157" s="47">
        <v>0</v>
      </c>
      <c r="DJ157" s="47">
        <v>0</v>
      </c>
      <c r="DK157" s="47">
        <v>0</v>
      </c>
      <c r="DL157" s="47">
        <v>0</v>
      </c>
      <c r="DM157" s="47">
        <v>0</v>
      </c>
      <c r="DN157" s="47">
        <v>0</v>
      </c>
      <c r="DO157" s="47">
        <v>0</v>
      </c>
      <c r="DP157" s="47">
        <v>0</v>
      </c>
      <c r="DQ157" s="47">
        <v>0</v>
      </c>
      <c r="DR157" s="47">
        <v>0</v>
      </c>
    </row>
    <row r="158" spans="1:124" x14ac:dyDescent="0.25">
      <c r="A158" s="47" t="s">
        <v>876</v>
      </c>
      <c r="B158" s="47" t="s">
        <v>151</v>
      </c>
      <c r="C158" s="47" t="s">
        <v>877</v>
      </c>
      <c r="D158" s="47" t="s">
        <v>878</v>
      </c>
      <c r="E158" s="47" t="s">
        <v>879</v>
      </c>
      <c r="F158" s="47" t="s">
        <v>380</v>
      </c>
      <c r="G158" s="47" t="s">
        <v>381</v>
      </c>
      <c r="H158" s="47" t="str">
        <f>=IFERROR(VLOOKUP(A158,'ETPT Format DDG'!A:J,10,FALSE),"")</f>
        <v>0</v>
      </c>
      <c r="I158" s="47" t="str">
        <f>='ETPT Format DDG'!M158</f>
        <v/>
      </c>
      <c r="J158" s="47" t="str">
        <f>='ETPT Format DDG'!D158</f>
        <v/>
      </c>
      <c r="K158" s="47" t="s">
        <v>155</v>
      </c>
      <c r="L158" s="47" t="s">
        <v>400</v>
      </c>
      <c r="M158" s="47"/>
      <c r="N158" s="47">
        <v>1</v>
      </c>
      <c r="O158" s="47">
        <v>0</v>
      </c>
      <c r="P158" s="47">
        <v>0</v>
      </c>
      <c r="Q158" s="47">
        <v>0</v>
      </c>
      <c r="R158" s="47">
        <v>0</v>
      </c>
      <c r="S158" s="47">
        <v>0</v>
      </c>
      <c r="T158" s="47">
        <v>0</v>
      </c>
      <c r="U158" s="47">
        <v>0</v>
      </c>
      <c r="V158" s="47">
        <v>0</v>
      </c>
      <c r="W158" s="47">
        <v>0</v>
      </c>
      <c r="X158" s="47">
        <v>0</v>
      </c>
      <c r="Y158" s="47">
        <v>0</v>
      </c>
      <c r="Z158" s="47">
        <v>0</v>
      </c>
      <c r="AA158" s="47">
        <v>0</v>
      </c>
      <c r="AB158" s="47">
        <v>0</v>
      </c>
      <c r="AC158" s="47">
        <v>0</v>
      </c>
      <c r="AD158" s="47">
        <v>0</v>
      </c>
      <c r="AE158" s="47">
        <v>0</v>
      </c>
      <c r="AF158" s="47">
        <v>0</v>
      </c>
      <c r="AG158" s="47">
        <v>0</v>
      </c>
      <c r="AH158" s="47">
        <v>0</v>
      </c>
      <c r="AI158" s="47">
        <v>0</v>
      </c>
      <c r="AJ158" s="47">
        <v>0</v>
      </c>
      <c r="AK158" s="47">
        <v>0</v>
      </c>
      <c r="AL158" s="47">
        <v>0</v>
      </c>
      <c r="AM158" s="47">
        <v>0</v>
      </c>
      <c r="AN158" s="47">
        <v>0</v>
      </c>
      <c r="AO158" s="47">
        <v>0</v>
      </c>
      <c r="AP158" s="47">
        <v>0</v>
      </c>
      <c r="AQ158" s="47">
        <v>0</v>
      </c>
      <c r="AR158" s="47">
        <v>0</v>
      </c>
      <c r="AS158" s="47">
        <v>0</v>
      </c>
      <c r="AT158" s="47">
        <v>0</v>
      </c>
      <c r="AU158" s="47">
        <v>0</v>
      </c>
      <c r="AV158" s="47">
        <v>0</v>
      </c>
      <c r="AW158" s="47">
        <v>0</v>
      </c>
      <c r="AX158" s="47">
        <v>0</v>
      </c>
      <c r="AY158" s="47">
        <v>0</v>
      </c>
      <c r="AZ158" s="47">
        <v>0</v>
      </c>
      <c r="BA158" s="47">
        <v>0</v>
      </c>
      <c r="BB158" s="47">
        <v>0</v>
      </c>
      <c r="BC158" s="47">
        <v>0</v>
      </c>
      <c r="BD158" s="47">
        <v>0</v>
      </c>
      <c r="BE158" s="47">
        <v>0</v>
      </c>
      <c r="BF158" s="47">
        <v>0</v>
      </c>
      <c r="BG158" s="47">
        <v>0</v>
      </c>
      <c r="BH158" s="47">
        <v>0</v>
      </c>
      <c r="BI158" s="47">
        <v>0</v>
      </c>
      <c r="BJ158" s="47">
        <v>0</v>
      </c>
      <c r="BK158" s="47">
        <v>0</v>
      </c>
      <c r="BL158" s="47">
        <v>0</v>
      </c>
      <c r="BM158" s="47">
        <v>0</v>
      </c>
      <c r="BN158" s="47">
        <v>0</v>
      </c>
      <c r="BO158" s="47">
        <v>0</v>
      </c>
      <c r="BP158" s="47">
        <v>0</v>
      </c>
      <c r="BQ158" s="47">
        <v>0</v>
      </c>
      <c r="BR158" s="47">
        <v>0</v>
      </c>
      <c r="BS158" s="47">
        <v>0</v>
      </c>
      <c r="BT158" s="47">
        <v>0</v>
      </c>
      <c r="BU158" s="47">
        <v>0</v>
      </c>
      <c r="BV158" s="47">
        <v>0</v>
      </c>
      <c r="BW158" s="47">
        <v>0</v>
      </c>
      <c r="BX158" s="47">
        <v>0</v>
      </c>
      <c r="BY158" s="47">
        <v>0</v>
      </c>
      <c r="BZ158" s="47">
        <v>0</v>
      </c>
      <c r="CA158" s="47">
        <v>0</v>
      </c>
      <c r="CB158" s="47">
        <v>0</v>
      </c>
      <c r="CC158" s="47">
        <v>0</v>
      </c>
      <c r="CD158" s="47">
        <v>0</v>
      </c>
      <c r="CE158" s="47">
        <v>0</v>
      </c>
      <c r="CF158" s="47">
        <v>0</v>
      </c>
      <c r="CG158" s="47">
        <v>0</v>
      </c>
      <c r="CH158" s="47">
        <v>0</v>
      </c>
      <c r="CI158" s="47">
        <v>0</v>
      </c>
      <c r="CJ158" s="47">
        <v>0</v>
      </c>
      <c r="CK158" s="47">
        <v>0</v>
      </c>
      <c r="CL158" s="47">
        <v>0</v>
      </c>
      <c r="CM158" s="47">
        <v>0</v>
      </c>
      <c r="CN158" s="47">
        <v>0</v>
      </c>
      <c r="CO158" s="47">
        <v>0</v>
      </c>
      <c r="CP158" s="47">
        <v>0</v>
      </c>
      <c r="CQ158" s="47">
        <v>0</v>
      </c>
      <c r="CR158" s="47">
        <v>0</v>
      </c>
      <c r="CS158" s="47">
        <v>0</v>
      </c>
      <c r="CT158" s="47">
        <v>0</v>
      </c>
      <c r="CU158" s="47">
        <v>0</v>
      </c>
      <c r="CV158" s="47">
        <v>0</v>
      </c>
      <c r="CW158" s="47">
        <v>0</v>
      </c>
      <c r="CX158" s="47">
        <v>0</v>
      </c>
      <c r="CY158" s="47">
        <v>0</v>
      </c>
      <c r="CZ158" s="47">
        <v>0</v>
      </c>
      <c r="DA158" s="47">
        <v>0</v>
      </c>
      <c r="DB158" s="47">
        <v>0</v>
      </c>
      <c r="DC158" s="47">
        <v>0</v>
      </c>
      <c r="DD158" s="47">
        <v>0</v>
      </c>
      <c r="DE158" s="47">
        <v>0</v>
      </c>
      <c r="DF158" s="47">
        <v>0</v>
      </c>
      <c r="DG158" s="47">
        <v>0</v>
      </c>
      <c r="DH158" s="47">
        <v>0</v>
      </c>
      <c r="DI158" s="47">
        <v>0</v>
      </c>
      <c r="DJ158" s="47">
        <v>0</v>
      </c>
      <c r="DK158" s="47">
        <v>0</v>
      </c>
      <c r="DL158" s="47">
        <v>0</v>
      </c>
      <c r="DM158" s="47">
        <v>0</v>
      </c>
      <c r="DN158" s="47">
        <v>0</v>
      </c>
      <c r="DO158" s="47">
        <v>0</v>
      </c>
      <c r="DP158" s="47">
        <v>0</v>
      </c>
      <c r="DQ158" s="47">
        <v>0</v>
      </c>
      <c r="DR158" s="47">
        <v>0</v>
      </c>
    </row>
    <row r="159" spans="1:124" x14ac:dyDescent="0.25">
      <c r="A159" s="47" t="s">
        <v>880</v>
      </c>
      <c r="B159" s="47" t="s">
        <v>151</v>
      </c>
      <c r="C159" s="47" t="s">
        <v>881</v>
      </c>
      <c r="D159" s="47" t="s">
        <v>882</v>
      </c>
      <c r="E159" s="47" t="s">
        <v>883</v>
      </c>
      <c r="F159" s="47" t="s">
        <v>380</v>
      </c>
      <c r="G159" s="47" t="s">
        <v>381</v>
      </c>
      <c r="H159" s="47" t="str">
        <f>=IFERROR(VLOOKUP(A159,'ETPT Format DDG'!A:J,10,FALSE),"")</f>
        <v>0</v>
      </c>
      <c r="I159" s="47" t="str">
        <f>='ETPT Format DDG'!M159</f>
        <v/>
      </c>
      <c r="J159" s="47" t="str">
        <f>='ETPT Format DDG'!D159</f>
        <v/>
      </c>
      <c r="K159" s="47" t="s">
        <v>155</v>
      </c>
      <c r="L159" s="47" t="s">
        <v>556</v>
      </c>
      <c r="M159" s="47"/>
      <c r="N159" s="47">
        <v>0.8</v>
      </c>
      <c r="O159" s="47">
        <v>0.8</v>
      </c>
      <c r="P159" s="47">
        <v>0</v>
      </c>
      <c r="Q159" s="47">
        <v>0</v>
      </c>
      <c r="R159" s="47">
        <v>0</v>
      </c>
      <c r="S159" s="47">
        <v>0</v>
      </c>
      <c r="T159" s="47">
        <v>0</v>
      </c>
      <c r="U159" s="47">
        <v>0</v>
      </c>
      <c r="V159" s="47">
        <v>0</v>
      </c>
      <c r="W159" s="47">
        <v>0</v>
      </c>
      <c r="X159" s="47">
        <v>0</v>
      </c>
      <c r="Y159" s="47">
        <v>0</v>
      </c>
      <c r="Z159" s="47">
        <v>0</v>
      </c>
      <c r="AA159" s="47">
        <v>0</v>
      </c>
      <c r="AB159" s="47">
        <v>0</v>
      </c>
      <c r="AC159" s="47">
        <v>0</v>
      </c>
      <c r="AD159" s="47">
        <v>0</v>
      </c>
      <c r="AE159" s="47">
        <v>0.8</v>
      </c>
      <c r="AF159" s="47">
        <v>0</v>
      </c>
      <c r="AG159" s="47">
        <v>0</v>
      </c>
      <c r="AH159" s="47">
        <v>0</v>
      </c>
      <c r="AI159" s="47">
        <v>0</v>
      </c>
      <c r="AJ159" s="47">
        <v>0</v>
      </c>
      <c r="AK159" s="47">
        <v>0.8</v>
      </c>
      <c r="AL159" s="47">
        <v>0</v>
      </c>
      <c r="AM159" s="47">
        <v>0</v>
      </c>
      <c r="AN159" s="47">
        <v>0</v>
      </c>
      <c r="AO159" s="47">
        <v>0</v>
      </c>
      <c r="AP159" s="47">
        <v>0</v>
      </c>
      <c r="AQ159" s="47">
        <v>0</v>
      </c>
      <c r="AR159" s="47">
        <v>0</v>
      </c>
      <c r="AS159" s="47">
        <v>0</v>
      </c>
      <c r="AT159" s="47">
        <v>0</v>
      </c>
      <c r="AU159" s="47">
        <v>0</v>
      </c>
      <c r="AV159" s="47">
        <v>0</v>
      </c>
      <c r="AW159" s="47">
        <v>0</v>
      </c>
      <c r="AX159" s="47">
        <v>0</v>
      </c>
      <c r="AY159" s="47">
        <v>0</v>
      </c>
      <c r="AZ159" s="47">
        <v>0</v>
      </c>
      <c r="BA159" s="47">
        <v>0</v>
      </c>
      <c r="BB159" s="47">
        <v>0</v>
      </c>
      <c r="BC159" s="47">
        <v>0</v>
      </c>
      <c r="BD159" s="47">
        <v>0</v>
      </c>
      <c r="BE159" s="47">
        <v>0</v>
      </c>
      <c r="BF159" s="47">
        <v>0</v>
      </c>
      <c r="BG159" s="47">
        <v>0</v>
      </c>
      <c r="BH159" s="47">
        <v>0</v>
      </c>
      <c r="BI159" s="47">
        <v>0</v>
      </c>
      <c r="BJ159" s="47">
        <v>0</v>
      </c>
      <c r="BK159" s="47">
        <v>0</v>
      </c>
      <c r="BL159" s="47">
        <v>0</v>
      </c>
      <c r="BM159" s="47">
        <v>0</v>
      </c>
      <c r="BN159" s="47">
        <v>0</v>
      </c>
      <c r="BO159" s="47">
        <v>0</v>
      </c>
      <c r="BP159" s="47">
        <v>0</v>
      </c>
      <c r="BQ159" s="47">
        <v>0</v>
      </c>
      <c r="BR159" s="47">
        <v>0</v>
      </c>
      <c r="BS159" s="47">
        <v>0</v>
      </c>
      <c r="BT159" s="47">
        <v>0</v>
      </c>
      <c r="BU159" s="47">
        <v>0</v>
      </c>
      <c r="BV159" s="47">
        <v>0</v>
      </c>
      <c r="BW159" s="47">
        <v>0</v>
      </c>
      <c r="BX159" s="47">
        <v>0</v>
      </c>
      <c r="BY159" s="47">
        <v>0</v>
      </c>
      <c r="BZ159" s="47">
        <v>0</v>
      </c>
      <c r="CA159" s="47">
        <v>0</v>
      </c>
      <c r="CB159" s="47">
        <v>0</v>
      </c>
      <c r="CC159" s="47">
        <v>0</v>
      </c>
      <c r="CD159" s="47">
        <v>0</v>
      </c>
      <c r="CE159" s="47">
        <v>0</v>
      </c>
      <c r="CF159" s="47">
        <v>0</v>
      </c>
      <c r="CG159" s="47">
        <v>0</v>
      </c>
      <c r="CH159" s="47">
        <v>0</v>
      </c>
      <c r="CI159" s="47">
        <v>0</v>
      </c>
      <c r="CJ159" s="47">
        <v>0</v>
      </c>
      <c r="CK159" s="47">
        <v>0</v>
      </c>
      <c r="CL159" s="47">
        <v>0</v>
      </c>
      <c r="CM159" s="47">
        <v>0</v>
      </c>
      <c r="CN159" s="47">
        <v>0</v>
      </c>
      <c r="CO159" s="47">
        <v>0</v>
      </c>
      <c r="CP159" s="47">
        <v>0</v>
      </c>
      <c r="CQ159" s="47">
        <v>0</v>
      </c>
      <c r="CR159" s="47">
        <v>0</v>
      </c>
      <c r="CS159" s="47">
        <v>0</v>
      </c>
      <c r="CT159" s="47">
        <v>0</v>
      </c>
      <c r="CU159" s="47">
        <v>0</v>
      </c>
      <c r="CV159" s="47">
        <v>0</v>
      </c>
      <c r="CW159" s="47">
        <v>0</v>
      </c>
      <c r="CX159" s="47">
        <v>0</v>
      </c>
      <c r="CY159" s="47">
        <v>0</v>
      </c>
      <c r="CZ159" s="47">
        <v>0</v>
      </c>
      <c r="DA159" s="47">
        <v>0</v>
      </c>
      <c r="DB159" s="47">
        <v>0</v>
      </c>
      <c r="DC159" s="47">
        <v>0</v>
      </c>
      <c r="DD159" s="47">
        <v>0</v>
      </c>
      <c r="DE159" s="47">
        <v>0</v>
      </c>
      <c r="DF159" s="47">
        <v>0</v>
      </c>
      <c r="DG159" s="47">
        <v>0</v>
      </c>
      <c r="DH159" s="47">
        <v>0</v>
      </c>
      <c r="DI159" s="47">
        <v>0</v>
      </c>
      <c r="DJ159" s="47">
        <v>0</v>
      </c>
      <c r="DK159" s="47">
        <v>0</v>
      </c>
      <c r="DL159" s="47">
        <v>0</v>
      </c>
      <c r="DM159" s="47">
        <v>0</v>
      </c>
      <c r="DN159" s="47">
        <v>0</v>
      </c>
      <c r="DO159" s="47">
        <v>0</v>
      </c>
      <c r="DP159" s="47">
        <v>0</v>
      </c>
      <c r="DQ159" s="47">
        <v>0</v>
      </c>
      <c r="DR159" s="47">
        <v>0</v>
      </c>
    </row>
    <row r="160" spans="1:124" x14ac:dyDescent="0.25">
      <c r="A160" s="47" t="s">
        <v>884</v>
      </c>
      <c r="B160" s="47" t="s">
        <v>151</v>
      </c>
      <c r="C160" s="47" t="s">
        <v>885</v>
      </c>
      <c r="D160" s="47" t="s">
        <v>886</v>
      </c>
      <c r="E160" s="47" t="s">
        <v>887</v>
      </c>
      <c r="F160" s="47" t="s">
        <v>380</v>
      </c>
      <c r="G160" s="47" t="s">
        <v>411</v>
      </c>
      <c r="H160" s="47" t="str">
        <f>=IFERROR(VLOOKUP(A160,'ETPT Format DDG'!A:J,10,FALSE),"")</f>
        <v>0</v>
      </c>
      <c r="I160" s="47" t="str">
        <f>='ETPT Format DDG'!M160</f>
        <v/>
      </c>
      <c r="J160" s="47" t="str">
        <f>='ETPT Format DDG'!D160</f>
        <v/>
      </c>
      <c r="K160" s="47" t="s">
        <v>155</v>
      </c>
      <c r="L160" s="47" t="s">
        <v>888</v>
      </c>
      <c r="M160" s="47"/>
      <c r="N160" s="47">
        <v>1</v>
      </c>
      <c r="O160" s="47">
        <v>1</v>
      </c>
      <c r="P160" s="47">
        <v>0</v>
      </c>
      <c r="Q160" s="47">
        <v>0</v>
      </c>
      <c r="R160" s="47">
        <v>0</v>
      </c>
      <c r="S160" s="47">
        <v>0</v>
      </c>
      <c r="T160" s="47">
        <v>0</v>
      </c>
      <c r="U160" s="47">
        <v>0</v>
      </c>
      <c r="V160" s="47">
        <v>0</v>
      </c>
      <c r="W160" s="47">
        <v>0</v>
      </c>
      <c r="X160" s="47">
        <v>0</v>
      </c>
      <c r="Y160" s="47">
        <v>0</v>
      </c>
      <c r="Z160" s="47">
        <v>0</v>
      </c>
      <c r="AA160" s="47">
        <v>0</v>
      </c>
      <c r="AB160" s="47">
        <v>0</v>
      </c>
      <c r="AC160" s="47">
        <v>0</v>
      </c>
      <c r="AD160" s="47">
        <v>0</v>
      </c>
      <c r="AE160" s="47">
        <v>0</v>
      </c>
      <c r="AF160" s="47">
        <v>0</v>
      </c>
      <c r="AG160" s="47">
        <v>0</v>
      </c>
      <c r="AH160" s="47">
        <v>0</v>
      </c>
      <c r="AI160" s="47">
        <v>0</v>
      </c>
      <c r="AJ160" s="47">
        <v>0</v>
      </c>
      <c r="AK160" s="47">
        <v>0</v>
      </c>
      <c r="AL160" s="47">
        <v>0</v>
      </c>
      <c r="AM160" s="47">
        <v>0</v>
      </c>
      <c r="AN160" s="47">
        <v>0</v>
      </c>
      <c r="AO160" s="47">
        <v>0</v>
      </c>
      <c r="AP160" s="47">
        <v>0</v>
      </c>
      <c r="AQ160" s="47">
        <v>0</v>
      </c>
      <c r="AR160" s="47">
        <v>0</v>
      </c>
      <c r="AS160" s="47">
        <v>0</v>
      </c>
      <c r="AT160" s="47">
        <v>0</v>
      </c>
      <c r="AU160" s="47">
        <v>0</v>
      </c>
      <c r="AV160" s="47">
        <v>0</v>
      </c>
      <c r="AW160" s="47">
        <v>0</v>
      </c>
      <c r="AX160" s="47">
        <v>0</v>
      </c>
      <c r="AY160" s="47">
        <v>0</v>
      </c>
      <c r="AZ160" s="47">
        <v>0</v>
      </c>
      <c r="BA160" s="47">
        <v>0</v>
      </c>
      <c r="BB160" s="47">
        <v>0</v>
      </c>
      <c r="BC160" s="47">
        <v>0</v>
      </c>
      <c r="BD160" s="47">
        <v>0</v>
      </c>
      <c r="BE160" s="47">
        <v>0</v>
      </c>
      <c r="BF160" s="47">
        <v>0</v>
      </c>
      <c r="BG160" s="47">
        <v>0</v>
      </c>
      <c r="BH160" s="47">
        <v>0</v>
      </c>
      <c r="BI160" s="47">
        <v>0</v>
      </c>
      <c r="BJ160" s="47">
        <v>0</v>
      </c>
      <c r="BK160" s="47">
        <v>0</v>
      </c>
      <c r="BL160" s="47">
        <v>0</v>
      </c>
      <c r="BM160" s="47">
        <v>0</v>
      </c>
      <c r="BN160" s="47">
        <v>0</v>
      </c>
      <c r="BO160" s="47">
        <v>0</v>
      </c>
      <c r="BP160" s="47">
        <v>0</v>
      </c>
      <c r="BQ160" s="47">
        <v>0</v>
      </c>
      <c r="BR160" s="47">
        <v>0</v>
      </c>
      <c r="BS160" s="47">
        <v>0</v>
      </c>
      <c r="BT160" s="47">
        <v>0</v>
      </c>
      <c r="BU160" s="47">
        <v>0</v>
      </c>
      <c r="BV160" s="47">
        <v>0</v>
      </c>
      <c r="BW160" s="47">
        <v>0</v>
      </c>
      <c r="BX160" s="47">
        <v>0</v>
      </c>
      <c r="BY160" s="47">
        <v>0</v>
      </c>
      <c r="BZ160" s="47">
        <v>0</v>
      </c>
      <c r="CA160" s="47">
        <v>0</v>
      </c>
      <c r="CB160" s="47">
        <v>0</v>
      </c>
      <c r="CC160" s="47">
        <v>0</v>
      </c>
      <c r="CD160" s="47">
        <v>0</v>
      </c>
      <c r="CE160" s="47">
        <v>0</v>
      </c>
      <c r="CF160" s="47">
        <v>0</v>
      </c>
      <c r="CG160" s="47">
        <v>0</v>
      </c>
      <c r="CH160" s="47">
        <v>0</v>
      </c>
      <c r="CI160" s="47">
        <v>0</v>
      </c>
      <c r="CJ160" s="47">
        <v>0</v>
      </c>
      <c r="CK160" s="47">
        <v>0</v>
      </c>
      <c r="CL160" s="47">
        <v>0</v>
      </c>
      <c r="CM160" s="47">
        <v>0</v>
      </c>
      <c r="CN160" s="47">
        <v>0</v>
      </c>
      <c r="CO160" s="47">
        <v>0</v>
      </c>
      <c r="CP160" s="47">
        <v>0</v>
      </c>
      <c r="CQ160" s="47">
        <v>0</v>
      </c>
      <c r="CR160" s="47">
        <v>0</v>
      </c>
      <c r="CS160" s="47">
        <v>0</v>
      </c>
      <c r="CT160" s="47">
        <v>1</v>
      </c>
      <c r="CU160" s="47">
        <v>0</v>
      </c>
      <c r="CV160" s="47">
        <v>0</v>
      </c>
      <c r="CW160" s="47">
        <v>0</v>
      </c>
      <c r="CX160" s="47">
        <v>0</v>
      </c>
      <c r="CY160" s="47">
        <v>0</v>
      </c>
      <c r="CZ160" s="47">
        <v>0</v>
      </c>
      <c r="DA160" s="47">
        <v>0</v>
      </c>
      <c r="DB160" s="47">
        <v>0</v>
      </c>
      <c r="DC160" s="47">
        <v>0</v>
      </c>
      <c r="DD160" s="47">
        <v>0</v>
      </c>
      <c r="DE160" s="47">
        <v>1</v>
      </c>
      <c r="DF160" s="47">
        <v>0</v>
      </c>
      <c r="DG160" s="47">
        <v>0</v>
      </c>
      <c r="DH160" s="47">
        <v>0</v>
      </c>
      <c r="DI160" s="47">
        <v>0</v>
      </c>
      <c r="DJ160" s="47">
        <v>0</v>
      </c>
      <c r="DK160" s="47">
        <v>0</v>
      </c>
      <c r="DL160" s="47">
        <v>0</v>
      </c>
      <c r="DM160" s="47">
        <v>0</v>
      </c>
      <c r="DN160" s="47">
        <v>0</v>
      </c>
      <c r="DO160" s="47">
        <v>0</v>
      </c>
      <c r="DP160" s="47">
        <v>0</v>
      </c>
      <c r="DQ160" s="47">
        <v>0</v>
      </c>
      <c r="DR160" s="47">
        <v>0</v>
      </c>
    </row>
    <row r="161" spans="1:124" x14ac:dyDescent="0.25">
      <c r="A161" s="47" t="s">
        <v>889</v>
      </c>
      <c r="B161" s="47" t="s">
        <v>151</v>
      </c>
      <c r="C161" s="47" t="s">
        <v>890</v>
      </c>
      <c r="D161" s="47" t="s">
        <v>891</v>
      </c>
      <c r="E161" s="47" t="s">
        <v>892</v>
      </c>
      <c r="F161" s="47" t="s">
        <v>380</v>
      </c>
      <c r="G161" s="47" t="s">
        <v>381</v>
      </c>
      <c r="H161" s="47" t="str">
        <f>=IFERROR(VLOOKUP(A161,'ETPT Format DDG'!A:J,10,FALSE),"")</f>
        <v>0</v>
      </c>
      <c r="I161" s="47" t="str">
        <f>='ETPT Format DDG'!M161</f>
        <v/>
      </c>
      <c r="J161" s="47" t="str">
        <f>='ETPT Format DDG'!D161</f>
        <v/>
      </c>
      <c r="K161" s="47" t="s">
        <v>155</v>
      </c>
      <c r="L161" s="47" t="s">
        <v>893</v>
      </c>
      <c r="M161" s="47"/>
      <c r="N161" s="47">
        <v>1</v>
      </c>
      <c r="O161" s="47">
        <v>0</v>
      </c>
      <c r="P161" s="47">
        <v>0</v>
      </c>
      <c r="Q161" s="47">
        <v>0</v>
      </c>
      <c r="R161" s="47">
        <v>0</v>
      </c>
      <c r="S161" s="47">
        <v>0</v>
      </c>
      <c r="T161" s="47">
        <v>0</v>
      </c>
      <c r="U161" s="47">
        <v>0</v>
      </c>
      <c r="V161" s="47">
        <v>0</v>
      </c>
      <c r="W161" s="47">
        <v>0</v>
      </c>
      <c r="X161" s="47">
        <v>0</v>
      </c>
      <c r="Y161" s="47">
        <v>0</v>
      </c>
      <c r="Z161" s="47">
        <v>0</v>
      </c>
      <c r="AA161" s="47">
        <v>0</v>
      </c>
      <c r="AB161" s="47">
        <v>0</v>
      </c>
      <c r="AC161" s="47">
        <v>0</v>
      </c>
      <c r="AD161" s="47">
        <v>0</v>
      </c>
      <c r="AE161" s="47">
        <v>0</v>
      </c>
      <c r="AF161" s="47">
        <v>0</v>
      </c>
      <c r="AG161" s="47">
        <v>0</v>
      </c>
      <c r="AH161" s="47">
        <v>0</v>
      </c>
      <c r="AI161" s="47">
        <v>0</v>
      </c>
      <c r="AJ161" s="47">
        <v>0</v>
      </c>
      <c r="AK161" s="47">
        <v>0</v>
      </c>
      <c r="AL161" s="47">
        <v>0</v>
      </c>
      <c r="AM161" s="47">
        <v>0</v>
      </c>
      <c r="AN161" s="47">
        <v>0</v>
      </c>
      <c r="AO161" s="47">
        <v>0</v>
      </c>
      <c r="AP161" s="47">
        <v>0</v>
      </c>
      <c r="AQ161" s="47">
        <v>0</v>
      </c>
      <c r="AR161" s="47">
        <v>0</v>
      </c>
      <c r="AS161" s="47">
        <v>0</v>
      </c>
      <c r="AT161" s="47">
        <v>0</v>
      </c>
      <c r="AU161" s="47">
        <v>0</v>
      </c>
      <c r="AV161" s="47">
        <v>0</v>
      </c>
      <c r="AW161" s="47">
        <v>0</v>
      </c>
      <c r="AX161" s="47">
        <v>0</v>
      </c>
      <c r="AY161" s="47">
        <v>0</v>
      </c>
      <c r="AZ161" s="47">
        <v>0</v>
      </c>
      <c r="BA161" s="47">
        <v>0</v>
      </c>
      <c r="BB161" s="47">
        <v>0</v>
      </c>
      <c r="BC161" s="47">
        <v>0</v>
      </c>
      <c r="BD161" s="47">
        <v>0</v>
      </c>
      <c r="BE161" s="47">
        <v>0</v>
      </c>
      <c r="BF161" s="47">
        <v>0</v>
      </c>
      <c r="BG161" s="47">
        <v>0</v>
      </c>
      <c r="BH161" s="47">
        <v>0</v>
      </c>
      <c r="BI161" s="47">
        <v>0</v>
      </c>
      <c r="BJ161" s="47">
        <v>0</v>
      </c>
      <c r="BK161" s="47">
        <v>0</v>
      </c>
      <c r="BL161" s="47">
        <v>0</v>
      </c>
      <c r="BM161" s="47">
        <v>0</v>
      </c>
      <c r="BN161" s="47">
        <v>0</v>
      </c>
      <c r="BO161" s="47">
        <v>0</v>
      </c>
      <c r="BP161" s="47">
        <v>0</v>
      </c>
      <c r="BQ161" s="47">
        <v>0</v>
      </c>
      <c r="BR161" s="47">
        <v>0</v>
      </c>
      <c r="BS161" s="47">
        <v>0</v>
      </c>
      <c r="BT161" s="47">
        <v>0</v>
      </c>
      <c r="BU161" s="47">
        <v>0</v>
      </c>
      <c r="BV161" s="47">
        <v>0</v>
      </c>
      <c r="BW161" s="47">
        <v>0</v>
      </c>
      <c r="BX161" s="47">
        <v>0</v>
      </c>
      <c r="BY161" s="47">
        <v>0</v>
      </c>
      <c r="BZ161" s="47">
        <v>0</v>
      </c>
      <c r="CA161" s="47">
        <v>0</v>
      </c>
      <c r="CB161" s="47">
        <v>0</v>
      </c>
      <c r="CC161" s="47">
        <v>0</v>
      </c>
      <c r="CD161" s="47">
        <v>0</v>
      </c>
      <c r="CE161" s="47">
        <v>0</v>
      </c>
      <c r="CF161" s="47">
        <v>0</v>
      </c>
      <c r="CG161" s="47">
        <v>0</v>
      </c>
      <c r="CH161" s="47">
        <v>0</v>
      </c>
      <c r="CI161" s="47">
        <v>0</v>
      </c>
      <c r="CJ161" s="47">
        <v>0</v>
      </c>
      <c r="CK161" s="47">
        <v>0</v>
      </c>
      <c r="CL161" s="47">
        <v>0</v>
      </c>
      <c r="CM161" s="47">
        <v>0</v>
      </c>
      <c r="CN161" s="47">
        <v>0</v>
      </c>
      <c r="CO161" s="47">
        <v>0</v>
      </c>
      <c r="CP161" s="47">
        <v>0</v>
      </c>
      <c r="CQ161" s="47">
        <v>0</v>
      </c>
      <c r="CR161" s="47">
        <v>0</v>
      </c>
      <c r="CS161" s="47">
        <v>0</v>
      </c>
      <c r="CT161" s="47">
        <v>0</v>
      </c>
      <c r="CU161" s="47">
        <v>0</v>
      </c>
      <c r="CV161" s="47">
        <v>0</v>
      </c>
      <c r="CW161" s="47">
        <v>0</v>
      </c>
      <c r="CX161" s="47">
        <v>0</v>
      </c>
      <c r="CY161" s="47">
        <v>0</v>
      </c>
      <c r="CZ161" s="47">
        <v>0</v>
      </c>
      <c r="DA161" s="47">
        <v>0</v>
      </c>
      <c r="DB161" s="47">
        <v>0</v>
      </c>
      <c r="DC161" s="47">
        <v>0</v>
      </c>
      <c r="DD161" s="47">
        <v>0</v>
      </c>
      <c r="DE161" s="47">
        <v>0</v>
      </c>
      <c r="DF161" s="47">
        <v>0</v>
      </c>
      <c r="DG161" s="47">
        <v>0</v>
      </c>
      <c r="DH161" s="47">
        <v>0</v>
      </c>
      <c r="DI161" s="47">
        <v>0</v>
      </c>
      <c r="DJ161" s="47">
        <v>0</v>
      </c>
      <c r="DK161" s="47">
        <v>0</v>
      </c>
      <c r="DL161" s="47">
        <v>0</v>
      </c>
      <c r="DM161" s="47">
        <v>0</v>
      </c>
      <c r="DN161" s="47">
        <v>0</v>
      </c>
      <c r="DO161" s="47">
        <v>0</v>
      </c>
      <c r="DP161" s="47">
        <v>0</v>
      </c>
      <c r="DQ161" s="47">
        <v>0</v>
      </c>
      <c r="DR161" s="47">
        <v>0</v>
      </c>
    </row>
    <row r="162" spans="1:124" x14ac:dyDescent="0.25">
      <c r="A162" s="47" t="s">
        <v>894</v>
      </c>
      <c r="B162" s="47" t="s">
        <v>151</v>
      </c>
      <c r="C162" s="47" t="s">
        <v>895</v>
      </c>
      <c r="D162" s="47" t="s">
        <v>896</v>
      </c>
      <c r="E162" s="47" t="s">
        <v>897</v>
      </c>
      <c r="F162" s="47" t="s">
        <v>380</v>
      </c>
      <c r="G162" s="47" t="s">
        <v>381</v>
      </c>
      <c r="H162" s="47" t="str">
        <f>=IFERROR(VLOOKUP(A162,'ETPT Format DDG'!A:J,10,FALSE),"")</f>
        <v>0</v>
      </c>
      <c r="I162" s="47" t="str">
        <f>='ETPT Format DDG'!M162</f>
        <v/>
      </c>
      <c r="J162" s="47" t="str">
        <f>='ETPT Format DDG'!D162</f>
        <v/>
      </c>
      <c r="K162" s="47" t="s">
        <v>155</v>
      </c>
      <c r="L162" s="47" t="s">
        <v>898</v>
      </c>
      <c r="M162" s="47"/>
      <c r="N162" s="47">
        <v>1</v>
      </c>
      <c r="O162" s="47">
        <v>1</v>
      </c>
      <c r="P162" s="47">
        <v>0</v>
      </c>
      <c r="Q162" s="47">
        <v>0</v>
      </c>
      <c r="R162" s="47">
        <v>0</v>
      </c>
      <c r="S162" s="47">
        <v>0</v>
      </c>
      <c r="T162" s="47">
        <v>0</v>
      </c>
      <c r="U162" s="47">
        <v>0</v>
      </c>
      <c r="V162" s="47">
        <v>0</v>
      </c>
      <c r="W162" s="47">
        <v>0</v>
      </c>
      <c r="X162" s="47">
        <v>0</v>
      </c>
      <c r="Y162" s="47">
        <v>0</v>
      </c>
      <c r="Z162" s="47">
        <v>0</v>
      </c>
      <c r="AA162" s="47">
        <v>0</v>
      </c>
      <c r="AB162" s="47">
        <v>0</v>
      </c>
      <c r="AC162" s="47">
        <v>0</v>
      </c>
      <c r="AD162" s="47">
        <v>0</v>
      </c>
      <c r="AE162" s="47">
        <v>0</v>
      </c>
      <c r="AF162" s="47">
        <v>0</v>
      </c>
      <c r="AG162" s="47">
        <v>0</v>
      </c>
      <c r="AH162" s="47">
        <v>0</v>
      </c>
      <c r="AI162" s="47">
        <v>0</v>
      </c>
      <c r="AJ162" s="47">
        <v>0</v>
      </c>
      <c r="AK162" s="47">
        <v>0</v>
      </c>
      <c r="AL162" s="47">
        <v>0</v>
      </c>
      <c r="AM162" s="47">
        <v>0</v>
      </c>
      <c r="AN162" s="47">
        <v>0</v>
      </c>
      <c r="AO162" s="47">
        <v>0</v>
      </c>
      <c r="AP162" s="47">
        <v>0</v>
      </c>
      <c r="AQ162" s="47">
        <v>0</v>
      </c>
      <c r="AR162" s="47">
        <v>0</v>
      </c>
      <c r="AS162" s="47">
        <v>0</v>
      </c>
      <c r="AT162" s="47">
        <v>0</v>
      </c>
      <c r="AU162" s="47">
        <v>0</v>
      </c>
      <c r="AV162" s="47">
        <v>0</v>
      </c>
      <c r="AW162" s="47">
        <v>0</v>
      </c>
      <c r="AX162" s="47">
        <v>0</v>
      </c>
      <c r="AY162" s="47">
        <v>0</v>
      </c>
      <c r="AZ162" s="47">
        <v>0</v>
      </c>
      <c r="BA162" s="47">
        <v>0</v>
      </c>
      <c r="BB162" s="47">
        <v>0</v>
      </c>
      <c r="BC162" s="47">
        <v>0</v>
      </c>
      <c r="BD162" s="47">
        <v>0</v>
      </c>
      <c r="BE162" s="47">
        <v>0</v>
      </c>
      <c r="BF162" s="47">
        <v>0</v>
      </c>
      <c r="BG162" s="47">
        <v>0</v>
      </c>
      <c r="BH162" s="47">
        <v>0</v>
      </c>
      <c r="BI162" s="47">
        <v>0</v>
      </c>
      <c r="BJ162" s="47">
        <v>0</v>
      </c>
      <c r="BK162" s="47">
        <v>0</v>
      </c>
      <c r="BL162" s="47">
        <v>0</v>
      </c>
      <c r="BM162" s="47">
        <v>0</v>
      </c>
      <c r="BN162" s="47">
        <v>0</v>
      </c>
      <c r="BO162" s="47">
        <v>0</v>
      </c>
      <c r="BP162" s="47">
        <v>0</v>
      </c>
      <c r="BQ162" s="47">
        <v>0</v>
      </c>
      <c r="BR162" s="47">
        <v>0</v>
      </c>
      <c r="BS162" s="47">
        <v>0</v>
      </c>
      <c r="BT162" s="47">
        <v>0</v>
      </c>
      <c r="BU162" s="47">
        <v>0</v>
      </c>
      <c r="BV162" s="47">
        <v>0</v>
      </c>
      <c r="BW162" s="47">
        <v>0</v>
      </c>
      <c r="BX162" s="47">
        <v>0</v>
      </c>
      <c r="BY162" s="47">
        <v>0</v>
      </c>
      <c r="BZ162" s="47">
        <v>0</v>
      </c>
      <c r="CA162" s="47">
        <v>0</v>
      </c>
      <c r="CB162" s="47">
        <v>0</v>
      </c>
      <c r="CC162" s="47">
        <v>0</v>
      </c>
      <c r="CD162" s="47">
        <v>0</v>
      </c>
      <c r="CE162" s="47">
        <v>0</v>
      </c>
      <c r="CF162" s="47">
        <v>0</v>
      </c>
      <c r="CG162" s="47">
        <v>0</v>
      </c>
      <c r="CH162" s="47">
        <v>0</v>
      </c>
      <c r="CI162" s="47">
        <v>0</v>
      </c>
      <c r="CJ162" s="47">
        <v>0</v>
      </c>
      <c r="CK162" s="47">
        <v>0</v>
      </c>
      <c r="CL162" s="47">
        <v>0</v>
      </c>
      <c r="CM162" s="47">
        <v>0</v>
      </c>
      <c r="CN162" s="47">
        <v>0</v>
      </c>
      <c r="CO162" s="47">
        <v>0</v>
      </c>
      <c r="CP162" s="47">
        <v>0</v>
      </c>
      <c r="CQ162" s="47">
        <v>0</v>
      </c>
      <c r="CR162" s="47">
        <v>0</v>
      </c>
      <c r="CS162" s="47">
        <v>0</v>
      </c>
      <c r="CT162" s="47">
        <v>1</v>
      </c>
      <c r="CU162" s="47">
        <v>0.1</v>
      </c>
      <c r="CV162" s="47">
        <v>0</v>
      </c>
      <c r="CW162" s="47">
        <v>0</v>
      </c>
      <c r="CX162" s="47">
        <v>0</v>
      </c>
      <c r="CY162" s="47">
        <v>0</v>
      </c>
      <c r="CZ162" s="47">
        <v>0</v>
      </c>
      <c r="DA162" s="47">
        <v>0</v>
      </c>
      <c r="DB162" s="47">
        <v>0.9</v>
      </c>
      <c r="DC162" s="47">
        <v>0</v>
      </c>
      <c r="DD162" s="47">
        <v>0</v>
      </c>
      <c r="DE162" s="47">
        <v>0</v>
      </c>
      <c r="DF162" s="47">
        <v>0</v>
      </c>
      <c r="DG162" s="47">
        <v>0</v>
      </c>
      <c r="DH162" s="47">
        <v>0</v>
      </c>
      <c r="DI162" s="47">
        <v>0</v>
      </c>
      <c r="DJ162" s="47">
        <v>0</v>
      </c>
      <c r="DK162" s="47">
        <v>0</v>
      </c>
      <c r="DL162" s="47">
        <v>0</v>
      </c>
      <c r="DM162" s="47">
        <v>0</v>
      </c>
      <c r="DN162" s="47">
        <v>0</v>
      </c>
      <c r="DO162" s="47">
        <v>0</v>
      </c>
      <c r="DP162" s="47">
        <v>0</v>
      </c>
      <c r="DQ162" s="47">
        <v>0</v>
      </c>
      <c r="DR162" s="47">
        <v>0</v>
      </c>
    </row>
    <row r="163" spans="1:124" x14ac:dyDescent="0.25">
      <c r="A163" s="47" t="s">
        <v>899</v>
      </c>
      <c r="B163" s="47" t="s">
        <v>151</v>
      </c>
      <c r="C163" s="47" t="s">
        <v>900</v>
      </c>
      <c r="D163" s="47" t="s">
        <v>901</v>
      </c>
      <c r="E163" s="47" t="s">
        <v>902</v>
      </c>
      <c r="F163" s="47" t="s">
        <v>380</v>
      </c>
      <c r="G163" s="47" t="s">
        <v>411</v>
      </c>
      <c r="H163" s="47" t="str">
        <f>=IFERROR(VLOOKUP(A163,'ETPT Format DDG'!A:J,10,FALSE),"")</f>
        <v>0</v>
      </c>
      <c r="I163" s="47" t="str">
        <f>='ETPT Format DDG'!M163</f>
        <v/>
      </c>
      <c r="J163" s="47" t="str">
        <f>='ETPT Format DDG'!D163</f>
        <v/>
      </c>
      <c r="K163" s="47" t="s">
        <v>155</v>
      </c>
      <c r="L163" s="47" t="s">
        <v>903</v>
      </c>
      <c r="M163" s="47"/>
      <c r="N163" s="47">
        <v>1</v>
      </c>
      <c r="O163" s="47">
        <v>0</v>
      </c>
      <c r="P163" s="47">
        <v>0</v>
      </c>
      <c r="Q163" s="47">
        <v>0</v>
      </c>
      <c r="R163" s="47">
        <v>0</v>
      </c>
      <c r="S163" s="47">
        <v>0</v>
      </c>
      <c r="T163" s="47">
        <v>0</v>
      </c>
      <c r="U163" s="47">
        <v>0</v>
      </c>
      <c r="V163" s="47">
        <v>0</v>
      </c>
      <c r="W163" s="47">
        <v>0</v>
      </c>
      <c r="X163" s="47">
        <v>0</v>
      </c>
      <c r="Y163" s="47">
        <v>0</v>
      </c>
      <c r="Z163" s="47">
        <v>0</v>
      </c>
      <c r="AA163" s="47">
        <v>0</v>
      </c>
      <c r="AB163" s="47">
        <v>0</v>
      </c>
      <c r="AC163" s="47">
        <v>0</v>
      </c>
      <c r="AD163" s="47">
        <v>0</v>
      </c>
      <c r="AE163" s="47">
        <v>0</v>
      </c>
      <c r="AF163" s="47">
        <v>0</v>
      </c>
      <c r="AG163" s="47">
        <v>0</v>
      </c>
      <c r="AH163" s="47">
        <v>0</v>
      </c>
      <c r="AI163" s="47">
        <v>0</v>
      </c>
      <c r="AJ163" s="47">
        <v>0</v>
      </c>
      <c r="AK163" s="47">
        <v>0</v>
      </c>
      <c r="AL163" s="47">
        <v>0</v>
      </c>
      <c r="AM163" s="47">
        <v>0</v>
      </c>
      <c r="AN163" s="47">
        <v>0</v>
      </c>
      <c r="AO163" s="47">
        <v>0</v>
      </c>
      <c r="AP163" s="47">
        <v>0</v>
      </c>
      <c r="AQ163" s="47">
        <v>0</v>
      </c>
      <c r="AR163" s="47">
        <v>0</v>
      </c>
      <c r="AS163" s="47">
        <v>0</v>
      </c>
      <c r="AT163" s="47">
        <v>0</v>
      </c>
      <c r="AU163" s="47">
        <v>0</v>
      </c>
      <c r="AV163" s="47">
        <v>0</v>
      </c>
      <c r="AW163" s="47">
        <v>0</v>
      </c>
      <c r="AX163" s="47">
        <v>0</v>
      </c>
      <c r="AY163" s="47">
        <v>0</v>
      </c>
      <c r="AZ163" s="47">
        <v>0</v>
      </c>
      <c r="BA163" s="47">
        <v>0</v>
      </c>
      <c r="BB163" s="47">
        <v>0</v>
      </c>
      <c r="BC163" s="47">
        <v>0</v>
      </c>
      <c r="BD163" s="47">
        <v>0</v>
      </c>
      <c r="BE163" s="47">
        <v>0</v>
      </c>
      <c r="BF163" s="47">
        <v>0</v>
      </c>
      <c r="BG163" s="47">
        <v>0</v>
      </c>
      <c r="BH163" s="47">
        <v>0</v>
      </c>
      <c r="BI163" s="47">
        <v>0</v>
      </c>
      <c r="BJ163" s="47">
        <v>0</v>
      </c>
      <c r="BK163" s="47">
        <v>0</v>
      </c>
      <c r="BL163" s="47">
        <v>0</v>
      </c>
      <c r="BM163" s="47">
        <v>0</v>
      </c>
      <c r="BN163" s="47">
        <v>0</v>
      </c>
      <c r="BO163" s="47">
        <v>0</v>
      </c>
      <c r="BP163" s="47">
        <v>0</v>
      </c>
      <c r="BQ163" s="47">
        <v>0</v>
      </c>
      <c r="BR163" s="47">
        <v>0</v>
      </c>
      <c r="BS163" s="47">
        <v>0</v>
      </c>
      <c r="BT163" s="47">
        <v>0</v>
      </c>
      <c r="BU163" s="47">
        <v>0</v>
      </c>
      <c r="BV163" s="47">
        <v>0</v>
      </c>
      <c r="BW163" s="47">
        <v>0</v>
      </c>
      <c r="BX163" s="47">
        <v>0</v>
      </c>
      <c r="BY163" s="47">
        <v>0</v>
      </c>
      <c r="BZ163" s="47">
        <v>0</v>
      </c>
      <c r="CA163" s="47">
        <v>0</v>
      </c>
      <c r="CB163" s="47">
        <v>0</v>
      </c>
      <c r="CC163" s="47">
        <v>0</v>
      </c>
      <c r="CD163" s="47">
        <v>0</v>
      </c>
      <c r="CE163" s="47">
        <v>0</v>
      </c>
      <c r="CF163" s="47">
        <v>0</v>
      </c>
      <c r="CG163" s="47">
        <v>0</v>
      </c>
      <c r="CH163" s="47">
        <v>0</v>
      </c>
      <c r="CI163" s="47">
        <v>0</v>
      </c>
      <c r="CJ163" s="47">
        <v>0</v>
      </c>
      <c r="CK163" s="47">
        <v>0</v>
      </c>
      <c r="CL163" s="47">
        <v>0</v>
      </c>
      <c r="CM163" s="47">
        <v>0</v>
      </c>
      <c r="CN163" s="47">
        <v>0</v>
      </c>
      <c r="CO163" s="47">
        <v>0</v>
      </c>
      <c r="CP163" s="47">
        <v>0</v>
      </c>
      <c r="CQ163" s="47">
        <v>0</v>
      </c>
      <c r="CR163" s="47">
        <v>0</v>
      </c>
      <c r="CS163" s="47">
        <v>0</v>
      </c>
      <c r="CT163" s="47">
        <v>0</v>
      </c>
      <c r="CU163" s="47">
        <v>0</v>
      </c>
      <c r="CV163" s="47">
        <v>0</v>
      </c>
      <c r="CW163" s="47">
        <v>0</v>
      </c>
      <c r="CX163" s="47">
        <v>0</v>
      </c>
      <c r="CY163" s="47">
        <v>0</v>
      </c>
      <c r="CZ163" s="47">
        <v>0</v>
      </c>
      <c r="DA163" s="47">
        <v>0</v>
      </c>
      <c r="DB163" s="47">
        <v>0</v>
      </c>
      <c r="DC163" s="47">
        <v>0</v>
      </c>
      <c r="DD163" s="47">
        <v>0</v>
      </c>
      <c r="DE163" s="47">
        <v>0</v>
      </c>
      <c r="DF163" s="47">
        <v>0</v>
      </c>
      <c r="DG163" s="47">
        <v>0</v>
      </c>
      <c r="DH163" s="47">
        <v>0</v>
      </c>
      <c r="DI163" s="47">
        <v>0</v>
      </c>
      <c r="DJ163" s="47">
        <v>0</v>
      </c>
      <c r="DK163" s="47">
        <v>0</v>
      </c>
      <c r="DL163" s="47">
        <v>0</v>
      </c>
      <c r="DM163" s="47">
        <v>0</v>
      </c>
      <c r="DN163" s="47">
        <v>0</v>
      </c>
      <c r="DO163" s="47">
        <v>0</v>
      </c>
      <c r="DP163" s="47">
        <v>0</v>
      </c>
      <c r="DQ163" s="47">
        <v>0</v>
      </c>
      <c r="DR163" s="47">
        <v>0</v>
      </c>
    </row>
    <row r="164" spans="1:124" x14ac:dyDescent="0.25">
      <c r="A164" s="47" t="s">
        <v>904</v>
      </c>
      <c r="B164" s="47" t="s">
        <v>151</v>
      </c>
      <c r="C164" s="47" t="s">
        <v>905</v>
      </c>
      <c r="D164" s="47" t="s">
        <v>906</v>
      </c>
      <c r="E164" s="47" t="s">
        <v>907</v>
      </c>
      <c r="F164" s="47" t="s">
        <v>380</v>
      </c>
      <c r="G164" s="47" t="s">
        <v>381</v>
      </c>
      <c r="H164" s="47" t="str">
        <f>=IFERROR(VLOOKUP(A164,'ETPT Format DDG'!A:J,10,FALSE),"")</f>
        <v>0</v>
      </c>
      <c r="I164" s="47" t="str">
        <f>='ETPT Format DDG'!M164</f>
        <v/>
      </c>
      <c r="J164" s="47" t="str">
        <f>='ETPT Format DDG'!D164</f>
        <v/>
      </c>
      <c r="K164" s="47" t="s">
        <v>155</v>
      </c>
      <c r="L164" s="47" t="s">
        <v>596</v>
      </c>
      <c r="M164" s="47"/>
      <c r="N164" s="47">
        <v>1</v>
      </c>
      <c r="O164" s="47">
        <v>0</v>
      </c>
      <c r="P164" s="47">
        <v>0</v>
      </c>
      <c r="Q164" s="47">
        <v>0</v>
      </c>
      <c r="R164" s="47">
        <v>0</v>
      </c>
      <c r="S164" s="47">
        <v>0</v>
      </c>
      <c r="T164" s="47">
        <v>0</v>
      </c>
      <c r="U164" s="47">
        <v>0</v>
      </c>
      <c r="V164" s="47">
        <v>0</v>
      </c>
      <c r="W164" s="47">
        <v>0</v>
      </c>
      <c r="X164" s="47">
        <v>0</v>
      </c>
      <c r="Y164" s="47">
        <v>0</v>
      </c>
      <c r="Z164" s="47">
        <v>0</v>
      </c>
      <c r="AA164" s="47">
        <v>0</v>
      </c>
      <c r="AB164" s="47">
        <v>0</v>
      </c>
      <c r="AC164" s="47">
        <v>0</v>
      </c>
      <c r="AD164" s="47">
        <v>0</v>
      </c>
      <c r="AE164" s="47">
        <v>0</v>
      </c>
      <c r="AF164" s="47">
        <v>0</v>
      </c>
      <c r="AG164" s="47">
        <v>0</v>
      </c>
      <c r="AH164" s="47">
        <v>0</v>
      </c>
      <c r="AI164" s="47">
        <v>0</v>
      </c>
      <c r="AJ164" s="47">
        <v>0</v>
      </c>
      <c r="AK164" s="47">
        <v>0</v>
      </c>
      <c r="AL164" s="47">
        <v>0</v>
      </c>
      <c r="AM164" s="47">
        <v>0</v>
      </c>
      <c r="AN164" s="47">
        <v>0</v>
      </c>
      <c r="AO164" s="47">
        <v>0</v>
      </c>
      <c r="AP164" s="47">
        <v>0</v>
      </c>
      <c r="AQ164" s="47">
        <v>0</v>
      </c>
      <c r="AR164" s="47">
        <v>0</v>
      </c>
      <c r="AS164" s="47">
        <v>0</v>
      </c>
      <c r="AT164" s="47">
        <v>0</v>
      </c>
      <c r="AU164" s="47">
        <v>0</v>
      </c>
      <c r="AV164" s="47">
        <v>0</v>
      </c>
      <c r="AW164" s="47">
        <v>0</v>
      </c>
      <c r="AX164" s="47">
        <v>0</v>
      </c>
      <c r="AY164" s="47">
        <v>0</v>
      </c>
      <c r="AZ164" s="47">
        <v>0</v>
      </c>
      <c r="BA164" s="47">
        <v>0</v>
      </c>
      <c r="BB164" s="47">
        <v>0</v>
      </c>
      <c r="BC164" s="47">
        <v>0</v>
      </c>
      <c r="BD164" s="47">
        <v>0</v>
      </c>
      <c r="BE164" s="47">
        <v>0</v>
      </c>
      <c r="BF164" s="47">
        <v>0</v>
      </c>
      <c r="BG164" s="47">
        <v>0</v>
      </c>
      <c r="BH164" s="47">
        <v>0</v>
      </c>
      <c r="BI164" s="47">
        <v>0</v>
      </c>
      <c r="BJ164" s="47">
        <v>0</v>
      </c>
      <c r="BK164" s="47">
        <v>0</v>
      </c>
      <c r="BL164" s="47">
        <v>0</v>
      </c>
      <c r="BM164" s="47">
        <v>0</v>
      </c>
      <c r="BN164" s="47">
        <v>0</v>
      </c>
      <c r="BO164" s="47">
        <v>0</v>
      </c>
      <c r="BP164" s="47">
        <v>0</v>
      </c>
      <c r="BQ164" s="47">
        <v>0</v>
      </c>
      <c r="BR164" s="47">
        <v>0</v>
      </c>
      <c r="BS164" s="47">
        <v>0</v>
      </c>
      <c r="BT164" s="47">
        <v>0</v>
      </c>
      <c r="BU164" s="47">
        <v>0</v>
      </c>
      <c r="BV164" s="47">
        <v>0</v>
      </c>
      <c r="BW164" s="47">
        <v>0</v>
      </c>
      <c r="BX164" s="47">
        <v>0</v>
      </c>
      <c r="BY164" s="47">
        <v>0</v>
      </c>
      <c r="BZ164" s="47">
        <v>0</v>
      </c>
      <c r="CA164" s="47">
        <v>0</v>
      </c>
      <c r="CB164" s="47">
        <v>0</v>
      </c>
      <c r="CC164" s="47">
        <v>0</v>
      </c>
      <c r="CD164" s="47">
        <v>0</v>
      </c>
      <c r="CE164" s="47">
        <v>0</v>
      </c>
      <c r="CF164" s="47">
        <v>0</v>
      </c>
      <c r="CG164" s="47">
        <v>0</v>
      </c>
      <c r="CH164" s="47">
        <v>0</v>
      </c>
      <c r="CI164" s="47">
        <v>0</v>
      </c>
      <c r="CJ164" s="47">
        <v>0</v>
      </c>
      <c r="CK164" s="47">
        <v>0</v>
      </c>
      <c r="CL164" s="47">
        <v>0</v>
      </c>
      <c r="CM164" s="47">
        <v>0</v>
      </c>
      <c r="CN164" s="47">
        <v>0</v>
      </c>
      <c r="CO164" s="47">
        <v>0</v>
      </c>
      <c r="CP164" s="47">
        <v>0</v>
      </c>
      <c r="CQ164" s="47">
        <v>0</v>
      </c>
      <c r="CR164" s="47">
        <v>0</v>
      </c>
      <c r="CS164" s="47">
        <v>0</v>
      </c>
      <c r="CT164" s="47">
        <v>0</v>
      </c>
      <c r="CU164" s="47">
        <v>0</v>
      </c>
      <c r="CV164" s="47">
        <v>0</v>
      </c>
      <c r="CW164" s="47">
        <v>0</v>
      </c>
      <c r="CX164" s="47">
        <v>0</v>
      </c>
      <c r="CY164" s="47">
        <v>0</v>
      </c>
      <c r="CZ164" s="47">
        <v>0</v>
      </c>
      <c r="DA164" s="47">
        <v>0</v>
      </c>
      <c r="DB164" s="47">
        <v>0</v>
      </c>
      <c r="DC164" s="47">
        <v>0</v>
      </c>
      <c r="DD164" s="47">
        <v>0</v>
      </c>
      <c r="DE164" s="47">
        <v>0</v>
      </c>
      <c r="DF164" s="47">
        <v>0</v>
      </c>
      <c r="DG164" s="47">
        <v>0</v>
      </c>
      <c r="DH164" s="47">
        <v>0</v>
      </c>
      <c r="DI164" s="47">
        <v>0</v>
      </c>
      <c r="DJ164" s="47">
        <v>0</v>
      </c>
      <c r="DK164" s="47">
        <v>0</v>
      </c>
      <c r="DL164" s="47">
        <v>0</v>
      </c>
      <c r="DM164" s="47">
        <v>0</v>
      </c>
      <c r="DN164" s="47">
        <v>0</v>
      </c>
      <c r="DO164" s="47">
        <v>0</v>
      </c>
      <c r="DP164" s="47">
        <v>0</v>
      </c>
      <c r="DQ164" s="47">
        <v>0</v>
      </c>
      <c r="DR164" s="47">
        <v>0</v>
      </c>
    </row>
    <row r="165" spans="1:124" x14ac:dyDescent="0.25">
      <c r="A165" s="47" t="s">
        <v>908</v>
      </c>
      <c r="B165" s="47" t="s">
        <v>151</v>
      </c>
      <c r="C165" s="47" t="s">
        <v>909</v>
      </c>
      <c r="D165" s="47" t="s">
        <v>910</v>
      </c>
      <c r="E165" s="47" t="s">
        <v>911</v>
      </c>
      <c r="F165" s="47" t="s">
        <v>380</v>
      </c>
      <c r="G165" s="47" t="s">
        <v>411</v>
      </c>
      <c r="H165" s="47" t="str">
        <f>=IFERROR(VLOOKUP(A165,'ETPT Format DDG'!A:J,10,FALSE),"")</f>
        <v>0</v>
      </c>
      <c r="I165" s="47" t="str">
        <f>='ETPT Format DDG'!M165</f>
        <v/>
      </c>
      <c r="J165" s="47" t="str">
        <f>='ETPT Format DDG'!D165</f>
        <v/>
      </c>
      <c r="K165" s="47" t="s">
        <v>155</v>
      </c>
      <c r="L165" s="47" t="s">
        <v>898</v>
      </c>
      <c r="M165" s="47"/>
      <c r="N165" s="47">
        <v>1</v>
      </c>
      <c r="O165" s="47">
        <v>0</v>
      </c>
      <c r="P165" s="47">
        <v>0</v>
      </c>
      <c r="Q165" s="47">
        <v>0</v>
      </c>
      <c r="R165" s="47">
        <v>0</v>
      </c>
      <c r="S165" s="47">
        <v>0</v>
      </c>
      <c r="T165" s="47">
        <v>0</v>
      </c>
      <c r="U165" s="47">
        <v>0</v>
      </c>
      <c r="V165" s="47">
        <v>0</v>
      </c>
      <c r="W165" s="47">
        <v>0</v>
      </c>
      <c r="X165" s="47">
        <v>0</v>
      </c>
      <c r="Y165" s="47">
        <v>0</v>
      </c>
      <c r="Z165" s="47">
        <v>0</v>
      </c>
      <c r="AA165" s="47">
        <v>0</v>
      </c>
      <c r="AB165" s="47">
        <v>0</v>
      </c>
      <c r="AC165" s="47">
        <v>0</v>
      </c>
      <c r="AD165" s="47">
        <v>0</v>
      </c>
      <c r="AE165" s="47">
        <v>0</v>
      </c>
      <c r="AF165" s="47">
        <v>0</v>
      </c>
      <c r="AG165" s="47">
        <v>0</v>
      </c>
      <c r="AH165" s="47">
        <v>0</v>
      </c>
      <c r="AI165" s="47">
        <v>0</v>
      </c>
      <c r="AJ165" s="47">
        <v>0</v>
      </c>
      <c r="AK165" s="47">
        <v>0</v>
      </c>
      <c r="AL165" s="47">
        <v>0</v>
      </c>
      <c r="AM165" s="47">
        <v>0</v>
      </c>
      <c r="AN165" s="47">
        <v>0</v>
      </c>
      <c r="AO165" s="47">
        <v>0</v>
      </c>
      <c r="AP165" s="47">
        <v>0</v>
      </c>
      <c r="AQ165" s="47">
        <v>0</v>
      </c>
      <c r="AR165" s="47">
        <v>0</v>
      </c>
      <c r="AS165" s="47">
        <v>0</v>
      </c>
      <c r="AT165" s="47">
        <v>0</v>
      </c>
      <c r="AU165" s="47">
        <v>0</v>
      </c>
      <c r="AV165" s="47">
        <v>0</v>
      </c>
      <c r="AW165" s="47">
        <v>0</v>
      </c>
      <c r="AX165" s="47">
        <v>0</v>
      </c>
      <c r="AY165" s="47">
        <v>0</v>
      </c>
      <c r="AZ165" s="47">
        <v>0</v>
      </c>
      <c r="BA165" s="47">
        <v>0</v>
      </c>
      <c r="BB165" s="47">
        <v>0</v>
      </c>
      <c r="BC165" s="47">
        <v>0</v>
      </c>
      <c r="BD165" s="47">
        <v>0</v>
      </c>
      <c r="BE165" s="47">
        <v>0</v>
      </c>
      <c r="BF165" s="47">
        <v>0</v>
      </c>
      <c r="BG165" s="47">
        <v>0</v>
      </c>
      <c r="BH165" s="47">
        <v>0</v>
      </c>
      <c r="BI165" s="47">
        <v>0</v>
      </c>
      <c r="BJ165" s="47">
        <v>0</v>
      </c>
      <c r="BK165" s="47">
        <v>0</v>
      </c>
      <c r="BL165" s="47">
        <v>0</v>
      </c>
      <c r="BM165" s="47">
        <v>0</v>
      </c>
      <c r="BN165" s="47">
        <v>0</v>
      </c>
      <c r="BO165" s="47">
        <v>0</v>
      </c>
      <c r="BP165" s="47">
        <v>0</v>
      </c>
      <c r="BQ165" s="47">
        <v>0</v>
      </c>
      <c r="BR165" s="47">
        <v>0</v>
      </c>
      <c r="BS165" s="47">
        <v>0</v>
      </c>
      <c r="BT165" s="47">
        <v>0</v>
      </c>
      <c r="BU165" s="47">
        <v>0</v>
      </c>
      <c r="BV165" s="47">
        <v>0</v>
      </c>
      <c r="BW165" s="47">
        <v>0</v>
      </c>
      <c r="BX165" s="47">
        <v>0</v>
      </c>
      <c r="BY165" s="47">
        <v>0</v>
      </c>
      <c r="BZ165" s="47">
        <v>0</v>
      </c>
      <c r="CA165" s="47">
        <v>0</v>
      </c>
      <c r="CB165" s="47">
        <v>0</v>
      </c>
      <c r="CC165" s="47">
        <v>0</v>
      </c>
      <c r="CD165" s="47">
        <v>0</v>
      </c>
      <c r="CE165" s="47">
        <v>0</v>
      </c>
      <c r="CF165" s="47">
        <v>0</v>
      </c>
      <c r="CG165" s="47">
        <v>0</v>
      </c>
      <c r="CH165" s="47">
        <v>0</v>
      </c>
      <c r="CI165" s="47">
        <v>0</v>
      </c>
      <c r="CJ165" s="47">
        <v>0</v>
      </c>
      <c r="CK165" s="47">
        <v>0</v>
      </c>
      <c r="CL165" s="47">
        <v>0</v>
      </c>
      <c r="CM165" s="47">
        <v>0</v>
      </c>
      <c r="CN165" s="47">
        <v>0</v>
      </c>
      <c r="CO165" s="47">
        <v>0</v>
      </c>
      <c r="CP165" s="47">
        <v>0</v>
      </c>
      <c r="CQ165" s="47">
        <v>0</v>
      </c>
      <c r="CR165" s="47">
        <v>0</v>
      </c>
      <c r="CS165" s="47">
        <v>0</v>
      </c>
      <c r="CT165" s="47">
        <v>0</v>
      </c>
      <c r="CU165" s="47">
        <v>0</v>
      </c>
      <c r="CV165" s="47">
        <v>0</v>
      </c>
      <c r="CW165" s="47">
        <v>0</v>
      </c>
      <c r="CX165" s="47">
        <v>0</v>
      </c>
      <c r="CY165" s="47">
        <v>0</v>
      </c>
      <c r="CZ165" s="47">
        <v>0</v>
      </c>
      <c r="DA165" s="47">
        <v>0</v>
      </c>
      <c r="DB165" s="47">
        <v>0</v>
      </c>
      <c r="DC165" s="47">
        <v>0</v>
      </c>
      <c r="DD165" s="47">
        <v>0</v>
      </c>
      <c r="DE165" s="47">
        <v>0</v>
      </c>
      <c r="DF165" s="47">
        <v>0</v>
      </c>
      <c r="DG165" s="47">
        <v>0</v>
      </c>
      <c r="DH165" s="47">
        <v>0</v>
      </c>
      <c r="DI165" s="47">
        <v>0</v>
      </c>
      <c r="DJ165" s="47">
        <v>0</v>
      </c>
      <c r="DK165" s="47">
        <v>0</v>
      </c>
      <c r="DL165" s="47">
        <v>0</v>
      </c>
      <c r="DM165" s="47">
        <v>0</v>
      </c>
      <c r="DN165" s="47">
        <v>0</v>
      </c>
      <c r="DO165" s="47">
        <v>0</v>
      </c>
      <c r="DP165" s="47">
        <v>0</v>
      </c>
      <c r="DQ165" s="47">
        <v>0</v>
      </c>
      <c r="DR165" s="47">
        <v>0</v>
      </c>
    </row>
    <row r="166" spans="1:124" x14ac:dyDescent="0.25">
      <c r="A166" s="47" t="s">
        <v>912</v>
      </c>
      <c r="B166" s="47" t="s">
        <v>151</v>
      </c>
      <c r="C166" s="47" t="s">
        <v>913</v>
      </c>
      <c r="D166" s="47" t="s">
        <v>914</v>
      </c>
      <c r="E166" s="47" t="s">
        <v>915</v>
      </c>
      <c r="F166" s="47" t="s">
        <v>380</v>
      </c>
      <c r="G166" s="47" t="s">
        <v>381</v>
      </c>
      <c r="H166" s="47" t="str">
        <f>=IFERROR(VLOOKUP(A166,'ETPT Format DDG'!A:J,10,FALSE),"")</f>
        <v>0</v>
      </c>
      <c r="I166" s="47" t="str">
        <f>='ETPT Format DDG'!M166</f>
        <v/>
      </c>
      <c r="J166" s="47" t="str">
        <f>='ETPT Format DDG'!D166</f>
        <v/>
      </c>
      <c r="K166" s="47" t="s">
        <v>155</v>
      </c>
      <c r="L166" s="47" t="s">
        <v>916</v>
      </c>
      <c r="M166" s="47"/>
      <c r="N166" s="47">
        <v>1</v>
      </c>
      <c r="O166" s="47">
        <v>1</v>
      </c>
      <c r="P166" s="47">
        <v>0</v>
      </c>
      <c r="Q166" s="47">
        <v>0</v>
      </c>
      <c r="R166" s="47">
        <v>0</v>
      </c>
      <c r="S166" s="47">
        <v>0</v>
      </c>
      <c r="T166" s="47">
        <v>0</v>
      </c>
      <c r="U166" s="47">
        <v>0</v>
      </c>
      <c r="V166" s="47">
        <v>0</v>
      </c>
      <c r="W166" s="47">
        <v>0</v>
      </c>
      <c r="X166" s="47">
        <v>0</v>
      </c>
      <c r="Y166" s="47">
        <v>0</v>
      </c>
      <c r="Z166" s="47">
        <v>0</v>
      </c>
      <c r="AA166" s="47">
        <v>0</v>
      </c>
      <c r="AB166" s="47">
        <v>0</v>
      </c>
      <c r="AC166" s="47">
        <v>0</v>
      </c>
      <c r="AD166" s="47">
        <v>0</v>
      </c>
      <c r="AE166" s="47">
        <v>0</v>
      </c>
      <c r="AF166" s="47">
        <v>0</v>
      </c>
      <c r="AG166" s="47">
        <v>0</v>
      </c>
      <c r="AH166" s="47">
        <v>0</v>
      </c>
      <c r="AI166" s="47">
        <v>0</v>
      </c>
      <c r="AJ166" s="47">
        <v>0</v>
      </c>
      <c r="AK166" s="47">
        <v>0</v>
      </c>
      <c r="AL166" s="47">
        <v>0</v>
      </c>
      <c r="AM166" s="47">
        <v>0</v>
      </c>
      <c r="AN166" s="47">
        <v>0</v>
      </c>
      <c r="AO166" s="47">
        <v>0</v>
      </c>
      <c r="AP166" s="47">
        <v>0</v>
      </c>
      <c r="AQ166" s="47">
        <v>0</v>
      </c>
      <c r="AR166" s="47">
        <v>0</v>
      </c>
      <c r="AS166" s="47">
        <v>0</v>
      </c>
      <c r="AT166" s="47">
        <v>0</v>
      </c>
      <c r="AU166" s="47">
        <v>0</v>
      </c>
      <c r="AV166" s="47">
        <v>0</v>
      </c>
      <c r="AW166" s="47">
        <v>0</v>
      </c>
      <c r="AX166" s="47">
        <v>0</v>
      </c>
      <c r="AY166" s="47">
        <v>0</v>
      </c>
      <c r="AZ166" s="47">
        <v>0</v>
      </c>
      <c r="BA166" s="47">
        <v>0</v>
      </c>
      <c r="BB166" s="47">
        <v>0</v>
      </c>
      <c r="BC166" s="47">
        <v>0</v>
      </c>
      <c r="BD166" s="47">
        <v>0</v>
      </c>
      <c r="BE166" s="47">
        <v>0</v>
      </c>
      <c r="BF166" s="47">
        <v>0</v>
      </c>
      <c r="BG166" s="47">
        <v>0</v>
      </c>
      <c r="BH166" s="47">
        <v>0</v>
      </c>
      <c r="BI166" s="47">
        <v>0</v>
      </c>
      <c r="BJ166" s="47">
        <v>0</v>
      </c>
      <c r="BK166" s="47">
        <v>0</v>
      </c>
      <c r="BL166" s="47">
        <v>1</v>
      </c>
      <c r="BM166" s="47">
        <v>0.5</v>
      </c>
      <c r="BN166" s="47">
        <v>0.5</v>
      </c>
      <c r="BO166" s="47">
        <v>0</v>
      </c>
      <c r="BP166" s="47">
        <v>0</v>
      </c>
      <c r="BQ166" s="47">
        <v>0</v>
      </c>
      <c r="BR166" s="47">
        <v>0</v>
      </c>
      <c r="BS166" s="47">
        <v>0</v>
      </c>
      <c r="BT166" s="47">
        <v>0</v>
      </c>
      <c r="BU166" s="47">
        <v>0</v>
      </c>
      <c r="BV166" s="47">
        <v>0</v>
      </c>
      <c r="BW166" s="47">
        <v>0</v>
      </c>
      <c r="BX166" s="47">
        <v>0</v>
      </c>
      <c r="BY166" s="47">
        <v>0</v>
      </c>
      <c r="BZ166" s="47">
        <v>0</v>
      </c>
      <c r="CA166" s="47">
        <v>0</v>
      </c>
      <c r="CB166" s="47">
        <v>0</v>
      </c>
      <c r="CC166" s="47">
        <v>0</v>
      </c>
      <c r="CD166" s="47">
        <v>0</v>
      </c>
      <c r="CE166" s="47">
        <v>0</v>
      </c>
      <c r="CF166" s="47">
        <v>0</v>
      </c>
      <c r="CG166" s="47">
        <v>0</v>
      </c>
      <c r="CH166" s="47">
        <v>0</v>
      </c>
      <c r="CI166" s="47">
        <v>0</v>
      </c>
      <c r="CJ166" s="47">
        <v>0</v>
      </c>
      <c r="CK166" s="47">
        <v>0</v>
      </c>
      <c r="CL166" s="47">
        <v>0</v>
      </c>
      <c r="CM166" s="47">
        <v>0</v>
      </c>
      <c r="CN166" s="47">
        <v>0</v>
      </c>
      <c r="CO166" s="47">
        <v>0</v>
      </c>
      <c r="CP166" s="47">
        <v>0</v>
      </c>
      <c r="CQ166" s="47">
        <v>0</v>
      </c>
      <c r="CR166" s="47">
        <v>0</v>
      </c>
      <c r="CS166" s="47">
        <v>0</v>
      </c>
      <c r="CT166" s="47">
        <v>0</v>
      </c>
      <c r="CU166" s="47">
        <v>0</v>
      </c>
      <c r="CV166" s="47">
        <v>0</v>
      </c>
      <c r="CW166" s="47">
        <v>0</v>
      </c>
      <c r="CX166" s="47">
        <v>0</v>
      </c>
      <c r="CY166" s="47">
        <v>0</v>
      </c>
      <c r="CZ166" s="47">
        <v>0</v>
      </c>
      <c r="DA166" s="47">
        <v>0</v>
      </c>
      <c r="DB166" s="47">
        <v>0</v>
      </c>
      <c r="DC166" s="47">
        <v>0</v>
      </c>
      <c r="DD166" s="47">
        <v>0</v>
      </c>
      <c r="DE166" s="47">
        <v>0</v>
      </c>
      <c r="DF166" s="47">
        <v>0</v>
      </c>
      <c r="DG166" s="47">
        <v>0</v>
      </c>
      <c r="DH166" s="47">
        <v>0</v>
      </c>
      <c r="DI166" s="47">
        <v>0</v>
      </c>
      <c r="DJ166" s="47">
        <v>0</v>
      </c>
      <c r="DK166" s="47">
        <v>0</v>
      </c>
      <c r="DL166" s="47">
        <v>0</v>
      </c>
      <c r="DM166" s="47">
        <v>0</v>
      </c>
      <c r="DN166" s="47">
        <v>0</v>
      </c>
      <c r="DO166" s="47">
        <v>0</v>
      </c>
      <c r="DP166" s="47">
        <v>0</v>
      </c>
      <c r="DQ166" s="47">
        <v>0</v>
      </c>
      <c r="DR166" s="47">
        <v>0</v>
      </c>
    </row>
    <row r="167" spans="1:124" x14ac:dyDescent="0.25">
      <c r="A167" s="47" t="s">
        <v>917</v>
      </c>
      <c r="B167" s="47" t="s">
        <v>151</v>
      </c>
      <c r="C167" s="47" t="s">
        <v>918</v>
      </c>
      <c r="D167" s="47" t="s">
        <v>919</v>
      </c>
      <c r="E167" s="47" t="s">
        <v>920</v>
      </c>
      <c r="F167" s="47" t="s">
        <v>380</v>
      </c>
      <c r="G167" s="47" t="s">
        <v>381</v>
      </c>
      <c r="H167" s="47" t="str">
        <f>=IFERROR(VLOOKUP(A167,'ETPT Format DDG'!A:J,10,FALSE),"")</f>
        <v>0</v>
      </c>
      <c r="I167" s="47" t="str">
        <f>='ETPT Format DDG'!M167</f>
        <v/>
      </c>
      <c r="J167" s="47" t="str">
        <f>='ETPT Format DDG'!D167</f>
        <v/>
      </c>
      <c r="K167" s="47" t="s">
        <v>155</v>
      </c>
      <c r="L167" s="47" t="s">
        <v>921</v>
      </c>
      <c r="M167" s="47"/>
      <c r="N167" s="47">
        <v>0.8</v>
      </c>
      <c r="O167" s="47">
        <v>0.8</v>
      </c>
      <c r="P167" s="47">
        <v>0.4826</v>
      </c>
      <c r="Q167" s="47">
        <v>0.4</v>
      </c>
      <c r="R167" s="47">
        <v>0</v>
      </c>
      <c r="S167" s="47">
        <v>0</v>
      </c>
      <c r="T167" s="47">
        <v>0.0826</v>
      </c>
      <c r="U167" s="47">
        <v>0</v>
      </c>
      <c r="V167" s="47">
        <v>0</v>
      </c>
      <c r="W167" s="47">
        <v>0</v>
      </c>
      <c r="X167" s="47">
        <v>0</v>
      </c>
      <c r="Y167" s="47">
        <v>0</v>
      </c>
      <c r="Z167" s="47">
        <v>0</v>
      </c>
      <c r="AA167" s="47">
        <v>0</v>
      </c>
      <c r="AB167" s="47">
        <v>0</v>
      </c>
      <c r="AC167" s="47">
        <v>0</v>
      </c>
      <c r="AD167" s="47">
        <v>0</v>
      </c>
      <c r="AE167" s="47">
        <v>0</v>
      </c>
      <c r="AF167" s="47">
        <v>0</v>
      </c>
      <c r="AG167" s="47">
        <v>0</v>
      </c>
      <c r="AH167" s="47">
        <v>0</v>
      </c>
      <c r="AI167" s="47">
        <v>0</v>
      </c>
      <c r="AJ167" s="47">
        <v>0</v>
      </c>
      <c r="AK167" s="47">
        <v>0</v>
      </c>
      <c r="AL167" s="47">
        <v>0</v>
      </c>
      <c r="AM167" s="47">
        <v>0</v>
      </c>
      <c r="AN167" s="47">
        <v>0</v>
      </c>
      <c r="AO167" s="47">
        <v>0</v>
      </c>
      <c r="AP167" s="47">
        <v>0</v>
      </c>
      <c r="AQ167" s="47">
        <v>0</v>
      </c>
      <c r="AR167" s="47">
        <v>0</v>
      </c>
      <c r="AS167" s="47">
        <v>0</v>
      </c>
      <c r="AT167" s="47">
        <v>0</v>
      </c>
      <c r="AU167" s="47">
        <v>0</v>
      </c>
      <c r="AV167" s="47">
        <v>0</v>
      </c>
      <c r="AW167" s="47">
        <v>0</v>
      </c>
      <c r="AX167" s="47">
        <v>0</v>
      </c>
      <c r="AY167" s="47">
        <v>0</v>
      </c>
      <c r="AZ167" s="47">
        <v>0</v>
      </c>
      <c r="BA167" s="47">
        <v>0</v>
      </c>
      <c r="BB167" s="47">
        <v>0</v>
      </c>
      <c r="BC167" s="47">
        <v>0</v>
      </c>
      <c r="BD167" s="47">
        <v>0</v>
      </c>
      <c r="BE167" s="47">
        <v>0</v>
      </c>
      <c r="BF167" s="47">
        <v>0</v>
      </c>
      <c r="BG167" s="47">
        <v>0</v>
      </c>
      <c r="BH167" s="47">
        <v>0</v>
      </c>
      <c r="BI167" s="47">
        <v>0</v>
      </c>
      <c r="BJ167" s="47">
        <v>0</v>
      </c>
      <c r="BK167" s="47">
        <v>0</v>
      </c>
      <c r="BL167" s="47">
        <v>0</v>
      </c>
      <c r="BM167" s="47">
        <v>0</v>
      </c>
      <c r="BN167" s="47">
        <v>0</v>
      </c>
      <c r="BO167" s="47">
        <v>0</v>
      </c>
      <c r="BP167" s="47">
        <v>0</v>
      </c>
      <c r="BQ167" s="47">
        <v>0</v>
      </c>
      <c r="BR167" s="47">
        <v>0</v>
      </c>
      <c r="BS167" s="47">
        <v>0</v>
      </c>
      <c r="BT167" s="47">
        <v>0</v>
      </c>
      <c r="BU167" s="47">
        <v>0</v>
      </c>
      <c r="BV167" s="47">
        <v>0</v>
      </c>
      <c r="BW167" s="47">
        <v>0</v>
      </c>
      <c r="BX167" s="47">
        <v>0</v>
      </c>
      <c r="BY167" s="47">
        <v>0</v>
      </c>
      <c r="BZ167" s="47">
        <v>0</v>
      </c>
      <c r="CA167" s="47">
        <v>0</v>
      </c>
      <c r="CB167" s="47">
        <v>0</v>
      </c>
      <c r="CC167" s="47">
        <v>0</v>
      </c>
      <c r="CD167" s="47">
        <v>0</v>
      </c>
      <c r="CE167" s="47">
        <v>0</v>
      </c>
      <c r="CF167" s="47">
        <v>0</v>
      </c>
      <c r="CG167" s="47">
        <v>0</v>
      </c>
      <c r="CH167" s="47">
        <v>0</v>
      </c>
      <c r="CI167" s="47">
        <v>0</v>
      </c>
      <c r="CJ167" s="47">
        <v>0</v>
      </c>
      <c r="CK167" s="47">
        <v>0</v>
      </c>
      <c r="CL167" s="47">
        <v>0</v>
      </c>
      <c r="CM167" s="47">
        <v>0</v>
      </c>
      <c r="CN167" s="47">
        <v>0</v>
      </c>
      <c r="CO167" s="47">
        <v>0</v>
      </c>
      <c r="CP167" s="47">
        <v>0</v>
      </c>
      <c r="CQ167" s="47">
        <v>0</v>
      </c>
      <c r="CR167" s="47">
        <v>0</v>
      </c>
      <c r="CS167" s="47">
        <v>0</v>
      </c>
      <c r="CT167" s="47">
        <v>0.3174</v>
      </c>
      <c r="CU167" s="47">
        <v>0.08</v>
      </c>
      <c r="CV167" s="47">
        <v>0</v>
      </c>
      <c r="CW167" s="47">
        <v>0</v>
      </c>
      <c r="CX167" s="47">
        <v>0</v>
      </c>
      <c r="CY167" s="47">
        <v>0</v>
      </c>
      <c r="CZ167" s="47">
        <v>0.2374</v>
      </c>
      <c r="DA167" s="47">
        <v>0</v>
      </c>
      <c r="DB167" s="47">
        <v>0</v>
      </c>
      <c r="DC167" s="47">
        <v>0</v>
      </c>
      <c r="DD167" s="47">
        <v>0</v>
      </c>
      <c r="DE167" s="47">
        <v>0</v>
      </c>
      <c r="DF167" s="47">
        <v>0</v>
      </c>
      <c r="DG167" s="47">
        <v>0</v>
      </c>
      <c r="DH167" s="47">
        <v>0</v>
      </c>
      <c r="DI167" s="47">
        <v>0</v>
      </c>
      <c r="DJ167" s="47">
        <v>0</v>
      </c>
      <c r="DK167" s="47">
        <v>0</v>
      </c>
      <c r="DL167" s="47">
        <v>0</v>
      </c>
      <c r="DM167" s="47">
        <v>0</v>
      </c>
      <c r="DN167" s="47">
        <v>0</v>
      </c>
      <c r="DO167" s="47">
        <v>0</v>
      </c>
      <c r="DP167" s="47">
        <v>0</v>
      </c>
      <c r="DQ167" s="47">
        <v>0</v>
      </c>
      <c r="DR167" s="47">
        <v>0</v>
      </c>
    </row>
    <row r="168" spans="1:124" x14ac:dyDescent="0.25">
      <c r="A168" s="47" t="s">
        <v>922</v>
      </c>
      <c r="B168" s="47" t="s">
        <v>151</v>
      </c>
      <c r="C168" s="47" t="s">
        <v>923</v>
      </c>
      <c r="D168" s="47" t="s">
        <v>924</v>
      </c>
      <c r="E168" s="47" t="s">
        <v>925</v>
      </c>
      <c r="F168" s="47" t="s">
        <v>380</v>
      </c>
      <c r="G168" s="47" t="s">
        <v>381</v>
      </c>
      <c r="H168" s="47" t="str">
        <f>=IFERROR(VLOOKUP(A168,'ETPT Format DDG'!A:J,10,FALSE),"")</f>
        <v>0</v>
      </c>
      <c r="I168" s="47" t="str">
        <f>='ETPT Format DDG'!M168</f>
        <v/>
      </c>
      <c r="J168" s="47" t="str">
        <f>='ETPT Format DDG'!D168</f>
        <v/>
      </c>
      <c r="K168" s="47" t="s">
        <v>155</v>
      </c>
      <c r="L168" s="47" t="s">
        <v>556</v>
      </c>
      <c r="M168" s="47"/>
      <c r="N168" s="47">
        <v>1</v>
      </c>
      <c r="O168" s="47">
        <v>1</v>
      </c>
      <c r="P168" s="47">
        <v>0</v>
      </c>
      <c r="Q168" s="47">
        <v>0</v>
      </c>
      <c r="R168" s="47">
        <v>0</v>
      </c>
      <c r="S168" s="47">
        <v>0</v>
      </c>
      <c r="T168" s="47">
        <v>0</v>
      </c>
      <c r="U168" s="47">
        <v>0</v>
      </c>
      <c r="V168" s="47">
        <v>0</v>
      </c>
      <c r="W168" s="47">
        <v>0</v>
      </c>
      <c r="X168" s="47">
        <v>0</v>
      </c>
      <c r="Y168" s="47">
        <v>0</v>
      </c>
      <c r="Z168" s="47">
        <v>0</v>
      </c>
      <c r="AA168" s="47">
        <v>0</v>
      </c>
      <c r="AB168" s="47">
        <v>0</v>
      </c>
      <c r="AC168" s="47">
        <v>0</v>
      </c>
      <c r="AD168" s="47">
        <v>0</v>
      </c>
      <c r="AE168" s="47">
        <v>0</v>
      </c>
      <c r="AF168" s="47">
        <v>0</v>
      </c>
      <c r="AG168" s="47">
        <v>0</v>
      </c>
      <c r="AH168" s="47">
        <v>0</v>
      </c>
      <c r="AI168" s="47">
        <v>0</v>
      </c>
      <c r="AJ168" s="47">
        <v>0</v>
      </c>
      <c r="AK168" s="47">
        <v>0</v>
      </c>
      <c r="AL168" s="47">
        <v>0</v>
      </c>
      <c r="AM168" s="47">
        <v>0</v>
      </c>
      <c r="AN168" s="47">
        <v>0</v>
      </c>
      <c r="AO168" s="47">
        <v>0</v>
      </c>
      <c r="AP168" s="47">
        <v>0</v>
      </c>
      <c r="AQ168" s="47">
        <v>0</v>
      </c>
      <c r="AR168" s="47">
        <v>0</v>
      </c>
      <c r="AS168" s="47">
        <v>0</v>
      </c>
      <c r="AT168" s="47">
        <v>0</v>
      </c>
      <c r="AU168" s="47">
        <v>0</v>
      </c>
      <c r="AV168" s="47">
        <v>0</v>
      </c>
      <c r="AW168" s="47">
        <v>0</v>
      </c>
      <c r="AX168" s="47">
        <v>0</v>
      </c>
      <c r="AY168" s="47">
        <v>0</v>
      </c>
      <c r="AZ168" s="47">
        <v>0</v>
      </c>
      <c r="BA168" s="47">
        <v>0</v>
      </c>
      <c r="BB168" s="47">
        <v>0</v>
      </c>
      <c r="BC168" s="47">
        <v>0</v>
      </c>
      <c r="BD168" s="47">
        <v>0</v>
      </c>
      <c r="BE168" s="47">
        <v>0</v>
      </c>
      <c r="BF168" s="47">
        <v>0</v>
      </c>
      <c r="BG168" s="47">
        <v>0</v>
      </c>
      <c r="BH168" s="47">
        <v>0</v>
      </c>
      <c r="BI168" s="47">
        <v>0</v>
      </c>
      <c r="BJ168" s="47">
        <v>0</v>
      </c>
      <c r="BK168" s="47">
        <v>0</v>
      </c>
      <c r="BL168" s="47">
        <v>0</v>
      </c>
      <c r="BM168" s="47">
        <v>0</v>
      </c>
      <c r="BN168" s="47">
        <v>0</v>
      </c>
      <c r="BO168" s="47">
        <v>0</v>
      </c>
      <c r="BP168" s="47">
        <v>0</v>
      </c>
      <c r="BQ168" s="47">
        <v>0</v>
      </c>
      <c r="BR168" s="47">
        <v>0</v>
      </c>
      <c r="BS168" s="47">
        <v>0</v>
      </c>
      <c r="BT168" s="47">
        <v>0</v>
      </c>
      <c r="BU168" s="47">
        <v>0</v>
      </c>
      <c r="BV168" s="47">
        <v>0</v>
      </c>
      <c r="BW168" s="47">
        <v>0</v>
      </c>
      <c r="BX168" s="47">
        <v>0</v>
      </c>
      <c r="BY168" s="47">
        <v>0</v>
      </c>
      <c r="BZ168" s="47">
        <v>0</v>
      </c>
      <c r="CA168" s="47">
        <v>0</v>
      </c>
      <c r="CB168" s="47">
        <v>0</v>
      </c>
      <c r="CC168" s="47">
        <v>0</v>
      </c>
      <c r="CD168" s="47">
        <v>0</v>
      </c>
      <c r="CE168" s="47">
        <v>0</v>
      </c>
      <c r="CF168" s="47">
        <v>0</v>
      </c>
      <c r="CG168" s="47">
        <v>0</v>
      </c>
      <c r="CH168" s="47">
        <v>0</v>
      </c>
      <c r="CI168" s="47">
        <v>0</v>
      </c>
      <c r="CJ168" s="47">
        <v>0</v>
      </c>
      <c r="CK168" s="47">
        <v>0</v>
      </c>
      <c r="CL168" s="47">
        <v>0</v>
      </c>
      <c r="CM168" s="47">
        <v>0</v>
      </c>
      <c r="CN168" s="47">
        <v>0</v>
      </c>
      <c r="CO168" s="47">
        <v>0</v>
      </c>
      <c r="CP168" s="47">
        <v>0</v>
      </c>
      <c r="CQ168" s="47">
        <v>0</v>
      </c>
      <c r="CR168" s="47">
        <v>0</v>
      </c>
      <c r="CS168" s="47">
        <v>0</v>
      </c>
      <c r="CT168" s="47">
        <v>1</v>
      </c>
      <c r="CU168" s="47">
        <v>0</v>
      </c>
      <c r="CV168" s="47">
        <v>0</v>
      </c>
      <c r="CW168" s="47">
        <v>0</v>
      </c>
      <c r="CX168" s="47">
        <v>1</v>
      </c>
      <c r="CY168" s="47">
        <v>0</v>
      </c>
      <c r="CZ168" s="47">
        <v>0</v>
      </c>
      <c r="DA168" s="47">
        <v>0</v>
      </c>
      <c r="DB168" s="47">
        <v>0</v>
      </c>
      <c r="DC168" s="47">
        <v>0</v>
      </c>
      <c r="DD168" s="47">
        <v>0</v>
      </c>
      <c r="DE168" s="47">
        <v>0</v>
      </c>
      <c r="DF168" s="47">
        <v>0</v>
      </c>
      <c r="DG168" s="47">
        <v>0</v>
      </c>
      <c r="DH168" s="47">
        <v>0</v>
      </c>
      <c r="DI168" s="47">
        <v>0</v>
      </c>
      <c r="DJ168" s="47">
        <v>0</v>
      </c>
      <c r="DK168" s="47">
        <v>0</v>
      </c>
      <c r="DL168" s="47">
        <v>0</v>
      </c>
      <c r="DM168" s="47">
        <v>0</v>
      </c>
      <c r="DN168" s="47">
        <v>0</v>
      </c>
      <c r="DO168" s="47">
        <v>0</v>
      </c>
      <c r="DP168" s="47">
        <v>0</v>
      </c>
      <c r="DQ168" s="47">
        <v>0</v>
      </c>
      <c r="DR168" s="47">
        <v>0</v>
      </c>
    </row>
    <row r="169" spans="1:124" x14ac:dyDescent="0.25">
      <c r="A169" s="47" t="s">
        <v>926</v>
      </c>
      <c r="B169" s="47" t="s">
        <v>151</v>
      </c>
      <c r="C169" s="47" t="s">
        <v>927</v>
      </c>
      <c r="D169" s="47" t="s">
        <v>928</v>
      </c>
      <c r="E169" s="47" t="s">
        <v>929</v>
      </c>
      <c r="F169" s="47" t="s">
        <v>380</v>
      </c>
      <c r="G169" s="47" t="s">
        <v>780</v>
      </c>
      <c r="H169" s="47" t="str">
        <f>=IFERROR(VLOOKUP(A169,'ETPT Format DDG'!A:J,10,FALSE),"")</f>
        <v>0</v>
      </c>
      <c r="I169" s="47" t="str">
        <f>='ETPT Format DDG'!M169</f>
        <v/>
      </c>
      <c r="J169" s="47" t="str">
        <f>='ETPT Format DDG'!D169</f>
        <v/>
      </c>
      <c r="K169" s="47" t="s">
        <v>155</v>
      </c>
      <c r="L169" s="47" t="s">
        <v>657</v>
      </c>
      <c r="M169" s="47" t="s">
        <v>170</v>
      </c>
      <c r="N169" s="47">
        <v>0.1493</v>
      </c>
      <c r="O169" s="47">
        <v>0.1493</v>
      </c>
      <c r="P169" s="47">
        <v>0</v>
      </c>
      <c r="Q169" s="47">
        <v>0</v>
      </c>
      <c r="R169" s="47">
        <v>0</v>
      </c>
      <c r="S169" s="47">
        <v>0</v>
      </c>
      <c r="T169" s="47">
        <v>0</v>
      </c>
      <c r="U169" s="47">
        <v>0</v>
      </c>
      <c r="V169" s="47">
        <v>0</v>
      </c>
      <c r="W169" s="47">
        <v>0</v>
      </c>
      <c r="X169" s="47">
        <v>0</v>
      </c>
      <c r="Y169" s="47">
        <v>0</v>
      </c>
      <c r="Z169" s="47">
        <v>0</v>
      </c>
      <c r="AA169" s="47">
        <v>0</v>
      </c>
      <c r="AB169" s="47">
        <v>0</v>
      </c>
      <c r="AC169" s="47">
        <v>0</v>
      </c>
      <c r="AD169" s="47">
        <v>0</v>
      </c>
      <c r="AE169" s="47">
        <v>0</v>
      </c>
      <c r="AF169" s="47">
        <v>0</v>
      </c>
      <c r="AG169" s="47">
        <v>0</v>
      </c>
      <c r="AH169" s="47">
        <v>0</v>
      </c>
      <c r="AI169" s="47">
        <v>0</v>
      </c>
      <c r="AJ169" s="47">
        <v>0</v>
      </c>
      <c r="AK169" s="47">
        <v>0</v>
      </c>
      <c r="AL169" s="47">
        <v>0</v>
      </c>
      <c r="AM169" s="47">
        <v>0</v>
      </c>
      <c r="AN169" s="47">
        <v>0</v>
      </c>
      <c r="AO169" s="47">
        <v>0</v>
      </c>
      <c r="AP169" s="47">
        <v>0</v>
      </c>
      <c r="AQ169" s="47">
        <v>0</v>
      </c>
      <c r="AR169" s="47">
        <v>0</v>
      </c>
      <c r="AS169" s="47">
        <v>0</v>
      </c>
      <c r="AT169" s="47">
        <v>0</v>
      </c>
      <c r="AU169" s="47">
        <v>0</v>
      </c>
      <c r="AV169" s="47">
        <v>0</v>
      </c>
      <c r="AW169" s="47">
        <v>0</v>
      </c>
      <c r="AX169" s="47">
        <v>0</v>
      </c>
      <c r="AY169" s="47">
        <v>0</v>
      </c>
      <c r="AZ169" s="47">
        <v>0</v>
      </c>
      <c r="BA169" s="47">
        <v>0</v>
      </c>
      <c r="BB169" s="47">
        <v>0</v>
      </c>
      <c r="BC169" s="47">
        <v>0</v>
      </c>
      <c r="BD169" s="47">
        <v>0</v>
      </c>
      <c r="BE169" s="47">
        <v>0</v>
      </c>
      <c r="BF169" s="47">
        <v>0</v>
      </c>
      <c r="BG169" s="47">
        <v>0</v>
      </c>
      <c r="BH169" s="47">
        <v>0</v>
      </c>
      <c r="BI169" s="47">
        <v>0</v>
      </c>
      <c r="BJ169" s="47">
        <v>0</v>
      </c>
      <c r="BK169" s="47">
        <v>0</v>
      </c>
      <c r="BL169" s="47">
        <v>0</v>
      </c>
      <c r="BM169" s="47">
        <v>0</v>
      </c>
      <c r="BN169" s="47">
        <v>0</v>
      </c>
      <c r="BO169" s="47">
        <v>0</v>
      </c>
      <c r="BP169" s="47">
        <v>0</v>
      </c>
      <c r="BQ169" s="47">
        <v>0</v>
      </c>
      <c r="BR169" s="47">
        <v>0</v>
      </c>
      <c r="BS169" s="47">
        <v>0</v>
      </c>
      <c r="BT169" s="47">
        <v>0</v>
      </c>
      <c r="BU169" s="47">
        <v>0</v>
      </c>
      <c r="BV169" s="47">
        <v>0</v>
      </c>
      <c r="BW169" s="47">
        <v>0</v>
      </c>
      <c r="BX169" s="47">
        <v>0</v>
      </c>
      <c r="BY169" s="47">
        <v>0</v>
      </c>
      <c r="BZ169" s="47">
        <v>0</v>
      </c>
      <c r="CA169" s="47">
        <v>0</v>
      </c>
      <c r="CB169" s="47">
        <v>0</v>
      </c>
      <c r="CC169" s="47">
        <v>0</v>
      </c>
      <c r="CD169" s="47">
        <v>0</v>
      </c>
      <c r="CE169" s="47">
        <v>0</v>
      </c>
      <c r="CF169" s="47">
        <v>0</v>
      </c>
      <c r="CG169" s="47">
        <v>0</v>
      </c>
      <c r="CH169" s="47">
        <v>0</v>
      </c>
      <c r="CI169" s="47">
        <v>0</v>
      </c>
      <c r="CJ169" s="47">
        <v>0</v>
      </c>
      <c r="CK169" s="47">
        <v>0</v>
      </c>
      <c r="CL169" s="47">
        <v>0</v>
      </c>
      <c r="CM169" s="47">
        <v>0</v>
      </c>
      <c r="CN169" s="47">
        <v>0</v>
      </c>
      <c r="CO169" s="47">
        <v>0</v>
      </c>
      <c r="CP169" s="47">
        <v>0</v>
      </c>
      <c r="CQ169" s="47">
        <v>0.1493</v>
      </c>
      <c r="CR169" s="47">
        <v>0</v>
      </c>
      <c r="CS169" s="47">
        <v>0</v>
      </c>
      <c r="CT169" s="47">
        <v>0</v>
      </c>
      <c r="CU169" s="47">
        <v>0</v>
      </c>
      <c r="CV169" s="47">
        <v>0</v>
      </c>
      <c r="CW169" s="47">
        <v>0</v>
      </c>
      <c r="CX169" s="47">
        <v>0</v>
      </c>
      <c r="CY169" s="47">
        <v>0</v>
      </c>
      <c r="CZ169" s="47">
        <v>0</v>
      </c>
      <c r="DA169" s="47">
        <v>0</v>
      </c>
      <c r="DB169" s="47">
        <v>0</v>
      </c>
      <c r="DC169" s="47">
        <v>0</v>
      </c>
      <c r="DD169" s="47">
        <v>0</v>
      </c>
      <c r="DE169" s="47">
        <v>0</v>
      </c>
      <c r="DF169" s="47">
        <v>0.0003</v>
      </c>
      <c r="DG169" s="47">
        <v>0</v>
      </c>
      <c r="DH169" s="47">
        <v>0</v>
      </c>
      <c r="DI169" s="47">
        <v>0</v>
      </c>
      <c r="DJ169" s="47">
        <v>0</v>
      </c>
      <c r="DK169" s="47">
        <v>0</v>
      </c>
      <c r="DL169" s="47">
        <v>0</v>
      </c>
      <c r="DM169" s="47">
        <v>0</v>
      </c>
      <c r="DN169" s="47">
        <v>0</v>
      </c>
      <c r="DO169" s="47">
        <v>0</v>
      </c>
      <c r="DP169" s="47">
        <v>0</v>
      </c>
      <c r="DQ169" s="47">
        <v>0</v>
      </c>
      <c r="DR169" s="47">
        <v>0.0003</v>
      </c>
    </row>
    <row r="170" spans="1:124" x14ac:dyDescent="0.25">
      <c r="A170" s="47" t="s">
        <v>930</v>
      </c>
      <c r="B170" s="47" t="s">
        <v>151</v>
      </c>
      <c r="C170" s="47" t="s">
        <v>931</v>
      </c>
      <c r="D170" s="47" t="s">
        <v>932</v>
      </c>
      <c r="E170" s="47" t="s">
        <v>933</v>
      </c>
      <c r="F170" s="47" t="s">
        <v>380</v>
      </c>
      <c r="G170" s="47" t="s">
        <v>526</v>
      </c>
      <c r="H170" s="47" t="str">
        <f>=IFERROR(VLOOKUP(A170,'ETPT Format DDG'!A:J,10,FALSE),"")</f>
        <v>0</v>
      </c>
      <c r="I170" s="47" t="str">
        <f>='ETPT Format DDG'!M170</f>
        <v/>
      </c>
      <c r="J170" s="47" t="str">
        <f>='ETPT Format DDG'!D170</f>
        <v/>
      </c>
      <c r="K170" s="47" t="s">
        <v>155</v>
      </c>
      <c r="L170" s="47" t="s">
        <v>934</v>
      </c>
      <c r="M170" s="47" t="s">
        <v>935</v>
      </c>
      <c r="N170" s="47">
        <v>0.4395</v>
      </c>
      <c r="O170" s="47">
        <v>0.4395</v>
      </c>
      <c r="P170" s="47">
        <v>0</v>
      </c>
      <c r="Q170" s="47">
        <v>0</v>
      </c>
      <c r="R170" s="47">
        <v>0</v>
      </c>
      <c r="S170" s="47">
        <v>0</v>
      </c>
      <c r="T170" s="47">
        <v>0</v>
      </c>
      <c r="U170" s="47">
        <v>0</v>
      </c>
      <c r="V170" s="47">
        <v>0</v>
      </c>
      <c r="W170" s="47">
        <v>0</v>
      </c>
      <c r="X170" s="47">
        <v>0</v>
      </c>
      <c r="Y170" s="47">
        <v>0</v>
      </c>
      <c r="Z170" s="47">
        <v>0</v>
      </c>
      <c r="AA170" s="47">
        <v>0</v>
      </c>
      <c r="AB170" s="47">
        <v>0</v>
      </c>
      <c r="AC170" s="47">
        <v>0</v>
      </c>
      <c r="AD170" s="47">
        <v>0</v>
      </c>
      <c r="AE170" s="47">
        <v>0.4395</v>
      </c>
      <c r="AF170" s="47">
        <v>0</v>
      </c>
      <c r="AG170" s="47">
        <v>0</v>
      </c>
      <c r="AH170" s="47">
        <v>0</v>
      </c>
      <c r="AI170" s="47">
        <v>0</v>
      </c>
      <c r="AJ170" s="47">
        <v>0</v>
      </c>
      <c r="AK170" s="47">
        <v>0.4395</v>
      </c>
      <c r="AL170" s="47">
        <v>0</v>
      </c>
      <c r="AM170" s="47">
        <v>0</v>
      </c>
      <c r="AN170" s="47">
        <v>0</v>
      </c>
      <c r="AO170" s="47">
        <v>0</v>
      </c>
      <c r="AP170" s="47">
        <v>0</v>
      </c>
      <c r="AQ170" s="47">
        <v>0</v>
      </c>
      <c r="AR170" s="47">
        <v>0</v>
      </c>
      <c r="AS170" s="47">
        <v>0</v>
      </c>
      <c r="AT170" s="47">
        <v>0</v>
      </c>
      <c r="AU170" s="47">
        <v>0</v>
      </c>
      <c r="AV170" s="47">
        <v>0</v>
      </c>
      <c r="AW170" s="47">
        <v>0</v>
      </c>
      <c r="AX170" s="47">
        <v>0</v>
      </c>
      <c r="AY170" s="47">
        <v>0</v>
      </c>
      <c r="AZ170" s="47">
        <v>0</v>
      </c>
      <c r="BA170" s="47">
        <v>0</v>
      </c>
      <c r="BB170" s="47">
        <v>0</v>
      </c>
      <c r="BC170" s="47">
        <v>0</v>
      </c>
      <c r="BD170" s="47">
        <v>0</v>
      </c>
      <c r="BE170" s="47">
        <v>0</v>
      </c>
      <c r="BF170" s="47">
        <v>0</v>
      </c>
      <c r="BG170" s="47">
        <v>0</v>
      </c>
      <c r="BH170" s="47">
        <v>0</v>
      </c>
      <c r="BI170" s="47">
        <v>0</v>
      </c>
      <c r="BJ170" s="47">
        <v>0</v>
      </c>
      <c r="BK170" s="47">
        <v>0</v>
      </c>
      <c r="BL170" s="47">
        <v>0</v>
      </c>
      <c r="BM170" s="47">
        <v>0</v>
      </c>
      <c r="BN170" s="47">
        <v>0</v>
      </c>
      <c r="BO170" s="47">
        <v>0</v>
      </c>
      <c r="BP170" s="47">
        <v>0</v>
      </c>
      <c r="BQ170" s="47">
        <v>0</v>
      </c>
      <c r="BR170" s="47">
        <v>0</v>
      </c>
      <c r="BS170" s="47">
        <v>0</v>
      </c>
      <c r="BT170" s="47">
        <v>0</v>
      </c>
      <c r="BU170" s="47">
        <v>0</v>
      </c>
      <c r="BV170" s="47">
        <v>0</v>
      </c>
      <c r="BW170" s="47">
        <v>0</v>
      </c>
      <c r="BX170" s="47">
        <v>0</v>
      </c>
      <c r="BY170" s="47">
        <v>0</v>
      </c>
      <c r="BZ170" s="47">
        <v>0</v>
      </c>
      <c r="CA170" s="47">
        <v>0</v>
      </c>
      <c r="CB170" s="47">
        <v>0</v>
      </c>
      <c r="CC170" s="47">
        <v>0</v>
      </c>
      <c r="CD170" s="47">
        <v>0</v>
      </c>
      <c r="CE170" s="47">
        <v>0</v>
      </c>
      <c r="CF170" s="47">
        <v>0</v>
      </c>
      <c r="CG170" s="47">
        <v>0</v>
      </c>
      <c r="CH170" s="47">
        <v>0</v>
      </c>
      <c r="CI170" s="47">
        <v>0</v>
      </c>
      <c r="CJ170" s="47">
        <v>0</v>
      </c>
      <c r="CK170" s="47">
        <v>0</v>
      </c>
      <c r="CL170" s="47">
        <v>0</v>
      </c>
      <c r="CM170" s="47">
        <v>0</v>
      </c>
      <c r="CN170" s="47">
        <v>0</v>
      </c>
      <c r="CO170" s="47">
        <v>0</v>
      </c>
      <c r="CP170" s="47">
        <v>0</v>
      </c>
      <c r="CQ170" s="47">
        <v>0</v>
      </c>
      <c r="CR170" s="47">
        <v>0</v>
      </c>
      <c r="CS170" s="47">
        <v>0</v>
      </c>
      <c r="CT170" s="47">
        <v>0</v>
      </c>
      <c r="CU170" s="47">
        <v>0</v>
      </c>
      <c r="CV170" s="47">
        <v>0</v>
      </c>
      <c r="CW170" s="47">
        <v>0</v>
      </c>
      <c r="CX170" s="47">
        <v>0</v>
      </c>
      <c r="CY170" s="47">
        <v>0</v>
      </c>
      <c r="CZ170" s="47">
        <v>0</v>
      </c>
      <c r="DA170" s="47">
        <v>0</v>
      </c>
      <c r="DB170" s="47">
        <v>0</v>
      </c>
      <c r="DC170" s="47">
        <v>0</v>
      </c>
      <c r="DD170" s="47">
        <v>0</v>
      </c>
      <c r="DE170" s="47">
        <v>0</v>
      </c>
      <c r="DF170" s="47">
        <v>0</v>
      </c>
      <c r="DG170" s="47">
        <v>0</v>
      </c>
      <c r="DH170" s="47">
        <v>0</v>
      </c>
      <c r="DI170" s="47">
        <v>0</v>
      </c>
      <c r="DJ170" s="47">
        <v>0</v>
      </c>
      <c r="DK170" s="47">
        <v>0</v>
      </c>
      <c r="DL170" s="47">
        <v>0</v>
      </c>
      <c r="DM170" s="47">
        <v>0</v>
      </c>
      <c r="DN170" s="47">
        <v>0</v>
      </c>
      <c r="DO170" s="47">
        <v>0</v>
      </c>
      <c r="DP170" s="47">
        <v>0</v>
      </c>
      <c r="DQ170" s="47">
        <v>0</v>
      </c>
      <c r="DR170" s="47">
        <v>0</v>
      </c>
    </row>
    <row r="171" spans="1:124" x14ac:dyDescent="0.25">
      <c r="A171" s="47" t="s">
        <v>936</v>
      </c>
      <c r="B171" s="47" t="s">
        <v>151</v>
      </c>
      <c r="C171" s="47" t="s">
        <v>937</v>
      </c>
      <c r="D171" s="47" t="s">
        <v>938</v>
      </c>
      <c r="E171" s="47" t="s">
        <v>939</v>
      </c>
      <c r="F171" s="47" t="s">
        <v>380</v>
      </c>
      <c r="G171" s="47" t="s">
        <v>381</v>
      </c>
      <c r="H171" s="47" t="str">
        <f>=IFERROR(VLOOKUP(A171,'ETPT Format DDG'!A:J,10,FALSE),"")</f>
        <v>0</v>
      </c>
      <c r="I171" s="47" t="str">
        <f>='ETPT Format DDG'!M171</f>
        <v/>
      </c>
      <c r="J171" s="47" t="str">
        <f>='ETPT Format DDG'!D171</f>
        <v/>
      </c>
      <c r="K171" s="47" t="s">
        <v>155</v>
      </c>
      <c r="L171" s="47" t="s">
        <v>841</v>
      </c>
      <c r="M171" s="47"/>
      <c r="N171" s="47">
        <v>1</v>
      </c>
      <c r="O171" s="47">
        <v>1</v>
      </c>
      <c r="P171" s="47">
        <v>0</v>
      </c>
      <c r="Q171" s="47">
        <v>0</v>
      </c>
      <c r="R171" s="47">
        <v>0</v>
      </c>
      <c r="S171" s="47">
        <v>0</v>
      </c>
      <c r="T171" s="47">
        <v>0</v>
      </c>
      <c r="U171" s="47">
        <v>0</v>
      </c>
      <c r="V171" s="47">
        <v>0</v>
      </c>
      <c r="W171" s="47">
        <v>0</v>
      </c>
      <c r="X171" s="47">
        <v>0</v>
      </c>
      <c r="Y171" s="47">
        <v>0</v>
      </c>
      <c r="Z171" s="47">
        <v>0</v>
      </c>
      <c r="AA171" s="47">
        <v>0</v>
      </c>
      <c r="AB171" s="47">
        <v>0</v>
      </c>
      <c r="AC171" s="47">
        <v>0</v>
      </c>
      <c r="AD171" s="47">
        <v>0</v>
      </c>
      <c r="AE171" s="47">
        <v>0</v>
      </c>
      <c r="AF171" s="47">
        <v>0</v>
      </c>
      <c r="AG171" s="47">
        <v>0</v>
      </c>
      <c r="AH171" s="47">
        <v>0</v>
      </c>
      <c r="AI171" s="47">
        <v>0</v>
      </c>
      <c r="AJ171" s="47">
        <v>0</v>
      </c>
      <c r="AK171" s="47">
        <v>0</v>
      </c>
      <c r="AL171" s="47">
        <v>0</v>
      </c>
      <c r="AM171" s="47">
        <v>0</v>
      </c>
      <c r="AN171" s="47">
        <v>0</v>
      </c>
      <c r="AO171" s="47">
        <v>0</v>
      </c>
      <c r="AP171" s="47">
        <v>0</v>
      </c>
      <c r="AQ171" s="47">
        <v>0</v>
      </c>
      <c r="AR171" s="47">
        <v>0</v>
      </c>
      <c r="AS171" s="47">
        <v>0</v>
      </c>
      <c r="AT171" s="47">
        <v>0</v>
      </c>
      <c r="AU171" s="47">
        <v>0</v>
      </c>
      <c r="AV171" s="47">
        <v>0</v>
      </c>
      <c r="AW171" s="47">
        <v>0</v>
      </c>
      <c r="AX171" s="47">
        <v>0</v>
      </c>
      <c r="AY171" s="47">
        <v>0</v>
      </c>
      <c r="AZ171" s="47">
        <v>0</v>
      </c>
      <c r="BA171" s="47">
        <v>0</v>
      </c>
      <c r="BB171" s="47">
        <v>0</v>
      </c>
      <c r="BC171" s="47">
        <v>0</v>
      </c>
      <c r="BD171" s="47">
        <v>0</v>
      </c>
      <c r="BE171" s="47">
        <v>0</v>
      </c>
      <c r="BF171" s="47">
        <v>0</v>
      </c>
      <c r="BG171" s="47">
        <v>0</v>
      </c>
      <c r="BH171" s="47">
        <v>0</v>
      </c>
      <c r="BI171" s="47">
        <v>0</v>
      </c>
      <c r="BJ171" s="47">
        <v>0</v>
      </c>
      <c r="BK171" s="47">
        <v>0</v>
      </c>
      <c r="BL171" s="47">
        <v>0</v>
      </c>
      <c r="BM171" s="47">
        <v>0</v>
      </c>
      <c r="BN171" s="47">
        <v>0</v>
      </c>
      <c r="BO171" s="47">
        <v>0.3</v>
      </c>
      <c r="BP171" s="47">
        <v>0</v>
      </c>
      <c r="BQ171" s="47">
        <v>0</v>
      </c>
      <c r="BR171" s="47">
        <v>0</v>
      </c>
      <c r="BS171" s="47">
        <v>0</v>
      </c>
      <c r="BT171" s="47">
        <v>0</v>
      </c>
      <c r="BU171" s="47">
        <v>0.3</v>
      </c>
      <c r="BV171" s="47">
        <v>0</v>
      </c>
      <c r="BW171" s="47">
        <v>0</v>
      </c>
      <c r="BX171" s="47">
        <v>0</v>
      </c>
      <c r="BY171" s="47">
        <v>0</v>
      </c>
      <c r="BZ171" s="47">
        <v>0</v>
      </c>
      <c r="CA171" s="47">
        <v>0</v>
      </c>
      <c r="CB171" s="47">
        <v>0</v>
      </c>
      <c r="CC171" s="47">
        <v>0</v>
      </c>
      <c r="CD171" s="47">
        <v>0</v>
      </c>
      <c r="CE171" s="47">
        <v>0</v>
      </c>
      <c r="CF171" s="47">
        <v>0</v>
      </c>
      <c r="CG171" s="47">
        <v>0</v>
      </c>
      <c r="CH171" s="47">
        <v>0</v>
      </c>
      <c r="CI171" s="47">
        <v>0</v>
      </c>
      <c r="CJ171" s="47">
        <v>0</v>
      </c>
      <c r="CK171" s="47">
        <v>0</v>
      </c>
      <c r="CL171" s="47">
        <v>0</v>
      </c>
      <c r="CM171" s="47">
        <v>0</v>
      </c>
      <c r="CN171" s="47">
        <v>0</v>
      </c>
      <c r="CO171" s="47">
        <v>0</v>
      </c>
      <c r="CP171" s="47">
        <v>0</v>
      </c>
      <c r="CQ171" s="47">
        <v>0</v>
      </c>
      <c r="CR171" s="47">
        <v>0</v>
      </c>
      <c r="CS171" s="47">
        <v>0</v>
      </c>
      <c r="CT171" s="47">
        <v>0.7</v>
      </c>
      <c r="CU171" s="47">
        <v>0</v>
      </c>
      <c r="CV171" s="47">
        <v>0</v>
      </c>
      <c r="CW171" s="47">
        <v>0</v>
      </c>
      <c r="CX171" s="47">
        <v>0</v>
      </c>
      <c r="CY171" s="47">
        <v>0</v>
      </c>
      <c r="CZ171" s="47">
        <v>0</v>
      </c>
      <c r="DA171" s="47">
        <v>0</v>
      </c>
      <c r="DB171" s="47">
        <v>0</v>
      </c>
      <c r="DC171" s="47">
        <v>0</v>
      </c>
      <c r="DD171" s="47">
        <v>0</v>
      </c>
      <c r="DE171" s="47">
        <v>0.7</v>
      </c>
      <c r="DF171" s="47">
        <v>0</v>
      </c>
      <c r="DG171" s="47">
        <v>0</v>
      </c>
      <c r="DH171" s="47">
        <v>0</v>
      </c>
      <c r="DI171" s="47">
        <v>0</v>
      </c>
      <c r="DJ171" s="47">
        <v>0</v>
      </c>
      <c r="DK171" s="47">
        <v>0</v>
      </c>
      <c r="DL171" s="47">
        <v>0</v>
      </c>
      <c r="DM171" s="47">
        <v>0</v>
      </c>
      <c r="DN171" s="47">
        <v>0</v>
      </c>
      <c r="DO171" s="47">
        <v>0</v>
      </c>
      <c r="DP171" s="47">
        <v>0</v>
      </c>
      <c r="DQ171" s="47">
        <v>0</v>
      </c>
      <c r="DR171" s="47">
        <v>0</v>
      </c>
    </row>
    <row r="172" spans="1:124" x14ac:dyDescent="0.25">
      <c r="A172" s="47" t="s">
        <v>940</v>
      </c>
      <c r="B172" s="47" t="s">
        <v>151</v>
      </c>
      <c r="C172" s="47" t="s">
        <v>941</v>
      </c>
      <c r="D172" s="47" t="s">
        <v>942</v>
      </c>
      <c r="E172" s="47" t="s">
        <v>943</v>
      </c>
      <c r="F172" s="47" t="s">
        <v>380</v>
      </c>
      <c r="G172" s="47" t="s">
        <v>381</v>
      </c>
      <c r="H172" s="47" t="str">
        <f>=IFERROR(VLOOKUP(A172,'ETPT Format DDG'!A:J,10,FALSE),"")</f>
        <v>0</v>
      </c>
      <c r="I172" s="47" t="str">
        <f>='ETPT Format DDG'!M172</f>
        <v/>
      </c>
      <c r="J172" s="47" t="str">
        <f>='ETPT Format DDG'!D172</f>
        <v/>
      </c>
      <c r="K172" s="47" t="s">
        <v>155</v>
      </c>
      <c r="L172" s="47" t="s">
        <v>400</v>
      </c>
      <c r="M172" s="47"/>
      <c r="N172" s="47">
        <v>1</v>
      </c>
      <c r="O172" s="47">
        <v>0</v>
      </c>
      <c r="P172" s="47">
        <v>0</v>
      </c>
      <c r="Q172" s="47">
        <v>0</v>
      </c>
      <c r="R172" s="47">
        <v>0</v>
      </c>
      <c r="S172" s="47">
        <v>0</v>
      </c>
      <c r="T172" s="47">
        <v>0</v>
      </c>
      <c r="U172" s="47">
        <v>0</v>
      </c>
      <c r="V172" s="47">
        <v>0</v>
      </c>
      <c r="W172" s="47">
        <v>0</v>
      </c>
      <c r="X172" s="47">
        <v>0</v>
      </c>
      <c r="Y172" s="47">
        <v>0</v>
      </c>
      <c r="Z172" s="47">
        <v>0</v>
      </c>
      <c r="AA172" s="47">
        <v>0</v>
      </c>
      <c r="AB172" s="47">
        <v>0</v>
      </c>
      <c r="AC172" s="47">
        <v>0</v>
      </c>
      <c r="AD172" s="47">
        <v>0</v>
      </c>
      <c r="AE172" s="47">
        <v>0</v>
      </c>
      <c r="AF172" s="47">
        <v>0</v>
      </c>
      <c r="AG172" s="47">
        <v>0</v>
      </c>
      <c r="AH172" s="47">
        <v>0</v>
      </c>
      <c r="AI172" s="47">
        <v>0</v>
      </c>
      <c r="AJ172" s="47">
        <v>0</v>
      </c>
      <c r="AK172" s="47">
        <v>0</v>
      </c>
      <c r="AL172" s="47">
        <v>0</v>
      </c>
      <c r="AM172" s="47">
        <v>0</v>
      </c>
      <c r="AN172" s="47">
        <v>0</v>
      </c>
      <c r="AO172" s="47">
        <v>0</v>
      </c>
      <c r="AP172" s="47">
        <v>0</v>
      </c>
      <c r="AQ172" s="47">
        <v>0</v>
      </c>
      <c r="AR172" s="47">
        <v>0</v>
      </c>
      <c r="AS172" s="47">
        <v>0</v>
      </c>
      <c r="AT172" s="47">
        <v>0</v>
      </c>
      <c r="AU172" s="47">
        <v>0</v>
      </c>
      <c r="AV172" s="47">
        <v>0</v>
      </c>
      <c r="AW172" s="47">
        <v>0</v>
      </c>
      <c r="AX172" s="47">
        <v>0</v>
      </c>
      <c r="AY172" s="47">
        <v>0</v>
      </c>
      <c r="AZ172" s="47">
        <v>0</v>
      </c>
      <c r="BA172" s="47">
        <v>0</v>
      </c>
      <c r="BB172" s="47">
        <v>0</v>
      </c>
      <c r="BC172" s="47">
        <v>0</v>
      </c>
      <c r="BD172" s="47">
        <v>0</v>
      </c>
      <c r="BE172" s="47">
        <v>0</v>
      </c>
      <c r="BF172" s="47">
        <v>0</v>
      </c>
      <c r="BG172" s="47">
        <v>0</v>
      </c>
      <c r="BH172" s="47">
        <v>0</v>
      </c>
      <c r="BI172" s="47">
        <v>0</v>
      </c>
      <c r="BJ172" s="47">
        <v>0</v>
      </c>
      <c r="BK172" s="47">
        <v>0</v>
      </c>
      <c r="BL172" s="47">
        <v>0</v>
      </c>
      <c r="BM172" s="47">
        <v>0</v>
      </c>
      <c r="BN172" s="47">
        <v>0</v>
      </c>
      <c r="BO172" s="47">
        <v>0</v>
      </c>
      <c r="BP172" s="47">
        <v>0</v>
      </c>
      <c r="BQ172" s="47">
        <v>0</v>
      </c>
      <c r="BR172" s="47">
        <v>0</v>
      </c>
      <c r="BS172" s="47">
        <v>0</v>
      </c>
      <c r="BT172" s="47">
        <v>0</v>
      </c>
      <c r="BU172" s="47">
        <v>0</v>
      </c>
      <c r="BV172" s="47">
        <v>0</v>
      </c>
      <c r="BW172" s="47">
        <v>0</v>
      </c>
      <c r="BX172" s="47">
        <v>0</v>
      </c>
      <c r="BY172" s="47">
        <v>0</v>
      </c>
      <c r="BZ172" s="47">
        <v>0</v>
      </c>
      <c r="CA172" s="47">
        <v>0</v>
      </c>
      <c r="CB172" s="47">
        <v>0</v>
      </c>
      <c r="CC172" s="47">
        <v>0</v>
      </c>
      <c r="CD172" s="47">
        <v>0</v>
      </c>
      <c r="CE172" s="47">
        <v>0</v>
      </c>
      <c r="CF172" s="47">
        <v>0</v>
      </c>
      <c r="CG172" s="47">
        <v>0</v>
      </c>
      <c r="CH172" s="47">
        <v>0</v>
      </c>
      <c r="CI172" s="47">
        <v>0</v>
      </c>
      <c r="CJ172" s="47">
        <v>0</v>
      </c>
      <c r="CK172" s="47">
        <v>0</v>
      </c>
      <c r="CL172" s="47">
        <v>0</v>
      </c>
      <c r="CM172" s="47">
        <v>0</v>
      </c>
      <c r="CN172" s="47">
        <v>0</v>
      </c>
      <c r="CO172" s="47">
        <v>0</v>
      </c>
      <c r="CP172" s="47">
        <v>0</v>
      </c>
      <c r="CQ172" s="47">
        <v>0</v>
      </c>
      <c r="CR172" s="47">
        <v>0</v>
      </c>
      <c r="CS172" s="47">
        <v>0</v>
      </c>
      <c r="CT172" s="47">
        <v>0</v>
      </c>
      <c r="CU172" s="47">
        <v>0</v>
      </c>
      <c r="CV172" s="47">
        <v>0</v>
      </c>
      <c r="CW172" s="47">
        <v>0</v>
      </c>
      <c r="CX172" s="47">
        <v>0</v>
      </c>
      <c r="CY172" s="47">
        <v>0</v>
      </c>
      <c r="CZ172" s="47">
        <v>0</v>
      </c>
      <c r="DA172" s="47">
        <v>0</v>
      </c>
      <c r="DB172" s="47">
        <v>0</v>
      </c>
      <c r="DC172" s="47">
        <v>0</v>
      </c>
      <c r="DD172" s="47">
        <v>0</v>
      </c>
      <c r="DE172" s="47">
        <v>0</v>
      </c>
      <c r="DF172" s="47">
        <v>0</v>
      </c>
      <c r="DG172" s="47">
        <v>0</v>
      </c>
      <c r="DH172" s="47">
        <v>0</v>
      </c>
      <c r="DI172" s="47">
        <v>0</v>
      </c>
      <c r="DJ172" s="47">
        <v>0</v>
      </c>
      <c r="DK172" s="47">
        <v>0</v>
      </c>
      <c r="DL172" s="47">
        <v>0</v>
      </c>
      <c r="DM172" s="47">
        <v>0</v>
      </c>
      <c r="DN172" s="47">
        <v>0</v>
      </c>
      <c r="DO172" s="47">
        <v>0</v>
      </c>
      <c r="DP172" s="47">
        <v>0</v>
      </c>
      <c r="DQ172" s="47">
        <v>0</v>
      </c>
      <c r="DR172" s="47">
        <v>0</v>
      </c>
    </row>
    <row r="173" spans="1:124" x14ac:dyDescent="0.25">
      <c r="A173" s="47" t="s">
        <v>944</v>
      </c>
      <c r="B173" s="47" t="s">
        <v>151</v>
      </c>
      <c r="C173" s="47" t="s">
        <v>945</v>
      </c>
      <c r="D173" s="47" t="s">
        <v>946</v>
      </c>
      <c r="E173" s="47" t="s">
        <v>947</v>
      </c>
      <c r="F173" s="47" t="s">
        <v>380</v>
      </c>
      <c r="G173" s="47" t="s">
        <v>411</v>
      </c>
      <c r="H173" s="47" t="str">
        <f>=IFERROR(VLOOKUP(A173,'ETPT Format DDG'!A:J,10,FALSE),"")</f>
        <v>0</v>
      </c>
      <c r="I173" s="47" t="str">
        <f>='ETPT Format DDG'!M173</f>
        <v/>
      </c>
      <c r="J173" s="47" t="str">
        <f>='ETPT Format DDG'!D173</f>
        <v/>
      </c>
      <c r="K173" s="47" t="s">
        <v>155</v>
      </c>
      <c r="L173" s="47" t="s">
        <v>596</v>
      </c>
      <c r="M173" s="47"/>
      <c r="N173" s="47">
        <v>0.9597</v>
      </c>
      <c r="O173" s="47">
        <v>0.9597</v>
      </c>
      <c r="P173" s="47">
        <v>0</v>
      </c>
      <c r="Q173" s="47">
        <v>0</v>
      </c>
      <c r="R173" s="47">
        <v>0</v>
      </c>
      <c r="S173" s="47">
        <v>0</v>
      </c>
      <c r="T173" s="47">
        <v>0</v>
      </c>
      <c r="U173" s="47">
        <v>0</v>
      </c>
      <c r="V173" s="47">
        <v>0</v>
      </c>
      <c r="W173" s="47">
        <v>0</v>
      </c>
      <c r="X173" s="47">
        <v>0</v>
      </c>
      <c r="Y173" s="47">
        <v>0</v>
      </c>
      <c r="Z173" s="47">
        <v>0</v>
      </c>
      <c r="AA173" s="47">
        <v>0</v>
      </c>
      <c r="AB173" s="47">
        <v>0</v>
      </c>
      <c r="AC173" s="47">
        <v>0</v>
      </c>
      <c r="AD173" s="47">
        <v>0</v>
      </c>
      <c r="AE173" s="47">
        <v>0</v>
      </c>
      <c r="AF173" s="47">
        <v>0</v>
      </c>
      <c r="AG173" s="47">
        <v>0</v>
      </c>
      <c r="AH173" s="47">
        <v>0</v>
      </c>
      <c r="AI173" s="47">
        <v>0</v>
      </c>
      <c r="AJ173" s="47">
        <v>0</v>
      </c>
      <c r="AK173" s="47">
        <v>0</v>
      </c>
      <c r="AL173" s="47">
        <v>0</v>
      </c>
      <c r="AM173" s="47">
        <v>0</v>
      </c>
      <c r="AN173" s="47">
        <v>0</v>
      </c>
      <c r="AO173" s="47">
        <v>0</v>
      </c>
      <c r="AP173" s="47">
        <v>0</v>
      </c>
      <c r="AQ173" s="47">
        <v>0</v>
      </c>
      <c r="AR173" s="47">
        <v>0</v>
      </c>
      <c r="AS173" s="47">
        <v>0</v>
      </c>
      <c r="AT173" s="47">
        <v>0</v>
      </c>
      <c r="AU173" s="47">
        <v>0</v>
      </c>
      <c r="AV173" s="47">
        <v>0</v>
      </c>
      <c r="AW173" s="47">
        <v>0</v>
      </c>
      <c r="AX173" s="47">
        <v>0</v>
      </c>
      <c r="AY173" s="47">
        <v>0</v>
      </c>
      <c r="AZ173" s="47">
        <v>0</v>
      </c>
      <c r="BA173" s="47">
        <v>0</v>
      </c>
      <c r="BB173" s="47">
        <v>0</v>
      </c>
      <c r="BC173" s="47">
        <v>0</v>
      </c>
      <c r="BD173" s="47">
        <v>0</v>
      </c>
      <c r="BE173" s="47">
        <v>0</v>
      </c>
      <c r="BF173" s="47">
        <v>0</v>
      </c>
      <c r="BG173" s="47">
        <v>0</v>
      </c>
      <c r="BH173" s="47">
        <v>0</v>
      </c>
      <c r="BI173" s="47">
        <v>0</v>
      </c>
      <c r="BJ173" s="47">
        <v>0</v>
      </c>
      <c r="BK173" s="47">
        <v>0</v>
      </c>
      <c r="BL173" s="47">
        <v>0.9597</v>
      </c>
      <c r="BM173" s="47">
        <v>0.9597</v>
      </c>
      <c r="BN173" s="47">
        <v>0</v>
      </c>
      <c r="BO173" s="47">
        <v>0</v>
      </c>
      <c r="BP173" s="47">
        <v>0</v>
      </c>
      <c r="BQ173" s="47">
        <v>0</v>
      </c>
      <c r="BR173" s="47">
        <v>0</v>
      </c>
      <c r="BS173" s="47">
        <v>0</v>
      </c>
      <c r="BT173" s="47">
        <v>0</v>
      </c>
      <c r="BU173" s="47">
        <v>0</v>
      </c>
      <c r="BV173" s="47">
        <v>0</v>
      </c>
      <c r="BW173" s="47">
        <v>0</v>
      </c>
      <c r="BX173" s="47">
        <v>0</v>
      </c>
      <c r="BY173" s="47">
        <v>0</v>
      </c>
      <c r="BZ173" s="47">
        <v>0</v>
      </c>
      <c r="CA173" s="47">
        <v>0</v>
      </c>
      <c r="CB173" s="47">
        <v>0</v>
      </c>
      <c r="CC173" s="47">
        <v>0</v>
      </c>
      <c r="CD173" s="47">
        <v>0</v>
      </c>
      <c r="CE173" s="47">
        <v>0</v>
      </c>
      <c r="CF173" s="47">
        <v>0</v>
      </c>
      <c r="CG173" s="47">
        <v>0</v>
      </c>
      <c r="CH173" s="47">
        <v>0</v>
      </c>
      <c r="CI173" s="47">
        <v>0</v>
      </c>
      <c r="CJ173" s="47">
        <v>0</v>
      </c>
      <c r="CK173" s="47">
        <v>0</v>
      </c>
      <c r="CL173" s="47">
        <v>0</v>
      </c>
      <c r="CM173" s="47">
        <v>0</v>
      </c>
      <c r="CN173" s="47">
        <v>0</v>
      </c>
      <c r="CO173" s="47">
        <v>0</v>
      </c>
      <c r="CP173" s="47">
        <v>0</v>
      </c>
      <c r="CQ173" s="47">
        <v>0</v>
      </c>
      <c r="CR173" s="47">
        <v>0</v>
      </c>
      <c r="CS173" s="47">
        <v>0</v>
      </c>
      <c r="CT173" s="47">
        <v>0</v>
      </c>
      <c r="CU173" s="47">
        <v>0</v>
      </c>
      <c r="CV173" s="47">
        <v>0</v>
      </c>
      <c r="CW173" s="47">
        <v>0</v>
      </c>
      <c r="CX173" s="47">
        <v>0</v>
      </c>
      <c r="CY173" s="47">
        <v>0</v>
      </c>
      <c r="CZ173" s="47">
        <v>0</v>
      </c>
      <c r="DA173" s="47">
        <v>0</v>
      </c>
      <c r="DB173" s="47">
        <v>0</v>
      </c>
      <c r="DC173" s="47">
        <v>0</v>
      </c>
      <c r="DD173" s="47">
        <v>0</v>
      </c>
      <c r="DE173" s="47">
        <v>0</v>
      </c>
      <c r="DF173" s="47">
        <v>0.0403</v>
      </c>
      <c r="DG173" s="47">
        <v>0</v>
      </c>
      <c r="DH173" s="47">
        <v>0</v>
      </c>
      <c r="DI173" s="47">
        <v>0</v>
      </c>
      <c r="DJ173" s="47">
        <v>0</v>
      </c>
      <c r="DK173" s="47">
        <v>0.0403</v>
      </c>
      <c r="DL173" s="47">
        <v>0</v>
      </c>
      <c r="DM173" s="47">
        <v>0</v>
      </c>
      <c r="DN173" s="47">
        <v>0</v>
      </c>
      <c r="DO173" s="47">
        <v>0</v>
      </c>
      <c r="DP173" s="47">
        <v>0</v>
      </c>
      <c r="DQ173" s="47">
        <v>0</v>
      </c>
      <c r="DR173" s="47">
        <v>0</v>
      </c>
    </row>
    <row r="174" spans="1:124" x14ac:dyDescent="0.25">
      <c r="A174" s="47" t="s">
        <v>948</v>
      </c>
      <c r="B174" s="47" t="s">
        <v>151</v>
      </c>
      <c r="C174" s="47" t="s">
        <v>949</v>
      </c>
      <c r="D174" s="47" t="s">
        <v>950</v>
      </c>
      <c r="E174" s="47" t="s">
        <v>951</v>
      </c>
      <c r="F174" s="47" t="s">
        <v>380</v>
      </c>
      <c r="G174" s="47" t="s">
        <v>381</v>
      </c>
      <c r="H174" s="47" t="str">
        <f>=IFERROR(VLOOKUP(A174,'ETPT Format DDG'!A:J,10,FALSE),"")</f>
        <v>0</v>
      </c>
      <c r="I174" s="47" t="str">
        <f>='ETPT Format DDG'!M174</f>
        <v/>
      </c>
      <c r="J174" s="47" t="str">
        <f>='ETPT Format DDG'!D174</f>
        <v/>
      </c>
      <c r="K174" s="47" t="s">
        <v>155</v>
      </c>
      <c r="L174" s="47" t="s">
        <v>495</v>
      </c>
      <c r="M174" s="47"/>
      <c r="N174" s="47">
        <v>1</v>
      </c>
      <c r="O174" s="47">
        <v>0</v>
      </c>
      <c r="P174" s="47">
        <v>0</v>
      </c>
      <c r="Q174" s="47">
        <v>0</v>
      </c>
      <c r="R174" s="47">
        <v>0</v>
      </c>
      <c r="S174" s="47">
        <v>0</v>
      </c>
      <c r="T174" s="47">
        <v>0</v>
      </c>
      <c r="U174" s="47">
        <v>0</v>
      </c>
      <c r="V174" s="47">
        <v>0</v>
      </c>
      <c r="W174" s="47">
        <v>0</v>
      </c>
      <c r="X174" s="47">
        <v>0</v>
      </c>
      <c r="Y174" s="47">
        <v>0</v>
      </c>
      <c r="Z174" s="47">
        <v>0</v>
      </c>
      <c r="AA174" s="47">
        <v>0</v>
      </c>
      <c r="AB174" s="47">
        <v>0</v>
      </c>
      <c r="AC174" s="47">
        <v>0</v>
      </c>
      <c r="AD174" s="47">
        <v>0</v>
      </c>
      <c r="AE174" s="47">
        <v>0</v>
      </c>
      <c r="AF174" s="47">
        <v>0</v>
      </c>
      <c r="AG174" s="47">
        <v>0</v>
      </c>
      <c r="AH174" s="47">
        <v>0</v>
      </c>
      <c r="AI174" s="47">
        <v>0</v>
      </c>
      <c r="AJ174" s="47">
        <v>0</v>
      </c>
      <c r="AK174" s="47">
        <v>0</v>
      </c>
      <c r="AL174" s="47">
        <v>0</v>
      </c>
      <c r="AM174" s="47">
        <v>0</v>
      </c>
      <c r="AN174" s="47">
        <v>0</v>
      </c>
      <c r="AO174" s="47">
        <v>0</v>
      </c>
      <c r="AP174" s="47">
        <v>0</v>
      </c>
      <c r="AQ174" s="47">
        <v>0</v>
      </c>
      <c r="AR174" s="47">
        <v>0</v>
      </c>
      <c r="AS174" s="47">
        <v>0</v>
      </c>
      <c r="AT174" s="47">
        <v>0</v>
      </c>
      <c r="AU174" s="47">
        <v>0</v>
      </c>
      <c r="AV174" s="47">
        <v>0</v>
      </c>
      <c r="AW174" s="47">
        <v>0</v>
      </c>
      <c r="AX174" s="47">
        <v>0</v>
      </c>
      <c r="AY174" s="47">
        <v>0</v>
      </c>
      <c r="AZ174" s="47">
        <v>0</v>
      </c>
      <c r="BA174" s="47">
        <v>0</v>
      </c>
      <c r="BB174" s="47">
        <v>0</v>
      </c>
      <c r="BC174" s="47">
        <v>0</v>
      </c>
      <c r="BD174" s="47">
        <v>0</v>
      </c>
      <c r="BE174" s="47">
        <v>0</v>
      </c>
      <c r="BF174" s="47">
        <v>0</v>
      </c>
      <c r="BG174" s="47">
        <v>0</v>
      </c>
      <c r="BH174" s="47">
        <v>0</v>
      </c>
      <c r="BI174" s="47">
        <v>0</v>
      </c>
      <c r="BJ174" s="47">
        <v>0</v>
      </c>
      <c r="BK174" s="47">
        <v>0</v>
      </c>
      <c r="BL174" s="47">
        <v>0</v>
      </c>
      <c r="BM174" s="47">
        <v>0</v>
      </c>
      <c r="BN174" s="47">
        <v>0</v>
      </c>
      <c r="BO174" s="47">
        <v>0</v>
      </c>
      <c r="BP174" s="47">
        <v>0</v>
      </c>
      <c r="BQ174" s="47">
        <v>0</v>
      </c>
      <c r="BR174" s="47">
        <v>0</v>
      </c>
      <c r="BS174" s="47">
        <v>0</v>
      </c>
      <c r="BT174" s="47">
        <v>0</v>
      </c>
      <c r="BU174" s="47">
        <v>0</v>
      </c>
      <c r="BV174" s="47">
        <v>0</v>
      </c>
      <c r="BW174" s="47">
        <v>0</v>
      </c>
      <c r="BX174" s="47">
        <v>0</v>
      </c>
      <c r="BY174" s="47">
        <v>0</v>
      </c>
      <c r="BZ174" s="47">
        <v>0</v>
      </c>
      <c r="CA174" s="47">
        <v>0</v>
      </c>
      <c r="CB174" s="47">
        <v>0</v>
      </c>
      <c r="CC174" s="47">
        <v>0</v>
      </c>
      <c r="CD174" s="47">
        <v>0</v>
      </c>
      <c r="CE174" s="47">
        <v>0</v>
      </c>
      <c r="CF174" s="47">
        <v>0</v>
      </c>
      <c r="CG174" s="47">
        <v>0</v>
      </c>
      <c r="CH174" s="47">
        <v>0</v>
      </c>
      <c r="CI174" s="47">
        <v>0</v>
      </c>
      <c r="CJ174" s="47">
        <v>0</v>
      </c>
      <c r="CK174" s="47">
        <v>0</v>
      </c>
      <c r="CL174" s="47">
        <v>0</v>
      </c>
      <c r="CM174" s="47">
        <v>0</v>
      </c>
      <c r="CN174" s="47">
        <v>0</v>
      </c>
      <c r="CO174" s="47">
        <v>0</v>
      </c>
      <c r="CP174" s="47">
        <v>0</v>
      </c>
      <c r="CQ174" s="47">
        <v>0</v>
      </c>
      <c r="CR174" s="47">
        <v>0</v>
      </c>
      <c r="CS174" s="47">
        <v>0</v>
      </c>
      <c r="CT174" s="47">
        <v>0</v>
      </c>
      <c r="CU174" s="47">
        <v>0</v>
      </c>
      <c r="CV174" s="47">
        <v>0</v>
      </c>
      <c r="CW174" s="47">
        <v>0</v>
      </c>
      <c r="CX174" s="47">
        <v>0</v>
      </c>
      <c r="CY174" s="47">
        <v>0</v>
      </c>
      <c r="CZ174" s="47">
        <v>0</v>
      </c>
      <c r="DA174" s="47">
        <v>0</v>
      </c>
      <c r="DB174" s="47">
        <v>0</v>
      </c>
      <c r="DC174" s="47">
        <v>0</v>
      </c>
      <c r="DD174" s="47">
        <v>0</v>
      </c>
      <c r="DE174" s="47">
        <v>0</v>
      </c>
      <c r="DF174" s="47">
        <v>0</v>
      </c>
      <c r="DG174" s="47">
        <v>0</v>
      </c>
      <c r="DH174" s="47">
        <v>0</v>
      </c>
      <c r="DI174" s="47">
        <v>0</v>
      </c>
      <c r="DJ174" s="47">
        <v>0</v>
      </c>
      <c r="DK174" s="47">
        <v>0</v>
      </c>
      <c r="DL174" s="47">
        <v>0</v>
      </c>
      <c r="DM174" s="47">
        <v>0</v>
      </c>
      <c r="DN174" s="47">
        <v>0</v>
      </c>
      <c r="DO174" s="47">
        <v>0</v>
      </c>
      <c r="DP174" s="47">
        <v>0</v>
      </c>
      <c r="DQ174" s="47">
        <v>0</v>
      </c>
      <c r="DR174" s="47">
        <v>0</v>
      </c>
    </row>
    <row r="175" spans="1:124" x14ac:dyDescent="0.25">
      <c r="A175" s="47" t="s">
        <v>952</v>
      </c>
      <c r="B175" s="47" t="s">
        <v>151</v>
      </c>
      <c r="C175" s="47" t="s">
        <v>953</v>
      </c>
      <c r="D175" s="47" t="s">
        <v>954</v>
      </c>
      <c r="E175" s="47" t="s">
        <v>955</v>
      </c>
      <c r="F175" s="47" t="s">
        <v>380</v>
      </c>
      <c r="G175" s="47" t="s">
        <v>411</v>
      </c>
      <c r="H175" s="47" t="str">
        <f>=IFERROR(VLOOKUP(A175,'ETPT Format DDG'!A:J,10,FALSE),"")</f>
        <v>0</v>
      </c>
      <c r="I175" s="47" t="str">
        <f>='ETPT Format DDG'!M175</f>
        <v/>
      </c>
      <c r="J175" s="47" t="str">
        <f>='ETPT Format DDG'!D175</f>
        <v/>
      </c>
      <c r="K175" s="47" t="s">
        <v>155</v>
      </c>
      <c r="L175" s="47" t="s">
        <v>400</v>
      </c>
      <c r="M175" s="47"/>
      <c r="N175" s="47">
        <v>1</v>
      </c>
      <c r="O175" s="47">
        <v>0</v>
      </c>
      <c r="P175" s="47">
        <v>0</v>
      </c>
      <c r="Q175" s="47">
        <v>0</v>
      </c>
      <c r="R175" s="47">
        <v>0</v>
      </c>
      <c r="S175" s="47">
        <v>0</v>
      </c>
      <c r="T175" s="47">
        <v>0</v>
      </c>
      <c r="U175" s="47">
        <v>0</v>
      </c>
      <c r="V175" s="47">
        <v>0</v>
      </c>
      <c r="W175" s="47">
        <v>0</v>
      </c>
      <c r="X175" s="47">
        <v>0</v>
      </c>
      <c r="Y175" s="47">
        <v>0</v>
      </c>
      <c r="Z175" s="47">
        <v>0</v>
      </c>
      <c r="AA175" s="47">
        <v>0</v>
      </c>
      <c r="AB175" s="47">
        <v>0</v>
      </c>
      <c r="AC175" s="47">
        <v>0</v>
      </c>
      <c r="AD175" s="47">
        <v>0</v>
      </c>
      <c r="AE175" s="47">
        <v>0</v>
      </c>
      <c r="AF175" s="47">
        <v>0</v>
      </c>
      <c r="AG175" s="47">
        <v>0</v>
      </c>
      <c r="AH175" s="47">
        <v>0</v>
      </c>
      <c r="AI175" s="47">
        <v>0</v>
      </c>
      <c r="AJ175" s="47">
        <v>0</v>
      </c>
      <c r="AK175" s="47">
        <v>0</v>
      </c>
      <c r="AL175" s="47">
        <v>0</v>
      </c>
      <c r="AM175" s="47">
        <v>0</v>
      </c>
      <c r="AN175" s="47">
        <v>0</v>
      </c>
      <c r="AO175" s="47">
        <v>0</v>
      </c>
      <c r="AP175" s="47">
        <v>0</v>
      </c>
      <c r="AQ175" s="47">
        <v>0</v>
      </c>
      <c r="AR175" s="47">
        <v>0</v>
      </c>
      <c r="AS175" s="47">
        <v>0</v>
      </c>
      <c r="AT175" s="47">
        <v>0</v>
      </c>
      <c r="AU175" s="47">
        <v>0</v>
      </c>
      <c r="AV175" s="47">
        <v>0</v>
      </c>
      <c r="AW175" s="47">
        <v>0</v>
      </c>
      <c r="AX175" s="47">
        <v>0</v>
      </c>
      <c r="AY175" s="47">
        <v>0</v>
      </c>
      <c r="AZ175" s="47">
        <v>0</v>
      </c>
      <c r="BA175" s="47">
        <v>0</v>
      </c>
      <c r="BB175" s="47">
        <v>0</v>
      </c>
      <c r="BC175" s="47">
        <v>0</v>
      </c>
      <c r="BD175" s="47">
        <v>0</v>
      </c>
      <c r="BE175" s="47">
        <v>0</v>
      </c>
      <c r="BF175" s="47">
        <v>0</v>
      </c>
      <c r="BG175" s="47">
        <v>0</v>
      </c>
      <c r="BH175" s="47">
        <v>0</v>
      </c>
      <c r="BI175" s="47">
        <v>0</v>
      </c>
      <c r="BJ175" s="47">
        <v>0</v>
      </c>
      <c r="BK175" s="47">
        <v>0</v>
      </c>
      <c r="BL175" s="47">
        <v>0</v>
      </c>
      <c r="BM175" s="47">
        <v>0</v>
      </c>
      <c r="BN175" s="47">
        <v>0</v>
      </c>
      <c r="BO175" s="47">
        <v>0</v>
      </c>
      <c r="BP175" s="47">
        <v>0</v>
      </c>
      <c r="BQ175" s="47">
        <v>0</v>
      </c>
      <c r="BR175" s="47">
        <v>0</v>
      </c>
      <c r="BS175" s="47">
        <v>0</v>
      </c>
      <c r="BT175" s="47">
        <v>0</v>
      </c>
      <c r="BU175" s="47">
        <v>0</v>
      </c>
      <c r="BV175" s="47">
        <v>0</v>
      </c>
      <c r="BW175" s="47">
        <v>0</v>
      </c>
      <c r="BX175" s="47">
        <v>0</v>
      </c>
      <c r="BY175" s="47">
        <v>0</v>
      </c>
      <c r="BZ175" s="47">
        <v>0</v>
      </c>
      <c r="CA175" s="47">
        <v>0</v>
      </c>
      <c r="CB175" s="47">
        <v>0</v>
      </c>
      <c r="CC175" s="47">
        <v>0</v>
      </c>
      <c r="CD175" s="47">
        <v>0</v>
      </c>
      <c r="CE175" s="47">
        <v>0</v>
      </c>
      <c r="CF175" s="47">
        <v>0</v>
      </c>
      <c r="CG175" s="47">
        <v>0</v>
      </c>
      <c r="CH175" s="47">
        <v>0</v>
      </c>
      <c r="CI175" s="47">
        <v>0</v>
      </c>
      <c r="CJ175" s="47">
        <v>0</v>
      </c>
      <c r="CK175" s="47">
        <v>0</v>
      </c>
      <c r="CL175" s="47">
        <v>0</v>
      </c>
      <c r="CM175" s="47">
        <v>0</v>
      </c>
      <c r="CN175" s="47">
        <v>0</v>
      </c>
      <c r="CO175" s="47">
        <v>0</v>
      </c>
      <c r="CP175" s="47">
        <v>0</v>
      </c>
      <c r="CQ175" s="47">
        <v>0</v>
      </c>
      <c r="CR175" s="47">
        <v>0</v>
      </c>
      <c r="CS175" s="47">
        <v>0</v>
      </c>
      <c r="CT175" s="47">
        <v>0</v>
      </c>
      <c r="CU175" s="47">
        <v>0</v>
      </c>
      <c r="CV175" s="47">
        <v>0</v>
      </c>
      <c r="CW175" s="47">
        <v>0</v>
      </c>
      <c r="CX175" s="47">
        <v>0</v>
      </c>
      <c r="CY175" s="47">
        <v>0</v>
      </c>
      <c r="CZ175" s="47">
        <v>0</v>
      </c>
      <c r="DA175" s="47">
        <v>0</v>
      </c>
      <c r="DB175" s="47">
        <v>0</v>
      </c>
      <c r="DC175" s="47">
        <v>0</v>
      </c>
      <c r="DD175" s="47">
        <v>0</v>
      </c>
      <c r="DE175" s="47">
        <v>0</v>
      </c>
      <c r="DF175" s="47">
        <v>0</v>
      </c>
      <c r="DG175" s="47">
        <v>0</v>
      </c>
      <c r="DH175" s="47">
        <v>0</v>
      </c>
      <c r="DI175" s="47">
        <v>0</v>
      </c>
      <c r="DJ175" s="47">
        <v>0</v>
      </c>
      <c r="DK175" s="47">
        <v>0</v>
      </c>
      <c r="DL175" s="47">
        <v>0</v>
      </c>
      <c r="DM175" s="47">
        <v>0</v>
      </c>
      <c r="DN175" s="47">
        <v>0</v>
      </c>
      <c r="DO175" s="47">
        <v>0</v>
      </c>
      <c r="DP175" s="47">
        <v>0</v>
      </c>
      <c r="DQ175" s="47">
        <v>0</v>
      </c>
      <c r="DR175" s="47">
        <v>0</v>
      </c>
    </row>
    <row r="176" spans="1:124" x14ac:dyDescent="0.25">
      <c r="A176" s="47" t="s">
        <v>956</v>
      </c>
      <c r="B176" s="47" t="s">
        <v>151</v>
      </c>
      <c r="C176" s="47" t="s">
        <v>957</v>
      </c>
      <c r="D176" s="47" t="s">
        <v>958</v>
      </c>
      <c r="E176" s="47" t="s">
        <v>959</v>
      </c>
      <c r="F176" s="47" t="s">
        <v>380</v>
      </c>
      <c r="G176" s="47" t="s">
        <v>411</v>
      </c>
      <c r="H176" s="47" t="str">
        <f>=IFERROR(VLOOKUP(A176,'ETPT Format DDG'!A:J,10,FALSE),"")</f>
        <v>0</v>
      </c>
      <c r="I176" s="47" t="str">
        <f>='ETPT Format DDG'!M176</f>
        <v/>
      </c>
      <c r="J176" s="47" t="str">
        <f>='ETPT Format DDG'!D176</f>
        <v/>
      </c>
      <c r="K176" s="47" t="s">
        <v>155</v>
      </c>
      <c r="L176" s="47" t="s">
        <v>960</v>
      </c>
      <c r="M176" s="47"/>
      <c r="N176" s="47">
        <v>0.9</v>
      </c>
      <c r="O176" s="47">
        <v>0</v>
      </c>
      <c r="P176" s="47">
        <v>0</v>
      </c>
      <c r="Q176" s="47">
        <v>0</v>
      </c>
      <c r="R176" s="47">
        <v>0</v>
      </c>
      <c r="S176" s="47">
        <v>0</v>
      </c>
      <c r="T176" s="47">
        <v>0</v>
      </c>
      <c r="U176" s="47">
        <v>0</v>
      </c>
      <c r="V176" s="47">
        <v>0</v>
      </c>
      <c r="W176" s="47">
        <v>0</v>
      </c>
      <c r="X176" s="47">
        <v>0</v>
      </c>
      <c r="Y176" s="47">
        <v>0</v>
      </c>
      <c r="Z176" s="47">
        <v>0</v>
      </c>
      <c r="AA176" s="47">
        <v>0</v>
      </c>
      <c r="AB176" s="47">
        <v>0</v>
      </c>
      <c r="AC176" s="47">
        <v>0</v>
      </c>
      <c r="AD176" s="47">
        <v>0</v>
      </c>
      <c r="AE176" s="47">
        <v>0</v>
      </c>
      <c r="AF176" s="47">
        <v>0</v>
      </c>
      <c r="AG176" s="47">
        <v>0</v>
      </c>
      <c r="AH176" s="47">
        <v>0</v>
      </c>
      <c r="AI176" s="47">
        <v>0</v>
      </c>
      <c r="AJ176" s="47">
        <v>0</v>
      </c>
      <c r="AK176" s="47">
        <v>0</v>
      </c>
      <c r="AL176" s="47">
        <v>0</v>
      </c>
      <c r="AM176" s="47">
        <v>0</v>
      </c>
      <c r="AN176" s="47">
        <v>0</v>
      </c>
      <c r="AO176" s="47">
        <v>0</v>
      </c>
      <c r="AP176" s="47">
        <v>0</v>
      </c>
      <c r="AQ176" s="47">
        <v>0</v>
      </c>
      <c r="AR176" s="47">
        <v>0</v>
      </c>
      <c r="AS176" s="47">
        <v>0</v>
      </c>
      <c r="AT176" s="47">
        <v>0</v>
      </c>
      <c r="AU176" s="47">
        <v>0</v>
      </c>
      <c r="AV176" s="47">
        <v>0</v>
      </c>
      <c r="AW176" s="47">
        <v>0</v>
      </c>
      <c r="AX176" s="47">
        <v>0</v>
      </c>
      <c r="AY176" s="47">
        <v>0</v>
      </c>
      <c r="AZ176" s="47">
        <v>0</v>
      </c>
      <c r="BA176" s="47">
        <v>0</v>
      </c>
      <c r="BB176" s="47">
        <v>0</v>
      </c>
      <c r="BC176" s="47">
        <v>0</v>
      </c>
      <c r="BD176" s="47">
        <v>0</v>
      </c>
      <c r="BE176" s="47">
        <v>0</v>
      </c>
      <c r="BF176" s="47">
        <v>0</v>
      </c>
      <c r="BG176" s="47">
        <v>0</v>
      </c>
      <c r="BH176" s="47">
        <v>0</v>
      </c>
      <c r="BI176" s="47">
        <v>0</v>
      </c>
      <c r="BJ176" s="47">
        <v>0</v>
      </c>
      <c r="BK176" s="47">
        <v>0</v>
      </c>
      <c r="BL176" s="47">
        <v>0</v>
      </c>
      <c r="BM176" s="47">
        <v>0</v>
      </c>
      <c r="BN176" s="47">
        <v>0</v>
      </c>
      <c r="BO176" s="47">
        <v>0</v>
      </c>
      <c r="BP176" s="47">
        <v>0</v>
      </c>
      <c r="BQ176" s="47">
        <v>0</v>
      </c>
      <c r="BR176" s="47">
        <v>0</v>
      </c>
      <c r="BS176" s="47">
        <v>0</v>
      </c>
      <c r="BT176" s="47">
        <v>0</v>
      </c>
      <c r="BU176" s="47">
        <v>0</v>
      </c>
      <c r="BV176" s="47">
        <v>0</v>
      </c>
      <c r="BW176" s="47">
        <v>0</v>
      </c>
      <c r="BX176" s="47">
        <v>0</v>
      </c>
      <c r="BY176" s="47">
        <v>0</v>
      </c>
      <c r="BZ176" s="47">
        <v>0</v>
      </c>
      <c r="CA176" s="47">
        <v>0</v>
      </c>
      <c r="CB176" s="47">
        <v>0</v>
      </c>
      <c r="CC176" s="47">
        <v>0</v>
      </c>
      <c r="CD176" s="47">
        <v>0</v>
      </c>
      <c r="CE176" s="47">
        <v>0</v>
      </c>
      <c r="CF176" s="47">
        <v>0</v>
      </c>
      <c r="CG176" s="47">
        <v>0</v>
      </c>
      <c r="CH176" s="47">
        <v>0</v>
      </c>
      <c r="CI176" s="47">
        <v>0</v>
      </c>
      <c r="CJ176" s="47">
        <v>0</v>
      </c>
      <c r="CK176" s="47">
        <v>0</v>
      </c>
      <c r="CL176" s="47">
        <v>0</v>
      </c>
      <c r="CM176" s="47">
        <v>0</v>
      </c>
      <c r="CN176" s="47">
        <v>0</v>
      </c>
      <c r="CO176" s="47">
        <v>0</v>
      </c>
      <c r="CP176" s="47">
        <v>0</v>
      </c>
      <c r="CQ176" s="47">
        <v>0</v>
      </c>
      <c r="CR176" s="47">
        <v>0</v>
      </c>
      <c r="CS176" s="47">
        <v>0</v>
      </c>
      <c r="CT176" s="47">
        <v>0</v>
      </c>
      <c r="CU176" s="47">
        <v>0</v>
      </c>
      <c r="CV176" s="47">
        <v>0</v>
      </c>
      <c r="CW176" s="47">
        <v>0</v>
      </c>
      <c r="CX176" s="47">
        <v>0</v>
      </c>
      <c r="CY176" s="47">
        <v>0</v>
      </c>
      <c r="CZ176" s="47">
        <v>0</v>
      </c>
      <c r="DA176" s="47">
        <v>0</v>
      </c>
      <c r="DB176" s="47">
        <v>0</v>
      </c>
      <c r="DC176" s="47">
        <v>0</v>
      </c>
      <c r="DD176" s="47">
        <v>0</v>
      </c>
      <c r="DE176" s="47">
        <v>0</v>
      </c>
      <c r="DF176" s="47">
        <v>0</v>
      </c>
      <c r="DG176" s="47">
        <v>0</v>
      </c>
      <c r="DH176" s="47">
        <v>0</v>
      </c>
      <c r="DI176" s="47">
        <v>0</v>
      </c>
      <c r="DJ176" s="47">
        <v>0</v>
      </c>
      <c r="DK176" s="47">
        <v>0</v>
      </c>
      <c r="DL176" s="47">
        <v>0</v>
      </c>
      <c r="DM176" s="47">
        <v>0</v>
      </c>
      <c r="DN176" s="47">
        <v>0</v>
      </c>
      <c r="DO176" s="47">
        <v>0</v>
      </c>
      <c r="DP176" s="47">
        <v>0</v>
      </c>
      <c r="DQ176" s="47">
        <v>0</v>
      </c>
      <c r="DR176" s="47">
        <v>0</v>
      </c>
    </row>
    <row r="177" spans="1:124" x14ac:dyDescent="0.25">
      <c r="A177" s="47" t="s">
        <v>961</v>
      </c>
      <c r="B177" s="47" t="s">
        <v>151</v>
      </c>
      <c r="C177" s="47" t="s">
        <v>962</v>
      </c>
      <c r="D177" s="47" t="s">
        <v>963</v>
      </c>
      <c r="E177" s="47" t="s">
        <v>964</v>
      </c>
      <c r="F177" s="47" t="s">
        <v>965</v>
      </c>
      <c r="G177" s="47" t="s">
        <v>966</v>
      </c>
      <c r="H177" s="47" t="str">
        <f>=IFERROR(VLOOKUP(A177,'ETPT Format DDG'!A:J,10,FALSE),"")</f>
        <v>0</v>
      </c>
      <c r="I177" s="47" t="str">
        <f>='ETPT Format DDG'!M177</f>
        <v/>
      </c>
      <c r="J177" s="47" t="str">
        <f>='ETPT Format DDG'!D177</f>
        <v/>
      </c>
      <c r="K177" s="47" t="s">
        <v>155</v>
      </c>
      <c r="L177" s="47" t="s">
        <v>967</v>
      </c>
      <c r="M177" s="47"/>
      <c r="N177" s="47">
        <v>0.3952</v>
      </c>
      <c r="O177" s="47">
        <v>0.3952</v>
      </c>
      <c r="P177" s="47">
        <v>0</v>
      </c>
      <c r="Q177" s="47">
        <v>0</v>
      </c>
      <c r="R177" s="47">
        <v>0</v>
      </c>
      <c r="S177" s="47">
        <v>0</v>
      </c>
      <c r="T177" s="47">
        <v>0</v>
      </c>
      <c r="U177" s="47">
        <v>0</v>
      </c>
      <c r="V177" s="47">
        <v>0</v>
      </c>
      <c r="W177" s="47">
        <v>0</v>
      </c>
      <c r="X177" s="47">
        <v>0</v>
      </c>
      <c r="Y177" s="47">
        <v>0</v>
      </c>
      <c r="Z177" s="47">
        <v>0</v>
      </c>
      <c r="AA177" s="47">
        <v>0</v>
      </c>
      <c r="AB177" s="47">
        <v>0</v>
      </c>
      <c r="AC177" s="47">
        <v>0</v>
      </c>
      <c r="AD177" s="47">
        <v>0</v>
      </c>
      <c r="AE177" s="47">
        <v>0</v>
      </c>
      <c r="AF177" s="47">
        <v>0</v>
      </c>
      <c r="AG177" s="47">
        <v>0</v>
      </c>
      <c r="AH177" s="47">
        <v>0</v>
      </c>
      <c r="AI177" s="47">
        <v>0</v>
      </c>
      <c r="AJ177" s="47">
        <v>0</v>
      </c>
      <c r="AK177" s="47">
        <v>0</v>
      </c>
      <c r="AL177" s="47">
        <v>0</v>
      </c>
      <c r="AM177" s="47">
        <v>0</v>
      </c>
      <c r="AN177" s="47">
        <v>0</v>
      </c>
      <c r="AO177" s="47">
        <v>0</v>
      </c>
      <c r="AP177" s="47">
        <v>0</v>
      </c>
      <c r="AQ177" s="47">
        <v>0</v>
      </c>
      <c r="AR177" s="47">
        <v>0</v>
      </c>
      <c r="AS177" s="47">
        <v>0</v>
      </c>
      <c r="AT177" s="47">
        <v>0</v>
      </c>
      <c r="AU177" s="47">
        <v>0</v>
      </c>
      <c r="AV177" s="47">
        <v>0</v>
      </c>
      <c r="AW177" s="47">
        <v>0</v>
      </c>
      <c r="AX177" s="47">
        <v>0</v>
      </c>
      <c r="AY177" s="47">
        <v>0</v>
      </c>
      <c r="AZ177" s="47">
        <v>0</v>
      </c>
      <c r="BA177" s="47">
        <v>0</v>
      </c>
      <c r="BB177" s="47">
        <v>0</v>
      </c>
      <c r="BC177" s="47">
        <v>0</v>
      </c>
      <c r="BD177" s="47">
        <v>0</v>
      </c>
      <c r="BE177" s="47">
        <v>0</v>
      </c>
      <c r="BF177" s="47">
        <v>0</v>
      </c>
      <c r="BG177" s="47">
        <v>0</v>
      </c>
      <c r="BH177" s="47">
        <v>0</v>
      </c>
      <c r="BI177" s="47">
        <v>0</v>
      </c>
      <c r="BJ177" s="47">
        <v>0</v>
      </c>
      <c r="BK177" s="47">
        <v>0</v>
      </c>
      <c r="BL177" s="47">
        <v>0</v>
      </c>
      <c r="BM177" s="47">
        <v>0</v>
      </c>
      <c r="BN177" s="47">
        <v>0</v>
      </c>
      <c r="BO177" s="47">
        <v>0.3359</v>
      </c>
      <c r="BP177" s="47">
        <v>0</v>
      </c>
      <c r="BQ177" s="47">
        <v>0.1185</v>
      </c>
      <c r="BR177" s="47">
        <v>0</v>
      </c>
      <c r="BS177" s="47">
        <v>0</v>
      </c>
      <c r="BT177" s="47">
        <v>0</v>
      </c>
      <c r="BU177" s="47">
        <v>0</v>
      </c>
      <c r="BV177" s="47">
        <v>0</v>
      </c>
      <c r="BW177" s="47">
        <v>0.0395</v>
      </c>
      <c r="BX177" s="47">
        <v>0.1581</v>
      </c>
      <c r="BY177" s="47">
        <v>0</v>
      </c>
      <c r="BZ177" s="47">
        <v>0</v>
      </c>
      <c r="CA177" s="47">
        <v>0.0198</v>
      </c>
      <c r="CB177" s="47">
        <v>0</v>
      </c>
      <c r="CC177" s="47">
        <v>0</v>
      </c>
      <c r="CD177" s="47">
        <v>0</v>
      </c>
      <c r="CE177" s="47">
        <v>0</v>
      </c>
      <c r="CF177" s="47">
        <v>0</v>
      </c>
      <c r="CG177" s="47">
        <v>0</v>
      </c>
      <c r="CH177" s="47">
        <v>0</v>
      </c>
      <c r="CI177" s="47">
        <v>0</v>
      </c>
      <c r="CJ177" s="47">
        <v>0</v>
      </c>
      <c r="CK177" s="47">
        <v>0</v>
      </c>
      <c r="CL177" s="47">
        <v>0</v>
      </c>
      <c r="CM177" s="47">
        <v>0</v>
      </c>
      <c r="CN177" s="47">
        <v>0</v>
      </c>
      <c r="CO177" s="47">
        <v>0</v>
      </c>
      <c r="CP177" s="47">
        <v>0</v>
      </c>
      <c r="CQ177" s="47">
        <v>0</v>
      </c>
      <c r="CR177" s="47">
        <v>0</v>
      </c>
      <c r="CS177" s="47">
        <v>0</v>
      </c>
      <c r="CT177" s="47">
        <v>0.0593</v>
      </c>
      <c r="CU177" s="47">
        <v>0.0593</v>
      </c>
      <c r="CV177" s="47">
        <v>0</v>
      </c>
      <c r="CW177" s="47">
        <v>0</v>
      </c>
      <c r="CX177" s="47">
        <v>0</v>
      </c>
      <c r="CY177" s="47">
        <v>0</v>
      </c>
      <c r="CZ177" s="47">
        <v>0</v>
      </c>
      <c r="DA177" s="47">
        <v>0</v>
      </c>
      <c r="DB177" s="47">
        <v>0</v>
      </c>
      <c r="DC177" s="47">
        <v>0</v>
      </c>
      <c r="DD177" s="47">
        <v>0</v>
      </c>
      <c r="DE177" s="47">
        <v>0</v>
      </c>
      <c r="DF177" s="47">
        <v>0</v>
      </c>
      <c r="DG177" s="47">
        <v>0</v>
      </c>
      <c r="DH177" s="47">
        <v>0</v>
      </c>
      <c r="DI177" s="47">
        <v>0</v>
      </c>
      <c r="DJ177" s="47">
        <v>0</v>
      </c>
      <c r="DK177" s="47">
        <v>0</v>
      </c>
      <c r="DL177" s="47">
        <v>0</v>
      </c>
      <c r="DM177" s="47">
        <v>0</v>
      </c>
      <c r="DN177" s="47">
        <v>0</v>
      </c>
      <c r="DO177" s="47">
        <v>0</v>
      </c>
      <c r="DP177" s="47">
        <v>0</v>
      </c>
      <c r="DQ177" s="47">
        <v>0</v>
      </c>
      <c r="DR177" s="47">
        <v>0</v>
      </c>
    </row>
    <row r="178" spans="1:124" x14ac:dyDescent="0.25">
      <c r="A178" s="47" t="s">
        <v>968</v>
      </c>
      <c r="B178" s="47" t="s">
        <v>151</v>
      </c>
      <c r="C178" s="47" t="s">
        <v>969</v>
      </c>
      <c r="D178" s="47" t="s">
        <v>970</v>
      </c>
      <c r="E178" s="47" t="s">
        <v>971</v>
      </c>
      <c r="F178" s="47" t="s">
        <v>965</v>
      </c>
      <c r="G178" s="47" t="s">
        <v>966</v>
      </c>
      <c r="H178" s="47" t="str">
        <f>=IFERROR(VLOOKUP(A178,'ETPT Format DDG'!A:J,10,FALSE),"")</f>
        <v>0</v>
      </c>
      <c r="I178" s="47" t="str">
        <f>='ETPT Format DDG'!M178</f>
        <v/>
      </c>
      <c r="J178" s="47" t="str">
        <f>='ETPT Format DDG'!D178</f>
        <v/>
      </c>
      <c r="K178" s="47" t="s">
        <v>155</v>
      </c>
      <c r="L178" s="47" t="s">
        <v>176</v>
      </c>
      <c r="M178" s="47"/>
      <c r="N178" s="47">
        <v>1</v>
      </c>
      <c r="O178" s="47">
        <v>0</v>
      </c>
      <c r="P178" s="47">
        <v>0</v>
      </c>
      <c r="Q178" s="47">
        <v>0</v>
      </c>
      <c r="R178" s="47">
        <v>0</v>
      </c>
      <c r="S178" s="47">
        <v>0</v>
      </c>
      <c r="T178" s="47">
        <v>0</v>
      </c>
      <c r="U178" s="47">
        <v>0</v>
      </c>
      <c r="V178" s="47">
        <v>0</v>
      </c>
      <c r="W178" s="47">
        <v>0</v>
      </c>
      <c r="X178" s="47">
        <v>0</v>
      </c>
      <c r="Y178" s="47">
        <v>0</v>
      </c>
      <c r="Z178" s="47">
        <v>0</v>
      </c>
      <c r="AA178" s="47">
        <v>0</v>
      </c>
      <c r="AB178" s="47">
        <v>0</v>
      </c>
      <c r="AC178" s="47">
        <v>0</v>
      </c>
      <c r="AD178" s="47">
        <v>0</v>
      </c>
      <c r="AE178" s="47">
        <v>0</v>
      </c>
      <c r="AF178" s="47">
        <v>0</v>
      </c>
      <c r="AG178" s="47">
        <v>0</v>
      </c>
      <c r="AH178" s="47">
        <v>0</v>
      </c>
      <c r="AI178" s="47">
        <v>0</v>
      </c>
      <c r="AJ178" s="47">
        <v>0</v>
      </c>
      <c r="AK178" s="47">
        <v>0</v>
      </c>
      <c r="AL178" s="47">
        <v>0</v>
      </c>
      <c r="AM178" s="47">
        <v>0</v>
      </c>
      <c r="AN178" s="47">
        <v>0</v>
      </c>
      <c r="AO178" s="47">
        <v>0</v>
      </c>
      <c r="AP178" s="47">
        <v>0</v>
      </c>
      <c r="AQ178" s="47">
        <v>0</v>
      </c>
      <c r="AR178" s="47">
        <v>0</v>
      </c>
      <c r="AS178" s="47">
        <v>0</v>
      </c>
      <c r="AT178" s="47">
        <v>0</v>
      </c>
      <c r="AU178" s="47">
        <v>0</v>
      </c>
      <c r="AV178" s="47">
        <v>0</v>
      </c>
      <c r="AW178" s="47">
        <v>0</v>
      </c>
      <c r="AX178" s="47">
        <v>0</v>
      </c>
      <c r="AY178" s="47">
        <v>0</v>
      </c>
      <c r="AZ178" s="47">
        <v>0</v>
      </c>
      <c r="BA178" s="47">
        <v>0</v>
      </c>
      <c r="BB178" s="47">
        <v>0</v>
      </c>
      <c r="BC178" s="47">
        <v>0</v>
      </c>
      <c r="BD178" s="47">
        <v>0</v>
      </c>
      <c r="BE178" s="47">
        <v>0</v>
      </c>
      <c r="BF178" s="47">
        <v>0</v>
      </c>
      <c r="BG178" s="47">
        <v>0</v>
      </c>
      <c r="BH178" s="47">
        <v>0</v>
      </c>
      <c r="BI178" s="47">
        <v>0</v>
      </c>
      <c r="BJ178" s="47">
        <v>0</v>
      </c>
      <c r="BK178" s="47">
        <v>0</v>
      </c>
      <c r="BL178" s="47">
        <v>0</v>
      </c>
      <c r="BM178" s="47">
        <v>0</v>
      </c>
      <c r="BN178" s="47">
        <v>0</v>
      </c>
      <c r="BO178" s="47">
        <v>0</v>
      </c>
      <c r="BP178" s="47">
        <v>0</v>
      </c>
      <c r="BQ178" s="47">
        <v>0</v>
      </c>
      <c r="BR178" s="47">
        <v>0</v>
      </c>
      <c r="BS178" s="47">
        <v>0</v>
      </c>
      <c r="BT178" s="47">
        <v>0</v>
      </c>
      <c r="BU178" s="47">
        <v>0</v>
      </c>
      <c r="BV178" s="47">
        <v>0</v>
      </c>
      <c r="BW178" s="47">
        <v>0</v>
      </c>
      <c r="BX178" s="47">
        <v>0</v>
      </c>
      <c r="BY178" s="47">
        <v>0</v>
      </c>
      <c r="BZ178" s="47">
        <v>0</v>
      </c>
      <c r="CA178" s="47">
        <v>0</v>
      </c>
      <c r="CB178" s="47">
        <v>0</v>
      </c>
      <c r="CC178" s="47">
        <v>0</v>
      </c>
      <c r="CD178" s="47">
        <v>0</v>
      </c>
      <c r="CE178" s="47">
        <v>0</v>
      </c>
      <c r="CF178" s="47">
        <v>0</v>
      </c>
      <c r="CG178" s="47">
        <v>0</v>
      </c>
      <c r="CH178" s="47">
        <v>0</v>
      </c>
      <c r="CI178" s="47">
        <v>0</v>
      </c>
      <c r="CJ178" s="47">
        <v>0</v>
      </c>
      <c r="CK178" s="47">
        <v>0</v>
      </c>
      <c r="CL178" s="47">
        <v>0</v>
      </c>
      <c r="CM178" s="47">
        <v>0</v>
      </c>
      <c r="CN178" s="47">
        <v>0</v>
      </c>
      <c r="CO178" s="47">
        <v>0</v>
      </c>
      <c r="CP178" s="47">
        <v>0</v>
      </c>
      <c r="CQ178" s="47">
        <v>0</v>
      </c>
      <c r="CR178" s="47">
        <v>0</v>
      </c>
      <c r="CS178" s="47">
        <v>0</v>
      </c>
      <c r="CT178" s="47">
        <v>0</v>
      </c>
      <c r="CU178" s="47">
        <v>0</v>
      </c>
      <c r="CV178" s="47">
        <v>0</v>
      </c>
      <c r="CW178" s="47">
        <v>0</v>
      </c>
      <c r="CX178" s="47">
        <v>0</v>
      </c>
      <c r="CY178" s="47">
        <v>0</v>
      </c>
      <c r="CZ178" s="47">
        <v>0</v>
      </c>
      <c r="DA178" s="47">
        <v>0</v>
      </c>
      <c r="DB178" s="47">
        <v>0</v>
      </c>
      <c r="DC178" s="47">
        <v>0</v>
      </c>
      <c r="DD178" s="47">
        <v>0</v>
      </c>
      <c r="DE178" s="47">
        <v>0</v>
      </c>
      <c r="DF178" s="47">
        <v>0</v>
      </c>
      <c r="DG178" s="47">
        <v>0</v>
      </c>
      <c r="DH178" s="47">
        <v>0</v>
      </c>
      <c r="DI178" s="47">
        <v>0</v>
      </c>
      <c r="DJ178" s="47">
        <v>0</v>
      </c>
      <c r="DK178" s="47">
        <v>0</v>
      </c>
      <c r="DL178" s="47">
        <v>0</v>
      </c>
      <c r="DM178" s="47">
        <v>0</v>
      </c>
      <c r="DN178" s="47">
        <v>0</v>
      </c>
      <c r="DO178" s="47">
        <v>0</v>
      </c>
      <c r="DP178" s="47">
        <v>0</v>
      </c>
      <c r="DQ178" s="47">
        <v>0</v>
      </c>
      <c r="DR178" s="47">
        <v>0</v>
      </c>
    </row>
    <row r="179" spans="1:124" x14ac:dyDescent="0.25">
      <c r="A179" s="47" t="s">
        <v>972</v>
      </c>
      <c r="B179" s="47" t="s">
        <v>151</v>
      </c>
      <c r="C179" s="47" t="s">
        <v>973</v>
      </c>
      <c r="D179" s="47" t="s">
        <v>974</v>
      </c>
      <c r="E179" s="47" t="s">
        <v>975</v>
      </c>
      <c r="F179" s="47" t="s">
        <v>965</v>
      </c>
      <c r="G179" s="47" t="s">
        <v>966</v>
      </c>
      <c r="H179" s="47" t="str">
        <f>=IFERROR(VLOOKUP(A179,'ETPT Format DDG'!A:J,10,FALSE),"")</f>
        <v>0</v>
      </c>
      <c r="I179" s="47" t="str">
        <f>='ETPT Format DDG'!M179</f>
        <v/>
      </c>
      <c r="J179" s="47" t="str">
        <f>='ETPT Format DDG'!D179</f>
        <v/>
      </c>
      <c r="K179" s="47" t="s">
        <v>155</v>
      </c>
      <c r="L179" s="47" t="s">
        <v>976</v>
      </c>
      <c r="M179" s="47"/>
      <c r="N179" s="47">
        <v>1</v>
      </c>
      <c r="O179" s="47">
        <v>1</v>
      </c>
      <c r="P179" s="47">
        <v>0</v>
      </c>
      <c r="Q179" s="47">
        <v>0</v>
      </c>
      <c r="R179" s="47">
        <v>0</v>
      </c>
      <c r="S179" s="47">
        <v>0</v>
      </c>
      <c r="T179" s="47">
        <v>0</v>
      </c>
      <c r="U179" s="47">
        <v>0</v>
      </c>
      <c r="V179" s="47">
        <v>0</v>
      </c>
      <c r="W179" s="47">
        <v>0</v>
      </c>
      <c r="X179" s="47">
        <v>0</v>
      </c>
      <c r="Y179" s="47">
        <v>0</v>
      </c>
      <c r="Z179" s="47">
        <v>0</v>
      </c>
      <c r="AA179" s="47">
        <v>0</v>
      </c>
      <c r="AB179" s="47">
        <v>0</v>
      </c>
      <c r="AC179" s="47">
        <v>0</v>
      </c>
      <c r="AD179" s="47">
        <v>0</v>
      </c>
      <c r="AE179" s="47">
        <v>0</v>
      </c>
      <c r="AF179" s="47">
        <v>0</v>
      </c>
      <c r="AG179" s="47">
        <v>0</v>
      </c>
      <c r="AH179" s="47">
        <v>0</v>
      </c>
      <c r="AI179" s="47">
        <v>0</v>
      </c>
      <c r="AJ179" s="47">
        <v>0</v>
      </c>
      <c r="AK179" s="47">
        <v>0</v>
      </c>
      <c r="AL179" s="47">
        <v>0</v>
      </c>
      <c r="AM179" s="47">
        <v>0</v>
      </c>
      <c r="AN179" s="47">
        <v>1</v>
      </c>
      <c r="AO179" s="47">
        <v>0</v>
      </c>
      <c r="AP179" s="47">
        <v>0</v>
      </c>
      <c r="AQ179" s="47">
        <v>0</v>
      </c>
      <c r="AR179" s="47">
        <v>0</v>
      </c>
      <c r="AS179" s="47">
        <v>0</v>
      </c>
      <c r="AT179" s="47">
        <v>0</v>
      </c>
      <c r="AU179" s="47">
        <v>0</v>
      </c>
      <c r="AV179" s="47">
        <v>0</v>
      </c>
      <c r="AW179" s="47">
        <v>0</v>
      </c>
      <c r="AX179" s="47">
        <v>0</v>
      </c>
      <c r="AY179" s="47">
        <v>0</v>
      </c>
      <c r="AZ179" s="47">
        <v>0</v>
      </c>
      <c r="BA179" s="47">
        <v>0</v>
      </c>
      <c r="BB179" s="47">
        <v>0</v>
      </c>
      <c r="BC179" s="47">
        <v>0</v>
      </c>
      <c r="BD179" s="47">
        <v>0.65</v>
      </c>
      <c r="BE179" s="47">
        <v>0.25</v>
      </c>
      <c r="BF179" s="47">
        <v>0</v>
      </c>
      <c r="BG179" s="47">
        <v>0.1</v>
      </c>
      <c r="BH179" s="47">
        <v>0</v>
      </c>
      <c r="BI179" s="47">
        <v>0</v>
      </c>
      <c r="BJ179" s="47">
        <v>0</v>
      </c>
      <c r="BK179" s="47">
        <v>0</v>
      </c>
      <c r="BL179" s="47">
        <v>0</v>
      </c>
      <c r="BM179" s="47">
        <v>0</v>
      </c>
      <c r="BN179" s="47">
        <v>0</v>
      </c>
      <c r="BO179" s="47">
        <v>0</v>
      </c>
      <c r="BP179" s="47">
        <v>0</v>
      </c>
      <c r="BQ179" s="47">
        <v>0</v>
      </c>
      <c r="BR179" s="47">
        <v>0</v>
      </c>
      <c r="BS179" s="47">
        <v>0</v>
      </c>
      <c r="BT179" s="47">
        <v>0</v>
      </c>
      <c r="BU179" s="47">
        <v>0</v>
      </c>
      <c r="BV179" s="47">
        <v>0</v>
      </c>
      <c r="BW179" s="47">
        <v>0</v>
      </c>
      <c r="BX179" s="47">
        <v>0</v>
      </c>
      <c r="BY179" s="47">
        <v>0</v>
      </c>
      <c r="BZ179" s="47">
        <v>0</v>
      </c>
      <c r="CA179" s="47">
        <v>0</v>
      </c>
      <c r="CB179" s="47">
        <v>0</v>
      </c>
      <c r="CC179" s="47">
        <v>0</v>
      </c>
      <c r="CD179" s="47">
        <v>0</v>
      </c>
      <c r="CE179" s="47">
        <v>0</v>
      </c>
      <c r="CF179" s="47">
        <v>0</v>
      </c>
      <c r="CG179" s="47">
        <v>0</v>
      </c>
      <c r="CH179" s="47">
        <v>0</v>
      </c>
      <c r="CI179" s="47">
        <v>0</v>
      </c>
      <c r="CJ179" s="47">
        <v>0</v>
      </c>
      <c r="CK179" s="47">
        <v>0</v>
      </c>
      <c r="CL179" s="47">
        <v>0</v>
      </c>
      <c r="CM179" s="47">
        <v>0</v>
      </c>
      <c r="CN179" s="47">
        <v>0</v>
      </c>
      <c r="CO179" s="47">
        <v>0</v>
      </c>
      <c r="CP179" s="47">
        <v>0</v>
      </c>
      <c r="CQ179" s="47">
        <v>0</v>
      </c>
      <c r="CR179" s="47">
        <v>0</v>
      </c>
      <c r="CS179" s="47">
        <v>0</v>
      </c>
      <c r="CT179" s="47">
        <v>0</v>
      </c>
      <c r="CU179" s="47">
        <v>0</v>
      </c>
      <c r="CV179" s="47">
        <v>0</v>
      </c>
      <c r="CW179" s="47">
        <v>0</v>
      </c>
      <c r="CX179" s="47">
        <v>0</v>
      </c>
      <c r="CY179" s="47">
        <v>0</v>
      </c>
      <c r="CZ179" s="47">
        <v>0</v>
      </c>
      <c r="DA179" s="47">
        <v>0</v>
      </c>
      <c r="DB179" s="47">
        <v>0</v>
      </c>
      <c r="DC179" s="47">
        <v>0</v>
      </c>
      <c r="DD179" s="47">
        <v>0</v>
      </c>
      <c r="DE179" s="47">
        <v>0</v>
      </c>
      <c r="DF179" s="47">
        <v>0</v>
      </c>
      <c r="DG179" s="47">
        <v>0</v>
      </c>
      <c r="DH179" s="47">
        <v>0</v>
      </c>
      <c r="DI179" s="47">
        <v>0</v>
      </c>
      <c r="DJ179" s="47">
        <v>0</v>
      </c>
      <c r="DK179" s="47">
        <v>0</v>
      </c>
      <c r="DL179" s="47">
        <v>0</v>
      </c>
      <c r="DM179" s="47">
        <v>0</v>
      </c>
      <c r="DN179" s="47">
        <v>0</v>
      </c>
      <c r="DO179" s="47">
        <v>0</v>
      </c>
      <c r="DP179" s="47">
        <v>0</v>
      </c>
      <c r="DQ179" s="47">
        <v>0</v>
      </c>
      <c r="DR179" s="47">
        <v>0</v>
      </c>
    </row>
    <row r="180" spans="1:124" x14ac:dyDescent="0.25">
      <c r="A180" s="47" t="s">
        <v>977</v>
      </c>
      <c r="B180" s="47" t="s">
        <v>151</v>
      </c>
      <c r="C180" s="47" t="s">
        <v>978</v>
      </c>
      <c r="D180" s="47" t="s">
        <v>979</v>
      </c>
      <c r="E180" s="47" t="s">
        <v>656</v>
      </c>
      <c r="F180" s="47" t="s">
        <v>965</v>
      </c>
      <c r="G180" s="47" t="s">
        <v>980</v>
      </c>
      <c r="H180" s="47" t="str">
        <f>=IFERROR(VLOOKUP(A180,'ETPT Format DDG'!A:J,10,FALSE),"")</f>
        <v>0</v>
      </c>
      <c r="I180" s="47" t="str">
        <f>='ETPT Format DDG'!M180</f>
        <v/>
      </c>
      <c r="J180" s="47" t="str">
        <f>='ETPT Format DDG'!D180</f>
        <v/>
      </c>
      <c r="K180" s="47" t="s">
        <v>155</v>
      </c>
      <c r="L180" s="47" t="s">
        <v>619</v>
      </c>
      <c r="M180" s="47" t="s">
        <v>170</v>
      </c>
      <c r="N180" s="47">
        <v>0.4</v>
      </c>
      <c r="O180" s="47">
        <v>0.4</v>
      </c>
      <c r="P180" s="47">
        <v>0</v>
      </c>
      <c r="Q180" s="47">
        <v>0</v>
      </c>
      <c r="R180" s="47">
        <v>0</v>
      </c>
      <c r="S180" s="47">
        <v>0</v>
      </c>
      <c r="T180" s="47">
        <v>0</v>
      </c>
      <c r="U180" s="47">
        <v>0.4</v>
      </c>
      <c r="V180" s="47">
        <v>0</v>
      </c>
      <c r="W180" s="47">
        <v>0.2</v>
      </c>
      <c r="X180" s="47">
        <v>0</v>
      </c>
      <c r="Y180" s="47">
        <v>0</v>
      </c>
      <c r="Z180" s="47">
        <v>0.2</v>
      </c>
      <c r="AA180" s="47">
        <v>0</v>
      </c>
      <c r="AB180" s="47">
        <v>0</v>
      </c>
      <c r="AC180" s="47">
        <v>0</v>
      </c>
      <c r="AD180" s="47">
        <v>0</v>
      </c>
      <c r="AE180" s="47">
        <v>0</v>
      </c>
      <c r="AF180" s="47">
        <v>0</v>
      </c>
      <c r="AG180" s="47">
        <v>0</v>
      </c>
      <c r="AH180" s="47">
        <v>0</v>
      </c>
      <c r="AI180" s="47">
        <v>0</v>
      </c>
      <c r="AJ180" s="47">
        <v>0</v>
      </c>
      <c r="AK180" s="47">
        <v>0</v>
      </c>
      <c r="AL180" s="47">
        <v>0</v>
      </c>
      <c r="AM180" s="47">
        <v>0</v>
      </c>
      <c r="AN180" s="47">
        <v>0</v>
      </c>
      <c r="AO180" s="47">
        <v>0</v>
      </c>
      <c r="AP180" s="47">
        <v>0</v>
      </c>
      <c r="AQ180" s="47">
        <v>0</v>
      </c>
      <c r="AR180" s="47">
        <v>0</v>
      </c>
      <c r="AS180" s="47">
        <v>0</v>
      </c>
      <c r="AT180" s="47">
        <v>0</v>
      </c>
      <c r="AU180" s="47">
        <v>0</v>
      </c>
      <c r="AV180" s="47">
        <v>0</v>
      </c>
      <c r="AW180" s="47">
        <v>0</v>
      </c>
      <c r="AX180" s="47">
        <v>0</v>
      </c>
      <c r="AY180" s="47">
        <v>0</v>
      </c>
      <c r="AZ180" s="47">
        <v>0</v>
      </c>
      <c r="BA180" s="47">
        <v>0</v>
      </c>
      <c r="BB180" s="47">
        <v>0</v>
      </c>
      <c r="BC180" s="47">
        <v>0</v>
      </c>
      <c r="BD180" s="47">
        <v>0</v>
      </c>
      <c r="BE180" s="47">
        <v>0</v>
      </c>
      <c r="BF180" s="47">
        <v>0</v>
      </c>
      <c r="BG180" s="47">
        <v>0</v>
      </c>
      <c r="BH180" s="47">
        <v>0</v>
      </c>
      <c r="BI180" s="47">
        <v>0</v>
      </c>
      <c r="BJ180" s="47">
        <v>0</v>
      </c>
      <c r="BK180" s="47">
        <v>0</v>
      </c>
      <c r="BL180" s="47">
        <v>0</v>
      </c>
      <c r="BM180" s="47">
        <v>0</v>
      </c>
      <c r="BN180" s="47">
        <v>0</v>
      </c>
      <c r="BO180" s="47">
        <v>0</v>
      </c>
      <c r="BP180" s="47">
        <v>0</v>
      </c>
      <c r="BQ180" s="47">
        <v>0</v>
      </c>
      <c r="BR180" s="47">
        <v>0</v>
      </c>
      <c r="BS180" s="47">
        <v>0</v>
      </c>
      <c r="BT180" s="47">
        <v>0</v>
      </c>
      <c r="BU180" s="47">
        <v>0</v>
      </c>
      <c r="BV180" s="47">
        <v>0</v>
      </c>
      <c r="BW180" s="47">
        <v>0</v>
      </c>
      <c r="BX180" s="47">
        <v>0</v>
      </c>
      <c r="BY180" s="47">
        <v>0</v>
      </c>
      <c r="BZ180" s="47">
        <v>0</v>
      </c>
      <c r="CA180" s="47">
        <v>0</v>
      </c>
      <c r="CB180" s="47">
        <v>0</v>
      </c>
      <c r="CC180" s="47">
        <v>0</v>
      </c>
      <c r="CD180" s="47">
        <v>0</v>
      </c>
      <c r="CE180" s="47">
        <v>0</v>
      </c>
      <c r="CF180" s="47">
        <v>0</v>
      </c>
      <c r="CG180" s="47">
        <v>0</v>
      </c>
      <c r="CH180" s="47">
        <v>0</v>
      </c>
      <c r="CI180" s="47">
        <v>0</v>
      </c>
      <c r="CJ180" s="47">
        <v>0</v>
      </c>
      <c r="CK180" s="47">
        <v>0</v>
      </c>
      <c r="CL180" s="47">
        <v>0</v>
      </c>
      <c r="CM180" s="47">
        <v>0</v>
      </c>
      <c r="CN180" s="47">
        <v>0</v>
      </c>
      <c r="CO180" s="47">
        <v>0</v>
      </c>
      <c r="CP180" s="47">
        <v>0</v>
      </c>
      <c r="CQ180" s="47">
        <v>0</v>
      </c>
      <c r="CR180" s="47">
        <v>0</v>
      </c>
      <c r="CS180" s="47">
        <v>0</v>
      </c>
      <c r="CT180" s="47">
        <v>0</v>
      </c>
      <c r="CU180" s="47">
        <v>0</v>
      </c>
      <c r="CV180" s="47">
        <v>0</v>
      </c>
      <c r="CW180" s="47">
        <v>0</v>
      </c>
      <c r="CX180" s="47">
        <v>0</v>
      </c>
      <c r="CY180" s="47">
        <v>0</v>
      </c>
      <c r="CZ180" s="47">
        <v>0</v>
      </c>
      <c r="DA180" s="47">
        <v>0</v>
      </c>
      <c r="DB180" s="47">
        <v>0</v>
      </c>
      <c r="DC180" s="47">
        <v>0</v>
      </c>
      <c r="DD180" s="47">
        <v>0</v>
      </c>
      <c r="DE180" s="47">
        <v>0</v>
      </c>
      <c r="DF180" s="47">
        <v>0</v>
      </c>
      <c r="DG180" s="47">
        <v>0</v>
      </c>
      <c r="DH180" s="47">
        <v>0</v>
      </c>
      <c r="DI180" s="47">
        <v>0</v>
      </c>
      <c r="DJ180" s="47">
        <v>0</v>
      </c>
      <c r="DK180" s="47">
        <v>0</v>
      </c>
      <c r="DL180" s="47">
        <v>0</v>
      </c>
      <c r="DM180" s="47">
        <v>0</v>
      </c>
      <c r="DN180" s="47">
        <v>0</v>
      </c>
      <c r="DO180" s="47">
        <v>0</v>
      </c>
      <c r="DP180" s="47">
        <v>0</v>
      </c>
      <c r="DQ180" s="47">
        <v>0</v>
      </c>
      <c r="DR180" s="47">
        <v>0</v>
      </c>
    </row>
    <row r="181" spans="1:124" x14ac:dyDescent="0.25">
      <c r="A181" s="47" t="s">
        <v>981</v>
      </c>
      <c r="B181" s="47" t="s">
        <v>151</v>
      </c>
      <c r="C181" s="47" t="s">
        <v>982</v>
      </c>
      <c r="D181" s="47" t="s">
        <v>983</v>
      </c>
      <c r="E181" s="47" t="s">
        <v>984</v>
      </c>
      <c r="F181" s="47" t="s">
        <v>965</v>
      </c>
      <c r="G181" s="47" t="s">
        <v>966</v>
      </c>
      <c r="H181" s="47" t="str">
        <f>=IFERROR(VLOOKUP(A181,'ETPT Format DDG'!A:J,10,FALSE),"")</f>
        <v>0</v>
      </c>
      <c r="I181" s="47" t="str">
        <f>='ETPT Format DDG'!M181</f>
        <v/>
      </c>
      <c r="J181" s="47" t="str">
        <f>='ETPT Format DDG'!D181</f>
        <v/>
      </c>
      <c r="K181" s="47" t="s">
        <v>155</v>
      </c>
      <c r="L181" s="47" t="s">
        <v>985</v>
      </c>
      <c r="M181" s="47" t="s">
        <v>986</v>
      </c>
      <c r="N181" s="47">
        <v>0.3605</v>
      </c>
      <c r="O181" s="47">
        <v>0.3605</v>
      </c>
      <c r="P181" s="47">
        <v>0</v>
      </c>
      <c r="Q181" s="47">
        <v>0</v>
      </c>
      <c r="R181" s="47">
        <v>0</v>
      </c>
      <c r="S181" s="47">
        <v>0</v>
      </c>
      <c r="T181" s="47">
        <v>0</v>
      </c>
      <c r="U181" s="47">
        <v>0</v>
      </c>
      <c r="V181" s="47">
        <v>0</v>
      </c>
      <c r="W181" s="47">
        <v>0</v>
      </c>
      <c r="X181" s="47">
        <v>0</v>
      </c>
      <c r="Y181" s="47">
        <v>0</v>
      </c>
      <c r="Z181" s="47">
        <v>0</v>
      </c>
      <c r="AA181" s="47">
        <v>0</v>
      </c>
      <c r="AB181" s="47">
        <v>0</v>
      </c>
      <c r="AC181" s="47">
        <v>0</v>
      </c>
      <c r="AD181" s="47">
        <v>0</v>
      </c>
      <c r="AE181" s="47">
        <v>0</v>
      </c>
      <c r="AF181" s="47">
        <v>0</v>
      </c>
      <c r="AG181" s="47">
        <v>0</v>
      </c>
      <c r="AH181" s="47">
        <v>0</v>
      </c>
      <c r="AI181" s="47">
        <v>0</v>
      </c>
      <c r="AJ181" s="47">
        <v>0</v>
      </c>
      <c r="AK181" s="47">
        <v>0</v>
      </c>
      <c r="AL181" s="47">
        <v>0</v>
      </c>
      <c r="AM181" s="47">
        <v>0</v>
      </c>
      <c r="AN181" s="47">
        <v>0</v>
      </c>
      <c r="AO181" s="47">
        <v>0</v>
      </c>
      <c r="AP181" s="47">
        <v>0</v>
      </c>
      <c r="AQ181" s="47">
        <v>0</v>
      </c>
      <c r="AR181" s="47">
        <v>0</v>
      </c>
      <c r="AS181" s="47">
        <v>0</v>
      </c>
      <c r="AT181" s="47">
        <v>0</v>
      </c>
      <c r="AU181" s="47">
        <v>0</v>
      </c>
      <c r="AV181" s="47">
        <v>0</v>
      </c>
      <c r="AW181" s="47">
        <v>0</v>
      </c>
      <c r="AX181" s="47">
        <v>0</v>
      </c>
      <c r="AY181" s="47">
        <v>0</v>
      </c>
      <c r="AZ181" s="47">
        <v>0</v>
      </c>
      <c r="BA181" s="47">
        <v>0</v>
      </c>
      <c r="BB181" s="47">
        <v>0</v>
      </c>
      <c r="BC181" s="47">
        <v>0</v>
      </c>
      <c r="BD181" s="47">
        <v>0</v>
      </c>
      <c r="BE181" s="47">
        <v>0</v>
      </c>
      <c r="BF181" s="47">
        <v>0</v>
      </c>
      <c r="BG181" s="47">
        <v>0</v>
      </c>
      <c r="BH181" s="47">
        <v>0</v>
      </c>
      <c r="BI181" s="47">
        <v>0</v>
      </c>
      <c r="BJ181" s="47">
        <v>0</v>
      </c>
      <c r="BK181" s="47">
        <v>0</v>
      </c>
      <c r="BL181" s="47">
        <v>0</v>
      </c>
      <c r="BM181" s="47">
        <v>0</v>
      </c>
      <c r="BN181" s="47">
        <v>0</v>
      </c>
      <c r="BO181" s="47">
        <v>0.3605</v>
      </c>
      <c r="BP181" s="47">
        <v>0.2019</v>
      </c>
      <c r="BQ181" s="47">
        <v>0</v>
      </c>
      <c r="BR181" s="47">
        <v>0</v>
      </c>
      <c r="BS181" s="47">
        <v>0</v>
      </c>
      <c r="BT181" s="47">
        <v>0</v>
      </c>
      <c r="BU181" s="47">
        <v>0</v>
      </c>
      <c r="BV181" s="47">
        <v>0</v>
      </c>
      <c r="BW181" s="47">
        <v>0.0721</v>
      </c>
      <c r="BX181" s="47">
        <v>0.0144</v>
      </c>
      <c r="BY181" s="47">
        <v>0</v>
      </c>
      <c r="BZ181" s="47">
        <v>0</v>
      </c>
      <c r="CA181" s="47">
        <v>0.0721</v>
      </c>
      <c r="CB181" s="47">
        <v>0</v>
      </c>
      <c r="CC181" s="47">
        <v>0</v>
      </c>
      <c r="CD181" s="47">
        <v>0</v>
      </c>
      <c r="CE181" s="47">
        <v>0</v>
      </c>
      <c r="CF181" s="47">
        <v>0</v>
      </c>
      <c r="CG181" s="47">
        <v>0</v>
      </c>
      <c r="CH181" s="47">
        <v>0</v>
      </c>
      <c r="CI181" s="47">
        <v>0</v>
      </c>
      <c r="CJ181" s="47">
        <v>0</v>
      </c>
      <c r="CK181" s="47">
        <v>0</v>
      </c>
      <c r="CL181" s="47">
        <v>0</v>
      </c>
      <c r="CM181" s="47">
        <v>0</v>
      </c>
      <c r="CN181" s="47">
        <v>0</v>
      </c>
      <c r="CO181" s="47">
        <v>0</v>
      </c>
      <c r="CP181" s="47">
        <v>0</v>
      </c>
      <c r="CQ181" s="47">
        <v>0</v>
      </c>
      <c r="CR181" s="47">
        <v>0</v>
      </c>
      <c r="CS181" s="47">
        <v>0</v>
      </c>
      <c r="CT181" s="47">
        <v>0</v>
      </c>
      <c r="CU181" s="47">
        <v>0</v>
      </c>
      <c r="CV181" s="47">
        <v>0</v>
      </c>
      <c r="CW181" s="47">
        <v>0</v>
      </c>
      <c r="CX181" s="47">
        <v>0</v>
      </c>
      <c r="CY181" s="47">
        <v>0</v>
      </c>
      <c r="CZ181" s="47">
        <v>0</v>
      </c>
      <c r="DA181" s="47">
        <v>0</v>
      </c>
      <c r="DB181" s="47">
        <v>0</v>
      </c>
      <c r="DC181" s="47">
        <v>0</v>
      </c>
      <c r="DD181" s="47">
        <v>0</v>
      </c>
      <c r="DE181" s="47">
        <v>0</v>
      </c>
      <c r="DF181" s="47">
        <v>0.2661</v>
      </c>
      <c r="DG181" s="47">
        <v>0</v>
      </c>
      <c r="DH181" s="47">
        <v>0</v>
      </c>
      <c r="DI181" s="47">
        <v>0</v>
      </c>
      <c r="DJ181" s="47">
        <v>0</v>
      </c>
      <c r="DK181" s="47">
        <v>0</v>
      </c>
      <c r="DL181" s="47">
        <v>0</v>
      </c>
      <c r="DM181" s="47">
        <v>0.2661</v>
      </c>
      <c r="DN181" s="47">
        <v>0</v>
      </c>
      <c r="DO181" s="47">
        <v>0</v>
      </c>
      <c r="DP181" s="47">
        <v>0</v>
      </c>
      <c r="DQ181" s="47">
        <v>0</v>
      </c>
      <c r="DR181" s="47">
        <v>0</v>
      </c>
    </row>
    <row r="182" spans="1:124" x14ac:dyDescent="0.25">
      <c r="A182" s="47" t="s">
        <v>987</v>
      </c>
      <c r="B182" s="47" t="s">
        <v>151</v>
      </c>
      <c r="C182" s="47" t="s">
        <v>988</v>
      </c>
      <c r="D182" s="47" t="s">
        <v>989</v>
      </c>
      <c r="E182" s="47" t="s">
        <v>990</v>
      </c>
      <c r="F182" s="47" t="s">
        <v>965</v>
      </c>
      <c r="G182" s="47" t="s">
        <v>966</v>
      </c>
      <c r="H182" s="47" t="str">
        <f>=IFERROR(VLOOKUP(A182,'ETPT Format DDG'!A:J,10,FALSE),"")</f>
        <v>0</v>
      </c>
      <c r="I182" s="47" t="str">
        <f>='ETPT Format DDG'!M182</f>
        <v/>
      </c>
      <c r="J182" s="47" t="str">
        <f>='ETPT Format DDG'!D182</f>
        <v/>
      </c>
      <c r="K182" s="47" t="s">
        <v>155</v>
      </c>
      <c r="L182" s="47" t="s">
        <v>208</v>
      </c>
      <c r="M182" s="47" t="s">
        <v>935</v>
      </c>
      <c r="N182" s="47">
        <v>0.6976</v>
      </c>
      <c r="O182" s="47">
        <v>0.6976</v>
      </c>
      <c r="P182" s="47">
        <v>0</v>
      </c>
      <c r="Q182" s="47">
        <v>0</v>
      </c>
      <c r="R182" s="47">
        <v>0</v>
      </c>
      <c r="S182" s="47">
        <v>0</v>
      </c>
      <c r="T182" s="47">
        <v>0</v>
      </c>
      <c r="U182" s="47">
        <v>0</v>
      </c>
      <c r="V182" s="47">
        <v>0</v>
      </c>
      <c r="W182" s="47">
        <v>0</v>
      </c>
      <c r="X182" s="47">
        <v>0</v>
      </c>
      <c r="Y182" s="47">
        <v>0</v>
      </c>
      <c r="Z182" s="47">
        <v>0</v>
      </c>
      <c r="AA182" s="47">
        <v>0</v>
      </c>
      <c r="AB182" s="47">
        <v>0</v>
      </c>
      <c r="AC182" s="47">
        <v>0</v>
      </c>
      <c r="AD182" s="47">
        <v>0</v>
      </c>
      <c r="AE182" s="47">
        <v>0</v>
      </c>
      <c r="AF182" s="47">
        <v>0</v>
      </c>
      <c r="AG182" s="47">
        <v>0</v>
      </c>
      <c r="AH182" s="47">
        <v>0</v>
      </c>
      <c r="AI182" s="47">
        <v>0</v>
      </c>
      <c r="AJ182" s="47">
        <v>0</v>
      </c>
      <c r="AK182" s="47">
        <v>0</v>
      </c>
      <c r="AL182" s="47">
        <v>0</v>
      </c>
      <c r="AM182" s="47">
        <v>0</v>
      </c>
      <c r="AN182" s="47">
        <v>0</v>
      </c>
      <c r="AO182" s="47">
        <v>0</v>
      </c>
      <c r="AP182" s="47">
        <v>0</v>
      </c>
      <c r="AQ182" s="47">
        <v>0</v>
      </c>
      <c r="AR182" s="47">
        <v>0</v>
      </c>
      <c r="AS182" s="47">
        <v>0</v>
      </c>
      <c r="AT182" s="47">
        <v>0</v>
      </c>
      <c r="AU182" s="47">
        <v>0</v>
      </c>
      <c r="AV182" s="47">
        <v>0</v>
      </c>
      <c r="AW182" s="47">
        <v>0</v>
      </c>
      <c r="AX182" s="47">
        <v>0</v>
      </c>
      <c r="AY182" s="47">
        <v>0</v>
      </c>
      <c r="AZ182" s="47">
        <v>0</v>
      </c>
      <c r="BA182" s="47">
        <v>0</v>
      </c>
      <c r="BB182" s="47">
        <v>0</v>
      </c>
      <c r="BC182" s="47">
        <v>0</v>
      </c>
      <c r="BD182" s="47">
        <v>0</v>
      </c>
      <c r="BE182" s="47">
        <v>0</v>
      </c>
      <c r="BF182" s="47">
        <v>0</v>
      </c>
      <c r="BG182" s="47">
        <v>0</v>
      </c>
      <c r="BH182" s="47">
        <v>0</v>
      </c>
      <c r="BI182" s="47">
        <v>0</v>
      </c>
      <c r="BJ182" s="47">
        <v>0</v>
      </c>
      <c r="BK182" s="47">
        <v>0</v>
      </c>
      <c r="BL182" s="47">
        <v>0</v>
      </c>
      <c r="BM182" s="47">
        <v>0</v>
      </c>
      <c r="BN182" s="47">
        <v>0</v>
      </c>
      <c r="BO182" s="47">
        <v>0</v>
      </c>
      <c r="BP182" s="47">
        <v>0</v>
      </c>
      <c r="BQ182" s="47">
        <v>0</v>
      </c>
      <c r="BR182" s="47">
        <v>0</v>
      </c>
      <c r="BS182" s="47">
        <v>0</v>
      </c>
      <c r="BT182" s="47">
        <v>0</v>
      </c>
      <c r="BU182" s="47">
        <v>0</v>
      </c>
      <c r="BV182" s="47">
        <v>0</v>
      </c>
      <c r="BW182" s="47">
        <v>0</v>
      </c>
      <c r="BX182" s="47">
        <v>0</v>
      </c>
      <c r="BY182" s="47">
        <v>0</v>
      </c>
      <c r="BZ182" s="47">
        <v>0</v>
      </c>
      <c r="CA182" s="47">
        <v>0</v>
      </c>
      <c r="CB182" s="47">
        <v>0</v>
      </c>
      <c r="CC182" s="47">
        <v>0</v>
      </c>
      <c r="CD182" s="47">
        <v>0</v>
      </c>
      <c r="CE182" s="47">
        <v>0</v>
      </c>
      <c r="CF182" s="47">
        <v>0</v>
      </c>
      <c r="CG182" s="47">
        <v>0</v>
      </c>
      <c r="CH182" s="47">
        <v>0</v>
      </c>
      <c r="CI182" s="47">
        <v>0</v>
      </c>
      <c r="CJ182" s="47">
        <v>0</v>
      </c>
      <c r="CK182" s="47">
        <v>0</v>
      </c>
      <c r="CL182" s="47">
        <v>0</v>
      </c>
      <c r="CM182" s="47">
        <v>0</v>
      </c>
      <c r="CN182" s="47">
        <v>0</v>
      </c>
      <c r="CO182" s="47">
        <v>0</v>
      </c>
      <c r="CP182" s="47">
        <v>0</v>
      </c>
      <c r="CQ182" s="47">
        <v>0</v>
      </c>
      <c r="CR182" s="47">
        <v>0</v>
      </c>
      <c r="CS182" s="47">
        <v>0</v>
      </c>
      <c r="CT182" s="47">
        <v>0.6976</v>
      </c>
      <c r="CU182" s="47">
        <v>0.6976</v>
      </c>
      <c r="CV182" s="47">
        <v>0</v>
      </c>
      <c r="CW182" s="47">
        <v>0</v>
      </c>
      <c r="CX182" s="47">
        <v>0</v>
      </c>
      <c r="CY182" s="47">
        <v>0</v>
      </c>
      <c r="CZ182" s="47">
        <v>0</v>
      </c>
      <c r="DA182" s="47">
        <v>0</v>
      </c>
      <c r="DB182" s="47">
        <v>0</v>
      </c>
      <c r="DC182" s="47">
        <v>0</v>
      </c>
      <c r="DD182" s="47">
        <v>0</v>
      </c>
      <c r="DE182" s="47">
        <v>0</v>
      </c>
      <c r="DF182" s="47">
        <v>0</v>
      </c>
      <c r="DG182" s="47">
        <v>0</v>
      </c>
      <c r="DH182" s="47">
        <v>0</v>
      </c>
      <c r="DI182" s="47">
        <v>0</v>
      </c>
      <c r="DJ182" s="47">
        <v>0</v>
      </c>
      <c r="DK182" s="47">
        <v>0</v>
      </c>
      <c r="DL182" s="47">
        <v>0</v>
      </c>
      <c r="DM182" s="47">
        <v>0</v>
      </c>
      <c r="DN182" s="47">
        <v>0</v>
      </c>
      <c r="DO182" s="47">
        <v>0</v>
      </c>
      <c r="DP182" s="47">
        <v>0</v>
      </c>
      <c r="DQ182" s="47">
        <v>0</v>
      </c>
      <c r="DR182" s="47">
        <v>0</v>
      </c>
    </row>
    <row r="183" spans="1:124" x14ac:dyDescent="0.25">
      <c r="A183" s="47" t="s">
        <v>991</v>
      </c>
      <c r="B183" s="47" t="s">
        <v>151</v>
      </c>
      <c r="C183" s="47" t="s">
        <v>992</v>
      </c>
      <c r="D183" s="47" t="s">
        <v>993</v>
      </c>
      <c r="E183" s="47" t="s">
        <v>994</v>
      </c>
      <c r="F183" s="47" t="s">
        <v>965</v>
      </c>
      <c r="G183" s="47" t="s">
        <v>995</v>
      </c>
      <c r="H183" s="47" t="str">
        <f>=IFERROR(VLOOKUP(A183,'ETPT Format DDG'!A:J,10,FALSE),"")</f>
        <v>0</v>
      </c>
      <c r="I183" s="47" t="str">
        <f>='ETPT Format DDG'!M183</f>
        <v/>
      </c>
      <c r="J183" s="47" t="str">
        <f>='ETPT Format DDG'!D183</f>
        <v/>
      </c>
      <c r="K183" s="47" t="s">
        <v>155</v>
      </c>
      <c r="L183" s="47" t="s">
        <v>400</v>
      </c>
      <c r="M183" s="47"/>
      <c r="N183" s="47">
        <v>1</v>
      </c>
      <c r="O183" s="47">
        <v>1</v>
      </c>
      <c r="P183" s="47">
        <v>0</v>
      </c>
      <c r="Q183" s="47">
        <v>0</v>
      </c>
      <c r="R183" s="47">
        <v>0</v>
      </c>
      <c r="S183" s="47">
        <v>0</v>
      </c>
      <c r="T183" s="47">
        <v>0</v>
      </c>
      <c r="U183" s="47">
        <v>0</v>
      </c>
      <c r="V183" s="47">
        <v>0</v>
      </c>
      <c r="W183" s="47">
        <v>0</v>
      </c>
      <c r="X183" s="47">
        <v>0</v>
      </c>
      <c r="Y183" s="47">
        <v>0</v>
      </c>
      <c r="Z183" s="47">
        <v>0</v>
      </c>
      <c r="AA183" s="47">
        <v>0</v>
      </c>
      <c r="AB183" s="47">
        <v>0</v>
      </c>
      <c r="AC183" s="47">
        <v>0</v>
      </c>
      <c r="AD183" s="47">
        <v>0</v>
      </c>
      <c r="AE183" s="47">
        <v>0</v>
      </c>
      <c r="AF183" s="47">
        <v>0</v>
      </c>
      <c r="AG183" s="47">
        <v>0</v>
      </c>
      <c r="AH183" s="47">
        <v>0</v>
      </c>
      <c r="AI183" s="47">
        <v>0</v>
      </c>
      <c r="AJ183" s="47">
        <v>0</v>
      </c>
      <c r="AK183" s="47">
        <v>0</v>
      </c>
      <c r="AL183" s="47">
        <v>0</v>
      </c>
      <c r="AM183" s="47">
        <v>0</v>
      </c>
      <c r="AN183" s="47">
        <v>0</v>
      </c>
      <c r="AO183" s="47">
        <v>0</v>
      </c>
      <c r="AP183" s="47">
        <v>0</v>
      </c>
      <c r="AQ183" s="47">
        <v>0</v>
      </c>
      <c r="AR183" s="47">
        <v>0</v>
      </c>
      <c r="AS183" s="47">
        <v>0</v>
      </c>
      <c r="AT183" s="47">
        <v>0</v>
      </c>
      <c r="AU183" s="47">
        <v>0</v>
      </c>
      <c r="AV183" s="47">
        <v>0</v>
      </c>
      <c r="AW183" s="47">
        <v>0</v>
      </c>
      <c r="AX183" s="47">
        <v>0</v>
      </c>
      <c r="AY183" s="47">
        <v>0</v>
      </c>
      <c r="AZ183" s="47">
        <v>0</v>
      </c>
      <c r="BA183" s="47">
        <v>0</v>
      </c>
      <c r="BB183" s="47">
        <v>0</v>
      </c>
      <c r="BC183" s="47">
        <v>0</v>
      </c>
      <c r="BD183" s="47">
        <v>0</v>
      </c>
      <c r="BE183" s="47">
        <v>0</v>
      </c>
      <c r="BF183" s="47">
        <v>0</v>
      </c>
      <c r="BG183" s="47">
        <v>0</v>
      </c>
      <c r="BH183" s="47">
        <v>0</v>
      </c>
      <c r="BI183" s="47">
        <v>0</v>
      </c>
      <c r="BJ183" s="47">
        <v>0</v>
      </c>
      <c r="BK183" s="47">
        <v>0</v>
      </c>
      <c r="BL183" s="47">
        <v>0</v>
      </c>
      <c r="BM183" s="47">
        <v>0</v>
      </c>
      <c r="BN183" s="47">
        <v>0</v>
      </c>
      <c r="BO183" s="47">
        <v>0</v>
      </c>
      <c r="BP183" s="47">
        <v>0</v>
      </c>
      <c r="BQ183" s="47">
        <v>0</v>
      </c>
      <c r="BR183" s="47">
        <v>0</v>
      </c>
      <c r="BS183" s="47">
        <v>0</v>
      </c>
      <c r="BT183" s="47">
        <v>0</v>
      </c>
      <c r="BU183" s="47">
        <v>0</v>
      </c>
      <c r="BV183" s="47">
        <v>0</v>
      </c>
      <c r="BW183" s="47">
        <v>0</v>
      </c>
      <c r="BX183" s="47">
        <v>0</v>
      </c>
      <c r="BY183" s="47">
        <v>0</v>
      </c>
      <c r="BZ183" s="47">
        <v>0</v>
      </c>
      <c r="CA183" s="47">
        <v>0</v>
      </c>
      <c r="CB183" s="47">
        <v>0</v>
      </c>
      <c r="CC183" s="47">
        <v>0</v>
      </c>
      <c r="CD183" s="47">
        <v>0</v>
      </c>
      <c r="CE183" s="47">
        <v>0</v>
      </c>
      <c r="CF183" s="47">
        <v>0.98</v>
      </c>
      <c r="CG183" s="47">
        <v>0</v>
      </c>
      <c r="CH183" s="47">
        <v>0</v>
      </c>
      <c r="CI183" s="47">
        <v>0</v>
      </c>
      <c r="CJ183" s="47">
        <v>0.98</v>
      </c>
      <c r="CK183" s="47">
        <v>0</v>
      </c>
      <c r="CL183" s="47">
        <v>0</v>
      </c>
      <c r="CM183" s="47">
        <v>0</v>
      </c>
      <c r="CN183" s="47">
        <v>0</v>
      </c>
      <c r="CO183" s="47">
        <v>0</v>
      </c>
      <c r="CP183" s="47">
        <v>0</v>
      </c>
      <c r="CQ183" s="47">
        <v>0</v>
      </c>
      <c r="CR183" s="47">
        <v>0</v>
      </c>
      <c r="CS183" s="47">
        <v>0</v>
      </c>
      <c r="CT183" s="47">
        <v>0.02</v>
      </c>
      <c r="CU183" s="47">
        <v>0.02</v>
      </c>
      <c r="CV183" s="47">
        <v>0</v>
      </c>
      <c r="CW183" s="47">
        <v>0</v>
      </c>
      <c r="CX183" s="47">
        <v>0</v>
      </c>
      <c r="CY183" s="47">
        <v>0</v>
      </c>
      <c r="CZ183" s="47">
        <v>0</v>
      </c>
      <c r="DA183" s="47">
        <v>0</v>
      </c>
      <c r="DB183" s="47">
        <v>0</v>
      </c>
      <c r="DC183" s="47">
        <v>0</v>
      </c>
      <c r="DD183" s="47">
        <v>0</v>
      </c>
      <c r="DE183" s="47">
        <v>0</v>
      </c>
      <c r="DF183" s="47">
        <v>0</v>
      </c>
      <c r="DG183" s="47">
        <v>0</v>
      </c>
      <c r="DH183" s="47">
        <v>0</v>
      </c>
      <c r="DI183" s="47">
        <v>0</v>
      </c>
      <c r="DJ183" s="47">
        <v>0</v>
      </c>
      <c r="DK183" s="47">
        <v>0</v>
      </c>
      <c r="DL183" s="47">
        <v>0</v>
      </c>
      <c r="DM183" s="47">
        <v>0</v>
      </c>
      <c r="DN183" s="47">
        <v>0</v>
      </c>
      <c r="DO183" s="47">
        <v>0</v>
      </c>
      <c r="DP183" s="47">
        <v>0</v>
      </c>
      <c r="DQ183" s="47">
        <v>0</v>
      </c>
      <c r="DR183" s="47">
        <v>0</v>
      </c>
    </row>
    <row r="184" spans="1:124" x14ac:dyDescent="0.25">
      <c r="A184" s="47" t="s">
        <v>996</v>
      </c>
      <c r="B184" s="47" t="s">
        <v>151</v>
      </c>
      <c r="C184" s="47" t="s">
        <v>997</v>
      </c>
      <c r="D184" s="47" t="s">
        <v>998</v>
      </c>
      <c r="E184" s="47" t="s">
        <v>999</v>
      </c>
      <c r="F184" s="47" t="s">
        <v>965</v>
      </c>
      <c r="G184" s="47" t="s">
        <v>995</v>
      </c>
      <c r="H184" s="47" t="str">
        <f>=IFERROR(VLOOKUP(A184,'ETPT Format DDG'!A:J,10,FALSE),"")</f>
        <v>0</v>
      </c>
      <c r="I184" s="47" t="str">
        <f>='ETPT Format DDG'!M184</f>
        <v/>
      </c>
      <c r="J184" s="47" t="str">
        <f>='ETPT Format DDG'!D184</f>
        <v/>
      </c>
      <c r="K184" s="47" t="s">
        <v>155</v>
      </c>
      <c r="L184" s="47" t="s">
        <v>400</v>
      </c>
      <c r="M184" s="47"/>
      <c r="N184" s="47">
        <v>0.9395</v>
      </c>
      <c r="O184" s="47">
        <v>0.9395</v>
      </c>
      <c r="P184" s="47">
        <v>0.2819</v>
      </c>
      <c r="Q184" s="47">
        <v>0</v>
      </c>
      <c r="R184" s="47">
        <v>0</v>
      </c>
      <c r="S184" s="47">
        <v>0</v>
      </c>
      <c r="T184" s="47">
        <v>0</v>
      </c>
      <c r="U184" s="47">
        <v>0</v>
      </c>
      <c r="V184" s="47">
        <v>0</v>
      </c>
      <c r="W184" s="47">
        <v>0</v>
      </c>
      <c r="X184" s="47">
        <v>0</v>
      </c>
      <c r="Y184" s="47">
        <v>0</v>
      </c>
      <c r="Z184" s="47">
        <v>0</v>
      </c>
      <c r="AA184" s="47">
        <v>0</v>
      </c>
      <c r="AB184" s="47">
        <v>0</v>
      </c>
      <c r="AC184" s="47">
        <v>0</v>
      </c>
      <c r="AD184" s="47">
        <v>0</v>
      </c>
      <c r="AE184" s="47">
        <v>0</v>
      </c>
      <c r="AF184" s="47">
        <v>0</v>
      </c>
      <c r="AG184" s="47">
        <v>0</v>
      </c>
      <c r="AH184" s="47">
        <v>0</v>
      </c>
      <c r="AI184" s="47">
        <v>0</v>
      </c>
      <c r="AJ184" s="47">
        <v>0</v>
      </c>
      <c r="AK184" s="47">
        <v>0</v>
      </c>
      <c r="AL184" s="47">
        <v>0</v>
      </c>
      <c r="AM184" s="47">
        <v>0</v>
      </c>
      <c r="AN184" s="47">
        <v>0.6577</v>
      </c>
      <c r="AO184" s="47">
        <v>0</v>
      </c>
      <c r="AP184" s="47">
        <v>0</v>
      </c>
      <c r="AQ184" s="47">
        <v>0</v>
      </c>
      <c r="AR184" s="47">
        <v>0.2819</v>
      </c>
      <c r="AS184" s="47">
        <v>0</v>
      </c>
      <c r="AT184" s="47">
        <v>0</v>
      </c>
      <c r="AU184" s="47">
        <v>0</v>
      </c>
      <c r="AV184" s="47">
        <v>0</v>
      </c>
      <c r="AW184" s="47">
        <v>0</v>
      </c>
      <c r="AX184" s="47">
        <v>0</v>
      </c>
      <c r="AY184" s="47">
        <v>0</v>
      </c>
      <c r="AZ184" s="47">
        <v>0</v>
      </c>
      <c r="BA184" s="47">
        <v>0</v>
      </c>
      <c r="BB184" s="47">
        <v>0</v>
      </c>
      <c r="BC184" s="47">
        <v>0</v>
      </c>
      <c r="BD184" s="47">
        <v>0</v>
      </c>
      <c r="BE184" s="47">
        <v>0</v>
      </c>
      <c r="BF184" s="47">
        <v>0.3758</v>
      </c>
      <c r="BG184" s="47">
        <v>0</v>
      </c>
      <c r="BH184" s="47">
        <v>0</v>
      </c>
      <c r="BI184" s="47">
        <v>0</v>
      </c>
      <c r="BJ184" s="47">
        <v>0</v>
      </c>
      <c r="BK184" s="47">
        <v>0</v>
      </c>
      <c r="BL184" s="47">
        <v>0</v>
      </c>
      <c r="BM184" s="47">
        <v>0</v>
      </c>
      <c r="BN184" s="47">
        <v>0</v>
      </c>
      <c r="BO184" s="47">
        <v>0</v>
      </c>
      <c r="BP184" s="47">
        <v>0</v>
      </c>
      <c r="BQ184" s="47">
        <v>0</v>
      </c>
      <c r="BR184" s="47">
        <v>0</v>
      </c>
      <c r="BS184" s="47">
        <v>0</v>
      </c>
      <c r="BT184" s="47">
        <v>0</v>
      </c>
      <c r="BU184" s="47">
        <v>0</v>
      </c>
      <c r="BV184" s="47">
        <v>0</v>
      </c>
      <c r="BW184" s="47">
        <v>0</v>
      </c>
      <c r="BX184" s="47">
        <v>0</v>
      </c>
      <c r="BY184" s="47">
        <v>0</v>
      </c>
      <c r="BZ184" s="47">
        <v>0</v>
      </c>
      <c r="CA184" s="47">
        <v>0</v>
      </c>
      <c r="CB184" s="47">
        <v>0</v>
      </c>
      <c r="CC184" s="47">
        <v>0</v>
      </c>
      <c r="CD184" s="47">
        <v>0</v>
      </c>
      <c r="CE184" s="47">
        <v>0</v>
      </c>
      <c r="CF184" s="47">
        <v>0</v>
      </c>
      <c r="CG184" s="47">
        <v>0</v>
      </c>
      <c r="CH184" s="47">
        <v>0</v>
      </c>
      <c r="CI184" s="47">
        <v>0</v>
      </c>
      <c r="CJ184" s="47">
        <v>0</v>
      </c>
      <c r="CK184" s="47">
        <v>0</v>
      </c>
      <c r="CL184" s="47">
        <v>0</v>
      </c>
      <c r="CM184" s="47">
        <v>0</v>
      </c>
      <c r="CN184" s="47">
        <v>0</v>
      </c>
      <c r="CO184" s="47">
        <v>0</v>
      </c>
      <c r="CP184" s="47">
        <v>0</v>
      </c>
      <c r="CQ184" s="47">
        <v>0</v>
      </c>
      <c r="CR184" s="47">
        <v>0</v>
      </c>
      <c r="CS184" s="47">
        <v>0</v>
      </c>
      <c r="CT184" s="47">
        <v>0</v>
      </c>
      <c r="CU184" s="47">
        <v>0</v>
      </c>
      <c r="CV184" s="47">
        <v>0</v>
      </c>
      <c r="CW184" s="47">
        <v>0</v>
      </c>
      <c r="CX184" s="47">
        <v>0</v>
      </c>
      <c r="CY184" s="47">
        <v>0</v>
      </c>
      <c r="CZ184" s="47">
        <v>0</v>
      </c>
      <c r="DA184" s="47">
        <v>0</v>
      </c>
      <c r="DB184" s="47">
        <v>0</v>
      </c>
      <c r="DC184" s="47">
        <v>0</v>
      </c>
      <c r="DD184" s="47">
        <v>0</v>
      </c>
      <c r="DE184" s="47">
        <v>0</v>
      </c>
      <c r="DF184" s="47">
        <v>0.0605</v>
      </c>
      <c r="DG184" s="47">
        <v>0.0605</v>
      </c>
      <c r="DH184" s="47">
        <v>0</v>
      </c>
      <c r="DI184" s="47">
        <v>0</v>
      </c>
      <c r="DJ184" s="47">
        <v>0</v>
      </c>
      <c r="DK184" s="47">
        <v>0</v>
      </c>
      <c r="DL184" s="47">
        <v>0</v>
      </c>
      <c r="DM184" s="47">
        <v>0</v>
      </c>
      <c r="DN184" s="47">
        <v>0</v>
      </c>
      <c r="DO184" s="47">
        <v>0</v>
      </c>
      <c r="DP184" s="47">
        <v>0</v>
      </c>
      <c r="DQ184" s="47">
        <v>0</v>
      </c>
      <c r="DR184" s="47">
        <v>0</v>
      </c>
    </row>
    <row r="185" spans="1:124" x14ac:dyDescent="0.25">
      <c r="A185" s="47" t="s">
        <v>1000</v>
      </c>
      <c r="B185" s="47" t="s">
        <v>151</v>
      </c>
      <c r="C185" s="47" t="s">
        <v>1001</v>
      </c>
      <c r="D185" s="47" t="s">
        <v>1002</v>
      </c>
      <c r="E185" s="47" t="s">
        <v>1003</v>
      </c>
      <c r="F185" s="47" t="s">
        <v>965</v>
      </c>
      <c r="G185" s="47" t="s">
        <v>966</v>
      </c>
      <c r="H185" s="47" t="str">
        <f>=IFERROR(VLOOKUP(A185,'ETPT Format DDG'!A:J,10,FALSE),"")</f>
        <v>0</v>
      </c>
      <c r="I185" s="47" t="str">
        <f>='ETPT Format DDG'!M185</f>
        <v/>
      </c>
      <c r="J185" s="47" t="str">
        <f>='ETPT Format DDG'!D185</f>
        <v/>
      </c>
      <c r="K185" s="47" t="s">
        <v>155</v>
      </c>
      <c r="L185" s="47" t="s">
        <v>871</v>
      </c>
      <c r="M185" s="47"/>
      <c r="N185" s="47">
        <v>0.8266</v>
      </c>
      <c r="O185" s="47">
        <v>0.8266</v>
      </c>
      <c r="P185" s="47">
        <v>0</v>
      </c>
      <c r="Q185" s="47">
        <v>0</v>
      </c>
      <c r="R185" s="47">
        <v>0</v>
      </c>
      <c r="S185" s="47">
        <v>0</v>
      </c>
      <c r="T185" s="47">
        <v>0</v>
      </c>
      <c r="U185" s="47">
        <v>0</v>
      </c>
      <c r="V185" s="47">
        <v>0</v>
      </c>
      <c r="W185" s="47">
        <v>0</v>
      </c>
      <c r="X185" s="47">
        <v>0</v>
      </c>
      <c r="Y185" s="47">
        <v>0</v>
      </c>
      <c r="Z185" s="47">
        <v>0</v>
      </c>
      <c r="AA185" s="47">
        <v>0</v>
      </c>
      <c r="AB185" s="47">
        <v>0</v>
      </c>
      <c r="AC185" s="47">
        <v>0</v>
      </c>
      <c r="AD185" s="47">
        <v>0</v>
      </c>
      <c r="AE185" s="47">
        <v>0</v>
      </c>
      <c r="AF185" s="47">
        <v>0</v>
      </c>
      <c r="AG185" s="47">
        <v>0</v>
      </c>
      <c r="AH185" s="47">
        <v>0</v>
      </c>
      <c r="AI185" s="47">
        <v>0</v>
      </c>
      <c r="AJ185" s="47">
        <v>0</v>
      </c>
      <c r="AK185" s="47">
        <v>0</v>
      </c>
      <c r="AL185" s="47">
        <v>0</v>
      </c>
      <c r="AM185" s="47">
        <v>0</v>
      </c>
      <c r="AN185" s="47">
        <v>0.7853</v>
      </c>
      <c r="AO185" s="47">
        <v>0</v>
      </c>
      <c r="AP185" s="47">
        <v>0</v>
      </c>
      <c r="AQ185" s="47">
        <v>0</v>
      </c>
      <c r="AR185" s="47">
        <v>0</v>
      </c>
      <c r="AS185" s="47">
        <v>0</v>
      </c>
      <c r="AT185" s="47">
        <v>0</v>
      </c>
      <c r="AU185" s="47">
        <v>0</v>
      </c>
      <c r="AV185" s="47">
        <v>0</v>
      </c>
      <c r="AW185" s="47">
        <v>0</v>
      </c>
      <c r="AX185" s="47">
        <v>0</v>
      </c>
      <c r="AY185" s="47">
        <v>0</v>
      </c>
      <c r="AZ185" s="47">
        <v>0</v>
      </c>
      <c r="BA185" s="47">
        <v>0</v>
      </c>
      <c r="BB185" s="47">
        <v>0</v>
      </c>
      <c r="BC185" s="47">
        <v>0</v>
      </c>
      <c r="BD185" s="47">
        <v>0</v>
      </c>
      <c r="BE185" s="47">
        <v>0</v>
      </c>
      <c r="BF185" s="47">
        <v>0.7853</v>
      </c>
      <c r="BG185" s="47">
        <v>0</v>
      </c>
      <c r="BH185" s="47">
        <v>0</v>
      </c>
      <c r="BI185" s="47">
        <v>0</v>
      </c>
      <c r="BJ185" s="47">
        <v>0</v>
      </c>
      <c r="BK185" s="47">
        <v>0</v>
      </c>
      <c r="BL185" s="47">
        <v>0</v>
      </c>
      <c r="BM185" s="47">
        <v>0</v>
      </c>
      <c r="BN185" s="47">
        <v>0</v>
      </c>
      <c r="BO185" s="47">
        <v>0</v>
      </c>
      <c r="BP185" s="47">
        <v>0</v>
      </c>
      <c r="BQ185" s="47">
        <v>0</v>
      </c>
      <c r="BR185" s="47">
        <v>0</v>
      </c>
      <c r="BS185" s="47">
        <v>0</v>
      </c>
      <c r="BT185" s="47">
        <v>0</v>
      </c>
      <c r="BU185" s="47">
        <v>0</v>
      </c>
      <c r="BV185" s="47">
        <v>0</v>
      </c>
      <c r="BW185" s="47">
        <v>0</v>
      </c>
      <c r="BX185" s="47">
        <v>0</v>
      </c>
      <c r="BY185" s="47">
        <v>0</v>
      </c>
      <c r="BZ185" s="47">
        <v>0</v>
      </c>
      <c r="CA185" s="47">
        <v>0</v>
      </c>
      <c r="CB185" s="47">
        <v>0</v>
      </c>
      <c r="CC185" s="47">
        <v>0</v>
      </c>
      <c r="CD185" s="47">
        <v>0</v>
      </c>
      <c r="CE185" s="47">
        <v>0</v>
      </c>
      <c r="CF185" s="47">
        <v>0</v>
      </c>
      <c r="CG185" s="47">
        <v>0</v>
      </c>
      <c r="CH185" s="47">
        <v>0</v>
      </c>
      <c r="CI185" s="47">
        <v>0</v>
      </c>
      <c r="CJ185" s="47">
        <v>0</v>
      </c>
      <c r="CK185" s="47">
        <v>0</v>
      </c>
      <c r="CL185" s="47">
        <v>0</v>
      </c>
      <c r="CM185" s="47">
        <v>0</v>
      </c>
      <c r="CN185" s="47">
        <v>0</v>
      </c>
      <c r="CO185" s="47">
        <v>0</v>
      </c>
      <c r="CP185" s="47">
        <v>0</v>
      </c>
      <c r="CQ185" s="47">
        <v>0</v>
      </c>
      <c r="CR185" s="47">
        <v>0</v>
      </c>
      <c r="CS185" s="47">
        <v>0</v>
      </c>
      <c r="CT185" s="47">
        <v>0.0413</v>
      </c>
      <c r="CU185" s="47">
        <v>0.0413</v>
      </c>
      <c r="CV185" s="47">
        <v>0</v>
      </c>
      <c r="CW185" s="47">
        <v>0</v>
      </c>
      <c r="CX185" s="47">
        <v>0</v>
      </c>
      <c r="CY185" s="47">
        <v>0</v>
      </c>
      <c r="CZ185" s="47">
        <v>0</v>
      </c>
      <c r="DA185" s="47">
        <v>0</v>
      </c>
      <c r="DB185" s="47">
        <v>0</v>
      </c>
      <c r="DC185" s="47">
        <v>0</v>
      </c>
      <c r="DD185" s="47">
        <v>0</v>
      </c>
      <c r="DE185" s="47">
        <v>0</v>
      </c>
      <c r="DF185" s="47">
        <v>0</v>
      </c>
      <c r="DG185" s="47">
        <v>0</v>
      </c>
      <c r="DH185" s="47">
        <v>0</v>
      </c>
      <c r="DI185" s="47">
        <v>0</v>
      </c>
      <c r="DJ185" s="47">
        <v>0</v>
      </c>
      <c r="DK185" s="47">
        <v>0</v>
      </c>
      <c r="DL185" s="47">
        <v>0</v>
      </c>
      <c r="DM185" s="47">
        <v>0</v>
      </c>
      <c r="DN185" s="47">
        <v>0</v>
      </c>
      <c r="DO185" s="47">
        <v>0</v>
      </c>
      <c r="DP185" s="47">
        <v>0</v>
      </c>
      <c r="DQ185" s="47">
        <v>0</v>
      </c>
      <c r="DR185" s="47">
        <v>0</v>
      </c>
    </row>
    <row r="186" spans="1:124" x14ac:dyDescent="0.25">
      <c r="A186" s="47" t="s">
        <v>1004</v>
      </c>
      <c r="B186" s="47" t="s">
        <v>151</v>
      </c>
      <c r="C186" s="47" t="s">
        <v>1005</v>
      </c>
      <c r="D186" s="47" t="s">
        <v>1006</v>
      </c>
      <c r="E186" s="47" t="s">
        <v>1007</v>
      </c>
      <c r="F186" s="47" t="s">
        <v>965</v>
      </c>
      <c r="G186" s="47" t="s">
        <v>995</v>
      </c>
      <c r="H186" s="47" t="str">
        <f>=IFERROR(VLOOKUP(A186,'ETPT Format DDG'!A:J,10,FALSE),"")</f>
        <v>0</v>
      </c>
      <c r="I186" s="47" t="str">
        <f>='ETPT Format DDG'!M186</f>
        <v/>
      </c>
      <c r="J186" s="47" t="str">
        <f>='ETPT Format DDG'!D186</f>
        <v/>
      </c>
      <c r="K186" s="47" t="s">
        <v>155</v>
      </c>
      <c r="L186" s="47" t="s">
        <v>581</v>
      </c>
      <c r="M186" s="47"/>
      <c r="N186" s="47">
        <v>1</v>
      </c>
      <c r="O186" s="47">
        <v>1</v>
      </c>
      <c r="P186" s="47">
        <v>0</v>
      </c>
      <c r="Q186" s="47">
        <v>0</v>
      </c>
      <c r="R186" s="47">
        <v>0</v>
      </c>
      <c r="S186" s="47">
        <v>0</v>
      </c>
      <c r="T186" s="47">
        <v>0</v>
      </c>
      <c r="U186" s="47">
        <v>0</v>
      </c>
      <c r="V186" s="47">
        <v>0</v>
      </c>
      <c r="W186" s="47">
        <v>0</v>
      </c>
      <c r="X186" s="47">
        <v>0</v>
      </c>
      <c r="Y186" s="47">
        <v>0</v>
      </c>
      <c r="Z186" s="47">
        <v>0</v>
      </c>
      <c r="AA186" s="47">
        <v>0</v>
      </c>
      <c r="AB186" s="47">
        <v>0</v>
      </c>
      <c r="AC186" s="47">
        <v>0</v>
      </c>
      <c r="AD186" s="47">
        <v>0</v>
      </c>
      <c r="AE186" s="47">
        <v>0</v>
      </c>
      <c r="AF186" s="47">
        <v>0</v>
      </c>
      <c r="AG186" s="47">
        <v>0</v>
      </c>
      <c r="AH186" s="47">
        <v>0</v>
      </c>
      <c r="AI186" s="47">
        <v>0</v>
      </c>
      <c r="AJ186" s="47">
        <v>0</v>
      </c>
      <c r="AK186" s="47">
        <v>0</v>
      </c>
      <c r="AL186" s="47">
        <v>0</v>
      </c>
      <c r="AM186" s="47">
        <v>0</v>
      </c>
      <c r="AN186" s="47">
        <v>0</v>
      </c>
      <c r="AO186" s="47">
        <v>0</v>
      </c>
      <c r="AP186" s="47">
        <v>0</v>
      </c>
      <c r="AQ186" s="47">
        <v>0</v>
      </c>
      <c r="AR186" s="47">
        <v>0</v>
      </c>
      <c r="AS186" s="47">
        <v>0</v>
      </c>
      <c r="AT186" s="47">
        <v>0</v>
      </c>
      <c r="AU186" s="47">
        <v>0</v>
      </c>
      <c r="AV186" s="47">
        <v>0</v>
      </c>
      <c r="AW186" s="47">
        <v>0</v>
      </c>
      <c r="AX186" s="47">
        <v>0</v>
      </c>
      <c r="AY186" s="47">
        <v>0</v>
      </c>
      <c r="AZ186" s="47">
        <v>0</v>
      </c>
      <c r="BA186" s="47">
        <v>0</v>
      </c>
      <c r="BB186" s="47">
        <v>0</v>
      </c>
      <c r="BC186" s="47">
        <v>0</v>
      </c>
      <c r="BD186" s="47">
        <v>0</v>
      </c>
      <c r="BE186" s="47">
        <v>0</v>
      </c>
      <c r="BF186" s="47">
        <v>0</v>
      </c>
      <c r="BG186" s="47">
        <v>0</v>
      </c>
      <c r="BH186" s="47">
        <v>0</v>
      </c>
      <c r="BI186" s="47">
        <v>0</v>
      </c>
      <c r="BJ186" s="47">
        <v>0</v>
      </c>
      <c r="BK186" s="47">
        <v>0</v>
      </c>
      <c r="BL186" s="47">
        <v>0</v>
      </c>
      <c r="BM186" s="47">
        <v>0</v>
      </c>
      <c r="BN186" s="47">
        <v>0</v>
      </c>
      <c r="BO186" s="47">
        <v>0</v>
      </c>
      <c r="BP186" s="47">
        <v>0</v>
      </c>
      <c r="BQ186" s="47">
        <v>0</v>
      </c>
      <c r="BR186" s="47">
        <v>0</v>
      </c>
      <c r="BS186" s="47">
        <v>0</v>
      </c>
      <c r="BT186" s="47">
        <v>0</v>
      </c>
      <c r="BU186" s="47">
        <v>0</v>
      </c>
      <c r="BV186" s="47">
        <v>0</v>
      </c>
      <c r="BW186" s="47">
        <v>0</v>
      </c>
      <c r="BX186" s="47">
        <v>0</v>
      </c>
      <c r="BY186" s="47">
        <v>0</v>
      </c>
      <c r="BZ186" s="47">
        <v>0</v>
      </c>
      <c r="CA186" s="47">
        <v>0</v>
      </c>
      <c r="CB186" s="47">
        <v>0</v>
      </c>
      <c r="CC186" s="47">
        <v>0</v>
      </c>
      <c r="CD186" s="47">
        <v>0</v>
      </c>
      <c r="CE186" s="47">
        <v>0</v>
      </c>
      <c r="CF186" s="47">
        <v>0</v>
      </c>
      <c r="CG186" s="47">
        <v>0</v>
      </c>
      <c r="CH186" s="47">
        <v>0</v>
      </c>
      <c r="CI186" s="47">
        <v>0</v>
      </c>
      <c r="CJ186" s="47">
        <v>0</v>
      </c>
      <c r="CK186" s="47">
        <v>0</v>
      </c>
      <c r="CL186" s="47">
        <v>0</v>
      </c>
      <c r="CM186" s="47">
        <v>0</v>
      </c>
      <c r="CN186" s="47">
        <v>0</v>
      </c>
      <c r="CO186" s="47">
        <v>0</v>
      </c>
      <c r="CP186" s="47">
        <v>0</v>
      </c>
      <c r="CQ186" s="47">
        <v>0</v>
      </c>
      <c r="CR186" s="47">
        <v>0</v>
      </c>
      <c r="CS186" s="47">
        <v>0</v>
      </c>
      <c r="CT186" s="47">
        <v>1</v>
      </c>
      <c r="CU186" s="47">
        <v>0</v>
      </c>
      <c r="CV186" s="47">
        <v>0</v>
      </c>
      <c r="CW186" s="47">
        <v>0</v>
      </c>
      <c r="CX186" s="47">
        <v>0</v>
      </c>
      <c r="CY186" s="47">
        <v>0</v>
      </c>
      <c r="CZ186" s="47">
        <v>0</v>
      </c>
      <c r="DA186" s="47">
        <v>0</v>
      </c>
      <c r="DB186" s="47">
        <v>0</v>
      </c>
      <c r="DC186" s="47">
        <v>0</v>
      </c>
      <c r="DD186" s="47">
        <v>0</v>
      </c>
      <c r="DE186" s="47">
        <v>1</v>
      </c>
      <c r="DF186" s="47">
        <v>0</v>
      </c>
      <c r="DG186" s="47">
        <v>0</v>
      </c>
      <c r="DH186" s="47">
        <v>0</v>
      </c>
      <c r="DI186" s="47">
        <v>0</v>
      </c>
      <c r="DJ186" s="47">
        <v>0</v>
      </c>
      <c r="DK186" s="47">
        <v>0</v>
      </c>
      <c r="DL186" s="47">
        <v>0</v>
      </c>
      <c r="DM186" s="47">
        <v>0</v>
      </c>
      <c r="DN186" s="47">
        <v>0</v>
      </c>
      <c r="DO186" s="47">
        <v>0</v>
      </c>
      <c r="DP186" s="47">
        <v>0</v>
      </c>
      <c r="DQ186" s="47">
        <v>0</v>
      </c>
      <c r="DR186" s="47">
        <v>0</v>
      </c>
    </row>
    <row r="187" spans="1:124" x14ac:dyDescent="0.25">
      <c r="A187" s="47" t="s">
        <v>1008</v>
      </c>
      <c r="B187" s="47" t="s">
        <v>151</v>
      </c>
      <c r="C187" s="47" t="s">
        <v>1009</v>
      </c>
      <c r="D187" s="47" t="s">
        <v>1010</v>
      </c>
      <c r="E187" s="47" t="s">
        <v>1011</v>
      </c>
      <c r="F187" s="47" t="s">
        <v>965</v>
      </c>
      <c r="G187" s="47" t="s">
        <v>966</v>
      </c>
      <c r="H187" s="47" t="str">
        <f>=IFERROR(VLOOKUP(A187,'ETPT Format DDG'!A:J,10,FALSE),"")</f>
        <v>0</v>
      </c>
      <c r="I187" s="47" t="str">
        <f>='ETPT Format DDG'!M187</f>
        <v/>
      </c>
      <c r="J187" s="47" t="str">
        <f>='ETPT Format DDG'!D187</f>
        <v/>
      </c>
      <c r="K187" s="47" t="s">
        <v>155</v>
      </c>
      <c r="L187" s="47" t="s">
        <v>176</v>
      </c>
      <c r="M187" s="47"/>
      <c r="N187" s="47">
        <v>1</v>
      </c>
      <c r="O187" s="47">
        <v>1</v>
      </c>
      <c r="P187" s="47">
        <v>0.5</v>
      </c>
      <c r="Q187" s="47">
        <v>0</v>
      </c>
      <c r="R187" s="47">
        <v>0.5</v>
      </c>
      <c r="S187" s="47">
        <v>0</v>
      </c>
      <c r="T187" s="47">
        <v>0</v>
      </c>
      <c r="U187" s="47">
        <v>0</v>
      </c>
      <c r="V187" s="47">
        <v>0</v>
      </c>
      <c r="W187" s="47">
        <v>0</v>
      </c>
      <c r="X187" s="47">
        <v>0</v>
      </c>
      <c r="Y187" s="47">
        <v>0</v>
      </c>
      <c r="Z187" s="47">
        <v>0</v>
      </c>
      <c r="AA187" s="47">
        <v>0</v>
      </c>
      <c r="AB187" s="47">
        <v>0</v>
      </c>
      <c r="AC187" s="47">
        <v>0</v>
      </c>
      <c r="AD187" s="47">
        <v>0</v>
      </c>
      <c r="AE187" s="47">
        <v>0.5</v>
      </c>
      <c r="AF187" s="47">
        <v>0</v>
      </c>
      <c r="AG187" s="47">
        <v>0</v>
      </c>
      <c r="AH187" s="47">
        <v>0</v>
      </c>
      <c r="AI187" s="47">
        <v>0</v>
      </c>
      <c r="AJ187" s="47">
        <v>0</v>
      </c>
      <c r="AK187" s="47">
        <v>0</v>
      </c>
      <c r="AL187" s="47">
        <v>0</v>
      </c>
      <c r="AM187" s="47">
        <v>0</v>
      </c>
      <c r="AN187" s="47">
        <v>0</v>
      </c>
      <c r="AO187" s="47">
        <v>0</v>
      </c>
      <c r="AP187" s="47">
        <v>0</v>
      </c>
      <c r="AQ187" s="47">
        <v>0</v>
      </c>
      <c r="AR187" s="47">
        <v>0</v>
      </c>
      <c r="AS187" s="47">
        <v>0</v>
      </c>
      <c r="AT187" s="47">
        <v>0</v>
      </c>
      <c r="AU187" s="47">
        <v>0</v>
      </c>
      <c r="AV187" s="47">
        <v>0</v>
      </c>
      <c r="AW187" s="47">
        <v>0</v>
      </c>
      <c r="AX187" s="47">
        <v>0</v>
      </c>
      <c r="AY187" s="47">
        <v>0</v>
      </c>
      <c r="AZ187" s="47">
        <v>0</v>
      </c>
      <c r="BA187" s="47">
        <v>0</v>
      </c>
      <c r="BB187" s="47">
        <v>0</v>
      </c>
      <c r="BC187" s="47">
        <v>0</v>
      </c>
      <c r="BD187" s="47">
        <v>0</v>
      </c>
      <c r="BE187" s="47">
        <v>0</v>
      </c>
      <c r="BF187" s="47">
        <v>0</v>
      </c>
      <c r="BG187" s="47">
        <v>0</v>
      </c>
      <c r="BH187" s="47">
        <v>0</v>
      </c>
      <c r="BI187" s="47">
        <v>0</v>
      </c>
      <c r="BJ187" s="47">
        <v>0</v>
      </c>
      <c r="BK187" s="47">
        <v>0</v>
      </c>
      <c r="BL187" s="47">
        <v>0</v>
      </c>
      <c r="BM187" s="47">
        <v>0</v>
      </c>
      <c r="BN187" s="47">
        <v>0</v>
      </c>
      <c r="BO187" s="47">
        <v>0</v>
      </c>
      <c r="BP187" s="47">
        <v>0</v>
      </c>
      <c r="BQ187" s="47">
        <v>0</v>
      </c>
      <c r="BR187" s="47">
        <v>0</v>
      </c>
      <c r="BS187" s="47">
        <v>0</v>
      </c>
      <c r="BT187" s="47">
        <v>0</v>
      </c>
      <c r="BU187" s="47">
        <v>0</v>
      </c>
      <c r="BV187" s="47">
        <v>0</v>
      </c>
      <c r="BW187" s="47">
        <v>0</v>
      </c>
      <c r="BX187" s="47">
        <v>0</v>
      </c>
      <c r="BY187" s="47">
        <v>0</v>
      </c>
      <c r="BZ187" s="47">
        <v>0</v>
      </c>
      <c r="CA187" s="47">
        <v>0</v>
      </c>
      <c r="CB187" s="47">
        <v>0</v>
      </c>
      <c r="CC187" s="47">
        <v>0</v>
      </c>
      <c r="CD187" s="47">
        <v>0</v>
      </c>
      <c r="CE187" s="47">
        <v>0</v>
      </c>
      <c r="CF187" s="47">
        <v>0</v>
      </c>
      <c r="CG187" s="47">
        <v>0</v>
      </c>
      <c r="CH187" s="47">
        <v>0</v>
      </c>
      <c r="CI187" s="47">
        <v>0</v>
      </c>
      <c r="CJ187" s="47">
        <v>0</v>
      </c>
      <c r="CK187" s="47">
        <v>0</v>
      </c>
      <c r="CL187" s="47">
        <v>0</v>
      </c>
      <c r="CM187" s="47">
        <v>0</v>
      </c>
      <c r="CN187" s="47">
        <v>0</v>
      </c>
      <c r="CO187" s="47">
        <v>0</v>
      </c>
      <c r="CP187" s="47">
        <v>0</v>
      </c>
      <c r="CQ187" s="47">
        <v>0</v>
      </c>
      <c r="CR187" s="47">
        <v>0</v>
      </c>
      <c r="CS187" s="47">
        <v>0</v>
      </c>
      <c r="CT187" s="47">
        <v>0</v>
      </c>
      <c r="CU187" s="47">
        <v>0</v>
      </c>
      <c r="CV187" s="47">
        <v>0</v>
      </c>
      <c r="CW187" s="47">
        <v>0</v>
      </c>
      <c r="CX187" s="47">
        <v>0</v>
      </c>
      <c r="CY187" s="47">
        <v>0</v>
      </c>
      <c r="CZ187" s="47">
        <v>0</v>
      </c>
      <c r="DA187" s="47">
        <v>0</v>
      </c>
      <c r="DB187" s="47">
        <v>0</v>
      </c>
      <c r="DC187" s="47">
        <v>0</v>
      </c>
      <c r="DD187" s="47">
        <v>0</v>
      </c>
      <c r="DE187" s="47">
        <v>0</v>
      </c>
      <c r="DF187" s="47">
        <v>0</v>
      </c>
      <c r="DG187" s="47">
        <v>0</v>
      </c>
      <c r="DH187" s="47">
        <v>0</v>
      </c>
      <c r="DI187" s="47">
        <v>0</v>
      </c>
      <c r="DJ187" s="47">
        <v>0</v>
      </c>
      <c r="DK187" s="47">
        <v>0</v>
      </c>
      <c r="DL187" s="47">
        <v>0</v>
      </c>
      <c r="DM187" s="47">
        <v>0</v>
      </c>
      <c r="DN187" s="47">
        <v>0</v>
      </c>
      <c r="DO187" s="47">
        <v>0</v>
      </c>
      <c r="DP187" s="47">
        <v>0</v>
      </c>
      <c r="DQ187" s="47">
        <v>0</v>
      </c>
      <c r="DR187" s="47">
        <v>0</v>
      </c>
    </row>
    <row r="188" spans="1:124" x14ac:dyDescent="0.25">
      <c r="A188" s="47" t="s">
        <v>1012</v>
      </c>
      <c r="B188" s="47" t="s">
        <v>151</v>
      </c>
      <c r="C188" s="47" t="s">
        <v>1013</v>
      </c>
      <c r="D188" s="47" t="s">
        <v>1014</v>
      </c>
      <c r="E188" s="47" t="s">
        <v>1015</v>
      </c>
      <c r="F188" s="47" t="s">
        <v>965</v>
      </c>
      <c r="G188" s="47" t="s">
        <v>966</v>
      </c>
      <c r="H188" s="47" t="str">
        <f>=IFERROR(VLOOKUP(A188,'ETPT Format DDG'!A:J,10,FALSE),"")</f>
        <v>0</v>
      </c>
      <c r="I188" s="47" t="str">
        <f>='ETPT Format DDG'!M188</f>
        <v/>
      </c>
      <c r="J188" s="47" t="str">
        <f>='ETPT Format DDG'!D188</f>
        <v/>
      </c>
      <c r="K188" s="47" t="s">
        <v>155</v>
      </c>
      <c r="L188" s="47" t="s">
        <v>1016</v>
      </c>
      <c r="M188" s="47"/>
      <c r="N188" s="47">
        <v>1</v>
      </c>
      <c r="O188" s="47">
        <v>1</v>
      </c>
      <c r="P188" s="47">
        <v>0</v>
      </c>
      <c r="Q188" s="47">
        <v>0</v>
      </c>
      <c r="R188" s="47">
        <v>0</v>
      </c>
      <c r="S188" s="47">
        <v>0</v>
      </c>
      <c r="T188" s="47">
        <v>0</v>
      </c>
      <c r="U188" s="47">
        <v>0</v>
      </c>
      <c r="V188" s="47">
        <v>0</v>
      </c>
      <c r="W188" s="47">
        <v>0</v>
      </c>
      <c r="X188" s="47">
        <v>0</v>
      </c>
      <c r="Y188" s="47">
        <v>0</v>
      </c>
      <c r="Z188" s="47">
        <v>0</v>
      </c>
      <c r="AA188" s="47">
        <v>0</v>
      </c>
      <c r="AB188" s="47">
        <v>0</v>
      </c>
      <c r="AC188" s="47">
        <v>0</v>
      </c>
      <c r="AD188" s="47">
        <v>0</v>
      </c>
      <c r="AE188" s="47">
        <v>0</v>
      </c>
      <c r="AF188" s="47">
        <v>0</v>
      </c>
      <c r="AG188" s="47">
        <v>0</v>
      </c>
      <c r="AH188" s="47">
        <v>0</v>
      </c>
      <c r="AI188" s="47">
        <v>0</v>
      </c>
      <c r="AJ188" s="47">
        <v>0</v>
      </c>
      <c r="AK188" s="47">
        <v>0</v>
      </c>
      <c r="AL188" s="47">
        <v>0</v>
      </c>
      <c r="AM188" s="47">
        <v>0</v>
      </c>
      <c r="AN188" s="47">
        <v>0</v>
      </c>
      <c r="AO188" s="47">
        <v>0</v>
      </c>
      <c r="AP188" s="47">
        <v>0</v>
      </c>
      <c r="AQ188" s="47">
        <v>0</v>
      </c>
      <c r="AR188" s="47">
        <v>0</v>
      </c>
      <c r="AS188" s="47">
        <v>0</v>
      </c>
      <c r="AT188" s="47">
        <v>0</v>
      </c>
      <c r="AU188" s="47">
        <v>0</v>
      </c>
      <c r="AV188" s="47">
        <v>0</v>
      </c>
      <c r="AW188" s="47">
        <v>0</v>
      </c>
      <c r="AX188" s="47">
        <v>0</v>
      </c>
      <c r="AY188" s="47">
        <v>0</v>
      </c>
      <c r="AZ188" s="47">
        <v>0</v>
      </c>
      <c r="BA188" s="47">
        <v>0</v>
      </c>
      <c r="BB188" s="47">
        <v>0</v>
      </c>
      <c r="BC188" s="47">
        <v>0</v>
      </c>
      <c r="BD188" s="47">
        <v>0</v>
      </c>
      <c r="BE188" s="47">
        <v>0</v>
      </c>
      <c r="BF188" s="47">
        <v>0</v>
      </c>
      <c r="BG188" s="47">
        <v>0</v>
      </c>
      <c r="BH188" s="47">
        <v>0</v>
      </c>
      <c r="BI188" s="47">
        <v>0</v>
      </c>
      <c r="BJ188" s="47">
        <v>0</v>
      </c>
      <c r="BK188" s="47">
        <v>0</v>
      </c>
      <c r="BL188" s="47">
        <v>0</v>
      </c>
      <c r="BM188" s="47">
        <v>0</v>
      </c>
      <c r="BN188" s="47">
        <v>0</v>
      </c>
      <c r="BO188" s="47">
        <v>0</v>
      </c>
      <c r="BP188" s="47">
        <v>0</v>
      </c>
      <c r="BQ188" s="47">
        <v>0</v>
      </c>
      <c r="BR188" s="47">
        <v>0</v>
      </c>
      <c r="BS188" s="47">
        <v>0</v>
      </c>
      <c r="BT188" s="47">
        <v>0</v>
      </c>
      <c r="BU188" s="47">
        <v>0</v>
      </c>
      <c r="BV188" s="47">
        <v>0</v>
      </c>
      <c r="BW188" s="47">
        <v>0</v>
      </c>
      <c r="BX188" s="47">
        <v>0</v>
      </c>
      <c r="BY188" s="47">
        <v>0</v>
      </c>
      <c r="BZ188" s="47">
        <v>0</v>
      </c>
      <c r="CA188" s="47">
        <v>0</v>
      </c>
      <c r="CB188" s="47">
        <v>0</v>
      </c>
      <c r="CC188" s="47">
        <v>0</v>
      </c>
      <c r="CD188" s="47">
        <v>0</v>
      </c>
      <c r="CE188" s="47">
        <v>0</v>
      </c>
      <c r="CF188" s="47">
        <v>0</v>
      </c>
      <c r="CG188" s="47">
        <v>0</v>
      </c>
      <c r="CH188" s="47">
        <v>0</v>
      </c>
      <c r="CI188" s="47">
        <v>0</v>
      </c>
      <c r="CJ188" s="47">
        <v>0</v>
      </c>
      <c r="CK188" s="47">
        <v>0</v>
      </c>
      <c r="CL188" s="47">
        <v>0</v>
      </c>
      <c r="CM188" s="47">
        <v>0</v>
      </c>
      <c r="CN188" s="47">
        <v>0</v>
      </c>
      <c r="CO188" s="47">
        <v>0</v>
      </c>
      <c r="CP188" s="47">
        <v>0</v>
      </c>
      <c r="CQ188" s="47">
        <v>0</v>
      </c>
      <c r="CR188" s="47">
        <v>0</v>
      </c>
      <c r="CS188" s="47">
        <v>0</v>
      </c>
      <c r="CT188" s="47">
        <v>1</v>
      </c>
      <c r="CU188" s="47">
        <v>0</v>
      </c>
      <c r="CV188" s="47">
        <v>0</v>
      </c>
      <c r="CW188" s="47">
        <v>0</v>
      </c>
      <c r="CX188" s="47">
        <v>0</v>
      </c>
      <c r="CY188" s="47">
        <v>0</v>
      </c>
      <c r="CZ188" s="47">
        <v>0</v>
      </c>
      <c r="DA188" s="47">
        <v>0</v>
      </c>
      <c r="DB188" s="47">
        <v>0</v>
      </c>
      <c r="DC188" s="47">
        <v>0</v>
      </c>
      <c r="DD188" s="47">
        <v>0</v>
      </c>
      <c r="DE188" s="47">
        <v>1</v>
      </c>
      <c r="DF188" s="47">
        <v>0</v>
      </c>
      <c r="DG188" s="47">
        <v>0</v>
      </c>
      <c r="DH188" s="47">
        <v>0</v>
      </c>
      <c r="DI188" s="47">
        <v>0</v>
      </c>
      <c r="DJ188" s="47">
        <v>0</v>
      </c>
      <c r="DK188" s="47">
        <v>0</v>
      </c>
      <c r="DL188" s="47">
        <v>0</v>
      </c>
      <c r="DM188" s="47">
        <v>0</v>
      </c>
      <c r="DN188" s="47">
        <v>0</v>
      </c>
      <c r="DO188" s="47">
        <v>0</v>
      </c>
      <c r="DP188" s="47">
        <v>0</v>
      </c>
      <c r="DQ188" s="47">
        <v>0</v>
      </c>
      <c r="DR188" s="47">
        <v>0</v>
      </c>
    </row>
    <row r="189" spans="1:124" x14ac:dyDescent="0.25">
      <c r="A189" s="47" t="s">
        <v>1017</v>
      </c>
      <c r="B189" s="47" t="s">
        <v>151</v>
      </c>
      <c r="C189" s="47" t="s">
        <v>1018</v>
      </c>
      <c r="D189" s="47" t="s">
        <v>1019</v>
      </c>
      <c r="E189" s="47" t="s">
        <v>237</v>
      </c>
      <c r="F189" s="47" t="s">
        <v>965</v>
      </c>
      <c r="G189" s="47" t="s">
        <v>995</v>
      </c>
      <c r="H189" s="47" t="str">
        <f>=IFERROR(VLOOKUP(A189,'ETPT Format DDG'!A:J,10,FALSE),"")</f>
        <v>0</v>
      </c>
      <c r="I189" s="47" t="str">
        <f>='ETPT Format DDG'!M189</f>
        <v/>
      </c>
      <c r="J189" s="47" t="str">
        <f>='ETPT Format DDG'!D189</f>
        <v/>
      </c>
      <c r="K189" s="47" t="s">
        <v>155</v>
      </c>
      <c r="L189" s="47" t="s">
        <v>176</v>
      </c>
      <c r="M189" s="47" t="s">
        <v>1020</v>
      </c>
      <c r="N189" s="47">
        <v>0.1048</v>
      </c>
      <c r="O189" s="47">
        <v>0.1048</v>
      </c>
      <c r="P189" s="47">
        <v>0</v>
      </c>
      <c r="Q189" s="47">
        <v>0</v>
      </c>
      <c r="R189" s="47">
        <v>0</v>
      </c>
      <c r="S189" s="47">
        <v>0</v>
      </c>
      <c r="T189" s="47">
        <v>0</v>
      </c>
      <c r="U189" s="47">
        <v>0</v>
      </c>
      <c r="V189" s="47">
        <v>0</v>
      </c>
      <c r="W189" s="47">
        <v>0</v>
      </c>
      <c r="X189" s="47">
        <v>0</v>
      </c>
      <c r="Y189" s="47">
        <v>0</v>
      </c>
      <c r="Z189" s="47">
        <v>0</v>
      </c>
      <c r="AA189" s="47">
        <v>0</v>
      </c>
      <c r="AB189" s="47">
        <v>0</v>
      </c>
      <c r="AC189" s="47">
        <v>0</v>
      </c>
      <c r="AD189" s="47">
        <v>0</v>
      </c>
      <c r="AE189" s="47">
        <v>0</v>
      </c>
      <c r="AF189" s="47">
        <v>0</v>
      </c>
      <c r="AG189" s="47">
        <v>0</v>
      </c>
      <c r="AH189" s="47">
        <v>0</v>
      </c>
      <c r="AI189" s="47">
        <v>0</v>
      </c>
      <c r="AJ189" s="47">
        <v>0</v>
      </c>
      <c r="AK189" s="47">
        <v>0</v>
      </c>
      <c r="AL189" s="47">
        <v>0</v>
      </c>
      <c r="AM189" s="47">
        <v>0</v>
      </c>
      <c r="AN189" s="47">
        <v>0.1048</v>
      </c>
      <c r="AO189" s="47">
        <v>0</v>
      </c>
      <c r="AP189" s="47">
        <v>0</v>
      </c>
      <c r="AQ189" s="47">
        <v>0</v>
      </c>
      <c r="AR189" s="47">
        <v>0</v>
      </c>
      <c r="AS189" s="47">
        <v>0</v>
      </c>
      <c r="AT189" s="47">
        <v>0</v>
      </c>
      <c r="AU189" s="47">
        <v>0</v>
      </c>
      <c r="AV189" s="47">
        <v>0</v>
      </c>
      <c r="AW189" s="47">
        <v>0</v>
      </c>
      <c r="AX189" s="47">
        <v>0</v>
      </c>
      <c r="AY189" s="47">
        <v>0</v>
      </c>
      <c r="AZ189" s="47">
        <v>0</v>
      </c>
      <c r="BA189" s="47">
        <v>0</v>
      </c>
      <c r="BB189" s="47">
        <v>0</v>
      </c>
      <c r="BC189" s="47">
        <v>0</v>
      </c>
      <c r="BD189" s="47">
        <v>0</v>
      </c>
      <c r="BE189" s="47">
        <v>0</v>
      </c>
      <c r="BF189" s="47">
        <v>0</v>
      </c>
      <c r="BG189" s="47">
        <v>0</v>
      </c>
      <c r="BH189" s="47">
        <v>0</v>
      </c>
      <c r="BI189" s="47">
        <v>0</v>
      </c>
      <c r="BJ189" s="47">
        <v>0</v>
      </c>
      <c r="BK189" s="47">
        <v>0</v>
      </c>
      <c r="BL189" s="47">
        <v>0</v>
      </c>
      <c r="BM189" s="47">
        <v>0</v>
      </c>
      <c r="BN189" s="47">
        <v>0</v>
      </c>
      <c r="BO189" s="47">
        <v>0</v>
      </c>
      <c r="BP189" s="47">
        <v>0</v>
      </c>
      <c r="BQ189" s="47">
        <v>0</v>
      </c>
      <c r="BR189" s="47">
        <v>0</v>
      </c>
      <c r="BS189" s="47">
        <v>0</v>
      </c>
      <c r="BT189" s="47">
        <v>0</v>
      </c>
      <c r="BU189" s="47">
        <v>0</v>
      </c>
      <c r="BV189" s="47">
        <v>0</v>
      </c>
      <c r="BW189" s="47">
        <v>0</v>
      </c>
      <c r="BX189" s="47">
        <v>0</v>
      </c>
      <c r="BY189" s="47">
        <v>0</v>
      </c>
      <c r="BZ189" s="47">
        <v>0</v>
      </c>
      <c r="CA189" s="47">
        <v>0</v>
      </c>
      <c r="CB189" s="47">
        <v>0</v>
      </c>
      <c r="CC189" s="47">
        <v>0</v>
      </c>
      <c r="CD189" s="47">
        <v>0</v>
      </c>
      <c r="CE189" s="47">
        <v>0</v>
      </c>
      <c r="CF189" s="47">
        <v>0</v>
      </c>
      <c r="CG189" s="47">
        <v>0</v>
      </c>
      <c r="CH189" s="47">
        <v>0</v>
      </c>
      <c r="CI189" s="47">
        <v>0</v>
      </c>
      <c r="CJ189" s="47">
        <v>0</v>
      </c>
      <c r="CK189" s="47">
        <v>0</v>
      </c>
      <c r="CL189" s="47">
        <v>0</v>
      </c>
      <c r="CM189" s="47">
        <v>0</v>
      </c>
      <c r="CN189" s="47">
        <v>0</v>
      </c>
      <c r="CO189" s="47">
        <v>0</v>
      </c>
      <c r="CP189" s="47">
        <v>0</v>
      </c>
      <c r="CQ189" s="47">
        <v>0</v>
      </c>
      <c r="CR189" s="47">
        <v>0</v>
      </c>
      <c r="CS189" s="47">
        <v>0</v>
      </c>
      <c r="CT189" s="47">
        <v>0</v>
      </c>
      <c r="CU189" s="47">
        <v>0</v>
      </c>
      <c r="CV189" s="47">
        <v>0</v>
      </c>
      <c r="CW189" s="47">
        <v>0</v>
      </c>
      <c r="CX189" s="47">
        <v>0</v>
      </c>
      <c r="CY189" s="47">
        <v>0</v>
      </c>
      <c r="CZ189" s="47">
        <v>0</v>
      </c>
      <c r="DA189" s="47">
        <v>0</v>
      </c>
      <c r="DB189" s="47">
        <v>0</v>
      </c>
      <c r="DC189" s="47">
        <v>0</v>
      </c>
      <c r="DD189" s="47">
        <v>0</v>
      </c>
      <c r="DE189" s="47">
        <v>0</v>
      </c>
      <c r="DF189" s="47">
        <v>0</v>
      </c>
      <c r="DG189" s="47">
        <v>0</v>
      </c>
      <c r="DH189" s="47">
        <v>0</v>
      </c>
      <c r="DI189" s="47">
        <v>0</v>
      </c>
      <c r="DJ189" s="47">
        <v>0</v>
      </c>
      <c r="DK189" s="47">
        <v>0</v>
      </c>
      <c r="DL189" s="47">
        <v>0</v>
      </c>
      <c r="DM189" s="47">
        <v>0</v>
      </c>
      <c r="DN189" s="47">
        <v>0</v>
      </c>
      <c r="DO189" s="47">
        <v>0</v>
      </c>
      <c r="DP189" s="47">
        <v>0</v>
      </c>
      <c r="DQ189" s="47">
        <v>0</v>
      </c>
      <c r="DR189" s="47">
        <v>0</v>
      </c>
    </row>
    <row r="190" spans="1:124" x14ac:dyDescent="0.25">
      <c r="A190" s="47" t="s">
        <v>1021</v>
      </c>
      <c r="B190" s="47" t="s">
        <v>151</v>
      </c>
      <c r="C190" s="47" t="s">
        <v>1022</v>
      </c>
      <c r="D190" s="47" t="s">
        <v>1023</v>
      </c>
      <c r="E190" s="47" t="s">
        <v>1024</v>
      </c>
      <c r="F190" s="47" t="s">
        <v>965</v>
      </c>
      <c r="G190" s="47" t="s">
        <v>966</v>
      </c>
      <c r="H190" s="47" t="str">
        <f>=IFERROR(VLOOKUP(A190,'ETPT Format DDG'!A:J,10,FALSE),"")</f>
        <v>0</v>
      </c>
      <c r="I190" s="47" t="str">
        <f>='ETPT Format DDG'!M190</f>
        <v/>
      </c>
      <c r="J190" s="47" t="str">
        <f>='ETPT Format DDG'!D190</f>
        <v/>
      </c>
      <c r="K190" s="47" t="s">
        <v>155</v>
      </c>
      <c r="L190" s="47" t="s">
        <v>1025</v>
      </c>
      <c r="M190" s="47"/>
      <c r="N190" s="47">
        <v>1</v>
      </c>
      <c r="O190" s="47">
        <v>1</v>
      </c>
      <c r="P190" s="47">
        <v>0</v>
      </c>
      <c r="Q190" s="47">
        <v>0</v>
      </c>
      <c r="R190" s="47">
        <v>0</v>
      </c>
      <c r="S190" s="47">
        <v>0</v>
      </c>
      <c r="T190" s="47">
        <v>0</v>
      </c>
      <c r="U190" s="47">
        <v>0</v>
      </c>
      <c r="V190" s="47">
        <v>0</v>
      </c>
      <c r="W190" s="47">
        <v>0</v>
      </c>
      <c r="X190" s="47">
        <v>0</v>
      </c>
      <c r="Y190" s="47">
        <v>0</v>
      </c>
      <c r="Z190" s="47">
        <v>0</v>
      </c>
      <c r="AA190" s="47">
        <v>0</v>
      </c>
      <c r="AB190" s="47">
        <v>0</v>
      </c>
      <c r="AC190" s="47">
        <v>0</v>
      </c>
      <c r="AD190" s="47">
        <v>0</v>
      </c>
      <c r="AE190" s="47">
        <v>0</v>
      </c>
      <c r="AF190" s="47">
        <v>0</v>
      </c>
      <c r="AG190" s="47">
        <v>0</v>
      </c>
      <c r="AH190" s="47">
        <v>0</v>
      </c>
      <c r="AI190" s="47">
        <v>0</v>
      </c>
      <c r="AJ190" s="47">
        <v>0</v>
      </c>
      <c r="AK190" s="47">
        <v>0</v>
      </c>
      <c r="AL190" s="47">
        <v>0</v>
      </c>
      <c r="AM190" s="47">
        <v>0</v>
      </c>
      <c r="AN190" s="47">
        <v>0</v>
      </c>
      <c r="AO190" s="47">
        <v>0</v>
      </c>
      <c r="AP190" s="47">
        <v>0</v>
      </c>
      <c r="AQ190" s="47">
        <v>0</v>
      </c>
      <c r="AR190" s="47">
        <v>0</v>
      </c>
      <c r="AS190" s="47">
        <v>0</v>
      </c>
      <c r="AT190" s="47">
        <v>0</v>
      </c>
      <c r="AU190" s="47">
        <v>0</v>
      </c>
      <c r="AV190" s="47">
        <v>0</v>
      </c>
      <c r="AW190" s="47">
        <v>0</v>
      </c>
      <c r="AX190" s="47">
        <v>0</v>
      </c>
      <c r="AY190" s="47">
        <v>0</v>
      </c>
      <c r="AZ190" s="47">
        <v>0</v>
      </c>
      <c r="BA190" s="47">
        <v>0</v>
      </c>
      <c r="BB190" s="47">
        <v>0</v>
      </c>
      <c r="BC190" s="47">
        <v>0</v>
      </c>
      <c r="BD190" s="47">
        <v>0</v>
      </c>
      <c r="BE190" s="47">
        <v>0</v>
      </c>
      <c r="BF190" s="47">
        <v>0</v>
      </c>
      <c r="BG190" s="47">
        <v>0</v>
      </c>
      <c r="BH190" s="47">
        <v>0</v>
      </c>
      <c r="BI190" s="47">
        <v>0</v>
      </c>
      <c r="BJ190" s="47">
        <v>0</v>
      </c>
      <c r="BK190" s="47">
        <v>0</v>
      </c>
      <c r="BL190" s="47">
        <v>0</v>
      </c>
      <c r="BM190" s="47">
        <v>0</v>
      </c>
      <c r="BN190" s="47">
        <v>0</v>
      </c>
      <c r="BO190" s="47">
        <v>0</v>
      </c>
      <c r="BP190" s="47">
        <v>0</v>
      </c>
      <c r="BQ190" s="47">
        <v>0</v>
      </c>
      <c r="BR190" s="47">
        <v>0</v>
      </c>
      <c r="BS190" s="47">
        <v>0</v>
      </c>
      <c r="BT190" s="47">
        <v>0</v>
      </c>
      <c r="BU190" s="47">
        <v>0</v>
      </c>
      <c r="BV190" s="47">
        <v>0</v>
      </c>
      <c r="BW190" s="47">
        <v>0</v>
      </c>
      <c r="BX190" s="47">
        <v>0</v>
      </c>
      <c r="BY190" s="47">
        <v>0</v>
      </c>
      <c r="BZ190" s="47">
        <v>0</v>
      </c>
      <c r="CA190" s="47">
        <v>0</v>
      </c>
      <c r="CB190" s="47">
        <v>0</v>
      </c>
      <c r="CC190" s="47">
        <v>0</v>
      </c>
      <c r="CD190" s="47">
        <v>0</v>
      </c>
      <c r="CE190" s="47">
        <v>0</v>
      </c>
      <c r="CF190" s="47">
        <v>0</v>
      </c>
      <c r="CG190" s="47">
        <v>0</v>
      </c>
      <c r="CH190" s="47">
        <v>0</v>
      </c>
      <c r="CI190" s="47">
        <v>0</v>
      </c>
      <c r="CJ190" s="47">
        <v>0</v>
      </c>
      <c r="CK190" s="47">
        <v>0</v>
      </c>
      <c r="CL190" s="47">
        <v>0</v>
      </c>
      <c r="CM190" s="47">
        <v>0</v>
      </c>
      <c r="CN190" s="47">
        <v>0</v>
      </c>
      <c r="CO190" s="47">
        <v>0</v>
      </c>
      <c r="CP190" s="47">
        <v>0</v>
      </c>
      <c r="CQ190" s="47">
        <v>0</v>
      </c>
      <c r="CR190" s="47">
        <v>0</v>
      </c>
      <c r="CS190" s="47">
        <v>0</v>
      </c>
      <c r="CT190" s="47">
        <v>1</v>
      </c>
      <c r="CU190" s="47">
        <v>0.346</v>
      </c>
      <c r="CV190" s="47">
        <v>0.024</v>
      </c>
      <c r="CW190" s="47">
        <v>0</v>
      </c>
      <c r="CX190" s="47">
        <v>0</v>
      </c>
      <c r="CY190" s="47">
        <v>0</v>
      </c>
      <c r="CZ190" s="47">
        <v>0</v>
      </c>
      <c r="DA190" s="47">
        <v>0</v>
      </c>
      <c r="DB190" s="47">
        <v>0</v>
      </c>
      <c r="DC190" s="47">
        <v>0</v>
      </c>
      <c r="DD190" s="47">
        <v>0</v>
      </c>
      <c r="DE190" s="47">
        <v>0.63</v>
      </c>
      <c r="DF190" s="47">
        <v>0</v>
      </c>
      <c r="DG190" s="47">
        <v>0</v>
      </c>
      <c r="DH190" s="47">
        <v>0</v>
      </c>
      <c r="DI190" s="47">
        <v>0</v>
      </c>
      <c r="DJ190" s="47">
        <v>0</v>
      </c>
      <c r="DK190" s="47">
        <v>0</v>
      </c>
      <c r="DL190" s="47">
        <v>0</v>
      </c>
      <c r="DM190" s="47">
        <v>0</v>
      </c>
      <c r="DN190" s="47">
        <v>0</v>
      </c>
      <c r="DO190" s="47">
        <v>0</v>
      </c>
      <c r="DP190" s="47">
        <v>0</v>
      </c>
      <c r="DQ190" s="47">
        <v>0</v>
      </c>
      <c r="DR190" s="47">
        <v>0</v>
      </c>
    </row>
    <row r="191" spans="1:124" x14ac:dyDescent="0.25">
      <c r="A191" s="47" t="s">
        <v>1026</v>
      </c>
      <c r="B191" s="47" t="s">
        <v>151</v>
      </c>
      <c r="C191" s="47" t="s">
        <v>1027</v>
      </c>
      <c r="D191" s="47" t="s">
        <v>1028</v>
      </c>
      <c r="E191" s="47" t="s">
        <v>1029</v>
      </c>
      <c r="F191" s="47" t="s">
        <v>965</v>
      </c>
      <c r="G191" s="47" t="s">
        <v>966</v>
      </c>
      <c r="H191" s="47" t="str">
        <f>=IFERROR(VLOOKUP(A191,'ETPT Format DDG'!A:J,10,FALSE),"")</f>
        <v>0</v>
      </c>
      <c r="I191" s="47" t="str">
        <f>='ETPT Format DDG'!M191</f>
        <v/>
      </c>
      <c r="J191" s="47" t="str">
        <f>='ETPT Format DDG'!D191</f>
        <v/>
      </c>
      <c r="K191" s="47" t="s">
        <v>155</v>
      </c>
      <c r="L191" s="47" t="s">
        <v>1030</v>
      </c>
      <c r="M191" s="47"/>
      <c r="N191" s="47">
        <v>0.9992</v>
      </c>
      <c r="O191" s="47">
        <v>0.9992</v>
      </c>
      <c r="P191" s="47">
        <v>0</v>
      </c>
      <c r="Q191" s="47">
        <v>0</v>
      </c>
      <c r="R191" s="47">
        <v>0</v>
      </c>
      <c r="S191" s="47">
        <v>0</v>
      </c>
      <c r="T191" s="47">
        <v>0</v>
      </c>
      <c r="U191" s="47">
        <v>0</v>
      </c>
      <c r="V191" s="47">
        <v>0</v>
      </c>
      <c r="W191" s="47">
        <v>0</v>
      </c>
      <c r="X191" s="47">
        <v>0</v>
      </c>
      <c r="Y191" s="47">
        <v>0</v>
      </c>
      <c r="Z191" s="47">
        <v>0</v>
      </c>
      <c r="AA191" s="47">
        <v>0</v>
      </c>
      <c r="AB191" s="47">
        <v>0</v>
      </c>
      <c r="AC191" s="47">
        <v>0</v>
      </c>
      <c r="AD191" s="47">
        <v>0</v>
      </c>
      <c r="AE191" s="47">
        <v>0.2875</v>
      </c>
      <c r="AF191" s="47">
        <v>0</v>
      </c>
      <c r="AG191" s="47">
        <v>0</v>
      </c>
      <c r="AH191" s="47">
        <v>0.0628</v>
      </c>
      <c r="AI191" s="47">
        <v>0</v>
      </c>
      <c r="AJ191" s="47">
        <v>0.2089</v>
      </c>
      <c r="AK191" s="47">
        <v>0</v>
      </c>
      <c r="AL191" s="47">
        <v>0</v>
      </c>
      <c r="AM191" s="47">
        <v>0.0157</v>
      </c>
      <c r="AN191" s="47">
        <v>0.3623</v>
      </c>
      <c r="AO191" s="47">
        <v>0</v>
      </c>
      <c r="AP191" s="47">
        <v>0</v>
      </c>
      <c r="AQ191" s="47">
        <v>0</v>
      </c>
      <c r="AR191" s="47">
        <v>0</v>
      </c>
      <c r="AS191" s="47">
        <v>0</v>
      </c>
      <c r="AT191" s="47">
        <v>0</v>
      </c>
      <c r="AU191" s="47">
        <v>0</v>
      </c>
      <c r="AV191" s="47">
        <v>0</v>
      </c>
      <c r="AW191" s="47">
        <v>0</v>
      </c>
      <c r="AX191" s="47">
        <v>0</v>
      </c>
      <c r="AY191" s="47">
        <v>0</v>
      </c>
      <c r="AZ191" s="47">
        <v>0</v>
      </c>
      <c r="BA191" s="47">
        <v>0</v>
      </c>
      <c r="BB191" s="47">
        <v>0</v>
      </c>
      <c r="BC191" s="47">
        <v>0.2011</v>
      </c>
      <c r="BD191" s="47">
        <v>0</v>
      </c>
      <c r="BE191" s="47">
        <v>0</v>
      </c>
      <c r="BF191" s="47">
        <v>0.145</v>
      </c>
      <c r="BG191" s="47">
        <v>0.0162</v>
      </c>
      <c r="BH191" s="47">
        <v>0</v>
      </c>
      <c r="BI191" s="47">
        <v>0</v>
      </c>
      <c r="BJ191" s="47">
        <v>0</v>
      </c>
      <c r="BK191" s="47">
        <v>0</v>
      </c>
      <c r="BL191" s="47">
        <v>0</v>
      </c>
      <c r="BM191" s="47">
        <v>0</v>
      </c>
      <c r="BN191" s="47">
        <v>0</v>
      </c>
      <c r="BO191" s="47">
        <v>0</v>
      </c>
      <c r="BP191" s="47">
        <v>0</v>
      </c>
      <c r="BQ191" s="47">
        <v>0</v>
      </c>
      <c r="BR191" s="47">
        <v>0</v>
      </c>
      <c r="BS191" s="47">
        <v>0</v>
      </c>
      <c r="BT191" s="47">
        <v>0</v>
      </c>
      <c r="BU191" s="47">
        <v>0</v>
      </c>
      <c r="BV191" s="47">
        <v>0</v>
      </c>
      <c r="BW191" s="47">
        <v>0</v>
      </c>
      <c r="BX191" s="47">
        <v>0</v>
      </c>
      <c r="BY191" s="47">
        <v>0</v>
      </c>
      <c r="BZ191" s="47">
        <v>0</v>
      </c>
      <c r="CA191" s="47">
        <v>0</v>
      </c>
      <c r="CB191" s="47">
        <v>0</v>
      </c>
      <c r="CC191" s="47">
        <v>0</v>
      </c>
      <c r="CD191" s="47">
        <v>0</v>
      </c>
      <c r="CE191" s="47">
        <v>0</v>
      </c>
      <c r="CF191" s="47">
        <v>0</v>
      </c>
      <c r="CG191" s="47">
        <v>0</v>
      </c>
      <c r="CH191" s="47">
        <v>0</v>
      </c>
      <c r="CI191" s="47">
        <v>0</v>
      </c>
      <c r="CJ191" s="47">
        <v>0</v>
      </c>
      <c r="CK191" s="47">
        <v>0</v>
      </c>
      <c r="CL191" s="47">
        <v>0</v>
      </c>
      <c r="CM191" s="47">
        <v>0</v>
      </c>
      <c r="CN191" s="47">
        <v>0</v>
      </c>
      <c r="CO191" s="47">
        <v>0</v>
      </c>
      <c r="CP191" s="47">
        <v>0</v>
      </c>
      <c r="CQ191" s="47">
        <v>0</v>
      </c>
      <c r="CR191" s="47">
        <v>0</v>
      </c>
      <c r="CS191" s="47">
        <v>0</v>
      </c>
      <c r="CT191" s="47">
        <v>0.3493</v>
      </c>
      <c r="CU191" s="47">
        <v>0.3493</v>
      </c>
      <c r="CV191" s="47">
        <v>0</v>
      </c>
      <c r="CW191" s="47">
        <v>0</v>
      </c>
      <c r="CX191" s="47">
        <v>0</v>
      </c>
      <c r="CY191" s="47">
        <v>0</v>
      </c>
      <c r="CZ191" s="47">
        <v>0</v>
      </c>
      <c r="DA191" s="47">
        <v>0</v>
      </c>
      <c r="DB191" s="47">
        <v>0</v>
      </c>
      <c r="DC191" s="47">
        <v>0</v>
      </c>
      <c r="DD191" s="47">
        <v>0</v>
      </c>
      <c r="DE191" s="47">
        <v>0</v>
      </c>
      <c r="DF191" s="47">
        <v>0.0008</v>
      </c>
      <c r="DG191" s="47">
        <v>0</v>
      </c>
      <c r="DH191" s="47">
        <v>0.0008</v>
      </c>
      <c r="DI191" s="47">
        <v>0</v>
      </c>
      <c r="DJ191" s="47">
        <v>0</v>
      </c>
      <c r="DK191" s="47">
        <v>0</v>
      </c>
      <c r="DL191" s="47">
        <v>0</v>
      </c>
      <c r="DM191" s="47">
        <v>0</v>
      </c>
      <c r="DN191" s="47">
        <v>0</v>
      </c>
      <c r="DO191" s="47">
        <v>0</v>
      </c>
      <c r="DP191" s="47">
        <v>0</v>
      </c>
      <c r="DQ191" s="47">
        <v>0</v>
      </c>
      <c r="DR191" s="47">
        <v>0</v>
      </c>
    </row>
    <row r="192" spans="1:124" x14ac:dyDescent="0.25">
      <c r="A192" s="47" t="s">
        <v>1031</v>
      </c>
      <c r="B192" s="47" t="s">
        <v>151</v>
      </c>
      <c r="C192" s="47" t="s">
        <v>1032</v>
      </c>
      <c r="D192" s="47" t="s">
        <v>1033</v>
      </c>
      <c r="E192" s="47" t="s">
        <v>1034</v>
      </c>
      <c r="F192" s="47" t="s">
        <v>965</v>
      </c>
      <c r="G192" s="47" t="s">
        <v>966</v>
      </c>
      <c r="H192" s="47" t="str">
        <f>=IFERROR(VLOOKUP(A192,'ETPT Format DDG'!A:J,10,FALSE),"")</f>
        <v>0</v>
      </c>
      <c r="I192" s="47" t="str">
        <f>='ETPT Format DDG'!M192</f>
        <v/>
      </c>
      <c r="J192" s="47" t="str">
        <f>='ETPT Format DDG'!D192</f>
        <v/>
      </c>
      <c r="K192" s="47" t="s">
        <v>155</v>
      </c>
      <c r="L192" s="47" t="s">
        <v>1035</v>
      </c>
      <c r="M192" s="47"/>
      <c r="N192" s="47">
        <v>0.5645</v>
      </c>
      <c r="O192" s="47">
        <v>0.5645</v>
      </c>
      <c r="P192" s="47">
        <v>0</v>
      </c>
      <c r="Q192" s="47">
        <v>0</v>
      </c>
      <c r="R192" s="47">
        <v>0</v>
      </c>
      <c r="S192" s="47">
        <v>0</v>
      </c>
      <c r="T192" s="47">
        <v>0</v>
      </c>
      <c r="U192" s="47">
        <v>0</v>
      </c>
      <c r="V192" s="47">
        <v>0</v>
      </c>
      <c r="W192" s="47">
        <v>0</v>
      </c>
      <c r="X192" s="47">
        <v>0</v>
      </c>
      <c r="Y192" s="47">
        <v>0</v>
      </c>
      <c r="Z192" s="47">
        <v>0</v>
      </c>
      <c r="AA192" s="47">
        <v>0</v>
      </c>
      <c r="AB192" s="47">
        <v>0</v>
      </c>
      <c r="AC192" s="47">
        <v>0</v>
      </c>
      <c r="AD192" s="47">
        <v>0</v>
      </c>
      <c r="AE192" s="47">
        <v>0</v>
      </c>
      <c r="AF192" s="47">
        <v>0</v>
      </c>
      <c r="AG192" s="47">
        <v>0</v>
      </c>
      <c r="AH192" s="47">
        <v>0</v>
      </c>
      <c r="AI192" s="47">
        <v>0</v>
      </c>
      <c r="AJ192" s="47">
        <v>0</v>
      </c>
      <c r="AK192" s="47">
        <v>0</v>
      </c>
      <c r="AL192" s="47">
        <v>0</v>
      </c>
      <c r="AM192" s="47">
        <v>0</v>
      </c>
      <c r="AN192" s="47">
        <v>0</v>
      </c>
      <c r="AO192" s="47">
        <v>0</v>
      </c>
      <c r="AP192" s="47">
        <v>0</v>
      </c>
      <c r="AQ192" s="47">
        <v>0</v>
      </c>
      <c r="AR192" s="47">
        <v>0</v>
      </c>
      <c r="AS192" s="47">
        <v>0</v>
      </c>
      <c r="AT192" s="47">
        <v>0</v>
      </c>
      <c r="AU192" s="47">
        <v>0</v>
      </c>
      <c r="AV192" s="47">
        <v>0</v>
      </c>
      <c r="AW192" s="47">
        <v>0</v>
      </c>
      <c r="AX192" s="47">
        <v>0</v>
      </c>
      <c r="AY192" s="47">
        <v>0</v>
      </c>
      <c r="AZ192" s="47">
        <v>0</v>
      </c>
      <c r="BA192" s="47">
        <v>0</v>
      </c>
      <c r="BB192" s="47">
        <v>0</v>
      </c>
      <c r="BC192" s="47">
        <v>0</v>
      </c>
      <c r="BD192" s="47">
        <v>0</v>
      </c>
      <c r="BE192" s="47">
        <v>0</v>
      </c>
      <c r="BF192" s="47">
        <v>0</v>
      </c>
      <c r="BG192" s="47">
        <v>0</v>
      </c>
      <c r="BH192" s="47">
        <v>0</v>
      </c>
      <c r="BI192" s="47">
        <v>0</v>
      </c>
      <c r="BJ192" s="47">
        <v>0</v>
      </c>
      <c r="BK192" s="47">
        <v>0</v>
      </c>
      <c r="BL192" s="47">
        <v>0</v>
      </c>
      <c r="BM192" s="47">
        <v>0</v>
      </c>
      <c r="BN192" s="47">
        <v>0</v>
      </c>
      <c r="BO192" s="47">
        <v>0</v>
      </c>
      <c r="BP192" s="47">
        <v>0</v>
      </c>
      <c r="BQ192" s="47">
        <v>0</v>
      </c>
      <c r="BR192" s="47">
        <v>0</v>
      </c>
      <c r="BS192" s="47">
        <v>0</v>
      </c>
      <c r="BT192" s="47">
        <v>0</v>
      </c>
      <c r="BU192" s="47">
        <v>0</v>
      </c>
      <c r="BV192" s="47">
        <v>0</v>
      </c>
      <c r="BW192" s="47">
        <v>0</v>
      </c>
      <c r="BX192" s="47">
        <v>0</v>
      </c>
      <c r="BY192" s="47">
        <v>0</v>
      </c>
      <c r="BZ192" s="47">
        <v>0</v>
      </c>
      <c r="CA192" s="47">
        <v>0</v>
      </c>
      <c r="CB192" s="47">
        <v>0</v>
      </c>
      <c r="CC192" s="47">
        <v>0</v>
      </c>
      <c r="CD192" s="47">
        <v>0</v>
      </c>
      <c r="CE192" s="47">
        <v>0</v>
      </c>
      <c r="CF192" s="47">
        <v>0.1581</v>
      </c>
      <c r="CG192" s="47">
        <v>0.1581</v>
      </c>
      <c r="CH192" s="47">
        <v>0</v>
      </c>
      <c r="CI192" s="47">
        <v>0</v>
      </c>
      <c r="CJ192" s="47">
        <v>0</v>
      </c>
      <c r="CK192" s="47">
        <v>0</v>
      </c>
      <c r="CL192" s="47">
        <v>0</v>
      </c>
      <c r="CM192" s="47">
        <v>0</v>
      </c>
      <c r="CN192" s="47">
        <v>0</v>
      </c>
      <c r="CO192" s="47">
        <v>0</v>
      </c>
      <c r="CP192" s="47">
        <v>0</v>
      </c>
      <c r="CQ192" s="47">
        <v>0.35</v>
      </c>
      <c r="CR192" s="47">
        <v>0</v>
      </c>
      <c r="CS192" s="47">
        <v>0</v>
      </c>
      <c r="CT192" s="47">
        <v>0.0565</v>
      </c>
      <c r="CU192" s="47">
        <v>0.0565</v>
      </c>
      <c r="CV192" s="47">
        <v>0</v>
      </c>
      <c r="CW192" s="47">
        <v>0</v>
      </c>
      <c r="CX192" s="47">
        <v>0</v>
      </c>
      <c r="CY192" s="47">
        <v>0</v>
      </c>
      <c r="CZ192" s="47">
        <v>0</v>
      </c>
      <c r="DA192" s="47">
        <v>0</v>
      </c>
      <c r="DB192" s="47">
        <v>0</v>
      </c>
      <c r="DC192" s="47">
        <v>0</v>
      </c>
      <c r="DD192" s="47">
        <v>0</v>
      </c>
      <c r="DE192" s="47">
        <v>0</v>
      </c>
      <c r="DF192" s="47">
        <v>0</v>
      </c>
      <c r="DG192" s="47">
        <v>0</v>
      </c>
      <c r="DH192" s="47">
        <v>0</v>
      </c>
      <c r="DI192" s="47">
        <v>0</v>
      </c>
      <c r="DJ192" s="47">
        <v>0</v>
      </c>
      <c r="DK192" s="47">
        <v>0</v>
      </c>
      <c r="DL192" s="47">
        <v>0</v>
      </c>
      <c r="DM192" s="47">
        <v>0</v>
      </c>
      <c r="DN192" s="47">
        <v>0</v>
      </c>
      <c r="DO192" s="47">
        <v>0</v>
      </c>
      <c r="DP192" s="47">
        <v>0</v>
      </c>
      <c r="DQ192" s="47">
        <v>0</v>
      </c>
      <c r="DR192" s="47">
        <v>0</v>
      </c>
    </row>
    <row r="193" spans="1:124" x14ac:dyDescent="0.25">
      <c r="A193" s="47" t="s">
        <v>1036</v>
      </c>
      <c r="B193" s="47" t="s">
        <v>151</v>
      </c>
      <c r="C193" s="47" t="s">
        <v>1037</v>
      </c>
      <c r="D193" s="47" t="s">
        <v>1038</v>
      </c>
      <c r="E193" s="47" t="s">
        <v>690</v>
      </c>
      <c r="F193" s="47" t="s">
        <v>965</v>
      </c>
      <c r="G193" s="47" t="s">
        <v>966</v>
      </c>
      <c r="H193" s="47" t="str">
        <f>=IFERROR(VLOOKUP(A193,'ETPT Format DDG'!A:J,10,FALSE),"")</f>
        <v>0</v>
      </c>
      <c r="I193" s="47" t="str">
        <f>='ETPT Format DDG'!M193</f>
        <v/>
      </c>
      <c r="J193" s="47" t="str">
        <f>='ETPT Format DDG'!D193</f>
        <v/>
      </c>
      <c r="K193" s="47" t="s">
        <v>155</v>
      </c>
      <c r="L193" s="47" t="s">
        <v>283</v>
      </c>
      <c r="M193" s="47"/>
      <c r="N193" s="47">
        <v>1</v>
      </c>
      <c r="O193" s="47">
        <v>1</v>
      </c>
      <c r="P193" s="47">
        <v>0</v>
      </c>
      <c r="Q193" s="47">
        <v>0</v>
      </c>
      <c r="R193" s="47">
        <v>0</v>
      </c>
      <c r="S193" s="47">
        <v>0</v>
      </c>
      <c r="T193" s="47">
        <v>0</v>
      </c>
      <c r="U193" s="47">
        <v>0</v>
      </c>
      <c r="V193" s="47">
        <v>0</v>
      </c>
      <c r="W193" s="47">
        <v>0</v>
      </c>
      <c r="X193" s="47">
        <v>0</v>
      </c>
      <c r="Y193" s="47">
        <v>0</v>
      </c>
      <c r="Z193" s="47">
        <v>0</v>
      </c>
      <c r="AA193" s="47">
        <v>0</v>
      </c>
      <c r="AB193" s="47">
        <v>0</v>
      </c>
      <c r="AC193" s="47">
        <v>0</v>
      </c>
      <c r="AD193" s="47">
        <v>0</v>
      </c>
      <c r="AE193" s="47">
        <v>0.5</v>
      </c>
      <c r="AF193" s="47">
        <v>0</v>
      </c>
      <c r="AG193" s="47">
        <v>0</v>
      </c>
      <c r="AH193" s="47">
        <v>0</v>
      </c>
      <c r="AI193" s="47">
        <v>0</v>
      </c>
      <c r="AJ193" s="47">
        <v>0</v>
      </c>
      <c r="AK193" s="47">
        <v>0</v>
      </c>
      <c r="AL193" s="47">
        <v>0</v>
      </c>
      <c r="AM193" s="47">
        <v>0</v>
      </c>
      <c r="AN193" s="47">
        <v>0.5</v>
      </c>
      <c r="AO193" s="47">
        <v>0</v>
      </c>
      <c r="AP193" s="47">
        <v>0</v>
      </c>
      <c r="AQ193" s="47">
        <v>0</v>
      </c>
      <c r="AR193" s="47">
        <v>0</v>
      </c>
      <c r="AS193" s="47">
        <v>0</v>
      </c>
      <c r="AT193" s="47">
        <v>0</v>
      </c>
      <c r="AU193" s="47">
        <v>0</v>
      </c>
      <c r="AV193" s="47">
        <v>0.5</v>
      </c>
      <c r="AW193" s="47">
        <v>0</v>
      </c>
      <c r="AX193" s="47">
        <v>0</v>
      </c>
      <c r="AY193" s="47">
        <v>0</v>
      </c>
      <c r="AZ193" s="47">
        <v>0</v>
      </c>
      <c r="BA193" s="47">
        <v>0</v>
      </c>
      <c r="BB193" s="47">
        <v>0</v>
      </c>
      <c r="BC193" s="47">
        <v>0</v>
      </c>
      <c r="BD193" s="47">
        <v>0</v>
      </c>
      <c r="BE193" s="47">
        <v>0</v>
      </c>
      <c r="BF193" s="47">
        <v>0</v>
      </c>
      <c r="BG193" s="47">
        <v>0</v>
      </c>
      <c r="BH193" s="47">
        <v>0</v>
      </c>
      <c r="BI193" s="47">
        <v>0</v>
      </c>
      <c r="BJ193" s="47">
        <v>0</v>
      </c>
      <c r="BK193" s="47">
        <v>0</v>
      </c>
      <c r="BL193" s="47">
        <v>0</v>
      </c>
      <c r="BM193" s="47">
        <v>0</v>
      </c>
      <c r="BN193" s="47">
        <v>0</v>
      </c>
      <c r="BO193" s="47">
        <v>0</v>
      </c>
      <c r="BP193" s="47">
        <v>0</v>
      </c>
      <c r="BQ193" s="47">
        <v>0</v>
      </c>
      <c r="BR193" s="47">
        <v>0</v>
      </c>
      <c r="BS193" s="47">
        <v>0</v>
      </c>
      <c r="BT193" s="47">
        <v>0</v>
      </c>
      <c r="BU193" s="47">
        <v>0</v>
      </c>
      <c r="BV193" s="47">
        <v>0</v>
      </c>
      <c r="BW193" s="47">
        <v>0</v>
      </c>
      <c r="BX193" s="47">
        <v>0</v>
      </c>
      <c r="BY193" s="47">
        <v>0</v>
      </c>
      <c r="BZ193" s="47">
        <v>0</v>
      </c>
      <c r="CA193" s="47">
        <v>0</v>
      </c>
      <c r="CB193" s="47">
        <v>0</v>
      </c>
      <c r="CC193" s="47">
        <v>0</v>
      </c>
      <c r="CD193" s="47">
        <v>0</v>
      </c>
      <c r="CE193" s="47">
        <v>0</v>
      </c>
      <c r="CF193" s="47">
        <v>0</v>
      </c>
      <c r="CG193" s="47">
        <v>0</v>
      </c>
      <c r="CH193" s="47">
        <v>0</v>
      </c>
      <c r="CI193" s="47">
        <v>0</v>
      </c>
      <c r="CJ193" s="47">
        <v>0</v>
      </c>
      <c r="CK193" s="47">
        <v>0</v>
      </c>
      <c r="CL193" s="47">
        <v>0</v>
      </c>
      <c r="CM193" s="47">
        <v>0</v>
      </c>
      <c r="CN193" s="47">
        <v>0</v>
      </c>
      <c r="CO193" s="47">
        <v>0</v>
      </c>
      <c r="CP193" s="47">
        <v>0</v>
      </c>
      <c r="CQ193" s="47">
        <v>0</v>
      </c>
      <c r="CR193" s="47">
        <v>0</v>
      </c>
      <c r="CS193" s="47">
        <v>0</v>
      </c>
      <c r="CT193" s="47">
        <v>0</v>
      </c>
      <c r="CU193" s="47">
        <v>0</v>
      </c>
      <c r="CV193" s="47">
        <v>0</v>
      </c>
      <c r="CW193" s="47">
        <v>0</v>
      </c>
      <c r="CX193" s="47">
        <v>0</v>
      </c>
      <c r="CY193" s="47">
        <v>0</v>
      </c>
      <c r="CZ193" s="47">
        <v>0</v>
      </c>
      <c r="DA193" s="47">
        <v>0</v>
      </c>
      <c r="DB193" s="47">
        <v>0</v>
      </c>
      <c r="DC193" s="47">
        <v>0</v>
      </c>
      <c r="DD193" s="47">
        <v>0</v>
      </c>
      <c r="DE193" s="47">
        <v>0</v>
      </c>
      <c r="DF193" s="47">
        <v>0</v>
      </c>
      <c r="DG193" s="47">
        <v>0</v>
      </c>
      <c r="DH193" s="47">
        <v>0</v>
      </c>
      <c r="DI193" s="47">
        <v>0</v>
      </c>
      <c r="DJ193" s="47">
        <v>0</v>
      </c>
      <c r="DK193" s="47">
        <v>0</v>
      </c>
      <c r="DL193" s="47">
        <v>0</v>
      </c>
      <c r="DM193" s="47">
        <v>0</v>
      </c>
      <c r="DN193" s="47">
        <v>0</v>
      </c>
      <c r="DO193" s="47">
        <v>0</v>
      </c>
      <c r="DP193" s="47">
        <v>0</v>
      </c>
      <c r="DQ193" s="47">
        <v>0</v>
      </c>
      <c r="DR193" s="47">
        <v>0</v>
      </c>
    </row>
    <row r="194" spans="1:124" x14ac:dyDescent="0.25">
      <c r="A194" s="47" t="s">
        <v>1039</v>
      </c>
      <c r="B194" s="47" t="s">
        <v>151</v>
      </c>
      <c r="C194" s="47" t="s">
        <v>1040</v>
      </c>
      <c r="D194" s="47" t="s">
        <v>1041</v>
      </c>
      <c r="E194" s="47" t="s">
        <v>1042</v>
      </c>
      <c r="F194" s="47" t="s">
        <v>965</v>
      </c>
      <c r="G194" s="47" t="s">
        <v>966</v>
      </c>
      <c r="H194" s="47" t="str">
        <f>=IFERROR(VLOOKUP(A194,'ETPT Format DDG'!A:J,10,FALSE),"")</f>
        <v>0</v>
      </c>
      <c r="I194" s="47" t="str">
        <f>='ETPT Format DDG'!M194</f>
        <v/>
      </c>
      <c r="J194" s="47" t="str">
        <f>='ETPT Format DDG'!D194</f>
        <v/>
      </c>
      <c r="K194" s="47" t="s">
        <v>155</v>
      </c>
      <c r="L194" s="47" t="s">
        <v>1043</v>
      </c>
      <c r="M194" s="47"/>
      <c r="N194" s="47">
        <v>1</v>
      </c>
      <c r="O194" s="47">
        <v>1</v>
      </c>
      <c r="P194" s="47">
        <v>0</v>
      </c>
      <c r="Q194" s="47">
        <v>0</v>
      </c>
      <c r="R194" s="47">
        <v>0</v>
      </c>
      <c r="S194" s="47">
        <v>0</v>
      </c>
      <c r="T194" s="47">
        <v>0</v>
      </c>
      <c r="U194" s="47">
        <v>0</v>
      </c>
      <c r="V194" s="47">
        <v>0</v>
      </c>
      <c r="W194" s="47">
        <v>0</v>
      </c>
      <c r="X194" s="47">
        <v>0</v>
      </c>
      <c r="Y194" s="47">
        <v>0</v>
      </c>
      <c r="Z194" s="47">
        <v>0</v>
      </c>
      <c r="AA194" s="47">
        <v>0</v>
      </c>
      <c r="AB194" s="47">
        <v>0</v>
      </c>
      <c r="AC194" s="47">
        <v>0</v>
      </c>
      <c r="AD194" s="47">
        <v>0</v>
      </c>
      <c r="AE194" s="47">
        <v>0</v>
      </c>
      <c r="AF194" s="47">
        <v>0</v>
      </c>
      <c r="AG194" s="47">
        <v>0</v>
      </c>
      <c r="AH194" s="47">
        <v>0</v>
      </c>
      <c r="AI194" s="47">
        <v>0</v>
      </c>
      <c r="AJ194" s="47">
        <v>0</v>
      </c>
      <c r="AK194" s="47">
        <v>0</v>
      </c>
      <c r="AL194" s="47">
        <v>0</v>
      </c>
      <c r="AM194" s="47">
        <v>0</v>
      </c>
      <c r="AN194" s="47">
        <v>0.99</v>
      </c>
      <c r="AO194" s="47">
        <v>0</v>
      </c>
      <c r="AP194" s="47">
        <v>0</v>
      </c>
      <c r="AQ194" s="47">
        <v>0</v>
      </c>
      <c r="AR194" s="47">
        <v>0</v>
      </c>
      <c r="AS194" s="47">
        <v>0</v>
      </c>
      <c r="AT194" s="47">
        <v>0</v>
      </c>
      <c r="AU194" s="47">
        <v>0</v>
      </c>
      <c r="AV194" s="47">
        <v>0</v>
      </c>
      <c r="AW194" s="47">
        <v>0</v>
      </c>
      <c r="AX194" s="47">
        <v>0</v>
      </c>
      <c r="AY194" s="47">
        <v>0</v>
      </c>
      <c r="AZ194" s="47">
        <v>0.99</v>
      </c>
      <c r="BA194" s="47">
        <v>0</v>
      </c>
      <c r="BB194" s="47">
        <v>0</v>
      </c>
      <c r="BC194" s="47">
        <v>0</v>
      </c>
      <c r="BD194" s="47">
        <v>0</v>
      </c>
      <c r="BE194" s="47">
        <v>0</v>
      </c>
      <c r="BF194" s="47">
        <v>0</v>
      </c>
      <c r="BG194" s="47">
        <v>0</v>
      </c>
      <c r="BH194" s="47">
        <v>0</v>
      </c>
      <c r="BI194" s="47">
        <v>0</v>
      </c>
      <c r="BJ194" s="47">
        <v>0</v>
      </c>
      <c r="BK194" s="47">
        <v>0</v>
      </c>
      <c r="BL194" s="47">
        <v>0</v>
      </c>
      <c r="BM194" s="47">
        <v>0</v>
      </c>
      <c r="BN194" s="47">
        <v>0</v>
      </c>
      <c r="BO194" s="47">
        <v>0</v>
      </c>
      <c r="BP194" s="47">
        <v>0</v>
      </c>
      <c r="BQ194" s="47">
        <v>0</v>
      </c>
      <c r="BR194" s="47">
        <v>0</v>
      </c>
      <c r="BS194" s="47">
        <v>0</v>
      </c>
      <c r="BT194" s="47">
        <v>0</v>
      </c>
      <c r="BU194" s="47">
        <v>0</v>
      </c>
      <c r="BV194" s="47">
        <v>0</v>
      </c>
      <c r="BW194" s="47">
        <v>0</v>
      </c>
      <c r="BX194" s="47">
        <v>0</v>
      </c>
      <c r="BY194" s="47">
        <v>0</v>
      </c>
      <c r="BZ194" s="47">
        <v>0</v>
      </c>
      <c r="CA194" s="47">
        <v>0</v>
      </c>
      <c r="CB194" s="47">
        <v>0</v>
      </c>
      <c r="CC194" s="47">
        <v>0</v>
      </c>
      <c r="CD194" s="47">
        <v>0</v>
      </c>
      <c r="CE194" s="47">
        <v>0</v>
      </c>
      <c r="CF194" s="47">
        <v>0</v>
      </c>
      <c r="CG194" s="47">
        <v>0</v>
      </c>
      <c r="CH194" s="47">
        <v>0</v>
      </c>
      <c r="CI194" s="47">
        <v>0</v>
      </c>
      <c r="CJ194" s="47">
        <v>0</v>
      </c>
      <c r="CK194" s="47">
        <v>0</v>
      </c>
      <c r="CL194" s="47">
        <v>0</v>
      </c>
      <c r="CM194" s="47">
        <v>0</v>
      </c>
      <c r="CN194" s="47">
        <v>0</v>
      </c>
      <c r="CO194" s="47">
        <v>0</v>
      </c>
      <c r="CP194" s="47">
        <v>0</v>
      </c>
      <c r="CQ194" s="47">
        <v>0</v>
      </c>
      <c r="CR194" s="47">
        <v>0</v>
      </c>
      <c r="CS194" s="47">
        <v>0</v>
      </c>
      <c r="CT194" s="47">
        <v>0.01</v>
      </c>
      <c r="CU194" s="47">
        <v>0.01</v>
      </c>
      <c r="CV194" s="47">
        <v>0</v>
      </c>
      <c r="CW194" s="47">
        <v>0</v>
      </c>
      <c r="CX194" s="47">
        <v>0</v>
      </c>
      <c r="CY194" s="47">
        <v>0</v>
      </c>
      <c r="CZ194" s="47">
        <v>0</v>
      </c>
      <c r="DA194" s="47">
        <v>0</v>
      </c>
      <c r="DB194" s="47">
        <v>0</v>
      </c>
      <c r="DC194" s="47">
        <v>0</v>
      </c>
      <c r="DD194" s="47">
        <v>0</v>
      </c>
      <c r="DE194" s="47">
        <v>0</v>
      </c>
      <c r="DF194" s="47">
        <v>0</v>
      </c>
      <c r="DG194" s="47">
        <v>0</v>
      </c>
      <c r="DH194" s="47">
        <v>0</v>
      </c>
      <c r="DI194" s="47">
        <v>0</v>
      </c>
      <c r="DJ194" s="47">
        <v>0</v>
      </c>
      <c r="DK194" s="47">
        <v>0</v>
      </c>
      <c r="DL194" s="47">
        <v>0</v>
      </c>
      <c r="DM194" s="47">
        <v>0</v>
      </c>
      <c r="DN194" s="47">
        <v>0</v>
      </c>
      <c r="DO194" s="47">
        <v>0</v>
      </c>
      <c r="DP194" s="47">
        <v>0</v>
      </c>
      <c r="DQ194" s="47">
        <v>0</v>
      </c>
      <c r="DR194" s="47">
        <v>0</v>
      </c>
    </row>
    <row r="195" spans="1:124" x14ac:dyDescent="0.25">
      <c r="A195" s="47" t="s">
        <v>1044</v>
      </c>
      <c r="B195" s="47" t="s">
        <v>151</v>
      </c>
      <c r="C195" s="47" t="s">
        <v>1045</v>
      </c>
      <c r="D195" s="47" t="s">
        <v>1046</v>
      </c>
      <c r="E195" s="47" t="s">
        <v>167</v>
      </c>
      <c r="F195" s="47" t="s">
        <v>965</v>
      </c>
      <c r="G195" s="47" t="s">
        <v>995</v>
      </c>
      <c r="H195" s="47" t="str">
        <f>=IFERROR(VLOOKUP(A195,'ETPT Format DDG'!A:J,10,FALSE),"")</f>
        <v>0</v>
      </c>
      <c r="I195" s="47" t="str">
        <f>='ETPT Format DDG'!M195</f>
        <v/>
      </c>
      <c r="J195" s="47" t="str">
        <f>='ETPT Format DDG'!D195</f>
        <v/>
      </c>
      <c r="K195" s="47" t="s">
        <v>155</v>
      </c>
      <c r="L195" s="47" t="s">
        <v>1030</v>
      </c>
      <c r="M195" s="47" t="s">
        <v>1047</v>
      </c>
      <c r="N195" s="47">
        <v>0.2581</v>
      </c>
      <c r="O195" s="47">
        <v>0</v>
      </c>
      <c r="P195" s="47">
        <v>0</v>
      </c>
      <c r="Q195" s="47">
        <v>0</v>
      </c>
      <c r="R195" s="47">
        <v>0</v>
      </c>
      <c r="S195" s="47">
        <v>0</v>
      </c>
      <c r="T195" s="47">
        <v>0</v>
      </c>
      <c r="U195" s="47">
        <v>0</v>
      </c>
      <c r="V195" s="47">
        <v>0</v>
      </c>
      <c r="W195" s="47">
        <v>0</v>
      </c>
      <c r="X195" s="47">
        <v>0</v>
      </c>
      <c r="Y195" s="47">
        <v>0</v>
      </c>
      <c r="Z195" s="47">
        <v>0</v>
      </c>
      <c r="AA195" s="47">
        <v>0</v>
      </c>
      <c r="AB195" s="47">
        <v>0</v>
      </c>
      <c r="AC195" s="47">
        <v>0</v>
      </c>
      <c r="AD195" s="47">
        <v>0</v>
      </c>
      <c r="AE195" s="47">
        <v>0</v>
      </c>
      <c r="AF195" s="47">
        <v>0</v>
      </c>
      <c r="AG195" s="47">
        <v>0</v>
      </c>
      <c r="AH195" s="47">
        <v>0</v>
      </c>
      <c r="AI195" s="47">
        <v>0</v>
      </c>
      <c r="AJ195" s="47">
        <v>0</v>
      </c>
      <c r="AK195" s="47">
        <v>0</v>
      </c>
      <c r="AL195" s="47">
        <v>0</v>
      </c>
      <c r="AM195" s="47">
        <v>0</v>
      </c>
      <c r="AN195" s="47">
        <v>0</v>
      </c>
      <c r="AO195" s="47">
        <v>0</v>
      </c>
      <c r="AP195" s="47">
        <v>0</v>
      </c>
      <c r="AQ195" s="47">
        <v>0</v>
      </c>
      <c r="AR195" s="47">
        <v>0</v>
      </c>
      <c r="AS195" s="47">
        <v>0</v>
      </c>
      <c r="AT195" s="47">
        <v>0</v>
      </c>
      <c r="AU195" s="47">
        <v>0</v>
      </c>
      <c r="AV195" s="47">
        <v>0</v>
      </c>
      <c r="AW195" s="47">
        <v>0</v>
      </c>
      <c r="AX195" s="47">
        <v>0</v>
      </c>
      <c r="AY195" s="47">
        <v>0</v>
      </c>
      <c r="AZ195" s="47">
        <v>0</v>
      </c>
      <c r="BA195" s="47">
        <v>0</v>
      </c>
      <c r="BB195" s="47">
        <v>0</v>
      </c>
      <c r="BC195" s="47">
        <v>0</v>
      </c>
      <c r="BD195" s="47">
        <v>0</v>
      </c>
      <c r="BE195" s="47">
        <v>0</v>
      </c>
      <c r="BF195" s="47">
        <v>0</v>
      </c>
      <c r="BG195" s="47">
        <v>0</v>
      </c>
      <c r="BH195" s="47">
        <v>0</v>
      </c>
      <c r="BI195" s="47">
        <v>0</v>
      </c>
      <c r="BJ195" s="47">
        <v>0</v>
      </c>
      <c r="BK195" s="47">
        <v>0</v>
      </c>
      <c r="BL195" s="47">
        <v>0</v>
      </c>
      <c r="BM195" s="47">
        <v>0</v>
      </c>
      <c r="BN195" s="47">
        <v>0</v>
      </c>
      <c r="BO195" s="47">
        <v>0</v>
      </c>
      <c r="BP195" s="47">
        <v>0</v>
      </c>
      <c r="BQ195" s="47">
        <v>0</v>
      </c>
      <c r="BR195" s="47">
        <v>0</v>
      </c>
      <c r="BS195" s="47">
        <v>0</v>
      </c>
      <c r="BT195" s="47">
        <v>0</v>
      </c>
      <c r="BU195" s="47">
        <v>0</v>
      </c>
      <c r="BV195" s="47">
        <v>0</v>
      </c>
      <c r="BW195" s="47">
        <v>0</v>
      </c>
      <c r="BX195" s="47">
        <v>0</v>
      </c>
      <c r="BY195" s="47">
        <v>0</v>
      </c>
      <c r="BZ195" s="47">
        <v>0</v>
      </c>
      <c r="CA195" s="47">
        <v>0</v>
      </c>
      <c r="CB195" s="47">
        <v>0</v>
      </c>
      <c r="CC195" s="47">
        <v>0</v>
      </c>
      <c r="CD195" s="47">
        <v>0</v>
      </c>
      <c r="CE195" s="47">
        <v>0</v>
      </c>
      <c r="CF195" s="47">
        <v>0</v>
      </c>
      <c r="CG195" s="47">
        <v>0</v>
      </c>
      <c r="CH195" s="47">
        <v>0</v>
      </c>
      <c r="CI195" s="47">
        <v>0</v>
      </c>
      <c r="CJ195" s="47">
        <v>0</v>
      </c>
      <c r="CK195" s="47">
        <v>0</v>
      </c>
      <c r="CL195" s="47">
        <v>0</v>
      </c>
      <c r="CM195" s="47">
        <v>0</v>
      </c>
      <c r="CN195" s="47">
        <v>0</v>
      </c>
      <c r="CO195" s="47">
        <v>0</v>
      </c>
      <c r="CP195" s="47">
        <v>0</v>
      </c>
      <c r="CQ195" s="47">
        <v>0</v>
      </c>
      <c r="CR195" s="47">
        <v>0</v>
      </c>
      <c r="CS195" s="47">
        <v>0</v>
      </c>
      <c r="CT195" s="47">
        <v>0</v>
      </c>
      <c r="CU195" s="47">
        <v>0</v>
      </c>
      <c r="CV195" s="47">
        <v>0</v>
      </c>
      <c r="CW195" s="47">
        <v>0</v>
      </c>
      <c r="CX195" s="47">
        <v>0</v>
      </c>
      <c r="CY195" s="47">
        <v>0</v>
      </c>
      <c r="CZ195" s="47">
        <v>0</v>
      </c>
      <c r="DA195" s="47">
        <v>0</v>
      </c>
      <c r="DB195" s="47">
        <v>0</v>
      </c>
      <c r="DC195" s="47">
        <v>0</v>
      </c>
      <c r="DD195" s="47">
        <v>0</v>
      </c>
      <c r="DE195" s="47">
        <v>0</v>
      </c>
      <c r="DF195" s="47">
        <v>0</v>
      </c>
      <c r="DG195" s="47">
        <v>0</v>
      </c>
      <c r="DH195" s="47">
        <v>0</v>
      </c>
      <c r="DI195" s="47">
        <v>0</v>
      </c>
      <c r="DJ195" s="47">
        <v>0</v>
      </c>
      <c r="DK195" s="47">
        <v>0</v>
      </c>
      <c r="DL195" s="47">
        <v>0</v>
      </c>
      <c r="DM195" s="47">
        <v>0</v>
      </c>
      <c r="DN195" s="47">
        <v>0</v>
      </c>
      <c r="DO195" s="47">
        <v>0</v>
      </c>
      <c r="DP195" s="47">
        <v>0</v>
      </c>
      <c r="DQ195" s="47">
        <v>0</v>
      </c>
      <c r="DR195" s="47">
        <v>0</v>
      </c>
    </row>
    <row r="196" spans="1:124" x14ac:dyDescent="0.25">
      <c r="A196" s="47" t="s">
        <v>1048</v>
      </c>
      <c r="B196" s="47" t="s">
        <v>151</v>
      </c>
      <c r="C196" s="47" t="s">
        <v>1049</v>
      </c>
      <c r="D196" s="47" t="s">
        <v>1050</v>
      </c>
      <c r="E196" s="47" t="s">
        <v>1051</v>
      </c>
      <c r="F196" s="47" t="s">
        <v>965</v>
      </c>
      <c r="G196" s="47" t="s">
        <v>966</v>
      </c>
      <c r="H196" s="47" t="str">
        <f>=IFERROR(VLOOKUP(A196,'ETPT Format DDG'!A:J,10,FALSE),"")</f>
        <v>0</v>
      </c>
      <c r="I196" s="47" t="str">
        <f>='ETPT Format DDG'!M196</f>
        <v/>
      </c>
      <c r="J196" s="47" t="str">
        <f>='ETPT Format DDG'!D196</f>
        <v/>
      </c>
      <c r="K196" s="47" t="s">
        <v>155</v>
      </c>
      <c r="L196" s="47" t="s">
        <v>1052</v>
      </c>
      <c r="M196" s="47"/>
      <c r="N196" s="47">
        <v>1</v>
      </c>
      <c r="O196" s="47">
        <v>1</v>
      </c>
      <c r="P196" s="47">
        <v>0</v>
      </c>
      <c r="Q196" s="47">
        <v>0</v>
      </c>
      <c r="R196" s="47">
        <v>0</v>
      </c>
      <c r="S196" s="47">
        <v>0</v>
      </c>
      <c r="T196" s="47">
        <v>0</v>
      </c>
      <c r="U196" s="47">
        <v>0.25</v>
      </c>
      <c r="V196" s="47">
        <v>0.25</v>
      </c>
      <c r="W196" s="47">
        <v>0</v>
      </c>
      <c r="X196" s="47">
        <v>0</v>
      </c>
      <c r="Y196" s="47">
        <v>0</v>
      </c>
      <c r="Z196" s="47">
        <v>0</v>
      </c>
      <c r="AA196" s="47">
        <v>0</v>
      </c>
      <c r="AB196" s="47">
        <v>0</v>
      </c>
      <c r="AC196" s="47">
        <v>0</v>
      </c>
      <c r="AD196" s="47">
        <v>0</v>
      </c>
      <c r="AE196" s="47">
        <v>0</v>
      </c>
      <c r="AF196" s="47">
        <v>0</v>
      </c>
      <c r="AG196" s="47">
        <v>0</v>
      </c>
      <c r="AH196" s="47">
        <v>0</v>
      </c>
      <c r="AI196" s="47">
        <v>0</v>
      </c>
      <c r="AJ196" s="47">
        <v>0</v>
      </c>
      <c r="AK196" s="47">
        <v>0</v>
      </c>
      <c r="AL196" s="47">
        <v>0</v>
      </c>
      <c r="AM196" s="47">
        <v>0</v>
      </c>
      <c r="AN196" s="47">
        <v>0.75</v>
      </c>
      <c r="AO196" s="47">
        <v>0</v>
      </c>
      <c r="AP196" s="47">
        <v>0</v>
      </c>
      <c r="AQ196" s="47">
        <v>0</v>
      </c>
      <c r="AR196" s="47">
        <v>0</v>
      </c>
      <c r="AS196" s="47">
        <v>0</v>
      </c>
      <c r="AT196" s="47">
        <v>0</v>
      </c>
      <c r="AU196" s="47">
        <v>0</v>
      </c>
      <c r="AV196" s="47">
        <v>0.5</v>
      </c>
      <c r="AW196" s="47">
        <v>0</v>
      </c>
      <c r="AX196" s="47">
        <v>0</v>
      </c>
      <c r="AY196" s="47">
        <v>0</v>
      </c>
      <c r="AZ196" s="47">
        <v>0</v>
      </c>
      <c r="BA196" s="47">
        <v>0</v>
      </c>
      <c r="BB196" s="47">
        <v>0</v>
      </c>
      <c r="BC196" s="47">
        <v>0</v>
      </c>
      <c r="BD196" s="47">
        <v>0</v>
      </c>
      <c r="BE196" s="47">
        <v>0</v>
      </c>
      <c r="BF196" s="47">
        <v>0.25</v>
      </c>
      <c r="BG196" s="47">
        <v>0</v>
      </c>
      <c r="BH196" s="47">
        <v>0</v>
      </c>
      <c r="BI196" s="47">
        <v>0</v>
      </c>
      <c r="BJ196" s="47">
        <v>0</v>
      </c>
      <c r="BK196" s="47">
        <v>0</v>
      </c>
      <c r="BL196" s="47">
        <v>0</v>
      </c>
      <c r="BM196" s="47">
        <v>0</v>
      </c>
      <c r="BN196" s="47">
        <v>0</v>
      </c>
      <c r="BO196" s="47">
        <v>0</v>
      </c>
      <c r="BP196" s="47">
        <v>0</v>
      </c>
      <c r="BQ196" s="47">
        <v>0</v>
      </c>
      <c r="BR196" s="47">
        <v>0</v>
      </c>
      <c r="BS196" s="47">
        <v>0</v>
      </c>
      <c r="BT196" s="47">
        <v>0</v>
      </c>
      <c r="BU196" s="47">
        <v>0</v>
      </c>
      <c r="BV196" s="47">
        <v>0</v>
      </c>
      <c r="BW196" s="47">
        <v>0</v>
      </c>
      <c r="BX196" s="47">
        <v>0</v>
      </c>
      <c r="BY196" s="47">
        <v>0</v>
      </c>
      <c r="BZ196" s="47">
        <v>0</v>
      </c>
      <c r="CA196" s="47">
        <v>0</v>
      </c>
      <c r="CB196" s="47">
        <v>0</v>
      </c>
      <c r="CC196" s="47">
        <v>0</v>
      </c>
      <c r="CD196" s="47">
        <v>0</v>
      </c>
      <c r="CE196" s="47">
        <v>0</v>
      </c>
      <c r="CF196" s="47">
        <v>0</v>
      </c>
      <c r="CG196" s="47">
        <v>0</v>
      </c>
      <c r="CH196" s="47">
        <v>0</v>
      </c>
      <c r="CI196" s="47">
        <v>0</v>
      </c>
      <c r="CJ196" s="47">
        <v>0</v>
      </c>
      <c r="CK196" s="47">
        <v>0</v>
      </c>
      <c r="CL196" s="47">
        <v>0</v>
      </c>
      <c r="CM196" s="47">
        <v>0</v>
      </c>
      <c r="CN196" s="47">
        <v>0</v>
      </c>
      <c r="CO196" s="47">
        <v>0</v>
      </c>
      <c r="CP196" s="47">
        <v>0</v>
      </c>
      <c r="CQ196" s="47">
        <v>0</v>
      </c>
      <c r="CR196" s="47">
        <v>0</v>
      </c>
      <c r="CS196" s="47">
        <v>0</v>
      </c>
      <c r="CT196" s="47">
        <v>0</v>
      </c>
      <c r="CU196" s="47">
        <v>0</v>
      </c>
      <c r="CV196" s="47">
        <v>0</v>
      </c>
      <c r="CW196" s="47">
        <v>0</v>
      </c>
      <c r="CX196" s="47">
        <v>0</v>
      </c>
      <c r="CY196" s="47">
        <v>0</v>
      </c>
      <c r="CZ196" s="47">
        <v>0</v>
      </c>
      <c r="DA196" s="47">
        <v>0</v>
      </c>
      <c r="DB196" s="47">
        <v>0</v>
      </c>
      <c r="DC196" s="47">
        <v>0</v>
      </c>
      <c r="DD196" s="47">
        <v>0</v>
      </c>
      <c r="DE196" s="47">
        <v>0</v>
      </c>
      <c r="DF196" s="47">
        <v>0</v>
      </c>
      <c r="DG196" s="47">
        <v>0</v>
      </c>
      <c r="DH196" s="47">
        <v>0</v>
      </c>
      <c r="DI196" s="47">
        <v>0</v>
      </c>
      <c r="DJ196" s="47">
        <v>0</v>
      </c>
      <c r="DK196" s="47">
        <v>0</v>
      </c>
      <c r="DL196" s="47">
        <v>0</v>
      </c>
      <c r="DM196" s="47">
        <v>0</v>
      </c>
      <c r="DN196" s="47">
        <v>0</v>
      </c>
      <c r="DO196" s="47">
        <v>0</v>
      </c>
      <c r="DP196" s="47">
        <v>0</v>
      </c>
      <c r="DQ196" s="47">
        <v>0</v>
      </c>
      <c r="DR196" s="47">
        <v>0</v>
      </c>
    </row>
    <row r="197" spans="1:124" x14ac:dyDescent="0.25">
      <c r="A197" s="47" t="s">
        <v>1053</v>
      </c>
      <c r="B197" s="47" t="s">
        <v>151</v>
      </c>
      <c r="C197" s="47" t="s">
        <v>1054</v>
      </c>
      <c r="D197" s="47" t="s">
        <v>1055</v>
      </c>
      <c r="E197" s="47" t="s">
        <v>1056</v>
      </c>
      <c r="F197" s="47" t="s">
        <v>965</v>
      </c>
      <c r="G197" s="47" t="s">
        <v>1057</v>
      </c>
      <c r="H197" s="47" t="str">
        <f>=IFERROR(VLOOKUP(A197,'ETPT Format DDG'!A:J,10,FALSE),"")</f>
        <v>0</v>
      </c>
      <c r="I197" s="47" t="str">
        <f>='ETPT Format DDG'!M197</f>
        <v/>
      </c>
      <c r="J197" s="47" t="str">
        <f>='ETPT Format DDG'!D197</f>
        <v/>
      </c>
      <c r="K197" s="47" t="s">
        <v>155</v>
      </c>
      <c r="L197" s="47" t="s">
        <v>1058</v>
      </c>
      <c r="M197" s="47"/>
      <c r="N197" s="47">
        <v>1</v>
      </c>
      <c r="O197" s="47">
        <v>0</v>
      </c>
      <c r="P197" s="47">
        <v>0</v>
      </c>
      <c r="Q197" s="47">
        <v>0</v>
      </c>
      <c r="R197" s="47">
        <v>0</v>
      </c>
      <c r="S197" s="47">
        <v>0</v>
      </c>
      <c r="T197" s="47">
        <v>0</v>
      </c>
      <c r="U197" s="47">
        <v>0</v>
      </c>
      <c r="V197" s="47">
        <v>0</v>
      </c>
      <c r="W197" s="47">
        <v>0</v>
      </c>
      <c r="X197" s="47">
        <v>0</v>
      </c>
      <c r="Y197" s="47">
        <v>0</v>
      </c>
      <c r="Z197" s="47">
        <v>0</v>
      </c>
      <c r="AA197" s="47">
        <v>0</v>
      </c>
      <c r="AB197" s="47">
        <v>0</v>
      </c>
      <c r="AC197" s="47">
        <v>0</v>
      </c>
      <c r="AD197" s="47">
        <v>0</v>
      </c>
      <c r="AE197" s="47">
        <v>0</v>
      </c>
      <c r="AF197" s="47">
        <v>0</v>
      </c>
      <c r="AG197" s="47">
        <v>0</v>
      </c>
      <c r="AH197" s="47">
        <v>0</v>
      </c>
      <c r="AI197" s="47">
        <v>0</v>
      </c>
      <c r="AJ197" s="47">
        <v>0</v>
      </c>
      <c r="AK197" s="47">
        <v>0</v>
      </c>
      <c r="AL197" s="47">
        <v>0</v>
      </c>
      <c r="AM197" s="47">
        <v>0</v>
      </c>
      <c r="AN197" s="47">
        <v>0</v>
      </c>
      <c r="AO197" s="47">
        <v>0</v>
      </c>
      <c r="AP197" s="47">
        <v>0</v>
      </c>
      <c r="AQ197" s="47">
        <v>0</v>
      </c>
      <c r="AR197" s="47">
        <v>0</v>
      </c>
      <c r="AS197" s="47">
        <v>0</v>
      </c>
      <c r="AT197" s="47">
        <v>0</v>
      </c>
      <c r="AU197" s="47">
        <v>0</v>
      </c>
      <c r="AV197" s="47">
        <v>0</v>
      </c>
      <c r="AW197" s="47">
        <v>0</v>
      </c>
      <c r="AX197" s="47">
        <v>0</v>
      </c>
      <c r="AY197" s="47">
        <v>0</v>
      </c>
      <c r="AZ197" s="47">
        <v>0</v>
      </c>
      <c r="BA197" s="47">
        <v>0</v>
      </c>
      <c r="BB197" s="47">
        <v>0</v>
      </c>
      <c r="BC197" s="47">
        <v>0</v>
      </c>
      <c r="BD197" s="47">
        <v>0</v>
      </c>
      <c r="BE197" s="47">
        <v>0</v>
      </c>
      <c r="BF197" s="47">
        <v>0</v>
      </c>
      <c r="BG197" s="47">
        <v>0</v>
      </c>
      <c r="BH197" s="47">
        <v>0</v>
      </c>
      <c r="BI197" s="47">
        <v>0</v>
      </c>
      <c r="BJ197" s="47">
        <v>0</v>
      </c>
      <c r="BK197" s="47">
        <v>0</v>
      </c>
      <c r="BL197" s="47">
        <v>0</v>
      </c>
      <c r="BM197" s="47">
        <v>0</v>
      </c>
      <c r="BN197" s="47">
        <v>0</v>
      </c>
      <c r="BO197" s="47">
        <v>0</v>
      </c>
      <c r="BP197" s="47">
        <v>0</v>
      </c>
      <c r="BQ197" s="47">
        <v>0</v>
      </c>
      <c r="BR197" s="47">
        <v>0</v>
      </c>
      <c r="BS197" s="47">
        <v>0</v>
      </c>
      <c r="BT197" s="47">
        <v>0</v>
      </c>
      <c r="BU197" s="47">
        <v>0</v>
      </c>
      <c r="BV197" s="47">
        <v>0</v>
      </c>
      <c r="BW197" s="47">
        <v>0</v>
      </c>
      <c r="BX197" s="47">
        <v>0</v>
      </c>
      <c r="BY197" s="47">
        <v>0</v>
      </c>
      <c r="BZ197" s="47">
        <v>0</v>
      </c>
      <c r="CA197" s="47">
        <v>0</v>
      </c>
      <c r="CB197" s="47">
        <v>0</v>
      </c>
      <c r="CC197" s="47">
        <v>0</v>
      </c>
      <c r="CD197" s="47">
        <v>0</v>
      </c>
      <c r="CE197" s="47">
        <v>0</v>
      </c>
      <c r="CF197" s="47">
        <v>0</v>
      </c>
      <c r="CG197" s="47">
        <v>0</v>
      </c>
      <c r="CH197" s="47">
        <v>0</v>
      </c>
      <c r="CI197" s="47">
        <v>0</v>
      </c>
      <c r="CJ197" s="47">
        <v>0</v>
      </c>
      <c r="CK197" s="47">
        <v>0</v>
      </c>
      <c r="CL197" s="47">
        <v>0</v>
      </c>
      <c r="CM197" s="47">
        <v>0</v>
      </c>
      <c r="CN197" s="47">
        <v>0</v>
      </c>
      <c r="CO197" s="47">
        <v>0</v>
      </c>
      <c r="CP197" s="47">
        <v>0</v>
      </c>
      <c r="CQ197" s="47">
        <v>0</v>
      </c>
      <c r="CR197" s="47">
        <v>0</v>
      </c>
      <c r="CS197" s="47">
        <v>0</v>
      </c>
      <c r="CT197" s="47">
        <v>0</v>
      </c>
      <c r="CU197" s="47">
        <v>0</v>
      </c>
      <c r="CV197" s="47">
        <v>0</v>
      </c>
      <c r="CW197" s="47">
        <v>0</v>
      </c>
      <c r="CX197" s="47">
        <v>0</v>
      </c>
      <c r="CY197" s="47">
        <v>0</v>
      </c>
      <c r="CZ197" s="47">
        <v>0</v>
      </c>
      <c r="DA197" s="47">
        <v>0</v>
      </c>
      <c r="DB197" s="47">
        <v>0</v>
      </c>
      <c r="DC197" s="47">
        <v>0</v>
      </c>
      <c r="DD197" s="47">
        <v>0</v>
      </c>
      <c r="DE197" s="47">
        <v>0</v>
      </c>
      <c r="DF197" s="47">
        <v>0</v>
      </c>
      <c r="DG197" s="47">
        <v>0</v>
      </c>
      <c r="DH197" s="47">
        <v>0</v>
      </c>
      <c r="DI197" s="47">
        <v>0</v>
      </c>
      <c r="DJ197" s="47">
        <v>0</v>
      </c>
      <c r="DK197" s="47">
        <v>0</v>
      </c>
      <c r="DL197" s="47">
        <v>0</v>
      </c>
      <c r="DM197" s="47">
        <v>0</v>
      </c>
      <c r="DN197" s="47">
        <v>0</v>
      </c>
      <c r="DO197" s="47">
        <v>0</v>
      </c>
      <c r="DP197" s="47">
        <v>0</v>
      </c>
      <c r="DQ197" s="47">
        <v>0</v>
      </c>
      <c r="DR197" s="47">
        <v>0</v>
      </c>
    </row>
    <row r="198" spans="1:124" x14ac:dyDescent="0.25">
      <c r="A198" s="47" t="s">
        <v>1059</v>
      </c>
      <c r="B198" s="47" t="s">
        <v>151</v>
      </c>
      <c r="C198" s="47" t="s">
        <v>1060</v>
      </c>
      <c r="D198" s="47" t="s">
        <v>1061</v>
      </c>
      <c r="E198" s="47" t="s">
        <v>1062</v>
      </c>
      <c r="F198" s="47" t="s">
        <v>965</v>
      </c>
      <c r="G198" s="47" t="s">
        <v>980</v>
      </c>
      <c r="H198" s="47" t="str">
        <f>=IFERROR(VLOOKUP(A198,'ETPT Format DDG'!A:J,10,FALSE),"")</f>
        <v>0</v>
      </c>
      <c r="I198" s="47" t="str">
        <f>='ETPT Format DDG'!M198</f>
        <v/>
      </c>
      <c r="J198" s="47" t="str">
        <f>='ETPT Format DDG'!D198</f>
        <v/>
      </c>
      <c r="K198" s="47" t="s">
        <v>155</v>
      </c>
      <c r="L198" s="47" t="s">
        <v>871</v>
      </c>
      <c r="M198" s="47"/>
      <c r="N198" s="47">
        <v>0.8266</v>
      </c>
      <c r="O198" s="47">
        <v>0.8266</v>
      </c>
      <c r="P198" s="47">
        <v>0</v>
      </c>
      <c r="Q198" s="47">
        <v>0</v>
      </c>
      <c r="R198" s="47">
        <v>0</v>
      </c>
      <c r="S198" s="47">
        <v>0</v>
      </c>
      <c r="T198" s="47">
        <v>0</v>
      </c>
      <c r="U198" s="47">
        <v>0</v>
      </c>
      <c r="V198" s="47">
        <v>0</v>
      </c>
      <c r="W198" s="47">
        <v>0</v>
      </c>
      <c r="X198" s="47">
        <v>0</v>
      </c>
      <c r="Y198" s="47">
        <v>0</v>
      </c>
      <c r="Z198" s="47">
        <v>0</v>
      </c>
      <c r="AA198" s="47">
        <v>0</v>
      </c>
      <c r="AB198" s="47">
        <v>0</v>
      </c>
      <c r="AC198" s="47">
        <v>0</v>
      </c>
      <c r="AD198" s="47">
        <v>0</v>
      </c>
      <c r="AE198" s="47">
        <v>0</v>
      </c>
      <c r="AF198" s="47">
        <v>0</v>
      </c>
      <c r="AG198" s="47">
        <v>0</v>
      </c>
      <c r="AH198" s="47">
        <v>0</v>
      </c>
      <c r="AI198" s="47">
        <v>0</v>
      </c>
      <c r="AJ198" s="47">
        <v>0</v>
      </c>
      <c r="AK198" s="47">
        <v>0</v>
      </c>
      <c r="AL198" s="47">
        <v>0</v>
      </c>
      <c r="AM198" s="47">
        <v>0</v>
      </c>
      <c r="AN198" s="47">
        <v>0</v>
      </c>
      <c r="AO198" s="47">
        <v>0</v>
      </c>
      <c r="AP198" s="47">
        <v>0</v>
      </c>
      <c r="AQ198" s="47">
        <v>0</v>
      </c>
      <c r="AR198" s="47">
        <v>0</v>
      </c>
      <c r="AS198" s="47">
        <v>0</v>
      </c>
      <c r="AT198" s="47">
        <v>0</v>
      </c>
      <c r="AU198" s="47">
        <v>0</v>
      </c>
      <c r="AV198" s="47">
        <v>0</v>
      </c>
      <c r="AW198" s="47">
        <v>0</v>
      </c>
      <c r="AX198" s="47">
        <v>0</v>
      </c>
      <c r="AY198" s="47">
        <v>0</v>
      </c>
      <c r="AZ198" s="47">
        <v>0</v>
      </c>
      <c r="BA198" s="47">
        <v>0</v>
      </c>
      <c r="BB198" s="47">
        <v>0</v>
      </c>
      <c r="BC198" s="47">
        <v>0</v>
      </c>
      <c r="BD198" s="47">
        <v>0</v>
      </c>
      <c r="BE198" s="47">
        <v>0</v>
      </c>
      <c r="BF198" s="47">
        <v>0</v>
      </c>
      <c r="BG198" s="47">
        <v>0</v>
      </c>
      <c r="BH198" s="47">
        <v>0</v>
      </c>
      <c r="BI198" s="47">
        <v>0</v>
      </c>
      <c r="BJ198" s="47">
        <v>0</v>
      </c>
      <c r="BK198" s="47">
        <v>0</v>
      </c>
      <c r="BL198" s="47">
        <v>0</v>
      </c>
      <c r="BM198" s="47">
        <v>0</v>
      </c>
      <c r="BN198" s="47">
        <v>0</v>
      </c>
      <c r="BO198" s="47">
        <v>0</v>
      </c>
      <c r="BP198" s="47">
        <v>0</v>
      </c>
      <c r="BQ198" s="47">
        <v>0</v>
      </c>
      <c r="BR198" s="47">
        <v>0</v>
      </c>
      <c r="BS198" s="47">
        <v>0</v>
      </c>
      <c r="BT198" s="47">
        <v>0</v>
      </c>
      <c r="BU198" s="47">
        <v>0</v>
      </c>
      <c r="BV198" s="47">
        <v>0</v>
      </c>
      <c r="BW198" s="47">
        <v>0</v>
      </c>
      <c r="BX198" s="47">
        <v>0</v>
      </c>
      <c r="BY198" s="47">
        <v>0</v>
      </c>
      <c r="BZ198" s="47">
        <v>0</v>
      </c>
      <c r="CA198" s="47">
        <v>0</v>
      </c>
      <c r="CB198" s="47">
        <v>0</v>
      </c>
      <c r="CC198" s="47">
        <v>0</v>
      </c>
      <c r="CD198" s="47">
        <v>0</v>
      </c>
      <c r="CE198" s="47">
        <v>0</v>
      </c>
      <c r="CF198" s="47">
        <v>0</v>
      </c>
      <c r="CG198" s="47">
        <v>0</v>
      </c>
      <c r="CH198" s="47">
        <v>0</v>
      </c>
      <c r="CI198" s="47">
        <v>0</v>
      </c>
      <c r="CJ198" s="47">
        <v>0</v>
      </c>
      <c r="CK198" s="47">
        <v>0</v>
      </c>
      <c r="CL198" s="47">
        <v>0</v>
      </c>
      <c r="CM198" s="47">
        <v>0</v>
      </c>
      <c r="CN198" s="47">
        <v>0</v>
      </c>
      <c r="CO198" s="47">
        <v>0</v>
      </c>
      <c r="CP198" s="47">
        <v>0</v>
      </c>
      <c r="CQ198" s="47">
        <v>0.8266</v>
      </c>
      <c r="CR198" s="47">
        <v>0</v>
      </c>
      <c r="CS198" s="47">
        <v>0</v>
      </c>
      <c r="CT198" s="47">
        <v>0</v>
      </c>
      <c r="CU198" s="47">
        <v>0</v>
      </c>
      <c r="CV198" s="47">
        <v>0</v>
      </c>
      <c r="CW198" s="47">
        <v>0</v>
      </c>
      <c r="CX198" s="47">
        <v>0</v>
      </c>
      <c r="CY198" s="47">
        <v>0</v>
      </c>
      <c r="CZ198" s="47">
        <v>0</v>
      </c>
      <c r="DA198" s="47">
        <v>0</v>
      </c>
      <c r="DB198" s="47">
        <v>0</v>
      </c>
      <c r="DC198" s="47">
        <v>0</v>
      </c>
      <c r="DD198" s="47">
        <v>0</v>
      </c>
      <c r="DE198" s="47">
        <v>0</v>
      </c>
      <c r="DF198" s="47">
        <v>0</v>
      </c>
      <c r="DG198" s="47">
        <v>0</v>
      </c>
      <c r="DH198" s="47">
        <v>0</v>
      </c>
      <c r="DI198" s="47">
        <v>0</v>
      </c>
      <c r="DJ198" s="47">
        <v>0</v>
      </c>
      <c r="DK198" s="47">
        <v>0</v>
      </c>
      <c r="DL198" s="47">
        <v>0</v>
      </c>
      <c r="DM198" s="47">
        <v>0</v>
      </c>
      <c r="DN198" s="47">
        <v>0</v>
      </c>
      <c r="DO198" s="47">
        <v>0</v>
      </c>
      <c r="DP198" s="47">
        <v>0</v>
      </c>
      <c r="DQ198" s="47">
        <v>0</v>
      </c>
      <c r="DR198" s="47">
        <v>0</v>
      </c>
    </row>
    <row r="199" spans="1:124" x14ac:dyDescent="0.25">
      <c r="A199" s="47" t="s">
        <v>1063</v>
      </c>
      <c r="B199" s="47" t="s">
        <v>151</v>
      </c>
      <c r="C199" s="47" t="s">
        <v>1064</v>
      </c>
      <c r="D199" s="47" t="s">
        <v>1065</v>
      </c>
      <c r="E199" s="47" t="s">
        <v>1066</v>
      </c>
      <c r="F199" s="47" t="s">
        <v>965</v>
      </c>
      <c r="G199" s="47" t="s">
        <v>966</v>
      </c>
      <c r="H199" s="47" t="str">
        <f>=IFERROR(VLOOKUP(A199,'ETPT Format DDG'!A:J,10,FALSE),"")</f>
        <v>0</v>
      </c>
      <c r="I199" s="47" t="str">
        <f>='ETPT Format DDG'!M199</f>
        <v/>
      </c>
      <c r="J199" s="47" t="str">
        <f>='ETPT Format DDG'!D199</f>
        <v/>
      </c>
      <c r="K199" s="47" t="s">
        <v>155</v>
      </c>
      <c r="L199" s="47" t="s">
        <v>1067</v>
      </c>
      <c r="M199" s="47"/>
      <c r="N199" s="47">
        <v>0.5403</v>
      </c>
      <c r="O199" s="47">
        <v>0.5403</v>
      </c>
      <c r="P199" s="47">
        <v>0</v>
      </c>
      <c r="Q199" s="47">
        <v>0</v>
      </c>
      <c r="R199" s="47">
        <v>0</v>
      </c>
      <c r="S199" s="47">
        <v>0</v>
      </c>
      <c r="T199" s="47">
        <v>0</v>
      </c>
      <c r="U199" s="47">
        <v>0.5403</v>
      </c>
      <c r="V199" s="47">
        <v>0</v>
      </c>
      <c r="W199" s="47">
        <v>0</v>
      </c>
      <c r="X199" s="47">
        <v>0</v>
      </c>
      <c r="Y199" s="47">
        <v>0</v>
      </c>
      <c r="Z199" s="47">
        <v>0</v>
      </c>
      <c r="AA199" s="47">
        <v>0</v>
      </c>
      <c r="AB199" s="47">
        <v>0</v>
      </c>
      <c r="AC199" s="47">
        <v>0</v>
      </c>
      <c r="AD199" s="47">
        <v>0</v>
      </c>
      <c r="AE199" s="47">
        <v>0</v>
      </c>
      <c r="AF199" s="47">
        <v>0</v>
      </c>
      <c r="AG199" s="47">
        <v>0</v>
      </c>
      <c r="AH199" s="47">
        <v>0</v>
      </c>
      <c r="AI199" s="47">
        <v>0</v>
      </c>
      <c r="AJ199" s="47">
        <v>0</v>
      </c>
      <c r="AK199" s="47">
        <v>0</v>
      </c>
      <c r="AL199" s="47">
        <v>0</v>
      </c>
      <c r="AM199" s="47">
        <v>0</v>
      </c>
      <c r="AN199" s="47">
        <v>0</v>
      </c>
      <c r="AO199" s="47">
        <v>0</v>
      </c>
      <c r="AP199" s="47">
        <v>0</v>
      </c>
      <c r="AQ199" s="47">
        <v>0</v>
      </c>
      <c r="AR199" s="47">
        <v>0</v>
      </c>
      <c r="AS199" s="47">
        <v>0</v>
      </c>
      <c r="AT199" s="47">
        <v>0</v>
      </c>
      <c r="AU199" s="47">
        <v>0</v>
      </c>
      <c r="AV199" s="47">
        <v>0</v>
      </c>
      <c r="AW199" s="47">
        <v>0</v>
      </c>
      <c r="AX199" s="47">
        <v>0</v>
      </c>
      <c r="AY199" s="47">
        <v>0</v>
      </c>
      <c r="AZ199" s="47">
        <v>0</v>
      </c>
      <c r="BA199" s="47">
        <v>0</v>
      </c>
      <c r="BB199" s="47">
        <v>0</v>
      </c>
      <c r="BC199" s="47">
        <v>0</v>
      </c>
      <c r="BD199" s="47">
        <v>0</v>
      </c>
      <c r="BE199" s="47">
        <v>0</v>
      </c>
      <c r="BF199" s="47">
        <v>0</v>
      </c>
      <c r="BG199" s="47">
        <v>0</v>
      </c>
      <c r="BH199" s="47">
        <v>0</v>
      </c>
      <c r="BI199" s="47">
        <v>0</v>
      </c>
      <c r="BJ199" s="47">
        <v>0</v>
      </c>
      <c r="BK199" s="47">
        <v>0</v>
      </c>
      <c r="BL199" s="47">
        <v>0</v>
      </c>
      <c r="BM199" s="47">
        <v>0</v>
      </c>
      <c r="BN199" s="47">
        <v>0</v>
      </c>
      <c r="BO199" s="47">
        <v>0</v>
      </c>
      <c r="BP199" s="47">
        <v>0</v>
      </c>
      <c r="BQ199" s="47">
        <v>0</v>
      </c>
      <c r="BR199" s="47">
        <v>0</v>
      </c>
      <c r="BS199" s="47">
        <v>0</v>
      </c>
      <c r="BT199" s="47">
        <v>0</v>
      </c>
      <c r="BU199" s="47">
        <v>0</v>
      </c>
      <c r="BV199" s="47">
        <v>0</v>
      </c>
      <c r="BW199" s="47">
        <v>0</v>
      </c>
      <c r="BX199" s="47">
        <v>0</v>
      </c>
      <c r="BY199" s="47">
        <v>0</v>
      </c>
      <c r="BZ199" s="47">
        <v>0</v>
      </c>
      <c r="CA199" s="47">
        <v>0</v>
      </c>
      <c r="CB199" s="47">
        <v>0</v>
      </c>
      <c r="CC199" s="47">
        <v>0</v>
      </c>
      <c r="CD199" s="47">
        <v>0</v>
      </c>
      <c r="CE199" s="47">
        <v>0</v>
      </c>
      <c r="CF199" s="47">
        <v>0</v>
      </c>
      <c r="CG199" s="47">
        <v>0</v>
      </c>
      <c r="CH199" s="47">
        <v>0</v>
      </c>
      <c r="CI199" s="47">
        <v>0</v>
      </c>
      <c r="CJ199" s="47">
        <v>0</v>
      </c>
      <c r="CK199" s="47">
        <v>0</v>
      </c>
      <c r="CL199" s="47">
        <v>0</v>
      </c>
      <c r="CM199" s="47">
        <v>0</v>
      </c>
      <c r="CN199" s="47">
        <v>0</v>
      </c>
      <c r="CO199" s="47">
        <v>0</v>
      </c>
      <c r="CP199" s="47">
        <v>0</v>
      </c>
      <c r="CQ199" s="47">
        <v>0</v>
      </c>
      <c r="CR199" s="47">
        <v>0</v>
      </c>
      <c r="CS199" s="47">
        <v>0</v>
      </c>
      <c r="CT199" s="47">
        <v>0</v>
      </c>
      <c r="CU199" s="47">
        <v>0</v>
      </c>
      <c r="CV199" s="47">
        <v>0</v>
      </c>
      <c r="CW199" s="47">
        <v>0</v>
      </c>
      <c r="CX199" s="47">
        <v>0</v>
      </c>
      <c r="CY199" s="47">
        <v>0</v>
      </c>
      <c r="CZ199" s="47">
        <v>0</v>
      </c>
      <c r="DA199" s="47">
        <v>0</v>
      </c>
      <c r="DB199" s="47">
        <v>0</v>
      </c>
      <c r="DC199" s="47">
        <v>0</v>
      </c>
      <c r="DD199" s="47">
        <v>0</v>
      </c>
      <c r="DE199" s="47">
        <v>0</v>
      </c>
      <c r="DF199" s="47">
        <v>0.4597</v>
      </c>
      <c r="DG199" s="47">
        <v>0.0766</v>
      </c>
      <c r="DH199" s="47">
        <v>0.3226</v>
      </c>
      <c r="DI199" s="47">
        <v>0</v>
      </c>
      <c r="DJ199" s="47">
        <v>0</v>
      </c>
      <c r="DK199" s="47">
        <v>0.0605</v>
      </c>
      <c r="DL199" s="47">
        <v>0</v>
      </c>
      <c r="DM199" s="47">
        <v>0</v>
      </c>
      <c r="DN199" s="47">
        <v>0</v>
      </c>
      <c r="DO199" s="47">
        <v>0</v>
      </c>
      <c r="DP199" s="47">
        <v>0</v>
      </c>
      <c r="DQ199" s="47">
        <v>0</v>
      </c>
      <c r="DR199" s="47">
        <v>0</v>
      </c>
    </row>
    <row r="200" spans="1:124" x14ac:dyDescent="0.25">
      <c r="A200" s="47" t="s">
        <v>1068</v>
      </c>
      <c r="B200" s="47" t="s">
        <v>151</v>
      </c>
      <c r="C200" s="47" t="s">
        <v>1069</v>
      </c>
      <c r="D200" s="47" t="s">
        <v>1070</v>
      </c>
      <c r="E200" s="47" t="s">
        <v>366</v>
      </c>
      <c r="F200" s="47" t="s">
        <v>965</v>
      </c>
      <c r="G200" s="47" t="s">
        <v>966</v>
      </c>
      <c r="H200" s="47" t="str">
        <f>=IFERROR(VLOOKUP(A200,'ETPT Format DDG'!A:J,10,FALSE),"")</f>
        <v>0</v>
      </c>
      <c r="I200" s="47" t="str">
        <f>='ETPT Format DDG'!M200</f>
        <v/>
      </c>
      <c r="J200" s="47" t="str">
        <f>='ETPT Format DDG'!D200</f>
        <v/>
      </c>
      <c r="K200" s="47" t="s">
        <v>155</v>
      </c>
      <c r="L200" s="47" t="s">
        <v>1071</v>
      </c>
      <c r="M200" s="47"/>
      <c r="N200" s="47">
        <v>0.0403</v>
      </c>
      <c r="O200" s="47">
        <v>0.0403</v>
      </c>
      <c r="P200" s="47">
        <v>0</v>
      </c>
      <c r="Q200" s="47">
        <v>0</v>
      </c>
      <c r="R200" s="47">
        <v>0</v>
      </c>
      <c r="S200" s="47">
        <v>0</v>
      </c>
      <c r="T200" s="47">
        <v>0</v>
      </c>
      <c r="U200" s="47">
        <v>0</v>
      </c>
      <c r="V200" s="47">
        <v>0</v>
      </c>
      <c r="W200" s="47">
        <v>0</v>
      </c>
      <c r="X200" s="47">
        <v>0</v>
      </c>
      <c r="Y200" s="47">
        <v>0</v>
      </c>
      <c r="Z200" s="47">
        <v>0</v>
      </c>
      <c r="AA200" s="47">
        <v>0</v>
      </c>
      <c r="AB200" s="47">
        <v>0</v>
      </c>
      <c r="AC200" s="47">
        <v>0</v>
      </c>
      <c r="AD200" s="47">
        <v>0</v>
      </c>
      <c r="AE200" s="47">
        <v>0</v>
      </c>
      <c r="AF200" s="47">
        <v>0</v>
      </c>
      <c r="AG200" s="47">
        <v>0</v>
      </c>
      <c r="AH200" s="47">
        <v>0</v>
      </c>
      <c r="AI200" s="47">
        <v>0</v>
      </c>
      <c r="AJ200" s="47">
        <v>0</v>
      </c>
      <c r="AK200" s="47">
        <v>0</v>
      </c>
      <c r="AL200" s="47">
        <v>0</v>
      </c>
      <c r="AM200" s="47">
        <v>0</v>
      </c>
      <c r="AN200" s="47">
        <v>0</v>
      </c>
      <c r="AO200" s="47">
        <v>0</v>
      </c>
      <c r="AP200" s="47">
        <v>0</v>
      </c>
      <c r="AQ200" s="47">
        <v>0</v>
      </c>
      <c r="AR200" s="47">
        <v>0</v>
      </c>
      <c r="AS200" s="47">
        <v>0</v>
      </c>
      <c r="AT200" s="47">
        <v>0</v>
      </c>
      <c r="AU200" s="47">
        <v>0</v>
      </c>
      <c r="AV200" s="47">
        <v>0</v>
      </c>
      <c r="AW200" s="47">
        <v>0</v>
      </c>
      <c r="AX200" s="47">
        <v>0</v>
      </c>
      <c r="AY200" s="47">
        <v>0</v>
      </c>
      <c r="AZ200" s="47">
        <v>0</v>
      </c>
      <c r="BA200" s="47">
        <v>0</v>
      </c>
      <c r="BB200" s="47">
        <v>0</v>
      </c>
      <c r="BC200" s="47">
        <v>0</v>
      </c>
      <c r="BD200" s="47">
        <v>0</v>
      </c>
      <c r="BE200" s="47">
        <v>0</v>
      </c>
      <c r="BF200" s="47">
        <v>0</v>
      </c>
      <c r="BG200" s="47">
        <v>0</v>
      </c>
      <c r="BH200" s="47">
        <v>0</v>
      </c>
      <c r="BI200" s="47">
        <v>0</v>
      </c>
      <c r="BJ200" s="47">
        <v>0</v>
      </c>
      <c r="BK200" s="47">
        <v>0</v>
      </c>
      <c r="BL200" s="47">
        <v>0</v>
      </c>
      <c r="BM200" s="47">
        <v>0</v>
      </c>
      <c r="BN200" s="47">
        <v>0</v>
      </c>
      <c r="BO200" s="47">
        <v>0.0403</v>
      </c>
      <c r="BP200" s="47">
        <v>0</v>
      </c>
      <c r="BQ200" s="47">
        <v>0</v>
      </c>
      <c r="BR200" s="47">
        <v>0</v>
      </c>
      <c r="BS200" s="47">
        <v>0</v>
      </c>
      <c r="BT200" s="47">
        <v>0</v>
      </c>
      <c r="BU200" s="47">
        <v>0</v>
      </c>
      <c r="BV200" s="47">
        <v>0</v>
      </c>
      <c r="BW200" s="47">
        <v>0</v>
      </c>
      <c r="BX200" s="47">
        <v>0</v>
      </c>
      <c r="BY200" s="47">
        <v>0</v>
      </c>
      <c r="BZ200" s="47">
        <v>0</v>
      </c>
      <c r="CA200" s="47">
        <v>0</v>
      </c>
      <c r="CB200" s="47">
        <v>0</v>
      </c>
      <c r="CC200" s="47">
        <v>0</v>
      </c>
      <c r="CD200" s="47">
        <v>0</v>
      </c>
      <c r="CE200" s="47">
        <v>0</v>
      </c>
      <c r="CF200" s="47">
        <v>0</v>
      </c>
      <c r="CG200" s="47">
        <v>0</v>
      </c>
      <c r="CH200" s="47">
        <v>0</v>
      </c>
      <c r="CI200" s="47">
        <v>0</v>
      </c>
      <c r="CJ200" s="47">
        <v>0</v>
      </c>
      <c r="CK200" s="47">
        <v>0</v>
      </c>
      <c r="CL200" s="47">
        <v>0</v>
      </c>
      <c r="CM200" s="47">
        <v>0</v>
      </c>
      <c r="CN200" s="47">
        <v>0</v>
      </c>
      <c r="CO200" s="47">
        <v>0</v>
      </c>
      <c r="CP200" s="47">
        <v>0</v>
      </c>
      <c r="CQ200" s="47">
        <v>0</v>
      </c>
      <c r="CR200" s="47">
        <v>0</v>
      </c>
      <c r="CS200" s="47">
        <v>0</v>
      </c>
      <c r="CT200" s="47">
        <v>0</v>
      </c>
      <c r="CU200" s="47">
        <v>0</v>
      </c>
      <c r="CV200" s="47">
        <v>0</v>
      </c>
      <c r="CW200" s="47">
        <v>0</v>
      </c>
      <c r="CX200" s="47">
        <v>0</v>
      </c>
      <c r="CY200" s="47">
        <v>0</v>
      </c>
      <c r="CZ200" s="47">
        <v>0</v>
      </c>
      <c r="DA200" s="47">
        <v>0</v>
      </c>
      <c r="DB200" s="47">
        <v>0</v>
      </c>
      <c r="DC200" s="47">
        <v>0</v>
      </c>
      <c r="DD200" s="47">
        <v>0</v>
      </c>
      <c r="DE200" s="47">
        <v>0</v>
      </c>
      <c r="DF200" s="47">
        <v>0</v>
      </c>
      <c r="DG200" s="47">
        <v>0</v>
      </c>
      <c r="DH200" s="47">
        <v>0</v>
      </c>
      <c r="DI200" s="47">
        <v>0</v>
      </c>
      <c r="DJ200" s="47">
        <v>0</v>
      </c>
      <c r="DK200" s="47">
        <v>0</v>
      </c>
      <c r="DL200" s="47">
        <v>0</v>
      </c>
      <c r="DM200" s="47">
        <v>0</v>
      </c>
      <c r="DN200" s="47">
        <v>0</v>
      </c>
      <c r="DO200" s="47">
        <v>0</v>
      </c>
      <c r="DP200" s="47">
        <v>0</v>
      </c>
      <c r="DQ200" s="47">
        <v>0</v>
      </c>
      <c r="DR200" s="47">
        <v>0</v>
      </c>
    </row>
    <row r="201" spans="1:2" x14ac:dyDescent="0.25">
      <c r="B201" s="48"/>
    </row>
    <row r="203" spans="1:3" x14ac:dyDescent="0.25">
      <c r="A203" s="49"/>
      <c r="B203" s="49"/>
      <c r="C203" s="50"/>
    </row>
    <row r="204" spans="1:3" x14ac:dyDescent="0.25">
      <c r="B204" s="49"/>
      <c r="C204" s="50"/>
    </row>
  </sheetData>
  <sheetProtection sheet="1" sort="0" autoFilter="0"/>
  <autoFilter ref="A2:DR2"/>
  <pageMargins left="0.7" right="0.7" top="0.75" bottom="0.75" header="0.3" footer="0.3"/>
  <pageSetup paperSize="9" orientation="portrait" horizontalDpi="4294967295" verticalDpi="0" scale="100" fitToWidth="1" fitToHeight="1" firstPageNumber="1" useFirstPageNumber="1" copies="1"/>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C45E0"/>
  </sheetPr>
  <dimension ref="A1:ZZ201"/>
  <sheetViews>
    <sheetView workbookViewId="0" zoomScale="100" zoomScaleNormal="110">
      <pane xSplit="6" ySplit="2" topLeftCell="G3" activePane="bottomRight" state="frozen"/>
      <selection pane="bottomRight" activeCell="I7" sqref="I7"/>
    </sheetView>
  </sheetViews>
  <sheetFormatPr defaultRowHeight="15" outlineLevelRow="0" outlineLevelCol="0" x14ac:dyDescent="0.2"/>
  <cols>
    <col min="1" max="3" customWidth="1"/>
    <col min="4" max="4" width="12.5" customWidth="1"/>
    <col min="5" max="5" width="27" customWidth="1"/>
    <col min="6" max="7" width="10" customWidth="1"/>
    <col min="8" max="8" width="19" customWidth="1"/>
    <col min="9" max="9" width="20" customWidth="1"/>
    <col min="10" max="13" customWidth="1"/>
    <col min="14" max="17" width="26" customWidth="1"/>
    <col min="18" max="131" width="27" customWidth="1"/>
  </cols>
  <sheetData>
    <row r="1" ht="80" customHeight="1" spans="1:133" s="40" customFormat="1" x14ac:dyDescent="0.25">
      <c r="A1" s="41"/>
      <c r="B1" s="41"/>
      <c r="C1" s="41"/>
      <c r="D1" s="51" t="s">
        <v>1072</v>
      </c>
      <c r="E1" s="51"/>
      <c r="F1" s="51"/>
      <c r="G1" s="51"/>
      <c r="H1" s="51"/>
      <c r="I1" s="51"/>
      <c r="J1" s="51"/>
      <c r="K1" s="51"/>
      <c r="L1" s="51"/>
      <c r="M1" s="51"/>
      <c r="N1" s="51"/>
      <c r="O1" s="51"/>
      <c r="P1" s="51"/>
      <c r="Q1" s="51"/>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S1" s="44"/>
      <c r="DT1" s="44"/>
      <c r="DU1" s="44"/>
      <c r="DV1" s="44"/>
      <c r="DW1" s="44"/>
      <c r="DX1" s="44"/>
      <c r="DY1" s="44"/>
      <c r="DZ1" s="44"/>
      <c r="EA1" s="44"/>
      <c r="EC1" s="40"/>
    </row>
    <row r="2" ht="66" customHeight="1" spans="1:133" x14ac:dyDescent="0.25">
      <c r="A2" s="46" t="s">
        <v>28</v>
      </c>
      <c r="B2" s="46" t="s">
        <v>29</v>
      </c>
      <c r="C2" s="46" t="s">
        <v>38</v>
      </c>
      <c r="D2" s="46" t="s">
        <v>37</v>
      </c>
      <c r="E2" s="46" t="s">
        <v>30</v>
      </c>
      <c r="F2" s="46" t="s">
        <v>31</v>
      </c>
      <c r="G2" s="46" t="s">
        <v>32</v>
      </c>
      <c r="H2" s="46" t="s">
        <v>33</v>
      </c>
      <c r="I2" s="46" t="s">
        <v>34</v>
      </c>
      <c r="J2" s="46" t="s">
        <v>35</v>
      </c>
      <c r="K2" s="46" t="s">
        <v>1073</v>
      </c>
      <c r="L2" s="46" t="s">
        <v>1074</v>
      </c>
      <c r="M2" s="46" t="s">
        <v>36</v>
      </c>
      <c r="N2" s="46" t="s">
        <v>39</v>
      </c>
      <c r="O2" s="46" t="s">
        <v>40</v>
      </c>
      <c r="P2" s="46" t="s">
        <v>1075</v>
      </c>
      <c r="Q2" s="46" t="s">
        <v>1076</v>
      </c>
      <c r="R2" s="46" t="s">
        <v>1077</v>
      </c>
      <c r="S2" s="46" t="s">
        <v>1078</v>
      </c>
      <c r="T2" s="46" t="s">
        <v>1079</v>
      </c>
      <c r="U2" s="46" t="s">
        <v>43</v>
      </c>
      <c r="V2" s="46" t="s">
        <v>44</v>
      </c>
      <c r="W2" s="46" t="s">
        <v>45</v>
      </c>
      <c r="X2" s="46" t="s">
        <v>46</v>
      </c>
      <c r="Y2" s="46" t="s">
        <v>47</v>
      </c>
      <c r="Z2" s="46" t="s">
        <v>48</v>
      </c>
      <c r="AA2" s="46" t="s">
        <v>49</v>
      </c>
      <c r="AB2" s="46" t="s">
        <v>50</v>
      </c>
      <c r="AC2" s="46" t="s">
        <v>51</v>
      </c>
      <c r="AD2" s="46" t="s">
        <v>52</v>
      </c>
      <c r="AE2" s="46" t="s">
        <v>53</v>
      </c>
      <c r="AF2" s="46" t="s">
        <v>54</v>
      </c>
      <c r="AG2" s="46" t="s">
        <v>55</v>
      </c>
      <c r="AH2" s="46" t="s">
        <v>56</v>
      </c>
      <c r="AI2" s="46" t="s">
        <v>57</v>
      </c>
      <c r="AJ2" s="46" t="s">
        <v>58</v>
      </c>
      <c r="AK2" s="46" t="s">
        <v>59</v>
      </c>
      <c r="AL2" s="46" t="s">
        <v>60</v>
      </c>
      <c r="AM2" s="46" t="s">
        <v>61</v>
      </c>
      <c r="AN2" s="46" t="s">
        <v>62</v>
      </c>
      <c r="AO2" s="46" t="s">
        <v>63</v>
      </c>
      <c r="AP2" s="46" t="s">
        <v>64</v>
      </c>
      <c r="AQ2" s="46" t="s">
        <v>65</v>
      </c>
      <c r="AR2" s="46" t="s">
        <v>66</v>
      </c>
      <c r="AS2" s="46" t="s">
        <v>67</v>
      </c>
      <c r="AT2" s="46" t="s">
        <v>68</v>
      </c>
      <c r="AU2" s="46" t="s">
        <v>69</v>
      </c>
      <c r="AV2" s="46" t="s">
        <v>70</v>
      </c>
      <c r="AW2" s="46" t="s">
        <v>71</v>
      </c>
      <c r="AX2" s="46" t="s">
        <v>72</v>
      </c>
      <c r="AY2" s="46" t="s">
        <v>73</v>
      </c>
      <c r="AZ2" s="46" t="s">
        <v>74</v>
      </c>
      <c r="BA2" s="46" t="s">
        <v>75</v>
      </c>
      <c r="BB2" s="46" t="s">
        <v>76</v>
      </c>
      <c r="BC2" s="46" t="s">
        <v>77</v>
      </c>
      <c r="BD2" s="46" t="s">
        <v>78</v>
      </c>
      <c r="BE2" s="46" t="s">
        <v>79</v>
      </c>
      <c r="BF2" s="46" t="s">
        <v>80</v>
      </c>
      <c r="BG2" s="46" t="s">
        <v>81</v>
      </c>
      <c r="BH2" s="46" t="s">
        <v>82</v>
      </c>
      <c r="BI2" s="46" t="s">
        <v>83</v>
      </c>
      <c r="BJ2" s="46" t="s">
        <v>84</v>
      </c>
      <c r="BK2" s="46" t="s">
        <v>85</v>
      </c>
      <c r="BL2" s="46" t="s">
        <v>86</v>
      </c>
      <c r="BM2" s="46" t="s">
        <v>87</v>
      </c>
      <c r="BN2" s="46" t="s">
        <v>88</v>
      </c>
      <c r="BO2" s="46" t="s">
        <v>89</v>
      </c>
      <c r="BP2" s="46" t="s">
        <v>90</v>
      </c>
      <c r="BQ2" s="46" t="s">
        <v>91</v>
      </c>
      <c r="BR2" s="46" t="s">
        <v>92</v>
      </c>
      <c r="BS2" s="46" t="s">
        <v>93</v>
      </c>
      <c r="BT2" s="46" t="s">
        <v>94</v>
      </c>
      <c r="BU2" s="46" t="s">
        <v>95</v>
      </c>
      <c r="BV2" s="46" t="s">
        <v>96</v>
      </c>
      <c r="BW2" s="46" t="s">
        <v>97</v>
      </c>
      <c r="BX2" s="46" t="s">
        <v>98</v>
      </c>
      <c r="BY2" s="46" t="s">
        <v>99</v>
      </c>
      <c r="BZ2" s="46" t="s">
        <v>100</v>
      </c>
      <c r="CA2" s="46" t="s">
        <v>101</v>
      </c>
      <c r="CB2" s="46" t="s">
        <v>102</v>
      </c>
      <c r="CC2" s="46" t="s">
        <v>103</v>
      </c>
      <c r="CD2" s="46" t="s">
        <v>104</v>
      </c>
      <c r="CE2" s="46" t="s">
        <v>105</v>
      </c>
      <c r="CF2" s="46" t="s">
        <v>106</v>
      </c>
      <c r="CG2" s="46" t="s">
        <v>107</v>
      </c>
      <c r="CH2" s="46" t="s">
        <v>108</v>
      </c>
      <c r="CI2" s="46" t="s">
        <v>109</v>
      </c>
      <c r="CJ2" s="46" t="s">
        <v>110</v>
      </c>
      <c r="CK2" s="46" t="s">
        <v>111</v>
      </c>
      <c r="CL2" s="46" t="s">
        <v>112</v>
      </c>
      <c r="CM2" s="46" t="s">
        <v>113</v>
      </c>
      <c r="CN2" s="46" t="s">
        <v>114</v>
      </c>
      <c r="CO2" s="46" t="s">
        <v>115</v>
      </c>
      <c r="CP2" s="46" t="s">
        <v>116</v>
      </c>
      <c r="CQ2" s="46" t="s">
        <v>117</v>
      </c>
      <c r="CR2" s="46" t="s">
        <v>118</v>
      </c>
      <c r="CS2" s="46" t="s">
        <v>119</v>
      </c>
      <c r="CT2" s="46" t="s">
        <v>120</v>
      </c>
      <c r="CU2" s="46" t="s">
        <v>121</v>
      </c>
      <c r="CV2" s="46" t="s">
        <v>122</v>
      </c>
      <c r="CW2" s="46" t="s">
        <v>123</v>
      </c>
      <c r="CX2" s="46" t="s">
        <v>124</v>
      </c>
      <c r="CY2" s="46" t="s">
        <v>125</v>
      </c>
      <c r="CZ2" s="46" t="s">
        <v>126</v>
      </c>
      <c r="DA2" s="46" t="s">
        <v>127</v>
      </c>
      <c r="DB2" s="46" t="s">
        <v>128</v>
      </c>
      <c r="DC2" s="46" t="s">
        <v>129</v>
      </c>
      <c r="DD2" s="46" t="s">
        <v>130</v>
      </c>
      <c r="DE2" s="46" t="s">
        <v>131</v>
      </c>
      <c r="DF2" s="46" t="s">
        <v>132</v>
      </c>
      <c r="DG2" s="46" t="s">
        <v>133</v>
      </c>
      <c r="DH2" s="46" t="s">
        <v>134</v>
      </c>
      <c r="DI2" s="46" t="s">
        <v>135</v>
      </c>
      <c r="DJ2" s="46" t="s">
        <v>136</v>
      </c>
      <c r="DK2" s="46" t="s">
        <v>1080</v>
      </c>
      <c r="DL2" s="46" t="s">
        <v>143</v>
      </c>
      <c r="DM2" s="46" t="s">
        <v>144</v>
      </c>
      <c r="DN2" s="46" t="s">
        <v>145</v>
      </c>
      <c r="DO2" s="46" t="s">
        <v>146</v>
      </c>
      <c r="DP2" s="46" t="s">
        <v>147</v>
      </c>
      <c r="DQ2" s="46" t="s">
        <v>148</v>
      </c>
      <c r="DR2" s="46" t="s">
        <v>149</v>
      </c>
      <c r="DS2" s="46" t="s">
        <v>1081</v>
      </c>
      <c r="DT2" s="46" t="s">
        <v>1082</v>
      </c>
      <c r="DU2" s="46" t="s">
        <v>138</v>
      </c>
      <c r="DV2" s="46" t="s">
        <v>139</v>
      </c>
      <c r="DW2" s="46" t="s">
        <v>141</v>
      </c>
      <c r="DX2" s="46" t="s">
        <v>142</v>
      </c>
      <c r="DY2" s="46" t="s">
        <v>1083</v>
      </c>
      <c r="DZ2" s="46" t="s">
        <v>1084</v>
      </c>
      <c r="EA2" s="46" t="s">
        <v>1085</v>
      </c>
    </row>
    <row r="3" spans="1:702" x14ac:dyDescent="0.25">
      <c r="A3" s="47" t="s">
        <v>150</v>
      </c>
      <c r="B3" s="47" t="s">
        <v>151</v>
      </c>
      <c r="C3" s="47" t="s">
        <v>155</v>
      </c>
      <c r="D3" s="47" t="s">
        <v>1086</v>
      </c>
      <c r="E3" s="47" t="s">
        <v>152</v>
      </c>
      <c r="F3" s="47" t="s">
        <v>153</v>
      </c>
      <c r="G3" s="47" t="s">
        <v>154</v>
      </c>
      <c r="H3" s="47"/>
      <c r="I3" s="47"/>
      <c r="J3" s="47" t="str">
        <f>=IFERROR(VLOOKUP(H3&amp;I3,Table_Fonctions!A:G,6,FALSE),"")</f>
        <v>0</v>
      </c>
      <c r="K3" s="47"/>
      <c r="L3" s="47" t="str">
        <f>=IFERROR(VLOOKUP(H3&amp;I3,Table_Fonctions!A:G,7,FALSE),K3)</f>
        <v/>
      </c>
      <c r="M3" s="47" t="str">
        <f>=IF(OR(LEFT(D3, 3)="TJ ", LEFT(D3, 4)="CPH "), "OUI", "NON")</f>
        <v/>
      </c>
      <c r="N3" s="47" t="s">
        <v>156</v>
      </c>
      <c r="O3" s="47"/>
      <c r="P3" s="47">
        <v>0</v>
      </c>
      <c r="Q3" s="47">
        <v>0</v>
      </c>
      <c r="R3" s="47">
        <v>0</v>
      </c>
      <c r="S3" s="47">
        <f>=ROUND(BQ3-(BR3+BS3),3)</f>
      </c>
      <c r="T3" s="47">
        <f>=ROUND(CK3-(CL3+CM3+CN3+CO3+CP3),3)</f>
      </c>
      <c r="U3" s="47">
        <v>0</v>
      </c>
      <c r="V3" s="47">
        <v>0</v>
      </c>
      <c r="W3" s="47">
        <v>0</v>
      </c>
      <c r="X3" s="47">
        <v>0</v>
      </c>
      <c r="Y3" s="47">
        <v>0</v>
      </c>
      <c r="Z3" s="47">
        <v>0</v>
      </c>
      <c r="AA3" s="47">
        <v>0</v>
      </c>
      <c r="AB3" s="47">
        <v>0</v>
      </c>
      <c r="AC3" s="47">
        <v>0</v>
      </c>
      <c r="AD3" s="47">
        <v>0</v>
      </c>
      <c r="AE3" s="47">
        <v>0</v>
      </c>
      <c r="AF3" s="47">
        <v>0</v>
      </c>
      <c r="AG3" s="47">
        <v>0</v>
      </c>
      <c r="AH3" s="47">
        <v>0</v>
      </c>
      <c r="AI3" s="47">
        <v>0</v>
      </c>
      <c r="AJ3" s="47">
        <v>0</v>
      </c>
      <c r="AK3" s="47">
        <v>0</v>
      </c>
      <c r="AL3" s="47">
        <v>0</v>
      </c>
      <c r="AM3" s="47">
        <v>0</v>
      </c>
      <c r="AN3" s="47">
        <v>0</v>
      </c>
      <c r="AO3" s="47">
        <v>0</v>
      </c>
      <c r="AP3" s="47">
        <v>0</v>
      </c>
      <c r="AQ3" s="47">
        <v>0</v>
      </c>
      <c r="AR3" s="47">
        <v>0</v>
      </c>
      <c r="AS3" s="47">
        <v>0</v>
      </c>
      <c r="AT3" s="47">
        <v>0</v>
      </c>
      <c r="AU3" s="47">
        <v>0</v>
      </c>
      <c r="AV3" s="47">
        <v>0</v>
      </c>
      <c r="AW3" s="47">
        <v>0</v>
      </c>
      <c r="AX3" s="47">
        <v>0</v>
      </c>
      <c r="AY3" s="47">
        <v>0</v>
      </c>
      <c r="AZ3" s="47">
        <v>0</v>
      </c>
      <c r="BA3" s="47">
        <v>0</v>
      </c>
      <c r="BB3" s="47">
        <v>0</v>
      </c>
      <c r="BC3" s="47">
        <v>0</v>
      </c>
      <c r="BD3" s="47">
        <v>0</v>
      </c>
      <c r="BE3" s="47">
        <v>0</v>
      </c>
      <c r="BF3" s="47">
        <v>0</v>
      </c>
      <c r="BG3" s="47">
        <v>0</v>
      </c>
      <c r="BH3" s="47">
        <v>0</v>
      </c>
      <c r="BI3" s="47">
        <v>0</v>
      </c>
      <c r="BJ3" s="47">
        <v>0</v>
      </c>
      <c r="BK3" s="47">
        <v>0</v>
      </c>
      <c r="BL3" s="47">
        <v>0</v>
      </c>
      <c r="BM3" s="47">
        <v>0</v>
      </c>
      <c r="BN3" s="47">
        <v>0</v>
      </c>
      <c r="BO3" s="47">
        <v>0</v>
      </c>
      <c r="BP3" s="47">
        <v>0</v>
      </c>
      <c r="BQ3" s="47">
        <v>0</v>
      </c>
      <c r="BR3" s="47">
        <v>0</v>
      </c>
      <c r="BS3" s="47">
        <v>0</v>
      </c>
      <c r="BT3" s="47">
        <v>0</v>
      </c>
      <c r="BU3" s="47">
        <v>0</v>
      </c>
      <c r="BV3" s="47">
        <v>0</v>
      </c>
      <c r="BW3" s="47">
        <v>0</v>
      </c>
      <c r="BX3" s="47">
        <v>0</v>
      </c>
      <c r="BY3" s="47">
        <v>0</v>
      </c>
      <c r="BZ3" s="47">
        <v>0</v>
      </c>
      <c r="CA3" s="47">
        <v>0</v>
      </c>
      <c r="CB3" s="47">
        <v>0</v>
      </c>
      <c r="CC3" s="47">
        <v>0</v>
      </c>
      <c r="CD3" s="47">
        <v>0</v>
      </c>
      <c r="CE3" s="47">
        <v>0</v>
      </c>
      <c r="CF3" s="47">
        <v>0</v>
      </c>
      <c r="CG3" s="47">
        <v>0</v>
      </c>
      <c r="CH3" s="47">
        <v>0</v>
      </c>
      <c r="CI3" s="47">
        <v>0</v>
      </c>
      <c r="CJ3" s="47">
        <v>0</v>
      </c>
      <c r="CK3" s="47">
        <v>0</v>
      </c>
      <c r="CL3" s="47">
        <v>0</v>
      </c>
      <c r="CM3" s="47">
        <v>0</v>
      </c>
      <c r="CN3" s="47">
        <v>0</v>
      </c>
      <c r="CO3" s="47">
        <v>0</v>
      </c>
      <c r="CP3" s="47">
        <v>0</v>
      </c>
      <c r="CQ3" s="47">
        <v>0</v>
      </c>
      <c r="CR3" s="47">
        <v>0</v>
      </c>
      <c r="CS3" s="47">
        <v>0</v>
      </c>
      <c r="CT3" s="47">
        <v>0</v>
      </c>
      <c r="CU3" s="47">
        <v>0</v>
      </c>
      <c r="CV3" s="47">
        <v>0</v>
      </c>
      <c r="CW3" s="47">
        <v>0</v>
      </c>
      <c r="CX3" s="47">
        <v>0</v>
      </c>
      <c r="CY3" s="47">
        <v>0</v>
      </c>
      <c r="CZ3" s="47">
        <v>0</v>
      </c>
      <c r="DA3" s="47">
        <v>0</v>
      </c>
      <c r="DB3" s="47">
        <v>0</v>
      </c>
      <c r="DC3" s="47">
        <v>0</v>
      </c>
      <c r="DD3" s="47">
        <v>0</v>
      </c>
      <c r="DE3" s="47">
        <v>0</v>
      </c>
      <c r="DF3" s="47">
        <v>0</v>
      </c>
      <c r="DG3" s="47">
        <v>0</v>
      </c>
      <c r="DH3" s="47">
        <v>0</v>
      </c>
      <c r="DI3" s="47">
        <v>0</v>
      </c>
      <c r="DJ3" s="47">
        <v>0</v>
      </c>
      <c r="DK3" s="47">
        <v>0</v>
      </c>
      <c r="DL3" s="47">
        <v>0</v>
      </c>
      <c r="DM3" s="47">
        <v>0</v>
      </c>
      <c r="DN3" s="47">
        <v>0</v>
      </c>
      <c r="DO3" s="47">
        <v>0</v>
      </c>
      <c r="DP3" s="47">
        <v>0</v>
      </c>
      <c r="DQ3" s="47">
        <v>0</v>
      </c>
      <c r="DR3" s="47">
        <v>0</v>
      </c>
      <c r="DS3" s="47">
        <v>0</v>
      </c>
      <c r="DT3" s="47">
        <v>0</v>
      </c>
      <c r="DU3" s="47">
        <v>0</v>
      </c>
      <c r="DV3" s="47">
        <v>0</v>
      </c>
      <c r="DW3" s="47">
        <v>0</v>
      </c>
      <c r="DX3" s="47">
        <v>0</v>
      </c>
      <c r="DY3" s="47">
        <v>0</v>
      </c>
      <c r="DZ3" s="47"/>
      <c r="EA3" s="47">
        <v>0</v>
      </c>
      <c r="ZZ3" t="s">
        <v>1084</v>
      </c>
    </row>
    <row r="4" spans="1:702" x14ac:dyDescent="0.25">
      <c r="A4" s="47" t="s">
        <v>157</v>
      </c>
      <c r="B4" s="47" t="s">
        <v>151</v>
      </c>
      <c r="C4" s="47" t="s">
        <v>155</v>
      </c>
      <c r="D4" s="47" t="s">
        <v>1087</v>
      </c>
      <c r="E4" s="47" t="s">
        <v>158</v>
      </c>
      <c r="F4" s="47" t="s">
        <v>159</v>
      </c>
      <c r="G4" s="47" t="s">
        <v>160</v>
      </c>
      <c r="H4" s="47" t="s">
        <v>161</v>
      </c>
      <c r="I4" s="47" t="s">
        <v>162</v>
      </c>
      <c r="J4" s="47" t="str">
        <f>=IFERROR(VLOOKUP(H4&amp;I4,Table_Fonctions!A:G,6,FALSE),"")</f>
        <v>0</v>
      </c>
      <c r="K4" s="47" t="s">
        <v>1088</v>
      </c>
      <c r="L4" s="47" t="str">
        <f>=IFERROR(VLOOKUP(H4&amp;I4,Table_Fonctions!A:G,7,FALSE),K4)</f>
        <v/>
      </c>
      <c r="M4" s="47" t="str">
        <f>=IF(OR(LEFT(D4, 3)="TJ ", LEFT(D4, 4)="CPH "), "OUI", "NON")</f>
        <v/>
      </c>
      <c r="N4" s="47" t="s">
        <v>163</v>
      </c>
      <c r="O4" s="47"/>
      <c r="P4" s="47">
        <v>1</v>
      </c>
      <c r="Q4" s="47">
        <v>1</v>
      </c>
      <c r="R4" s="47">
        <v>0</v>
      </c>
      <c r="S4" s="47">
        <f>=ROUND(BQ4-(BR4+BS4),3)</f>
      </c>
      <c r="T4" s="47">
        <f>=ROUND(CK4-(CL4+CM4+CN4+CO4+CP4),3)</f>
      </c>
      <c r="U4" s="47">
        <v>0</v>
      </c>
      <c r="V4" s="47">
        <v>0</v>
      </c>
      <c r="W4" s="47">
        <v>0</v>
      </c>
      <c r="X4" s="47">
        <v>0</v>
      </c>
      <c r="Y4" s="47">
        <v>0</v>
      </c>
      <c r="Z4" s="47">
        <v>0.91</v>
      </c>
      <c r="AA4" s="47">
        <v>0</v>
      </c>
      <c r="AB4" s="47">
        <v>0</v>
      </c>
      <c r="AC4" s="47">
        <v>0</v>
      </c>
      <c r="AD4" s="47">
        <v>0</v>
      </c>
      <c r="AE4" s="47">
        <v>0</v>
      </c>
      <c r="AF4" s="47">
        <v>0</v>
      </c>
      <c r="AG4" s="47">
        <v>0</v>
      </c>
      <c r="AH4" s="47">
        <v>0</v>
      </c>
      <c r="AI4" s="47">
        <v>0</v>
      </c>
      <c r="AJ4" s="47">
        <v>0</v>
      </c>
      <c r="AK4" s="47">
        <v>0</v>
      </c>
      <c r="AL4" s="47">
        <v>0</v>
      </c>
      <c r="AM4" s="47">
        <v>0</v>
      </c>
      <c r="AN4" s="47">
        <v>0</v>
      </c>
      <c r="AO4" s="47">
        <v>0</v>
      </c>
      <c r="AP4" s="47">
        <v>0</v>
      </c>
      <c r="AQ4" s="47">
        <v>0</v>
      </c>
      <c r="AR4" s="47">
        <v>0</v>
      </c>
      <c r="AS4" s="47">
        <v>0</v>
      </c>
      <c r="AT4" s="47">
        <v>0</v>
      </c>
      <c r="AU4" s="47">
        <v>0</v>
      </c>
      <c r="AV4" s="47">
        <v>0</v>
      </c>
      <c r="AW4" s="47">
        <v>0</v>
      </c>
      <c r="AX4" s="47">
        <v>0</v>
      </c>
      <c r="AY4" s="47">
        <v>0</v>
      </c>
      <c r="AZ4" s="47">
        <v>0</v>
      </c>
      <c r="BA4" s="47">
        <v>0</v>
      </c>
      <c r="BB4" s="47">
        <v>0</v>
      </c>
      <c r="BC4" s="47">
        <v>0</v>
      </c>
      <c r="BD4" s="47">
        <v>0</v>
      </c>
      <c r="BE4" s="47">
        <v>0</v>
      </c>
      <c r="BF4" s="47">
        <v>0</v>
      </c>
      <c r="BG4" s="47">
        <v>0</v>
      </c>
      <c r="BH4" s="47">
        <v>0</v>
      </c>
      <c r="BI4" s="47">
        <v>0</v>
      </c>
      <c r="BJ4" s="47">
        <v>0</v>
      </c>
      <c r="BK4" s="47">
        <v>0</v>
      </c>
      <c r="BL4" s="47">
        <v>0</v>
      </c>
      <c r="BM4" s="47">
        <v>0</v>
      </c>
      <c r="BN4" s="47">
        <v>0</v>
      </c>
      <c r="BO4" s="47">
        <v>0</v>
      </c>
      <c r="BP4" s="47">
        <v>0</v>
      </c>
      <c r="BQ4" s="47">
        <v>0</v>
      </c>
      <c r="BR4" s="47">
        <v>0</v>
      </c>
      <c r="BS4" s="47">
        <v>0</v>
      </c>
      <c r="BT4" s="47">
        <v>0.07</v>
      </c>
      <c r="BU4" s="47">
        <v>0</v>
      </c>
      <c r="BV4" s="47">
        <v>0</v>
      </c>
      <c r="BW4" s="47">
        <v>0</v>
      </c>
      <c r="BX4" s="47">
        <v>0</v>
      </c>
      <c r="BY4" s="47">
        <v>0</v>
      </c>
      <c r="BZ4" s="47">
        <v>0</v>
      </c>
      <c r="CA4" s="47">
        <v>0</v>
      </c>
      <c r="CB4" s="47">
        <v>0.02</v>
      </c>
      <c r="CC4" s="47">
        <v>0</v>
      </c>
      <c r="CD4" s="47">
        <v>0</v>
      </c>
      <c r="CE4" s="47">
        <v>0</v>
      </c>
      <c r="CF4" s="47">
        <v>0</v>
      </c>
      <c r="CG4" s="47">
        <v>0</v>
      </c>
      <c r="CH4" s="47">
        <v>0</v>
      </c>
      <c r="CI4" s="47">
        <v>0</v>
      </c>
      <c r="CJ4" s="47">
        <v>0.05</v>
      </c>
      <c r="CK4" s="47">
        <v>0</v>
      </c>
      <c r="CL4" s="47">
        <v>0</v>
      </c>
      <c r="CM4" s="47">
        <v>0</v>
      </c>
      <c r="CN4" s="47">
        <v>0</v>
      </c>
      <c r="CO4" s="47">
        <v>0</v>
      </c>
      <c r="CP4" s="47">
        <v>0</v>
      </c>
      <c r="CQ4" s="47">
        <v>0</v>
      </c>
      <c r="CR4" s="47">
        <v>0</v>
      </c>
      <c r="CS4" s="47">
        <v>0</v>
      </c>
      <c r="CT4" s="47">
        <v>0</v>
      </c>
      <c r="CU4" s="47">
        <v>0</v>
      </c>
      <c r="CV4" s="47">
        <v>0</v>
      </c>
      <c r="CW4" s="47">
        <v>0</v>
      </c>
      <c r="CX4" s="47">
        <v>0</v>
      </c>
      <c r="CY4" s="47">
        <v>0.02</v>
      </c>
      <c r="CZ4" s="47">
        <v>0</v>
      </c>
      <c r="DA4" s="47">
        <v>0.02</v>
      </c>
      <c r="DB4" s="47">
        <v>0</v>
      </c>
      <c r="DC4" s="47">
        <v>0</v>
      </c>
      <c r="DD4" s="47">
        <v>0</v>
      </c>
      <c r="DE4" s="47">
        <v>0</v>
      </c>
      <c r="DF4" s="47">
        <v>0</v>
      </c>
      <c r="DG4" s="47">
        <v>0</v>
      </c>
      <c r="DH4" s="47">
        <v>0</v>
      </c>
      <c r="DI4" s="47">
        <v>0</v>
      </c>
      <c r="DJ4" s="47">
        <v>0</v>
      </c>
      <c r="DK4" s="47">
        <v>0</v>
      </c>
      <c r="DL4" s="47">
        <v>0</v>
      </c>
      <c r="DM4" s="47">
        <v>0</v>
      </c>
      <c r="DN4" s="47">
        <v>0</v>
      </c>
      <c r="DO4" s="47">
        <v>0</v>
      </c>
      <c r="DP4" s="47">
        <v>0</v>
      </c>
      <c r="DQ4" s="47">
        <v>0</v>
      </c>
      <c r="DR4" s="47">
        <v>0</v>
      </c>
      <c r="DS4" s="47">
        <v>0</v>
      </c>
      <c r="DT4" s="47">
        <v>0</v>
      </c>
      <c r="DU4" s="47">
        <v>0</v>
      </c>
      <c r="DV4" s="47">
        <v>0</v>
      </c>
      <c r="DW4" s="47">
        <v>0</v>
      </c>
      <c r="DX4" s="47">
        <v>0</v>
      </c>
      <c r="DY4" s="47">
        <v>0</v>
      </c>
      <c r="DZ4" s="47"/>
      <c r="EA4" s="47">
        <v>1</v>
      </c>
      <c r="ZZ4" t="s">
        <v>1084</v>
      </c>
    </row>
    <row r="5" spans="1:702" x14ac:dyDescent="0.25">
      <c r="A5" s="47" t="s">
        <v>164</v>
      </c>
      <c r="B5" s="47" t="s">
        <v>151</v>
      </c>
      <c r="C5" s="47" t="s">
        <v>155</v>
      </c>
      <c r="D5" s="47" t="s">
        <v>1089</v>
      </c>
      <c r="E5" s="47" t="s">
        <v>165</v>
      </c>
      <c r="F5" s="47" t="s">
        <v>166</v>
      </c>
      <c r="G5" s="47" t="s">
        <v>167</v>
      </c>
      <c r="H5" s="47" t="s">
        <v>161</v>
      </c>
      <c r="I5" s="47" t="s">
        <v>1090</v>
      </c>
      <c r="J5" s="47" t="str">
        <f>=IFERROR(VLOOKUP(H5&amp;I5,Table_Fonctions!A:G,6,FALSE),"")</f>
        <v>0</v>
      </c>
      <c r="K5" s="47" t="s">
        <v>1091</v>
      </c>
      <c r="L5" s="47" t="str">
        <f>=IFERROR(VLOOKUP(H5&amp;I5,Table_Fonctions!A:G,7,FALSE),K5)</f>
        <v/>
      </c>
      <c r="M5" s="47" t="str">
        <f>=IF(OR(LEFT(D5, 3)="TJ ", LEFT(D5, 4)="CPH "), "OUI", "NON")</f>
        <v/>
      </c>
      <c r="N5" s="47" t="s">
        <v>169</v>
      </c>
      <c r="O5" s="47" t="s">
        <v>170</v>
      </c>
      <c r="P5" s="47">
        <v>0.3024</v>
      </c>
      <c r="Q5" s="47">
        <v>0.3024</v>
      </c>
      <c r="R5" s="47">
        <v>0</v>
      </c>
      <c r="S5" s="47">
        <f>=ROUND(BQ5-(BR5+BS5),3)</f>
      </c>
      <c r="T5" s="47">
        <f>=ROUND(CK5-(CL5+CM5+CN5+CO5+CP5),3)</f>
      </c>
      <c r="U5" s="47">
        <v>0</v>
      </c>
      <c r="V5" s="47">
        <v>0</v>
      </c>
      <c r="W5" s="47">
        <v>0</v>
      </c>
      <c r="X5" s="47">
        <v>0</v>
      </c>
      <c r="Y5" s="47">
        <v>0</v>
      </c>
      <c r="Z5" s="47">
        <v>0</v>
      </c>
      <c r="AA5" s="47">
        <v>0</v>
      </c>
      <c r="AB5" s="47">
        <v>0</v>
      </c>
      <c r="AC5" s="47">
        <v>0</v>
      </c>
      <c r="AD5" s="47">
        <v>0</v>
      </c>
      <c r="AE5" s="47">
        <v>0</v>
      </c>
      <c r="AF5" s="47">
        <v>0</v>
      </c>
      <c r="AG5" s="47">
        <v>0</v>
      </c>
      <c r="AH5" s="47">
        <v>0</v>
      </c>
      <c r="AI5" s="47">
        <v>0</v>
      </c>
      <c r="AJ5" s="47">
        <v>0</v>
      </c>
      <c r="AK5" s="47">
        <v>0</v>
      </c>
      <c r="AL5" s="47">
        <v>0</v>
      </c>
      <c r="AM5" s="47">
        <v>0</v>
      </c>
      <c r="AN5" s="47">
        <v>0</v>
      </c>
      <c r="AO5" s="47">
        <v>0</v>
      </c>
      <c r="AP5" s="47">
        <v>0</v>
      </c>
      <c r="AQ5" s="47">
        <v>0</v>
      </c>
      <c r="AR5" s="47">
        <v>0</v>
      </c>
      <c r="AS5" s="47">
        <v>0</v>
      </c>
      <c r="AT5" s="47">
        <v>0</v>
      </c>
      <c r="AU5" s="47">
        <v>0</v>
      </c>
      <c r="AV5" s="47">
        <v>0</v>
      </c>
      <c r="AW5" s="47">
        <v>0</v>
      </c>
      <c r="AX5" s="47">
        <v>0</v>
      </c>
      <c r="AY5" s="47">
        <v>0</v>
      </c>
      <c r="AZ5" s="47">
        <v>0</v>
      </c>
      <c r="BA5" s="47">
        <v>0</v>
      </c>
      <c r="BB5" s="47">
        <v>0</v>
      </c>
      <c r="BC5" s="47">
        <v>0</v>
      </c>
      <c r="BD5" s="47">
        <v>0</v>
      </c>
      <c r="BE5" s="47">
        <v>0</v>
      </c>
      <c r="BF5" s="47">
        <v>0</v>
      </c>
      <c r="BG5" s="47">
        <v>0</v>
      </c>
      <c r="BH5" s="47">
        <v>0</v>
      </c>
      <c r="BI5" s="47">
        <v>0</v>
      </c>
      <c r="BJ5" s="47">
        <v>0</v>
      </c>
      <c r="BK5" s="47">
        <v>0</v>
      </c>
      <c r="BL5" s="47">
        <v>0</v>
      </c>
      <c r="BM5" s="47">
        <v>0</v>
      </c>
      <c r="BN5" s="47">
        <v>0</v>
      </c>
      <c r="BO5" s="47">
        <v>0</v>
      </c>
      <c r="BP5" s="47">
        <v>0</v>
      </c>
      <c r="BQ5" s="47">
        <v>0</v>
      </c>
      <c r="BR5" s="47">
        <v>0</v>
      </c>
      <c r="BS5" s="47">
        <v>0</v>
      </c>
      <c r="BT5" s="47">
        <v>0</v>
      </c>
      <c r="BU5" s="47">
        <v>0</v>
      </c>
      <c r="BV5" s="47">
        <v>0</v>
      </c>
      <c r="BW5" s="47">
        <v>0</v>
      </c>
      <c r="BX5" s="47">
        <v>0</v>
      </c>
      <c r="BY5" s="47">
        <v>0</v>
      </c>
      <c r="BZ5" s="47">
        <v>0</v>
      </c>
      <c r="CA5" s="47">
        <v>0</v>
      </c>
      <c r="CB5" s="47">
        <v>0</v>
      </c>
      <c r="CC5" s="47">
        <v>0</v>
      </c>
      <c r="CD5" s="47">
        <v>0</v>
      </c>
      <c r="CE5" s="47">
        <v>0</v>
      </c>
      <c r="CF5" s="47">
        <v>0</v>
      </c>
      <c r="CG5" s="47">
        <v>0</v>
      </c>
      <c r="CH5" s="47">
        <v>0</v>
      </c>
      <c r="CI5" s="47">
        <v>0</v>
      </c>
      <c r="CJ5" s="47">
        <v>0</v>
      </c>
      <c r="CK5" s="47">
        <v>0</v>
      </c>
      <c r="CL5" s="47">
        <v>0</v>
      </c>
      <c r="CM5" s="47">
        <v>0</v>
      </c>
      <c r="CN5" s="47">
        <v>0</v>
      </c>
      <c r="CO5" s="47">
        <v>0</v>
      </c>
      <c r="CP5" s="47">
        <v>0</v>
      </c>
      <c r="CQ5" s="47">
        <v>0</v>
      </c>
      <c r="CR5" s="47">
        <v>0</v>
      </c>
      <c r="CS5" s="47">
        <v>0</v>
      </c>
      <c r="CT5" s="47">
        <v>0</v>
      </c>
      <c r="CU5" s="47">
        <v>0</v>
      </c>
      <c r="CV5" s="47">
        <v>0.3024</v>
      </c>
      <c r="CW5" s="47">
        <v>0</v>
      </c>
      <c r="CX5" s="47">
        <v>0</v>
      </c>
      <c r="CY5" s="47">
        <v>0</v>
      </c>
      <c r="CZ5" s="47">
        <v>0</v>
      </c>
      <c r="DA5" s="47">
        <v>0</v>
      </c>
      <c r="DB5" s="47">
        <v>0</v>
      </c>
      <c r="DC5" s="47">
        <v>0</v>
      </c>
      <c r="DD5" s="47">
        <v>0</v>
      </c>
      <c r="DE5" s="47">
        <v>0</v>
      </c>
      <c r="DF5" s="47">
        <v>0</v>
      </c>
      <c r="DG5" s="47">
        <v>0</v>
      </c>
      <c r="DH5" s="47">
        <v>0</v>
      </c>
      <c r="DI5" s="47">
        <v>0</v>
      </c>
      <c r="DJ5" s="47">
        <v>0</v>
      </c>
      <c r="DK5" s="47">
        <v>0</v>
      </c>
      <c r="DL5" s="47">
        <v>0</v>
      </c>
      <c r="DM5" s="47">
        <v>0</v>
      </c>
      <c r="DN5" s="47">
        <v>0</v>
      </c>
      <c r="DO5" s="47">
        <v>0</v>
      </c>
      <c r="DP5" s="47">
        <v>0</v>
      </c>
      <c r="DQ5" s="47">
        <v>0</v>
      </c>
      <c r="DR5" s="47">
        <v>0</v>
      </c>
      <c r="DS5" s="47">
        <v>0</v>
      </c>
      <c r="DT5" s="47">
        <v>0</v>
      </c>
      <c r="DU5" s="47">
        <v>0</v>
      </c>
      <c r="DV5" s="47">
        <v>0</v>
      </c>
      <c r="DW5" s="47">
        <v>0</v>
      </c>
      <c r="DX5" s="47">
        <v>0</v>
      </c>
      <c r="DY5" s="47">
        <v>0</v>
      </c>
      <c r="DZ5" s="47"/>
      <c r="EA5" s="47">
        <v>0.3024</v>
      </c>
      <c r="ZZ5" t="s">
        <v>1084</v>
      </c>
    </row>
    <row r="6" spans="1:702" x14ac:dyDescent="0.25">
      <c r="A6" s="47" t="s">
        <v>171</v>
      </c>
      <c r="B6" s="47" t="s">
        <v>151</v>
      </c>
      <c r="C6" s="47" t="s">
        <v>155</v>
      </c>
      <c r="D6" s="47" t="s">
        <v>1092</v>
      </c>
      <c r="E6" s="47" t="s">
        <v>172</v>
      </c>
      <c r="F6" s="47" t="s">
        <v>173</v>
      </c>
      <c r="G6" s="47" t="s">
        <v>174</v>
      </c>
      <c r="H6" s="47" t="s">
        <v>161</v>
      </c>
      <c r="I6" s="47" t="s">
        <v>175</v>
      </c>
      <c r="J6" s="47" t="str">
        <f>=IFERROR(VLOOKUP(H6&amp;I6,Table_Fonctions!A:G,6,FALSE),"")</f>
        <v>0</v>
      </c>
      <c r="K6" s="47" t="s">
        <v>1088</v>
      </c>
      <c r="L6" s="47" t="str">
        <f>=IFERROR(VLOOKUP(H6&amp;I6,Table_Fonctions!A:G,7,FALSE),K6)</f>
        <v/>
      </c>
      <c r="M6" s="47" t="str">
        <f>=IF(OR(LEFT(D6, 3)="TJ ", LEFT(D6, 4)="CPH "), "OUI", "NON")</f>
        <v/>
      </c>
      <c r="N6" s="47" t="s">
        <v>176</v>
      </c>
      <c r="O6" s="47"/>
      <c r="P6" s="47">
        <v>1</v>
      </c>
      <c r="Q6" s="47">
        <v>1</v>
      </c>
      <c r="R6" s="47">
        <v>0</v>
      </c>
      <c r="S6" s="47">
        <f>=ROUND(BQ6-(BR6+BS6),3)</f>
      </c>
      <c r="T6" s="47">
        <f>=ROUND(CK6-(CL6+CM6+CN6+CO6+CP6),3)</f>
      </c>
      <c r="U6" s="47">
        <v>0</v>
      </c>
      <c r="V6" s="47">
        <v>0</v>
      </c>
      <c r="W6" s="47">
        <v>0</v>
      </c>
      <c r="X6" s="47">
        <v>0</v>
      </c>
      <c r="Y6" s="47">
        <v>0</v>
      </c>
      <c r="Z6" s="47">
        <v>0</v>
      </c>
      <c r="AA6" s="47">
        <v>0</v>
      </c>
      <c r="AB6" s="47">
        <v>0</v>
      </c>
      <c r="AC6" s="47">
        <v>0</v>
      </c>
      <c r="AD6" s="47">
        <v>0</v>
      </c>
      <c r="AE6" s="47">
        <v>0</v>
      </c>
      <c r="AF6" s="47">
        <v>0</v>
      </c>
      <c r="AG6" s="47">
        <v>0</v>
      </c>
      <c r="AH6" s="47">
        <v>0</v>
      </c>
      <c r="AI6" s="47">
        <v>0</v>
      </c>
      <c r="AJ6" s="47">
        <v>0</v>
      </c>
      <c r="AK6" s="47">
        <v>0</v>
      </c>
      <c r="AL6" s="47">
        <v>0</v>
      </c>
      <c r="AM6" s="47">
        <v>0</v>
      </c>
      <c r="AN6" s="47">
        <v>0</v>
      </c>
      <c r="AO6" s="47">
        <v>0</v>
      </c>
      <c r="AP6" s="47">
        <v>0</v>
      </c>
      <c r="AQ6" s="47">
        <v>0</v>
      </c>
      <c r="AR6" s="47">
        <v>0</v>
      </c>
      <c r="AS6" s="47">
        <v>0</v>
      </c>
      <c r="AT6" s="47">
        <v>0</v>
      </c>
      <c r="AU6" s="47">
        <v>0</v>
      </c>
      <c r="AV6" s="47">
        <v>0</v>
      </c>
      <c r="AW6" s="47">
        <v>0</v>
      </c>
      <c r="AX6" s="47">
        <v>0</v>
      </c>
      <c r="AY6" s="47">
        <v>0</v>
      </c>
      <c r="AZ6" s="47">
        <v>0</v>
      </c>
      <c r="BA6" s="47">
        <v>0</v>
      </c>
      <c r="BB6" s="47">
        <v>0</v>
      </c>
      <c r="BC6" s="47">
        <v>0</v>
      </c>
      <c r="BD6" s="47">
        <v>0</v>
      </c>
      <c r="BE6" s="47">
        <v>0</v>
      </c>
      <c r="BF6" s="47">
        <v>0</v>
      </c>
      <c r="BG6" s="47">
        <v>0</v>
      </c>
      <c r="BH6" s="47">
        <v>0</v>
      </c>
      <c r="BI6" s="47">
        <v>0</v>
      </c>
      <c r="BJ6" s="47">
        <v>0</v>
      </c>
      <c r="BK6" s="47">
        <v>0</v>
      </c>
      <c r="BL6" s="47">
        <v>0</v>
      </c>
      <c r="BM6" s="47">
        <v>0</v>
      </c>
      <c r="BN6" s="47">
        <v>0</v>
      </c>
      <c r="BO6" s="47">
        <v>0</v>
      </c>
      <c r="BP6" s="47">
        <v>0</v>
      </c>
      <c r="BQ6" s="47">
        <v>0</v>
      </c>
      <c r="BR6" s="47">
        <v>0</v>
      </c>
      <c r="BS6" s="47">
        <v>0</v>
      </c>
      <c r="BT6" s="47">
        <v>0.14</v>
      </c>
      <c r="BU6" s="47">
        <v>0.1</v>
      </c>
      <c r="BV6" s="47">
        <v>0.03</v>
      </c>
      <c r="BW6" s="47">
        <v>0</v>
      </c>
      <c r="BX6" s="47">
        <v>0</v>
      </c>
      <c r="BY6" s="47">
        <v>0</v>
      </c>
      <c r="BZ6" s="47">
        <v>0</v>
      </c>
      <c r="CA6" s="47">
        <v>0</v>
      </c>
      <c r="CB6" s="47">
        <v>0.01</v>
      </c>
      <c r="CC6" s="47">
        <v>0</v>
      </c>
      <c r="CD6" s="47">
        <v>0</v>
      </c>
      <c r="CE6" s="47">
        <v>0</v>
      </c>
      <c r="CF6" s="47">
        <v>0</v>
      </c>
      <c r="CG6" s="47">
        <v>0</v>
      </c>
      <c r="CH6" s="47">
        <v>0</v>
      </c>
      <c r="CI6" s="47">
        <v>0</v>
      </c>
      <c r="CJ6" s="47">
        <v>0</v>
      </c>
      <c r="CK6" s="47">
        <v>0</v>
      </c>
      <c r="CL6" s="47">
        <v>0</v>
      </c>
      <c r="CM6" s="47">
        <v>0</v>
      </c>
      <c r="CN6" s="47">
        <v>0</v>
      </c>
      <c r="CO6" s="47">
        <v>0</v>
      </c>
      <c r="CP6" s="47">
        <v>0</v>
      </c>
      <c r="CQ6" s="47">
        <v>0.77</v>
      </c>
      <c r="CR6" s="47">
        <v>0</v>
      </c>
      <c r="CS6" s="47">
        <v>0</v>
      </c>
      <c r="CT6" s="47">
        <v>0</v>
      </c>
      <c r="CU6" s="47">
        <v>0</v>
      </c>
      <c r="CV6" s="47">
        <v>0</v>
      </c>
      <c r="CW6" s="47">
        <v>0</v>
      </c>
      <c r="CX6" s="47">
        <v>0</v>
      </c>
      <c r="CY6" s="47">
        <v>0.09</v>
      </c>
      <c r="CZ6" s="47">
        <v>0.066</v>
      </c>
      <c r="DA6" s="47">
        <v>0.024</v>
      </c>
      <c r="DB6" s="47">
        <v>0</v>
      </c>
      <c r="DC6" s="47">
        <v>0</v>
      </c>
      <c r="DD6" s="47">
        <v>0</v>
      </c>
      <c r="DE6" s="47">
        <v>0</v>
      </c>
      <c r="DF6" s="47">
        <v>0</v>
      </c>
      <c r="DG6" s="47">
        <v>0</v>
      </c>
      <c r="DH6" s="47">
        <v>0</v>
      </c>
      <c r="DI6" s="47">
        <v>0</v>
      </c>
      <c r="DJ6" s="47">
        <v>0</v>
      </c>
      <c r="DK6" s="47">
        <v>0</v>
      </c>
      <c r="DL6" s="47">
        <v>0</v>
      </c>
      <c r="DM6" s="47">
        <v>0</v>
      </c>
      <c r="DN6" s="47">
        <v>0</v>
      </c>
      <c r="DO6" s="47">
        <v>0</v>
      </c>
      <c r="DP6" s="47">
        <v>0</v>
      </c>
      <c r="DQ6" s="47">
        <v>0</v>
      </c>
      <c r="DR6" s="47">
        <v>0</v>
      </c>
      <c r="DS6" s="47">
        <v>0</v>
      </c>
      <c r="DT6" s="47">
        <v>0</v>
      </c>
      <c r="DU6" s="47">
        <v>0</v>
      </c>
      <c r="DV6" s="47">
        <v>0</v>
      </c>
      <c r="DW6" s="47">
        <v>0</v>
      </c>
      <c r="DX6" s="47">
        <v>0</v>
      </c>
      <c r="DY6" s="47">
        <v>0</v>
      </c>
      <c r="DZ6" s="47"/>
      <c r="EA6" s="47">
        <v>1</v>
      </c>
      <c r="ZZ6" t="s">
        <v>1084</v>
      </c>
    </row>
    <row r="7" spans="1:702" x14ac:dyDescent="0.25">
      <c r="A7" s="47" t="s">
        <v>177</v>
      </c>
      <c r="B7" s="47" t="s">
        <v>151</v>
      </c>
      <c r="C7" s="47" t="s">
        <v>155</v>
      </c>
      <c r="D7" s="47" t="s">
        <v>1093</v>
      </c>
      <c r="E7" s="47" t="s">
        <v>178</v>
      </c>
      <c r="F7" s="47" t="s">
        <v>179</v>
      </c>
      <c r="G7" s="47" t="s">
        <v>180</v>
      </c>
      <c r="H7" s="47" t="s">
        <v>161</v>
      </c>
      <c r="I7" s="47" t="s">
        <v>181</v>
      </c>
      <c r="J7" s="47" t="str">
        <f>=IFERROR(VLOOKUP(H7&amp;I7,Table_Fonctions!A:G,6,FALSE),"")</f>
        <v>0</v>
      </c>
      <c r="K7" s="47" t="s">
        <v>1088</v>
      </c>
      <c r="L7" s="47" t="str">
        <f>=IFERROR(VLOOKUP(H7&amp;I7,Table_Fonctions!A:G,7,FALSE),K7)</f>
        <v/>
      </c>
      <c r="M7" s="47" t="str">
        <f>=IF(OR(LEFT(D7, 3)="TJ ", LEFT(D7, 4)="CPH "), "OUI", "NON")</f>
        <v/>
      </c>
      <c r="N7" s="47" t="s">
        <v>182</v>
      </c>
      <c r="O7" s="47"/>
      <c r="P7" s="47">
        <v>0.8</v>
      </c>
      <c r="Q7" s="47">
        <v>0.8</v>
      </c>
      <c r="R7" s="47">
        <v>0</v>
      </c>
      <c r="S7" s="47">
        <f>=ROUND(BQ7-(BR7+BS7),3)</f>
      </c>
      <c r="T7" s="47">
        <f>=ROUND(CK7-(CL7+CM7+CN7+CO7+CP7),3)</f>
      </c>
      <c r="U7" s="47">
        <v>0</v>
      </c>
      <c r="V7" s="47">
        <v>0</v>
      </c>
      <c r="W7" s="47">
        <v>0</v>
      </c>
      <c r="X7" s="47">
        <v>0</v>
      </c>
      <c r="Y7" s="47">
        <v>0</v>
      </c>
      <c r="Z7" s="47">
        <v>0</v>
      </c>
      <c r="AA7" s="47">
        <v>0</v>
      </c>
      <c r="AB7" s="47">
        <v>0</v>
      </c>
      <c r="AC7" s="47">
        <v>0</v>
      </c>
      <c r="AD7" s="47">
        <v>0</v>
      </c>
      <c r="AE7" s="47">
        <v>0</v>
      </c>
      <c r="AF7" s="47">
        <v>0</v>
      </c>
      <c r="AG7" s="47">
        <v>0</v>
      </c>
      <c r="AH7" s="47">
        <v>0</v>
      </c>
      <c r="AI7" s="47">
        <v>0</v>
      </c>
      <c r="AJ7" s="47">
        <v>0</v>
      </c>
      <c r="AK7" s="47">
        <v>0</v>
      </c>
      <c r="AL7" s="47">
        <v>0</v>
      </c>
      <c r="AM7" s="47">
        <v>0</v>
      </c>
      <c r="AN7" s="47">
        <v>0</v>
      </c>
      <c r="AO7" s="47">
        <v>0</v>
      </c>
      <c r="AP7" s="47">
        <v>0</v>
      </c>
      <c r="AQ7" s="47">
        <v>0</v>
      </c>
      <c r="AR7" s="47">
        <v>0</v>
      </c>
      <c r="AS7" s="47">
        <v>0</v>
      </c>
      <c r="AT7" s="47">
        <v>0</v>
      </c>
      <c r="AU7" s="47">
        <v>0</v>
      </c>
      <c r="AV7" s="47">
        <v>0</v>
      </c>
      <c r="AW7" s="47">
        <v>0</v>
      </c>
      <c r="AX7" s="47">
        <v>0</v>
      </c>
      <c r="AY7" s="47">
        <v>0</v>
      </c>
      <c r="AZ7" s="47">
        <v>0</v>
      </c>
      <c r="BA7" s="47">
        <v>0</v>
      </c>
      <c r="BB7" s="47">
        <v>0</v>
      </c>
      <c r="BC7" s="47">
        <v>0</v>
      </c>
      <c r="BD7" s="47">
        <v>0</v>
      </c>
      <c r="BE7" s="47">
        <v>0</v>
      </c>
      <c r="BF7" s="47">
        <v>0</v>
      </c>
      <c r="BG7" s="47">
        <v>0</v>
      </c>
      <c r="BH7" s="47">
        <v>0</v>
      </c>
      <c r="BI7" s="47">
        <v>0</v>
      </c>
      <c r="BJ7" s="47">
        <v>0</v>
      </c>
      <c r="BK7" s="47">
        <v>0</v>
      </c>
      <c r="BL7" s="47">
        <v>0</v>
      </c>
      <c r="BM7" s="47">
        <v>0.224</v>
      </c>
      <c r="BN7" s="47">
        <v>0</v>
      </c>
      <c r="BO7" s="47">
        <v>0</v>
      </c>
      <c r="BP7" s="47">
        <v>0</v>
      </c>
      <c r="BQ7" s="47">
        <v>0</v>
      </c>
      <c r="BR7" s="47">
        <v>0</v>
      </c>
      <c r="BS7" s="47">
        <v>0</v>
      </c>
      <c r="BT7" s="47">
        <v>0</v>
      </c>
      <c r="BU7" s="47">
        <v>0</v>
      </c>
      <c r="BV7" s="47">
        <v>0</v>
      </c>
      <c r="BW7" s="47">
        <v>0</v>
      </c>
      <c r="BX7" s="47">
        <v>0</v>
      </c>
      <c r="BY7" s="47">
        <v>0</v>
      </c>
      <c r="BZ7" s="47">
        <v>0</v>
      </c>
      <c r="CA7" s="47">
        <v>0</v>
      </c>
      <c r="CB7" s="47">
        <v>0</v>
      </c>
      <c r="CC7" s="47">
        <v>0</v>
      </c>
      <c r="CD7" s="47">
        <v>0</v>
      </c>
      <c r="CE7" s="47">
        <v>0</v>
      </c>
      <c r="CF7" s="47">
        <v>0</v>
      </c>
      <c r="CG7" s="47">
        <v>0</v>
      </c>
      <c r="CH7" s="47">
        <v>0</v>
      </c>
      <c r="CI7" s="47">
        <v>0</v>
      </c>
      <c r="CJ7" s="47">
        <v>0</v>
      </c>
      <c r="CK7" s="47">
        <v>0</v>
      </c>
      <c r="CL7" s="47">
        <v>0</v>
      </c>
      <c r="CM7" s="47">
        <v>0</v>
      </c>
      <c r="CN7" s="47">
        <v>0</v>
      </c>
      <c r="CO7" s="47">
        <v>0</v>
      </c>
      <c r="CP7" s="47">
        <v>0</v>
      </c>
      <c r="CQ7" s="47">
        <v>0</v>
      </c>
      <c r="CR7" s="47">
        <v>0</v>
      </c>
      <c r="CS7" s="47">
        <v>0</v>
      </c>
      <c r="CT7" s="47">
        <v>0</v>
      </c>
      <c r="CU7" s="47">
        <v>0</v>
      </c>
      <c r="CV7" s="47">
        <v>0.4</v>
      </c>
      <c r="CW7" s="47">
        <v>0</v>
      </c>
      <c r="CX7" s="47">
        <v>0</v>
      </c>
      <c r="CY7" s="47">
        <v>0.176</v>
      </c>
      <c r="CZ7" s="47">
        <v>0.064</v>
      </c>
      <c r="DA7" s="47">
        <v>0.016</v>
      </c>
      <c r="DB7" s="47">
        <v>0.096</v>
      </c>
      <c r="DC7" s="47">
        <v>0</v>
      </c>
      <c r="DD7" s="47">
        <v>0</v>
      </c>
      <c r="DE7" s="47">
        <v>0</v>
      </c>
      <c r="DF7" s="47">
        <v>0</v>
      </c>
      <c r="DG7" s="47">
        <v>0</v>
      </c>
      <c r="DH7" s="47">
        <v>0</v>
      </c>
      <c r="DI7" s="47">
        <v>0</v>
      </c>
      <c r="DJ7" s="47">
        <v>0</v>
      </c>
      <c r="DK7" s="47">
        <v>0</v>
      </c>
      <c r="DL7" s="47">
        <v>0</v>
      </c>
      <c r="DM7" s="47">
        <v>0</v>
      </c>
      <c r="DN7" s="47">
        <v>0</v>
      </c>
      <c r="DO7" s="47">
        <v>0</v>
      </c>
      <c r="DP7" s="47">
        <v>0</v>
      </c>
      <c r="DQ7" s="47">
        <v>0</v>
      </c>
      <c r="DR7" s="47">
        <v>0</v>
      </c>
      <c r="DS7" s="47">
        <v>0</v>
      </c>
      <c r="DT7" s="47">
        <v>0</v>
      </c>
      <c r="DU7" s="47">
        <v>0</v>
      </c>
      <c r="DV7" s="47">
        <v>0</v>
      </c>
      <c r="DW7" s="47">
        <v>0</v>
      </c>
      <c r="DX7" s="47">
        <v>0</v>
      </c>
      <c r="DY7" s="47">
        <v>0</v>
      </c>
      <c r="DZ7" s="47"/>
      <c r="EA7" s="47">
        <v>0.8</v>
      </c>
      <c r="ZZ7" t="s">
        <v>1084</v>
      </c>
    </row>
    <row r="8" spans="1:702" x14ac:dyDescent="0.25">
      <c r="A8" s="47" t="s">
        <v>183</v>
      </c>
      <c r="B8" s="47" t="s">
        <v>151</v>
      </c>
      <c r="C8" s="47" t="s">
        <v>155</v>
      </c>
      <c r="D8" s="47" t="s">
        <v>1094</v>
      </c>
      <c r="E8" s="47" t="s">
        <v>184</v>
      </c>
      <c r="F8" s="47" t="s">
        <v>185</v>
      </c>
      <c r="G8" s="47" t="s">
        <v>186</v>
      </c>
      <c r="H8" s="47" t="s">
        <v>161</v>
      </c>
      <c r="I8" s="47" t="s">
        <v>187</v>
      </c>
      <c r="J8" s="47" t="str">
        <f>=IFERROR(VLOOKUP(H8&amp;I8,Table_Fonctions!A:G,6,FALSE),"")</f>
        <v>0</v>
      </c>
      <c r="K8" s="47" t="s">
        <v>1088</v>
      </c>
      <c r="L8" s="47" t="str">
        <f>=IFERROR(VLOOKUP(H8&amp;I8,Table_Fonctions!A:G,7,FALSE),K8)</f>
        <v/>
      </c>
      <c r="M8" s="47" t="str">
        <f>=IF(OR(LEFT(D8, 3)="TJ ", LEFT(D8, 4)="CPH "), "OUI", "NON")</f>
        <v/>
      </c>
      <c r="N8" s="47" t="s">
        <v>182</v>
      </c>
      <c r="O8" s="47"/>
      <c r="P8" s="47">
        <v>1</v>
      </c>
      <c r="Q8" s="47">
        <v>0</v>
      </c>
      <c r="R8" s="47">
        <v>1</v>
      </c>
      <c r="S8" s="47">
        <f>=ROUND(BQ8-(BR8+BS8),3)</f>
      </c>
      <c r="T8" s="47">
        <f>=ROUND(CK8-(CL8+CM8+CN8+CO8+CP8),3)</f>
      </c>
      <c r="U8" s="47">
        <v>0</v>
      </c>
      <c r="V8" s="47">
        <v>0</v>
      </c>
      <c r="W8" s="47">
        <v>0</v>
      </c>
      <c r="X8" s="47">
        <v>0</v>
      </c>
      <c r="Y8" s="47">
        <v>0</v>
      </c>
      <c r="Z8" s="47">
        <v>0</v>
      </c>
      <c r="AA8" s="47">
        <v>0</v>
      </c>
      <c r="AB8" s="47">
        <v>0</v>
      </c>
      <c r="AC8" s="47">
        <v>0</v>
      </c>
      <c r="AD8" s="47">
        <v>0</v>
      </c>
      <c r="AE8" s="47">
        <v>0</v>
      </c>
      <c r="AF8" s="47">
        <v>0</v>
      </c>
      <c r="AG8" s="47">
        <v>0</v>
      </c>
      <c r="AH8" s="47">
        <v>0</v>
      </c>
      <c r="AI8" s="47">
        <v>0</v>
      </c>
      <c r="AJ8" s="47">
        <v>0</v>
      </c>
      <c r="AK8" s="47">
        <v>0</v>
      </c>
      <c r="AL8" s="47">
        <v>0</v>
      </c>
      <c r="AM8" s="47">
        <v>0</v>
      </c>
      <c r="AN8" s="47">
        <v>0</v>
      </c>
      <c r="AO8" s="47">
        <v>0</v>
      </c>
      <c r="AP8" s="47">
        <v>0</v>
      </c>
      <c r="AQ8" s="47">
        <v>0</v>
      </c>
      <c r="AR8" s="47">
        <v>0</v>
      </c>
      <c r="AS8" s="47">
        <v>0</v>
      </c>
      <c r="AT8" s="47">
        <v>0</v>
      </c>
      <c r="AU8" s="47">
        <v>0</v>
      </c>
      <c r="AV8" s="47">
        <v>0</v>
      </c>
      <c r="AW8" s="47">
        <v>0</v>
      </c>
      <c r="AX8" s="47">
        <v>0</v>
      </c>
      <c r="AY8" s="47">
        <v>0</v>
      </c>
      <c r="AZ8" s="47">
        <v>0</v>
      </c>
      <c r="BA8" s="47">
        <v>0</v>
      </c>
      <c r="BB8" s="47">
        <v>0</v>
      </c>
      <c r="BC8" s="47">
        <v>0</v>
      </c>
      <c r="BD8" s="47">
        <v>0</v>
      </c>
      <c r="BE8" s="47">
        <v>0</v>
      </c>
      <c r="BF8" s="47">
        <v>0</v>
      </c>
      <c r="BG8" s="47">
        <v>0</v>
      </c>
      <c r="BH8" s="47">
        <v>0</v>
      </c>
      <c r="BI8" s="47">
        <v>0</v>
      </c>
      <c r="BJ8" s="47">
        <v>0</v>
      </c>
      <c r="BK8" s="47">
        <v>0</v>
      </c>
      <c r="BL8" s="47">
        <v>0</v>
      </c>
      <c r="BM8" s="47">
        <v>0</v>
      </c>
      <c r="BN8" s="47">
        <v>0</v>
      </c>
      <c r="BO8" s="47">
        <v>0</v>
      </c>
      <c r="BP8" s="47">
        <v>0</v>
      </c>
      <c r="BQ8" s="47">
        <v>0</v>
      </c>
      <c r="BR8" s="47">
        <v>0</v>
      </c>
      <c r="BS8" s="47">
        <v>0</v>
      </c>
      <c r="BT8" s="47">
        <v>0</v>
      </c>
      <c r="BU8" s="47">
        <v>0</v>
      </c>
      <c r="BV8" s="47">
        <v>0</v>
      </c>
      <c r="BW8" s="47">
        <v>0</v>
      </c>
      <c r="BX8" s="47">
        <v>0</v>
      </c>
      <c r="BY8" s="47">
        <v>0</v>
      </c>
      <c r="BZ8" s="47">
        <v>0</v>
      </c>
      <c r="CA8" s="47">
        <v>0</v>
      </c>
      <c r="CB8" s="47">
        <v>0</v>
      </c>
      <c r="CC8" s="47">
        <v>0</v>
      </c>
      <c r="CD8" s="47">
        <v>0</v>
      </c>
      <c r="CE8" s="47">
        <v>0</v>
      </c>
      <c r="CF8" s="47">
        <v>0</v>
      </c>
      <c r="CG8" s="47">
        <v>0</v>
      </c>
      <c r="CH8" s="47">
        <v>0</v>
      </c>
      <c r="CI8" s="47">
        <v>0</v>
      </c>
      <c r="CJ8" s="47">
        <v>0</v>
      </c>
      <c r="CK8" s="47">
        <v>0</v>
      </c>
      <c r="CL8" s="47">
        <v>0</v>
      </c>
      <c r="CM8" s="47">
        <v>0</v>
      </c>
      <c r="CN8" s="47">
        <v>0</v>
      </c>
      <c r="CO8" s="47">
        <v>0</v>
      </c>
      <c r="CP8" s="47">
        <v>0</v>
      </c>
      <c r="CQ8" s="47">
        <v>0</v>
      </c>
      <c r="CR8" s="47">
        <v>0</v>
      </c>
      <c r="CS8" s="47">
        <v>0</v>
      </c>
      <c r="CT8" s="47">
        <v>0</v>
      </c>
      <c r="CU8" s="47">
        <v>0</v>
      </c>
      <c r="CV8" s="47">
        <v>0</v>
      </c>
      <c r="CW8" s="47">
        <v>0</v>
      </c>
      <c r="CX8" s="47">
        <v>0</v>
      </c>
      <c r="CY8" s="47">
        <v>0</v>
      </c>
      <c r="CZ8" s="47">
        <v>0</v>
      </c>
      <c r="DA8" s="47">
        <v>0</v>
      </c>
      <c r="DB8" s="47">
        <v>0</v>
      </c>
      <c r="DC8" s="47">
        <v>0</v>
      </c>
      <c r="DD8" s="47">
        <v>0</v>
      </c>
      <c r="DE8" s="47">
        <v>0</v>
      </c>
      <c r="DF8" s="47">
        <v>0</v>
      </c>
      <c r="DG8" s="47">
        <v>0</v>
      </c>
      <c r="DH8" s="47">
        <v>0</v>
      </c>
      <c r="DI8" s="47">
        <v>0</v>
      </c>
      <c r="DJ8" s="47">
        <v>0</v>
      </c>
      <c r="DK8" s="47">
        <v>0</v>
      </c>
      <c r="DL8" s="47">
        <v>0</v>
      </c>
      <c r="DM8" s="47">
        <v>0</v>
      </c>
      <c r="DN8" s="47">
        <v>0</v>
      </c>
      <c r="DO8" s="47">
        <v>0</v>
      </c>
      <c r="DP8" s="47">
        <v>0</v>
      </c>
      <c r="DQ8" s="47">
        <v>0</v>
      </c>
      <c r="DR8" s="47">
        <v>0</v>
      </c>
      <c r="DS8" s="47">
        <v>0</v>
      </c>
      <c r="DT8" s="47">
        <v>0</v>
      </c>
      <c r="DU8" s="47">
        <v>0</v>
      </c>
      <c r="DV8" s="47">
        <v>0</v>
      </c>
      <c r="DW8" s="47">
        <v>0</v>
      </c>
      <c r="DX8" s="47">
        <v>0</v>
      </c>
      <c r="DY8" s="47">
        <v>0</v>
      </c>
      <c r="DZ8" s="47"/>
      <c r="EA8" s="47">
        <v>1</v>
      </c>
      <c r="ZZ8" t="s">
        <v>1084</v>
      </c>
    </row>
    <row r="9" spans="1:702" x14ac:dyDescent="0.25">
      <c r="A9" s="47" t="s">
        <v>188</v>
      </c>
      <c r="B9" s="47" t="s">
        <v>151</v>
      </c>
      <c r="C9" s="47" t="s">
        <v>155</v>
      </c>
      <c r="D9" s="47" t="s">
        <v>1095</v>
      </c>
      <c r="E9" s="47" t="s">
        <v>189</v>
      </c>
      <c r="F9" s="47" t="s">
        <v>190</v>
      </c>
      <c r="G9" s="47" t="s">
        <v>191</v>
      </c>
      <c r="H9" s="47" t="s">
        <v>161</v>
      </c>
      <c r="I9" s="47" t="s">
        <v>192</v>
      </c>
      <c r="J9" s="47" t="str">
        <f>=IFERROR(VLOOKUP(H9&amp;I9,Table_Fonctions!A:G,6,FALSE),"")</f>
        <v>0</v>
      </c>
      <c r="K9" s="47" t="s">
        <v>1088</v>
      </c>
      <c r="L9" s="47" t="str">
        <f>=IFERROR(VLOOKUP(H9&amp;I9,Table_Fonctions!A:G,7,FALSE),K9)</f>
        <v/>
      </c>
      <c r="M9" s="47" t="str">
        <f>=IF(OR(LEFT(D9, 3)="TJ ", LEFT(D9, 4)="CPH "), "OUI", "NON")</f>
        <v/>
      </c>
      <c r="N9" s="47" t="s">
        <v>182</v>
      </c>
      <c r="O9" s="47"/>
      <c r="P9" s="47">
        <v>1</v>
      </c>
      <c r="Q9" s="47">
        <v>1</v>
      </c>
      <c r="R9" s="47">
        <v>0</v>
      </c>
      <c r="S9" s="47">
        <f>=ROUND(BQ9-(BR9+BS9),3)</f>
      </c>
      <c r="T9" s="47">
        <f>=ROUND(CK9-(CL9+CM9+CN9+CO9+CP9),3)</f>
      </c>
      <c r="U9" s="47">
        <v>0</v>
      </c>
      <c r="V9" s="47">
        <v>0</v>
      </c>
      <c r="W9" s="47">
        <v>0</v>
      </c>
      <c r="X9" s="47">
        <v>0</v>
      </c>
      <c r="Y9" s="47">
        <v>0</v>
      </c>
      <c r="Z9" s="47">
        <v>0</v>
      </c>
      <c r="AA9" s="47">
        <v>0</v>
      </c>
      <c r="AB9" s="47">
        <v>0</v>
      </c>
      <c r="AC9" s="47">
        <v>0</v>
      </c>
      <c r="AD9" s="47">
        <v>0</v>
      </c>
      <c r="AE9" s="47">
        <v>0</v>
      </c>
      <c r="AF9" s="47">
        <v>0</v>
      </c>
      <c r="AG9" s="47">
        <v>0</v>
      </c>
      <c r="AH9" s="47">
        <v>0</v>
      </c>
      <c r="AI9" s="47">
        <v>0</v>
      </c>
      <c r="AJ9" s="47">
        <v>0</v>
      </c>
      <c r="AK9" s="47">
        <v>0</v>
      </c>
      <c r="AL9" s="47">
        <v>0</v>
      </c>
      <c r="AM9" s="47">
        <v>0</v>
      </c>
      <c r="AN9" s="47">
        <v>0</v>
      </c>
      <c r="AO9" s="47">
        <v>0</v>
      </c>
      <c r="AP9" s="47">
        <v>0</v>
      </c>
      <c r="AQ9" s="47">
        <v>0</v>
      </c>
      <c r="AR9" s="47">
        <v>0</v>
      </c>
      <c r="AS9" s="47">
        <v>0</v>
      </c>
      <c r="AT9" s="47">
        <v>0</v>
      </c>
      <c r="AU9" s="47">
        <v>0</v>
      </c>
      <c r="AV9" s="47">
        <v>0</v>
      </c>
      <c r="AW9" s="47">
        <v>0</v>
      </c>
      <c r="AX9" s="47">
        <v>0</v>
      </c>
      <c r="AY9" s="47">
        <v>0</v>
      </c>
      <c r="AZ9" s="47">
        <v>0</v>
      </c>
      <c r="BA9" s="47">
        <v>0</v>
      </c>
      <c r="BB9" s="47">
        <v>0</v>
      </c>
      <c r="BC9" s="47">
        <v>0</v>
      </c>
      <c r="BD9" s="47">
        <v>0</v>
      </c>
      <c r="BE9" s="47">
        <v>0</v>
      </c>
      <c r="BF9" s="47">
        <v>0</v>
      </c>
      <c r="BG9" s="47">
        <v>0</v>
      </c>
      <c r="BH9" s="47">
        <v>0</v>
      </c>
      <c r="BI9" s="47">
        <v>0</v>
      </c>
      <c r="BJ9" s="47">
        <v>0</v>
      </c>
      <c r="BK9" s="47">
        <v>0</v>
      </c>
      <c r="BL9" s="47">
        <v>0</v>
      </c>
      <c r="BM9" s="47">
        <v>0</v>
      </c>
      <c r="BN9" s="47">
        <v>0</v>
      </c>
      <c r="BO9" s="47">
        <v>0</v>
      </c>
      <c r="BP9" s="47">
        <v>0</v>
      </c>
      <c r="BQ9" s="47">
        <v>0</v>
      </c>
      <c r="BR9" s="47">
        <v>0</v>
      </c>
      <c r="BS9" s="47">
        <v>0</v>
      </c>
      <c r="BT9" s="47">
        <v>0.065</v>
      </c>
      <c r="BU9" s="47">
        <v>0.006</v>
      </c>
      <c r="BV9" s="47">
        <v>0.03</v>
      </c>
      <c r="BW9" s="47">
        <v>0</v>
      </c>
      <c r="BX9" s="47">
        <v>0</v>
      </c>
      <c r="BY9" s="47">
        <v>0</v>
      </c>
      <c r="BZ9" s="47">
        <v>0</v>
      </c>
      <c r="CA9" s="47">
        <v>0</v>
      </c>
      <c r="CB9" s="47">
        <v>0.01</v>
      </c>
      <c r="CC9" s="47">
        <v>0.019</v>
      </c>
      <c r="CD9" s="47">
        <v>0</v>
      </c>
      <c r="CE9" s="47">
        <v>0</v>
      </c>
      <c r="CF9" s="47">
        <v>0</v>
      </c>
      <c r="CG9" s="47">
        <v>0</v>
      </c>
      <c r="CH9" s="47">
        <v>0</v>
      </c>
      <c r="CI9" s="47">
        <v>0</v>
      </c>
      <c r="CJ9" s="47">
        <v>0</v>
      </c>
      <c r="CK9" s="47">
        <v>0</v>
      </c>
      <c r="CL9" s="47">
        <v>0</v>
      </c>
      <c r="CM9" s="47">
        <v>0</v>
      </c>
      <c r="CN9" s="47">
        <v>0</v>
      </c>
      <c r="CO9" s="47">
        <v>0</v>
      </c>
      <c r="CP9" s="47">
        <v>0</v>
      </c>
      <c r="CQ9" s="47">
        <v>0.887</v>
      </c>
      <c r="CR9" s="47">
        <v>0</v>
      </c>
      <c r="CS9" s="47">
        <v>0</v>
      </c>
      <c r="CT9" s="47">
        <v>0</v>
      </c>
      <c r="CU9" s="47">
        <v>0</v>
      </c>
      <c r="CV9" s="47">
        <v>0</v>
      </c>
      <c r="CW9" s="47">
        <v>0</v>
      </c>
      <c r="CX9" s="47">
        <v>0</v>
      </c>
      <c r="CY9" s="47">
        <v>0.048</v>
      </c>
      <c r="CZ9" s="47">
        <v>0</v>
      </c>
      <c r="DA9" s="47">
        <v>0.024</v>
      </c>
      <c r="DB9" s="47">
        <v>0</v>
      </c>
      <c r="DC9" s="47">
        <v>0</v>
      </c>
      <c r="DD9" s="47">
        <v>0</v>
      </c>
      <c r="DE9" s="47">
        <v>0</v>
      </c>
      <c r="DF9" s="47">
        <v>0.024</v>
      </c>
      <c r="DG9" s="47">
        <v>0</v>
      </c>
      <c r="DH9" s="47">
        <v>0</v>
      </c>
      <c r="DI9" s="47">
        <v>0</v>
      </c>
      <c r="DJ9" s="47">
        <v>0</v>
      </c>
      <c r="DK9" s="47">
        <v>0</v>
      </c>
      <c r="DL9" s="47">
        <v>0</v>
      </c>
      <c r="DM9" s="47">
        <v>0</v>
      </c>
      <c r="DN9" s="47">
        <v>0</v>
      </c>
      <c r="DO9" s="47">
        <v>0</v>
      </c>
      <c r="DP9" s="47">
        <v>0</v>
      </c>
      <c r="DQ9" s="47">
        <v>0</v>
      </c>
      <c r="DR9" s="47">
        <v>0</v>
      </c>
      <c r="DS9" s="47">
        <v>0</v>
      </c>
      <c r="DT9" s="47">
        <v>0</v>
      </c>
      <c r="DU9" s="47">
        <v>0</v>
      </c>
      <c r="DV9" s="47">
        <v>0</v>
      </c>
      <c r="DW9" s="47">
        <v>0</v>
      </c>
      <c r="DX9" s="47">
        <v>0</v>
      </c>
      <c r="DY9" s="47">
        <v>0</v>
      </c>
      <c r="DZ9" s="47"/>
      <c r="EA9" s="47">
        <v>1</v>
      </c>
      <c r="ZZ9" t="s">
        <v>1084</v>
      </c>
    </row>
    <row r="10" spans="1:702" x14ac:dyDescent="0.25">
      <c r="A10" s="47" t="s">
        <v>193</v>
      </c>
      <c r="B10" s="47" t="s">
        <v>151</v>
      </c>
      <c r="C10" s="47" t="s">
        <v>155</v>
      </c>
      <c r="D10" s="47" t="s">
        <v>1096</v>
      </c>
      <c r="E10" s="47" t="s">
        <v>194</v>
      </c>
      <c r="F10" s="47" t="s">
        <v>195</v>
      </c>
      <c r="G10" s="47" t="s">
        <v>196</v>
      </c>
      <c r="H10" s="47" t="s">
        <v>161</v>
      </c>
      <c r="I10" s="47" t="s">
        <v>197</v>
      </c>
      <c r="J10" s="47" t="str">
        <f>=IFERROR(VLOOKUP(H10&amp;I10,Table_Fonctions!A:G,6,FALSE),"")</f>
        <v>0</v>
      </c>
      <c r="K10" s="47" t="s">
        <v>1088</v>
      </c>
      <c r="L10" s="47" t="str">
        <f>=IFERROR(VLOOKUP(H10&amp;I10,Table_Fonctions!A:G,7,FALSE),K10)</f>
        <v/>
      </c>
      <c r="M10" s="47" t="str">
        <f>=IF(OR(LEFT(D10, 3)="TJ ", LEFT(D10, 4)="CPH "), "OUI", "NON")</f>
        <v/>
      </c>
      <c r="N10" s="47" t="s">
        <v>198</v>
      </c>
      <c r="O10" s="47" t="s">
        <v>169</v>
      </c>
      <c r="P10" s="47">
        <v>0.7016</v>
      </c>
      <c r="Q10" s="47">
        <v>0.7016</v>
      </c>
      <c r="R10" s="47">
        <v>0</v>
      </c>
      <c r="S10" s="47">
        <f>=ROUND(BQ10-(BR10+BS10),3)</f>
      </c>
      <c r="T10" s="47">
        <f>=ROUND(CK10-(CL10+CM10+CN10+CO10+CP10),3)</f>
      </c>
      <c r="U10" s="47">
        <v>0</v>
      </c>
      <c r="V10" s="47">
        <v>0</v>
      </c>
      <c r="W10" s="47">
        <v>0</v>
      </c>
      <c r="X10" s="47">
        <v>0</v>
      </c>
      <c r="Y10" s="47">
        <v>0</v>
      </c>
      <c r="Z10" s="47">
        <v>0</v>
      </c>
      <c r="AA10" s="47">
        <v>0</v>
      </c>
      <c r="AB10" s="47">
        <v>0</v>
      </c>
      <c r="AC10" s="47">
        <v>0</v>
      </c>
      <c r="AD10" s="47">
        <v>0</v>
      </c>
      <c r="AE10" s="47">
        <v>0</v>
      </c>
      <c r="AF10" s="47">
        <v>0</v>
      </c>
      <c r="AG10" s="47">
        <v>0</v>
      </c>
      <c r="AH10" s="47">
        <v>0</v>
      </c>
      <c r="AI10" s="47">
        <v>0</v>
      </c>
      <c r="AJ10" s="47">
        <v>0</v>
      </c>
      <c r="AK10" s="47">
        <v>0</v>
      </c>
      <c r="AL10" s="47">
        <v>0</v>
      </c>
      <c r="AM10" s="47">
        <v>0</v>
      </c>
      <c r="AN10" s="47">
        <v>0</v>
      </c>
      <c r="AO10" s="47">
        <v>0</v>
      </c>
      <c r="AP10" s="47">
        <v>0</v>
      </c>
      <c r="AQ10" s="47">
        <v>0</v>
      </c>
      <c r="AR10" s="47">
        <v>0</v>
      </c>
      <c r="AS10" s="47">
        <v>0.6385</v>
      </c>
      <c r="AT10" s="47">
        <v>0</v>
      </c>
      <c r="AU10" s="47">
        <v>0</v>
      </c>
      <c r="AV10" s="47">
        <v>0</v>
      </c>
      <c r="AW10" s="47">
        <v>0</v>
      </c>
      <c r="AX10" s="47">
        <v>0</v>
      </c>
      <c r="AY10" s="47">
        <v>0</v>
      </c>
      <c r="AZ10" s="47">
        <v>0</v>
      </c>
      <c r="BA10" s="47">
        <v>0</v>
      </c>
      <c r="BB10" s="47">
        <v>0</v>
      </c>
      <c r="BC10" s="47">
        <v>0</v>
      </c>
      <c r="BD10" s="47">
        <v>0</v>
      </c>
      <c r="BE10" s="47">
        <v>0</v>
      </c>
      <c r="BF10" s="47">
        <v>0</v>
      </c>
      <c r="BG10" s="47">
        <v>0</v>
      </c>
      <c r="BH10" s="47">
        <v>0</v>
      </c>
      <c r="BI10" s="47">
        <v>0</v>
      </c>
      <c r="BJ10" s="47">
        <v>0</v>
      </c>
      <c r="BK10" s="47">
        <v>0</v>
      </c>
      <c r="BL10" s="47">
        <v>0</v>
      </c>
      <c r="BM10" s="47">
        <v>0</v>
      </c>
      <c r="BN10" s="47">
        <v>0</v>
      </c>
      <c r="BO10" s="47">
        <v>0</v>
      </c>
      <c r="BP10" s="47">
        <v>0</v>
      </c>
      <c r="BQ10" s="47">
        <v>0</v>
      </c>
      <c r="BR10" s="47">
        <v>0</v>
      </c>
      <c r="BS10" s="47">
        <v>0</v>
      </c>
      <c r="BT10" s="47">
        <v>0.0491</v>
      </c>
      <c r="BU10" s="47">
        <v>0</v>
      </c>
      <c r="BV10" s="47">
        <v>0</v>
      </c>
      <c r="BW10" s="47">
        <v>0</v>
      </c>
      <c r="BX10" s="47">
        <v>0</v>
      </c>
      <c r="BY10" s="47">
        <v>0</v>
      </c>
      <c r="BZ10" s="47">
        <v>0</v>
      </c>
      <c r="CA10" s="47">
        <v>0</v>
      </c>
      <c r="CB10" s="47">
        <v>0.014</v>
      </c>
      <c r="CC10" s="47">
        <v>0</v>
      </c>
      <c r="CD10" s="47">
        <v>0</v>
      </c>
      <c r="CE10" s="47">
        <v>0</v>
      </c>
      <c r="CF10" s="47">
        <v>0</v>
      </c>
      <c r="CG10" s="47">
        <v>0</v>
      </c>
      <c r="CH10" s="47">
        <v>0</v>
      </c>
      <c r="CI10" s="47">
        <v>0</v>
      </c>
      <c r="CJ10" s="47">
        <v>0.0351</v>
      </c>
      <c r="CK10" s="47">
        <v>0</v>
      </c>
      <c r="CL10" s="47">
        <v>0</v>
      </c>
      <c r="CM10" s="47">
        <v>0</v>
      </c>
      <c r="CN10" s="47">
        <v>0</v>
      </c>
      <c r="CO10" s="47">
        <v>0</v>
      </c>
      <c r="CP10" s="47">
        <v>0</v>
      </c>
      <c r="CQ10" s="47">
        <v>0</v>
      </c>
      <c r="CR10" s="47">
        <v>0</v>
      </c>
      <c r="CS10" s="47">
        <v>0</v>
      </c>
      <c r="CT10" s="47">
        <v>0</v>
      </c>
      <c r="CU10" s="47">
        <v>0</v>
      </c>
      <c r="CV10" s="47">
        <v>0</v>
      </c>
      <c r="CW10" s="47">
        <v>0</v>
      </c>
      <c r="CX10" s="47">
        <v>0</v>
      </c>
      <c r="CY10" s="47">
        <v>0.014</v>
      </c>
      <c r="CZ10" s="47">
        <v>0</v>
      </c>
      <c r="DA10" s="47">
        <v>0.014</v>
      </c>
      <c r="DB10" s="47">
        <v>0</v>
      </c>
      <c r="DC10" s="47">
        <v>0</v>
      </c>
      <c r="DD10" s="47">
        <v>0</v>
      </c>
      <c r="DE10" s="47">
        <v>0</v>
      </c>
      <c r="DF10" s="47">
        <v>0</v>
      </c>
      <c r="DG10" s="47">
        <v>0</v>
      </c>
      <c r="DH10" s="47">
        <v>0</v>
      </c>
      <c r="DI10" s="47">
        <v>0</v>
      </c>
      <c r="DJ10" s="47">
        <v>0</v>
      </c>
      <c r="DK10" s="47">
        <v>0</v>
      </c>
      <c r="DL10" s="47">
        <v>0</v>
      </c>
      <c r="DM10" s="47">
        <v>0</v>
      </c>
      <c r="DN10" s="47">
        <v>0</v>
      </c>
      <c r="DO10" s="47">
        <v>0</v>
      </c>
      <c r="DP10" s="47">
        <v>0</v>
      </c>
      <c r="DQ10" s="47">
        <v>0</v>
      </c>
      <c r="DR10" s="47">
        <v>0</v>
      </c>
      <c r="DS10" s="47">
        <v>0</v>
      </c>
      <c r="DT10" s="47">
        <v>0</v>
      </c>
      <c r="DU10" s="47">
        <v>0</v>
      </c>
      <c r="DV10" s="47">
        <v>0</v>
      </c>
      <c r="DW10" s="47">
        <v>0</v>
      </c>
      <c r="DX10" s="47">
        <v>0</v>
      </c>
      <c r="DY10" s="47">
        <v>0</v>
      </c>
      <c r="DZ10" s="47"/>
      <c r="EA10" s="47">
        <v>0.7016</v>
      </c>
      <c r="ZZ10" t="s">
        <v>1084</v>
      </c>
    </row>
    <row r="11" spans="1:702" x14ac:dyDescent="0.25">
      <c r="A11" s="47" t="s">
        <v>199</v>
      </c>
      <c r="B11" s="47" t="s">
        <v>151</v>
      </c>
      <c r="C11" s="47" t="s">
        <v>155</v>
      </c>
      <c r="D11" s="47" t="s">
        <v>1097</v>
      </c>
      <c r="E11" s="47" t="s">
        <v>200</v>
      </c>
      <c r="F11" s="47" t="s">
        <v>201</v>
      </c>
      <c r="G11" s="47" t="s">
        <v>202</v>
      </c>
      <c r="H11" s="47" t="s">
        <v>161</v>
      </c>
      <c r="I11" s="47" t="s">
        <v>187</v>
      </c>
      <c r="J11" s="47" t="str">
        <f>=IFERROR(VLOOKUP(H11&amp;I11,Table_Fonctions!A:G,6,FALSE),"")</f>
        <v>0</v>
      </c>
      <c r="K11" s="47" t="s">
        <v>1088</v>
      </c>
      <c r="L11" s="47" t="str">
        <f>=IFERROR(VLOOKUP(H11&amp;I11,Table_Fonctions!A:G,7,FALSE),K11)</f>
        <v/>
      </c>
      <c r="M11" s="47" t="str">
        <f>=IF(OR(LEFT(D11, 3)="TJ ", LEFT(D11, 4)="CPH "), "OUI", "NON")</f>
        <v/>
      </c>
      <c r="N11" s="47" t="s">
        <v>169</v>
      </c>
      <c r="O11" s="47"/>
      <c r="P11" s="47">
        <v>0.0403</v>
      </c>
      <c r="Q11" s="47">
        <v>0</v>
      </c>
      <c r="R11" s="47">
        <v>0.0403</v>
      </c>
      <c r="S11" s="47">
        <f>=ROUND(BQ11-(BR11+BS11),3)</f>
      </c>
      <c r="T11" s="47">
        <f>=ROUND(CK11-(CL11+CM11+CN11+CO11+CP11),3)</f>
      </c>
      <c r="U11" s="47">
        <v>0</v>
      </c>
      <c r="V11" s="47">
        <v>0</v>
      </c>
      <c r="W11" s="47">
        <v>0</v>
      </c>
      <c r="X11" s="47">
        <v>0</v>
      </c>
      <c r="Y11" s="47">
        <v>0</v>
      </c>
      <c r="Z11" s="47">
        <v>0</v>
      </c>
      <c r="AA11" s="47">
        <v>0</v>
      </c>
      <c r="AB11" s="47">
        <v>0</v>
      </c>
      <c r="AC11" s="47">
        <v>0</v>
      </c>
      <c r="AD11" s="47">
        <v>0</v>
      </c>
      <c r="AE11" s="47">
        <v>0</v>
      </c>
      <c r="AF11" s="47">
        <v>0</v>
      </c>
      <c r="AG11" s="47">
        <v>0</v>
      </c>
      <c r="AH11" s="47">
        <v>0</v>
      </c>
      <c r="AI11" s="47">
        <v>0</v>
      </c>
      <c r="AJ11" s="47">
        <v>0</v>
      </c>
      <c r="AK11" s="47">
        <v>0</v>
      </c>
      <c r="AL11" s="47">
        <v>0</v>
      </c>
      <c r="AM11" s="47">
        <v>0</v>
      </c>
      <c r="AN11" s="47">
        <v>0</v>
      </c>
      <c r="AO11" s="47">
        <v>0</v>
      </c>
      <c r="AP11" s="47">
        <v>0</v>
      </c>
      <c r="AQ11" s="47">
        <v>0</v>
      </c>
      <c r="AR11" s="47">
        <v>0</v>
      </c>
      <c r="AS11" s="47">
        <v>0</v>
      </c>
      <c r="AT11" s="47">
        <v>0</v>
      </c>
      <c r="AU11" s="47">
        <v>0</v>
      </c>
      <c r="AV11" s="47">
        <v>0</v>
      </c>
      <c r="AW11" s="47">
        <v>0</v>
      </c>
      <c r="AX11" s="47">
        <v>0</v>
      </c>
      <c r="AY11" s="47">
        <v>0</v>
      </c>
      <c r="AZ11" s="47">
        <v>0</v>
      </c>
      <c r="BA11" s="47">
        <v>0</v>
      </c>
      <c r="BB11" s="47">
        <v>0</v>
      </c>
      <c r="BC11" s="47">
        <v>0</v>
      </c>
      <c r="BD11" s="47">
        <v>0</v>
      </c>
      <c r="BE11" s="47">
        <v>0</v>
      </c>
      <c r="BF11" s="47">
        <v>0</v>
      </c>
      <c r="BG11" s="47">
        <v>0</v>
      </c>
      <c r="BH11" s="47">
        <v>0</v>
      </c>
      <c r="BI11" s="47">
        <v>0</v>
      </c>
      <c r="BJ11" s="47">
        <v>0</v>
      </c>
      <c r="BK11" s="47">
        <v>0</v>
      </c>
      <c r="BL11" s="47">
        <v>0</v>
      </c>
      <c r="BM11" s="47">
        <v>0</v>
      </c>
      <c r="BN11" s="47">
        <v>0</v>
      </c>
      <c r="BO11" s="47">
        <v>0</v>
      </c>
      <c r="BP11" s="47">
        <v>0</v>
      </c>
      <c r="BQ11" s="47">
        <v>0</v>
      </c>
      <c r="BR11" s="47">
        <v>0</v>
      </c>
      <c r="BS11" s="47">
        <v>0</v>
      </c>
      <c r="BT11" s="47">
        <v>0</v>
      </c>
      <c r="BU11" s="47">
        <v>0</v>
      </c>
      <c r="BV11" s="47">
        <v>0</v>
      </c>
      <c r="BW11" s="47">
        <v>0</v>
      </c>
      <c r="BX11" s="47">
        <v>0</v>
      </c>
      <c r="BY11" s="47">
        <v>0</v>
      </c>
      <c r="BZ11" s="47">
        <v>0</v>
      </c>
      <c r="CA11" s="47">
        <v>0</v>
      </c>
      <c r="CB11" s="47">
        <v>0</v>
      </c>
      <c r="CC11" s="47">
        <v>0</v>
      </c>
      <c r="CD11" s="47">
        <v>0</v>
      </c>
      <c r="CE11" s="47">
        <v>0</v>
      </c>
      <c r="CF11" s="47">
        <v>0</v>
      </c>
      <c r="CG11" s="47">
        <v>0</v>
      </c>
      <c r="CH11" s="47">
        <v>0</v>
      </c>
      <c r="CI11" s="47">
        <v>0</v>
      </c>
      <c r="CJ11" s="47">
        <v>0</v>
      </c>
      <c r="CK11" s="47">
        <v>0</v>
      </c>
      <c r="CL11" s="47">
        <v>0</v>
      </c>
      <c r="CM11" s="47">
        <v>0</v>
      </c>
      <c r="CN11" s="47">
        <v>0</v>
      </c>
      <c r="CO11" s="47">
        <v>0</v>
      </c>
      <c r="CP11" s="47">
        <v>0</v>
      </c>
      <c r="CQ11" s="47">
        <v>0</v>
      </c>
      <c r="CR11" s="47">
        <v>0</v>
      </c>
      <c r="CS11" s="47">
        <v>0</v>
      </c>
      <c r="CT11" s="47">
        <v>0</v>
      </c>
      <c r="CU11" s="47">
        <v>0</v>
      </c>
      <c r="CV11" s="47">
        <v>0</v>
      </c>
      <c r="CW11" s="47">
        <v>0</v>
      </c>
      <c r="CX11" s="47">
        <v>0</v>
      </c>
      <c r="CY11" s="47">
        <v>0</v>
      </c>
      <c r="CZ11" s="47">
        <v>0</v>
      </c>
      <c r="DA11" s="47">
        <v>0</v>
      </c>
      <c r="DB11" s="47">
        <v>0</v>
      </c>
      <c r="DC11" s="47">
        <v>0</v>
      </c>
      <c r="DD11" s="47">
        <v>0</v>
      </c>
      <c r="DE11" s="47">
        <v>0</v>
      </c>
      <c r="DF11" s="47">
        <v>0</v>
      </c>
      <c r="DG11" s="47">
        <v>0</v>
      </c>
      <c r="DH11" s="47">
        <v>0</v>
      </c>
      <c r="DI11" s="47">
        <v>0</v>
      </c>
      <c r="DJ11" s="47">
        <v>0</v>
      </c>
      <c r="DK11" s="47">
        <v>0</v>
      </c>
      <c r="DL11" s="47">
        <v>0</v>
      </c>
      <c r="DM11" s="47">
        <v>0</v>
      </c>
      <c r="DN11" s="47">
        <v>0</v>
      </c>
      <c r="DO11" s="47">
        <v>0</v>
      </c>
      <c r="DP11" s="47">
        <v>0</v>
      </c>
      <c r="DQ11" s="47">
        <v>0</v>
      </c>
      <c r="DR11" s="47">
        <v>0</v>
      </c>
      <c r="DS11" s="47">
        <v>0</v>
      </c>
      <c r="DT11" s="47">
        <v>0</v>
      </c>
      <c r="DU11" s="47">
        <v>0</v>
      </c>
      <c r="DV11" s="47">
        <v>0</v>
      </c>
      <c r="DW11" s="47">
        <v>0</v>
      </c>
      <c r="DX11" s="47">
        <v>0</v>
      </c>
      <c r="DY11" s="47">
        <v>0</v>
      </c>
      <c r="DZ11" s="47"/>
      <c r="EA11" s="47">
        <v>0.0403</v>
      </c>
      <c r="ZZ11" t="s">
        <v>1084</v>
      </c>
    </row>
    <row r="12" spans="1:702" x14ac:dyDescent="0.25">
      <c r="A12" s="47" t="s">
        <v>203</v>
      </c>
      <c r="B12" s="47" t="s">
        <v>151</v>
      </c>
      <c r="C12" s="47" t="s">
        <v>155</v>
      </c>
      <c r="D12" s="47" t="s">
        <v>1098</v>
      </c>
      <c r="E12" s="47" t="s">
        <v>204</v>
      </c>
      <c r="F12" s="47" t="s">
        <v>205</v>
      </c>
      <c r="G12" s="47" t="s">
        <v>206</v>
      </c>
      <c r="H12" s="47" t="s">
        <v>161</v>
      </c>
      <c r="I12" s="47" t="s">
        <v>207</v>
      </c>
      <c r="J12" s="47" t="str">
        <f>=IFERROR(VLOOKUP(H12&amp;I12,Table_Fonctions!A:G,6,FALSE),"")</f>
        <v>0</v>
      </c>
      <c r="K12" s="47" t="s">
        <v>1088</v>
      </c>
      <c r="L12" s="47" t="str">
        <f>=IFERROR(VLOOKUP(H12&amp;I12,Table_Fonctions!A:G,7,FALSE),K12)</f>
        <v/>
      </c>
      <c r="M12" s="47" t="str">
        <f>=IF(OR(LEFT(D12, 3)="TJ ", LEFT(D12, 4)="CPH "), "OUI", "NON")</f>
        <v/>
      </c>
      <c r="N12" s="47" t="s">
        <v>208</v>
      </c>
      <c r="O12" s="47"/>
      <c r="P12" s="47">
        <v>1</v>
      </c>
      <c r="Q12" s="47">
        <v>1</v>
      </c>
      <c r="R12" s="47">
        <v>0</v>
      </c>
      <c r="S12" s="47">
        <f>=ROUND(BQ12-(BR12+BS12),3)</f>
      </c>
      <c r="T12" s="47">
        <f>=ROUND(CK12-(CL12+CM12+CN12+CO12+CP12),3)</f>
      </c>
      <c r="U12" s="47">
        <v>0</v>
      </c>
      <c r="V12" s="47">
        <v>0</v>
      </c>
      <c r="W12" s="47">
        <v>0</v>
      </c>
      <c r="X12" s="47">
        <v>0</v>
      </c>
      <c r="Y12" s="47">
        <v>0</v>
      </c>
      <c r="Z12" s="47">
        <v>0</v>
      </c>
      <c r="AA12" s="47">
        <v>0</v>
      </c>
      <c r="AB12" s="47">
        <v>0</v>
      </c>
      <c r="AC12" s="47">
        <v>0</v>
      </c>
      <c r="AD12" s="47">
        <v>0</v>
      </c>
      <c r="AE12" s="47">
        <v>0</v>
      </c>
      <c r="AF12" s="47">
        <v>0</v>
      </c>
      <c r="AG12" s="47">
        <v>0</v>
      </c>
      <c r="AH12" s="47">
        <v>0</v>
      </c>
      <c r="AI12" s="47">
        <v>0</v>
      </c>
      <c r="AJ12" s="47">
        <v>0</v>
      </c>
      <c r="AK12" s="47">
        <v>0</v>
      </c>
      <c r="AL12" s="47">
        <v>0</v>
      </c>
      <c r="AM12" s="47">
        <v>0</v>
      </c>
      <c r="AN12" s="47">
        <v>0</v>
      </c>
      <c r="AO12" s="47">
        <v>0</v>
      </c>
      <c r="AP12" s="47">
        <v>0</v>
      </c>
      <c r="AQ12" s="47">
        <v>0</v>
      </c>
      <c r="AR12" s="47">
        <v>0</v>
      </c>
      <c r="AS12" s="47">
        <v>0.91</v>
      </c>
      <c r="AT12" s="47">
        <v>0</v>
      </c>
      <c r="AU12" s="47">
        <v>0</v>
      </c>
      <c r="AV12" s="47">
        <v>0</v>
      </c>
      <c r="AW12" s="47">
        <v>0</v>
      </c>
      <c r="AX12" s="47">
        <v>0</v>
      </c>
      <c r="AY12" s="47">
        <v>0</v>
      </c>
      <c r="AZ12" s="47">
        <v>0</v>
      </c>
      <c r="BA12" s="47">
        <v>0</v>
      </c>
      <c r="BB12" s="47">
        <v>0</v>
      </c>
      <c r="BC12" s="47">
        <v>0</v>
      </c>
      <c r="BD12" s="47">
        <v>0</v>
      </c>
      <c r="BE12" s="47">
        <v>0</v>
      </c>
      <c r="BF12" s="47">
        <v>0</v>
      </c>
      <c r="BG12" s="47">
        <v>0</v>
      </c>
      <c r="BH12" s="47">
        <v>0</v>
      </c>
      <c r="BI12" s="47">
        <v>0</v>
      </c>
      <c r="BJ12" s="47">
        <v>0</v>
      </c>
      <c r="BK12" s="47">
        <v>0</v>
      </c>
      <c r="BL12" s="47">
        <v>0</v>
      </c>
      <c r="BM12" s="47">
        <v>0</v>
      </c>
      <c r="BN12" s="47">
        <v>0</v>
      </c>
      <c r="BO12" s="47">
        <v>0</v>
      </c>
      <c r="BP12" s="47">
        <v>0</v>
      </c>
      <c r="BQ12" s="47">
        <v>0</v>
      </c>
      <c r="BR12" s="47">
        <v>0</v>
      </c>
      <c r="BS12" s="47">
        <v>0</v>
      </c>
      <c r="BT12" s="47">
        <v>0.07</v>
      </c>
      <c r="BU12" s="47">
        <v>0</v>
      </c>
      <c r="BV12" s="47">
        <v>0</v>
      </c>
      <c r="BW12" s="47">
        <v>0</v>
      </c>
      <c r="BX12" s="47">
        <v>0</v>
      </c>
      <c r="BY12" s="47">
        <v>0</v>
      </c>
      <c r="BZ12" s="47">
        <v>0</v>
      </c>
      <c r="CA12" s="47">
        <v>0</v>
      </c>
      <c r="CB12" s="47">
        <v>0.02</v>
      </c>
      <c r="CC12" s="47">
        <v>0</v>
      </c>
      <c r="CD12" s="47">
        <v>0</v>
      </c>
      <c r="CE12" s="47">
        <v>0</v>
      </c>
      <c r="CF12" s="47">
        <v>0</v>
      </c>
      <c r="CG12" s="47">
        <v>0</v>
      </c>
      <c r="CH12" s="47">
        <v>0</v>
      </c>
      <c r="CI12" s="47">
        <v>0</v>
      </c>
      <c r="CJ12" s="47">
        <v>0.05</v>
      </c>
      <c r="CK12" s="47">
        <v>0</v>
      </c>
      <c r="CL12" s="47">
        <v>0</v>
      </c>
      <c r="CM12" s="47">
        <v>0</v>
      </c>
      <c r="CN12" s="47">
        <v>0</v>
      </c>
      <c r="CO12" s="47">
        <v>0</v>
      </c>
      <c r="CP12" s="47">
        <v>0</v>
      </c>
      <c r="CQ12" s="47">
        <v>0</v>
      </c>
      <c r="CR12" s="47">
        <v>0</v>
      </c>
      <c r="CS12" s="47">
        <v>0</v>
      </c>
      <c r="CT12" s="47">
        <v>0</v>
      </c>
      <c r="CU12" s="47">
        <v>0</v>
      </c>
      <c r="CV12" s="47">
        <v>0</v>
      </c>
      <c r="CW12" s="47">
        <v>0</v>
      </c>
      <c r="CX12" s="47">
        <v>0</v>
      </c>
      <c r="CY12" s="47">
        <v>0.02</v>
      </c>
      <c r="CZ12" s="47">
        <v>0</v>
      </c>
      <c r="DA12" s="47">
        <v>0.02</v>
      </c>
      <c r="DB12" s="47">
        <v>0</v>
      </c>
      <c r="DC12" s="47">
        <v>0</v>
      </c>
      <c r="DD12" s="47">
        <v>0</v>
      </c>
      <c r="DE12" s="47">
        <v>0</v>
      </c>
      <c r="DF12" s="47">
        <v>0</v>
      </c>
      <c r="DG12" s="47">
        <v>0</v>
      </c>
      <c r="DH12" s="47">
        <v>0</v>
      </c>
      <c r="DI12" s="47">
        <v>0</v>
      </c>
      <c r="DJ12" s="47">
        <v>0</v>
      </c>
      <c r="DK12" s="47">
        <v>0</v>
      </c>
      <c r="DL12" s="47">
        <v>0</v>
      </c>
      <c r="DM12" s="47">
        <v>0</v>
      </c>
      <c r="DN12" s="47">
        <v>0</v>
      </c>
      <c r="DO12" s="47">
        <v>0</v>
      </c>
      <c r="DP12" s="47">
        <v>0</v>
      </c>
      <c r="DQ12" s="47">
        <v>0</v>
      </c>
      <c r="DR12" s="47">
        <v>0</v>
      </c>
      <c r="DS12" s="47">
        <v>0</v>
      </c>
      <c r="DT12" s="47">
        <v>0</v>
      </c>
      <c r="DU12" s="47">
        <v>0</v>
      </c>
      <c r="DV12" s="47">
        <v>0</v>
      </c>
      <c r="DW12" s="47">
        <v>0</v>
      </c>
      <c r="DX12" s="47">
        <v>0</v>
      </c>
      <c r="DY12" s="47">
        <v>0</v>
      </c>
      <c r="DZ12" s="47"/>
      <c r="EA12" s="47">
        <v>1</v>
      </c>
      <c r="ZZ12" t="s">
        <v>1084</v>
      </c>
    </row>
    <row r="13" spans="1:702" x14ac:dyDescent="0.25">
      <c r="A13" s="47" t="s">
        <v>209</v>
      </c>
      <c r="B13" s="47" t="s">
        <v>151</v>
      </c>
      <c r="C13" s="47" t="s">
        <v>155</v>
      </c>
      <c r="D13" s="47" t="s">
        <v>1099</v>
      </c>
      <c r="E13" s="47" t="s">
        <v>210</v>
      </c>
      <c r="F13" s="47" t="s">
        <v>211</v>
      </c>
      <c r="G13" s="47" t="s">
        <v>212</v>
      </c>
      <c r="H13" s="47" t="s">
        <v>161</v>
      </c>
      <c r="I13" s="47" t="s">
        <v>207</v>
      </c>
      <c r="J13" s="47" t="str">
        <f>=IFERROR(VLOOKUP(H13&amp;I13,Table_Fonctions!A:G,6,FALSE),"")</f>
        <v>0</v>
      </c>
      <c r="K13" s="47" t="s">
        <v>1088</v>
      </c>
      <c r="L13" s="47" t="str">
        <f>=IFERROR(VLOOKUP(H13&amp;I13,Table_Fonctions!A:G,7,FALSE),K13)</f>
        <v/>
      </c>
      <c r="M13" s="47" t="str">
        <f>=IF(OR(LEFT(D13, 3)="TJ ", LEFT(D13, 4)="CPH "), "OUI", "NON")</f>
        <v/>
      </c>
      <c r="N13" s="47" t="s">
        <v>213</v>
      </c>
      <c r="O13" s="47"/>
      <c r="P13" s="47">
        <v>1</v>
      </c>
      <c r="Q13" s="47">
        <v>0</v>
      </c>
      <c r="R13" s="47">
        <v>1</v>
      </c>
      <c r="S13" s="47">
        <f>=ROUND(BQ13-(BR13+BS13),3)</f>
      </c>
      <c r="T13" s="47">
        <f>=ROUND(CK13-(CL13+CM13+CN13+CO13+CP13),3)</f>
      </c>
      <c r="U13" s="47">
        <v>0</v>
      </c>
      <c r="V13" s="47">
        <v>0</v>
      </c>
      <c r="W13" s="47">
        <v>0</v>
      </c>
      <c r="X13" s="47">
        <v>0</v>
      </c>
      <c r="Y13" s="47">
        <v>0</v>
      </c>
      <c r="Z13" s="47">
        <v>0</v>
      </c>
      <c r="AA13" s="47">
        <v>0</v>
      </c>
      <c r="AB13" s="47">
        <v>0</v>
      </c>
      <c r="AC13" s="47">
        <v>0</v>
      </c>
      <c r="AD13" s="47">
        <v>0</v>
      </c>
      <c r="AE13" s="47">
        <v>0</v>
      </c>
      <c r="AF13" s="47">
        <v>0</v>
      </c>
      <c r="AG13" s="47">
        <v>0</v>
      </c>
      <c r="AH13" s="47">
        <v>0</v>
      </c>
      <c r="AI13" s="47">
        <v>0</v>
      </c>
      <c r="AJ13" s="47">
        <v>0</v>
      </c>
      <c r="AK13" s="47">
        <v>0</v>
      </c>
      <c r="AL13" s="47">
        <v>0</v>
      </c>
      <c r="AM13" s="47">
        <v>0</v>
      </c>
      <c r="AN13" s="47">
        <v>0</v>
      </c>
      <c r="AO13" s="47">
        <v>0</v>
      </c>
      <c r="AP13" s="47">
        <v>0</v>
      </c>
      <c r="AQ13" s="47">
        <v>0</v>
      </c>
      <c r="AR13" s="47">
        <v>0</v>
      </c>
      <c r="AS13" s="47">
        <v>0</v>
      </c>
      <c r="AT13" s="47">
        <v>0</v>
      </c>
      <c r="AU13" s="47">
        <v>0</v>
      </c>
      <c r="AV13" s="47">
        <v>0</v>
      </c>
      <c r="AW13" s="47">
        <v>0</v>
      </c>
      <c r="AX13" s="47">
        <v>0</v>
      </c>
      <c r="AY13" s="47">
        <v>0</v>
      </c>
      <c r="AZ13" s="47">
        <v>0</v>
      </c>
      <c r="BA13" s="47">
        <v>0</v>
      </c>
      <c r="BB13" s="47">
        <v>0</v>
      </c>
      <c r="BC13" s="47">
        <v>0</v>
      </c>
      <c r="BD13" s="47">
        <v>0</v>
      </c>
      <c r="BE13" s="47">
        <v>0</v>
      </c>
      <c r="BF13" s="47">
        <v>0</v>
      </c>
      <c r="BG13" s="47">
        <v>0</v>
      </c>
      <c r="BH13" s="47">
        <v>0</v>
      </c>
      <c r="BI13" s="47">
        <v>0</v>
      </c>
      <c r="BJ13" s="47">
        <v>0</v>
      </c>
      <c r="BK13" s="47">
        <v>0</v>
      </c>
      <c r="BL13" s="47">
        <v>0</v>
      </c>
      <c r="BM13" s="47">
        <v>0</v>
      </c>
      <c r="BN13" s="47">
        <v>0</v>
      </c>
      <c r="BO13" s="47">
        <v>0</v>
      </c>
      <c r="BP13" s="47">
        <v>0</v>
      </c>
      <c r="BQ13" s="47">
        <v>0</v>
      </c>
      <c r="BR13" s="47">
        <v>0</v>
      </c>
      <c r="BS13" s="47">
        <v>0</v>
      </c>
      <c r="BT13" s="47">
        <v>0</v>
      </c>
      <c r="BU13" s="47">
        <v>0</v>
      </c>
      <c r="BV13" s="47">
        <v>0</v>
      </c>
      <c r="BW13" s="47">
        <v>0</v>
      </c>
      <c r="BX13" s="47">
        <v>0</v>
      </c>
      <c r="BY13" s="47">
        <v>0</v>
      </c>
      <c r="BZ13" s="47">
        <v>0</v>
      </c>
      <c r="CA13" s="47">
        <v>0</v>
      </c>
      <c r="CB13" s="47">
        <v>0</v>
      </c>
      <c r="CC13" s="47">
        <v>0</v>
      </c>
      <c r="CD13" s="47">
        <v>0</v>
      </c>
      <c r="CE13" s="47">
        <v>0</v>
      </c>
      <c r="CF13" s="47">
        <v>0</v>
      </c>
      <c r="CG13" s="47">
        <v>0</v>
      </c>
      <c r="CH13" s="47">
        <v>0</v>
      </c>
      <c r="CI13" s="47">
        <v>0</v>
      </c>
      <c r="CJ13" s="47">
        <v>0</v>
      </c>
      <c r="CK13" s="47">
        <v>0</v>
      </c>
      <c r="CL13" s="47">
        <v>0</v>
      </c>
      <c r="CM13" s="47">
        <v>0</v>
      </c>
      <c r="CN13" s="47">
        <v>0</v>
      </c>
      <c r="CO13" s="47">
        <v>0</v>
      </c>
      <c r="CP13" s="47">
        <v>0</v>
      </c>
      <c r="CQ13" s="47">
        <v>0</v>
      </c>
      <c r="CR13" s="47">
        <v>0</v>
      </c>
      <c r="CS13" s="47">
        <v>0</v>
      </c>
      <c r="CT13" s="47">
        <v>0</v>
      </c>
      <c r="CU13" s="47">
        <v>0</v>
      </c>
      <c r="CV13" s="47">
        <v>0</v>
      </c>
      <c r="CW13" s="47">
        <v>0</v>
      </c>
      <c r="CX13" s="47">
        <v>0</v>
      </c>
      <c r="CY13" s="47">
        <v>0</v>
      </c>
      <c r="CZ13" s="47">
        <v>0</v>
      </c>
      <c r="DA13" s="47">
        <v>0</v>
      </c>
      <c r="DB13" s="47">
        <v>0</v>
      </c>
      <c r="DC13" s="47">
        <v>0</v>
      </c>
      <c r="DD13" s="47">
        <v>0</v>
      </c>
      <c r="DE13" s="47">
        <v>0</v>
      </c>
      <c r="DF13" s="47">
        <v>0</v>
      </c>
      <c r="DG13" s="47">
        <v>0</v>
      </c>
      <c r="DH13" s="47">
        <v>0</v>
      </c>
      <c r="DI13" s="47">
        <v>0</v>
      </c>
      <c r="DJ13" s="47">
        <v>0</v>
      </c>
      <c r="DK13" s="47">
        <v>0</v>
      </c>
      <c r="DL13" s="47">
        <v>0</v>
      </c>
      <c r="DM13" s="47">
        <v>0</v>
      </c>
      <c r="DN13" s="47">
        <v>0</v>
      </c>
      <c r="DO13" s="47">
        <v>0</v>
      </c>
      <c r="DP13" s="47">
        <v>0</v>
      </c>
      <c r="DQ13" s="47">
        <v>0</v>
      </c>
      <c r="DR13" s="47">
        <v>0</v>
      </c>
      <c r="DS13" s="47">
        <v>0</v>
      </c>
      <c r="DT13" s="47">
        <v>0</v>
      </c>
      <c r="DU13" s="47">
        <v>0.0403</v>
      </c>
      <c r="DV13" s="47">
        <v>0</v>
      </c>
      <c r="DW13" s="47">
        <v>0</v>
      </c>
      <c r="DX13" s="47">
        <v>0</v>
      </c>
      <c r="DY13" s="47">
        <v>0.0403</v>
      </c>
      <c r="DZ13" s="47"/>
      <c r="EA13" s="47">
        <v>1</v>
      </c>
      <c r="ZZ13" t="s">
        <v>1084</v>
      </c>
    </row>
    <row r="14" spans="1:702" x14ac:dyDescent="0.25">
      <c r="A14" s="47" t="s">
        <v>214</v>
      </c>
      <c r="B14" s="47" t="s">
        <v>151</v>
      </c>
      <c r="C14" s="47" t="s">
        <v>155</v>
      </c>
      <c r="D14" s="47" t="s">
        <v>1100</v>
      </c>
      <c r="E14" s="47" t="s">
        <v>215</v>
      </c>
      <c r="F14" s="47" t="s">
        <v>216</v>
      </c>
      <c r="G14" s="47" t="s">
        <v>217</v>
      </c>
      <c r="H14" s="47" t="s">
        <v>161</v>
      </c>
      <c r="I14" s="47" t="s">
        <v>218</v>
      </c>
      <c r="J14" s="47" t="str">
        <f>=IFERROR(VLOOKUP(H14&amp;I14,Table_Fonctions!A:G,6,FALSE),"")</f>
        <v>0</v>
      </c>
      <c r="K14" s="47" t="s">
        <v>1088</v>
      </c>
      <c r="L14" s="47" t="str">
        <f>=IFERROR(VLOOKUP(H14&amp;I14,Table_Fonctions!A:G,7,FALSE),K14)</f>
        <v/>
      </c>
      <c r="M14" s="47" t="str">
        <f>=IF(OR(LEFT(D14, 3)="TJ ", LEFT(D14, 4)="CPH "), "OUI", "NON")</f>
        <v/>
      </c>
      <c r="N14" s="47" t="s">
        <v>176</v>
      </c>
      <c r="O14" s="47" t="s">
        <v>169</v>
      </c>
      <c r="P14" s="47">
        <v>0.7016</v>
      </c>
      <c r="Q14" s="47">
        <v>0.7016</v>
      </c>
      <c r="R14" s="47">
        <v>0</v>
      </c>
      <c r="S14" s="47">
        <f>=ROUND(BQ14-(BR14+BS14),3)</f>
      </c>
      <c r="T14" s="47">
        <f>=ROUND(CK14-(CL14+CM14+CN14+CO14+CP14),3)</f>
      </c>
      <c r="U14" s="47">
        <v>0</v>
      </c>
      <c r="V14" s="47">
        <v>0</v>
      </c>
      <c r="W14" s="47">
        <v>0</v>
      </c>
      <c r="X14" s="47">
        <v>0</v>
      </c>
      <c r="Y14" s="47">
        <v>0</v>
      </c>
      <c r="Z14" s="47">
        <v>0</v>
      </c>
      <c r="AA14" s="47">
        <v>0</v>
      </c>
      <c r="AB14" s="47">
        <v>0</v>
      </c>
      <c r="AC14" s="47">
        <v>0</v>
      </c>
      <c r="AD14" s="47">
        <v>0</v>
      </c>
      <c r="AE14" s="47">
        <v>0</v>
      </c>
      <c r="AF14" s="47">
        <v>0</v>
      </c>
      <c r="AG14" s="47">
        <v>0</v>
      </c>
      <c r="AH14" s="47">
        <v>0</v>
      </c>
      <c r="AI14" s="47">
        <v>0</v>
      </c>
      <c r="AJ14" s="47">
        <v>0</v>
      </c>
      <c r="AK14" s="47">
        <v>0</v>
      </c>
      <c r="AL14" s="47">
        <v>0</v>
      </c>
      <c r="AM14" s="47">
        <v>0</v>
      </c>
      <c r="AN14" s="47">
        <v>0</v>
      </c>
      <c r="AO14" s="47">
        <v>0</v>
      </c>
      <c r="AP14" s="47">
        <v>0</v>
      </c>
      <c r="AQ14" s="47">
        <v>0</v>
      </c>
      <c r="AR14" s="47">
        <v>0</v>
      </c>
      <c r="AS14" s="47">
        <v>0</v>
      </c>
      <c r="AT14" s="47">
        <v>0</v>
      </c>
      <c r="AU14" s="47">
        <v>0</v>
      </c>
      <c r="AV14" s="47">
        <v>0</v>
      </c>
      <c r="AW14" s="47">
        <v>0</v>
      </c>
      <c r="AX14" s="47">
        <v>0</v>
      </c>
      <c r="AY14" s="47">
        <v>0</v>
      </c>
      <c r="AZ14" s="47">
        <v>0</v>
      </c>
      <c r="BA14" s="47">
        <v>0</v>
      </c>
      <c r="BB14" s="47">
        <v>0</v>
      </c>
      <c r="BC14" s="47">
        <v>0</v>
      </c>
      <c r="BD14" s="47">
        <v>0</v>
      </c>
      <c r="BE14" s="47">
        <v>0</v>
      </c>
      <c r="BF14" s="47">
        <v>0</v>
      </c>
      <c r="BG14" s="47">
        <v>0</v>
      </c>
      <c r="BH14" s="47">
        <v>0</v>
      </c>
      <c r="BI14" s="47">
        <v>0</v>
      </c>
      <c r="BJ14" s="47">
        <v>0</v>
      </c>
      <c r="BK14" s="47">
        <v>0</v>
      </c>
      <c r="BL14" s="47">
        <v>0</v>
      </c>
      <c r="BM14" s="47">
        <v>0</v>
      </c>
      <c r="BN14" s="47">
        <v>0</v>
      </c>
      <c r="BO14" s="47">
        <v>0</v>
      </c>
      <c r="BP14" s="47">
        <v>0</v>
      </c>
      <c r="BQ14" s="47">
        <v>0.6272</v>
      </c>
      <c r="BR14" s="47">
        <v>0.501</v>
      </c>
      <c r="BS14" s="47">
        <v>0.1263</v>
      </c>
      <c r="BT14" s="47">
        <v>0.014</v>
      </c>
      <c r="BU14" s="47">
        <v>0</v>
      </c>
      <c r="BV14" s="47">
        <v>0</v>
      </c>
      <c r="BW14" s="47">
        <v>0</v>
      </c>
      <c r="BX14" s="47">
        <v>0</v>
      </c>
      <c r="BY14" s="47">
        <v>0</v>
      </c>
      <c r="BZ14" s="47">
        <v>0</v>
      </c>
      <c r="CA14" s="47">
        <v>0</v>
      </c>
      <c r="CB14" s="47">
        <v>0.014</v>
      </c>
      <c r="CC14" s="47">
        <v>0</v>
      </c>
      <c r="CD14" s="47">
        <v>0</v>
      </c>
      <c r="CE14" s="47">
        <v>0</v>
      </c>
      <c r="CF14" s="47">
        <v>0</v>
      </c>
      <c r="CG14" s="47">
        <v>0</v>
      </c>
      <c r="CH14" s="47">
        <v>0</v>
      </c>
      <c r="CI14" s="47">
        <v>0</v>
      </c>
      <c r="CJ14" s="47">
        <v>0</v>
      </c>
      <c r="CK14" s="47">
        <v>0</v>
      </c>
      <c r="CL14" s="47">
        <v>0</v>
      </c>
      <c r="CM14" s="47">
        <v>0</v>
      </c>
      <c r="CN14" s="47">
        <v>0</v>
      </c>
      <c r="CO14" s="47">
        <v>0</v>
      </c>
      <c r="CP14" s="47">
        <v>0</v>
      </c>
      <c r="CQ14" s="47">
        <v>0</v>
      </c>
      <c r="CR14" s="47">
        <v>0</v>
      </c>
      <c r="CS14" s="47">
        <v>0</v>
      </c>
      <c r="CT14" s="47">
        <v>0</v>
      </c>
      <c r="CU14" s="47">
        <v>0</v>
      </c>
      <c r="CV14" s="47">
        <v>0.0253</v>
      </c>
      <c r="CW14" s="47">
        <v>0</v>
      </c>
      <c r="CX14" s="47">
        <v>0</v>
      </c>
      <c r="CY14" s="47">
        <v>0.0351</v>
      </c>
      <c r="CZ14" s="47">
        <v>0.0351</v>
      </c>
      <c r="DA14" s="47">
        <v>0</v>
      </c>
      <c r="DB14" s="47">
        <v>0</v>
      </c>
      <c r="DC14" s="47">
        <v>0</v>
      </c>
      <c r="DD14" s="47">
        <v>0</v>
      </c>
      <c r="DE14" s="47">
        <v>0</v>
      </c>
      <c r="DF14" s="47">
        <v>0</v>
      </c>
      <c r="DG14" s="47">
        <v>0</v>
      </c>
      <c r="DH14" s="47">
        <v>0</v>
      </c>
      <c r="DI14" s="47">
        <v>0</v>
      </c>
      <c r="DJ14" s="47">
        <v>0</v>
      </c>
      <c r="DK14" s="47">
        <v>0</v>
      </c>
      <c r="DL14" s="47">
        <v>0</v>
      </c>
      <c r="DM14" s="47">
        <v>0</v>
      </c>
      <c r="DN14" s="47">
        <v>0</v>
      </c>
      <c r="DO14" s="47">
        <v>0</v>
      </c>
      <c r="DP14" s="47">
        <v>0</v>
      </c>
      <c r="DQ14" s="47">
        <v>0</v>
      </c>
      <c r="DR14" s="47">
        <v>0</v>
      </c>
      <c r="DS14" s="47">
        <v>0</v>
      </c>
      <c r="DT14" s="47">
        <v>0</v>
      </c>
      <c r="DU14" s="47">
        <v>0</v>
      </c>
      <c r="DV14" s="47">
        <v>0</v>
      </c>
      <c r="DW14" s="47">
        <v>0</v>
      </c>
      <c r="DX14" s="47">
        <v>0</v>
      </c>
      <c r="DY14" s="47">
        <v>0</v>
      </c>
      <c r="DZ14" s="47"/>
      <c r="EA14" s="47">
        <v>0.7016</v>
      </c>
      <c r="ZZ14" t="s">
        <v>1084</v>
      </c>
    </row>
    <row r="15" spans="1:702" x14ac:dyDescent="0.25">
      <c r="A15" s="47" t="s">
        <v>219</v>
      </c>
      <c r="B15" s="47" t="s">
        <v>151</v>
      </c>
      <c r="C15" s="47" t="s">
        <v>155</v>
      </c>
      <c r="D15" s="47" t="s">
        <v>1101</v>
      </c>
      <c r="E15" s="47" t="s">
        <v>220</v>
      </c>
      <c r="F15" s="47" t="s">
        <v>221</v>
      </c>
      <c r="G15" s="47" t="s">
        <v>222</v>
      </c>
      <c r="H15" s="47" t="s">
        <v>161</v>
      </c>
      <c r="I15" s="47" t="s">
        <v>192</v>
      </c>
      <c r="J15" s="47" t="str">
        <f>=IFERROR(VLOOKUP(H15&amp;I15,Table_Fonctions!A:G,6,FALSE),"")</f>
        <v>0</v>
      </c>
      <c r="K15" s="47" t="s">
        <v>1088</v>
      </c>
      <c r="L15" s="47" t="str">
        <f>=IFERROR(VLOOKUP(H15&amp;I15,Table_Fonctions!A:G,7,FALSE),K15)</f>
        <v/>
      </c>
      <c r="M15" s="47" t="str">
        <f>=IF(OR(LEFT(D15, 3)="TJ ", LEFT(D15, 4)="CPH "), "OUI", "NON")</f>
        <v/>
      </c>
      <c r="N15" s="47" t="s">
        <v>223</v>
      </c>
      <c r="O15" s="47"/>
      <c r="P15" s="47">
        <v>1</v>
      </c>
      <c r="Q15" s="47">
        <v>1</v>
      </c>
      <c r="R15" s="47">
        <v>0</v>
      </c>
      <c r="S15" s="47">
        <f>=ROUND(BQ15-(BR15+BS15),3)</f>
      </c>
      <c r="T15" s="47">
        <f>=ROUND(CK15-(CL15+CM15+CN15+CO15+CP15),3)</f>
      </c>
      <c r="U15" s="47">
        <v>0</v>
      </c>
      <c r="V15" s="47">
        <v>0</v>
      </c>
      <c r="W15" s="47">
        <v>0</v>
      </c>
      <c r="X15" s="47">
        <v>0</v>
      </c>
      <c r="Y15" s="47">
        <v>0</v>
      </c>
      <c r="Z15" s="47">
        <v>0</v>
      </c>
      <c r="AA15" s="47">
        <v>0</v>
      </c>
      <c r="AB15" s="47">
        <v>0</v>
      </c>
      <c r="AC15" s="47">
        <v>0</v>
      </c>
      <c r="AD15" s="47">
        <v>0</v>
      </c>
      <c r="AE15" s="47">
        <v>0</v>
      </c>
      <c r="AF15" s="47">
        <v>0</v>
      </c>
      <c r="AG15" s="47">
        <v>0</v>
      </c>
      <c r="AH15" s="47">
        <v>0</v>
      </c>
      <c r="AI15" s="47">
        <v>0</v>
      </c>
      <c r="AJ15" s="47">
        <v>0</v>
      </c>
      <c r="AK15" s="47">
        <v>0</v>
      </c>
      <c r="AL15" s="47">
        <v>0</v>
      </c>
      <c r="AM15" s="47">
        <v>0</v>
      </c>
      <c r="AN15" s="47">
        <v>0</v>
      </c>
      <c r="AO15" s="47">
        <v>0</v>
      </c>
      <c r="AP15" s="47">
        <v>0</v>
      </c>
      <c r="AQ15" s="47">
        <v>0</v>
      </c>
      <c r="AR15" s="47">
        <v>0</v>
      </c>
      <c r="AS15" s="47">
        <v>0</v>
      </c>
      <c r="AT15" s="47">
        <v>0</v>
      </c>
      <c r="AU15" s="47">
        <v>0</v>
      </c>
      <c r="AV15" s="47">
        <v>0</v>
      </c>
      <c r="AW15" s="47">
        <v>0</v>
      </c>
      <c r="AX15" s="47">
        <v>0</v>
      </c>
      <c r="AY15" s="47">
        <v>0</v>
      </c>
      <c r="AZ15" s="47">
        <v>0</v>
      </c>
      <c r="BA15" s="47">
        <v>0</v>
      </c>
      <c r="BB15" s="47">
        <v>0</v>
      </c>
      <c r="BC15" s="47">
        <v>0</v>
      </c>
      <c r="BD15" s="47">
        <v>0</v>
      </c>
      <c r="BE15" s="47">
        <v>0</v>
      </c>
      <c r="BF15" s="47">
        <v>0</v>
      </c>
      <c r="BG15" s="47">
        <v>0</v>
      </c>
      <c r="BH15" s="47">
        <v>0</v>
      </c>
      <c r="BI15" s="47">
        <v>0</v>
      </c>
      <c r="BJ15" s="47">
        <v>0</v>
      </c>
      <c r="BK15" s="47">
        <v>0</v>
      </c>
      <c r="BL15" s="47">
        <v>0</v>
      </c>
      <c r="BM15" s="47">
        <v>0</v>
      </c>
      <c r="BN15" s="47">
        <v>0</v>
      </c>
      <c r="BO15" s="47">
        <v>0</v>
      </c>
      <c r="BP15" s="47">
        <v>0</v>
      </c>
      <c r="BQ15" s="47">
        <v>0</v>
      </c>
      <c r="BR15" s="47">
        <v>0</v>
      </c>
      <c r="BS15" s="47">
        <v>0</v>
      </c>
      <c r="BT15" s="47">
        <v>0.05</v>
      </c>
      <c r="BU15" s="47">
        <v>0</v>
      </c>
      <c r="BV15" s="47">
        <v>0</v>
      </c>
      <c r="BW15" s="47">
        <v>0</v>
      </c>
      <c r="BX15" s="47">
        <v>0</v>
      </c>
      <c r="BY15" s="47">
        <v>0</v>
      </c>
      <c r="BZ15" s="47">
        <v>0</v>
      </c>
      <c r="CA15" s="47">
        <v>0</v>
      </c>
      <c r="CB15" s="47">
        <v>0</v>
      </c>
      <c r="CC15" s="47">
        <v>0</v>
      </c>
      <c r="CD15" s="47">
        <v>0</v>
      </c>
      <c r="CE15" s="47">
        <v>0</v>
      </c>
      <c r="CF15" s="47">
        <v>0</v>
      </c>
      <c r="CG15" s="47">
        <v>0</v>
      </c>
      <c r="CH15" s="47">
        <v>0</v>
      </c>
      <c r="CI15" s="47">
        <v>0</v>
      </c>
      <c r="CJ15" s="47">
        <v>0</v>
      </c>
      <c r="CK15" s="47">
        <v>0</v>
      </c>
      <c r="CL15" s="47">
        <v>0</v>
      </c>
      <c r="CM15" s="47">
        <v>0</v>
      </c>
      <c r="CN15" s="47">
        <v>0</v>
      </c>
      <c r="CO15" s="47">
        <v>0</v>
      </c>
      <c r="CP15" s="47">
        <v>0</v>
      </c>
      <c r="CQ15" s="47">
        <v>0.91</v>
      </c>
      <c r="CR15" s="47">
        <v>0</v>
      </c>
      <c r="CS15" s="47">
        <v>0</v>
      </c>
      <c r="CT15" s="47">
        <v>0</v>
      </c>
      <c r="CU15" s="47">
        <v>0</v>
      </c>
      <c r="CV15" s="47">
        <v>0</v>
      </c>
      <c r="CW15" s="47">
        <v>0</v>
      </c>
      <c r="CX15" s="47">
        <v>0</v>
      </c>
      <c r="CY15" s="47">
        <v>0.04</v>
      </c>
      <c r="CZ15" s="47">
        <v>0</v>
      </c>
      <c r="DA15" s="47">
        <v>0.02</v>
      </c>
      <c r="DB15" s="47">
        <v>0.02</v>
      </c>
      <c r="DC15" s="47">
        <v>0</v>
      </c>
      <c r="DD15" s="47">
        <v>0</v>
      </c>
      <c r="DE15" s="47">
        <v>0</v>
      </c>
      <c r="DF15" s="47">
        <v>0</v>
      </c>
      <c r="DG15" s="47">
        <v>0</v>
      </c>
      <c r="DH15" s="47">
        <v>0</v>
      </c>
      <c r="DI15" s="47">
        <v>0</v>
      </c>
      <c r="DJ15" s="47">
        <v>0</v>
      </c>
      <c r="DK15" s="47">
        <v>0</v>
      </c>
      <c r="DL15" s="47">
        <v>0</v>
      </c>
      <c r="DM15" s="47">
        <v>0</v>
      </c>
      <c r="DN15" s="47">
        <v>0</v>
      </c>
      <c r="DO15" s="47">
        <v>0</v>
      </c>
      <c r="DP15" s="47">
        <v>0</v>
      </c>
      <c r="DQ15" s="47">
        <v>0</v>
      </c>
      <c r="DR15" s="47">
        <v>0</v>
      </c>
      <c r="DS15" s="47">
        <v>0</v>
      </c>
      <c r="DT15" s="47">
        <v>0</v>
      </c>
      <c r="DU15" s="47">
        <v>0</v>
      </c>
      <c r="DV15" s="47">
        <v>0.0323</v>
      </c>
      <c r="DW15" s="47">
        <v>0</v>
      </c>
      <c r="DX15" s="47">
        <v>0</v>
      </c>
      <c r="DY15" s="47">
        <v>0.0323</v>
      </c>
      <c r="DZ15" s="47"/>
      <c r="EA15" s="47">
        <v>1</v>
      </c>
      <c r="ZZ15" t="s">
        <v>1084</v>
      </c>
    </row>
    <row r="16" spans="1:702" x14ac:dyDescent="0.25">
      <c r="A16" s="47" t="s">
        <v>224</v>
      </c>
      <c r="B16" s="47" t="s">
        <v>151</v>
      </c>
      <c r="C16" s="47" t="s">
        <v>155</v>
      </c>
      <c r="D16" s="47" t="s">
        <v>1102</v>
      </c>
      <c r="E16" s="47" t="s">
        <v>225</v>
      </c>
      <c r="F16" s="47" t="s">
        <v>226</v>
      </c>
      <c r="G16" s="47" t="s">
        <v>227</v>
      </c>
      <c r="H16" s="47" t="s">
        <v>161</v>
      </c>
      <c r="I16" s="47" t="s">
        <v>162</v>
      </c>
      <c r="J16" s="47" t="str">
        <f>=IFERROR(VLOOKUP(H16&amp;I16,Table_Fonctions!A:G,6,FALSE),"")</f>
        <v>0</v>
      </c>
      <c r="K16" s="47" t="s">
        <v>1088</v>
      </c>
      <c r="L16" s="47" t="str">
        <f>=IFERROR(VLOOKUP(H16&amp;I16,Table_Fonctions!A:G,7,FALSE),K16)</f>
        <v/>
      </c>
      <c r="M16" s="47" t="str">
        <f>=IF(OR(LEFT(D16, 3)="TJ ", LEFT(D16, 4)="CPH "), "OUI", "NON")</f>
        <v/>
      </c>
      <c r="N16" s="47" t="s">
        <v>228</v>
      </c>
      <c r="O16" s="47"/>
      <c r="P16" s="47">
        <v>0.9</v>
      </c>
      <c r="Q16" s="47">
        <v>0</v>
      </c>
      <c r="R16" s="47">
        <v>0.9</v>
      </c>
      <c r="S16" s="47">
        <f>=ROUND(BQ16-(BR16+BS16),3)</f>
      </c>
      <c r="T16" s="47">
        <f>=ROUND(CK16-(CL16+CM16+CN16+CO16+CP16),3)</f>
      </c>
      <c r="U16" s="47">
        <v>0</v>
      </c>
      <c r="V16" s="47">
        <v>0</v>
      </c>
      <c r="W16" s="47">
        <v>0</v>
      </c>
      <c r="X16" s="47">
        <v>0</v>
      </c>
      <c r="Y16" s="47">
        <v>0</v>
      </c>
      <c r="Z16" s="47">
        <v>0</v>
      </c>
      <c r="AA16" s="47">
        <v>0</v>
      </c>
      <c r="AB16" s="47">
        <v>0</v>
      </c>
      <c r="AC16" s="47">
        <v>0</v>
      </c>
      <c r="AD16" s="47">
        <v>0</v>
      </c>
      <c r="AE16" s="47">
        <v>0</v>
      </c>
      <c r="AF16" s="47">
        <v>0</v>
      </c>
      <c r="AG16" s="47">
        <v>0</v>
      </c>
      <c r="AH16" s="47">
        <v>0</v>
      </c>
      <c r="AI16" s="47">
        <v>0</v>
      </c>
      <c r="AJ16" s="47">
        <v>0</v>
      </c>
      <c r="AK16" s="47">
        <v>0</v>
      </c>
      <c r="AL16" s="47">
        <v>0</v>
      </c>
      <c r="AM16" s="47">
        <v>0</v>
      </c>
      <c r="AN16" s="47">
        <v>0</v>
      </c>
      <c r="AO16" s="47">
        <v>0</v>
      </c>
      <c r="AP16" s="47">
        <v>0</v>
      </c>
      <c r="AQ16" s="47">
        <v>0</v>
      </c>
      <c r="AR16" s="47">
        <v>0</v>
      </c>
      <c r="AS16" s="47">
        <v>0</v>
      </c>
      <c r="AT16" s="47">
        <v>0</v>
      </c>
      <c r="AU16" s="47">
        <v>0</v>
      </c>
      <c r="AV16" s="47">
        <v>0</v>
      </c>
      <c r="AW16" s="47">
        <v>0</v>
      </c>
      <c r="AX16" s="47">
        <v>0</v>
      </c>
      <c r="AY16" s="47">
        <v>0</v>
      </c>
      <c r="AZ16" s="47">
        <v>0</v>
      </c>
      <c r="BA16" s="47">
        <v>0</v>
      </c>
      <c r="BB16" s="47">
        <v>0</v>
      </c>
      <c r="BC16" s="47">
        <v>0</v>
      </c>
      <c r="BD16" s="47">
        <v>0</v>
      </c>
      <c r="BE16" s="47">
        <v>0</v>
      </c>
      <c r="BF16" s="47">
        <v>0</v>
      </c>
      <c r="BG16" s="47">
        <v>0</v>
      </c>
      <c r="BH16" s="47">
        <v>0</v>
      </c>
      <c r="BI16" s="47">
        <v>0</v>
      </c>
      <c r="BJ16" s="47">
        <v>0</v>
      </c>
      <c r="BK16" s="47">
        <v>0</v>
      </c>
      <c r="BL16" s="47">
        <v>0</v>
      </c>
      <c r="BM16" s="47">
        <v>0</v>
      </c>
      <c r="BN16" s="47">
        <v>0</v>
      </c>
      <c r="BO16" s="47">
        <v>0</v>
      </c>
      <c r="BP16" s="47">
        <v>0</v>
      </c>
      <c r="BQ16" s="47">
        <v>0</v>
      </c>
      <c r="BR16" s="47">
        <v>0</v>
      </c>
      <c r="BS16" s="47">
        <v>0</v>
      </c>
      <c r="BT16" s="47">
        <v>0</v>
      </c>
      <c r="BU16" s="47">
        <v>0</v>
      </c>
      <c r="BV16" s="47">
        <v>0</v>
      </c>
      <c r="BW16" s="47">
        <v>0</v>
      </c>
      <c r="BX16" s="47">
        <v>0</v>
      </c>
      <c r="BY16" s="47">
        <v>0</v>
      </c>
      <c r="BZ16" s="47">
        <v>0</v>
      </c>
      <c r="CA16" s="47">
        <v>0</v>
      </c>
      <c r="CB16" s="47">
        <v>0</v>
      </c>
      <c r="CC16" s="47">
        <v>0</v>
      </c>
      <c r="CD16" s="47">
        <v>0</v>
      </c>
      <c r="CE16" s="47">
        <v>0</v>
      </c>
      <c r="CF16" s="47">
        <v>0</v>
      </c>
      <c r="CG16" s="47">
        <v>0</v>
      </c>
      <c r="CH16" s="47">
        <v>0</v>
      </c>
      <c r="CI16" s="47">
        <v>0</v>
      </c>
      <c r="CJ16" s="47">
        <v>0</v>
      </c>
      <c r="CK16" s="47">
        <v>0</v>
      </c>
      <c r="CL16" s="47">
        <v>0</v>
      </c>
      <c r="CM16" s="47">
        <v>0</v>
      </c>
      <c r="CN16" s="47">
        <v>0</v>
      </c>
      <c r="CO16" s="47">
        <v>0</v>
      </c>
      <c r="CP16" s="47">
        <v>0</v>
      </c>
      <c r="CQ16" s="47">
        <v>0</v>
      </c>
      <c r="CR16" s="47">
        <v>0</v>
      </c>
      <c r="CS16" s="47">
        <v>0</v>
      </c>
      <c r="CT16" s="47">
        <v>0</v>
      </c>
      <c r="CU16" s="47">
        <v>0</v>
      </c>
      <c r="CV16" s="47">
        <v>0</v>
      </c>
      <c r="CW16" s="47">
        <v>0</v>
      </c>
      <c r="CX16" s="47">
        <v>0</v>
      </c>
      <c r="CY16" s="47">
        <v>0</v>
      </c>
      <c r="CZ16" s="47">
        <v>0</v>
      </c>
      <c r="DA16" s="47">
        <v>0</v>
      </c>
      <c r="DB16" s="47">
        <v>0</v>
      </c>
      <c r="DC16" s="47">
        <v>0</v>
      </c>
      <c r="DD16" s="47">
        <v>0</v>
      </c>
      <c r="DE16" s="47">
        <v>0</v>
      </c>
      <c r="DF16" s="47">
        <v>0</v>
      </c>
      <c r="DG16" s="47">
        <v>0</v>
      </c>
      <c r="DH16" s="47">
        <v>0</v>
      </c>
      <c r="DI16" s="47">
        <v>0</v>
      </c>
      <c r="DJ16" s="47">
        <v>0</v>
      </c>
      <c r="DK16" s="47">
        <v>0</v>
      </c>
      <c r="DL16" s="47">
        <v>0</v>
      </c>
      <c r="DM16" s="47">
        <v>0</v>
      </c>
      <c r="DN16" s="47">
        <v>0</v>
      </c>
      <c r="DO16" s="47">
        <v>0</v>
      </c>
      <c r="DP16" s="47">
        <v>0</v>
      </c>
      <c r="DQ16" s="47">
        <v>0</v>
      </c>
      <c r="DR16" s="47">
        <v>0</v>
      </c>
      <c r="DS16" s="47">
        <v>0</v>
      </c>
      <c r="DT16" s="47">
        <v>0</v>
      </c>
      <c r="DU16" s="47">
        <v>0</v>
      </c>
      <c r="DV16" s="47">
        <v>0</v>
      </c>
      <c r="DW16" s="47">
        <v>0</v>
      </c>
      <c r="DX16" s="47">
        <v>0</v>
      </c>
      <c r="DY16" s="47">
        <v>0</v>
      </c>
      <c r="DZ16" s="47"/>
      <c r="EA16" s="47">
        <v>0.9</v>
      </c>
      <c r="ZZ16" t="s">
        <v>1084</v>
      </c>
    </row>
    <row r="17" spans="1:702" x14ac:dyDescent="0.25">
      <c r="A17" s="47" t="s">
        <v>229</v>
      </c>
      <c r="B17" s="47" t="s">
        <v>151</v>
      </c>
      <c r="C17" s="47" t="s">
        <v>155</v>
      </c>
      <c r="D17" s="47" t="s">
        <v>1103</v>
      </c>
      <c r="E17" s="47" t="s">
        <v>230</v>
      </c>
      <c r="F17" s="47" t="s">
        <v>231</v>
      </c>
      <c r="G17" s="47" t="s">
        <v>232</v>
      </c>
      <c r="H17" s="47" t="s">
        <v>161</v>
      </c>
      <c r="I17" s="47" t="s">
        <v>207</v>
      </c>
      <c r="J17" s="47" t="str">
        <f>=IFERROR(VLOOKUP(H17&amp;I17,Table_Fonctions!A:G,6,FALSE),"")</f>
        <v>0</v>
      </c>
      <c r="K17" s="47" t="s">
        <v>1088</v>
      </c>
      <c r="L17" s="47" t="str">
        <f>=IFERROR(VLOOKUP(H17&amp;I17,Table_Fonctions!A:G,7,FALSE),K17)</f>
        <v/>
      </c>
      <c r="M17" s="47" t="str">
        <f>=IF(OR(LEFT(D17, 3)="TJ ", LEFT(D17, 4)="CPH "), "OUI", "NON")</f>
        <v/>
      </c>
      <c r="N17" s="47" t="s">
        <v>233</v>
      </c>
      <c r="O17" s="47"/>
      <c r="P17" s="47">
        <v>1</v>
      </c>
      <c r="Q17" s="47">
        <v>1</v>
      </c>
      <c r="R17" s="47">
        <v>0</v>
      </c>
      <c r="S17" s="47">
        <f>=ROUND(BQ17-(BR17+BS17),3)</f>
      </c>
      <c r="T17" s="47">
        <f>=ROUND(CK17-(CL17+CM17+CN17+CO17+CP17),3)</f>
      </c>
      <c r="U17" s="47">
        <v>0</v>
      </c>
      <c r="V17" s="47">
        <v>0</v>
      </c>
      <c r="W17" s="47">
        <v>0</v>
      </c>
      <c r="X17" s="47">
        <v>0</v>
      </c>
      <c r="Y17" s="47">
        <v>0</v>
      </c>
      <c r="Z17" s="47">
        <v>0</v>
      </c>
      <c r="AA17" s="47">
        <v>0</v>
      </c>
      <c r="AB17" s="47">
        <v>0</v>
      </c>
      <c r="AC17" s="47">
        <v>0</v>
      </c>
      <c r="AD17" s="47">
        <v>0</v>
      </c>
      <c r="AE17" s="47">
        <v>0</v>
      </c>
      <c r="AF17" s="47">
        <v>0</v>
      </c>
      <c r="AG17" s="47">
        <v>0</v>
      </c>
      <c r="AH17" s="47">
        <v>0</v>
      </c>
      <c r="AI17" s="47">
        <v>0</v>
      </c>
      <c r="AJ17" s="47">
        <v>0</v>
      </c>
      <c r="AK17" s="47">
        <v>0</v>
      </c>
      <c r="AL17" s="47">
        <v>0</v>
      </c>
      <c r="AM17" s="47">
        <v>0</v>
      </c>
      <c r="AN17" s="47">
        <v>0</v>
      </c>
      <c r="AO17" s="47">
        <v>0</v>
      </c>
      <c r="AP17" s="47">
        <v>0</v>
      </c>
      <c r="AQ17" s="47">
        <v>0</v>
      </c>
      <c r="AR17" s="47">
        <v>0</v>
      </c>
      <c r="AS17" s="47">
        <v>0.92</v>
      </c>
      <c r="AT17" s="47">
        <v>0</v>
      </c>
      <c r="AU17" s="47">
        <v>0</v>
      </c>
      <c r="AV17" s="47">
        <v>0</v>
      </c>
      <c r="AW17" s="47">
        <v>0.25</v>
      </c>
      <c r="AX17" s="47">
        <v>0.465</v>
      </c>
      <c r="AY17" s="47">
        <v>0</v>
      </c>
      <c r="AZ17" s="47">
        <v>0</v>
      </c>
      <c r="BA17" s="47">
        <v>0</v>
      </c>
      <c r="BB17" s="47">
        <v>0</v>
      </c>
      <c r="BC17" s="47">
        <v>0</v>
      </c>
      <c r="BD17" s="47">
        <v>0</v>
      </c>
      <c r="BE17" s="47">
        <v>0</v>
      </c>
      <c r="BF17" s="47">
        <v>0</v>
      </c>
      <c r="BG17" s="47">
        <v>0</v>
      </c>
      <c r="BH17" s="47">
        <v>0.005</v>
      </c>
      <c r="BI17" s="47">
        <v>0</v>
      </c>
      <c r="BJ17" s="47">
        <v>0.2</v>
      </c>
      <c r="BK17" s="47">
        <v>0</v>
      </c>
      <c r="BL17" s="47">
        <v>0</v>
      </c>
      <c r="BM17" s="47">
        <v>0</v>
      </c>
      <c r="BN17" s="47">
        <v>0</v>
      </c>
      <c r="BO17" s="47">
        <v>0</v>
      </c>
      <c r="BP17" s="47">
        <v>0</v>
      </c>
      <c r="BQ17" s="47">
        <v>0</v>
      </c>
      <c r="BR17" s="47">
        <v>0</v>
      </c>
      <c r="BS17" s="47">
        <v>0</v>
      </c>
      <c r="BT17" s="47">
        <v>0.05</v>
      </c>
      <c r="BU17" s="47">
        <v>0.03</v>
      </c>
      <c r="BV17" s="47">
        <v>0</v>
      </c>
      <c r="BW17" s="47">
        <v>0</v>
      </c>
      <c r="BX17" s="47">
        <v>0</v>
      </c>
      <c r="BY17" s="47">
        <v>0</v>
      </c>
      <c r="BZ17" s="47">
        <v>0</v>
      </c>
      <c r="CA17" s="47">
        <v>0</v>
      </c>
      <c r="CB17" s="47">
        <v>0.02</v>
      </c>
      <c r="CC17" s="47">
        <v>0</v>
      </c>
      <c r="CD17" s="47">
        <v>0</v>
      </c>
      <c r="CE17" s="47">
        <v>0</v>
      </c>
      <c r="CF17" s="47">
        <v>0</v>
      </c>
      <c r="CG17" s="47">
        <v>0</v>
      </c>
      <c r="CH17" s="47">
        <v>0</v>
      </c>
      <c r="CI17" s="47">
        <v>0</v>
      </c>
      <c r="CJ17" s="47">
        <v>0</v>
      </c>
      <c r="CK17" s="47">
        <v>0</v>
      </c>
      <c r="CL17" s="47">
        <v>0</v>
      </c>
      <c r="CM17" s="47">
        <v>0</v>
      </c>
      <c r="CN17" s="47">
        <v>0</v>
      </c>
      <c r="CO17" s="47">
        <v>0</v>
      </c>
      <c r="CP17" s="47">
        <v>0</v>
      </c>
      <c r="CQ17" s="47">
        <v>0</v>
      </c>
      <c r="CR17" s="47">
        <v>0</v>
      </c>
      <c r="CS17" s="47">
        <v>0</v>
      </c>
      <c r="CT17" s="47">
        <v>0</v>
      </c>
      <c r="CU17" s="47">
        <v>0</v>
      </c>
      <c r="CV17" s="47">
        <v>0</v>
      </c>
      <c r="CW17" s="47">
        <v>0</v>
      </c>
      <c r="CX17" s="47">
        <v>0</v>
      </c>
      <c r="CY17" s="47">
        <v>0.03</v>
      </c>
      <c r="CZ17" s="47">
        <v>0.01</v>
      </c>
      <c r="DA17" s="47">
        <v>0.02</v>
      </c>
      <c r="DB17" s="47">
        <v>0</v>
      </c>
      <c r="DC17" s="47">
        <v>0</v>
      </c>
      <c r="DD17" s="47">
        <v>0</v>
      </c>
      <c r="DE17" s="47">
        <v>0</v>
      </c>
      <c r="DF17" s="47">
        <v>0</v>
      </c>
      <c r="DG17" s="47">
        <v>0</v>
      </c>
      <c r="DH17" s="47">
        <v>0</v>
      </c>
      <c r="DI17" s="47">
        <v>0</v>
      </c>
      <c r="DJ17" s="47">
        <v>0</v>
      </c>
      <c r="DK17" s="47">
        <v>0</v>
      </c>
      <c r="DL17" s="47">
        <v>0</v>
      </c>
      <c r="DM17" s="47">
        <v>0</v>
      </c>
      <c r="DN17" s="47">
        <v>0</v>
      </c>
      <c r="DO17" s="47">
        <v>0</v>
      </c>
      <c r="DP17" s="47">
        <v>0</v>
      </c>
      <c r="DQ17" s="47">
        <v>0</v>
      </c>
      <c r="DR17" s="47">
        <v>0</v>
      </c>
      <c r="DS17" s="47">
        <v>0</v>
      </c>
      <c r="DT17" s="47">
        <v>0</v>
      </c>
      <c r="DU17" s="47">
        <v>0</v>
      </c>
      <c r="DV17" s="47">
        <v>0.2177</v>
      </c>
      <c r="DW17" s="47">
        <v>0</v>
      </c>
      <c r="DX17" s="47">
        <v>0</v>
      </c>
      <c r="DY17" s="47">
        <v>0.2177</v>
      </c>
      <c r="DZ17" s="47"/>
      <c r="EA17" s="47">
        <v>1</v>
      </c>
      <c r="ZZ17" t="s">
        <v>1084</v>
      </c>
    </row>
    <row r="18" spans="1:702" x14ac:dyDescent="0.25">
      <c r="A18" s="47" t="s">
        <v>234</v>
      </c>
      <c r="B18" s="47" t="s">
        <v>151</v>
      </c>
      <c r="C18" s="47" t="s">
        <v>155</v>
      </c>
      <c r="D18" s="47" t="s">
        <v>1104</v>
      </c>
      <c r="E18" s="47" t="s">
        <v>235</v>
      </c>
      <c r="F18" s="47" t="s">
        <v>236</v>
      </c>
      <c r="G18" s="47" t="s">
        <v>237</v>
      </c>
      <c r="H18" s="47" t="s">
        <v>161</v>
      </c>
      <c r="I18" s="47" t="s">
        <v>218</v>
      </c>
      <c r="J18" s="47" t="str">
        <f>=IFERROR(VLOOKUP(H18&amp;I18,Table_Fonctions!A:G,6,FALSE),"")</f>
        <v>0</v>
      </c>
      <c r="K18" s="47" t="s">
        <v>1088</v>
      </c>
      <c r="L18" s="47" t="str">
        <f>=IFERROR(VLOOKUP(H18&amp;I18,Table_Fonctions!A:G,7,FALSE),K18)</f>
        <v/>
      </c>
      <c r="M18" s="47" t="str">
        <f>=IF(OR(LEFT(D18, 3)="TJ ", LEFT(D18, 4)="CPH "), "OUI", "NON")</f>
        <v/>
      </c>
      <c r="N18" s="47" t="s">
        <v>213</v>
      </c>
      <c r="O18" s="47"/>
      <c r="P18" s="47">
        <v>1</v>
      </c>
      <c r="Q18" s="47">
        <v>1</v>
      </c>
      <c r="R18" s="47">
        <v>0</v>
      </c>
      <c r="S18" s="47">
        <f>=ROUND(BQ18-(BR18+BS18),3)</f>
      </c>
      <c r="T18" s="47">
        <f>=ROUND(CK18-(CL18+CM18+CN18+CO18+CP18),3)</f>
      </c>
      <c r="U18" s="47">
        <v>0</v>
      </c>
      <c r="V18" s="47">
        <v>0</v>
      </c>
      <c r="W18" s="47">
        <v>0</v>
      </c>
      <c r="X18" s="47">
        <v>0</v>
      </c>
      <c r="Y18" s="47">
        <v>0</v>
      </c>
      <c r="Z18" s="47">
        <v>0</v>
      </c>
      <c r="AA18" s="47">
        <v>0</v>
      </c>
      <c r="AB18" s="47">
        <v>0</v>
      </c>
      <c r="AC18" s="47">
        <v>0</v>
      </c>
      <c r="AD18" s="47">
        <v>0</v>
      </c>
      <c r="AE18" s="47">
        <v>0</v>
      </c>
      <c r="AF18" s="47">
        <v>0</v>
      </c>
      <c r="AG18" s="47">
        <v>0</v>
      </c>
      <c r="AH18" s="47">
        <v>0</v>
      </c>
      <c r="AI18" s="47">
        <v>0</v>
      </c>
      <c r="AJ18" s="47">
        <v>0</v>
      </c>
      <c r="AK18" s="47">
        <v>0</v>
      </c>
      <c r="AL18" s="47">
        <v>0</v>
      </c>
      <c r="AM18" s="47">
        <v>0</v>
      </c>
      <c r="AN18" s="47">
        <v>0</v>
      </c>
      <c r="AO18" s="47">
        <v>0</v>
      </c>
      <c r="AP18" s="47">
        <v>0</v>
      </c>
      <c r="AQ18" s="47">
        <v>0</v>
      </c>
      <c r="AR18" s="47">
        <v>0</v>
      </c>
      <c r="AS18" s="47">
        <v>0</v>
      </c>
      <c r="AT18" s="47">
        <v>0</v>
      </c>
      <c r="AU18" s="47">
        <v>0</v>
      </c>
      <c r="AV18" s="47">
        <v>0</v>
      </c>
      <c r="AW18" s="47">
        <v>0</v>
      </c>
      <c r="AX18" s="47">
        <v>0</v>
      </c>
      <c r="AY18" s="47">
        <v>0</v>
      </c>
      <c r="AZ18" s="47">
        <v>0</v>
      </c>
      <c r="BA18" s="47">
        <v>0</v>
      </c>
      <c r="BB18" s="47">
        <v>0</v>
      </c>
      <c r="BC18" s="47">
        <v>0</v>
      </c>
      <c r="BD18" s="47">
        <v>0</v>
      </c>
      <c r="BE18" s="47">
        <v>0</v>
      </c>
      <c r="BF18" s="47">
        <v>0</v>
      </c>
      <c r="BG18" s="47">
        <v>0</v>
      </c>
      <c r="BH18" s="47">
        <v>0</v>
      </c>
      <c r="BI18" s="47">
        <v>0</v>
      </c>
      <c r="BJ18" s="47">
        <v>0</v>
      </c>
      <c r="BK18" s="47">
        <v>0</v>
      </c>
      <c r="BL18" s="47">
        <v>0</v>
      </c>
      <c r="BM18" s="47">
        <v>0.05</v>
      </c>
      <c r="BN18" s="47">
        <v>0</v>
      </c>
      <c r="BO18" s="47">
        <v>0</v>
      </c>
      <c r="BP18" s="47">
        <v>0</v>
      </c>
      <c r="BQ18" s="47">
        <v>0.8</v>
      </c>
      <c r="BR18" s="47">
        <v>0.5</v>
      </c>
      <c r="BS18" s="47">
        <v>0.3</v>
      </c>
      <c r="BT18" s="47">
        <v>0.03</v>
      </c>
      <c r="BU18" s="47">
        <v>0.03</v>
      </c>
      <c r="BV18" s="47">
        <v>0</v>
      </c>
      <c r="BW18" s="47">
        <v>0</v>
      </c>
      <c r="BX18" s="47">
        <v>0</v>
      </c>
      <c r="BY18" s="47">
        <v>0</v>
      </c>
      <c r="BZ18" s="47">
        <v>0</v>
      </c>
      <c r="CA18" s="47">
        <v>0</v>
      </c>
      <c r="CB18" s="47">
        <v>0</v>
      </c>
      <c r="CC18" s="47">
        <v>0</v>
      </c>
      <c r="CD18" s="47">
        <v>0</v>
      </c>
      <c r="CE18" s="47">
        <v>0</v>
      </c>
      <c r="CF18" s="47">
        <v>0</v>
      </c>
      <c r="CG18" s="47">
        <v>0</v>
      </c>
      <c r="CH18" s="47">
        <v>0</v>
      </c>
      <c r="CI18" s="47">
        <v>0</v>
      </c>
      <c r="CJ18" s="47">
        <v>0</v>
      </c>
      <c r="CK18" s="47">
        <v>0</v>
      </c>
      <c r="CL18" s="47">
        <v>0</v>
      </c>
      <c r="CM18" s="47">
        <v>0</v>
      </c>
      <c r="CN18" s="47">
        <v>0</v>
      </c>
      <c r="CO18" s="47">
        <v>0</v>
      </c>
      <c r="CP18" s="47">
        <v>0</v>
      </c>
      <c r="CQ18" s="47">
        <v>0</v>
      </c>
      <c r="CR18" s="47">
        <v>0</v>
      </c>
      <c r="CS18" s="47">
        <v>0</v>
      </c>
      <c r="CT18" s="47">
        <v>0</v>
      </c>
      <c r="CU18" s="47">
        <v>0</v>
      </c>
      <c r="CV18" s="47">
        <v>0.05</v>
      </c>
      <c r="CW18" s="47">
        <v>0</v>
      </c>
      <c r="CX18" s="47">
        <v>0</v>
      </c>
      <c r="CY18" s="47">
        <v>0.07</v>
      </c>
      <c r="CZ18" s="47">
        <v>0</v>
      </c>
      <c r="DA18" s="47">
        <v>0.07</v>
      </c>
      <c r="DB18" s="47">
        <v>0</v>
      </c>
      <c r="DC18" s="47">
        <v>0</v>
      </c>
      <c r="DD18" s="47">
        <v>0</v>
      </c>
      <c r="DE18" s="47">
        <v>0</v>
      </c>
      <c r="DF18" s="47">
        <v>0</v>
      </c>
      <c r="DG18" s="47">
        <v>0</v>
      </c>
      <c r="DH18" s="47">
        <v>0</v>
      </c>
      <c r="DI18" s="47">
        <v>0</v>
      </c>
      <c r="DJ18" s="47">
        <v>0</v>
      </c>
      <c r="DK18" s="47">
        <v>0</v>
      </c>
      <c r="DL18" s="47">
        <v>0</v>
      </c>
      <c r="DM18" s="47">
        <v>0</v>
      </c>
      <c r="DN18" s="47">
        <v>0</v>
      </c>
      <c r="DO18" s="47">
        <v>0</v>
      </c>
      <c r="DP18" s="47">
        <v>0</v>
      </c>
      <c r="DQ18" s="47">
        <v>0</v>
      </c>
      <c r="DR18" s="47">
        <v>0</v>
      </c>
      <c r="DS18" s="47">
        <v>0</v>
      </c>
      <c r="DT18" s="47">
        <v>0</v>
      </c>
      <c r="DU18" s="47">
        <v>0</v>
      </c>
      <c r="DV18" s="47">
        <v>0</v>
      </c>
      <c r="DW18" s="47">
        <v>0</v>
      </c>
      <c r="DX18" s="47">
        <v>0</v>
      </c>
      <c r="DY18" s="47">
        <v>0</v>
      </c>
      <c r="DZ18" s="47"/>
      <c r="EA18" s="47">
        <v>1</v>
      </c>
      <c r="ZZ18" t="s">
        <v>1084</v>
      </c>
    </row>
    <row r="19" spans="1:702" x14ac:dyDescent="0.25">
      <c r="A19" s="47" t="s">
        <v>238</v>
      </c>
      <c r="B19" s="47" t="s">
        <v>151</v>
      </c>
      <c r="C19" s="47" t="s">
        <v>155</v>
      </c>
      <c r="D19" s="47" t="s">
        <v>1105</v>
      </c>
      <c r="E19" s="47" t="s">
        <v>239</v>
      </c>
      <c r="F19" s="47" t="s">
        <v>240</v>
      </c>
      <c r="G19" s="47" t="s">
        <v>241</v>
      </c>
      <c r="H19" s="47" t="s">
        <v>161</v>
      </c>
      <c r="I19" s="47" t="s">
        <v>242</v>
      </c>
      <c r="J19" s="47" t="str">
        <f>=IFERROR(VLOOKUP(H19&amp;I19,Table_Fonctions!A:G,6,FALSE),"")</f>
        <v>0</v>
      </c>
      <c r="K19" s="47" t="s">
        <v>1088</v>
      </c>
      <c r="L19" s="47" t="str">
        <f>=IFERROR(VLOOKUP(H19&amp;I19,Table_Fonctions!A:G,7,FALSE),K19)</f>
        <v/>
      </c>
      <c r="M19" s="47" t="str">
        <f>=IF(OR(LEFT(D19, 3)="TJ ", LEFT(D19, 4)="CPH "), "OUI", "NON")</f>
        <v/>
      </c>
      <c r="N19" s="47" t="s">
        <v>169</v>
      </c>
      <c r="O19" s="47"/>
      <c r="P19" s="47">
        <v>0.3024</v>
      </c>
      <c r="Q19" s="47">
        <v>0</v>
      </c>
      <c r="R19" s="47">
        <v>0.3024</v>
      </c>
      <c r="S19" s="47">
        <f>=ROUND(BQ19-(BR19+BS19),3)</f>
      </c>
      <c r="T19" s="47">
        <f>=ROUND(CK19-(CL19+CM19+CN19+CO19+CP19),3)</f>
      </c>
      <c r="U19" s="47">
        <v>0</v>
      </c>
      <c r="V19" s="47">
        <v>0</v>
      </c>
      <c r="W19" s="47">
        <v>0</v>
      </c>
      <c r="X19" s="47">
        <v>0</v>
      </c>
      <c r="Y19" s="47">
        <v>0</v>
      </c>
      <c r="Z19" s="47">
        <v>0</v>
      </c>
      <c r="AA19" s="47">
        <v>0</v>
      </c>
      <c r="AB19" s="47">
        <v>0</v>
      </c>
      <c r="AC19" s="47">
        <v>0</v>
      </c>
      <c r="AD19" s="47">
        <v>0</v>
      </c>
      <c r="AE19" s="47">
        <v>0</v>
      </c>
      <c r="AF19" s="47">
        <v>0</v>
      </c>
      <c r="AG19" s="47">
        <v>0</v>
      </c>
      <c r="AH19" s="47">
        <v>0</v>
      </c>
      <c r="AI19" s="47">
        <v>0</v>
      </c>
      <c r="AJ19" s="47">
        <v>0</v>
      </c>
      <c r="AK19" s="47">
        <v>0</v>
      </c>
      <c r="AL19" s="47">
        <v>0</v>
      </c>
      <c r="AM19" s="47">
        <v>0</v>
      </c>
      <c r="AN19" s="47">
        <v>0</v>
      </c>
      <c r="AO19" s="47">
        <v>0</v>
      </c>
      <c r="AP19" s="47">
        <v>0</v>
      </c>
      <c r="AQ19" s="47">
        <v>0</v>
      </c>
      <c r="AR19" s="47">
        <v>0</v>
      </c>
      <c r="AS19" s="47">
        <v>0</v>
      </c>
      <c r="AT19" s="47">
        <v>0</v>
      </c>
      <c r="AU19" s="47">
        <v>0</v>
      </c>
      <c r="AV19" s="47">
        <v>0</v>
      </c>
      <c r="AW19" s="47">
        <v>0</v>
      </c>
      <c r="AX19" s="47">
        <v>0</v>
      </c>
      <c r="AY19" s="47">
        <v>0</v>
      </c>
      <c r="AZ19" s="47">
        <v>0</v>
      </c>
      <c r="BA19" s="47">
        <v>0</v>
      </c>
      <c r="BB19" s="47">
        <v>0</v>
      </c>
      <c r="BC19" s="47">
        <v>0</v>
      </c>
      <c r="BD19" s="47">
        <v>0</v>
      </c>
      <c r="BE19" s="47">
        <v>0</v>
      </c>
      <c r="BF19" s="47">
        <v>0</v>
      </c>
      <c r="BG19" s="47">
        <v>0</v>
      </c>
      <c r="BH19" s="47">
        <v>0</v>
      </c>
      <c r="BI19" s="47">
        <v>0</v>
      </c>
      <c r="BJ19" s="47">
        <v>0</v>
      </c>
      <c r="BK19" s="47">
        <v>0</v>
      </c>
      <c r="BL19" s="47">
        <v>0</v>
      </c>
      <c r="BM19" s="47">
        <v>0</v>
      </c>
      <c r="BN19" s="47">
        <v>0</v>
      </c>
      <c r="BO19" s="47">
        <v>0</v>
      </c>
      <c r="BP19" s="47">
        <v>0</v>
      </c>
      <c r="BQ19" s="47">
        <v>0</v>
      </c>
      <c r="BR19" s="47">
        <v>0</v>
      </c>
      <c r="BS19" s="47">
        <v>0</v>
      </c>
      <c r="BT19" s="47">
        <v>0</v>
      </c>
      <c r="BU19" s="47">
        <v>0</v>
      </c>
      <c r="BV19" s="47">
        <v>0</v>
      </c>
      <c r="BW19" s="47">
        <v>0</v>
      </c>
      <c r="BX19" s="47">
        <v>0</v>
      </c>
      <c r="BY19" s="47">
        <v>0</v>
      </c>
      <c r="BZ19" s="47">
        <v>0</v>
      </c>
      <c r="CA19" s="47">
        <v>0</v>
      </c>
      <c r="CB19" s="47">
        <v>0</v>
      </c>
      <c r="CC19" s="47">
        <v>0</v>
      </c>
      <c r="CD19" s="47">
        <v>0</v>
      </c>
      <c r="CE19" s="47">
        <v>0</v>
      </c>
      <c r="CF19" s="47">
        <v>0</v>
      </c>
      <c r="CG19" s="47">
        <v>0</v>
      </c>
      <c r="CH19" s="47">
        <v>0</v>
      </c>
      <c r="CI19" s="47">
        <v>0</v>
      </c>
      <c r="CJ19" s="47">
        <v>0</v>
      </c>
      <c r="CK19" s="47">
        <v>0</v>
      </c>
      <c r="CL19" s="47">
        <v>0</v>
      </c>
      <c r="CM19" s="47">
        <v>0</v>
      </c>
      <c r="CN19" s="47">
        <v>0</v>
      </c>
      <c r="CO19" s="47">
        <v>0</v>
      </c>
      <c r="CP19" s="47">
        <v>0</v>
      </c>
      <c r="CQ19" s="47">
        <v>0</v>
      </c>
      <c r="CR19" s="47">
        <v>0</v>
      </c>
      <c r="CS19" s="47">
        <v>0</v>
      </c>
      <c r="CT19" s="47">
        <v>0</v>
      </c>
      <c r="CU19" s="47">
        <v>0</v>
      </c>
      <c r="CV19" s="47">
        <v>0</v>
      </c>
      <c r="CW19" s="47">
        <v>0</v>
      </c>
      <c r="CX19" s="47">
        <v>0</v>
      </c>
      <c r="CY19" s="47">
        <v>0</v>
      </c>
      <c r="CZ19" s="47">
        <v>0</v>
      </c>
      <c r="DA19" s="47">
        <v>0</v>
      </c>
      <c r="DB19" s="47">
        <v>0</v>
      </c>
      <c r="DC19" s="47">
        <v>0</v>
      </c>
      <c r="DD19" s="47">
        <v>0</v>
      </c>
      <c r="DE19" s="47">
        <v>0</v>
      </c>
      <c r="DF19" s="47">
        <v>0</v>
      </c>
      <c r="DG19" s="47">
        <v>0</v>
      </c>
      <c r="DH19" s="47">
        <v>0</v>
      </c>
      <c r="DI19" s="47">
        <v>0</v>
      </c>
      <c r="DJ19" s="47">
        <v>0</v>
      </c>
      <c r="DK19" s="47">
        <v>0</v>
      </c>
      <c r="DL19" s="47">
        <v>0</v>
      </c>
      <c r="DM19" s="47">
        <v>0</v>
      </c>
      <c r="DN19" s="47">
        <v>0</v>
      </c>
      <c r="DO19" s="47">
        <v>0</v>
      </c>
      <c r="DP19" s="47">
        <v>0</v>
      </c>
      <c r="DQ19" s="47">
        <v>0</v>
      </c>
      <c r="DR19" s="47">
        <v>0</v>
      </c>
      <c r="DS19" s="47">
        <v>0</v>
      </c>
      <c r="DT19" s="47">
        <v>0</v>
      </c>
      <c r="DU19" s="47">
        <v>0</v>
      </c>
      <c r="DV19" s="47">
        <v>0</v>
      </c>
      <c r="DW19" s="47">
        <v>0</v>
      </c>
      <c r="DX19" s="47">
        <v>0</v>
      </c>
      <c r="DY19" s="47">
        <v>0</v>
      </c>
      <c r="DZ19" s="47"/>
      <c r="EA19" s="47">
        <v>0.3024</v>
      </c>
      <c r="ZZ19" t="s">
        <v>1084</v>
      </c>
    </row>
    <row r="20" spans="1:702" x14ac:dyDescent="0.25">
      <c r="A20" s="47" t="s">
        <v>243</v>
      </c>
      <c r="B20" s="47" t="s">
        <v>151</v>
      </c>
      <c r="C20" s="47" t="s">
        <v>155</v>
      </c>
      <c r="D20" s="47" t="s">
        <v>1106</v>
      </c>
      <c r="E20" s="47" t="s">
        <v>244</v>
      </c>
      <c r="F20" s="47" t="s">
        <v>245</v>
      </c>
      <c r="G20" s="47" t="s">
        <v>246</v>
      </c>
      <c r="H20" s="47" t="s">
        <v>161</v>
      </c>
      <c r="I20" s="47" t="s">
        <v>207</v>
      </c>
      <c r="J20" s="47" t="str">
        <f>=IFERROR(VLOOKUP(H20&amp;I20,Table_Fonctions!A:G,6,FALSE),"")</f>
        <v>0</v>
      </c>
      <c r="K20" s="47" t="s">
        <v>1088</v>
      </c>
      <c r="L20" s="47" t="str">
        <f>=IFERROR(VLOOKUP(H20&amp;I20,Table_Fonctions!A:G,7,FALSE),K20)</f>
        <v/>
      </c>
      <c r="M20" s="47" t="str">
        <f>=IF(OR(LEFT(D20, 3)="TJ ", LEFT(D20, 4)="CPH "), "OUI", "NON")</f>
        <v/>
      </c>
      <c r="N20" s="47" t="s">
        <v>213</v>
      </c>
      <c r="O20" s="47"/>
      <c r="P20" s="47">
        <v>1</v>
      </c>
      <c r="Q20" s="47">
        <v>0</v>
      </c>
      <c r="R20" s="47">
        <v>1</v>
      </c>
      <c r="S20" s="47">
        <f>=ROUND(BQ20-(BR20+BS20),3)</f>
      </c>
      <c r="T20" s="47">
        <f>=ROUND(CK20-(CL20+CM20+CN20+CO20+CP20),3)</f>
      </c>
      <c r="U20" s="47">
        <v>0</v>
      </c>
      <c r="V20" s="47">
        <v>0</v>
      </c>
      <c r="W20" s="47">
        <v>0</v>
      </c>
      <c r="X20" s="47">
        <v>0</v>
      </c>
      <c r="Y20" s="47">
        <v>0</v>
      </c>
      <c r="Z20" s="47">
        <v>0</v>
      </c>
      <c r="AA20" s="47">
        <v>0</v>
      </c>
      <c r="AB20" s="47">
        <v>0</v>
      </c>
      <c r="AC20" s="47">
        <v>0</v>
      </c>
      <c r="AD20" s="47">
        <v>0</v>
      </c>
      <c r="AE20" s="47">
        <v>0</v>
      </c>
      <c r="AF20" s="47">
        <v>0</v>
      </c>
      <c r="AG20" s="47">
        <v>0</v>
      </c>
      <c r="AH20" s="47">
        <v>0</v>
      </c>
      <c r="AI20" s="47">
        <v>0</v>
      </c>
      <c r="AJ20" s="47">
        <v>0</v>
      </c>
      <c r="AK20" s="47">
        <v>0</v>
      </c>
      <c r="AL20" s="47">
        <v>0</v>
      </c>
      <c r="AM20" s="47">
        <v>0</v>
      </c>
      <c r="AN20" s="47">
        <v>0</v>
      </c>
      <c r="AO20" s="47">
        <v>0</v>
      </c>
      <c r="AP20" s="47">
        <v>0</v>
      </c>
      <c r="AQ20" s="47">
        <v>0</v>
      </c>
      <c r="AR20" s="47">
        <v>0</v>
      </c>
      <c r="AS20" s="47">
        <v>0</v>
      </c>
      <c r="AT20" s="47">
        <v>0</v>
      </c>
      <c r="AU20" s="47">
        <v>0</v>
      </c>
      <c r="AV20" s="47">
        <v>0</v>
      </c>
      <c r="AW20" s="47">
        <v>0</v>
      </c>
      <c r="AX20" s="47">
        <v>0</v>
      </c>
      <c r="AY20" s="47">
        <v>0</v>
      </c>
      <c r="AZ20" s="47">
        <v>0</v>
      </c>
      <c r="BA20" s="47">
        <v>0</v>
      </c>
      <c r="BB20" s="47">
        <v>0</v>
      </c>
      <c r="BC20" s="47">
        <v>0</v>
      </c>
      <c r="BD20" s="47">
        <v>0</v>
      </c>
      <c r="BE20" s="47">
        <v>0</v>
      </c>
      <c r="BF20" s="47">
        <v>0</v>
      </c>
      <c r="BG20" s="47">
        <v>0</v>
      </c>
      <c r="BH20" s="47">
        <v>0</v>
      </c>
      <c r="BI20" s="47">
        <v>0</v>
      </c>
      <c r="BJ20" s="47">
        <v>0</v>
      </c>
      <c r="BK20" s="47">
        <v>0</v>
      </c>
      <c r="BL20" s="47">
        <v>0</v>
      </c>
      <c r="BM20" s="47">
        <v>0</v>
      </c>
      <c r="BN20" s="47">
        <v>0</v>
      </c>
      <c r="BO20" s="47">
        <v>0</v>
      </c>
      <c r="BP20" s="47">
        <v>0</v>
      </c>
      <c r="BQ20" s="47">
        <v>0</v>
      </c>
      <c r="BR20" s="47">
        <v>0</v>
      </c>
      <c r="BS20" s="47">
        <v>0</v>
      </c>
      <c r="BT20" s="47">
        <v>0</v>
      </c>
      <c r="BU20" s="47">
        <v>0</v>
      </c>
      <c r="BV20" s="47">
        <v>0</v>
      </c>
      <c r="BW20" s="47">
        <v>0</v>
      </c>
      <c r="BX20" s="47">
        <v>0</v>
      </c>
      <c r="BY20" s="47">
        <v>0</v>
      </c>
      <c r="BZ20" s="47">
        <v>0</v>
      </c>
      <c r="CA20" s="47">
        <v>0</v>
      </c>
      <c r="CB20" s="47">
        <v>0</v>
      </c>
      <c r="CC20" s="47">
        <v>0</v>
      </c>
      <c r="CD20" s="47">
        <v>0</v>
      </c>
      <c r="CE20" s="47">
        <v>0</v>
      </c>
      <c r="CF20" s="47">
        <v>0</v>
      </c>
      <c r="CG20" s="47">
        <v>0</v>
      </c>
      <c r="CH20" s="47">
        <v>0</v>
      </c>
      <c r="CI20" s="47">
        <v>0</v>
      </c>
      <c r="CJ20" s="47">
        <v>0</v>
      </c>
      <c r="CK20" s="47">
        <v>0</v>
      </c>
      <c r="CL20" s="47">
        <v>0</v>
      </c>
      <c r="CM20" s="47">
        <v>0</v>
      </c>
      <c r="CN20" s="47">
        <v>0</v>
      </c>
      <c r="CO20" s="47">
        <v>0</v>
      </c>
      <c r="CP20" s="47">
        <v>0</v>
      </c>
      <c r="CQ20" s="47">
        <v>0</v>
      </c>
      <c r="CR20" s="47">
        <v>0</v>
      </c>
      <c r="CS20" s="47">
        <v>0</v>
      </c>
      <c r="CT20" s="47">
        <v>0</v>
      </c>
      <c r="CU20" s="47">
        <v>0</v>
      </c>
      <c r="CV20" s="47">
        <v>0</v>
      </c>
      <c r="CW20" s="47">
        <v>0</v>
      </c>
      <c r="CX20" s="47">
        <v>0</v>
      </c>
      <c r="CY20" s="47">
        <v>0</v>
      </c>
      <c r="CZ20" s="47">
        <v>0</v>
      </c>
      <c r="DA20" s="47">
        <v>0</v>
      </c>
      <c r="DB20" s="47">
        <v>0</v>
      </c>
      <c r="DC20" s="47">
        <v>0</v>
      </c>
      <c r="DD20" s="47">
        <v>0</v>
      </c>
      <c r="DE20" s="47">
        <v>0</v>
      </c>
      <c r="DF20" s="47">
        <v>0</v>
      </c>
      <c r="DG20" s="47">
        <v>0</v>
      </c>
      <c r="DH20" s="47">
        <v>0</v>
      </c>
      <c r="DI20" s="47">
        <v>0</v>
      </c>
      <c r="DJ20" s="47">
        <v>0</v>
      </c>
      <c r="DK20" s="47">
        <v>0</v>
      </c>
      <c r="DL20" s="47">
        <v>0</v>
      </c>
      <c r="DM20" s="47">
        <v>0</v>
      </c>
      <c r="DN20" s="47">
        <v>0</v>
      </c>
      <c r="DO20" s="47">
        <v>0</v>
      </c>
      <c r="DP20" s="47">
        <v>0</v>
      </c>
      <c r="DQ20" s="47">
        <v>0</v>
      </c>
      <c r="DR20" s="47">
        <v>0</v>
      </c>
      <c r="DS20" s="47">
        <v>0</v>
      </c>
      <c r="DT20" s="47">
        <v>0</v>
      </c>
      <c r="DU20" s="47">
        <v>0</v>
      </c>
      <c r="DV20" s="47">
        <v>0</v>
      </c>
      <c r="DW20" s="47">
        <v>0</v>
      </c>
      <c r="DX20" s="47">
        <v>0</v>
      </c>
      <c r="DY20" s="47">
        <v>0</v>
      </c>
      <c r="DZ20" s="47"/>
      <c r="EA20" s="47">
        <v>1</v>
      </c>
      <c r="ZZ20" t="s">
        <v>1084</v>
      </c>
    </row>
    <row r="21" spans="1:702" x14ac:dyDescent="0.25">
      <c r="A21" s="47" t="s">
        <v>247</v>
      </c>
      <c r="B21" s="47" t="s">
        <v>151</v>
      </c>
      <c r="C21" s="47" t="s">
        <v>155</v>
      </c>
      <c r="D21" s="47" t="s">
        <v>1107</v>
      </c>
      <c r="E21" s="47" t="s">
        <v>248</v>
      </c>
      <c r="F21" s="47" t="s">
        <v>249</v>
      </c>
      <c r="G21" s="47" t="s">
        <v>250</v>
      </c>
      <c r="H21" s="47" t="s">
        <v>161</v>
      </c>
      <c r="I21" s="47" t="s">
        <v>251</v>
      </c>
      <c r="J21" s="47" t="str">
        <f>=IFERROR(VLOOKUP(H21&amp;I21,Table_Fonctions!A:G,6,FALSE),"")</f>
        <v>0</v>
      </c>
      <c r="K21" s="47" t="s">
        <v>1088</v>
      </c>
      <c r="L21" s="47" t="str">
        <f>=IFERROR(VLOOKUP(H21&amp;I21,Table_Fonctions!A:G,7,FALSE),K21)</f>
        <v/>
      </c>
      <c r="M21" s="47" t="str">
        <f>=IF(OR(LEFT(D21, 3)="TJ ", LEFT(D21, 4)="CPH "), "OUI", "NON")</f>
        <v/>
      </c>
      <c r="N21" s="47" t="s">
        <v>163</v>
      </c>
      <c r="O21" s="47"/>
      <c r="P21" s="47">
        <v>1</v>
      </c>
      <c r="Q21" s="47">
        <v>0</v>
      </c>
      <c r="R21" s="47">
        <v>1</v>
      </c>
      <c r="S21" s="47">
        <f>=ROUND(BQ21-(BR21+BS21),3)</f>
      </c>
      <c r="T21" s="47">
        <f>=ROUND(CK21-(CL21+CM21+CN21+CO21+CP21),3)</f>
      </c>
      <c r="U21" s="47">
        <v>0</v>
      </c>
      <c r="V21" s="47">
        <v>0</v>
      </c>
      <c r="W21" s="47">
        <v>0</v>
      </c>
      <c r="X21" s="47">
        <v>0</v>
      </c>
      <c r="Y21" s="47">
        <v>0</v>
      </c>
      <c r="Z21" s="47">
        <v>0</v>
      </c>
      <c r="AA21" s="47">
        <v>0</v>
      </c>
      <c r="AB21" s="47">
        <v>0</v>
      </c>
      <c r="AC21" s="47">
        <v>0</v>
      </c>
      <c r="AD21" s="47">
        <v>0</v>
      </c>
      <c r="AE21" s="47">
        <v>0</v>
      </c>
      <c r="AF21" s="47">
        <v>0</v>
      </c>
      <c r="AG21" s="47">
        <v>0</v>
      </c>
      <c r="AH21" s="47">
        <v>0</v>
      </c>
      <c r="AI21" s="47">
        <v>0</v>
      </c>
      <c r="AJ21" s="47">
        <v>0</v>
      </c>
      <c r="AK21" s="47">
        <v>0</v>
      </c>
      <c r="AL21" s="47">
        <v>0</v>
      </c>
      <c r="AM21" s="47">
        <v>0</v>
      </c>
      <c r="AN21" s="47">
        <v>0</v>
      </c>
      <c r="AO21" s="47">
        <v>0</v>
      </c>
      <c r="AP21" s="47">
        <v>0</v>
      </c>
      <c r="AQ21" s="47">
        <v>0</v>
      </c>
      <c r="AR21" s="47">
        <v>0</v>
      </c>
      <c r="AS21" s="47">
        <v>0</v>
      </c>
      <c r="AT21" s="47">
        <v>0</v>
      </c>
      <c r="AU21" s="47">
        <v>0</v>
      </c>
      <c r="AV21" s="47">
        <v>0</v>
      </c>
      <c r="AW21" s="47">
        <v>0</v>
      </c>
      <c r="AX21" s="47">
        <v>0</v>
      </c>
      <c r="AY21" s="47">
        <v>0</v>
      </c>
      <c r="AZ21" s="47">
        <v>0</v>
      </c>
      <c r="BA21" s="47">
        <v>0</v>
      </c>
      <c r="BB21" s="47">
        <v>0</v>
      </c>
      <c r="BC21" s="47">
        <v>0</v>
      </c>
      <c r="BD21" s="47">
        <v>0</v>
      </c>
      <c r="BE21" s="47">
        <v>0</v>
      </c>
      <c r="BF21" s="47">
        <v>0</v>
      </c>
      <c r="BG21" s="47">
        <v>0</v>
      </c>
      <c r="BH21" s="47">
        <v>0</v>
      </c>
      <c r="BI21" s="47">
        <v>0</v>
      </c>
      <c r="BJ21" s="47">
        <v>0</v>
      </c>
      <c r="BK21" s="47">
        <v>0</v>
      </c>
      <c r="BL21" s="47">
        <v>0</v>
      </c>
      <c r="BM21" s="47">
        <v>0</v>
      </c>
      <c r="BN21" s="47">
        <v>0</v>
      </c>
      <c r="BO21" s="47">
        <v>0</v>
      </c>
      <c r="BP21" s="47">
        <v>0</v>
      </c>
      <c r="BQ21" s="47">
        <v>0</v>
      </c>
      <c r="BR21" s="47">
        <v>0</v>
      </c>
      <c r="BS21" s="47">
        <v>0</v>
      </c>
      <c r="BT21" s="47">
        <v>0</v>
      </c>
      <c r="BU21" s="47">
        <v>0</v>
      </c>
      <c r="BV21" s="47">
        <v>0</v>
      </c>
      <c r="BW21" s="47">
        <v>0</v>
      </c>
      <c r="BX21" s="47">
        <v>0</v>
      </c>
      <c r="BY21" s="47">
        <v>0</v>
      </c>
      <c r="BZ21" s="47">
        <v>0</v>
      </c>
      <c r="CA21" s="47">
        <v>0</v>
      </c>
      <c r="CB21" s="47">
        <v>0</v>
      </c>
      <c r="CC21" s="47">
        <v>0</v>
      </c>
      <c r="CD21" s="47">
        <v>0</v>
      </c>
      <c r="CE21" s="47">
        <v>0</v>
      </c>
      <c r="CF21" s="47">
        <v>0</v>
      </c>
      <c r="CG21" s="47">
        <v>0</v>
      </c>
      <c r="CH21" s="47">
        <v>0</v>
      </c>
      <c r="CI21" s="47">
        <v>0</v>
      </c>
      <c r="CJ21" s="47">
        <v>0</v>
      </c>
      <c r="CK21" s="47">
        <v>0</v>
      </c>
      <c r="CL21" s="47">
        <v>0</v>
      </c>
      <c r="CM21" s="47">
        <v>0</v>
      </c>
      <c r="CN21" s="47">
        <v>0</v>
      </c>
      <c r="CO21" s="47">
        <v>0</v>
      </c>
      <c r="CP21" s="47">
        <v>0</v>
      </c>
      <c r="CQ21" s="47">
        <v>0</v>
      </c>
      <c r="CR21" s="47">
        <v>0</v>
      </c>
      <c r="CS21" s="47">
        <v>0</v>
      </c>
      <c r="CT21" s="47">
        <v>0</v>
      </c>
      <c r="CU21" s="47">
        <v>0</v>
      </c>
      <c r="CV21" s="47">
        <v>0</v>
      </c>
      <c r="CW21" s="47">
        <v>0</v>
      </c>
      <c r="CX21" s="47">
        <v>0</v>
      </c>
      <c r="CY21" s="47">
        <v>0</v>
      </c>
      <c r="CZ21" s="47">
        <v>0</v>
      </c>
      <c r="DA21" s="47">
        <v>0</v>
      </c>
      <c r="DB21" s="47">
        <v>0</v>
      </c>
      <c r="DC21" s="47">
        <v>0</v>
      </c>
      <c r="DD21" s="47">
        <v>0</v>
      </c>
      <c r="DE21" s="47">
        <v>0</v>
      </c>
      <c r="DF21" s="47">
        <v>0</v>
      </c>
      <c r="DG21" s="47">
        <v>0</v>
      </c>
      <c r="DH21" s="47">
        <v>0</v>
      </c>
      <c r="DI21" s="47">
        <v>0</v>
      </c>
      <c r="DJ21" s="47">
        <v>0</v>
      </c>
      <c r="DK21" s="47">
        <v>0</v>
      </c>
      <c r="DL21" s="47">
        <v>0</v>
      </c>
      <c r="DM21" s="47">
        <v>0</v>
      </c>
      <c r="DN21" s="47">
        <v>0</v>
      </c>
      <c r="DO21" s="47">
        <v>0</v>
      </c>
      <c r="DP21" s="47">
        <v>0</v>
      </c>
      <c r="DQ21" s="47">
        <v>0</v>
      </c>
      <c r="DR21" s="47">
        <v>0</v>
      </c>
      <c r="DS21" s="47">
        <v>0</v>
      </c>
      <c r="DT21" s="47">
        <v>0</v>
      </c>
      <c r="DU21" s="47">
        <v>0</v>
      </c>
      <c r="DV21" s="47">
        <v>0</v>
      </c>
      <c r="DW21" s="47">
        <v>0</v>
      </c>
      <c r="DX21" s="47">
        <v>0</v>
      </c>
      <c r="DY21" s="47">
        <v>0</v>
      </c>
      <c r="DZ21" s="47"/>
      <c r="EA21" s="47">
        <v>1</v>
      </c>
      <c r="ZZ21" t="s">
        <v>1084</v>
      </c>
    </row>
    <row r="22" spans="1:702" x14ac:dyDescent="0.25">
      <c r="A22" s="47" t="s">
        <v>252</v>
      </c>
      <c r="B22" s="47" t="s">
        <v>151</v>
      </c>
      <c r="C22" s="47" t="s">
        <v>155</v>
      </c>
      <c r="D22" s="47" t="s">
        <v>1108</v>
      </c>
      <c r="E22" s="47" t="s">
        <v>253</v>
      </c>
      <c r="F22" s="47" t="s">
        <v>254</v>
      </c>
      <c r="G22" s="47" t="s">
        <v>255</v>
      </c>
      <c r="H22" s="47" t="s">
        <v>161</v>
      </c>
      <c r="I22" s="47" t="s">
        <v>256</v>
      </c>
      <c r="J22" s="47" t="str">
        <f>=IFERROR(VLOOKUP(H22&amp;I22,Table_Fonctions!A:G,6,FALSE),"")</f>
        <v>0</v>
      </c>
      <c r="K22" s="47" t="s">
        <v>1088</v>
      </c>
      <c r="L22" s="47" t="str">
        <f>=IFERROR(VLOOKUP(H22&amp;I22,Table_Fonctions!A:G,7,FALSE),K22)</f>
        <v/>
      </c>
      <c r="M22" s="47" t="str">
        <f>=IF(OR(LEFT(D22, 3)="TJ ", LEFT(D22, 4)="CPH "), "OUI", "NON")</f>
        <v/>
      </c>
      <c r="N22" s="47" t="s">
        <v>257</v>
      </c>
      <c r="O22" s="47"/>
      <c r="P22" s="47">
        <v>1</v>
      </c>
      <c r="Q22" s="47">
        <v>1</v>
      </c>
      <c r="R22" s="47">
        <v>0</v>
      </c>
      <c r="S22" s="47">
        <f>=ROUND(BQ22-(BR22+BS22),3)</f>
      </c>
      <c r="T22" s="47">
        <f>=ROUND(CK22-(CL22+CM22+CN22+CO22+CP22),3)</f>
      </c>
      <c r="U22" s="47">
        <v>0</v>
      </c>
      <c r="V22" s="47">
        <v>0</v>
      </c>
      <c r="W22" s="47">
        <v>0</v>
      </c>
      <c r="X22" s="47">
        <v>0</v>
      </c>
      <c r="Y22" s="47">
        <v>0</v>
      </c>
      <c r="Z22" s="47">
        <v>0</v>
      </c>
      <c r="AA22" s="47">
        <v>0</v>
      </c>
      <c r="AB22" s="47">
        <v>0</v>
      </c>
      <c r="AC22" s="47">
        <v>0</v>
      </c>
      <c r="AD22" s="47">
        <v>0</v>
      </c>
      <c r="AE22" s="47">
        <v>0</v>
      </c>
      <c r="AF22" s="47">
        <v>0</v>
      </c>
      <c r="AG22" s="47">
        <v>0</v>
      </c>
      <c r="AH22" s="47">
        <v>0</v>
      </c>
      <c r="AI22" s="47">
        <v>0</v>
      </c>
      <c r="AJ22" s="47">
        <v>0</v>
      </c>
      <c r="AK22" s="47">
        <v>0</v>
      </c>
      <c r="AL22" s="47">
        <v>0</v>
      </c>
      <c r="AM22" s="47">
        <v>0</v>
      </c>
      <c r="AN22" s="47">
        <v>0</v>
      </c>
      <c r="AO22" s="47">
        <v>0</v>
      </c>
      <c r="AP22" s="47">
        <v>0</v>
      </c>
      <c r="AQ22" s="47">
        <v>0</v>
      </c>
      <c r="AR22" s="47">
        <v>0</v>
      </c>
      <c r="AS22" s="47">
        <v>0</v>
      </c>
      <c r="AT22" s="47">
        <v>0</v>
      </c>
      <c r="AU22" s="47">
        <v>0</v>
      </c>
      <c r="AV22" s="47">
        <v>0</v>
      </c>
      <c r="AW22" s="47">
        <v>0</v>
      </c>
      <c r="AX22" s="47">
        <v>0</v>
      </c>
      <c r="AY22" s="47">
        <v>0</v>
      </c>
      <c r="AZ22" s="47">
        <v>0</v>
      </c>
      <c r="BA22" s="47">
        <v>0</v>
      </c>
      <c r="BB22" s="47">
        <v>0</v>
      </c>
      <c r="BC22" s="47">
        <v>0</v>
      </c>
      <c r="BD22" s="47">
        <v>0</v>
      </c>
      <c r="BE22" s="47">
        <v>0</v>
      </c>
      <c r="BF22" s="47">
        <v>0</v>
      </c>
      <c r="BG22" s="47">
        <v>0</v>
      </c>
      <c r="BH22" s="47">
        <v>0</v>
      </c>
      <c r="BI22" s="47">
        <v>0</v>
      </c>
      <c r="BJ22" s="47">
        <v>0</v>
      </c>
      <c r="BK22" s="47">
        <v>0</v>
      </c>
      <c r="BL22" s="47">
        <v>0</v>
      </c>
      <c r="BM22" s="47">
        <v>0</v>
      </c>
      <c r="BN22" s="47">
        <v>0</v>
      </c>
      <c r="BO22" s="47">
        <v>0</v>
      </c>
      <c r="BP22" s="47">
        <v>0</v>
      </c>
      <c r="BQ22" s="47">
        <v>0.91</v>
      </c>
      <c r="BR22" s="47">
        <v>0</v>
      </c>
      <c r="BS22" s="47">
        <v>0</v>
      </c>
      <c r="BT22" s="47">
        <v>0.02</v>
      </c>
      <c r="BU22" s="47">
        <v>0</v>
      </c>
      <c r="BV22" s="47">
        <v>0</v>
      </c>
      <c r="BW22" s="47">
        <v>0</v>
      </c>
      <c r="BX22" s="47">
        <v>0</v>
      </c>
      <c r="BY22" s="47">
        <v>0</v>
      </c>
      <c r="BZ22" s="47">
        <v>0</v>
      </c>
      <c r="CA22" s="47">
        <v>0</v>
      </c>
      <c r="CB22" s="47">
        <v>0</v>
      </c>
      <c r="CC22" s="47">
        <v>0</v>
      </c>
      <c r="CD22" s="47">
        <v>0</v>
      </c>
      <c r="CE22" s="47">
        <v>0</v>
      </c>
      <c r="CF22" s="47">
        <v>0</v>
      </c>
      <c r="CG22" s="47">
        <v>0</v>
      </c>
      <c r="CH22" s="47">
        <v>0</v>
      </c>
      <c r="CI22" s="47">
        <v>0</v>
      </c>
      <c r="CJ22" s="47">
        <v>0</v>
      </c>
      <c r="CK22" s="47">
        <v>0</v>
      </c>
      <c r="CL22" s="47">
        <v>0</v>
      </c>
      <c r="CM22" s="47">
        <v>0</v>
      </c>
      <c r="CN22" s="47">
        <v>0</v>
      </c>
      <c r="CO22" s="47">
        <v>0</v>
      </c>
      <c r="CP22" s="47">
        <v>0</v>
      </c>
      <c r="CQ22" s="47">
        <v>0</v>
      </c>
      <c r="CR22" s="47">
        <v>0</v>
      </c>
      <c r="CS22" s="47">
        <v>0</v>
      </c>
      <c r="CT22" s="47">
        <v>0</v>
      </c>
      <c r="CU22" s="47">
        <v>0</v>
      </c>
      <c r="CV22" s="47">
        <v>0</v>
      </c>
      <c r="CW22" s="47">
        <v>0</v>
      </c>
      <c r="CX22" s="47">
        <v>0</v>
      </c>
      <c r="CY22" s="47">
        <v>0.07</v>
      </c>
      <c r="CZ22" s="47">
        <v>0</v>
      </c>
      <c r="DA22" s="47">
        <v>0</v>
      </c>
      <c r="DB22" s="47">
        <v>0</v>
      </c>
      <c r="DC22" s="47">
        <v>0</v>
      </c>
      <c r="DD22" s="47">
        <v>0</v>
      </c>
      <c r="DE22" s="47">
        <v>0</v>
      </c>
      <c r="DF22" s="47">
        <v>0</v>
      </c>
      <c r="DG22" s="47">
        <v>0</v>
      </c>
      <c r="DH22" s="47">
        <v>0</v>
      </c>
      <c r="DI22" s="47">
        <v>0</v>
      </c>
      <c r="DJ22" s="47">
        <v>0</v>
      </c>
      <c r="DK22" s="47">
        <v>0</v>
      </c>
      <c r="DL22" s="47">
        <v>0</v>
      </c>
      <c r="DM22" s="47">
        <v>0</v>
      </c>
      <c r="DN22" s="47">
        <v>0</v>
      </c>
      <c r="DO22" s="47">
        <v>0</v>
      </c>
      <c r="DP22" s="47">
        <v>0</v>
      </c>
      <c r="DQ22" s="47">
        <v>0</v>
      </c>
      <c r="DR22" s="47">
        <v>0</v>
      </c>
      <c r="DS22" s="47">
        <v>0</v>
      </c>
      <c r="DT22" s="47">
        <v>0</v>
      </c>
      <c r="DU22" s="47">
        <v>0</v>
      </c>
      <c r="DV22" s="47">
        <v>0</v>
      </c>
      <c r="DW22" s="47">
        <v>0</v>
      </c>
      <c r="DX22" s="47">
        <v>0</v>
      </c>
      <c r="DY22" s="47">
        <v>0</v>
      </c>
      <c r="DZ22" s="47"/>
      <c r="EA22" s="47">
        <v>1</v>
      </c>
      <c r="ZZ22" t="s">
        <v>1084</v>
      </c>
    </row>
    <row r="23" spans="1:702" x14ac:dyDescent="0.25">
      <c r="A23" s="47" t="s">
        <v>258</v>
      </c>
      <c r="B23" s="47" t="s">
        <v>151</v>
      </c>
      <c r="C23" s="47" t="s">
        <v>155</v>
      </c>
      <c r="D23" s="47" t="s">
        <v>1109</v>
      </c>
      <c r="E23" s="47" t="s">
        <v>259</v>
      </c>
      <c r="F23" s="47" t="s">
        <v>260</v>
      </c>
      <c r="G23" s="47" t="s">
        <v>261</v>
      </c>
      <c r="H23" s="47" t="s">
        <v>161</v>
      </c>
      <c r="I23" s="47" t="s">
        <v>262</v>
      </c>
      <c r="J23" s="47" t="str">
        <f>=IFERROR(VLOOKUP(H23&amp;I23,Table_Fonctions!A:G,6,FALSE),"")</f>
        <v>0</v>
      </c>
      <c r="K23" s="47" t="s">
        <v>1088</v>
      </c>
      <c r="L23" s="47" t="str">
        <f>=IFERROR(VLOOKUP(H23&amp;I23,Table_Fonctions!A:G,7,FALSE),K23)</f>
        <v/>
      </c>
      <c r="M23" s="47" t="str">
        <f>=IF(OR(LEFT(D23, 3)="TJ ", LEFT(D23, 4)="CPH "), "OUI", "NON")</f>
        <v/>
      </c>
      <c r="N23" s="47" t="s">
        <v>263</v>
      </c>
      <c r="O23" s="47"/>
      <c r="P23" s="47">
        <v>1</v>
      </c>
      <c r="Q23" s="47">
        <v>1</v>
      </c>
      <c r="R23" s="47">
        <v>0</v>
      </c>
      <c r="S23" s="47">
        <f>=ROUND(BQ23-(BR23+BS23),3)</f>
      </c>
      <c r="T23" s="47">
        <f>=ROUND(CK23-(CL23+CM23+CN23+CO23+CP23),3)</f>
      </c>
      <c r="U23" s="47">
        <v>0</v>
      </c>
      <c r="V23" s="47">
        <v>0</v>
      </c>
      <c r="W23" s="47">
        <v>0</v>
      </c>
      <c r="X23" s="47">
        <v>0</v>
      </c>
      <c r="Y23" s="47">
        <v>0</v>
      </c>
      <c r="Z23" s="47">
        <v>0</v>
      </c>
      <c r="AA23" s="47">
        <v>0</v>
      </c>
      <c r="AB23" s="47">
        <v>0</v>
      </c>
      <c r="AC23" s="47">
        <v>0</v>
      </c>
      <c r="AD23" s="47">
        <v>0</v>
      </c>
      <c r="AE23" s="47">
        <v>0</v>
      </c>
      <c r="AF23" s="47">
        <v>0</v>
      </c>
      <c r="AG23" s="47">
        <v>0</v>
      </c>
      <c r="AH23" s="47">
        <v>0</v>
      </c>
      <c r="AI23" s="47">
        <v>0</v>
      </c>
      <c r="AJ23" s="47">
        <v>0</v>
      </c>
      <c r="AK23" s="47">
        <v>0</v>
      </c>
      <c r="AL23" s="47">
        <v>0</v>
      </c>
      <c r="AM23" s="47">
        <v>0</v>
      </c>
      <c r="AN23" s="47">
        <v>0</v>
      </c>
      <c r="AO23" s="47">
        <v>0</v>
      </c>
      <c r="AP23" s="47">
        <v>0</v>
      </c>
      <c r="AQ23" s="47">
        <v>0</v>
      </c>
      <c r="AR23" s="47">
        <v>0</v>
      </c>
      <c r="AS23" s="47">
        <v>0</v>
      </c>
      <c r="AT23" s="47">
        <v>0</v>
      </c>
      <c r="AU23" s="47">
        <v>0</v>
      </c>
      <c r="AV23" s="47">
        <v>0</v>
      </c>
      <c r="AW23" s="47">
        <v>0</v>
      </c>
      <c r="AX23" s="47">
        <v>0</v>
      </c>
      <c r="AY23" s="47">
        <v>0</v>
      </c>
      <c r="AZ23" s="47">
        <v>0</v>
      </c>
      <c r="BA23" s="47">
        <v>0</v>
      </c>
      <c r="BB23" s="47">
        <v>0</v>
      </c>
      <c r="BC23" s="47">
        <v>0</v>
      </c>
      <c r="BD23" s="47">
        <v>0</v>
      </c>
      <c r="BE23" s="47">
        <v>0</v>
      </c>
      <c r="BF23" s="47">
        <v>0</v>
      </c>
      <c r="BG23" s="47">
        <v>0</v>
      </c>
      <c r="BH23" s="47">
        <v>0</v>
      </c>
      <c r="BI23" s="47">
        <v>0</v>
      </c>
      <c r="BJ23" s="47">
        <v>0</v>
      </c>
      <c r="BK23" s="47">
        <v>0</v>
      </c>
      <c r="BL23" s="47">
        <v>0</v>
      </c>
      <c r="BM23" s="47">
        <v>0</v>
      </c>
      <c r="BN23" s="47">
        <v>0</v>
      </c>
      <c r="BO23" s="47">
        <v>0</v>
      </c>
      <c r="BP23" s="47">
        <v>0</v>
      </c>
      <c r="BQ23" s="47">
        <v>0</v>
      </c>
      <c r="BR23" s="47">
        <v>0</v>
      </c>
      <c r="BS23" s="47">
        <v>0</v>
      </c>
      <c r="BT23" s="47">
        <v>0.07</v>
      </c>
      <c r="BU23" s="47">
        <v>0</v>
      </c>
      <c r="BV23" s="47">
        <v>0</v>
      </c>
      <c r="BW23" s="47">
        <v>0</v>
      </c>
      <c r="BX23" s="47">
        <v>0</v>
      </c>
      <c r="BY23" s="47">
        <v>0</v>
      </c>
      <c r="BZ23" s="47">
        <v>0</v>
      </c>
      <c r="CA23" s="47">
        <v>0</v>
      </c>
      <c r="CB23" s="47">
        <v>0.02</v>
      </c>
      <c r="CC23" s="47">
        <v>0</v>
      </c>
      <c r="CD23" s="47">
        <v>0</v>
      </c>
      <c r="CE23" s="47">
        <v>0</v>
      </c>
      <c r="CF23" s="47">
        <v>0</v>
      </c>
      <c r="CG23" s="47">
        <v>0</v>
      </c>
      <c r="CH23" s="47">
        <v>0</v>
      </c>
      <c r="CI23" s="47">
        <v>0</v>
      </c>
      <c r="CJ23" s="47">
        <v>0.05</v>
      </c>
      <c r="CK23" s="47">
        <v>0.91</v>
      </c>
      <c r="CL23" s="47">
        <v>0.91</v>
      </c>
      <c r="CM23" s="47">
        <v>0</v>
      </c>
      <c r="CN23" s="47">
        <v>0</v>
      </c>
      <c r="CO23" s="47">
        <v>0</v>
      </c>
      <c r="CP23" s="47">
        <v>0</v>
      </c>
      <c r="CQ23" s="47">
        <v>0</v>
      </c>
      <c r="CR23" s="47">
        <v>0</v>
      </c>
      <c r="CS23" s="47">
        <v>0</v>
      </c>
      <c r="CT23" s="47">
        <v>0</v>
      </c>
      <c r="CU23" s="47">
        <v>0</v>
      </c>
      <c r="CV23" s="47">
        <v>0</v>
      </c>
      <c r="CW23" s="47">
        <v>0</v>
      </c>
      <c r="CX23" s="47">
        <v>0</v>
      </c>
      <c r="CY23" s="47">
        <v>0.02</v>
      </c>
      <c r="CZ23" s="47">
        <v>0</v>
      </c>
      <c r="DA23" s="47">
        <v>0.02</v>
      </c>
      <c r="DB23" s="47">
        <v>0</v>
      </c>
      <c r="DC23" s="47">
        <v>0</v>
      </c>
      <c r="DD23" s="47">
        <v>0</v>
      </c>
      <c r="DE23" s="47">
        <v>0</v>
      </c>
      <c r="DF23" s="47">
        <v>0</v>
      </c>
      <c r="DG23" s="47">
        <v>0</v>
      </c>
      <c r="DH23" s="47">
        <v>0</v>
      </c>
      <c r="DI23" s="47">
        <v>0</v>
      </c>
      <c r="DJ23" s="47">
        <v>0</v>
      </c>
      <c r="DK23" s="47">
        <v>0</v>
      </c>
      <c r="DL23" s="47">
        <v>0</v>
      </c>
      <c r="DM23" s="47">
        <v>0</v>
      </c>
      <c r="DN23" s="47">
        <v>0</v>
      </c>
      <c r="DO23" s="47">
        <v>0</v>
      </c>
      <c r="DP23" s="47">
        <v>0</v>
      </c>
      <c r="DQ23" s="47">
        <v>0</v>
      </c>
      <c r="DR23" s="47">
        <v>0</v>
      </c>
      <c r="DS23" s="47">
        <v>0</v>
      </c>
      <c r="DT23" s="47">
        <v>0</v>
      </c>
      <c r="DU23" s="47">
        <v>0</v>
      </c>
      <c r="DV23" s="47">
        <v>0</v>
      </c>
      <c r="DW23" s="47">
        <v>0</v>
      </c>
      <c r="DX23" s="47">
        <v>0</v>
      </c>
      <c r="DY23" s="47">
        <v>0</v>
      </c>
      <c r="DZ23" s="47"/>
      <c r="EA23" s="47">
        <v>1</v>
      </c>
      <c r="ZZ23" t="s">
        <v>1084</v>
      </c>
    </row>
    <row r="24" spans="1:702" x14ac:dyDescent="0.25">
      <c r="A24" s="47" t="s">
        <v>264</v>
      </c>
      <c r="B24" s="47" t="s">
        <v>151</v>
      </c>
      <c r="C24" s="47" t="s">
        <v>155</v>
      </c>
      <c r="D24" s="47" t="s">
        <v>1110</v>
      </c>
      <c r="E24" s="47" t="s">
        <v>265</v>
      </c>
      <c r="F24" s="47" t="s">
        <v>266</v>
      </c>
      <c r="G24" s="47" t="s">
        <v>267</v>
      </c>
      <c r="H24" s="47" t="s">
        <v>161</v>
      </c>
      <c r="I24" s="47" t="s">
        <v>256</v>
      </c>
      <c r="J24" s="47" t="str">
        <f>=IFERROR(VLOOKUP(H24&amp;I24,Table_Fonctions!A:G,6,FALSE),"")</f>
        <v>0</v>
      </c>
      <c r="K24" s="47" t="s">
        <v>1088</v>
      </c>
      <c r="L24" s="47" t="str">
        <f>=IFERROR(VLOOKUP(H24&amp;I24,Table_Fonctions!A:G,7,FALSE),K24)</f>
        <v/>
      </c>
      <c r="M24" s="47" t="str">
        <f>=IF(OR(LEFT(D24, 3)="TJ ", LEFT(D24, 4)="CPH "), "OUI", "NON")</f>
        <v/>
      </c>
      <c r="N24" s="47" t="s">
        <v>213</v>
      </c>
      <c r="O24" s="47"/>
      <c r="P24" s="47">
        <v>1</v>
      </c>
      <c r="Q24" s="47">
        <v>0</v>
      </c>
      <c r="R24" s="47">
        <v>1</v>
      </c>
      <c r="S24" s="47">
        <f>=ROUND(BQ24-(BR24+BS24),3)</f>
      </c>
      <c r="T24" s="47">
        <f>=ROUND(CK24-(CL24+CM24+CN24+CO24+CP24),3)</f>
      </c>
      <c r="U24" s="47">
        <v>0</v>
      </c>
      <c r="V24" s="47">
        <v>0</v>
      </c>
      <c r="W24" s="47">
        <v>0</v>
      </c>
      <c r="X24" s="47">
        <v>0</v>
      </c>
      <c r="Y24" s="47">
        <v>0</v>
      </c>
      <c r="Z24" s="47">
        <v>0</v>
      </c>
      <c r="AA24" s="47">
        <v>0</v>
      </c>
      <c r="AB24" s="47">
        <v>0</v>
      </c>
      <c r="AC24" s="47">
        <v>0</v>
      </c>
      <c r="AD24" s="47">
        <v>0</v>
      </c>
      <c r="AE24" s="47">
        <v>0</v>
      </c>
      <c r="AF24" s="47">
        <v>0</v>
      </c>
      <c r="AG24" s="47">
        <v>0</v>
      </c>
      <c r="AH24" s="47">
        <v>0</v>
      </c>
      <c r="AI24" s="47">
        <v>0</v>
      </c>
      <c r="AJ24" s="47">
        <v>0</v>
      </c>
      <c r="AK24" s="47">
        <v>0</v>
      </c>
      <c r="AL24" s="47">
        <v>0</v>
      </c>
      <c r="AM24" s="47">
        <v>0</v>
      </c>
      <c r="AN24" s="47">
        <v>0</v>
      </c>
      <c r="AO24" s="47">
        <v>0</v>
      </c>
      <c r="AP24" s="47">
        <v>0</v>
      </c>
      <c r="AQ24" s="47">
        <v>0</v>
      </c>
      <c r="AR24" s="47">
        <v>0</v>
      </c>
      <c r="AS24" s="47">
        <v>0</v>
      </c>
      <c r="AT24" s="47">
        <v>0</v>
      </c>
      <c r="AU24" s="47">
        <v>0</v>
      </c>
      <c r="AV24" s="47">
        <v>0</v>
      </c>
      <c r="AW24" s="47">
        <v>0</v>
      </c>
      <c r="AX24" s="47">
        <v>0</v>
      </c>
      <c r="AY24" s="47">
        <v>0</v>
      </c>
      <c r="AZ24" s="47">
        <v>0</v>
      </c>
      <c r="BA24" s="47">
        <v>0</v>
      </c>
      <c r="BB24" s="47">
        <v>0</v>
      </c>
      <c r="BC24" s="47">
        <v>0</v>
      </c>
      <c r="BD24" s="47">
        <v>0</v>
      </c>
      <c r="BE24" s="47">
        <v>0</v>
      </c>
      <c r="BF24" s="47">
        <v>0</v>
      </c>
      <c r="BG24" s="47">
        <v>0</v>
      </c>
      <c r="BH24" s="47">
        <v>0</v>
      </c>
      <c r="BI24" s="47">
        <v>0</v>
      </c>
      <c r="BJ24" s="47">
        <v>0</v>
      </c>
      <c r="BK24" s="47">
        <v>0</v>
      </c>
      <c r="BL24" s="47">
        <v>0</v>
      </c>
      <c r="BM24" s="47">
        <v>0</v>
      </c>
      <c r="BN24" s="47">
        <v>0</v>
      </c>
      <c r="BO24" s="47">
        <v>0</v>
      </c>
      <c r="BP24" s="47">
        <v>0</v>
      </c>
      <c r="BQ24" s="47">
        <v>0</v>
      </c>
      <c r="BR24" s="47">
        <v>0</v>
      </c>
      <c r="BS24" s="47">
        <v>0</v>
      </c>
      <c r="BT24" s="47">
        <v>0</v>
      </c>
      <c r="BU24" s="47">
        <v>0</v>
      </c>
      <c r="BV24" s="47">
        <v>0</v>
      </c>
      <c r="BW24" s="47">
        <v>0</v>
      </c>
      <c r="BX24" s="47">
        <v>0</v>
      </c>
      <c r="BY24" s="47">
        <v>0</v>
      </c>
      <c r="BZ24" s="47">
        <v>0</v>
      </c>
      <c r="CA24" s="47">
        <v>0</v>
      </c>
      <c r="CB24" s="47">
        <v>0</v>
      </c>
      <c r="CC24" s="47">
        <v>0</v>
      </c>
      <c r="CD24" s="47">
        <v>0</v>
      </c>
      <c r="CE24" s="47">
        <v>0</v>
      </c>
      <c r="CF24" s="47">
        <v>0</v>
      </c>
      <c r="CG24" s="47">
        <v>0</v>
      </c>
      <c r="CH24" s="47">
        <v>0</v>
      </c>
      <c r="CI24" s="47">
        <v>0</v>
      </c>
      <c r="CJ24" s="47">
        <v>0</v>
      </c>
      <c r="CK24" s="47">
        <v>0</v>
      </c>
      <c r="CL24" s="47">
        <v>0</v>
      </c>
      <c r="CM24" s="47">
        <v>0</v>
      </c>
      <c r="CN24" s="47">
        <v>0</v>
      </c>
      <c r="CO24" s="47">
        <v>0</v>
      </c>
      <c r="CP24" s="47">
        <v>0</v>
      </c>
      <c r="CQ24" s="47">
        <v>0</v>
      </c>
      <c r="CR24" s="47">
        <v>0</v>
      </c>
      <c r="CS24" s="47">
        <v>0</v>
      </c>
      <c r="CT24" s="47">
        <v>0</v>
      </c>
      <c r="CU24" s="47">
        <v>0</v>
      </c>
      <c r="CV24" s="47">
        <v>0</v>
      </c>
      <c r="CW24" s="47">
        <v>0</v>
      </c>
      <c r="CX24" s="47">
        <v>0</v>
      </c>
      <c r="CY24" s="47">
        <v>0</v>
      </c>
      <c r="CZ24" s="47">
        <v>0</v>
      </c>
      <c r="DA24" s="47">
        <v>0</v>
      </c>
      <c r="DB24" s="47">
        <v>0</v>
      </c>
      <c r="DC24" s="47">
        <v>0</v>
      </c>
      <c r="DD24" s="47">
        <v>0</v>
      </c>
      <c r="DE24" s="47">
        <v>0</v>
      </c>
      <c r="DF24" s="47">
        <v>0</v>
      </c>
      <c r="DG24" s="47">
        <v>0</v>
      </c>
      <c r="DH24" s="47">
        <v>0</v>
      </c>
      <c r="DI24" s="47">
        <v>0</v>
      </c>
      <c r="DJ24" s="47">
        <v>0</v>
      </c>
      <c r="DK24" s="47">
        <v>0</v>
      </c>
      <c r="DL24" s="47">
        <v>0</v>
      </c>
      <c r="DM24" s="47">
        <v>0</v>
      </c>
      <c r="DN24" s="47">
        <v>0</v>
      </c>
      <c r="DO24" s="47">
        <v>0</v>
      </c>
      <c r="DP24" s="47">
        <v>0</v>
      </c>
      <c r="DQ24" s="47">
        <v>0</v>
      </c>
      <c r="DR24" s="47">
        <v>0</v>
      </c>
      <c r="DS24" s="47">
        <v>0</v>
      </c>
      <c r="DT24" s="47">
        <v>0</v>
      </c>
      <c r="DU24" s="47">
        <v>0</v>
      </c>
      <c r="DV24" s="47">
        <v>0</v>
      </c>
      <c r="DW24" s="47">
        <v>0</v>
      </c>
      <c r="DX24" s="47">
        <v>0</v>
      </c>
      <c r="DY24" s="47">
        <v>0</v>
      </c>
      <c r="DZ24" s="47"/>
      <c r="EA24" s="47">
        <v>1</v>
      </c>
      <c r="ZZ24" t="s">
        <v>1084</v>
      </c>
    </row>
    <row r="25" spans="1:702" x14ac:dyDescent="0.25">
      <c r="A25" s="47" t="s">
        <v>268</v>
      </c>
      <c r="B25" s="47" t="s">
        <v>151</v>
      </c>
      <c r="C25" s="47" t="s">
        <v>155</v>
      </c>
      <c r="D25" s="47" t="s">
        <v>1111</v>
      </c>
      <c r="E25" s="47" t="s">
        <v>269</v>
      </c>
      <c r="F25" s="47" t="s">
        <v>270</v>
      </c>
      <c r="G25" s="47" t="s">
        <v>271</v>
      </c>
      <c r="H25" s="47" t="s">
        <v>161</v>
      </c>
      <c r="I25" s="47" t="s">
        <v>162</v>
      </c>
      <c r="J25" s="47" t="str">
        <f>=IFERROR(VLOOKUP(H25&amp;I25,Table_Fonctions!A:G,6,FALSE),"")</f>
        <v>0</v>
      </c>
      <c r="K25" s="47" t="s">
        <v>1088</v>
      </c>
      <c r="L25" s="47" t="str">
        <f>=IFERROR(VLOOKUP(H25&amp;I25,Table_Fonctions!A:G,7,FALSE),K25)</f>
        <v/>
      </c>
      <c r="M25" s="47" t="str">
        <f>=IF(OR(LEFT(D25, 3)="TJ ", LEFT(D25, 4)="CPH "), "OUI", "NON")</f>
        <v/>
      </c>
      <c r="N25" s="47" t="s">
        <v>257</v>
      </c>
      <c r="O25" s="47"/>
      <c r="P25" s="47">
        <v>1</v>
      </c>
      <c r="Q25" s="47">
        <v>1</v>
      </c>
      <c r="R25" s="47">
        <v>0</v>
      </c>
      <c r="S25" s="47">
        <f>=ROUND(BQ25-(BR25+BS25),3)</f>
      </c>
      <c r="T25" s="47">
        <f>=ROUND(CK25-(CL25+CM25+CN25+CO25+CP25),3)</f>
      </c>
      <c r="U25" s="47">
        <v>0</v>
      </c>
      <c r="V25" s="47">
        <v>0</v>
      </c>
      <c r="W25" s="47">
        <v>0</v>
      </c>
      <c r="X25" s="47">
        <v>0</v>
      </c>
      <c r="Y25" s="47">
        <v>0</v>
      </c>
      <c r="Z25" s="47">
        <v>0</v>
      </c>
      <c r="AA25" s="47">
        <v>0</v>
      </c>
      <c r="AB25" s="47">
        <v>0</v>
      </c>
      <c r="AC25" s="47">
        <v>0</v>
      </c>
      <c r="AD25" s="47">
        <v>0</v>
      </c>
      <c r="AE25" s="47">
        <v>0</v>
      </c>
      <c r="AF25" s="47">
        <v>0</v>
      </c>
      <c r="AG25" s="47">
        <v>0</v>
      </c>
      <c r="AH25" s="47">
        <v>0</v>
      </c>
      <c r="AI25" s="47">
        <v>0</v>
      </c>
      <c r="AJ25" s="47">
        <v>0</v>
      </c>
      <c r="AK25" s="47">
        <v>0</v>
      </c>
      <c r="AL25" s="47">
        <v>0</v>
      </c>
      <c r="AM25" s="47">
        <v>0</v>
      </c>
      <c r="AN25" s="47">
        <v>0</v>
      </c>
      <c r="AO25" s="47">
        <v>0</v>
      </c>
      <c r="AP25" s="47">
        <v>0</v>
      </c>
      <c r="AQ25" s="47">
        <v>0</v>
      </c>
      <c r="AR25" s="47">
        <v>0</v>
      </c>
      <c r="AS25" s="47">
        <v>0.835</v>
      </c>
      <c r="AT25" s="47">
        <v>0</v>
      </c>
      <c r="AU25" s="47">
        <v>0</v>
      </c>
      <c r="AV25" s="47">
        <v>0</v>
      </c>
      <c r="AW25" s="47">
        <v>0</v>
      </c>
      <c r="AX25" s="47">
        <v>0</v>
      </c>
      <c r="AY25" s="47">
        <v>0</v>
      </c>
      <c r="AZ25" s="47">
        <v>0</v>
      </c>
      <c r="BA25" s="47">
        <v>0</v>
      </c>
      <c r="BB25" s="47">
        <v>0</v>
      </c>
      <c r="BC25" s="47">
        <v>0</v>
      </c>
      <c r="BD25" s="47">
        <v>0</v>
      </c>
      <c r="BE25" s="47">
        <v>0</v>
      </c>
      <c r="BF25" s="47">
        <v>0</v>
      </c>
      <c r="BG25" s="47">
        <v>0</v>
      </c>
      <c r="BH25" s="47">
        <v>0</v>
      </c>
      <c r="BI25" s="47">
        <v>0</v>
      </c>
      <c r="BJ25" s="47">
        <v>0</v>
      </c>
      <c r="BK25" s="47">
        <v>0</v>
      </c>
      <c r="BL25" s="47">
        <v>0</v>
      </c>
      <c r="BM25" s="47">
        <v>0</v>
      </c>
      <c r="BN25" s="47">
        <v>0</v>
      </c>
      <c r="BO25" s="47">
        <v>0</v>
      </c>
      <c r="BP25" s="47">
        <v>0</v>
      </c>
      <c r="BQ25" s="47">
        <v>0</v>
      </c>
      <c r="BR25" s="47">
        <v>0</v>
      </c>
      <c r="BS25" s="47">
        <v>0</v>
      </c>
      <c r="BT25" s="47">
        <v>0.03</v>
      </c>
      <c r="BU25" s="47">
        <v>0</v>
      </c>
      <c r="BV25" s="47">
        <v>0</v>
      </c>
      <c r="BW25" s="47">
        <v>0</v>
      </c>
      <c r="BX25" s="47">
        <v>0</v>
      </c>
      <c r="BY25" s="47">
        <v>0</v>
      </c>
      <c r="BZ25" s="47">
        <v>0</v>
      </c>
      <c r="CA25" s="47">
        <v>0</v>
      </c>
      <c r="CB25" s="47">
        <v>0</v>
      </c>
      <c r="CC25" s="47">
        <v>0</v>
      </c>
      <c r="CD25" s="47">
        <v>0</v>
      </c>
      <c r="CE25" s="47">
        <v>0</v>
      </c>
      <c r="CF25" s="47">
        <v>0</v>
      </c>
      <c r="CG25" s="47">
        <v>0</v>
      </c>
      <c r="CH25" s="47">
        <v>0</v>
      </c>
      <c r="CI25" s="47">
        <v>0</v>
      </c>
      <c r="CJ25" s="47">
        <v>0</v>
      </c>
      <c r="CK25" s="47">
        <v>0</v>
      </c>
      <c r="CL25" s="47">
        <v>0</v>
      </c>
      <c r="CM25" s="47">
        <v>0</v>
      </c>
      <c r="CN25" s="47">
        <v>0</v>
      </c>
      <c r="CO25" s="47">
        <v>0</v>
      </c>
      <c r="CP25" s="47">
        <v>0</v>
      </c>
      <c r="CQ25" s="47">
        <v>0</v>
      </c>
      <c r="CR25" s="47">
        <v>0</v>
      </c>
      <c r="CS25" s="47">
        <v>0</v>
      </c>
      <c r="CT25" s="47">
        <v>0</v>
      </c>
      <c r="CU25" s="47">
        <v>0</v>
      </c>
      <c r="CV25" s="47">
        <v>0.05</v>
      </c>
      <c r="CW25" s="47">
        <v>0</v>
      </c>
      <c r="CX25" s="47">
        <v>0</v>
      </c>
      <c r="CY25" s="47">
        <v>0.085</v>
      </c>
      <c r="CZ25" s="47">
        <v>0</v>
      </c>
      <c r="DA25" s="47">
        <v>0</v>
      </c>
      <c r="DB25" s="47">
        <v>0</v>
      </c>
      <c r="DC25" s="47">
        <v>0</v>
      </c>
      <c r="DD25" s="47">
        <v>0</v>
      </c>
      <c r="DE25" s="47">
        <v>0</v>
      </c>
      <c r="DF25" s="47">
        <v>0</v>
      </c>
      <c r="DG25" s="47">
        <v>0</v>
      </c>
      <c r="DH25" s="47">
        <v>0</v>
      </c>
      <c r="DI25" s="47">
        <v>0</v>
      </c>
      <c r="DJ25" s="47">
        <v>0</v>
      </c>
      <c r="DK25" s="47">
        <v>0</v>
      </c>
      <c r="DL25" s="47">
        <v>0</v>
      </c>
      <c r="DM25" s="47">
        <v>0</v>
      </c>
      <c r="DN25" s="47">
        <v>0</v>
      </c>
      <c r="DO25" s="47">
        <v>0</v>
      </c>
      <c r="DP25" s="47">
        <v>0</v>
      </c>
      <c r="DQ25" s="47">
        <v>0</v>
      </c>
      <c r="DR25" s="47">
        <v>0</v>
      </c>
      <c r="DS25" s="47">
        <v>0</v>
      </c>
      <c r="DT25" s="47">
        <v>0</v>
      </c>
      <c r="DU25" s="47">
        <v>0</v>
      </c>
      <c r="DV25" s="47">
        <v>0</v>
      </c>
      <c r="DW25" s="47">
        <v>0</v>
      </c>
      <c r="DX25" s="47">
        <v>0</v>
      </c>
      <c r="DY25" s="47">
        <v>0</v>
      </c>
      <c r="DZ25" s="47"/>
      <c r="EA25" s="47">
        <v>1</v>
      </c>
      <c r="ZZ25" t="s">
        <v>1084</v>
      </c>
    </row>
    <row r="26" spans="1:702" x14ac:dyDescent="0.25">
      <c r="A26" s="47" t="s">
        <v>272</v>
      </c>
      <c r="B26" s="47" t="s">
        <v>151</v>
      </c>
      <c r="C26" s="47" t="s">
        <v>155</v>
      </c>
      <c r="D26" s="47" t="s">
        <v>1112</v>
      </c>
      <c r="E26" s="47" t="s">
        <v>273</v>
      </c>
      <c r="F26" s="47" t="s">
        <v>274</v>
      </c>
      <c r="G26" s="47" t="s">
        <v>275</v>
      </c>
      <c r="H26" s="47" t="s">
        <v>161</v>
      </c>
      <c r="I26" s="47" t="s">
        <v>256</v>
      </c>
      <c r="J26" s="47" t="str">
        <f>=IFERROR(VLOOKUP(H26&amp;I26,Table_Fonctions!A:G,6,FALSE),"")</f>
        <v>0</v>
      </c>
      <c r="K26" s="47" t="s">
        <v>1088</v>
      </c>
      <c r="L26" s="47" t="str">
        <f>=IFERROR(VLOOKUP(H26&amp;I26,Table_Fonctions!A:G,7,FALSE),K26)</f>
        <v/>
      </c>
      <c r="M26" s="47" t="str">
        <f>=IF(OR(LEFT(D26, 3)="TJ ", LEFT(D26, 4)="CPH "), "OUI", "NON")</f>
        <v/>
      </c>
      <c r="N26" s="47" t="s">
        <v>182</v>
      </c>
      <c r="O26" s="47"/>
      <c r="P26" s="47">
        <v>1</v>
      </c>
      <c r="Q26" s="47">
        <v>0</v>
      </c>
      <c r="R26" s="47">
        <v>1</v>
      </c>
      <c r="S26" s="47">
        <f>=ROUND(BQ26-(BR26+BS26),3)</f>
      </c>
      <c r="T26" s="47">
        <f>=ROUND(CK26-(CL26+CM26+CN26+CO26+CP26),3)</f>
      </c>
      <c r="U26" s="47">
        <v>0</v>
      </c>
      <c r="V26" s="47">
        <v>0</v>
      </c>
      <c r="W26" s="47">
        <v>0</v>
      </c>
      <c r="X26" s="47">
        <v>0</v>
      </c>
      <c r="Y26" s="47">
        <v>0</v>
      </c>
      <c r="Z26" s="47">
        <v>0</v>
      </c>
      <c r="AA26" s="47">
        <v>0</v>
      </c>
      <c r="AB26" s="47">
        <v>0</v>
      </c>
      <c r="AC26" s="47">
        <v>0</v>
      </c>
      <c r="AD26" s="47">
        <v>0</v>
      </c>
      <c r="AE26" s="47">
        <v>0</v>
      </c>
      <c r="AF26" s="47">
        <v>0</v>
      </c>
      <c r="AG26" s="47">
        <v>0</v>
      </c>
      <c r="AH26" s="47">
        <v>0</v>
      </c>
      <c r="AI26" s="47">
        <v>0</v>
      </c>
      <c r="AJ26" s="47">
        <v>0</v>
      </c>
      <c r="AK26" s="47">
        <v>0</v>
      </c>
      <c r="AL26" s="47">
        <v>0</v>
      </c>
      <c r="AM26" s="47">
        <v>0</v>
      </c>
      <c r="AN26" s="47">
        <v>0</v>
      </c>
      <c r="AO26" s="47">
        <v>0</v>
      </c>
      <c r="AP26" s="47">
        <v>0</v>
      </c>
      <c r="AQ26" s="47">
        <v>0</v>
      </c>
      <c r="AR26" s="47">
        <v>0</v>
      </c>
      <c r="AS26" s="47">
        <v>0</v>
      </c>
      <c r="AT26" s="47">
        <v>0</v>
      </c>
      <c r="AU26" s="47">
        <v>0</v>
      </c>
      <c r="AV26" s="47">
        <v>0</v>
      </c>
      <c r="AW26" s="47">
        <v>0</v>
      </c>
      <c r="AX26" s="47">
        <v>0</v>
      </c>
      <c r="AY26" s="47">
        <v>0</v>
      </c>
      <c r="AZ26" s="47">
        <v>0</v>
      </c>
      <c r="BA26" s="47">
        <v>0</v>
      </c>
      <c r="BB26" s="47">
        <v>0</v>
      </c>
      <c r="BC26" s="47">
        <v>0</v>
      </c>
      <c r="BD26" s="47">
        <v>0</v>
      </c>
      <c r="BE26" s="47">
        <v>0</v>
      </c>
      <c r="BF26" s="47">
        <v>0</v>
      </c>
      <c r="BG26" s="47">
        <v>0</v>
      </c>
      <c r="BH26" s="47">
        <v>0</v>
      </c>
      <c r="BI26" s="47">
        <v>0</v>
      </c>
      <c r="BJ26" s="47">
        <v>0</v>
      </c>
      <c r="BK26" s="47">
        <v>0</v>
      </c>
      <c r="BL26" s="47">
        <v>0</v>
      </c>
      <c r="BM26" s="47">
        <v>0</v>
      </c>
      <c r="BN26" s="47">
        <v>0</v>
      </c>
      <c r="BO26" s="47">
        <v>0</v>
      </c>
      <c r="BP26" s="47">
        <v>0</v>
      </c>
      <c r="BQ26" s="47">
        <v>0</v>
      </c>
      <c r="BR26" s="47">
        <v>0</v>
      </c>
      <c r="BS26" s="47">
        <v>0</v>
      </c>
      <c r="BT26" s="47">
        <v>0</v>
      </c>
      <c r="BU26" s="47">
        <v>0</v>
      </c>
      <c r="BV26" s="47">
        <v>0</v>
      </c>
      <c r="BW26" s="47">
        <v>0</v>
      </c>
      <c r="BX26" s="47">
        <v>0</v>
      </c>
      <c r="BY26" s="47">
        <v>0</v>
      </c>
      <c r="BZ26" s="47">
        <v>0</v>
      </c>
      <c r="CA26" s="47">
        <v>0</v>
      </c>
      <c r="CB26" s="47">
        <v>0</v>
      </c>
      <c r="CC26" s="47">
        <v>0</v>
      </c>
      <c r="CD26" s="47">
        <v>0</v>
      </c>
      <c r="CE26" s="47">
        <v>0</v>
      </c>
      <c r="CF26" s="47">
        <v>0</v>
      </c>
      <c r="CG26" s="47">
        <v>0</v>
      </c>
      <c r="CH26" s="47">
        <v>0</v>
      </c>
      <c r="CI26" s="47">
        <v>0</v>
      </c>
      <c r="CJ26" s="47">
        <v>0</v>
      </c>
      <c r="CK26" s="47">
        <v>0</v>
      </c>
      <c r="CL26" s="47">
        <v>0</v>
      </c>
      <c r="CM26" s="47">
        <v>0</v>
      </c>
      <c r="CN26" s="47">
        <v>0</v>
      </c>
      <c r="CO26" s="47">
        <v>0</v>
      </c>
      <c r="CP26" s="47">
        <v>0</v>
      </c>
      <c r="CQ26" s="47">
        <v>0</v>
      </c>
      <c r="CR26" s="47">
        <v>0</v>
      </c>
      <c r="CS26" s="47">
        <v>0</v>
      </c>
      <c r="CT26" s="47">
        <v>0</v>
      </c>
      <c r="CU26" s="47">
        <v>0</v>
      </c>
      <c r="CV26" s="47">
        <v>0</v>
      </c>
      <c r="CW26" s="47">
        <v>0</v>
      </c>
      <c r="CX26" s="47">
        <v>0</v>
      </c>
      <c r="CY26" s="47">
        <v>0</v>
      </c>
      <c r="CZ26" s="47">
        <v>0</v>
      </c>
      <c r="DA26" s="47">
        <v>0</v>
      </c>
      <c r="DB26" s="47">
        <v>0</v>
      </c>
      <c r="DC26" s="47">
        <v>0</v>
      </c>
      <c r="DD26" s="47">
        <v>0</v>
      </c>
      <c r="DE26" s="47">
        <v>0</v>
      </c>
      <c r="DF26" s="47">
        <v>0</v>
      </c>
      <c r="DG26" s="47">
        <v>0</v>
      </c>
      <c r="DH26" s="47">
        <v>0</v>
      </c>
      <c r="DI26" s="47">
        <v>0</v>
      </c>
      <c r="DJ26" s="47">
        <v>0</v>
      </c>
      <c r="DK26" s="47">
        <v>0</v>
      </c>
      <c r="DL26" s="47">
        <v>0</v>
      </c>
      <c r="DM26" s="47">
        <v>0</v>
      </c>
      <c r="DN26" s="47">
        <v>0</v>
      </c>
      <c r="DO26" s="47">
        <v>0</v>
      </c>
      <c r="DP26" s="47">
        <v>0</v>
      </c>
      <c r="DQ26" s="47">
        <v>0</v>
      </c>
      <c r="DR26" s="47">
        <v>0</v>
      </c>
      <c r="DS26" s="47">
        <v>0</v>
      </c>
      <c r="DT26" s="47">
        <v>0</v>
      </c>
      <c r="DU26" s="47">
        <v>0</v>
      </c>
      <c r="DV26" s="47">
        <v>0</v>
      </c>
      <c r="DW26" s="47">
        <v>0</v>
      </c>
      <c r="DX26" s="47">
        <v>0</v>
      </c>
      <c r="DY26" s="47">
        <v>0</v>
      </c>
      <c r="DZ26" s="47"/>
      <c r="EA26" s="47">
        <v>1</v>
      </c>
      <c r="ZZ26" t="s">
        <v>1084</v>
      </c>
    </row>
    <row r="27" spans="1:702" x14ac:dyDescent="0.25">
      <c r="A27" s="47" t="s">
        <v>276</v>
      </c>
      <c r="B27" s="47" t="s">
        <v>151</v>
      </c>
      <c r="C27" s="47" t="s">
        <v>155</v>
      </c>
      <c r="D27" s="47" t="s">
        <v>1113</v>
      </c>
      <c r="E27" s="47" t="s">
        <v>277</v>
      </c>
      <c r="F27" s="47" t="s">
        <v>278</v>
      </c>
      <c r="G27" s="47" t="s">
        <v>279</v>
      </c>
      <c r="H27" s="47" t="s">
        <v>161</v>
      </c>
      <c r="I27" s="47" t="s">
        <v>175</v>
      </c>
      <c r="J27" s="47" t="str">
        <f>=IFERROR(VLOOKUP(H27&amp;I27,Table_Fonctions!A:G,6,FALSE),"")</f>
        <v>0</v>
      </c>
      <c r="K27" s="47" t="s">
        <v>1088</v>
      </c>
      <c r="L27" s="47" t="str">
        <f>=IFERROR(VLOOKUP(H27&amp;I27,Table_Fonctions!A:G,7,FALSE),K27)</f>
        <v/>
      </c>
      <c r="M27" s="47" t="str">
        <f>=IF(OR(LEFT(D27, 3)="TJ ", LEFT(D27, 4)="CPH "), "OUI", "NON")</f>
        <v/>
      </c>
      <c r="N27" s="47" t="s">
        <v>213</v>
      </c>
      <c r="O27" s="47"/>
      <c r="P27" s="47">
        <v>0.8</v>
      </c>
      <c r="Q27" s="47">
        <v>0.7966</v>
      </c>
      <c r="R27" s="47">
        <v>0.0034</v>
      </c>
      <c r="S27" s="47">
        <f>=ROUND(BQ27-(BR27+BS27),3)</f>
      </c>
      <c r="T27" s="47">
        <f>=ROUND(CK27-(CL27+CM27+CN27+CO27+CP27),3)</f>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0.0877</v>
      </c>
      <c r="BU27" s="47">
        <v>0</v>
      </c>
      <c r="BV27" s="47">
        <v>0</v>
      </c>
      <c r="BW27" s="47">
        <v>0</v>
      </c>
      <c r="BX27" s="47">
        <v>0</v>
      </c>
      <c r="BY27" s="47">
        <v>0</v>
      </c>
      <c r="BZ27" s="47">
        <v>0</v>
      </c>
      <c r="CA27" s="47">
        <v>0</v>
      </c>
      <c r="CB27" s="47">
        <v>0</v>
      </c>
      <c r="CC27" s="47">
        <v>0.0077</v>
      </c>
      <c r="CD27" s="47">
        <v>0</v>
      </c>
      <c r="CE27" s="47">
        <v>0.0048</v>
      </c>
      <c r="CF27" s="47">
        <v>0</v>
      </c>
      <c r="CG27" s="47">
        <v>0</v>
      </c>
      <c r="CH27" s="47">
        <v>0</v>
      </c>
      <c r="CI27" s="47">
        <v>0</v>
      </c>
      <c r="CJ27" s="47">
        <v>0.0752</v>
      </c>
      <c r="CK27" s="47">
        <v>0.04</v>
      </c>
      <c r="CL27" s="47">
        <v>0.04</v>
      </c>
      <c r="CM27" s="47">
        <v>0</v>
      </c>
      <c r="CN27" s="47">
        <v>0</v>
      </c>
      <c r="CO27" s="47">
        <v>0</v>
      </c>
      <c r="CP27" s="47">
        <v>0</v>
      </c>
      <c r="CQ27" s="47">
        <v>0.472</v>
      </c>
      <c r="CR27" s="47">
        <v>0</v>
      </c>
      <c r="CS27" s="47">
        <v>0</v>
      </c>
      <c r="CT27" s="47">
        <v>0</v>
      </c>
      <c r="CU27" s="47">
        <v>0</v>
      </c>
      <c r="CV27" s="47">
        <v>0.04</v>
      </c>
      <c r="CW27" s="47">
        <v>0</v>
      </c>
      <c r="CX27" s="47">
        <v>0</v>
      </c>
      <c r="CY27" s="47">
        <v>0.157</v>
      </c>
      <c r="CZ27" s="47">
        <v>0.157</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0.0613</v>
      </c>
      <c r="DV27" s="47">
        <v>0.4387</v>
      </c>
      <c r="DW27" s="47">
        <v>0</v>
      </c>
      <c r="DX27" s="47">
        <v>0</v>
      </c>
      <c r="DY27" s="47">
        <v>0.5</v>
      </c>
      <c r="DZ27" s="47"/>
      <c r="EA27" s="47">
        <v>0.8</v>
      </c>
      <c r="ZZ27" t="s">
        <v>1084</v>
      </c>
    </row>
    <row r="28" spans="1:702" x14ac:dyDescent="0.25">
      <c r="A28" s="47" t="s">
        <v>280</v>
      </c>
      <c r="B28" s="47" t="s">
        <v>151</v>
      </c>
      <c r="C28" s="47" t="s">
        <v>155</v>
      </c>
      <c r="D28" s="47" t="s">
        <v>151</v>
      </c>
      <c r="E28" s="47" t="s">
        <v>281</v>
      </c>
      <c r="F28" s="47" t="s">
        <v>282</v>
      </c>
      <c r="G28" s="47"/>
      <c r="H28" s="47" t="s">
        <v>161</v>
      </c>
      <c r="I28" s="47" t="s">
        <v>207</v>
      </c>
      <c r="J28" s="47" t="str">
        <f>=IFERROR(VLOOKUP(H28&amp;I28,Table_Fonctions!A:G,6,FALSE),"")</f>
        <v>0</v>
      </c>
      <c r="K28" s="47" t="s">
        <v>1088</v>
      </c>
      <c r="L28" s="47" t="str">
        <f>=IFERROR(VLOOKUP(H28&amp;I28,Table_Fonctions!A:G,7,FALSE),K28)</f>
        <v/>
      </c>
      <c r="M28" s="47" t="str">
        <f>=IF(OR(LEFT(D28, 3)="TJ ", LEFT(D28, 4)="CPH "), "OUI", "NON")</f>
        <v/>
      </c>
      <c r="N28" s="47" t="s">
        <v>283</v>
      </c>
      <c r="O28" s="47"/>
      <c r="P28" s="47">
        <v>1</v>
      </c>
      <c r="Q28" s="47">
        <v>1</v>
      </c>
      <c r="R28" s="47">
        <v>0</v>
      </c>
      <c r="S28" s="47">
        <f>=ROUND(BQ28-(BR28+BS28),3)</f>
      </c>
      <c r="T28" s="47">
        <f>=ROUND(CK28-(CL28+CM28+CN28+CO28+CP28),3)</f>
      </c>
      <c r="U28" s="47">
        <v>0</v>
      </c>
      <c r="V28" s="47">
        <v>0</v>
      </c>
      <c r="W28" s="47">
        <v>0</v>
      </c>
      <c r="X28" s="47">
        <v>0</v>
      </c>
      <c r="Y28" s="47">
        <v>0</v>
      </c>
      <c r="Z28" s="47">
        <v>0</v>
      </c>
      <c r="AA28" s="47">
        <v>0</v>
      </c>
      <c r="AB28" s="47">
        <v>0</v>
      </c>
      <c r="AC28" s="47">
        <v>0</v>
      </c>
      <c r="AD28" s="47">
        <v>0</v>
      </c>
      <c r="AE28" s="47">
        <v>0</v>
      </c>
      <c r="AF28" s="47">
        <v>0</v>
      </c>
      <c r="AG28" s="47">
        <v>0</v>
      </c>
      <c r="AH28" s="47">
        <v>0</v>
      </c>
      <c r="AI28" s="47">
        <v>0</v>
      </c>
      <c r="AJ28" s="47">
        <v>1</v>
      </c>
      <c r="AK28" s="47">
        <v>0</v>
      </c>
      <c r="AL28" s="47">
        <v>0</v>
      </c>
      <c r="AM28" s="47">
        <v>0</v>
      </c>
      <c r="AN28" s="47">
        <v>0</v>
      </c>
      <c r="AO28" s="47">
        <v>0</v>
      </c>
      <c r="AP28" s="47">
        <v>0</v>
      </c>
      <c r="AQ28" s="47">
        <v>0</v>
      </c>
      <c r="AR28" s="47">
        <v>0</v>
      </c>
      <c r="AS28" s="47">
        <v>0</v>
      </c>
      <c r="AT28" s="47">
        <v>0</v>
      </c>
      <c r="AU28" s="47">
        <v>0</v>
      </c>
      <c r="AV28" s="47">
        <v>0</v>
      </c>
      <c r="AW28" s="47">
        <v>0</v>
      </c>
      <c r="AX28" s="47">
        <v>0</v>
      </c>
      <c r="AY28" s="47">
        <v>0</v>
      </c>
      <c r="AZ28" s="47">
        <v>0</v>
      </c>
      <c r="BA28" s="47">
        <v>0</v>
      </c>
      <c r="BB28" s="47">
        <v>0</v>
      </c>
      <c r="BC28" s="47">
        <v>0</v>
      </c>
      <c r="BD28" s="47">
        <v>0</v>
      </c>
      <c r="BE28" s="47">
        <v>0</v>
      </c>
      <c r="BF28" s="47">
        <v>0</v>
      </c>
      <c r="BG28" s="47">
        <v>0</v>
      </c>
      <c r="BH28" s="47">
        <v>0</v>
      </c>
      <c r="BI28" s="47">
        <v>0</v>
      </c>
      <c r="BJ28" s="47">
        <v>0</v>
      </c>
      <c r="BK28" s="47">
        <v>0</v>
      </c>
      <c r="BL28" s="47">
        <v>0</v>
      </c>
      <c r="BM28" s="47">
        <v>0</v>
      </c>
      <c r="BN28" s="47">
        <v>0</v>
      </c>
      <c r="BO28" s="47">
        <v>0</v>
      </c>
      <c r="BP28" s="47">
        <v>0</v>
      </c>
      <c r="BQ28" s="47">
        <v>0</v>
      </c>
      <c r="BR28" s="47">
        <v>0</v>
      </c>
      <c r="BS28" s="47">
        <v>0</v>
      </c>
      <c r="BT28" s="47">
        <v>0</v>
      </c>
      <c r="BU28" s="47">
        <v>0</v>
      </c>
      <c r="BV28" s="47">
        <v>0</v>
      </c>
      <c r="BW28" s="47">
        <v>0</v>
      </c>
      <c r="BX28" s="47">
        <v>0</v>
      </c>
      <c r="BY28" s="47">
        <v>0</v>
      </c>
      <c r="BZ28" s="47">
        <v>0</v>
      </c>
      <c r="CA28" s="47">
        <v>0</v>
      </c>
      <c r="CB28" s="47">
        <v>0</v>
      </c>
      <c r="CC28" s="47">
        <v>0</v>
      </c>
      <c r="CD28" s="47">
        <v>0</v>
      </c>
      <c r="CE28" s="47">
        <v>0</v>
      </c>
      <c r="CF28" s="47">
        <v>0</v>
      </c>
      <c r="CG28" s="47">
        <v>0</v>
      </c>
      <c r="CH28" s="47">
        <v>0</v>
      </c>
      <c r="CI28" s="47">
        <v>0</v>
      </c>
      <c r="CJ28" s="47">
        <v>0</v>
      </c>
      <c r="CK28" s="47">
        <v>0</v>
      </c>
      <c r="CL28" s="47">
        <v>0</v>
      </c>
      <c r="CM28" s="47">
        <v>0</v>
      </c>
      <c r="CN28" s="47">
        <v>0</v>
      </c>
      <c r="CO28" s="47">
        <v>0</v>
      </c>
      <c r="CP28" s="47">
        <v>0</v>
      </c>
      <c r="CQ28" s="47">
        <v>0</v>
      </c>
      <c r="CR28" s="47">
        <v>0</v>
      </c>
      <c r="CS28" s="47">
        <v>0</v>
      </c>
      <c r="CT28" s="47">
        <v>0</v>
      </c>
      <c r="CU28" s="47">
        <v>0</v>
      </c>
      <c r="CV28" s="47">
        <v>0</v>
      </c>
      <c r="CW28" s="47">
        <v>0</v>
      </c>
      <c r="CX28" s="47">
        <v>0</v>
      </c>
      <c r="CY28" s="47">
        <v>0</v>
      </c>
      <c r="CZ28" s="47">
        <v>0</v>
      </c>
      <c r="DA28" s="47">
        <v>0</v>
      </c>
      <c r="DB28" s="47">
        <v>0</v>
      </c>
      <c r="DC28" s="47">
        <v>0</v>
      </c>
      <c r="DD28" s="47">
        <v>0</v>
      </c>
      <c r="DE28" s="47">
        <v>0</v>
      </c>
      <c r="DF28" s="47">
        <v>0</v>
      </c>
      <c r="DG28" s="47">
        <v>0</v>
      </c>
      <c r="DH28" s="47">
        <v>0</v>
      </c>
      <c r="DI28" s="47">
        <v>0</v>
      </c>
      <c r="DJ28" s="47">
        <v>0</v>
      </c>
      <c r="DK28" s="47">
        <v>0</v>
      </c>
      <c r="DL28" s="47">
        <v>0</v>
      </c>
      <c r="DM28" s="47">
        <v>0</v>
      </c>
      <c r="DN28" s="47">
        <v>0</v>
      </c>
      <c r="DO28" s="47">
        <v>0</v>
      </c>
      <c r="DP28" s="47">
        <v>0</v>
      </c>
      <c r="DQ28" s="47">
        <v>0</v>
      </c>
      <c r="DR28" s="47">
        <v>0</v>
      </c>
      <c r="DS28" s="47">
        <v>0</v>
      </c>
      <c r="DT28" s="47">
        <v>0</v>
      </c>
      <c r="DU28" s="47">
        <v>0.15</v>
      </c>
      <c r="DV28" s="47">
        <v>0</v>
      </c>
      <c r="DW28" s="47">
        <v>0</v>
      </c>
      <c r="DX28" s="47">
        <v>0</v>
      </c>
      <c r="DY28" s="47">
        <v>0.15</v>
      </c>
      <c r="DZ28" s="47"/>
      <c r="EA28" s="47">
        <v>1</v>
      </c>
      <c r="ZZ28" t="s">
        <v>1084</v>
      </c>
    </row>
    <row r="29" spans="1:702" x14ac:dyDescent="0.25">
      <c r="A29" s="47" t="s">
        <v>284</v>
      </c>
      <c r="B29" s="47" t="s">
        <v>151</v>
      </c>
      <c r="C29" s="47" t="s">
        <v>155</v>
      </c>
      <c r="D29" s="47" t="s">
        <v>151</v>
      </c>
      <c r="E29" s="47" t="s">
        <v>285</v>
      </c>
      <c r="F29" s="47" t="s">
        <v>282</v>
      </c>
      <c r="G29" s="47"/>
      <c r="H29" s="47" t="s">
        <v>161</v>
      </c>
      <c r="I29" s="47" t="s">
        <v>207</v>
      </c>
      <c r="J29" s="47" t="str">
        <f>=IFERROR(VLOOKUP(H29&amp;I29,Table_Fonctions!A:G,6,FALSE),"")</f>
        <v>0</v>
      </c>
      <c r="K29" s="47" t="s">
        <v>1088</v>
      </c>
      <c r="L29" s="47" t="str">
        <f>=IFERROR(VLOOKUP(H29&amp;I29,Table_Fonctions!A:G,7,FALSE),K29)</f>
        <v/>
      </c>
      <c r="M29" s="47" t="str">
        <f>=IF(OR(LEFT(D29, 3)="TJ ", LEFT(D29, 4)="CPH "), "OUI", "NON")</f>
        <v/>
      </c>
      <c r="N29" s="47" t="s">
        <v>283</v>
      </c>
      <c r="O29" s="47"/>
      <c r="P29" s="47">
        <v>0.8</v>
      </c>
      <c r="Q29" s="47">
        <v>0.8</v>
      </c>
      <c r="R29" s="47">
        <v>0</v>
      </c>
      <c r="S29" s="47">
        <f>=ROUND(BQ29-(BR29+BS29),3)</f>
      </c>
      <c r="T29" s="47">
        <f>=ROUND(CK29-(CL29+CM29+CN29+CO29+CP29),3)</f>
      </c>
      <c r="U29" s="47">
        <v>0</v>
      </c>
      <c r="V29" s="47">
        <v>0</v>
      </c>
      <c r="W29" s="47">
        <v>0</v>
      </c>
      <c r="X29" s="47">
        <v>0</v>
      </c>
      <c r="Y29" s="47">
        <v>0</v>
      </c>
      <c r="Z29" s="47">
        <v>0</v>
      </c>
      <c r="AA29" s="47">
        <v>0</v>
      </c>
      <c r="AB29" s="47">
        <v>0</v>
      </c>
      <c r="AC29" s="47">
        <v>0</v>
      </c>
      <c r="AD29" s="47">
        <v>0</v>
      </c>
      <c r="AE29" s="47">
        <v>0</v>
      </c>
      <c r="AF29" s="47">
        <v>0</v>
      </c>
      <c r="AG29" s="47">
        <v>0</v>
      </c>
      <c r="AH29" s="47">
        <v>0</v>
      </c>
      <c r="AI29" s="47">
        <v>0</v>
      </c>
      <c r="AJ29" s="47">
        <v>0.8</v>
      </c>
      <c r="AK29" s="47">
        <v>0</v>
      </c>
      <c r="AL29" s="47">
        <v>0</v>
      </c>
      <c r="AM29" s="47">
        <v>0</v>
      </c>
      <c r="AN29" s="47">
        <v>0</v>
      </c>
      <c r="AO29" s="47">
        <v>0</v>
      </c>
      <c r="AP29" s="47">
        <v>0</v>
      </c>
      <c r="AQ29" s="47">
        <v>0</v>
      </c>
      <c r="AR29" s="47">
        <v>0</v>
      </c>
      <c r="AS29" s="47">
        <v>0</v>
      </c>
      <c r="AT29" s="47">
        <v>0</v>
      </c>
      <c r="AU29" s="47">
        <v>0</v>
      </c>
      <c r="AV29" s="47">
        <v>0</v>
      </c>
      <c r="AW29" s="47">
        <v>0</v>
      </c>
      <c r="AX29" s="47">
        <v>0</v>
      </c>
      <c r="AY29" s="47">
        <v>0</v>
      </c>
      <c r="AZ29" s="47">
        <v>0</v>
      </c>
      <c r="BA29" s="47">
        <v>0</v>
      </c>
      <c r="BB29" s="47">
        <v>0</v>
      </c>
      <c r="BC29" s="47">
        <v>0</v>
      </c>
      <c r="BD29" s="47">
        <v>0</v>
      </c>
      <c r="BE29" s="47">
        <v>0</v>
      </c>
      <c r="BF29" s="47">
        <v>0</v>
      </c>
      <c r="BG29" s="47">
        <v>0</v>
      </c>
      <c r="BH29" s="47">
        <v>0</v>
      </c>
      <c r="BI29" s="47">
        <v>0</v>
      </c>
      <c r="BJ29" s="47">
        <v>0</v>
      </c>
      <c r="BK29" s="47">
        <v>0</v>
      </c>
      <c r="BL29" s="47">
        <v>0</v>
      </c>
      <c r="BM29" s="47">
        <v>0</v>
      </c>
      <c r="BN29" s="47">
        <v>0</v>
      </c>
      <c r="BO29" s="47">
        <v>0</v>
      </c>
      <c r="BP29" s="47">
        <v>0</v>
      </c>
      <c r="BQ29" s="47">
        <v>0</v>
      </c>
      <c r="BR29" s="47">
        <v>0</v>
      </c>
      <c r="BS29" s="47">
        <v>0</v>
      </c>
      <c r="BT29" s="47">
        <v>0</v>
      </c>
      <c r="BU29" s="47">
        <v>0</v>
      </c>
      <c r="BV29" s="47">
        <v>0</v>
      </c>
      <c r="BW29" s="47">
        <v>0</v>
      </c>
      <c r="BX29" s="47">
        <v>0</v>
      </c>
      <c r="BY29" s="47">
        <v>0</v>
      </c>
      <c r="BZ29" s="47">
        <v>0</v>
      </c>
      <c r="CA29" s="47">
        <v>0</v>
      </c>
      <c r="CB29" s="47">
        <v>0</v>
      </c>
      <c r="CC29" s="47">
        <v>0</v>
      </c>
      <c r="CD29" s="47">
        <v>0</v>
      </c>
      <c r="CE29" s="47">
        <v>0</v>
      </c>
      <c r="CF29" s="47">
        <v>0</v>
      </c>
      <c r="CG29" s="47">
        <v>0</v>
      </c>
      <c r="CH29" s="47">
        <v>0</v>
      </c>
      <c r="CI29" s="47">
        <v>0</v>
      </c>
      <c r="CJ29" s="47">
        <v>0</v>
      </c>
      <c r="CK29" s="47">
        <v>0</v>
      </c>
      <c r="CL29" s="47">
        <v>0</v>
      </c>
      <c r="CM29" s="47">
        <v>0</v>
      </c>
      <c r="CN29" s="47">
        <v>0</v>
      </c>
      <c r="CO29" s="47">
        <v>0</v>
      </c>
      <c r="CP29" s="47">
        <v>0</v>
      </c>
      <c r="CQ29" s="47">
        <v>0</v>
      </c>
      <c r="CR29" s="47">
        <v>0</v>
      </c>
      <c r="CS29" s="47">
        <v>0</v>
      </c>
      <c r="CT29" s="47">
        <v>0</v>
      </c>
      <c r="CU29" s="47">
        <v>0</v>
      </c>
      <c r="CV29" s="47">
        <v>0</v>
      </c>
      <c r="CW29" s="47">
        <v>0</v>
      </c>
      <c r="CX29" s="47">
        <v>0</v>
      </c>
      <c r="CY29" s="47">
        <v>0</v>
      </c>
      <c r="CZ29" s="47">
        <v>0</v>
      </c>
      <c r="DA29" s="47">
        <v>0</v>
      </c>
      <c r="DB29" s="47">
        <v>0</v>
      </c>
      <c r="DC29" s="47">
        <v>0</v>
      </c>
      <c r="DD29" s="47">
        <v>0</v>
      </c>
      <c r="DE29" s="47">
        <v>0</v>
      </c>
      <c r="DF29" s="47">
        <v>0</v>
      </c>
      <c r="DG29" s="47">
        <v>0</v>
      </c>
      <c r="DH29" s="47">
        <v>0</v>
      </c>
      <c r="DI29" s="47">
        <v>0</v>
      </c>
      <c r="DJ29" s="47">
        <v>0</v>
      </c>
      <c r="DK29" s="47">
        <v>0.2</v>
      </c>
      <c r="DL29" s="47">
        <v>0</v>
      </c>
      <c r="DM29" s="47">
        <v>0</v>
      </c>
      <c r="DN29" s="47">
        <v>0</v>
      </c>
      <c r="DO29" s="47">
        <v>0</v>
      </c>
      <c r="DP29" s="47">
        <v>0</v>
      </c>
      <c r="DQ29" s="47">
        <v>0</v>
      </c>
      <c r="DR29" s="47">
        <v>0.2</v>
      </c>
      <c r="DS29" s="47">
        <v>0</v>
      </c>
      <c r="DT29" s="47">
        <v>0</v>
      </c>
      <c r="DU29" s="47">
        <v>0</v>
      </c>
      <c r="DV29" s="47">
        <v>0</v>
      </c>
      <c r="DW29" s="47">
        <v>0</v>
      </c>
      <c r="DX29" s="47">
        <v>0</v>
      </c>
      <c r="DY29" s="47">
        <v>0</v>
      </c>
      <c r="DZ29" s="47"/>
      <c r="EA29" s="47">
        <v>1</v>
      </c>
      <c r="ZZ29" t="s">
        <v>1084</v>
      </c>
    </row>
    <row r="30" spans="1:702" x14ac:dyDescent="0.25">
      <c r="A30" s="47" t="s">
        <v>286</v>
      </c>
      <c r="B30" s="47" t="s">
        <v>151</v>
      </c>
      <c r="C30" s="47" t="s">
        <v>155</v>
      </c>
      <c r="D30" s="47" t="s">
        <v>151</v>
      </c>
      <c r="E30" s="47" t="s">
        <v>287</v>
      </c>
      <c r="F30" s="47" t="s">
        <v>282</v>
      </c>
      <c r="G30" s="47"/>
      <c r="H30" s="47" t="s">
        <v>161</v>
      </c>
      <c r="I30" s="47" t="s">
        <v>207</v>
      </c>
      <c r="J30" s="47" t="str">
        <f>=IFERROR(VLOOKUP(H30&amp;I30,Table_Fonctions!A:G,6,FALSE),"")</f>
        <v>0</v>
      </c>
      <c r="K30" s="47" t="s">
        <v>1088</v>
      </c>
      <c r="L30" s="47" t="str">
        <f>=IFERROR(VLOOKUP(H30&amp;I30,Table_Fonctions!A:G,7,FALSE),K30)</f>
        <v/>
      </c>
      <c r="M30" s="47" t="str">
        <f>=IF(OR(LEFT(D30, 3)="TJ ", LEFT(D30, 4)="CPH "), "OUI", "NON")</f>
        <v/>
      </c>
      <c r="N30" s="47" t="s">
        <v>283</v>
      </c>
      <c r="O30" s="47"/>
      <c r="P30" s="47">
        <v>1</v>
      </c>
      <c r="Q30" s="47">
        <v>1</v>
      </c>
      <c r="R30" s="47">
        <v>0</v>
      </c>
      <c r="S30" s="47">
        <f>=ROUND(BQ30-(BR30+BS30),3)</f>
      </c>
      <c r="T30" s="47">
        <f>=ROUND(CK30-(CL30+CM30+CN30+CO30+CP30),3)</f>
      </c>
      <c r="U30" s="47">
        <v>0</v>
      </c>
      <c r="V30" s="47">
        <v>0</v>
      </c>
      <c r="W30" s="47">
        <v>0</v>
      </c>
      <c r="X30" s="47">
        <v>0</v>
      </c>
      <c r="Y30" s="47">
        <v>0</v>
      </c>
      <c r="Z30" s="47">
        <v>0</v>
      </c>
      <c r="AA30" s="47">
        <v>0</v>
      </c>
      <c r="AB30" s="47">
        <v>0</v>
      </c>
      <c r="AC30" s="47">
        <v>0</v>
      </c>
      <c r="AD30" s="47">
        <v>0</v>
      </c>
      <c r="AE30" s="47">
        <v>0</v>
      </c>
      <c r="AF30" s="47">
        <v>0</v>
      </c>
      <c r="AG30" s="47">
        <v>0</v>
      </c>
      <c r="AH30" s="47">
        <v>0</v>
      </c>
      <c r="AI30" s="47">
        <v>0</v>
      </c>
      <c r="AJ30" s="47">
        <v>1</v>
      </c>
      <c r="AK30" s="47">
        <v>0</v>
      </c>
      <c r="AL30" s="47">
        <v>0</v>
      </c>
      <c r="AM30" s="47">
        <v>0</v>
      </c>
      <c r="AN30" s="47">
        <v>0</v>
      </c>
      <c r="AO30" s="47">
        <v>0</v>
      </c>
      <c r="AP30" s="47">
        <v>0</v>
      </c>
      <c r="AQ30" s="47">
        <v>0</v>
      </c>
      <c r="AR30" s="47">
        <v>0</v>
      </c>
      <c r="AS30" s="47">
        <v>0</v>
      </c>
      <c r="AT30" s="47">
        <v>0</v>
      </c>
      <c r="AU30" s="47">
        <v>0</v>
      </c>
      <c r="AV30" s="47">
        <v>0</v>
      </c>
      <c r="AW30" s="47">
        <v>0</v>
      </c>
      <c r="AX30" s="47">
        <v>0</v>
      </c>
      <c r="AY30" s="47">
        <v>0</v>
      </c>
      <c r="AZ30" s="47">
        <v>0</v>
      </c>
      <c r="BA30" s="47">
        <v>0</v>
      </c>
      <c r="BB30" s="47">
        <v>0</v>
      </c>
      <c r="BC30" s="47">
        <v>0</v>
      </c>
      <c r="BD30" s="47">
        <v>0</v>
      </c>
      <c r="BE30" s="47">
        <v>0</v>
      </c>
      <c r="BF30" s="47">
        <v>0</v>
      </c>
      <c r="BG30" s="47">
        <v>0</v>
      </c>
      <c r="BH30" s="47">
        <v>0</v>
      </c>
      <c r="BI30" s="47">
        <v>0</v>
      </c>
      <c r="BJ30" s="47">
        <v>0</v>
      </c>
      <c r="BK30" s="47">
        <v>0</v>
      </c>
      <c r="BL30" s="47">
        <v>0</v>
      </c>
      <c r="BM30" s="47">
        <v>0</v>
      </c>
      <c r="BN30" s="47">
        <v>0</v>
      </c>
      <c r="BO30" s="47">
        <v>0</v>
      </c>
      <c r="BP30" s="47">
        <v>0</v>
      </c>
      <c r="BQ30" s="47">
        <v>0</v>
      </c>
      <c r="BR30" s="47">
        <v>0</v>
      </c>
      <c r="BS30" s="47">
        <v>0</v>
      </c>
      <c r="BT30" s="47">
        <v>0</v>
      </c>
      <c r="BU30" s="47">
        <v>0</v>
      </c>
      <c r="BV30" s="47">
        <v>0</v>
      </c>
      <c r="BW30" s="47">
        <v>0</v>
      </c>
      <c r="BX30" s="47">
        <v>0</v>
      </c>
      <c r="BY30" s="47">
        <v>0</v>
      </c>
      <c r="BZ30" s="47">
        <v>0</v>
      </c>
      <c r="CA30" s="47">
        <v>0</v>
      </c>
      <c r="CB30" s="47">
        <v>0</v>
      </c>
      <c r="CC30" s="47">
        <v>0</v>
      </c>
      <c r="CD30" s="47">
        <v>0</v>
      </c>
      <c r="CE30" s="47">
        <v>0</v>
      </c>
      <c r="CF30" s="47">
        <v>0</v>
      </c>
      <c r="CG30" s="47">
        <v>0</v>
      </c>
      <c r="CH30" s="47">
        <v>0</v>
      </c>
      <c r="CI30" s="47">
        <v>0</v>
      </c>
      <c r="CJ30" s="47">
        <v>0</v>
      </c>
      <c r="CK30" s="47">
        <v>0</v>
      </c>
      <c r="CL30" s="47">
        <v>0</v>
      </c>
      <c r="CM30" s="47">
        <v>0</v>
      </c>
      <c r="CN30" s="47">
        <v>0</v>
      </c>
      <c r="CO30" s="47">
        <v>0</v>
      </c>
      <c r="CP30" s="47">
        <v>0</v>
      </c>
      <c r="CQ30" s="47">
        <v>0</v>
      </c>
      <c r="CR30" s="47">
        <v>0</v>
      </c>
      <c r="CS30" s="47">
        <v>0</v>
      </c>
      <c r="CT30" s="47">
        <v>0</v>
      </c>
      <c r="CU30" s="47">
        <v>0</v>
      </c>
      <c r="CV30" s="47">
        <v>0</v>
      </c>
      <c r="CW30" s="47">
        <v>0</v>
      </c>
      <c r="CX30" s="47">
        <v>0</v>
      </c>
      <c r="CY30" s="47">
        <v>0</v>
      </c>
      <c r="CZ30" s="47">
        <v>0</v>
      </c>
      <c r="DA30" s="47">
        <v>0</v>
      </c>
      <c r="DB30" s="47">
        <v>0</v>
      </c>
      <c r="DC30" s="47">
        <v>0</v>
      </c>
      <c r="DD30" s="47">
        <v>0</v>
      </c>
      <c r="DE30" s="47">
        <v>0</v>
      </c>
      <c r="DF30" s="47">
        <v>0</v>
      </c>
      <c r="DG30" s="47">
        <v>0</v>
      </c>
      <c r="DH30" s="47">
        <v>0</v>
      </c>
      <c r="DI30" s="47">
        <v>0</v>
      </c>
      <c r="DJ30" s="47">
        <v>0</v>
      </c>
      <c r="DK30" s="47">
        <v>0</v>
      </c>
      <c r="DL30" s="47">
        <v>0</v>
      </c>
      <c r="DM30" s="47">
        <v>0</v>
      </c>
      <c r="DN30" s="47">
        <v>0</v>
      </c>
      <c r="DO30" s="47">
        <v>0</v>
      </c>
      <c r="DP30" s="47">
        <v>0</v>
      </c>
      <c r="DQ30" s="47">
        <v>0</v>
      </c>
      <c r="DR30" s="47">
        <v>0</v>
      </c>
      <c r="DS30" s="47">
        <v>0</v>
      </c>
      <c r="DT30" s="47">
        <v>0</v>
      </c>
      <c r="DU30" s="47">
        <v>0</v>
      </c>
      <c r="DV30" s="47">
        <v>0</v>
      </c>
      <c r="DW30" s="47">
        <v>0</v>
      </c>
      <c r="DX30" s="47">
        <v>0</v>
      </c>
      <c r="DY30" s="47">
        <v>0</v>
      </c>
      <c r="DZ30" s="47"/>
      <c r="EA30" s="47">
        <v>1</v>
      </c>
      <c r="ZZ30" t="s">
        <v>1084</v>
      </c>
    </row>
    <row r="31" spans="1:702" x14ac:dyDescent="0.25">
      <c r="A31" s="47" t="s">
        <v>288</v>
      </c>
      <c r="B31" s="47" t="s">
        <v>151</v>
      </c>
      <c r="C31" s="47" t="s">
        <v>155</v>
      </c>
      <c r="D31" s="47" t="s">
        <v>151</v>
      </c>
      <c r="E31" s="47" t="s">
        <v>289</v>
      </c>
      <c r="F31" s="47" t="s">
        <v>282</v>
      </c>
      <c r="G31" s="47"/>
      <c r="H31" s="47" t="s">
        <v>161</v>
      </c>
      <c r="I31" s="47" t="s">
        <v>207</v>
      </c>
      <c r="J31" s="47" t="str">
        <f>=IFERROR(VLOOKUP(H31&amp;I31,Table_Fonctions!A:G,6,FALSE),"")</f>
        <v>0</v>
      </c>
      <c r="K31" s="47" t="s">
        <v>1088</v>
      </c>
      <c r="L31" s="47" t="str">
        <f>=IFERROR(VLOOKUP(H31&amp;I31,Table_Fonctions!A:G,7,FALSE),K31)</f>
        <v/>
      </c>
      <c r="M31" s="47" t="str">
        <f>=IF(OR(LEFT(D31, 3)="TJ ", LEFT(D31, 4)="CPH "), "OUI", "NON")</f>
        <v/>
      </c>
      <c r="N31" s="47" t="s">
        <v>283</v>
      </c>
      <c r="O31" s="47"/>
      <c r="P31" s="47">
        <v>0.85</v>
      </c>
      <c r="Q31" s="47">
        <v>0.85</v>
      </c>
      <c r="R31" s="47">
        <v>0</v>
      </c>
      <c r="S31" s="47">
        <f>=ROUND(BQ31-(BR31+BS31),3)</f>
      </c>
      <c r="T31" s="47">
        <f>=ROUND(CK31-(CL31+CM31+CN31+CO31+CP31),3)</f>
      </c>
      <c r="U31" s="47">
        <v>0</v>
      </c>
      <c r="V31" s="47">
        <v>0</v>
      </c>
      <c r="W31" s="47">
        <v>0</v>
      </c>
      <c r="X31" s="47">
        <v>0</v>
      </c>
      <c r="Y31" s="47">
        <v>0</v>
      </c>
      <c r="Z31" s="47">
        <v>0</v>
      </c>
      <c r="AA31" s="47">
        <v>0</v>
      </c>
      <c r="AB31" s="47">
        <v>0</v>
      </c>
      <c r="AC31" s="47">
        <v>0</v>
      </c>
      <c r="AD31" s="47">
        <v>0</v>
      </c>
      <c r="AE31" s="47">
        <v>0</v>
      </c>
      <c r="AF31" s="47">
        <v>0</v>
      </c>
      <c r="AG31" s="47">
        <v>0</v>
      </c>
      <c r="AH31" s="47">
        <v>0</v>
      </c>
      <c r="AI31" s="47">
        <v>0</v>
      </c>
      <c r="AJ31" s="47">
        <v>0.85</v>
      </c>
      <c r="AK31" s="47">
        <v>0</v>
      </c>
      <c r="AL31" s="47">
        <v>0</v>
      </c>
      <c r="AM31" s="47">
        <v>0</v>
      </c>
      <c r="AN31" s="47">
        <v>0</v>
      </c>
      <c r="AO31" s="47">
        <v>0</v>
      </c>
      <c r="AP31" s="47">
        <v>0</v>
      </c>
      <c r="AQ31" s="47">
        <v>0</v>
      </c>
      <c r="AR31" s="47">
        <v>0</v>
      </c>
      <c r="AS31" s="47">
        <v>0</v>
      </c>
      <c r="AT31" s="47">
        <v>0</v>
      </c>
      <c r="AU31" s="47">
        <v>0</v>
      </c>
      <c r="AV31" s="47">
        <v>0</v>
      </c>
      <c r="AW31" s="47">
        <v>0</v>
      </c>
      <c r="AX31" s="47">
        <v>0</v>
      </c>
      <c r="AY31" s="47">
        <v>0</v>
      </c>
      <c r="AZ31" s="47">
        <v>0</v>
      </c>
      <c r="BA31" s="47">
        <v>0</v>
      </c>
      <c r="BB31" s="47">
        <v>0</v>
      </c>
      <c r="BC31" s="47">
        <v>0</v>
      </c>
      <c r="BD31" s="47">
        <v>0</v>
      </c>
      <c r="BE31" s="47">
        <v>0</v>
      </c>
      <c r="BF31" s="47">
        <v>0</v>
      </c>
      <c r="BG31" s="47">
        <v>0</v>
      </c>
      <c r="BH31" s="47">
        <v>0</v>
      </c>
      <c r="BI31" s="47">
        <v>0</v>
      </c>
      <c r="BJ31" s="47">
        <v>0</v>
      </c>
      <c r="BK31" s="47">
        <v>0</v>
      </c>
      <c r="BL31" s="47">
        <v>0</v>
      </c>
      <c r="BM31" s="47">
        <v>0</v>
      </c>
      <c r="BN31" s="47">
        <v>0</v>
      </c>
      <c r="BO31" s="47">
        <v>0</v>
      </c>
      <c r="BP31" s="47">
        <v>0</v>
      </c>
      <c r="BQ31" s="47">
        <v>0</v>
      </c>
      <c r="BR31" s="47">
        <v>0</v>
      </c>
      <c r="BS31" s="47">
        <v>0</v>
      </c>
      <c r="BT31" s="47">
        <v>0</v>
      </c>
      <c r="BU31" s="47">
        <v>0</v>
      </c>
      <c r="BV31" s="47">
        <v>0</v>
      </c>
      <c r="BW31" s="47">
        <v>0</v>
      </c>
      <c r="BX31" s="47">
        <v>0</v>
      </c>
      <c r="BY31" s="47">
        <v>0</v>
      </c>
      <c r="BZ31" s="47">
        <v>0</v>
      </c>
      <c r="CA31" s="47">
        <v>0</v>
      </c>
      <c r="CB31" s="47">
        <v>0</v>
      </c>
      <c r="CC31" s="47">
        <v>0</v>
      </c>
      <c r="CD31" s="47">
        <v>0</v>
      </c>
      <c r="CE31" s="47">
        <v>0</v>
      </c>
      <c r="CF31" s="47">
        <v>0</v>
      </c>
      <c r="CG31" s="47">
        <v>0</v>
      </c>
      <c r="CH31" s="47">
        <v>0</v>
      </c>
      <c r="CI31" s="47">
        <v>0</v>
      </c>
      <c r="CJ31" s="47">
        <v>0</v>
      </c>
      <c r="CK31" s="47">
        <v>0</v>
      </c>
      <c r="CL31" s="47">
        <v>0</v>
      </c>
      <c r="CM31" s="47">
        <v>0</v>
      </c>
      <c r="CN31" s="47">
        <v>0</v>
      </c>
      <c r="CO31" s="47">
        <v>0</v>
      </c>
      <c r="CP31" s="47">
        <v>0</v>
      </c>
      <c r="CQ31" s="47">
        <v>0</v>
      </c>
      <c r="CR31" s="47">
        <v>0</v>
      </c>
      <c r="CS31" s="47">
        <v>0</v>
      </c>
      <c r="CT31" s="47">
        <v>0</v>
      </c>
      <c r="CU31" s="47">
        <v>0</v>
      </c>
      <c r="CV31" s="47">
        <v>0</v>
      </c>
      <c r="CW31" s="47">
        <v>0</v>
      </c>
      <c r="CX31" s="47">
        <v>0</v>
      </c>
      <c r="CY31" s="47">
        <v>0</v>
      </c>
      <c r="CZ31" s="47">
        <v>0</v>
      </c>
      <c r="DA31" s="47">
        <v>0</v>
      </c>
      <c r="DB31" s="47">
        <v>0</v>
      </c>
      <c r="DC31" s="47">
        <v>0</v>
      </c>
      <c r="DD31" s="47">
        <v>0</v>
      </c>
      <c r="DE31" s="47">
        <v>0</v>
      </c>
      <c r="DF31" s="47">
        <v>0</v>
      </c>
      <c r="DG31" s="47">
        <v>0</v>
      </c>
      <c r="DH31" s="47">
        <v>0</v>
      </c>
      <c r="DI31" s="47">
        <v>0</v>
      </c>
      <c r="DJ31" s="47">
        <v>0</v>
      </c>
      <c r="DK31" s="47">
        <v>0.15</v>
      </c>
      <c r="DL31" s="47">
        <v>0</v>
      </c>
      <c r="DM31" s="47">
        <v>0</v>
      </c>
      <c r="DN31" s="47">
        <v>0</v>
      </c>
      <c r="DO31" s="47">
        <v>0</v>
      </c>
      <c r="DP31" s="47">
        <v>0</v>
      </c>
      <c r="DQ31" s="47">
        <v>0</v>
      </c>
      <c r="DR31" s="47">
        <v>0</v>
      </c>
      <c r="DS31" s="47">
        <v>0.15</v>
      </c>
      <c r="DT31" s="47">
        <v>0</v>
      </c>
      <c r="DU31" s="47">
        <v>0</v>
      </c>
      <c r="DV31" s="47">
        <v>0</v>
      </c>
      <c r="DW31" s="47">
        <v>0</v>
      </c>
      <c r="DX31" s="47">
        <v>0</v>
      </c>
      <c r="DY31" s="47">
        <v>0</v>
      </c>
      <c r="DZ31" s="47"/>
      <c r="EA31" s="47">
        <v>1</v>
      </c>
      <c r="ZZ31" t="s">
        <v>1084</v>
      </c>
    </row>
    <row r="32" spans="1:702" x14ac:dyDescent="0.25">
      <c r="A32" s="47" t="s">
        <v>290</v>
      </c>
      <c r="B32" s="47" t="s">
        <v>151</v>
      </c>
      <c r="C32" s="47" t="s">
        <v>155</v>
      </c>
      <c r="D32" s="47" t="s">
        <v>151</v>
      </c>
      <c r="E32" s="47" t="s">
        <v>291</v>
      </c>
      <c r="F32" s="47" t="s">
        <v>282</v>
      </c>
      <c r="G32" s="47"/>
      <c r="H32" s="47" t="s">
        <v>161</v>
      </c>
      <c r="I32" s="47" t="s">
        <v>207</v>
      </c>
      <c r="J32" s="47" t="str">
        <f>=IFERROR(VLOOKUP(H32&amp;I32,Table_Fonctions!A:G,6,FALSE),"")</f>
        <v>0</v>
      </c>
      <c r="K32" s="47" t="s">
        <v>1088</v>
      </c>
      <c r="L32" s="47" t="str">
        <f>=IFERROR(VLOOKUP(H32&amp;I32,Table_Fonctions!A:G,7,FALSE),K32)</f>
        <v/>
      </c>
      <c r="M32" s="47" t="str">
        <f>=IF(OR(LEFT(D32, 3)="TJ ", LEFT(D32, 4)="CPH "), "OUI", "NON")</f>
        <v/>
      </c>
      <c r="N32" s="47" t="s">
        <v>283</v>
      </c>
      <c r="O32" s="47"/>
      <c r="P32" s="47">
        <v>1</v>
      </c>
      <c r="Q32" s="47">
        <v>1</v>
      </c>
      <c r="R32" s="47">
        <v>0</v>
      </c>
      <c r="S32" s="47">
        <f>=ROUND(BQ32-(BR32+BS32),3)</f>
      </c>
      <c r="T32" s="47">
        <f>=ROUND(CK32-(CL32+CM32+CN32+CO32+CP32),3)</f>
      </c>
      <c r="U32" s="47">
        <v>0</v>
      </c>
      <c r="V32" s="47">
        <v>0</v>
      </c>
      <c r="W32" s="47">
        <v>0</v>
      </c>
      <c r="X32" s="47">
        <v>0</v>
      </c>
      <c r="Y32" s="47">
        <v>0</v>
      </c>
      <c r="Z32" s="47">
        <v>0.4</v>
      </c>
      <c r="AA32" s="47">
        <v>0</v>
      </c>
      <c r="AB32" s="47">
        <v>0</v>
      </c>
      <c r="AC32" s="47">
        <v>0</v>
      </c>
      <c r="AD32" s="47">
        <v>0</v>
      </c>
      <c r="AE32" s="47">
        <v>0</v>
      </c>
      <c r="AF32" s="47">
        <v>0</v>
      </c>
      <c r="AG32" s="47">
        <v>0</v>
      </c>
      <c r="AH32" s="47">
        <v>0</v>
      </c>
      <c r="AI32" s="47">
        <v>0</v>
      </c>
      <c r="AJ32" s="47">
        <v>0.6</v>
      </c>
      <c r="AK32" s="47">
        <v>0</v>
      </c>
      <c r="AL32" s="47">
        <v>0</v>
      </c>
      <c r="AM32" s="47">
        <v>0</v>
      </c>
      <c r="AN32" s="47">
        <v>0</v>
      </c>
      <c r="AO32" s="47">
        <v>0</v>
      </c>
      <c r="AP32" s="47">
        <v>0</v>
      </c>
      <c r="AQ32" s="47">
        <v>0</v>
      </c>
      <c r="AR32" s="47">
        <v>0</v>
      </c>
      <c r="AS32" s="47">
        <v>0</v>
      </c>
      <c r="AT32" s="47">
        <v>0</v>
      </c>
      <c r="AU32" s="47">
        <v>0</v>
      </c>
      <c r="AV32" s="47">
        <v>0</v>
      </c>
      <c r="AW32" s="47">
        <v>0</v>
      </c>
      <c r="AX32" s="47">
        <v>0</v>
      </c>
      <c r="AY32" s="47">
        <v>0</v>
      </c>
      <c r="AZ32" s="47">
        <v>0</v>
      </c>
      <c r="BA32" s="47">
        <v>0</v>
      </c>
      <c r="BB32" s="47">
        <v>0</v>
      </c>
      <c r="BC32" s="47">
        <v>0</v>
      </c>
      <c r="BD32" s="47">
        <v>0</v>
      </c>
      <c r="BE32" s="47">
        <v>0</v>
      </c>
      <c r="BF32" s="47">
        <v>0</v>
      </c>
      <c r="BG32" s="47">
        <v>0</v>
      </c>
      <c r="BH32" s="47">
        <v>0</v>
      </c>
      <c r="BI32" s="47">
        <v>0</v>
      </c>
      <c r="BJ32" s="47">
        <v>0</v>
      </c>
      <c r="BK32" s="47">
        <v>0</v>
      </c>
      <c r="BL32" s="47">
        <v>0</v>
      </c>
      <c r="BM32" s="47">
        <v>0</v>
      </c>
      <c r="BN32" s="47">
        <v>0</v>
      </c>
      <c r="BO32" s="47">
        <v>0</v>
      </c>
      <c r="BP32" s="47">
        <v>0</v>
      </c>
      <c r="BQ32" s="47">
        <v>0</v>
      </c>
      <c r="BR32" s="47">
        <v>0</v>
      </c>
      <c r="BS32" s="47">
        <v>0</v>
      </c>
      <c r="BT32" s="47">
        <v>0</v>
      </c>
      <c r="BU32" s="47">
        <v>0</v>
      </c>
      <c r="BV32" s="47">
        <v>0</v>
      </c>
      <c r="BW32" s="47">
        <v>0</v>
      </c>
      <c r="BX32" s="47">
        <v>0</v>
      </c>
      <c r="BY32" s="47">
        <v>0</v>
      </c>
      <c r="BZ32" s="47">
        <v>0</v>
      </c>
      <c r="CA32" s="47">
        <v>0</v>
      </c>
      <c r="CB32" s="47">
        <v>0</v>
      </c>
      <c r="CC32" s="47">
        <v>0</v>
      </c>
      <c r="CD32" s="47">
        <v>0</v>
      </c>
      <c r="CE32" s="47">
        <v>0</v>
      </c>
      <c r="CF32" s="47">
        <v>0</v>
      </c>
      <c r="CG32" s="47">
        <v>0</v>
      </c>
      <c r="CH32" s="47">
        <v>0</v>
      </c>
      <c r="CI32" s="47">
        <v>0</v>
      </c>
      <c r="CJ32" s="47">
        <v>0</v>
      </c>
      <c r="CK32" s="47">
        <v>0</v>
      </c>
      <c r="CL32" s="47">
        <v>0</v>
      </c>
      <c r="CM32" s="47">
        <v>0</v>
      </c>
      <c r="CN32" s="47">
        <v>0</v>
      </c>
      <c r="CO32" s="47">
        <v>0</v>
      </c>
      <c r="CP32" s="47">
        <v>0</v>
      </c>
      <c r="CQ32" s="47">
        <v>0</v>
      </c>
      <c r="CR32" s="47">
        <v>0</v>
      </c>
      <c r="CS32" s="47">
        <v>0</v>
      </c>
      <c r="CT32" s="47">
        <v>0</v>
      </c>
      <c r="CU32" s="47">
        <v>0</v>
      </c>
      <c r="CV32" s="47">
        <v>0</v>
      </c>
      <c r="CW32" s="47">
        <v>0</v>
      </c>
      <c r="CX32" s="47">
        <v>0</v>
      </c>
      <c r="CY32" s="47">
        <v>0</v>
      </c>
      <c r="CZ32" s="47">
        <v>0</v>
      </c>
      <c r="DA32" s="47">
        <v>0</v>
      </c>
      <c r="DB32" s="47">
        <v>0</v>
      </c>
      <c r="DC32" s="47">
        <v>0</v>
      </c>
      <c r="DD32" s="47">
        <v>0</v>
      </c>
      <c r="DE32" s="47">
        <v>0</v>
      </c>
      <c r="DF32" s="47">
        <v>0</v>
      </c>
      <c r="DG32" s="47">
        <v>0</v>
      </c>
      <c r="DH32" s="47">
        <v>0</v>
      </c>
      <c r="DI32" s="47">
        <v>0</v>
      </c>
      <c r="DJ32" s="47">
        <v>0</v>
      </c>
      <c r="DK32" s="47">
        <v>0</v>
      </c>
      <c r="DL32" s="47">
        <v>0</v>
      </c>
      <c r="DM32" s="47">
        <v>0</v>
      </c>
      <c r="DN32" s="47">
        <v>0</v>
      </c>
      <c r="DO32" s="47">
        <v>0</v>
      </c>
      <c r="DP32" s="47">
        <v>0</v>
      </c>
      <c r="DQ32" s="47">
        <v>0</v>
      </c>
      <c r="DR32" s="47">
        <v>0</v>
      </c>
      <c r="DS32" s="47">
        <v>0</v>
      </c>
      <c r="DT32" s="47">
        <v>0</v>
      </c>
      <c r="DU32" s="47">
        <v>0.2</v>
      </c>
      <c r="DV32" s="47">
        <v>0</v>
      </c>
      <c r="DW32" s="47">
        <v>0</v>
      </c>
      <c r="DX32" s="47">
        <v>0</v>
      </c>
      <c r="DY32" s="47">
        <v>0.2</v>
      </c>
      <c r="DZ32" s="47"/>
      <c r="EA32" s="47">
        <v>1</v>
      </c>
      <c r="ZZ32" t="s">
        <v>1084</v>
      </c>
    </row>
    <row r="33" spans="1:702" x14ac:dyDescent="0.25">
      <c r="A33" s="47" t="s">
        <v>292</v>
      </c>
      <c r="B33" s="47" t="s">
        <v>151</v>
      </c>
      <c r="C33" s="47" t="s">
        <v>155</v>
      </c>
      <c r="D33" s="47" t="s">
        <v>151</v>
      </c>
      <c r="E33" s="47" t="s">
        <v>293</v>
      </c>
      <c r="F33" s="47" t="s">
        <v>282</v>
      </c>
      <c r="G33" s="47"/>
      <c r="H33" s="47" t="s">
        <v>161</v>
      </c>
      <c r="I33" s="47" t="s">
        <v>207</v>
      </c>
      <c r="J33" s="47" t="str">
        <f>=IFERROR(VLOOKUP(H33&amp;I33,Table_Fonctions!A:G,6,FALSE),"")</f>
        <v>0</v>
      </c>
      <c r="K33" s="47" t="s">
        <v>1088</v>
      </c>
      <c r="L33" s="47" t="str">
        <f>=IFERROR(VLOOKUP(H33&amp;I33,Table_Fonctions!A:G,7,FALSE),K33)</f>
        <v/>
      </c>
      <c r="M33" s="47" t="str">
        <f>=IF(OR(LEFT(D33, 3)="TJ ", LEFT(D33, 4)="CPH "), "OUI", "NON")</f>
        <v/>
      </c>
      <c r="N33" s="47" t="s">
        <v>283</v>
      </c>
      <c r="O33" s="47"/>
      <c r="P33" s="47">
        <v>0.5333</v>
      </c>
      <c r="Q33" s="47">
        <v>0.5333</v>
      </c>
      <c r="R33" s="47">
        <v>0</v>
      </c>
      <c r="S33" s="47">
        <f>=ROUND(BQ33-(BR33+BS33),3)</f>
      </c>
      <c r="T33" s="47">
        <f>=ROUND(CK33-(CL33+CM33+CN33+CO33+CP33),3)</f>
      </c>
      <c r="U33" s="47">
        <v>0</v>
      </c>
      <c r="V33" s="47">
        <v>0</v>
      </c>
      <c r="W33" s="47">
        <v>0</v>
      </c>
      <c r="X33" s="47">
        <v>0</v>
      </c>
      <c r="Y33" s="47">
        <v>0</v>
      </c>
      <c r="Z33" s="47">
        <v>0</v>
      </c>
      <c r="AA33" s="47">
        <v>0</v>
      </c>
      <c r="AB33" s="47">
        <v>0</v>
      </c>
      <c r="AC33" s="47">
        <v>0</v>
      </c>
      <c r="AD33" s="47">
        <v>0</v>
      </c>
      <c r="AE33" s="47">
        <v>0</v>
      </c>
      <c r="AF33" s="47">
        <v>0</v>
      </c>
      <c r="AG33" s="47">
        <v>0</v>
      </c>
      <c r="AH33" s="47">
        <v>0</v>
      </c>
      <c r="AI33" s="47">
        <v>0</v>
      </c>
      <c r="AJ33" s="47">
        <v>0.5333</v>
      </c>
      <c r="AK33" s="47">
        <v>0</v>
      </c>
      <c r="AL33" s="47">
        <v>0</v>
      </c>
      <c r="AM33" s="47">
        <v>0</v>
      </c>
      <c r="AN33" s="47">
        <v>0</v>
      </c>
      <c r="AO33" s="47">
        <v>0</v>
      </c>
      <c r="AP33" s="47">
        <v>0</v>
      </c>
      <c r="AQ33" s="47">
        <v>0</v>
      </c>
      <c r="AR33" s="47">
        <v>0</v>
      </c>
      <c r="AS33" s="47">
        <v>0</v>
      </c>
      <c r="AT33" s="47">
        <v>0</v>
      </c>
      <c r="AU33" s="47">
        <v>0</v>
      </c>
      <c r="AV33" s="47">
        <v>0</v>
      </c>
      <c r="AW33" s="47">
        <v>0</v>
      </c>
      <c r="AX33" s="47">
        <v>0</v>
      </c>
      <c r="AY33" s="47">
        <v>0</v>
      </c>
      <c r="AZ33" s="47">
        <v>0</v>
      </c>
      <c r="BA33" s="47">
        <v>0</v>
      </c>
      <c r="BB33" s="47">
        <v>0</v>
      </c>
      <c r="BC33" s="47">
        <v>0</v>
      </c>
      <c r="BD33" s="47">
        <v>0</v>
      </c>
      <c r="BE33" s="47">
        <v>0</v>
      </c>
      <c r="BF33" s="47">
        <v>0</v>
      </c>
      <c r="BG33" s="47">
        <v>0</v>
      </c>
      <c r="BH33" s="47">
        <v>0</v>
      </c>
      <c r="BI33" s="47">
        <v>0</v>
      </c>
      <c r="BJ33" s="47">
        <v>0</v>
      </c>
      <c r="BK33" s="47">
        <v>0</v>
      </c>
      <c r="BL33" s="47">
        <v>0</v>
      </c>
      <c r="BM33" s="47">
        <v>0</v>
      </c>
      <c r="BN33" s="47">
        <v>0</v>
      </c>
      <c r="BO33" s="47">
        <v>0</v>
      </c>
      <c r="BP33" s="47">
        <v>0</v>
      </c>
      <c r="BQ33" s="47">
        <v>0</v>
      </c>
      <c r="BR33" s="47">
        <v>0</v>
      </c>
      <c r="BS33" s="47">
        <v>0</v>
      </c>
      <c r="BT33" s="47">
        <v>0</v>
      </c>
      <c r="BU33" s="47">
        <v>0</v>
      </c>
      <c r="BV33" s="47">
        <v>0</v>
      </c>
      <c r="BW33" s="47">
        <v>0</v>
      </c>
      <c r="BX33" s="47">
        <v>0</v>
      </c>
      <c r="BY33" s="47">
        <v>0</v>
      </c>
      <c r="BZ33" s="47">
        <v>0</v>
      </c>
      <c r="CA33" s="47">
        <v>0</v>
      </c>
      <c r="CB33" s="47">
        <v>0</v>
      </c>
      <c r="CC33" s="47">
        <v>0</v>
      </c>
      <c r="CD33" s="47">
        <v>0</v>
      </c>
      <c r="CE33" s="47">
        <v>0</v>
      </c>
      <c r="CF33" s="47">
        <v>0</v>
      </c>
      <c r="CG33" s="47">
        <v>0</v>
      </c>
      <c r="CH33" s="47">
        <v>0</v>
      </c>
      <c r="CI33" s="47">
        <v>0</v>
      </c>
      <c r="CJ33" s="47">
        <v>0</v>
      </c>
      <c r="CK33" s="47">
        <v>0</v>
      </c>
      <c r="CL33" s="47">
        <v>0</v>
      </c>
      <c r="CM33" s="47">
        <v>0</v>
      </c>
      <c r="CN33" s="47">
        <v>0</v>
      </c>
      <c r="CO33" s="47">
        <v>0</v>
      </c>
      <c r="CP33" s="47">
        <v>0</v>
      </c>
      <c r="CQ33" s="47">
        <v>0</v>
      </c>
      <c r="CR33" s="47">
        <v>0</v>
      </c>
      <c r="CS33" s="47">
        <v>0</v>
      </c>
      <c r="CT33" s="47">
        <v>0</v>
      </c>
      <c r="CU33" s="47">
        <v>0</v>
      </c>
      <c r="CV33" s="47">
        <v>0</v>
      </c>
      <c r="CW33" s="47">
        <v>0</v>
      </c>
      <c r="CX33" s="47">
        <v>0</v>
      </c>
      <c r="CY33" s="47">
        <v>0</v>
      </c>
      <c r="CZ33" s="47">
        <v>0</v>
      </c>
      <c r="DA33" s="47">
        <v>0</v>
      </c>
      <c r="DB33" s="47">
        <v>0</v>
      </c>
      <c r="DC33" s="47">
        <v>0</v>
      </c>
      <c r="DD33" s="47">
        <v>0</v>
      </c>
      <c r="DE33" s="47">
        <v>0</v>
      </c>
      <c r="DF33" s="47">
        <v>0</v>
      </c>
      <c r="DG33" s="47">
        <v>0</v>
      </c>
      <c r="DH33" s="47">
        <v>0</v>
      </c>
      <c r="DI33" s="47">
        <v>0</v>
      </c>
      <c r="DJ33" s="47">
        <v>0</v>
      </c>
      <c r="DK33" s="47">
        <v>0.2667</v>
      </c>
      <c r="DL33" s="47">
        <v>0</v>
      </c>
      <c r="DM33" s="47">
        <v>0</v>
      </c>
      <c r="DN33" s="47">
        <v>0.2667</v>
      </c>
      <c r="DO33" s="47">
        <v>0</v>
      </c>
      <c r="DP33" s="47">
        <v>0</v>
      </c>
      <c r="DQ33" s="47">
        <v>0</v>
      </c>
      <c r="DR33" s="47">
        <v>0</v>
      </c>
      <c r="DS33" s="47">
        <v>0</v>
      </c>
      <c r="DT33" s="47">
        <v>0</v>
      </c>
      <c r="DU33" s="47">
        <v>0.5333</v>
      </c>
      <c r="DV33" s="47">
        <v>0</v>
      </c>
      <c r="DW33" s="47">
        <v>0</v>
      </c>
      <c r="DX33" s="47">
        <v>0</v>
      </c>
      <c r="DY33" s="47">
        <v>0.5333</v>
      </c>
      <c r="DZ33" s="47"/>
      <c r="EA33" s="47">
        <v>0.8</v>
      </c>
      <c r="ZZ33" t="s">
        <v>1084</v>
      </c>
    </row>
    <row r="34" spans="1:702" x14ac:dyDescent="0.25">
      <c r="A34" s="47" t="s">
        <v>294</v>
      </c>
      <c r="B34" s="47" t="s">
        <v>151</v>
      </c>
      <c r="C34" s="47" t="s">
        <v>155</v>
      </c>
      <c r="D34" s="47" t="s">
        <v>151</v>
      </c>
      <c r="E34" s="47" t="s">
        <v>295</v>
      </c>
      <c r="F34" s="47" t="s">
        <v>282</v>
      </c>
      <c r="G34" s="47"/>
      <c r="H34" s="47" t="s">
        <v>161</v>
      </c>
      <c r="I34" s="47" t="s">
        <v>207</v>
      </c>
      <c r="J34" s="47" t="str">
        <f>=IFERROR(VLOOKUP(H34&amp;I34,Table_Fonctions!A:G,6,FALSE),"")</f>
        <v>0</v>
      </c>
      <c r="K34" s="47" t="s">
        <v>1088</v>
      </c>
      <c r="L34" s="47" t="str">
        <f>=IFERROR(VLOOKUP(H34&amp;I34,Table_Fonctions!A:G,7,FALSE),K34)</f>
        <v/>
      </c>
      <c r="M34" s="47" t="str">
        <f>=IF(OR(LEFT(D34, 3)="TJ ", LEFT(D34, 4)="CPH "), "OUI", "NON")</f>
        <v/>
      </c>
      <c r="N34" s="47" t="s">
        <v>283</v>
      </c>
      <c r="O34" s="47"/>
      <c r="P34" s="47">
        <v>0.85</v>
      </c>
      <c r="Q34" s="47">
        <v>0.85</v>
      </c>
      <c r="R34" s="47">
        <v>0</v>
      </c>
      <c r="S34" s="47">
        <f>=ROUND(BQ34-(BR34+BS34),3)</f>
      </c>
      <c r="T34" s="47">
        <f>=ROUND(CK34-(CL34+CM34+CN34+CO34+CP34),3)</f>
      </c>
      <c r="U34" s="47">
        <v>0</v>
      </c>
      <c r="V34" s="47">
        <v>0</v>
      </c>
      <c r="W34" s="47">
        <v>0</v>
      </c>
      <c r="X34" s="47">
        <v>0</v>
      </c>
      <c r="Y34" s="47">
        <v>0</v>
      </c>
      <c r="Z34" s="47">
        <v>0</v>
      </c>
      <c r="AA34" s="47">
        <v>0</v>
      </c>
      <c r="AB34" s="47">
        <v>0</v>
      </c>
      <c r="AC34" s="47">
        <v>0</v>
      </c>
      <c r="AD34" s="47">
        <v>0</v>
      </c>
      <c r="AE34" s="47">
        <v>0</v>
      </c>
      <c r="AF34" s="47">
        <v>0</v>
      </c>
      <c r="AG34" s="47">
        <v>0</v>
      </c>
      <c r="AH34" s="47">
        <v>0</v>
      </c>
      <c r="AI34" s="47">
        <v>0</v>
      </c>
      <c r="AJ34" s="47">
        <v>0.85</v>
      </c>
      <c r="AK34" s="47">
        <v>0</v>
      </c>
      <c r="AL34" s="47">
        <v>0</v>
      </c>
      <c r="AM34" s="47">
        <v>0</v>
      </c>
      <c r="AN34" s="47">
        <v>0</v>
      </c>
      <c r="AO34" s="47">
        <v>0</v>
      </c>
      <c r="AP34" s="47">
        <v>0</v>
      </c>
      <c r="AQ34" s="47">
        <v>0</v>
      </c>
      <c r="AR34" s="47">
        <v>0</v>
      </c>
      <c r="AS34" s="47">
        <v>0</v>
      </c>
      <c r="AT34" s="47">
        <v>0</v>
      </c>
      <c r="AU34" s="47">
        <v>0</v>
      </c>
      <c r="AV34" s="47">
        <v>0</v>
      </c>
      <c r="AW34" s="47">
        <v>0</v>
      </c>
      <c r="AX34" s="47">
        <v>0</v>
      </c>
      <c r="AY34" s="47">
        <v>0</v>
      </c>
      <c r="AZ34" s="47">
        <v>0</v>
      </c>
      <c r="BA34" s="47">
        <v>0</v>
      </c>
      <c r="BB34" s="47">
        <v>0</v>
      </c>
      <c r="BC34" s="47">
        <v>0</v>
      </c>
      <c r="BD34" s="47">
        <v>0</v>
      </c>
      <c r="BE34" s="47">
        <v>0</v>
      </c>
      <c r="BF34" s="47">
        <v>0</v>
      </c>
      <c r="BG34" s="47">
        <v>0</v>
      </c>
      <c r="BH34" s="47">
        <v>0</v>
      </c>
      <c r="BI34" s="47">
        <v>0</v>
      </c>
      <c r="BJ34" s="47">
        <v>0</v>
      </c>
      <c r="BK34" s="47">
        <v>0</v>
      </c>
      <c r="BL34" s="47">
        <v>0</v>
      </c>
      <c r="BM34" s="47">
        <v>0</v>
      </c>
      <c r="BN34" s="47">
        <v>0</v>
      </c>
      <c r="BO34" s="47">
        <v>0</v>
      </c>
      <c r="BP34" s="47">
        <v>0</v>
      </c>
      <c r="BQ34" s="47">
        <v>0</v>
      </c>
      <c r="BR34" s="47">
        <v>0</v>
      </c>
      <c r="BS34" s="47">
        <v>0</v>
      </c>
      <c r="BT34" s="47">
        <v>0</v>
      </c>
      <c r="BU34" s="47">
        <v>0</v>
      </c>
      <c r="BV34" s="47">
        <v>0</v>
      </c>
      <c r="BW34" s="47">
        <v>0</v>
      </c>
      <c r="BX34" s="47">
        <v>0</v>
      </c>
      <c r="BY34" s="47">
        <v>0</v>
      </c>
      <c r="BZ34" s="47">
        <v>0</v>
      </c>
      <c r="CA34" s="47">
        <v>0</v>
      </c>
      <c r="CB34" s="47">
        <v>0</v>
      </c>
      <c r="CC34" s="47">
        <v>0</v>
      </c>
      <c r="CD34" s="47">
        <v>0</v>
      </c>
      <c r="CE34" s="47">
        <v>0</v>
      </c>
      <c r="CF34" s="47">
        <v>0</v>
      </c>
      <c r="CG34" s="47">
        <v>0</v>
      </c>
      <c r="CH34" s="47">
        <v>0</v>
      </c>
      <c r="CI34" s="47">
        <v>0</v>
      </c>
      <c r="CJ34" s="47">
        <v>0</v>
      </c>
      <c r="CK34" s="47">
        <v>0</v>
      </c>
      <c r="CL34" s="47">
        <v>0</v>
      </c>
      <c r="CM34" s="47">
        <v>0</v>
      </c>
      <c r="CN34" s="47">
        <v>0</v>
      </c>
      <c r="CO34" s="47">
        <v>0</v>
      </c>
      <c r="CP34" s="47">
        <v>0</v>
      </c>
      <c r="CQ34" s="47">
        <v>0</v>
      </c>
      <c r="CR34" s="47">
        <v>0</v>
      </c>
      <c r="CS34" s="47">
        <v>0</v>
      </c>
      <c r="CT34" s="47">
        <v>0</v>
      </c>
      <c r="CU34" s="47">
        <v>0</v>
      </c>
      <c r="CV34" s="47">
        <v>0</v>
      </c>
      <c r="CW34" s="47">
        <v>0</v>
      </c>
      <c r="CX34" s="47">
        <v>0</v>
      </c>
      <c r="CY34" s="47">
        <v>0</v>
      </c>
      <c r="CZ34" s="47">
        <v>0</v>
      </c>
      <c r="DA34" s="47">
        <v>0</v>
      </c>
      <c r="DB34" s="47">
        <v>0</v>
      </c>
      <c r="DC34" s="47">
        <v>0</v>
      </c>
      <c r="DD34" s="47">
        <v>0</v>
      </c>
      <c r="DE34" s="47">
        <v>0</v>
      </c>
      <c r="DF34" s="47">
        <v>0</v>
      </c>
      <c r="DG34" s="47">
        <v>0</v>
      </c>
      <c r="DH34" s="47">
        <v>0</v>
      </c>
      <c r="DI34" s="47">
        <v>0</v>
      </c>
      <c r="DJ34" s="47">
        <v>0</v>
      </c>
      <c r="DK34" s="47">
        <v>0.15</v>
      </c>
      <c r="DL34" s="47">
        <v>0</v>
      </c>
      <c r="DM34" s="47">
        <v>0</v>
      </c>
      <c r="DN34" s="47">
        <v>0</v>
      </c>
      <c r="DO34" s="47">
        <v>0</v>
      </c>
      <c r="DP34" s="47">
        <v>0</v>
      </c>
      <c r="DQ34" s="47">
        <v>0</v>
      </c>
      <c r="DR34" s="47">
        <v>0.15</v>
      </c>
      <c r="DS34" s="47">
        <v>0</v>
      </c>
      <c r="DT34" s="47">
        <v>0</v>
      </c>
      <c r="DU34" s="47">
        <v>0.1</v>
      </c>
      <c r="DV34" s="47">
        <v>0</v>
      </c>
      <c r="DW34" s="47">
        <v>0</v>
      </c>
      <c r="DX34" s="47">
        <v>0</v>
      </c>
      <c r="DY34" s="47">
        <v>0.1</v>
      </c>
      <c r="DZ34" s="47"/>
      <c r="EA34" s="47">
        <v>1</v>
      </c>
      <c r="ZZ34" t="s">
        <v>1084</v>
      </c>
    </row>
    <row r="35" spans="1:702" x14ac:dyDescent="0.25">
      <c r="A35" s="47" t="s">
        <v>296</v>
      </c>
      <c r="B35" s="47" t="s">
        <v>151</v>
      </c>
      <c r="C35" s="47" t="s">
        <v>155</v>
      </c>
      <c r="D35" s="47" t="s">
        <v>151</v>
      </c>
      <c r="E35" s="47" t="s">
        <v>297</v>
      </c>
      <c r="F35" s="47" t="s">
        <v>282</v>
      </c>
      <c r="G35" s="47"/>
      <c r="H35" s="47" t="s">
        <v>161</v>
      </c>
      <c r="I35" s="47" t="s">
        <v>207</v>
      </c>
      <c r="J35" s="47" t="str">
        <f>=IFERROR(VLOOKUP(H35&amp;I35,Table_Fonctions!A:G,6,FALSE),"")</f>
        <v>0</v>
      </c>
      <c r="K35" s="47" t="s">
        <v>1088</v>
      </c>
      <c r="L35" s="47" t="str">
        <f>=IFERROR(VLOOKUP(H35&amp;I35,Table_Fonctions!A:G,7,FALSE),K35)</f>
        <v/>
      </c>
      <c r="M35" s="47" t="str">
        <f>=IF(OR(LEFT(D35, 3)="TJ ", LEFT(D35, 4)="CPH "), "OUI", "NON")</f>
        <v/>
      </c>
      <c r="N35" s="47" t="s">
        <v>283</v>
      </c>
      <c r="O35" s="47"/>
      <c r="P35" s="47">
        <v>1</v>
      </c>
      <c r="Q35" s="47">
        <v>1</v>
      </c>
      <c r="R35" s="47">
        <v>0</v>
      </c>
      <c r="S35" s="47">
        <f>=ROUND(BQ35-(BR35+BS35),3)</f>
      </c>
      <c r="T35" s="47">
        <f>=ROUND(CK35-(CL35+CM35+CN35+CO35+CP35),3)</f>
      </c>
      <c r="U35" s="47">
        <v>0</v>
      </c>
      <c r="V35" s="47">
        <v>0</v>
      </c>
      <c r="W35" s="47">
        <v>0</v>
      </c>
      <c r="X35" s="47">
        <v>0</v>
      </c>
      <c r="Y35" s="47">
        <v>0</v>
      </c>
      <c r="Z35" s="47">
        <v>0.4</v>
      </c>
      <c r="AA35" s="47">
        <v>0</v>
      </c>
      <c r="AB35" s="47">
        <v>0</v>
      </c>
      <c r="AC35" s="47">
        <v>0</v>
      </c>
      <c r="AD35" s="47">
        <v>0</v>
      </c>
      <c r="AE35" s="47">
        <v>0</v>
      </c>
      <c r="AF35" s="47">
        <v>0</v>
      </c>
      <c r="AG35" s="47">
        <v>0</v>
      </c>
      <c r="AH35" s="47">
        <v>0</v>
      </c>
      <c r="AI35" s="47">
        <v>0</v>
      </c>
      <c r="AJ35" s="47">
        <v>0.6</v>
      </c>
      <c r="AK35" s="47">
        <v>0</v>
      </c>
      <c r="AL35" s="47">
        <v>0</v>
      </c>
      <c r="AM35" s="47">
        <v>0</v>
      </c>
      <c r="AN35" s="47">
        <v>0</v>
      </c>
      <c r="AO35" s="47">
        <v>0</v>
      </c>
      <c r="AP35" s="47">
        <v>0</v>
      </c>
      <c r="AQ35" s="47">
        <v>0</v>
      </c>
      <c r="AR35" s="47">
        <v>0</v>
      </c>
      <c r="AS35" s="47">
        <v>0</v>
      </c>
      <c r="AT35" s="47">
        <v>0</v>
      </c>
      <c r="AU35" s="47">
        <v>0</v>
      </c>
      <c r="AV35" s="47">
        <v>0</v>
      </c>
      <c r="AW35" s="47">
        <v>0</v>
      </c>
      <c r="AX35" s="47">
        <v>0</v>
      </c>
      <c r="AY35" s="47">
        <v>0</v>
      </c>
      <c r="AZ35" s="47">
        <v>0</v>
      </c>
      <c r="BA35" s="47">
        <v>0</v>
      </c>
      <c r="BB35" s="47">
        <v>0</v>
      </c>
      <c r="BC35" s="47">
        <v>0</v>
      </c>
      <c r="BD35" s="47">
        <v>0</v>
      </c>
      <c r="BE35" s="47">
        <v>0</v>
      </c>
      <c r="BF35" s="47">
        <v>0</v>
      </c>
      <c r="BG35" s="47">
        <v>0</v>
      </c>
      <c r="BH35" s="47">
        <v>0</v>
      </c>
      <c r="BI35" s="47">
        <v>0</v>
      </c>
      <c r="BJ35" s="47">
        <v>0</v>
      </c>
      <c r="BK35" s="47">
        <v>0</v>
      </c>
      <c r="BL35" s="47">
        <v>0</v>
      </c>
      <c r="BM35" s="47">
        <v>0</v>
      </c>
      <c r="BN35" s="47">
        <v>0</v>
      </c>
      <c r="BO35" s="47">
        <v>0</v>
      </c>
      <c r="BP35" s="47">
        <v>0</v>
      </c>
      <c r="BQ35" s="47">
        <v>0</v>
      </c>
      <c r="BR35" s="47">
        <v>0</v>
      </c>
      <c r="BS35" s="47">
        <v>0</v>
      </c>
      <c r="BT35" s="47">
        <v>0</v>
      </c>
      <c r="BU35" s="47">
        <v>0</v>
      </c>
      <c r="BV35" s="47">
        <v>0</v>
      </c>
      <c r="BW35" s="47">
        <v>0</v>
      </c>
      <c r="BX35" s="47">
        <v>0</v>
      </c>
      <c r="BY35" s="47">
        <v>0</v>
      </c>
      <c r="BZ35" s="47">
        <v>0</v>
      </c>
      <c r="CA35" s="47">
        <v>0</v>
      </c>
      <c r="CB35" s="47">
        <v>0</v>
      </c>
      <c r="CC35" s="47">
        <v>0</v>
      </c>
      <c r="CD35" s="47">
        <v>0</v>
      </c>
      <c r="CE35" s="47">
        <v>0</v>
      </c>
      <c r="CF35" s="47">
        <v>0</v>
      </c>
      <c r="CG35" s="47">
        <v>0</v>
      </c>
      <c r="CH35" s="47">
        <v>0</v>
      </c>
      <c r="CI35" s="47">
        <v>0</v>
      </c>
      <c r="CJ35" s="47">
        <v>0</v>
      </c>
      <c r="CK35" s="47">
        <v>0</v>
      </c>
      <c r="CL35" s="47">
        <v>0</v>
      </c>
      <c r="CM35" s="47">
        <v>0</v>
      </c>
      <c r="CN35" s="47">
        <v>0</v>
      </c>
      <c r="CO35" s="47">
        <v>0</v>
      </c>
      <c r="CP35" s="47">
        <v>0</v>
      </c>
      <c r="CQ35" s="47">
        <v>0</v>
      </c>
      <c r="CR35" s="47">
        <v>0</v>
      </c>
      <c r="CS35" s="47">
        <v>0</v>
      </c>
      <c r="CT35" s="47">
        <v>0</v>
      </c>
      <c r="CU35" s="47">
        <v>0</v>
      </c>
      <c r="CV35" s="47">
        <v>0</v>
      </c>
      <c r="CW35" s="47">
        <v>0</v>
      </c>
      <c r="CX35" s="47">
        <v>0</v>
      </c>
      <c r="CY35" s="47">
        <v>0</v>
      </c>
      <c r="CZ35" s="47">
        <v>0</v>
      </c>
      <c r="DA35" s="47">
        <v>0</v>
      </c>
      <c r="DB35" s="47">
        <v>0</v>
      </c>
      <c r="DC35" s="47">
        <v>0</v>
      </c>
      <c r="DD35" s="47">
        <v>0</v>
      </c>
      <c r="DE35" s="47">
        <v>0</v>
      </c>
      <c r="DF35" s="47">
        <v>0</v>
      </c>
      <c r="DG35" s="47">
        <v>0</v>
      </c>
      <c r="DH35" s="47">
        <v>0</v>
      </c>
      <c r="DI35" s="47">
        <v>0</v>
      </c>
      <c r="DJ35" s="47">
        <v>0</v>
      </c>
      <c r="DK35" s="47">
        <v>0</v>
      </c>
      <c r="DL35" s="47">
        <v>0</v>
      </c>
      <c r="DM35" s="47">
        <v>0</v>
      </c>
      <c r="DN35" s="47">
        <v>0</v>
      </c>
      <c r="DO35" s="47">
        <v>0</v>
      </c>
      <c r="DP35" s="47">
        <v>0</v>
      </c>
      <c r="DQ35" s="47">
        <v>0</v>
      </c>
      <c r="DR35" s="47">
        <v>0</v>
      </c>
      <c r="DS35" s="47">
        <v>0</v>
      </c>
      <c r="DT35" s="47">
        <v>0</v>
      </c>
      <c r="DU35" s="47">
        <v>0</v>
      </c>
      <c r="DV35" s="47">
        <v>0</v>
      </c>
      <c r="DW35" s="47">
        <v>0</v>
      </c>
      <c r="DX35" s="47">
        <v>0</v>
      </c>
      <c r="DY35" s="47">
        <v>0</v>
      </c>
      <c r="DZ35" s="47"/>
      <c r="EA35" s="47">
        <v>1</v>
      </c>
      <c r="ZZ35" t="s">
        <v>1084</v>
      </c>
    </row>
    <row r="36" spans="1:702" x14ac:dyDescent="0.25">
      <c r="A36" s="47" t="s">
        <v>298</v>
      </c>
      <c r="B36" s="47" t="s">
        <v>151</v>
      </c>
      <c r="C36" s="47" t="s">
        <v>155</v>
      </c>
      <c r="D36" s="47" t="s">
        <v>151</v>
      </c>
      <c r="E36" s="47" t="s">
        <v>299</v>
      </c>
      <c r="F36" s="47" t="s">
        <v>282</v>
      </c>
      <c r="G36" s="47"/>
      <c r="H36" s="47" t="s">
        <v>161</v>
      </c>
      <c r="I36" s="47" t="s">
        <v>207</v>
      </c>
      <c r="J36" s="47" t="str">
        <f>=IFERROR(VLOOKUP(H36&amp;I36,Table_Fonctions!A:G,6,FALSE),"")</f>
        <v>0</v>
      </c>
      <c r="K36" s="47" t="s">
        <v>1088</v>
      </c>
      <c r="L36" s="47" t="str">
        <f>=IFERROR(VLOOKUP(H36&amp;I36,Table_Fonctions!A:G,7,FALSE),K36)</f>
        <v/>
      </c>
      <c r="M36" s="47" t="str">
        <f>=IF(OR(LEFT(D36, 3)="TJ ", LEFT(D36, 4)="CPH "), "OUI", "NON")</f>
        <v/>
      </c>
      <c r="N36" s="47" t="s">
        <v>300</v>
      </c>
      <c r="O36" s="47"/>
      <c r="P36" s="47">
        <v>0.6532</v>
      </c>
      <c r="Q36" s="47">
        <v>0.6532</v>
      </c>
      <c r="R36" s="47">
        <v>0</v>
      </c>
      <c r="S36" s="47">
        <f>=ROUND(BQ36-(BR36+BS36),3)</f>
      </c>
      <c r="T36" s="47">
        <f>=ROUND(CK36-(CL36+CM36+CN36+CO36+CP36),3)</f>
      </c>
      <c r="U36" s="47">
        <v>0</v>
      </c>
      <c r="V36" s="47">
        <v>0</v>
      </c>
      <c r="W36" s="47">
        <v>0</v>
      </c>
      <c r="X36" s="47">
        <v>0</v>
      </c>
      <c r="Y36" s="47">
        <v>0</v>
      </c>
      <c r="Z36" s="47">
        <v>0</v>
      </c>
      <c r="AA36" s="47">
        <v>0</v>
      </c>
      <c r="AB36" s="47">
        <v>0</v>
      </c>
      <c r="AC36" s="47">
        <v>0</v>
      </c>
      <c r="AD36" s="47">
        <v>0</v>
      </c>
      <c r="AE36" s="47">
        <v>0</v>
      </c>
      <c r="AF36" s="47">
        <v>0</v>
      </c>
      <c r="AG36" s="47">
        <v>0</v>
      </c>
      <c r="AH36" s="47">
        <v>0</v>
      </c>
      <c r="AI36" s="47">
        <v>0</v>
      </c>
      <c r="AJ36" s="47">
        <v>0.6532</v>
      </c>
      <c r="AK36" s="47">
        <v>0</v>
      </c>
      <c r="AL36" s="47">
        <v>0</v>
      </c>
      <c r="AM36" s="47">
        <v>0</v>
      </c>
      <c r="AN36" s="47">
        <v>0</v>
      </c>
      <c r="AO36" s="47">
        <v>0</v>
      </c>
      <c r="AP36" s="47">
        <v>0</v>
      </c>
      <c r="AQ36" s="47">
        <v>0</v>
      </c>
      <c r="AR36" s="47">
        <v>0</v>
      </c>
      <c r="AS36" s="47">
        <v>0</v>
      </c>
      <c r="AT36" s="47">
        <v>0</v>
      </c>
      <c r="AU36" s="47">
        <v>0</v>
      </c>
      <c r="AV36" s="47">
        <v>0</v>
      </c>
      <c r="AW36" s="47">
        <v>0</v>
      </c>
      <c r="AX36" s="47">
        <v>0</v>
      </c>
      <c r="AY36" s="47">
        <v>0</v>
      </c>
      <c r="AZ36" s="47">
        <v>0</v>
      </c>
      <c r="BA36" s="47">
        <v>0</v>
      </c>
      <c r="BB36" s="47">
        <v>0</v>
      </c>
      <c r="BC36" s="47">
        <v>0</v>
      </c>
      <c r="BD36" s="47">
        <v>0</v>
      </c>
      <c r="BE36" s="47">
        <v>0</v>
      </c>
      <c r="BF36" s="47">
        <v>0</v>
      </c>
      <c r="BG36" s="47">
        <v>0</v>
      </c>
      <c r="BH36" s="47">
        <v>0</v>
      </c>
      <c r="BI36" s="47">
        <v>0</v>
      </c>
      <c r="BJ36" s="47">
        <v>0</v>
      </c>
      <c r="BK36" s="47">
        <v>0</v>
      </c>
      <c r="BL36" s="47">
        <v>0</v>
      </c>
      <c r="BM36" s="47">
        <v>0</v>
      </c>
      <c r="BN36" s="47">
        <v>0</v>
      </c>
      <c r="BO36" s="47">
        <v>0</v>
      </c>
      <c r="BP36" s="47">
        <v>0</v>
      </c>
      <c r="BQ36" s="47">
        <v>0</v>
      </c>
      <c r="BR36" s="47">
        <v>0</v>
      </c>
      <c r="BS36" s="47">
        <v>0</v>
      </c>
      <c r="BT36" s="47">
        <v>0</v>
      </c>
      <c r="BU36" s="47">
        <v>0</v>
      </c>
      <c r="BV36" s="47">
        <v>0</v>
      </c>
      <c r="BW36" s="47">
        <v>0</v>
      </c>
      <c r="BX36" s="47">
        <v>0</v>
      </c>
      <c r="BY36" s="47">
        <v>0</v>
      </c>
      <c r="BZ36" s="47">
        <v>0</v>
      </c>
      <c r="CA36" s="47">
        <v>0</v>
      </c>
      <c r="CB36" s="47">
        <v>0</v>
      </c>
      <c r="CC36" s="47">
        <v>0</v>
      </c>
      <c r="CD36" s="47">
        <v>0</v>
      </c>
      <c r="CE36" s="47">
        <v>0</v>
      </c>
      <c r="CF36" s="47">
        <v>0</v>
      </c>
      <c r="CG36" s="47">
        <v>0</v>
      </c>
      <c r="CH36" s="47">
        <v>0</v>
      </c>
      <c r="CI36" s="47">
        <v>0</v>
      </c>
      <c r="CJ36" s="47">
        <v>0</v>
      </c>
      <c r="CK36" s="47">
        <v>0</v>
      </c>
      <c r="CL36" s="47">
        <v>0</v>
      </c>
      <c r="CM36" s="47">
        <v>0</v>
      </c>
      <c r="CN36" s="47">
        <v>0</v>
      </c>
      <c r="CO36" s="47">
        <v>0</v>
      </c>
      <c r="CP36" s="47">
        <v>0</v>
      </c>
      <c r="CQ36" s="47">
        <v>0</v>
      </c>
      <c r="CR36" s="47">
        <v>0</v>
      </c>
      <c r="CS36" s="47">
        <v>0</v>
      </c>
      <c r="CT36" s="47">
        <v>0</v>
      </c>
      <c r="CU36" s="47">
        <v>0</v>
      </c>
      <c r="CV36" s="47">
        <v>0</v>
      </c>
      <c r="CW36" s="47">
        <v>0</v>
      </c>
      <c r="CX36" s="47">
        <v>0</v>
      </c>
      <c r="CY36" s="47">
        <v>0</v>
      </c>
      <c r="CZ36" s="47">
        <v>0</v>
      </c>
      <c r="DA36" s="47">
        <v>0</v>
      </c>
      <c r="DB36" s="47">
        <v>0</v>
      </c>
      <c r="DC36" s="47">
        <v>0</v>
      </c>
      <c r="DD36" s="47">
        <v>0</v>
      </c>
      <c r="DE36" s="47">
        <v>0</v>
      </c>
      <c r="DF36" s="47">
        <v>0</v>
      </c>
      <c r="DG36" s="47">
        <v>0</v>
      </c>
      <c r="DH36" s="47">
        <v>0</v>
      </c>
      <c r="DI36" s="47">
        <v>0</v>
      </c>
      <c r="DJ36" s="47">
        <v>0</v>
      </c>
      <c r="DK36" s="47">
        <v>0</v>
      </c>
      <c r="DL36" s="47">
        <v>0</v>
      </c>
      <c r="DM36" s="47">
        <v>0</v>
      </c>
      <c r="DN36" s="47">
        <v>0</v>
      </c>
      <c r="DO36" s="47">
        <v>0</v>
      </c>
      <c r="DP36" s="47">
        <v>0</v>
      </c>
      <c r="DQ36" s="47">
        <v>0</v>
      </c>
      <c r="DR36" s="47">
        <v>0</v>
      </c>
      <c r="DS36" s="47">
        <v>0</v>
      </c>
      <c r="DT36" s="47">
        <v>0</v>
      </c>
      <c r="DU36" s="47">
        <v>0</v>
      </c>
      <c r="DV36" s="47">
        <v>0</v>
      </c>
      <c r="DW36" s="47">
        <v>0</v>
      </c>
      <c r="DX36" s="47">
        <v>0</v>
      </c>
      <c r="DY36" s="47">
        <v>0</v>
      </c>
      <c r="DZ36" s="47"/>
      <c r="EA36" s="47">
        <v>0.6532</v>
      </c>
      <c r="ZZ36" t="s">
        <v>1084</v>
      </c>
    </row>
    <row r="37" spans="1:702" x14ac:dyDescent="0.25">
      <c r="A37" s="47" t="s">
        <v>301</v>
      </c>
      <c r="B37" s="47" t="s">
        <v>151</v>
      </c>
      <c r="C37" s="47" t="s">
        <v>155</v>
      </c>
      <c r="D37" s="47" t="s">
        <v>151</v>
      </c>
      <c r="E37" s="47" t="s">
        <v>302</v>
      </c>
      <c r="F37" s="47" t="s">
        <v>282</v>
      </c>
      <c r="G37" s="47"/>
      <c r="H37" s="47" t="s">
        <v>161</v>
      </c>
      <c r="I37" s="47" t="s">
        <v>207</v>
      </c>
      <c r="J37" s="47" t="str">
        <f>=IFERROR(VLOOKUP(H37&amp;I37,Table_Fonctions!A:G,6,FALSE),"")</f>
        <v>0</v>
      </c>
      <c r="K37" s="47" t="s">
        <v>1088</v>
      </c>
      <c r="L37" s="47" t="str">
        <f>=IFERROR(VLOOKUP(H37&amp;I37,Table_Fonctions!A:G,7,FALSE),K37)</f>
        <v/>
      </c>
      <c r="M37" s="47" t="str">
        <f>=IF(OR(LEFT(D37, 3)="TJ ", LEFT(D37, 4)="CPH "), "OUI", "NON")</f>
        <v/>
      </c>
      <c r="N37" s="47" t="s">
        <v>283</v>
      </c>
      <c r="O37" s="47"/>
      <c r="P37" s="47">
        <v>0.8</v>
      </c>
      <c r="Q37" s="47">
        <v>0.8</v>
      </c>
      <c r="R37" s="47">
        <v>0</v>
      </c>
      <c r="S37" s="47">
        <f>=ROUND(BQ37-(BR37+BS37),3)</f>
      </c>
      <c r="T37" s="47">
        <f>=ROUND(CK37-(CL37+CM37+CN37+CO37+CP37),3)</f>
      </c>
      <c r="U37" s="47">
        <v>0</v>
      </c>
      <c r="V37" s="47">
        <v>0</v>
      </c>
      <c r="W37" s="47">
        <v>0</v>
      </c>
      <c r="X37" s="47">
        <v>0</v>
      </c>
      <c r="Y37" s="47">
        <v>0</v>
      </c>
      <c r="Z37" s="47">
        <v>0</v>
      </c>
      <c r="AA37" s="47">
        <v>0</v>
      </c>
      <c r="AB37" s="47">
        <v>0</v>
      </c>
      <c r="AC37" s="47">
        <v>0</v>
      </c>
      <c r="AD37" s="47">
        <v>0</v>
      </c>
      <c r="AE37" s="47">
        <v>0</v>
      </c>
      <c r="AF37" s="47">
        <v>0</v>
      </c>
      <c r="AG37" s="47">
        <v>0</v>
      </c>
      <c r="AH37" s="47">
        <v>0</v>
      </c>
      <c r="AI37" s="47">
        <v>0</v>
      </c>
      <c r="AJ37" s="47">
        <v>0.8</v>
      </c>
      <c r="AK37" s="47">
        <v>0</v>
      </c>
      <c r="AL37" s="47">
        <v>0</v>
      </c>
      <c r="AM37" s="47">
        <v>0</v>
      </c>
      <c r="AN37" s="47">
        <v>0</v>
      </c>
      <c r="AO37" s="47">
        <v>0</v>
      </c>
      <c r="AP37" s="47">
        <v>0</v>
      </c>
      <c r="AQ37" s="47">
        <v>0</v>
      </c>
      <c r="AR37" s="47">
        <v>0</v>
      </c>
      <c r="AS37" s="47">
        <v>0</v>
      </c>
      <c r="AT37" s="47">
        <v>0</v>
      </c>
      <c r="AU37" s="47">
        <v>0</v>
      </c>
      <c r="AV37" s="47">
        <v>0</v>
      </c>
      <c r="AW37" s="47">
        <v>0</v>
      </c>
      <c r="AX37" s="47">
        <v>0</v>
      </c>
      <c r="AY37" s="47">
        <v>0</v>
      </c>
      <c r="AZ37" s="47">
        <v>0</v>
      </c>
      <c r="BA37" s="47">
        <v>0</v>
      </c>
      <c r="BB37" s="47">
        <v>0</v>
      </c>
      <c r="BC37" s="47">
        <v>0</v>
      </c>
      <c r="BD37" s="47">
        <v>0</v>
      </c>
      <c r="BE37" s="47">
        <v>0</v>
      </c>
      <c r="BF37" s="47">
        <v>0</v>
      </c>
      <c r="BG37" s="47">
        <v>0</v>
      </c>
      <c r="BH37" s="47">
        <v>0</v>
      </c>
      <c r="BI37" s="47">
        <v>0</v>
      </c>
      <c r="BJ37" s="47">
        <v>0</v>
      </c>
      <c r="BK37" s="47">
        <v>0</v>
      </c>
      <c r="BL37" s="47">
        <v>0</v>
      </c>
      <c r="BM37" s="47">
        <v>0</v>
      </c>
      <c r="BN37" s="47">
        <v>0</v>
      </c>
      <c r="BO37" s="47">
        <v>0</v>
      </c>
      <c r="BP37" s="47">
        <v>0</v>
      </c>
      <c r="BQ37" s="47">
        <v>0</v>
      </c>
      <c r="BR37" s="47">
        <v>0</v>
      </c>
      <c r="BS37" s="47">
        <v>0</v>
      </c>
      <c r="BT37" s="47">
        <v>0</v>
      </c>
      <c r="BU37" s="47">
        <v>0</v>
      </c>
      <c r="BV37" s="47">
        <v>0</v>
      </c>
      <c r="BW37" s="47">
        <v>0</v>
      </c>
      <c r="BX37" s="47">
        <v>0</v>
      </c>
      <c r="BY37" s="47">
        <v>0</v>
      </c>
      <c r="BZ37" s="47">
        <v>0</v>
      </c>
      <c r="CA37" s="47">
        <v>0</v>
      </c>
      <c r="CB37" s="47">
        <v>0</v>
      </c>
      <c r="CC37" s="47">
        <v>0</v>
      </c>
      <c r="CD37" s="47">
        <v>0</v>
      </c>
      <c r="CE37" s="47">
        <v>0</v>
      </c>
      <c r="CF37" s="47">
        <v>0</v>
      </c>
      <c r="CG37" s="47">
        <v>0</v>
      </c>
      <c r="CH37" s="47">
        <v>0</v>
      </c>
      <c r="CI37" s="47">
        <v>0</v>
      </c>
      <c r="CJ37" s="47">
        <v>0</v>
      </c>
      <c r="CK37" s="47">
        <v>0</v>
      </c>
      <c r="CL37" s="47">
        <v>0</v>
      </c>
      <c r="CM37" s="47">
        <v>0</v>
      </c>
      <c r="CN37" s="47">
        <v>0</v>
      </c>
      <c r="CO37" s="47">
        <v>0</v>
      </c>
      <c r="CP37" s="47">
        <v>0</v>
      </c>
      <c r="CQ37" s="47">
        <v>0</v>
      </c>
      <c r="CR37" s="47">
        <v>0</v>
      </c>
      <c r="CS37" s="47">
        <v>0</v>
      </c>
      <c r="CT37" s="47">
        <v>0</v>
      </c>
      <c r="CU37" s="47">
        <v>0</v>
      </c>
      <c r="CV37" s="47">
        <v>0</v>
      </c>
      <c r="CW37" s="47">
        <v>0</v>
      </c>
      <c r="CX37" s="47">
        <v>0</v>
      </c>
      <c r="CY37" s="47">
        <v>0</v>
      </c>
      <c r="CZ37" s="47">
        <v>0</v>
      </c>
      <c r="DA37" s="47">
        <v>0</v>
      </c>
      <c r="DB37" s="47">
        <v>0</v>
      </c>
      <c r="DC37" s="47">
        <v>0</v>
      </c>
      <c r="DD37" s="47">
        <v>0</v>
      </c>
      <c r="DE37" s="47">
        <v>0</v>
      </c>
      <c r="DF37" s="47">
        <v>0</v>
      </c>
      <c r="DG37" s="47">
        <v>0</v>
      </c>
      <c r="DH37" s="47">
        <v>0</v>
      </c>
      <c r="DI37" s="47">
        <v>0</v>
      </c>
      <c r="DJ37" s="47">
        <v>0</v>
      </c>
      <c r="DK37" s="47">
        <v>0</v>
      </c>
      <c r="DL37" s="47">
        <v>0</v>
      </c>
      <c r="DM37" s="47">
        <v>0</v>
      </c>
      <c r="DN37" s="47">
        <v>0</v>
      </c>
      <c r="DO37" s="47">
        <v>0</v>
      </c>
      <c r="DP37" s="47">
        <v>0</v>
      </c>
      <c r="DQ37" s="47">
        <v>0</v>
      </c>
      <c r="DR37" s="47">
        <v>0</v>
      </c>
      <c r="DS37" s="47">
        <v>0</v>
      </c>
      <c r="DT37" s="47">
        <v>0</v>
      </c>
      <c r="DU37" s="47">
        <v>0</v>
      </c>
      <c r="DV37" s="47">
        <v>0</v>
      </c>
      <c r="DW37" s="47">
        <v>0</v>
      </c>
      <c r="DX37" s="47">
        <v>0</v>
      </c>
      <c r="DY37" s="47">
        <v>0</v>
      </c>
      <c r="DZ37" s="47"/>
      <c r="EA37" s="47">
        <v>0.8</v>
      </c>
      <c r="ZZ37" t="s">
        <v>1084</v>
      </c>
    </row>
    <row r="38" spans="1:702" x14ac:dyDescent="0.25">
      <c r="A38" s="47" t="s">
        <v>303</v>
      </c>
      <c r="B38" s="47" t="s">
        <v>151</v>
      </c>
      <c r="C38" s="47" t="s">
        <v>155</v>
      </c>
      <c r="D38" s="47" t="s">
        <v>1114</v>
      </c>
      <c r="E38" s="47" t="s">
        <v>304</v>
      </c>
      <c r="F38" s="47" t="s">
        <v>305</v>
      </c>
      <c r="G38" s="47" t="s">
        <v>306</v>
      </c>
      <c r="H38" s="47" t="s">
        <v>161</v>
      </c>
      <c r="I38" s="47" t="s">
        <v>218</v>
      </c>
      <c r="J38" s="47" t="str">
        <f>=IFERROR(VLOOKUP(H38&amp;I38,Table_Fonctions!A:G,6,FALSE),"")</f>
        <v>0</v>
      </c>
      <c r="K38" s="47" t="s">
        <v>1088</v>
      </c>
      <c r="L38" s="47" t="str">
        <f>=IFERROR(VLOOKUP(H38&amp;I38,Table_Fonctions!A:G,7,FALSE),K38)</f>
        <v/>
      </c>
      <c r="M38" s="47" t="str">
        <f>=IF(OR(LEFT(D38, 3)="TJ ", LEFT(D38, 4)="CPH "), "OUI", "NON")</f>
        <v/>
      </c>
      <c r="N38" s="47" t="s">
        <v>208</v>
      </c>
      <c r="O38" s="47"/>
      <c r="P38" s="47">
        <v>1</v>
      </c>
      <c r="Q38" s="47">
        <v>0</v>
      </c>
      <c r="R38" s="47">
        <v>1</v>
      </c>
      <c r="S38" s="47">
        <f>=ROUND(BQ38-(BR38+BS38),3)</f>
      </c>
      <c r="T38" s="47">
        <f>=ROUND(CK38-(CL38+CM38+CN38+CO38+CP38),3)</f>
      </c>
      <c r="U38" s="47">
        <v>0</v>
      </c>
      <c r="V38" s="47">
        <v>0</v>
      </c>
      <c r="W38" s="47">
        <v>0</v>
      </c>
      <c r="X38" s="47">
        <v>0</v>
      </c>
      <c r="Y38" s="47">
        <v>0</v>
      </c>
      <c r="Z38" s="47">
        <v>0</v>
      </c>
      <c r="AA38" s="47">
        <v>0</v>
      </c>
      <c r="AB38" s="47">
        <v>0</v>
      </c>
      <c r="AC38" s="47">
        <v>0</v>
      </c>
      <c r="AD38" s="47">
        <v>0</v>
      </c>
      <c r="AE38" s="47">
        <v>0</v>
      </c>
      <c r="AF38" s="47">
        <v>0</v>
      </c>
      <c r="AG38" s="47">
        <v>0</v>
      </c>
      <c r="AH38" s="47">
        <v>0</v>
      </c>
      <c r="AI38" s="47">
        <v>0</v>
      </c>
      <c r="AJ38" s="47">
        <v>0</v>
      </c>
      <c r="AK38" s="47">
        <v>0</v>
      </c>
      <c r="AL38" s="47">
        <v>0</v>
      </c>
      <c r="AM38" s="47">
        <v>0</v>
      </c>
      <c r="AN38" s="47">
        <v>0</v>
      </c>
      <c r="AO38" s="47">
        <v>0</v>
      </c>
      <c r="AP38" s="47">
        <v>0</v>
      </c>
      <c r="AQ38" s="47">
        <v>0</v>
      </c>
      <c r="AR38" s="47">
        <v>0</v>
      </c>
      <c r="AS38" s="47">
        <v>0</v>
      </c>
      <c r="AT38" s="47">
        <v>0</v>
      </c>
      <c r="AU38" s="47">
        <v>0</v>
      </c>
      <c r="AV38" s="47">
        <v>0</v>
      </c>
      <c r="AW38" s="47">
        <v>0</v>
      </c>
      <c r="AX38" s="47">
        <v>0</v>
      </c>
      <c r="AY38" s="47">
        <v>0</v>
      </c>
      <c r="AZ38" s="47">
        <v>0</v>
      </c>
      <c r="BA38" s="47">
        <v>0</v>
      </c>
      <c r="BB38" s="47">
        <v>0</v>
      </c>
      <c r="BC38" s="47">
        <v>0</v>
      </c>
      <c r="BD38" s="47">
        <v>0</v>
      </c>
      <c r="BE38" s="47">
        <v>0</v>
      </c>
      <c r="BF38" s="47">
        <v>0</v>
      </c>
      <c r="BG38" s="47">
        <v>0</v>
      </c>
      <c r="BH38" s="47">
        <v>0</v>
      </c>
      <c r="BI38" s="47">
        <v>0</v>
      </c>
      <c r="BJ38" s="47">
        <v>0</v>
      </c>
      <c r="BK38" s="47">
        <v>0</v>
      </c>
      <c r="BL38" s="47">
        <v>0</v>
      </c>
      <c r="BM38" s="47">
        <v>0</v>
      </c>
      <c r="BN38" s="47">
        <v>0</v>
      </c>
      <c r="BO38" s="47">
        <v>0</v>
      </c>
      <c r="BP38" s="47">
        <v>0</v>
      </c>
      <c r="BQ38" s="47">
        <v>0</v>
      </c>
      <c r="BR38" s="47">
        <v>0</v>
      </c>
      <c r="BS38" s="47">
        <v>0</v>
      </c>
      <c r="BT38" s="47">
        <v>0</v>
      </c>
      <c r="BU38" s="47">
        <v>0</v>
      </c>
      <c r="BV38" s="47">
        <v>0</v>
      </c>
      <c r="BW38" s="47">
        <v>0</v>
      </c>
      <c r="BX38" s="47">
        <v>0</v>
      </c>
      <c r="BY38" s="47">
        <v>0</v>
      </c>
      <c r="BZ38" s="47">
        <v>0</v>
      </c>
      <c r="CA38" s="47">
        <v>0</v>
      </c>
      <c r="CB38" s="47">
        <v>0</v>
      </c>
      <c r="CC38" s="47">
        <v>0</v>
      </c>
      <c r="CD38" s="47">
        <v>0</v>
      </c>
      <c r="CE38" s="47">
        <v>0</v>
      </c>
      <c r="CF38" s="47">
        <v>0</v>
      </c>
      <c r="CG38" s="47">
        <v>0</v>
      </c>
      <c r="CH38" s="47">
        <v>0</v>
      </c>
      <c r="CI38" s="47">
        <v>0</v>
      </c>
      <c r="CJ38" s="47">
        <v>0</v>
      </c>
      <c r="CK38" s="47">
        <v>0</v>
      </c>
      <c r="CL38" s="47">
        <v>0</v>
      </c>
      <c r="CM38" s="47">
        <v>0</v>
      </c>
      <c r="CN38" s="47">
        <v>0</v>
      </c>
      <c r="CO38" s="47">
        <v>0</v>
      </c>
      <c r="CP38" s="47">
        <v>0</v>
      </c>
      <c r="CQ38" s="47">
        <v>0</v>
      </c>
      <c r="CR38" s="47">
        <v>0</v>
      </c>
      <c r="CS38" s="47">
        <v>0</v>
      </c>
      <c r="CT38" s="47">
        <v>0</v>
      </c>
      <c r="CU38" s="47">
        <v>0</v>
      </c>
      <c r="CV38" s="47">
        <v>0</v>
      </c>
      <c r="CW38" s="47">
        <v>0</v>
      </c>
      <c r="CX38" s="47">
        <v>0</v>
      </c>
      <c r="CY38" s="47">
        <v>0</v>
      </c>
      <c r="CZ38" s="47">
        <v>0</v>
      </c>
      <c r="DA38" s="47">
        <v>0</v>
      </c>
      <c r="DB38" s="47">
        <v>0</v>
      </c>
      <c r="DC38" s="47">
        <v>0</v>
      </c>
      <c r="DD38" s="47">
        <v>0</v>
      </c>
      <c r="DE38" s="47">
        <v>0</v>
      </c>
      <c r="DF38" s="47">
        <v>0</v>
      </c>
      <c r="DG38" s="47">
        <v>0</v>
      </c>
      <c r="DH38" s="47">
        <v>0</v>
      </c>
      <c r="DI38" s="47">
        <v>0</v>
      </c>
      <c r="DJ38" s="47">
        <v>0</v>
      </c>
      <c r="DK38" s="47">
        <v>0</v>
      </c>
      <c r="DL38" s="47">
        <v>0</v>
      </c>
      <c r="DM38" s="47">
        <v>0</v>
      </c>
      <c r="DN38" s="47">
        <v>0</v>
      </c>
      <c r="DO38" s="47">
        <v>0</v>
      </c>
      <c r="DP38" s="47">
        <v>0</v>
      </c>
      <c r="DQ38" s="47">
        <v>0</v>
      </c>
      <c r="DR38" s="47">
        <v>0</v>
      </c>
      <c r="DS38" s="47">
        <v>0</v>
      </c>
      <c r="DT38" s="47">
        <v>0</v>
      </c>
      <c r="DU38" s="47">
        <v>0</v>
      </c>
      <c r="DV38" s="47">
        <v>0</v>
      </c>
      <c r="DW38" s="47">
        <v>0</v>
      </c>
      <c r="DX38" s="47">
        <v>0</v>
      </c>
      <c r="DY38" s="47">
        <v>0</v>
      </c>
      <c r="DZ38" s="47"/>
      <c r="EA38" s="47">
        <v>1</v>
      </c>
      <c r="ZZ38" t="s">
        <v>1084</v>
      </c>
    </row>
    <row r="39" spans="1:702" x14ac:dyDescent="0.25">
      <c r="A39" s="47" t="s">
        <v>307</v>
      </c>
      <c r="B39" s="47" t="s">
        <v>151</v>
      </c>
      <c r="C39" s="47" t="s">
        <v>155</v>
      </c>
      <c r="D39" s="47" t="s">
        <v>1115</v>
      </c>
      <c r="E39" s="47" t="s">
        <v>308</v>
      </c>
      <c r="F39" s="47" t="s">
        <v>309</v>
      </c>
      <c r="G39" s="47" t="s">
        <v>310</v>
      </c>
      <c r="H39" s="47" t="s">
        <v>161</v>
      </c>
      <c r="I39" s="47" t="s">
        <v>1090</v>
      </c>
      <c r="J39" s="47" t="str">
        <f>=IFERROR(VLOOKUP(H39&amp;I39,Table_Fonctions!A:G,6,FALSE),"")</f>
        <v>0</v>
      </c>
      <c r="K39" s="47" t="s">
        <v>1091</v>
      </c>
      <c r="L39" s="47" t="str">
        <f>=IFERROR(VLOOKUP(H39&amp;I39,Table_Fonctions!A:G,7,FALSE),K39)</f>
        <v/>
      </c>
      <c r="M39" s="47" t="str">
        <f>=IF(OR(LEFT(D39, 3)="TJ ", LEFT(D39, 4)="CPH "), "OUI", "NON")</f>
        <v/>
      </c>
      <c r="N39" s="47" t="s">
        <v>169</v>
      </c>
      <c r="O39" s="47"/>
      <c r="P39" s="47">
        <v>0.3024</v>
      </c>
      <c r="Q39" s="47">
        <v>0.3024</v>
      </c>
      <c r="R39" s="47">
        <v>0</v>
      </c>
      <c r="S39" s="47">
        <f>=ROUND(BQ39-(BR39+BS39),3)</f>
      </c>
      <c r="T39" s="47">
        <f>=ROUND(CK39-(CL39+CM39+CN39+CO39+CP39),3)</f>
      </c>
      <c r="U39" s="47">
        <v>0</v>
      </c>
      <c r="V39" s="47">
        <v>0</v>
      </c>
      <c r="W39" s="47">
        <v>0</v>
      </c>
      <c r="X39" s="47">
        <v>0</v>
      </c>
      <c r="Y39" s="47">
        <v>0</v>
      </c>
      <c r="Z39" s="47">
        <v>0</v>
      </c>
      <c r="AA39" s="47">
        <v>0</v>
      </c>
      <c r="AB39" s="47">
        <v>0</v>
      </c>
      <c r="AC39" s="47">
        <v>0</v>
      </c>
      <c r="AD39" s="47">
        <v>0</v>
      </c>
      <c r="AE39" s="47">
        <v>0</v>
      </c>
      <c r="AF39" s="47">
        <v>0</v>
      </c>
      <c r="AG39" s="47">
        <v>0</v>
      </c>
      <c r="AH39" s="47">
        <v>0</v>
      </c>
      <c r="AI39" s="47">
        <v>0</v>
      </c>
      <c r="AJ39" s="47">
        <v>0</v>
      </c>
      <c r="AK39" s="47">
        <v>0</v>
      </c>
      <c r="AL39" s="47">
        <v>0</v>
      </c>
      <c r="AM39" s="47">
        <v>0</v>
      </c>
      <c r="AN39" s="47">
        <v>0</v>
      </c>
      <c r="AO39" s="47">
        <v>0</v>
      </c>
      <c r="AP39" s="47">
        <v>0</v>
      </c>
      <c r="AQ39" s="47">
        <v>0</v>
      </c>
      <c r="AR39" s="47">
        <v>0</v>
      </c>
      <c r="AS39" s="47">
        <v>0.0605</v>
      </c>
      <c r="AT39" s="47">
        <v>0.0302</v>
      </c>
      <c r="AU39" s="47">
        <v>0</v>
      </c>
      <c r="AV39" s="47">
        <v>0</v>
      </c>
      <c r="AW39" s="47">
        <v>0</v>
      </c>
      <c r="AX39" s="47">
        <v>0.0302</v>
      </c>
      <c r="AY39" s="47">
        <v>0</v>
      </c>
      <c r="AZ39" s="47">
        <v>0</v>
      </c>
      <c r="BA39" s="47">
        <v>0</v>
      </c>
      <c r="BB39" s="47">
        <v>0</v>
      </c>
      <c r="BC39" s="47">
        <v>0</v>
      </c>
      <c r="BD39" s="47">
        <v>0</v>
      </c>
      <c r="BE39" s="47">
        <v>0</v>
      </c>
      <c r="BF39" s="47">
        <v>0</v>
      </c>
      <c r="BG39" s="47">
        <v>0</v>
      </c>
      <c r="BH39" s="47">
        <v>0</v>
      </c>
      <c r="BI39" s="47">
        <v>0</v>
      </c>
      <c r="BJ39" s="47">
        <v>0</v>
      </c>
      <c r="BK39" s="47">
        <v>0</v>
      </c>
      <c r="BL39" s="47">
        <v>0</v>
      </c>
      <c r="BM39" s="47">
        <v>0</v>
      </c>
      <c r="BN39" s="47">
        <v>0</v>
      </c>
      <c r="BO39" s="47">
        <v>0</v>
      </c>
      <c r="BP39" s="47">
        <v>0</v>
      </c>
      <c r="BQ39" s="47">
        <v>0.1815</v>
      </c>
      <c r="BR39" s="47">
        <v>0.0907</v>
      </c>
      <c r="BS39" s="47">
        <v>0.0907</v>
      </c>
      <c r="BT39" s="47">
        <v>0.0302</v>
      </c>
      <c r="BU39" s="47">
        <v>0.0151</v>
      </c>
      <c r="BV39" s="47">
        <v>0.0151</v>
      </c>
      <c r="BW39" s="47">
        <v>0</v>
      </c>
      <c r="BX39" s="47">
        <v>0</v>
      </c>
      <c r="BY39" s="47">
        <v>0</v>
      </c>
      <c r="BZ39" s="47">
        <v>0</v>
      </c>
      <c r="CA39" s="47">
        <v>0</v>
      </c>
      <c r="CB39" s="47">
        <v>0</v>
      </c>
      <c r="CC39" s="47">
        <v>0</v>
      </c>
      <c r="CD39" s="47">
        <v>0</v>
      </c>
      <c r="CE39" s="47">
        <v>0</v>
      </c>
      <c r="CF39" s="47">
        <v>0</v>
      </c>
      <c r="CG39" s="47">
        <v>0</v>
      </c>
      <c r="CH39" s="47">
        <v>0</v>
      </c>
      <c r="CI39" s="47">
        <v>0</v>
      </c>
      <c r="CJ39" s="47">
        <v>0</v>
      </c>
      <c r="CK39" s="47">
        <v>0</v>
      </c>
      <c r="CL39" s="47">
        <v>0</v>
      </c>
      <c r="CM39" s="47">
        <v>0</v>
      </c>
      <c r="CN39" s="47">
        <v>0</v>
      </c>
      <c r="CO39" s="47">
        <v>0</v>
      </c>
      <c r="CP39" s="47">
        <v>0</v>
      </c>
      <c r="CQ39" s="47">
        <v>0</v>
      </c>
      <c r="CR39" s="47">
        <v>0</v>
      </c>
      <c r="CS39" s="47">
        <v>0</v>
      </c>
      <c r="CT39" s="47">
        <v>0</v>
      </c>
      <c r="CU39" s="47">
        <v>0</v>
      </c>
      <c r="CV39" s="47">
        <v>0</v>
      </c>
      <c r="CW39" s="47">
        <v>0</v>
      </c>
      <c r="CX39" s="47">
        <v>0</v>
      </c>
      <c r="CY39" s="47">
        <v>0.0302</v>
      </c>
      <c r="CZ39" s="47">
        <v>0.0302</v>
      </c>
      <c r="DA39" s="47">
        <v>0</v>
      </c>
      <c r="DB39" s="47">
        <v>0</v>
      </c>
      <c r="DC39" s="47">
        <v>0</v>
      </c>
      <c r="DD39" s="47">
        <v>0</v>
      </c>
      <c r="DE39" s="47">
        <v>0</v>
      </c>
      <c r="DF39" s="47">
        <v>0</v>
      </c>
      <c r="DG39" s="47">
        <v>0</v>
      </c>
      <c r="DH39" s="47">
        <v>0</v>
      </c>
      <c r="DI39" s="47">
        <v>0</v>
      </c>
      <c r="DJ39" s="47">
        <v>0</v>
      </c>
      <c r="DK39" s="47">
        <v>0</v>
      </c>
      <c r="DL39" s="47">
        <v>0</v>
      </c>
      <c r="DM39" s="47">
        <v>0</v>
      </c>
      <c r="DN39" s="47">
        <v>0</v>
      </c>
      <c r="DO39" s="47">
        <v>0</v>
      </c>
      <c r="DP39" s="47">
        <v>0</v>
      </c>
      <c r="DQ39" s="47">
        <v>0</v>
      </c>
      <c r="DR39" s="47">
        <v>0</v>
      </c>
      <c r="DS39" s="47">
        <v>0</v>
      </c>
      <c r="DT39" s="47">
        <v>0</v>
      </c>
      <c r="DU39" s="47">
        <v>0</v>
      </c>
      <c r="DV39" s="47">
        <v>0</v>
      </c>
      <c r="DW39" s="47">
        <v>0</v>
      </c>
      <c r="DX39" s="47">
        <v>0</v>
      </c>
      <c r="DY39" s="47">
        <v>0</v>
      </c>
      <c r="DZ39" s="47"/>
      <c r="EA39" s="47">
        <v>0.3024</v>
      </c>
      <c r="ZZ39" t="s">
        <v>1084</v>
      </c>
    </row>
    <row r="40" spans="1:702" x14ac:dyDescent="0.25">
      <c r="A40" s="47" t="s">
        <v>311</v>
      </c>
      <c r="B40" s="47" t="s">
        <v>151</v>
      </c>
      <c r="C40" s="47" t="s">
        <v>155</v>
      </c>
      <c r="D40" s="47" t="s">
        <v>1116</v>
      </c>
      <c r="E40" s="47" t="s">
        <v>312</v>
      </c>
      <c r="F40" s="47" t="s">
        <v>313</v>
      </c>
      <c r="G40" s="47" t="s">
        <v>314</v>
      </c>
      <c r="H40" s="47" t="s">
        <v>161</v>
      </c>
      <c r="I40" s="47" t="s">
        <v>197</v>
      </c>
      <c r="J40" s="47" t="str">
        <f>=IFERROR(VLOOKUP(H40&amp;I40,Table_Fonctions!A:G,6,FALSE),"")</f>
        <v>0</v>
      </c>
      <c r="K40" s="47" t="s">
        <v>1088</v>
      </c>
      <c r="L40" s="47" t="str">
        <f>=IFERROR(VLOOKUP(H40&amp;I40,Table_Fonctions!A:G,7,FALSE),K40)</f>
        <v/>
      </c>
      <c r="M40" s="47" t="str">
        <f>=IF(OR(LEFT(D40, 3)="TJ ", LEFT(D40, 4)="CPH "), "OUI", "NON")</f>
        <v/>
      </c>
      <c r="N40" s="47" t="s">
        <v>315</v>
      </c>
      <c r="O40" s="47"/>
      <c r="P40" s="47">
        <v>1</v>
      </c>
      <c r="Q40" s="47">
        <v>1</v>
      </c>
      <c r="R40" s="47">
        <v>0</v>
      </c>
      <c r="S40" s="47">
        <f>=ROUND(BQ40-(BR40+BS40),3)</f>
      </c>
      <c r="T40" s="47">
        <f>=ROUND(CK40-(CL40+CM40+CN40+CO40+CP40),3)</f>
      </c>
      <c r="U40" s="47">
        <v>0</v>
      </c>
      <c r="V40" s="47">
        <v>0</v>
      </c>
      <c r="W40" s="47">
        <v>0</v>
      </c>
      <c r="X40" s="47">
        <v>0</v>
      </c>
      <c r="Y40" s="47">
        <v>0</v>
      </c>
      <c r="Z40" s="47">
        <v>0</v>
      </c>
      <c r="AA40" s="47">
        <v>0</v>
      </c>
      <c r="AB40" s="47">
        <v>0</v>
      </c>
      <c r="AC40" s="47">
        <v>0</v>
      </c>
      <c r="AD40" s="47">
        <v>0</v>
      </c>
      <c r="AE40" s="47">
        <v>0</v>
      </c>
      <c r="AF40" s="47">
        <v>0</v>
      </c>
      <c r="AG40" s="47">
        <v>0</v>
      </c>
      <c r="AH40" s="47">
        <v>0</v>
      </c>
      <c r="AI40" s="47">
        <v>0</v>
      </c>
      <c r="AJ40" s="47">
        <v>0</v>
      </c>
      <c r="AK40" s="47">
        <v>0</v>
      </c>
      <c r="AL40" s="47">
        <v>0</v>
      </c>
      <c r="AM40" s="47">
        <v>0</v>
      </c>
      <c r="AN40" s="47">
        <v>0</v>
      </c>
      <c r="AO40" s="47">
        <v>0</v>
      </c>
      <c r="AP40" s="47">
        <v>0</v>
      </c>
      <c r="AQ40" s="47">
        <v>0</v>
      </c>
      <c r="AR40" s="47">
        <v>0</v>
      </c>
      <c r="AS40" s="47">
        <v>0</v>
      </c>
      <c r="AT40" s="47">
        <v>0</v>
      </c>
      <c r="AU40" s="47">
        <v>0</v>
      </c>
      <c r="AV40" s="47">
        <v>0</v>
      </c>
      <c r="AW40" s="47">
        <v>0</v>
      </c>
      <c r="AX40" s="47">
        <v>0</v>
      </c>
      <c r="AY40" s="47">
        <v>0</v>
      </c>
      <c r="AZ40" s="47">
        <v>0</v>
      </c>
      <c r="BA40" s="47">
        <v>0</v>
      </c>
      <c r="BB40" s="47">
        <v>0</v>
      </c>
      <c r="BC40" s="47">
        <v>0</v>
      </c>
      <c r="BD40" s="47">
        <v>0</v>
      </c>
      <c r="BE40" s="47">
        <v>0</v>
      </c>
      <c r="BF40" s="47">
        <v>0</v>
      </c>
      <c r="BG40" s="47">
        <v>0</v>
      </c>
      <c r="BH40" s="47">
        <v>0</v>
      </c>
      <c r="BI40" s="47">
        <v>0</v>
      </c>
      <c r="BJ40" s="47">
        <v>0</v>
      </c>
      <c r="BK40" s="47">
        <v>0</v>
      </c>
      <c r="BL40" s="47">
        <v>0</v>
      </c>
      <c r="BM40" s="47">
        <v>0</v>
      </c>
      <c r="BN40" s="47">
        <v>0</v>
      </c>
      <c r="BO40" s="47">
        <v>0</v>
      </c>
      <c r="BP40" s="47">
        <v>0</v>
      </c>
      <c r="BQ40" s="47">
        <v>0</v>
      </c>
      <c r="BR40" s="47">
        <v>0</v>
      </c>
      <c r="BS40" s="47">
        <v>0</v>
      </c>
      <c r="BT40" s="47">
        <v>0.98</v>
      </c>
      <c r="BU40" s="47">
        <v>0</v>
      </c>
      <c r="BV40" s="47">
        <v>0</v>
      </c>
      <c r="BW40" s="47">
        <v>0</v>
      </c>
      <c r="BX40" s="47">
        <v>0</v>
      </c>
      <c r="BY40" s="47">
        <v>0</v>
      </c>
      <c r="BZ40" s="47">
        <v>0</v>
      </c>
      <c r="CA40" s="47">
        <v>0</v>
      </c>
      <c r="CB40" s="47">
        <v>0.02</v>
      </c>
      <c r="CC40" s="47">
        <v>0</v>
      </c>
      <c r="CD40" s="47">
        <v>0</v>
      </c>
      <c r="CE40" s="47">
        <v>0</v>
      </c>
      <c r="CF40" s="47">
        <v>0</v>
      </c>
      <c r="CG40" s="47">
        <v>0.91</v>
      </c>
      <c r="CH40" s="47">
        <v>0</v>
      </c>
      <c r="CI40" s="47">
        <v>0</v>
      </c>
      <c r="CJ40" s="47">
        <v>0.05</v>
      </c>
      <c r="CK40" s="47">
        <v>0</v>
      </c>
      <c r="CL40" s="47">
        <v>0</v>
      </c>
      <c r="CM40" s="47">
        <v>0</v>
      </c>
      <c r="CN40" s="47">
        <v>0</v>
      </c>
      <c r="CO40" s="47">
        <v>0</v>
      </c>
      <c r="CP40" s="47">
        <v>0</v>
      </c>
      <c r="CQ40" s="47">
        <v>0</v>
      </c>
      <c r="CR40" s="47">
        <v>0</v>
      </c>
      <c r="CS40" s="47">
        <v>0</v>
      </c>
      <c r="CT40" s="47">
        <v>0</v>
      </c>
      <c r="CU40" s="47">
        <v>0</v>
      </c>
      <c r="CV40" s="47">
        <v>0</v>
      </c>
      <c r="CW40" s="47">
        <v>0</v>
      </c>
      <c r="CX40" s="47">
        <v>0</v>
      </c>
      <c r="CY40" s="47">
        <v>0.02</v>
      </c>
      <c r="CZ40" s="47">
        <v>0</v>
      </c>
      <c r="DA40" s="47">
        <v>0.02</v>
      </c>
      <c r="DB40" s="47">
        <v>0</v>
      </c>
      <c r="DC40" s="47">
        <v>0</v>
      </c>
      <c r="DD40" s="47">
        <v>0</v>
      </c>
      <c r="DE40" s="47">
        <v>0</v>
      </c>
      <c r="DF40" s="47">
        <v>0</v>
      </c>
      <c r="DG40" s="47">
        <v>0</v>
      </c>
      <c r="DH40" s="47">
        <v>0</v>
      </c>
      <c r="DI40" s="47">
        <v>0</v>
      </c>
      <c r="DJ40" s="47">
        <v>0</v>
      </c>
      <c r="DK40" s="47">
        <v>0</v>
      </c>
      <c r="DL40" s="47">
        <v>0</v>
      </c>
      <c r="DM40" s="47">
        <v>0</v>
      </c>
      <c r="DN40" s="47">
        <v>0</v>
      </c>
      <c r="DO40" s="47">
        <v>0</v>
      </c>
      <c r="DP40" s="47">
        <v>0</v>
      </c>
      <c r="DQ40" s="47">
        <v>0</v>
      </c>
      <c r="DR40" s="47">
        <v>0</v>
      </c>
      <c r="DS40" s="47">
        <v>0</v>
      </c>
      <c r="DT40" s="47">
        <v>0</v>
      </c>
      <c r="DU40" s="47">
        <v>0</v>
      </c>
      <c r="DV40" s="47">
        <v>0</v>
      </c>
      <c r="DW40" s="47">
        <v>0</v>
      </c>
      <c r="DX40" s="47">
        <v>0</v>
      </c>
      <c r="DY40" s="47">
        <v>0</v>
      </c>
      <c r="DZ40" s="47"/>
      <c r="EA40" s="47">
        <v>1</v>
      </c>
      <c r="ZZ40" t="s">
        <v>1084</v>
      </c>
    </row>
    <row r="41" spans="1:702" x14ac:dyDescent="0.25">
      <c r="A41" s="47" t="s">
        <v>316</v>
      </c>
      <c r="B41" s="47" t="s">
        <v>151</v>
      </c>
      <c r="C41" s="47" t="s">
        <v>155</v>
      </c>
      <c r="D41" s="47" t="s">
        <v>1117</v>
      </c>
      <c r="E41" s="47" t="s">
        <v>317</v>
      </c>
      <c r="F41" s="47" t="s">
        <v>318</v>
      </c>
      <c r="G41" s="47" t="s">
        <v>319</v>
      </c>
      <c r="H41" s="47" t="s">
        <v>161</v>
      </c>
      <c r="I41" s="47" t="s">
        <v>207</v>
      </c>
      <c r="J41" s="47" t="str">
        <f>=IFERROR(VLOOKUP(H41&amp;I41,Table_Fonctions!A:G,6,FALSE),"")</f>
        <v>0</v>
      </c>
      <c r="K41" s="47" t="s">
        <v>1088</v>
      </c>
      <c r="L41" s="47" t="str">
        <f>=IFERROR(VLOOKUP(H41&amp;I41,Table_Fonctions!A:G,7,FALSE),K41)</f>
        <v/>
      </c>
      <c r="M41" s="47" t="str">
        <f>=IF(OR(LEFT(D41, 3)="TJ ", LEFT(D41, 4)="CPH "), "OUI", "NON")</f>
        <v/>
      </c>
      <c r="N41" s="47" t="s">
        <v>320</v>
      </c>
      <c r="O41" s="47"/>
      <c r="P41" s="47">
        <v>1</v>
      </c>
      <c r="Q41" s="47">
        <v>0</v>
      </c>
      <c r="R41" s="47">
        <v>1</v>
      </c>
      <c r="S41" s="47">
        <f>=ROUND(BQ41-(BR41+BS41),3)</f>
      </c>
      <c r="T41" s="47">
        <f>=ROUND(CK41-(CL41+CM41+CN41+CO41+CP41),3)</f>
      </c>
      <c r="U41" s="47">
        <v>0</v>
      </c>
      <c r="V41" s="47">
        <v>0</v>
      </c>
      <c r="W41" s="47">
        <v>0</v>
      </c>
      <c r="X41" s="47">
        <v>0</v>
      </c>
      <c r="Y41" s="47">
        <v>0</v>
      </c>
      <c r="Z41" s="47">
        <v>0</v>
      </c>
      <c r="AA41" s="47">
        <v>0</v>
      </c>
      <c r="AB41" s="47">
        <v>0</v>
      </c>
      <c r="AC41" s="47">
        <v>0</v>
      </c>
      <c r="AD41" s="47">
        <v>0</v>
      </c>
      <c r="AE41" s="47">
        <v>0</v>
      </c>
      <c r="AF41" s="47">
        <v>0</v>
      </c>
      <c r="AG41" s="47">
        <v>0</v>
      </c>
      <c r="AH41" s="47">
        <v>0</v>
      </c>
      <c r="AI41" s="47">
        <v>0</v>
      </c>
      <c r="AJ41" s="47">
        <v>0</v>
      </c>
      <c r="AK41" s="47">
        <v>0</v>
      </c>
      <c r="AL41" s="47">
        <v>0</v>
      </c>
      <c r="AM41" s="47">
        <v>0</v>
      </c>
      <c r="AN41" s="47">
        <v>0</v>
      </c>
      <c r="AO41" s="47">
        <v>0</v>
      </c>
      <c r="AP41" s="47">
        <v>0</v>
      </c>
      <c r="AQ41" s="47">
        <v>0</v>
      </c>
      <c r="AR41" s="47">
        <v>0</v>
      </c>
      <c r="AS41" s="47">
        <v>0</v>
      </c>
      <c r="AT41" s="47">
        <v>0</v>
      </c>
      <c r="AU41" s="47">
        <v>0</v>
      </c>
      <c r="AV41" s="47">
        <v>0</v>
      </c>
      <c r="AW41" s="47">
        <v>0</v>
      </c>
      <c r="AX41" s="47">
        <v>0</v>
      </c>
      <c r="AY41" s="47">
        <v>0</v>
      </c>
      <c r="AZ41" s="47">
        <v>0</v>
      </c>
      <c r="BA41" s="47">
        <v>0</v>
      </c>
      <c r="BB41" s="47">
        <v>0</v>
      </c>
      <c r="BC41" s="47">
        <v>0</v>
      </c>
      <c r="BD41" s="47">
        <v>0</v>
      </c>
      <c r="BE41" s="47">
        <v>0</v>
      </c>
      <c r="BF41" s="47">
        <v>0</v>
      </c>
      <c r="BG41" s="47">
        <v>0</v>
      </c>
      <c r="BH41" s="47">
        <v>0</v>
      </c>
      <c r="BI41" s="47">
        <v>0</v>
      </c>
      <c r="BJ41" s="47">
        <v>0</v>
      </c>
      <c r="BK41" s="47">
        <v>0</v>
      </c>
      <c r="BL41" s="47">
        <v>0</v>
      </c>
      <c r="BM41" s="47">
        <v>0</v>
      </c>
      <c r="BN41" s="47">
        <v>0</v>
      </c>
      <c r="BO41" s="47">
        <v>0</v>
      </c>
      <c r="BP41" s="47">
        <v>0</v>
      </c>
      <c r="BQ41" s="47">
        <v>0</v>
      </c>
      <c r="BR41" s="47">
        <v>0</v>
      </c>
      <c r="BS41" s="47">
        <v>0</v>
      </c>
      <c r="BT41" s="47">
        <v>0</v>
      </c>
      <c r="BU41" s="47">
        <v>0</v>
      </c>
      <c r="BV41" s="47">
        <v>0</v>
      </c>
      <c r="BW41" s="47">
        <v>0</v>
      </c>
      <c r="BX41" s="47">
        <v>0</v>
      </c>
      <c r="BY41" s="47">
        <v>0</v>
      </c>
      <c r="BZ41" s="47">
        <v>0</v>
      </c>
      <c r="CA41" s="47">
        <v>0</v>
      </c>
      <c r="CB41" s="47">
        <v>0</v>
      </c>
      <c r="CC41" s="47">
        <v>0</v>
      </c>
      <c r="CD41" s="47">
        <v>0</v>
      </c>
      <c r="CE41" s="47">
        <v>0</v>
      </c>
      <c r="CF41" s="47">
        <v>0</v>
      </c>
      <c r="CG41" s="47">
        <v>0</v>
      </c>
      <c r="CH41" s="47">
        <v>0</v>
      </c>
      <c r="CI41" s="47">
        <v>0</v>
      </c>
      <c r="CJ41" s="47">
        <v>0</v>
      </c>
      <c r="CK41" s="47">
        <v>0</v>
      </c>
      <c r="CL41" s="47">
        <v>0</v>
      </c>
      <c r="CM41" s="47">
        <v>0</v>
      </c>
      <c r="CN41" s="47">
        <v>0</v>
      </c>
      <c r="CO41" s="47">
        <v>0</v>
      </c>
      <c r="CP41" s="47">
        <v>0</v>
      </c>
      <c r="CQ41" s="47">
        <v>0</v>
      </c>
      <c r="CR41" s="47">
        <v>0</v>
      </c>
      <c r="CS41" s="47">
        <v>0</v>
      </c>
      <c r="CT41" s="47">
        <v>0</v>
      </c>
      <c r="CU41" s="47">
        <v>0</v>
      </c>
      <c r="CV41" s="47">
        <v>0</v>
      </c>
      <c r="CW41" s="47">
        <v>0</v>
      </c>
      <c r="CX41" s="47">
        <v>0</v>
      </c>
      <c r="CY41" s="47">
        <v>0</v>
      </c>
      <c r="CZ41" s="47">
        <v>0</v>
      </c>
      <c r="DA41" s="47">
        <v>0</v>
      </c>
      <c r="DB41" s="47">
        <v>0</v>
      </c>
      <c r="DC41" s="47">
        <v>0</v>
      </c>
      <c r="DD41" s="47">
        <v>0</v>
      </c>
      <c r="DE41" s="47">
        <v>0</v>
      </c>
      <c r="DF41" s="47">
        <v>0</v>
      </c>
      <c r="DG41" s="47">
        <v>0</v>
      </c>
      <c r="DH41" s="47">
        <v>0</v>
      </c>
      <c r="DI41" s="47">
        <v>0</v>
      </c>
      <c r="DJ41" s="47">
        <v>0</v>
      </c>
      <c r="DK41" s="47">
        <v>0</v>
      </c>
      <c r="DL41" s="47">
        <v>0</v>
      </c>
      <c r="DM41" s="47">
        <v>0</v>
      </c>
      <c r="DN41" s="47">
        <v>0</v>
      </c>
      <c r="DO41" s="47">
        <v>0</v>
      </c>
      <c r="DP41" s="47">
        <v>0</v>
      </c>
      <c r="DQ41" s="47">
        <v>0</v>
      </c>
      <c r="DR41" s="47">
        <v>0</v>
      </c>
      <c r="DS41" s="47">
        <v>0</v>
      </c>
      <c r="DT41" s="47">
        <v>0</v>
      </c>
      <c r="DU41" s="47">
        <v>0</v>
      </c>
      <c r="DV41" s="47">
        <v>0</v>
      </c>
      <c r="DW41" s="47">
        <v>0</v>
      </c>
      <c r="DX41" s="47">
        <v>0</v>
      </c>
      <c r="DY41" s="47">
        <v>0</v>
      </c>
      <c r="DZ41" s="47"/>
      <c r="EA41" s="47">
        <v>1</v>
      </c>
      <c r="ZZ41" t="s">
        <v>1084</v>
      </c>
    </row>
    <row r="42" spans="1:702" x14ac:dyDescent="0.25">
      <c r="A42" s="47" t="s">
        <v>321</v>
      </c>
      <c r="B42" s="47" t="s">
        <v>151</v>
      </c>
      <c r="C42" s="47" t="s">
        <v>155</v>
      </c>
      <c r="D42" s="47" t="s">
        <v>1118</v>
      </c>
      <c r="E42" s="47" t="s">
        <v>322</v>
      </c>
      <c r="F42" s="47" t="s">
        <v>323</v>
      </c>
      <c r="G42" s="47" t="s">
        <v>324</v>
      </c>
      <c r="H42" s="47" t="s">
        <v>161</v>
      </c>
      <c r="I42" s="47" t="s">
        <v>1119</v>
      </c>
      <c r="J42" s="47" t="str">
        <f>=IFERROR(VLOOKUP(H42&amp;I42,Table_Fonctions!A:G,6,FALSE),"")</f>
        <v>0</v>
      </c>
      <c r="K42" s="47" t="s">
        <v>1091</v>
      </c>
      <c r="L42" s="47" t="str">
        <f>=IFERROR(VLOOKUP(H42&amp;I42,Table_Fonctions!A:G,7,FALSE),K42)</f>
        <v/>
      </c>
      <c r="M42" s="47" t="str">
        <f>=IF(OR(LEFT(D42, 3)="TJ ", LEFT(D42, 4)="CPH "), "OUI", "NON")</f>
        <v/>
      </c>
      <c r="N42" s="47" t="s">
        <v>169</v>
      </c>
      <c r="O42" s="47"/>
      <c r="P42" s="47">
        <v>0.2839</v>
      </c>
      <c r="Q42" s="47">
        <v>0.2839</v>
      </c>
      <c r="R42" s="47">
        <v>0</v>
      </c>
      <c r="S42" s="47">
        <f>=ROUND(BQ42-(BR42+BS42),3)</f>
      </c>
      <c r="T42" s="47">
        <f>=ROUND(CK42-(CL42+CM42+CN42+CO42+CP42),3)</f>
      </c>
      <c r="U42" s="47">
        <v>0</v>
      </c>
      <c r="V42" s="47">
        <v>0</v>
      </c>
      <c r="W42" s="47">
        <v>0</v>
      </c>
      <c r="X42" s="47">
        <v>0</v>
      </c>
      <c r="Y42" s="47">
        <v>0</v>
      </c>
      <c r="Z42" s="47">
        <v>0</v>
      </c>
      <c r="AA42" s="47">
        <v>0</v>
      </c>
      <c r="AB42" s="47">
        <v>0</v>
      </c>
      <c r="AC42" s="47">
        <v>0</v>
      </c>
      <c r="AD42" s="47">
        <v>0</v>
      </c>
      <c r="AE42" s="47">
        <v>0</v>
      </c>
      <c r="AF42" s="47">
        <v>0</v>
      </c>
      <c r="AG42" s="47">
        <v>0</v>
      </c>
      <c r="AH42" s="47">
        <v>0</v>
      </c>
      <c r="AI42" s="47">
        <v>0</v>
      </c>
      <c r="AJ42" s="47">
        <v>0</v>
      </c>
      <c r="AK42" s="47">
        <v>0</v>
      </c>
      <c r="AL42" s="47">
        <v>0</v>
      </c>
      <c r="AM42" s="47">
        <v>0</v>
      </c>
      <c r="AN42" s="47">
        <v>0</v>
      </c>
      <c r="AO42" s="47">
        <v>0</v>
      </c>
      <c r="AP42" s="47">
        <v>0</v>
      </c>
      <c r="AQ42" s="47">
        <v>0</v>
      </c>
      <c r="AR42" s="47">
        <v>0</v>
      </c>
      <c r="AS42" s="47">
        <v>0</v>
      </c>
      <c r="AT42" s="47">
        <v>0</v>
      </c>
      <c r="AU42" s="47">
        <v>0</v>
      </c>
      <c r="AV42" s="47">
        <v>0</v>
      </c>
      <c r="AW42" s="47">
        <v>0</v>
      </c>
      <c r="AX42" s="47">
        <v>0</v>
      </c>
      <c r="AY42" s="47">
        <v>0</v>
      </c>
      <c r="AZ42" s="47">
        <v>0</v>
      </c>
      <c r="BA42" s="47">
        <v>0</v>
      </c>
      <c r="BB42" s="47">
        <v>0</v>
      </c>
      <c r="BC42" s="47">
        <v>0</v>
      </c>
      <c r="BD42" s="47">
        <v>0</v>
      </c>
      <c r="BE42" s="47">
        <v>0</v>
      </c>
      <c r="BF42" s="47">
        <v>0</v>
      </c>
      <c r="BG42" s="47">
        <v>0</v>
      </c>
      <c r="BH42" s="47">
        <v>0</v>
      </c>
      <c r="BI42" s="47">
        <v>0</v>
      </c>
      <c r="BJ42" s="47">
        <v>0</v>
      </c>
      <c r="BK42" s="47">
        <v>0</v>
      </c>
      <c r="BL42" s="47">
        <v>0</v>
      </c>
      <c r="BM42" s="47">
        <v>0</v>
      </c>
      <c r="BN42" s="47">
        <v>0</v>
      </c>
      <c r="BO42" s="47">
        <v>0</v>
      </c>
      <c r="BP42" s="47">
        <v>0</v>
      </c>
      <c r="BQ42" s="47">
        <v>0</v>
      </c>
      <c r="BR42" s="47">
        <v>0</v>
      </c>
      <c r="BS42" s="47">
        <v>0</v>
      </c>
      <c r="BT42" s="47">
        <v>0</v>
      </c>
      <c r="BU42" s="47">
        <v>0</v>
      </c>
      <c r="BV42" s="47">
        <v>0</v>
      </c>
      <c r="BW42" s="47">
        <v>0</v>
      </c>
      <c r="BX42" s="47">
        <v>0</v>
      </c>
      <c r="BY42" s="47">
        <v>0</v>
      </c>
      <c r="BZ42" s="47">
        <v>0</v>
      </c>
      <c r="CA42" s="47">
        <v>0</v>
      </c>
      <c r="CB42" s="47">
        <v>0</v>
      </c>
      <c r="CC42" s="47">
        <v>0</v>
      </c>
      <c r="CD42" s="47">
        <v>0</v>
      </c>
      <c r="CE42" s="47">
        <v>0</v>
      </c>
      <c r="CF42" s="47">
        <v>0</v>
      </c>
      <c r="CG42" s="47">
        <v>0</v>
      </c>
      <c r="CH42" s="47">
        <v>0</v>
      </c>
      <c r="CI42" s="47">
        <v>0</v>
      </c>
      <c r="CJ42" s="47">
        <v>0</v>
      </c>
      <c r="CK42" s="47">
        <v>0</v>
      </c>
      <c r="CL42" s="47">
        <v>0</v>
      </c>
      <c r="CM42" s="47">
        <v>0</v>
      </c>
      <c r="CN42" s="47">
        <v>0</v>
      </c>
      <c r="CO42" s="47">
        <v>0</v>
      </c>
      <c r="CP42" s="47">
        <v>0</v>
      </c>
      <c r="CQ42" s="47">
        <v>0</v>
      </c>
      <c r="CR42" s="47">
        <v>0</v>
      </c>
      <c r="CS42" s="47">
        <v>0</v>
      </c>
      <c r="CT42" s="47">
        <v>0</v>
      </c>
      <c r="CU42" s="47">
        <v>0</v>
      </c>
      <c r="CV42" s="47">
        <v>0.2697</v>
      </c>
      <c r="CW42" s="47">
        <v>0.2697</v>
      </c>
      <c r="CX42" s="47">
        <v>0</v>
      </c>
      <c r="CY42" s="47">
        <v>0.0142</v>
      </c>
      <c r="CZ42" s="47">
        <v>0.0142</v>
      </c>
      <c r="DA42" s="47">
        <v>0</v>
      </c>
      <c r="DB42" s="47">
        <v>0</v>
      </c>
      <c r="DC42" s="47">
        <v>0</v>
      </c>
      <c r="DD42" s="47">
        <v>0</v>
      </c>
      <c r="DE42" s="47">
        <v>0</v>
      </c>
      <c r="DF42" s="47">
        <v>0</v>
      </c>
      <c r="DG42" s="47">
        <v>0</v>
      </c>
      <c r="DH42" s="47">
        <v>0</v>
      </c>
      <c r="DI42" s="47">
        <v>0</v>
      </c>
      <c r="DJ42" s="47">
        <v>0</v>
      </c>
      <c r="DK42" s="47">
        <v>0.0185</v>
      </c>
      <c r="DL42" s="47">
        <v>0</v>
      </c>
      <c r="DM42" s="47">
        <v>0</v>
      </c>
      <c r="DN42" s="47">
        <v>0.0185</v>
      </c>
      <c r="DO42" s="47">
        <v>0</v>
      </c>
      <c r="DP42" s="47">
        <v>0</v>
      </c>
      <c r="DQ42" s="47">
        <v>0</v>
      </c>
      <c r="DR42" s="47">
        <v>0</v>
      </c>
      <c r="DS42" s="47">
        <v>0</v>
      </c>
      <c r="DT42" s="47">
        <v>0</v>
      </c>
      <c r="DU42" s="47">
        <v>0</v>
      </c>
      <c r="DV42" s="47">
        <v>0</v>
      </c>
      <c r="DW42" s="47">
        <v>0</v>
      </c>
      <c r="DX42" s="47">
        <v>0</v>
      </c>
      <c r="DY42" s="47">
        <v>0</v>
      </c>
      <c r="DZ42" s="47"/>
      <c r="EA42" s="47">
        <v>0.3024</v>
      </c>
      <c r="ZZ42" t="s">
        <v>1084</v>
      </c>
    </row>
    <row r="43" spans="1:702" x14ac:dyDescent="0.25">
      <c r="A43" s="47" t="s">
        <v>326</v>
      </c>
      <c r="B43" s="47" t="s">
        <v>151</v>
      </c>
      <c r="C43" s="47" t="s">
        <v>155</v>
      </c>
      <c r="D43" s="47" t="s">
        <v>1120</v>
      </c>
      <c r="E43" s="47" t="s">
        <v>327</v>
      </c>
      <c r="F43" s="47" t="s">
        <v>328</v>
      </c>
      <c r="G43" s="47" t="s">
        <v>329</v>
      </c>
      <c r="H43" s="47" t="s">
        <v>161</v>
      </c>
      <c r="I43" s="47" t="s">
        <v>192</v>
      </c>
      <c r="J43" s="47" t="str">
        <f>=IFERROR(VLOOKUP(H43&amp;I43,Table_Fonctions!A:G,6,FALSE),"")</f>
        <v>0</v>
      </c>
      <c r="K43" s="47" t="s">
        <v>1088</v>
      </c>
      <c r="L43" s="47" t="str">
        <f>=IFERROR(VLOOKUP(H43&amp;I43,Table_Fonctions!A:G,7,FALSE),K43)</f>
        <v/>
      </c>
      <c r="M43" s="47" t="str">
        <f>=IF(OR(LEFT(D43, 3)="TJ ", LEFT(D43, 4)="CPH "), "OUI", "NON")</f>
        <v/>
      </c>
      <c r="N43" s="47" t="s">
        <v>330</v>
      </c>
      <c r="O43" s="47"/>
      <c r="P43" s="47">
        <v>1</v>
      </c>
      <c r="Q43" s="47">
        <v>1</v>
      </c>
      <c r="R43" s="47">
        <v>0</v>
      </c>
      <c r="S43" s="47">
        <f>=ROUND(BQ43-(BR43+BS43),3)</f>
      </c>
      <c r="T43" s="47">
        <f>=ROUND(CK43-(CL43+CM43+CN43+CO43+CP43),3)</f>
      </c>
      <c r="U43" s="47">
        <v>0</v>
      </c>
      <c r="V43" s="47">
        <v>0</v>
      </c>
      <c r="W43" s="47">
        <v>0</v>
      </c>
      <c r="X43" s="47">
        <v>0</v>
      </c>
      <c r="Y43" s="47">
        <v>0</v>
      </c>
      <c r="Z43" s="47">
        <v>0</v>
      </c>
      <c r="AA43" s="47">
        <v>0</v>
      </c>
      <c r="AB43" s="47">
        <v>0</v>
      </c>
      <c r="AC43" s="47">
        <v>0</v>
      </c>
      <c r="AD43" s="47">
        <v>0</v>
      </c>
      <c r="AE43" s="47">
        <v>0</v>
      </c>
      <c r="AF43" s="47">
        <v>0</v>
      </c>
      <c r="AG43" s="47">
        <v>0</v>
      </c>
      <c r="AH43" s="47">
        <v>0</v>
      </c>
      <c r="AI43" s="47">
        <v>0</v>
      </c>
      <c r="AJ43" s="47">
        <v>0</v>
      </c>
      <c r="AK43" s="47">
        <v>0</v>
      </c>
      <c r="AL43" s="47">
        <v>0</v>
      </c>
      <c r="AM43" s="47">
        <v>0</v>
      </c>
      <c r="AN43" s="47">
        <v>0</v>
      </c>
      <c r="AO43" s="47">
        <v>0</v>
      </c>
      <c r="AP43" s="47">
        <v>0</v>
      </c>
      <c r="AQ43" s="47">
        <v>0</v>
      </c>
      <c r="AR43" s="47">
        <v>0</v>
      </c>
      <c r="AS43" s="47">
        <v>0</v>
      </c>
      <c r="AT43" s="47">
        <v>0</v>
      </c>
      <c r="AU43" s="47">
        <v>0</v>
      </c>
      <c r="AV43" s="47">
        <v>0</v>
      </c>
      <c r="AW43" s="47">
        <v>0</v>
      </c>
      <c r="AX43" s="47">
        <v>0</v>
      </c>
      <c r="AY43" s="47">
        <v>0</v>
      </c>
      <c r="AZ43" s="47">
        <v>0</v>
      </c>
      <c r="BA43" s="47">
        <v>0</v>
      </c>
      <c r="BB43" s="47">
        <v>0</v>
      </c>
      <c r="BC43" s="47">
        <v>0</v>
      </c>
      <c r="BD43" s="47">
        <v>0</v>
      </c>
      <c r="BE43" s="47">
        <v>0</v>
      </c>
      <c r="BF43" s="47">
        <v>0</v>
      </c>
      <c r="BG43" s="47">
        <v>0</v>
      </c>
      <c r="BH43" s="47">
        <v>0</v>
      </c>
      <c r="BI43" s="47">
        <v>0</v>
      </c>
      <c r="BJ43" s="47">
        <v>0</v>
      </c>
      <c r="BK43" s="47">
        <v>0</v>
      </c>
      <c r="BL43" s="47">
        <v>0</v>
      </c>
      <c r="BM43" s="47">
        <v>0</v>
      </c>
      <c r="BN43" s="47">
        <v>0</v>
      </c>
      <c r="BO43" s="47">
        <v>0</v>
      </c>
      <c r="BP43" s="47">
        <v>0</v>
      </c>
      <c r="BQ43" s="47">
        <v>0</v>
      </c>
      <c r="BR43" s="47">
        <v>0</v>
      </c>
      <c r="BS43" s="47">
        <v>0</v>
      </c>
      <c r="BT43" s="47">
        <v>0.05</v>
      </c>
      <c r="BU43" s="47">
        <v>0</v>
      </c>
      <c r="BV43" s="47">
        <v>0</v>
      </c>
      <c r="BW43" s="47">
        <v>0</v>
      </c>
      <c r="BX43" s="47">
        <v>0</v>
      </c>
      <c r="BY43" s="47">
        <v>0</v>
      </c>
      <c r="BZ43" s="47">
        <v>0</v>
      </c>
      <c r="CA43" s="47">
        <v>0</v>
      </c>
      <c r="CB43" s="47">
        <v>0</v>
      </c>
      <c r="CC43" s="47">
        <v>0</v>
      </c>
      <c r="CD43" s="47">
        <v>0</v>
      </c>
      <c r="CE43" s="47">
        <v>0</v>
      </c>
      <c r="CF43" s="47">
        <v>0</v>
      </c>
      <c r="CG43" s="47">
        <v>0</v>
      </c>
      <c r="CH43" s="47">
        <v>0</v>
      </c>
      <c r="CI43" s="47">
        <v>0</v>
      </c>
      <c r="CJ43" s="47">
        <v>0</v>
      </c>
      <c r="CK43" s="47">
        <v>0</v>
      </c>
      <c r="CL43" s="47">
        <v>0</v>
      </c>
      <c r="CM43" s="47">
        <v>0</v>
      </c>
      <c r="CN43" s="47">
        <v>0</v>
      </c>
      <c r="CO43" s="47">
        <v>0</v>
      </c>
      <c r="CP43" s="47">
        <v>0</v>
      </c>
      <c r="CQ43" s="47">
        <v>0.8</v>
      </c>
      <c r="CR43" s="47">
        <v>0</v>
      </c>
      <c r="CS43" s="47">
        <v>0</v>
      </c>
      <c r="CT43" s="47">
        <v>0</v>
      </c>
      <c r="CU43" s="47">
        <v>0</v>
      </c>
      <c r="CV43" s="47">
        <v>0</v>
      </c>
      <c r="CW43" s="47">
        <v>0</v>
      </c>
      <c r="CX43" s="47">
        <v>0</v>
      </c>
      <c r="CY43" s="47">
        <v>0.15</v>
      </c>
      <c r="CZ43" s="47">
        <v>0.125</v>
      </c>
      <c r="DA43" s="47">
        <v>0.025</v>
      </c>
      <c r="DB43" s="47">
        <v>0</v>
      </c>
      <c r="DC43" s="47">
        <v>0</v>
      </c>
      <c r="DD43" s="47">
        <v>0</v>
      </c>
      <c r="DE43" s="47">
        <v>0</v>
      </c>
      <c r="DF43" s="47">
        <v>0</v>
      </c>
      <c r="DG43" s="47">
        <v>0</v>
      </c>
      <c r="DH43" s="47">
        <v>0</v>
      </c>
      <c r="DI43" s="47">
        <v>0</v>
      </c>
      <c r="DJ43" s="47">
        <v>0</v>
      </c>
      <c r="DK43" s="47">
        <v>0</v>
      </c>
      <c r="DL43" s="47">
        <v>0</v>
      </c>
      <c r="DM43" s="47">
        <v>0</v>
      </c>
      <c r="DN43" s="47">
        <v>0</v>
      </c>
      <c r="DO43" s="47">
        <v>0</v>
      </c>
      <c r="DP43" s="47">
        <v>0</v>
      </c>
      <c r="DQ43" s="47">
        <v>0</v>
      </c>
      <c r="DR43" s="47">
        <v>0</v>
      </c>
      <c r="DS43" s="47">
        <v>0</v>
      </c>
      <c r="DT43" s="47">
        <v>0</v>
      </c>
      <c r="DU43" s="47">
        <v>0</v>
      </c>
      <c r="DV43" s="47">
        <v>0</v>
      </c>
      <c r="DW43" s="47">
        <v>0</v>
      </c>
      <c r="DX43" s="47">
        <v>0</v>
      </c>
      <c r="DY43" s="47">
        <v>0</v>
      </c>
      <c r="DZ43" s="47"/>
      <c r="EA43" s="47">
        <v>1</v>
      </c>
      <c r="ZZ43" t="s">
        <v>1084</v>
      </c>
    </row>
    <row r="44" spans="1:702" x14ac:dyDescent="0.25">
      <c r="A44" s="47" t="s">
        <v>331</v>
      </c>
      <c r="B44" s="47" t="s">
        <v>151</v>
      </c>
      <c r="C44" s="47" t="s">
        <v>155</v>
      </c>
      <c r="D44" s="47" t="s">
        <v>1121</v>
      </c>
      <c r="E44" s="47" t="s">
        <v>332</v>
      </c>
      <c r="F44" s="47" t="s">
        <v>333</v>
      </c>
      <c r="G44" s="47" t="s">
        <v>334</v>
      </c>
      <c r="H44" s="47" t="s">
        <v>161</v>
      </c>
      <c r="I44" s="47" t="s">
        <v>1090</v>
      </c>
      <c r="J44" s="47" t="str">
        <f>=IFERROR(VLOOKUP(H44&amp;I44,Table_Fonctions!A:G,6,FALSE),"")</f>
        <v>0</v>
      </c>
      <c r="K44" s="47" t="s">
        <v>1091</v>
      </c>
      <c r="L44" s="47" t="str">
        <f>=IFERROR(VLOOKUP(H44&amp;I44,Table_Fonctions!A:G,7,FALSE),K44)</f>
        <v/>
      </c>
      <c r="M44" s="47" t="str">
        <f>=IF(OR(LEFT(D44, 3)="TJ ", LEFT(D44, 4)="CPH "), "OUI", "NON")</f>
        <v/>
      </c>
      <c r="N44" s="47" t="s">
        <v>169</v>
      </c>
      <c r="O44" s="47"/>
      <c r="P44" s="47">
        <v>0.3024</v>
      </c>
      <c r="Q44" s="47">
        <v>0.3024</v>
      </c>
      <c r="R44" s="47">
        <v>0</v>
      </c>
      <c r="S44" s="47">
        <f>=ROUND(BQ44-(BR44+BS44),3)</f>
      </c>
      <c r="T44" s="47">
        <f>=ROUND(CK44-(CL44+CM44+CN44+CO44+CP44),3)</f>
      </c>
      <c r="U44" s="47">
        <v>0</v>
      </c>
      <c r="V44" s="47">
        <v>0</v>
      </c>
      <c r="W44" s="47">
        <v>0</v>
      </c>
      <c r="X44" s="47">
        <v>0</v>
      </c>
      <c r="Y44" s="47">
        <v>0</v>
      </c>
      <c r="Z44" s="47">
        <v>0</v>
      </c>
      <c r="AA44" s="47">
        <v>0</v>
      </c>
      <c r="AB44" s="47">
        <v>0</v>
      </c>
      <c r="AC44" s="47">
        <v>0</v>
      </c>
      <c r="AD44" s="47">
        <v>0</v>
      </c>
      <c r="AE44" s="47">
        <v>0</v>
      </c>
      <c r="AF44" s="47">
        <v>0</v>
      </c>
      <c r="AG44" s="47">
        <v>0</v>
      </c>
      <c r="AH44" s="47">
        <v>0</v>
      </c>
      <c r="AI44" s="47">
        <v>0</v>
      </c>
      <c r="AJ44" s="47">
        <v>0.1996</v>
      </c>
      <c r="AK44" s="47">
        <v>0.0998</v>
      </c>
      <c r="AL44" s="47">
        <v>0</v>
      </c>
      <c r="AM44" s="47">
        <v>0.0484</v>
      </c>
      <c r="AN44" s="47">
        <v>0.0363</v>
      </c>
      <c r="AO44" s="47">
        <v>0.0151</v>
      </c>
      <c r="AP44" s="47">
        <v>0</v>
      </c>
      <c r="AQ44" s="47">
        <v>0</v>
      </c>
      <c r="AR44" s="47">
        <v>0</v>
      </c>
      <c r="AS44" s="47">
        <v>0.0212</v>
      </c>
      <c r="AT44" s="47">
        <v>0.0212</v>
      </c>
      <c r="AU44" s="47">
        <v>0</v>
      </c>
      <c r="AV44" s="47">
        <v>0</v>
      </c>
      <c r="AW44" s="47">
        <v>0</v>
      </c>
      <c r="AX44" s="47">
        <v>0</v>
      </c>
      <c r="AY44" s="47">
        <v>0</v>
      </c>
      <c r="AZ44" s="47">
        <v>0</v>
      </c>
      <c r="BA44" s="47">
        <v>0</v>
      </c>
      <c r="BB44" s="47">
        <v>0</v>
      </c>
      <c r="BC44" s="47">
        <v>0</v>
      </c>
      <c r="BD44" s="47">
        <v>0</v>
      </c>
      <c r="BE44" s="47">
        <v>0</v>
      </c>
      <c r="BF44" s="47">
        <v>0</v>
      </c>
      <c r="BG44" s="47">
        <v>0</v>
      </c>
      <c r="BH44" s="47">
        <v>0</v>
      </c>
      <c r="BI44" s="47">
        <v>0</v>
      </c>
      <c r="BJ44" s="47">
        <v>0</v>
      </c>
      <c r="BK44" s="47">
        <v>0</v>
      </c>
      <c r="BL44" s="47">
        <v>0</v>
      </c>
      <c r="BM44" s="47">
        <v>0.0302</v>
      </c>
      <c r="BN44" s="47">
        <v>0</v>
      </c>
      <c r="BO44" s="47">
        <v>0.0302</v>
      </c>
      <c r="BP44" s="47">
        <v>0</v>
      </c>
      <c r="BQ44" s="47">
        <v>0</v>
      </c>
      <c r="BR44" s="47">
        <v>0</v>
      </c>
      <c r="BS44" s="47">
        <v>0</v>
      </c>
      <c r="BT44" s="47">
        <v>0.0272</v>
      </c>
      <c r="BU44" s="47">
        <v>0.0091</v>
      </c>
      <c r="BV44" s="47">
        <v>0</v>
      </c>
      <c r="BW44" s="47">
        <v>0</v>
      </c>
      <c r="BX44" s="47">
        <v>0</v>
      </c>
      <c r="BY44" s="47">
        <v>0</v>
      </c>
      <c r="BZ44" s="47">
        <v>0</v>
      </c>
      <c r="CA44" s="47">
        <v>0</v>
      </c>
      <c r="CB44" s="47">
        <v>0.006</v>
      </c>
      <c r="CC44" s="47">
        <v>0.0121</v>
      </c>
      <c r="CD44" s="47">
        <v>0</v>
      </c>
      <c r="CE44" s="47">
        <v>0</v>
      </c>
      <c r="CF44" s="47">
        <v>0</v>
      </c>
      <c r="CG44" s="47">
        <v>0</v>
      </c>
      <c r="CH44" s="47">
        <v>0</v>
      </c>
      <c r="CI44" s="47">
        <v>0</v>
      </c>
      <c r="CJ44" s="47">
        <v>0</v>
      </c>
      <c r="CK44" s="47">
        <v>0</v>
      </c>
      <c r="CL44" s="47">
        <v>0</v>
      </c>
      <c r="CM44" s="47">
        <v>0</v>
      </c>
      <c r="CN44" s="47">
        <v>0</v>
      </c>
      <c r="CO44" s="47">
        <v>0</v>
      </c>
      <c r="CP44" s="47">
        <v>0</v>
      </c>
      <c r="CQ44" s="47">
        <v>0</v>
      </c>
      <c r="CR44" s="47">
        <v>0</v>
      </c>
      <c r="CS44" s="47">
        <v>0</v>
      </c>
      <c r="CT44" s="47">
        <v>0</v>
      </c>
      <c r="CU44" s="47">
        <v>0</v>
      </c>
      <c r="CV44" s="47">
        <v>0</v>
      </c>
      <c r="CW44" s="47">
        <v>0</v>
      </c>
      <c r="CX44" s="47">
        <v>0</v>
      </c>
      <c r="CY44" s="47">
        <v>0.0242</v>
      </c>
      <c r="CZ44" s="47">
        <v>0.0091</v>
      </c>
      <c r="DA44" s="47">
        <v>0.0151</v>
      </c>
      <c r="DB44" s="47">
        <v>0</v>
      </c>
      <c r="DC44" s="47">
        <v>0</v>
      </c>
      <c r="DD44" s="47">
        <v>0</v>
      </c>
      <c r="DE44" s="47">
        <v>0</v>
      </c>
      <c r="DF44" s="47">
        <v>0</v>
      </c>
      <c r="DG44" s="47">
        <v>0</v>
      </c>
      <c r="DH44" s="47">
        <v>0</v>
      </c>
      <c r="DI44" s="47">
        <v>0</v>
      </c>
      <c r="DJ44" s="47">
        <v>0</v>
      </c>
      <c r="DK44" s="47">
        <v>0</v>
      </c>
      <c r="DL44" s="47">
        <v>0</v>
      </c>
      <c r="DM44" s="47">
        <v>0</v>
      </c>
      <c r="DN44" s="47">
        <v>0</v>
      </c>
      <c r="DO44" s="47">
        <v>0</v>
      </c>
      <c r="DP44" s="47">
        <v>0</v>
      </c>
      <c r="DQ44" s="47">
        <v>0</v>
      </c>
      <c r="DR44" s="47">
        <v>0</v>
      </c>
      <c r="DS44" s="47">
        <v>0</v>
      </c>
      <c r="DT44" s="47">
        <v>0</v>
      </c>
      <c r="DU44" s="47">
        <v>0</v>
      </c>
      <c r="DV44" s="47">
        <v>0</v>
      </c>
      <c r="DW44" s="47">
        <v>0</v>
      </c>
      <c r="DX44" s="47">
        <v>0</v>
      </c>
      <c r="DY44" s="47">
        <v>0</v>
      </c>
      <c r="DZ44" s="47"/>
      <c r="EA44" s="47">
        <v>0.3024</v>
      </c>
      <c r="ZZ44" t="s">
        <v>1084</v>
      </c>
    </row>
    <row r="45" spans="1:702" x14ac:dyDescent="0.25">
      <c r="A45" s="47" t="s">
        <v>335</v>
      </c>
      <c r="B45" s="47" t="s">
        <v>151</v>
      </c>
      <c r="C45" s="47" t="s">
        <v>155</v>
      </c>
      <c r="D45" s="47" t="s">
        <v>1122</v>
      </c>
      <c r="E45" s="47" t="s">
        <v>336</v>
      </c>
      <c r="F45" s="47" t="s">
        <v>337</v>
      </c>
      <c r="G45" s="47" t="s">
        <v>338</v>
      </c>
      <c r="H45" s="47" t="s">
        <v>161</v>
      </c>
      <c r="I45" s="47" t="s">
        <v>207</v>
      </c>
      <c r="J45" s="47" t="str">
        <f>=IFERROR(VLOOKUP(H45&amp;I45,Table_Fonctions!A:G,6,FALSE),"")</f>
        <v>0</v>
      </c>
      <c r="K45" s="47" t="s">
        <v>1088</v>
      </c>
      <c r="L45" s="47" t="str">
        <f>=IFERROR(VLOOKUP(H45&amp;I45,Table_Fonctions!A:G,7,FALSE),K45)</f>
        <v/>
      </c>
      <c r="M45" s="47" t="str">
        <f>=IF(OR(LEFT(D45, 3)="TJ ", LEFT(D45, 4)="CPH "), "OUI", "NON")</f>
        <v/>
      </c>
      <c r="N45" s="47" t="s">
        <v>339</v>
      </c>
      <c r="O45" s="47"/>
      <c r="P45" s="47">
        <v>1</v>
      </c>
      <c r="Q45" s="47">
        <v>0</v>
      </c>
      <c r="R45" s="47">
        <v>1</v>
      </c>
      <c r="S45" s="47">
        <f>=ROUND(BQ45-(BR45+BS45),3)</f>
      </c>
      <c r="T45" s="47">
        <f>=ROUND(CK45-(CL45+CM45+CN45+CO45+CP45),3)</f>
      </c>
      <c r="U45" s="47">
        <v>0</v>
      </c>
      <c r="V45" s="47">
        <v>0</v>
      </c>
      <c r="W45" s="47">
        <v>0</v>
      </c>
      <c r="X45" s="47">
        <v>0</v>
      </c>
      <c r="Y45" s="47">
        <v>0</v>
      </c>
      <c r="Z45" s="47">
        <v>0</v>
      </c>
      <c r="AA45" s="47">
        <v>0</v>
      </c>
      <c r="AB45" s="47">
        <v>0</v>
      </c>
      <c r="AC45" s="47">
        <v>0</v>
      </c>
      <c r="AD45" s="47">
        <v>0</v>
      </c>
      <c r="AE45" s="47">
        <v>0</v>
      </c>
      <c r="AF45" s="47">
        <v>0</v>
      </c>
      <c r="AG45" s="47">
        <v>0</v>
      </c>
      <c r="AH45" s="47">
        <v>0</v>
      </c>
      <c r="AI45" s="47">
        <v>0</v>
      </c>
      <c r="AJ45" s="47">
        <v>0</v>
      </c>
      <c r="AK45" s="47">
        <v>0</v>
      </c>
      <c r="AL45" s="47">
        <v>0</v>
      </c>
      <c r="AM45" s="47">
        <v>0</v>
      </c>
      <c r="AN45" s="47">
        <v>0</v>
      </c>
      <c r="AO45" s="47">
        <v>0</v>
      </c>
      <c r="AP45" s="47">
        <v>0</v>
      </c>
      <c r="AQ45" s="47">
        <v>0</v>
      </c>
      <c r="AR45" s="47">
        <v>0</v>
      </c>
      <c r="AS45" s="47">
        <v>0</v>
      </c>
      <c r="AT45" s="47">
        <v>0</v>
      </c>
      <c r="AU45" s="47">
        <v>0</v>
      </c>
      <c r="AV45" s="47">
        <v>0</v>
      </c>
      <c r="AW45" s="47">
        <v>0</v>
      </c>
      <c r="AX45" s="47">
        <v>0</v>
      </c>
      <c r="AY45" s="47">
        <v>0</v>
      </c>
      <c r="AZ45" s="47">
        <v>0</v>
      </c>
      <c r="BA45" s="47">
        <v>0</v>
      </c>
      <c r="BB45" s="47">
        <v>0</v>
      </c>
      <c r="BC45" s="47">
        <v>0</v>
      </c>
      <c r="BD45" s="47">
        <v>0</v>
      </c>
      <c r="BE45" s="47">
        <v>0</v>
      </c>
      <c r="BF45" s="47">
        <v>0</v>
      </c>
      <c r="BG45" s="47">
        <v>0</v>
      </c>
      <c r="BH45" s="47">
        <v>0</v>
      </c>
      <c r="BI45" s="47">
        <v>0</v>
      </c>
      <c r="BJ45" s="47">
        <v>0</v>
      </c>
      <c r="BK45" s="47">
        <v>0</v>
      </c>
      <c r="BL45" s="47">
        <v>0</v>
      </c>
      <c r="BM45" s="47">
        <v>0</v>
      </c>
      <c r="BN45" s="47">
        <v>0</v>
      </c>
      <c r="BO45" s="47">
        <v>0</v>
      </c>
      <c r="BP45" s="47">
        <v>0</v>
      </c>
      <c r="BQ45" s="47">
        <v>0</v>
      </c>
      <c r="BR45" s="47">
        <v>0</v>
      </c>
      <c r="BS45" s="47">
        <v>0</v>
      </c>
      <c r="BT45" s="47">
        <v>0</v>
      </c>
      <c r="BU45" s="47">
        <v>0</v>
      </c>
      <c r="BV45" s="47">
        <v>0</v>
      </c>
      <c r="BW45" s="47">
        <v>0</v>
      </c>
      <c r="BX45" s="47">
        <v>0</v>
      </c>
      <c r="BY45" s="47">
        <v>0</v>
      </c>
      <c r="BZ45" s="47">
        <v>0</v>
      </c>
      <c r="CA45" s="47">
        <v>0</v>
      </c>
      <c r="CB45" s="47">
        <v>0</v>
      </c>
      <c r="CC45" s="47">
        <v>0</v>
      </c>
      <c r="CD45" s="47">
        <v>0</v>
      </c>
      <c r="CE45" s="47">
        <v>0</v>
      </c>
      <c r="CF45" s="47">
        <v>0</v>
      </c>
      <c r="CG45" s="47">
        <v>0</v>
      </c>
      <c r="CH45" s="47">
        <v>0</v>
      </c>
      <c r="CI45" s="47">
        <v>0</v>
      </c>
      <c r="CJ45" s="47">
        <v>0</v>
      </c>
      <c r="CK45" s="47">
        <v>0</v>
      </c>
      <c r="CL45" s="47">
        <v>0</v>
      </c>
      <c r="CM45" s="47">
        <v>0</v>
      </c>
      <c r="CN45" s="47">
        <v>0</v>
      </c>
      <c r="CO45" s="47">
        <v>0</v>
      </c>
      <c r="CP45" s="47">
        <v>0</v>
      </c>
      <c r="CQ45" s="47">
        <v>0</v>
      </c>
      <c r="CR45" s="47">
        <v>0</v>
      </c>
      <c r="CS45" s="47">
        <v>0</v>
      </c>
      <c r="CT45" s="47">
        <v>0</v>
      </c>
      <c r="CU45" s="47">
        <v>0</v>
      </c>
      <c r="CV45" s="47">
        <v>0</v>
      </c>
      <c r="CW45" s="47">
        <v>0</v>
      </c>
      <c r="CX45" s="47">
        <v>0</v>
      </c>
      <c r="CY45" s="47">
        <v>0</v>
      </c>
      <c r="CZ45" s="47">
        <v>0</v>
      </c>
      <c r="DA45" s="47">
        <v>0</v>
      </c>
      <c r="DB45" s="47">
        <v>0</v>
      </c>
      <c r="DC45" s="47">
        <v>0</v>
      </c>
      <c r="DD45" s="47">
        <v>0</v>
      </c>
      <c r="DE45" s="47">
        <v>0</v>
      </c>
      <c r="DF45" s="47">
        <v>0</v>
      </c>
      <c r="DG45" s="47">
        <v>0</v>
      </c>
      <c r="DH45" s="47">
        <v>0</v>
      </c>
      <c r="DI45" s="47">
        <v>0</v>
      </c>
      <c r="DJ45" s="47">
        <v>0</v>
      </c>
      <c r="DK45" s="47">
        <v>0</v>
      </c>
      <c r="DL45" s="47">
        <v>0</v>
      </c>
      <c r="DM45" s="47">
        <v>0</v>
      </c>
      <c r="DN45" s="47">
        <v>0</v>
      </c>
      <c r="DO45" s="47">
        <v>0</v>
      </c>
      <c r="DP45" s="47">
        <v>0</v>
      </c>
      <c r="DQ45" s="47">
        <v>0</v>
      </c>
      <c r="DR45" s="47">
        <v>0</v>
      </c>
      <c r="DS45" s="47">
        <v>0</v>
      </c>
      <c r="DT45" s="47">
        <v>0</v>
      </c>
      <c r="DU45" s="47">
        <v>0</v>
      </c>
      <c r="DV45" s="47">
        <v>0</v>
      </c>
      <c r="DW45" s="47">
        <v>0</v>
      </c>
      <c r="DX45" s="47">
        <v>0</v>
      </c>
      <c r="DY45" s="47">
        <v>0</v>
      </c>
      <c r="DZ45" s="47"/>
      <c r="EA45" s="47">
        <v>1</v>
      </c>
      <c r="ZZ45" t="s">
        <v>1084</v>
      </c>
    </row>
    <row r="46" spans="1:702" x14ac:dyDescent="0.25">
      <c r="A46" s="47" t="s">
        <v>340</v>
      </c>
      <c r="B46" s="47" t="s">
        <v>151</v>
      </c>
      <c r="C46" s="47" t="s">
        <v>155</v>
      </c>
      <c r="D46" s="47" t="s">
        <v>1123</v>
      </c>
      <c r="E46" s="47" t="s">
        <v>341</v>
      </c>
      <c r="F46" s="47" t="s">
        <v>342</v>
      </c>
      <c r="G46" s="47" t="s">
        <v>343</v>
      </c>
      <c r="H46" s="47" t="s">
        <v>161</v>
      </c>
      <c r="I46" s="47" t="s">
        <v>207</v>
      </c>
      <c r="J46" s="47" t="str">
        <f>=IFERROR(VLOOKUP(H46&amp;I46,Table_Fonctions!A:G,6,FALSE),"")</f>
        <v>0</v>
      </c>
      <c r="K46" s="47" t="s">
        <v>1088</v>
      </c>
      <c r="L46" s="47" t="str">
        <f>=IFERROR(VLOOKUP(H46&amp;I46,Table_Fonctions!A:G,7,FALSE),K46)</f>
        <v/>
      </c>
      <c r="M46" s="47" t="str">
        <f>=IF(OR(LEFT(D46, 3)="TJ ", LEFT(D46, 4)="CPH "), "OUI", "NON")</f>
        <v/>
      </c>
      <c r="N46" s="47" t="s">
        <v>208</v>
      </c>
      <c r="O46" s="47"/>
      <c r="P46" s="47">
        <v>1</v>
      </c>
      <c r="Q46" s="47">
        <v>1</v>
      </c>
      <c r="R46" s="47">
        <v>0</v>
      </c>
      <c r="S46" s="47">
        <f>=ROUND(BQ46-(BR46+BS46),3)</f>
      </c>
      <c r="T46" s="47">
        <f>=ROUND(CK46-(CL46+CM46+CN46+CO46+CP46),3)</f>
      </c>
      <c r="U46" s="47">
        <v>0</v>
      </c>
      <c r="V46" s="47">
        <v>0</v>
      </c>
      <c r="W46" s="47">
        <v>0</v>
      </c>
      <c r="X46" s="47">
        <v>0</v>
      </c>
      <c r="Y46" s="47">
        <v>0</v>
      </c>
      <c r="Z46" s="47">
        <v>0.833</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0.085</v>
      </c>
      <c r="BU46" s="47">
        <v>0</v>
      </c>
      <c r="BV46" s="47">
        <v>0.022</v>
      </c>
      <c r="BW46" s="47">
        <v>0</v>
      </c>
      <c r="BX46" s="47">
        <v>0</v>
      </c>
      <c r="BY46" s="47">
        <v>0</v>
      </c>
      <c r="BZ46" s="47">
        <v>0</v>
      </c>
      <c r="CA46" s="47">
        <v>0</v>
      </c>
      <c r="CB46" s="47">
        <v>0.04</v>
      </c>
      <c r="CC46" s="47">
        <v>0.023</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0.082</v>
      </c>
      <c r="CZ46" s="47">
        <v>0.058</v>
      </c>
      <c r="DA46" s="47">
        <v>0.024</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0.2621</v>
      </c>
      <c r="DW46" s="47">
        <v>0</v>
      </c>
      <c r="DX46" s="47">
        <v>0</v>
      </c>
      <c r="DY46" s="47">
        <v>0.2621</v>
      </c>
      <c r="DZ46" s="47"/>
      <c r="EA46" s="47">
        <v>1</v>
      </c>
      <c r="ZZ46" t="s">
        <v>1084</v>
      </c>
    </row>
    <row r="47" spans="1:702" x14ac:dyDescent="0.25">
      <c r="A47" s="47" t="s">
        <v>344</v>
      </c>
      <c r="B47" s="47" t="s">
        <v>151</v>
      </c>
      <c r="C47" s="47" t="s">
        <v>155</v>
      </c>
      <c r="D47" s="47" t="s">
        <v>1124</v>
      </c>
      <c r="E47" s="47" t="s">
        <v>345</v>
      </c>
      <c r="F47" s="47" t="s">
        <v>346</v>
      </c>
      <c r="G47" s="47" t="s">
        <v>347</v>
      </c>
      <c r="H47" s="47" t="s">
        <v>161</v>
      </c>
      <c r="I47" s="47" t="s">
        <v>162</v>
      </c>
      <c r="J47" s="47" t="str">
        <f>=IFERROR(VLOOKUP(H47&amp;I47,Table_Fonctions!A:G,6,FALSE),"")</f>
        <v>0</v>
      </c>
      <c r="K47" s="47" t="s">
        <v>1088</v>
      </c>
      <c r="L47" s="47" t="str">
        <f>=IFERROR(VLOOKUP(H47&amp;I47,Table_Fonctions!A:G,7,FALSE),K47)</f>
        <v/>
      </c>
      <c r="M47" s="47" t="str">
        <f>=IF(OR(LEFT(D47, 3)="TJ ", LEFT(D47, 4)="CPH "), "OUI", "NON")</f>
        <v/>
      </c>
      <c r="N47" s="47" t="s">
        <v>348</v>
      </c>
      <c r="O47" s="47"/>
      <c r="P47" s="47">
        <v>1</v>
      </c>
      <c r="Q47" s="47">
        <v>1</v>
      </c>
      <c r="R47" s="47">
        <v>0</v>
      </c>
      <c r="S47" s="47">
        <f>=ROUND(BQ47-(BR47+BS47),3)</f>
      </c>
      <c r="T47" s="47">
        <f>=ROUND(CK47-(CL47+CM47+CN47+CO47+CP47),3)</f>
      </c>
      <c r="U47" s="47">
        <v>0</v>
      </c>
      <c r="V47" s="47">
        <v>0</v>
      </c>
      <c r="W47" s="47">
        <v>0</v>
      </c>
      <c r="X47" s="47">
        <v>0</v>
      </c>
      <c r="Y47" s="47">
        <v>0</v>
      </c>
      <c r="Z47" s="47">
        <v>0.86</v>
      </c>
      <c r="AA47" s="47">
        <v>0</v>
      </c>
      <c r="AB47" s="47">
        <v>0</v>
      </c>
      <c r="AC47" s="47">
        <v>0</v>
      </c>
      <c r="AD47" s="47">
        <v>0</v>
      </c>
      <c r="AE47" s="47">
        <v>0</v>
      </c>
      <c r="AF47" s="47">
        <v>0</v>
      </c>
      <c r="AG47" s="47">
        <v>0</v>
      </c>
      <c r="AH47" s="47">
        <v>0</v>
      </c>
      <c r="AI47" s="47">
        <v>0</v>
      </c>
      <c r="AJ47" s="47">
        <v>0</v>
      </c>
      <c r="AK47" s="47">
        <v>0</v>
      </c>
      <c r="AL47" s="47">
        <v>0</v>
      </c>
      <c r="AM47" s="47">
        <v>0</v>
      </c>
      <c r="AN47" s="47">
        <v>0</v>
      </c>
      <c r="AO47" s="47">
        <v>0</v>
      </c>
      <c r="AP47" s="47">
        <v>0</v>
      </c>
      <c r="AQ47" s="47">
        <v>0</v>
      </c>
      <c r="AR47" s="47">
        <v>0</v>
      </c>
      <c r="AS47" s="47">
        <v>0</v>
      </c>
      <c r="AT47" s="47">
        <v>0</v>
      </c>
      <c r="AU47" s="47">
        <v>0</v>
      </c>
      <c r="AV47" s="47">
        <v>0</v>
      </c>
      <c r="AW47" s="47">
        <v>0</v>
      </c>
      <c r="AX47" s="47">
        <v>0</v>
      </c>
      <c r="AY47" s="47">
        <v>0</v>
      </c>
      <c r="AZ47" s="47">
        <v>0</v>
      </c>
      <c r="BA47" s="47">
        <v>0</v>
      </c>
      <c r="BB47" s="47">
        <v>0</v>
      </c>
      <c r="BC47" s="47">
        <v>0</v>
      </c>
      <c r="BD47" s="47">
        <v>0</v>
      </c>
      <c r="BE47" s="47">
        <v>0</v>
      </c>
      <c r="BF47" s="47">
        <v>0</v>
      </c>
      <c r="BG47" s="47">
        <v>0</v>
      </c>
      <c r="BH47" s="47">
        <v>0</v>
      </c>
      <c r="BI47" s="47">
        <v>0</v>
      </c>
      <c r="BJ47" s="47">
        <v>0</v>
      </c>
      <c r="BK47" s="47">
        <v>0</v>
      </c>
      <c r="BL47" s="47">
        <v>0</v>
      </c>
      <c r="BM47" s="47">
        <v>0</v>
      </c>
      <c r="BN47" s="47">
        <v>0</v>
      </c>
      <c r="BO47" s="47">
        <v>0</v>
      </c>
      <c r="BP47" s="47">
        <v>0</v>
      </c>
      <c r="BQ47" s="47">
        <v>0</v>
      </c>
      <c r="BR47" s="47">
        <v>0</v>
      </c>
      <c r="BS47" s="47">
        <v>0</v>
      </c>
      <c r="BT47" s="47">
        <v>0.04</v>
      </c>
      <c r="BU47" s="47">
        <v>0</v>
      </c>
      <c r="BV47" s="47">
        <v>0.03</v>
      </c>
      <c r="BW47" s="47">
        <v>0</v>
      </c>
      <c r="BX47" s="47">
        <v>0</v>
      </c>
      <c r="BY47" s="47">
        <v>0</v>
      </c>
      <c r="BZ47" s="47">
        <v>0</v>
      </c>
      <c r="CA47" s="47">
        <v>0</v>
      </c>
      <c r="CB47" s="47">
        <v>0.01</v>
      </c>
      <c r="CC47" s="47">
        <v>0</v>
      </c>
      <c r="CD47" s="47">
        <v>0</v>
      </c>
      <c r="CE47" s="47">
        <v>0</v>
      </c>
      <c r="CF47" s="47">
        <v>0</v>
      </c>
      <c r="CG47" s="47">
        <v>0</v>
      </c>
      <c r="CH47" s="47">
        <v>0</v>
      </c>
      <c r="CI47" s="47">
        <v>0</v>
      </c>
      <c r="CJ47" s="47">
        <v>0</v>
      </c>
      <c r="CK47" s="47">
        <v>0</v>
      </c>
      <c r="CL47" s="47">
        <v>0</v>
      </c>
      <c r="CM47" s="47">
        <v>0</v>
      </c>
      <c r="CN47" s="47">
        <v>0</v>
      </c>
      <c r="CO47" s="47">
        <v>0</v>
      </c>
      <c r="CP47" s="47">
        <v>0</v>
      </c>
      <c r="CQ47" s="47">
        <v>0</v>
      </c>
      <c r="CR47" s="47">
        <v>0</v>
      </c>
      <c r="CS47" s="47">
        <v>0</v>
      </c>
      <c r="CT47" s="47">
        <v>0</v>
      </c>
      <c r="CU47" s="47">
        <v>0</v>
      </c>
      <c r="CV47" s="47">
        <v>0</v>
      </c>
      <c r="CW47" s="47">
        <v>0</v>
      </c>
      <c r="CX47" s="47">
        <v>0</v>
      </c>
      <c r="CY47" s="47">
        <v>0.1</v>
      </c>
      <c r="CZ47" s="47">
        <v>0.1</v>
      </c>
      <c r="DA47" s="47">
        <v>0</v>
      </c>
      <c r="DB47" s="47">
        <v>0</v>
      </c>
      <c r="DC47" s="47">
        <v>0</v>
      </c>
      <c r="DD47" s="47">
        <v>0</v>
      </c>
      <c r="DE47" s="47">
        <v>0</v>
      </c>
      <c r="DF47" s="47">
        <v>0</v>
      </c>
      <c r="DG47" s="47">
        <v>0</v>
      </c>
      <c r="DH47" s="47">
        <v>0</v>
      </c>
      <c r="DI47" s="47">
        <v>0</v>
      </c>
      <c r="DJ47" s="47">
        <v>0</v>
      </c>
      <c r="DK47" s="47">
        <v>0</v>
      </c>
      <c r="DL47" s="47">
        <v>0</v>
      </c>
      <c r="DM47" s="47">
        <v>0</v>
      </c>
      <c r="DN47" s="47">
        <v>0</v>
      </c>
      <c r="DO47" s="47">
        <v>0</v>
      </c>
      <c r="DP47" s="47">
        <v>0</v>
      </c>
      <c r="DQ47" s="47">
        <v>0</v>
      </c>
      <c r="DR47" s="47">
        <v>0</v>
      </c>
      <c r="DS47" s="47">
        <v>0</v>
      </c>
      <c r="DT47" s="47">
        <v>0</v>
      </c>
      <c r="DU47" s="47">
        <v>0</v>
      </c>
      <c r="DV47" s="47">
        <v>0</v>
      </c>
      <c r="DW47" s="47">
        <v>0</v>
      </c>
      <c r="DX47" s="47">
        <v>0</v>
      </c>
      <c r="DY47" s="47">
        <v>0</v>
      </c>
      <c r="DZ47" s="47"/>
      <c r="EA47" s="47">
        <v>1</v>
      </c>
      <c r="ZZ47" t="s">
        <v>1084</v>
      </c>
    </row>
    <row r="48" spans="1:702" x14ac:dyDescent="0.25">
      <c r="A48" s="47" t="s">
        <v>349</v>
      </c>
      <c r="B48" s="47" t="s">
        <v>151</v>
      </c>
      <c r="C48" s="47" t="s">
        <v>155</v>
      </c>
      <c r="D48" s="47" t="s">
        <v>1125</v>
      </c>
      <c r="E48" s="47" t="s">
        <v>350</v>
      </c>
      <c r="F48" s="47" t="s">
        <v>351</v>
      </c>
      <c r="G48" s="47" t="s">
        <v>352</v>
      </c>
      <c r="H48" s="47" t="s">
        <v>161</v>
      </c>
      <c r="I48" s="47" t="s">
        <v>353</v>
      </c>
      <c r="J48" s="47" t="str">
        <f>=IFERROR(VLOOKUP(H48&amp;I48,Table_Fonctions!A:G,6,FALSE),"")</f>
        <v>0</v>
      </c>
      <c r="K48" s="47" t="s">
        <v>1088</v>
      </c>
      <c r="L48" s="47" t="str">
        <f>=IFERROR(VLOOKUP(H48&amp;I48,Table_Fonctions!A:G,7,FALSE),K48)</f>
        <v/>
      </c>
      <c r="M48" s="47" t="str">
        <f>=IF(OR(LEFT(D48, 3)="TJ ", LEFT(D48, 4)="CPH "), "OUI", "NON")</f>
        <v/>
      </c>
      <c r="N48" s="47" t="s">
        <v>176</v>
      </c>
      <c r="O48" s="47"/>
      <c r="P48" s="47">
        <v>1</v>
      </c>
      <c r="Q48" s="47">
        <v>1</v>
      </c>
      <c r="R48" s="47">
        <v>0</v>
      </c>
      <c r="S48" s="47">
        <f>=ROUND(BQ48-(BR48+BS48),3)</f>
      </c>
      <c r="T48" s="47">
        <f>=ROUND(CK48-(CL48+CM48+CN48+CO48+CP48),3)</f>
      </c>
      <c r="U48" s="47">
        <v>0</v>
      </c>
      <c r="V48" s="47">
        <v>0</v>
      </c>
      <c r="W48" s="47">
        <v>0</v>
      </c>
      <c r="X48" s="47">
        <v>0</v>
      </c>
      <c r="Y48" s="47">
        <v>0</v>
      </c>
      <c r="Z48" s="47">
        <v>0</v>
      </c>
      <c r="AA48" s="47">
        <v>0</v>
      </c>
      <c r="AB48" s="47">
        <v>0</v>
      </c>
      <c r="AC48" s="47">
        <v>0</v>
      </c>
      <c r="AD48" s="47">
        <v>0</v>
      </c>
      <c r="AE48" s="47">
        <v>0</v>
      </c>
      <c r="AF48" s="47">
        <v>0</v>
      </c>
      <c r="AG48" s="47">
        <v>0</v>
      </c>
      <c r="AH48" s="47">
        <v>0</v>
      </c>
      <c r="AI48" s="47">
        <v>0</v>
      </c>
      <c r="AJ48" s="47">
        <v>0.02</v>
      </c>
      <c r="AK48" s="47">
        <v>0</v>
      </c>
      <c r="AL48" s="47">
        <v>0</v>
      </c>
      <c r="AM48" s="47">
        <v>0</v>
      </c>
      <c r="AN48" s="47">
        <v>0</v>
      </c>
      <c r="AO48" s="47">
        <v>0</v>
      </c>
      <c r="AP48" s="47">
        <v>0.02</v>
      </c>
      <c r="AQ48" s="47">
        <v>0</v>
      </c>
      <c r="AR48" s="47">
        <v>0</v>
      </c>
      <c r="AS48" s="47">
        <v>0.62</v>
      </c>
      <c r="AT48" s="47">
        <v>0</v>
      </c>
      <c r="AU48" s="47">
        <v>0</v>
      </c>
      <c r="AV48" s="47">
        <v>0</v>
      </c>
      <c r="AW48" s="47">
        <v>0</v>
      </c>
      <c r="AX48" s="47">
        <v>0</v>
      </c>
      <c r="AY48" s="47">
        <v>0</v>
      </c>
      <c r="AZ48" s="47">
        <v>0</v>
      </c>
      <c r="BA48" s="47">
        <v>0</v>
      </c>
      <c r="BB48" s="47">
        <v>0</v>
      </c>
      <c r="BC48" s="47">
        <v>0</v>
      </c>
      <c r="BD48" s="47">
        <v>0</v>
      </c>
      <c r="BE48" s="47">
        <v>0</v>
      </c>
      <c r="BF48" s="47">
        <v>0</v>
      </c>
      <c r="BG48" s="47">
        <v>0</v>
      </c>
      <c r="BH48" s="47">
        <v>0</v>
      </c>
      <c r="BI48" s="47">
        <v>0</v>
      </c>
      <c r="BJ48" s="47">
        <v>0</v>
      </c>
      <c r="BK48" s="47">
        <v>0</v>
      </c>
      <c r="BL48" s="47">
        <v>0</v>
      </c>
      <c r="BM48" s="47">
        <v>0.02</v>
      </c>
      <c r="BN48" s="47">
        <v>0</v>
      </c>
      <c r="BO48" s="47">
        <v>0</v>
      </c>
      <c r="BP48" s="47">
        <v>0.02</v>
      </c>
      <c r="BQ48" s="47">
        <v>0</v>
      </c>
      <c r="BR48" s="47">
        <v>0</v>
      </c>
      <c r="BS48" s="47">
        <v>0</v>
      </c>
      <c r="BT48" s="47">
        <v>0.09</v>
      </c>
      <c r="BU48" s="47">
        <v>0</v>
      </c>
      <c r="BV48" s="47">
        <v>0.07</v>
      </c>
      <c r="BW48" s="47">
        <v>0</v>
      </c>
      <c r="BX48" s="47">
        <v>0</v>
      </c>
      <c r="BY48" s="47">
        <v>0</v>
      </c>
      <c r="BZ48" s="47">
        <v>0</v>
      </c>
      <c r="CA48" s="47">
        <v>0</v>
      </c>
      <c r="CB48" s="47">
        <v>0.02</v>
      </c>
      <c r="CC48" s="47">
        <v>0</v>
      </c>
      <c r="CD48" s="47">
        <v>0</v>
      </c>
      <c r="CE48" s="47">
        <v>0</v>
      </c>
      <c r="CF48" s="47">
        <v>0</v>
      </c>
      <c r="CG48" s="47">
        <v>0</v>
      </c>
      <c r="CH48" s="47">
        <v>0</v>
      </c>
      <c r="CI48" s="47">
        <v>0</v>
      </c>
      <c r="CJ48" s="47">
        <v>0</v>
      </c>
      <c r="CK48" s="47">
        <v>0</v>
      </c>
      <c r="CL48" s="47">
        <v>0</v>
      </c>
      <c r="CM48" s="47">
        <v>0</v>
      </c>
      <c r="CN48" s="47">
        <v>0</v>
      </c>
      <c r="CO48" s="47">
        <v>0</v>
      </c>
      <c r="CP48" s="47">
        <v>0</v>
      </c>
      <c r="CQ48" s="47">
        <v>0</v>
      </c>
      <c r="CR48" s="47">
        <v>0</v>
      </c>
      <c r="CS48" s="47">
        <v>0</v>
      </c>
      <c r="CT48" s="47">
        <v>0</v>
      </c>
      <c r="CU48" s="47">
        <v>0</v>
      </c>
      <c r="CV48" s="47">
        <v>0.05</v>
      </c>
      <c r="CW48" s="47">
        <v>0.05</v>
      </c>
      <c r="CX48" s="47">
        <v>0</v>
      </c>
      <c r="CY48" s="47">
        <v>0.2</v>
      </c>
      <c r="CZ48" s="47">
        <v>0.18</v>
      </c>
      <c r="DA48" s="47">
        <v>0.02</v>
      </c>
      <c r="DB48" s="47">
        <v>0</v>
      </c>
      <c r="DC48" s="47">
        <v>0</v>
      </c>
      <c r="DD48" s="47">
        <v>0</v>
      </c>
      <c r="DE48" s="47">
        <v>0</v>
      </c>
      <c r="DF48" s="47">
        <v>0</v>
      </c>
      <c r="DG48" s="47">
        <v>0</v>
      </c>
      <c r="DH48" s="47">
        <v>0</v>
      </c>
      <c r="DI48" s="47">
        <v>0</v>
      </c>
      <c r="DJ48" s="47">
        <v>0</v>
      </c>
      <c r="DK48" s="47">
        <v>0</v>
      </c>
      <c r="DL48" s="47">
        <v>0</v>
      </c>
      <c r="DM48" s="47">
        <v>0</v>
      </c>
      <c r="DN48" s="47">
        <v>0</v>
      </c>
      <c r="DO48" s="47">
        <v>0</v>
      </c>
      <c r="DP48" s="47">
        <v>0</v>
      </c>
      <c r="DQ48" s="47">
        <v>0</v>
      </c>
      <c r="DR48" s="47">
        <v>0</v>
      </c>
      <c r="DS48" s="47">
        <v>0</v>
      </c>
      <c r="DT48" s="47">
        <v>0</v>
      </c>
      <c r="DU48" s="47">
        <v>0</v>
      </c>
      <c r="DV48" s="47">
        <v>0</v>
      </c>
      <c r="DW48" s="47">
        <v>0</v>
      </c>
      <c r="DX48" s="47">
        <v>0</v>
      </c>
      <c r="DY48" s="47">
        <v>0</v>
      </c>
      <c r="DZ48" s="47"/>
      <c r="EA48" s="47">
        <v>1</v>
      </c>
      <c r="ZZ48" t="s">
        <v>1084</v>
      </c>
    </row>
    <row r="49" spans="1:702" x14ac:dyDescent="0.25">
      <c r="A49" s="47" t="s">
        <v>354</v>
      </c>
      <c r="B49" s="47" t="s">
        <v>151</v>
      </c>
      <c r="C49" s="47" t="s">
        <v>155</v>
      </c>
      <c r="D49" s="47" t="s">
        <v>1126</v>
      </c>
      <c r="E49" s="47" t="s">
        <v>355</v>
      </c>
      <c r="F49" s="47" t="s">
        <v>356</v>
      </c>
      <c r="G49" s="47" t="s">
        <v>357</v>
      </c>
      <c r="H49" s="47" t="s">
        <v>161</v>
      </c>
      <c r="I49" s="47" t="s">
        <v>262</v>
      </c>
      <c r="J49" s="47" t="str">
        <f>=IFERROR(VLOOKUP(H49&amp;I49,Table_Fonctions!A:G,6,FALSE),"")</f>
        <v>0</v>
      </c>
      <c r="K49" s="47" t="s">
        <v>1088</v>
      </c>
      <c r="L49" s="47" t="str">
        <f>=IFERROR(VLOOKUP(H49&amp;I49,Table_Fonctions!A:G,7,FALSE),K49)</f>
        <v/>
      </c>
      <c r="M49" s="47" t="str">
        <f>=IF(OR(LEFT(D49, 3)="TJ ", LEFT(D49, 4)="CPH "), "OUI", "NON")</f>
        <v/>
      </c>
      <c r="N49" s="47" t="s">
        <v>257</v>
      </c>
      <c r="O49" s="47"/>
      <c r="P49" s="47">
        <v>1</v>
      </c>
      <c r="Q49" s="47">
        <v>1</v>
      </c>
      <c r="R49" s="47">
        <v>0</v>
      </c>
      <c r="S49" s="47">
        <f>=ROUND(BQ49-(BR49+BS49),3)</f>
      </c>
      <c r="T49" s="47">
        <f>=ROUND(CK49-(CL49+CM49+CN49+CO49+CP49),3)</f>
      </c>
      <c r="U49" s="47">
        <v>0</v>
      </c>
      <c r="V49" s="47">
        <v>0</v>
      </c>
      <c r="W49" s="47">
        <v>0</v>
      </c>
      <c r="X49" s="47">
        <v>0</v>
      </c>
      <c r="Y49" s="47">
        <v>0</v>
      </c>
      <c r="Z49" s="47">
        <v>0</v>
      </c>
      <c r="AA49" s="47">
        <v>0</v>
      </c>
      <c r="AB49" s="47">
        <v>0</v>
      </c>
      <c r="AC49" s="47">
        <v>0</v>
      </c>
      <c r="AD49" s="47">
        <v>0</v>
      </c>
      <c r="AE49" s="47">
        <v>0</v>
      </c>
      <c r="AF49" s="47">
        <v>0</v>
      </c>
      <c r="AG49" s="47">
        <v>0</v>
      </c>
      <c r="AH49" s="47">
        <v>0</v>
      </c>
      <c r="AI49" s="47">
        <v>0</v>
      </c>
      <c r="AJ49" s="47">
        <v>0</v>
      </c>
      <c r="AK49" s="47">
        <v>0</v>
      </c>
      <c r="AL49" s="47">
        <v>0</v>
      </c>
      <c r="AM49" s="47">
        <v>0</v>
      </c>
      <c r="AN49" s="47">
        <v>0</v>
      </c>
      <c r="AO49" s="47">
        <v>0</v>
      </c>
      <c r="AP49" s="47">
        <v>0</v>
      </c>
      <c r="AQ49" s="47">
        <v>0</v>
      </c>
      <c r="AR49" s="47">
        <v>0</v>
      </c>
      <c r="AS49" s="47">
        <v>0</v>
      </c>
      <c r="AT49" s="47">
        <v>0</v>
      </c>
      <c r="AU49" s="47">
        <v>0</v>
      </c>
      <c r="AV49" s="47">
        <v>0</v>
      </c>
      <c r="AW49" s="47">
        <v>0</v>
      </c>
      <c r="AX49" s="47">
        <v>0</v>
      </c>
      <c r="AY49" s="47">
        <v>0</v>
      </c>
      <c r="AZ49" s="47">
        <v>0</v>
      </c>
      <c r="BA49" s="47">
        <v>0</v>
      </c>
      <c r="BB49" s="47">
        <v>0</v>
      </c>
      <c r="BC49" s="47">
        <v>0</v>
      </c>
      <c r="BD49" s="47">
        <v>0</v>
      </c>
      <c r="BE49" s="47">
        <v>0</v>
      </c>
      <c r="BF49" s="47">
        <v>0</v>
      </c>
      <c r="BG49" s="47">
        <v>0</v>
      </c>
      <c r="BH49" s="47">
        <v>0</v>
      </c>
      <c r="BI49" s="47">
        <v>0</v>
      </c>
      <c r="BJ49" s="47">
        <v>0</v>
      </c>
      <c r="BK49" s="47">
        <v>0</v>
      </c>
      <c r="BL49" s="47">
        <v>0</v>
      </c>
      <c r="BM49" s="47">
        <v>0</v>
      </c>
      <c r="BN49" s="47">
        <v>0</v>
      </c>
      <c r="BO49" s="47">
        <v>0</v>
      </c>
      <c r="BP49" s="47">
        <v>0</v>
      </c>
      <c r="BQ49" s="47">
        <v>0</v>
      </c>
      <c r="BR49" s="47">
        <v>0</v>
      </c>
      <c r="BS49" s="47">
        <v>0</v>
      </c>
      <c r="BT49" s="47">
        <v>0.025</v>
      </c>
      <c r="BU49" s="47">
        <v>0</v>
      </c>
      <c r="BV49" s="47">
        <v>0</v>
      </c>
      <c r="BW49" s="47">
        <v>0</v>
      </c>
      <c r="BX49" s="47">
        <v>0</v>
      </c>
      <c r="BY49" s="47">
        <v>0</v>
      </c>
      <c r="BZ49" s="47">
        <v>0</v>
      </c>
      <c r="CA49" s="47">
        <v>0</v>
      </c>
      <c r="CB49" s="47">
        <v>0</v>
      </c>
      <c r="CC49" s="47">
        <v>0</v>
      </c>
      <c r="CD49" s="47">
        <v>0</v>
      </c>
      <c r="CE49" s="47">
        <v>0</v>
      </c>
      <c r="CF49" s="47">
        <v>0</v>
      </c>
      <c r="CG49" s="47">
        <v>0</v>
      </c>
      <c r="CH49" s="47">
        <v>0</v>
      </c>
      <c r="CI49" s="47">
        <v>0</v>
      </c>
      <c r="CJ49" s="47">
        <v>0</v>
      </c>
      <c r="CK49" s="47">
        <v>0.93</v>
      </c>
      <c r="CL49" s="47">
        <v>0</v>
      </c>
      <c r="CM49" s="47">
        <v>0</v>
      </c>
      <c r="CN49" s="47">
        <v>0</v>
      </c>
      <c r="CO49" s="47">
        <v>0</v>
      </c>
      <c r="CP49" s="47">
        <v>0</v>
      </c>
      <c r="CQ49" s="47">
        <v>0</v>
      </c>
      <c r="CR49" s="47">
        <v>0</v>
      </c>
      <c r="CS49" s="47">
        <v>0</v>
      </c>
      <c r="CT49" s="47">
        <v>0</v>
      </c>
      <c r="CU49" s="47">
        <v>0</v>
      </c>
      <c r="CV49" s="47">
        <v>0</v>
      </c>
      <c r="CW49" s="47">
        <v>0</v>
      </c>
      <c r="CX49" s="47">
        <v>0</v>
      </c>
      <c r="CY49" s="47">
        <v>0.045</v>
      </c>
      <c r="CZ49" s="47">
        <v>0</v>
      </c>
      <c r="DA49" s="47">
        <v>0</v>
      </c>
      <c r="DB49" s="47">
        <v>0</v>
      </c>
      <c r="DC49" s="47">
        <v>0</v>
      </c>
      <c r="DD49" s="47">
        <v>0</v>
      </c>
      <c r="DE49" s="47">
        <v>0</v>
      </c>
      <c r="DF49" s="47">
        <v>0</v>
      </c>
      <c r="DG49" s="47">
        <v>0</v>
      </c>
      <c r="DH49" s="47">
        <v>0</v>
      </c>
      <c r="DI49" s="47">
        <v>0</v>
      </c>
      <c r="DJ49" s="47">
        <v>0</v>
      </c>
      <c r="DK49" s="47">
        <v>0</v>
      </c>
      <c r="DL49" s="47">
        <v>0</v>
      </c>
      <c r="DM49" s="47">
        <v>0</v>
      </c>
      <c r="DN49" s="47">
        <v>0</v>
      </c>
      <c r="DO49" s="47">
        <v>0</v>
      </c>
      <c r="DP49" s="47">
        <v>0</v>
      </c>
      <c r="DQ49" s="47">
        <v>0</v>
      </c>
      <c r="DR49" s="47">
        <v>0</v>
      </c>
      <c r="DS49" s="47">
        <v>0</v>
      </c>
      <c r="DT49" s="47">
        <v>0</v>
      </c>
      <c r="DU49" s="47">
        <v>0</v>
      </c>
      <c r="DV49" s="47">
        <v>0</v>
      </c>
      <c r="DW49" s="47">
        <v>0</v>
      </c>
      <c r="DX49" s="47">
        <v>0</v>
      </c>
      <c r="DY49" s="47">
        <v>0</v>
      </c>
      <c r="DZ49" s="47"/>
      <c r="EA49" s="47">
        <v>1</v>
      </c>
      <c r="ZZ49" t="s">
        <v>1084</v>
      </c>
    </row>
    <row r="50" spans="1:702" x14ac:dyDescent="0.25">
      <c r="A50" s="47" t="s">
        <v>358</v>
      </c>
      <c r="B50" s="47" t="s">
        <v>151</v>
      </c>
      <c r="C50" s="47" t="s">
        <v>155</v>
      </c>
      <c r="D50" s="47" t="s">
        <v>1127</v>
      </c>
      <c r="E50" s="47" t="s">
        <v>359</v>
      </c>
      <c r="F50" s="47" t="s">
        <v>360</v>
      </c>
      <c r="G50" s="47" t="s">
        <v>361</v>
      </c>
      <c r="H50" s="47" t="s">
        <v>161</v>
      </c>
      <c r="I50" s="47" t="s">
        <v>181</v>
      </c>
      <c r="J50" s="47" t="str">
        <f>=IFERROR(VLOOKUP(H50&amp;I50,Table_Fonctions!A:G,6,FALSE),"")</f>
        <v>0</v>
      </c>
      <c r="K50" s="47" t="s">
        <v>1088</v>
      </c>
      <c r="L50" s="47" t="str">
        <f>=IFERROR(VLOOKUP(H50&amp;I50,Table_Fonctions!A:G,7,FALSE),K50)</f>
        <v/>
      </c>
      <c r="M50" s="47" t="str">
        <f>=IF(OR(LEFT(D50, 3)="TJ ", LEFT(D50, 4)="CPH "), "OUI", "NON")</f>
        <v/>
      </c>
      <c r="N50" s="47" t="s">
        <v>362</v>
      </c>
      <c r="O50" s="47"/>
      <c r="P50" s="47">
        <v>1</v>
      </c>
      <c r="Q50" s="47">
        <v>1</v>
      </c>
      <c r="R50" s="47">
        <v>0</v>
      </c>
      <c r="S50" s="47">
        <f>=ROUND(BQ50-(BR50+BS50),3)</f>
      </c>
      <c r="T50" s="47">
        <f>=ROUND(CK50-(CL50+CM50+CN50+CO50+CP50),3)</f>
      </c>
      <c r="U50" s="47">
        <v>0</v>
      </c>
      <c r="V50" s="47">
        <v>0</v>
      </c>
      <c r="W50" s="47">
        <v>0</v>
      </c>
      <c r="X50" s="47">
        <v>0</v>
      </c>
      <c r="Y50" s="47">
        <v>0</v>
      </c>
      <c r="Z50" s="47">
        <v>0</v>
      </c>
      <c r="AA50" s="47">
        <v>0</v>
      </c>
      <c r="AB50" s="47">
        <v>0</v>
      </c>
      <c r="AC50" s="47">
        <v>0</v>
      </c>
      <c r="AD50" s="47">
        <v>0</v>
      </c>
      <c r="AE50" s="47">
        <v>0</v>
      </c>
      <c r="AF50" s="47">
        <v>0</v>
      </c>
      <c r="AG50" s="47">
        <v>0</v>
      </c>
      <c r="AH50" s="47">
        <v>0</v>
      </c>
      <c r="AI50" s="47">
        <v>0</v>
      </c>
      <c r="AJ50" s="47">
        <v>0</v>
      </c>
      <c r="AK50" s="47">
        <v>0</v>
      </c>
      <c r="AL50" s="47">
        <v>0</v>
      </c>
      <c r="AM50" s="47">
        <v>0</v>
      </c>
      <c r="AN50" s="47">
        <v>0</v>
      </c>
      <c r="AO50" s="47">
        <v>0</v>
      </c>
      <c r="AP50" s="47">
        <v>0</v>
      </c>
      <c r="AQ50" s="47">
        <v>0</v>
      </c>
      <c r="AR50" s="47">
        <v>0</v>
      </c>
      <c r="AS50" s="47">
        <v>0</v>
      </c>
      <c r="AT50" s="47">
        <v>0</v>
      </c>
      <c r="AU50" s="47">
        <v>0</v>
      </c>
      <c r="AV50" s="47">
        <v>0</v>
      </c>
      <c r="AW50" s="47">
        <v>0</v>
      </c>
      <c r="AX50" s="47">
        <v>0</v>
      </c>
      <c r="AY50" s="47">
        <v>0</v>
      </c>
      <c r="AZ50" s="47">
        <v>0</v>
      </c>
      <c r="BA50" s="47">
        <v>0</v>
      </c>
      <c r="BB50" s="47">
        <v>0</v>
      </c>
      <c r="BC50" s="47">
        <v>0</v>
      </c>
      <c r="BD50" s="47">
        <v>0</v>
      </c>
      <c r="BE50" s="47">
        <v>0</v>
      </c>
      <c r="BF50" s="47">
        <v>0</v>
      </c>
      <c r="BG50" s="47">
        <v>0</v>
      </c>
      <c r="BH50" s="47">
        <v>0</v>
      </c>
      <c r="BI50" s="47">
        <v>0</v>
      </c>
      <c r="BJ50" s="47">
        <v>0</v>
      </c>
      <c r="BK50" s="47">
        <v>0</v>
      </c>
      <c r="BL50" s="47">
        <v>0</v>
      </c>
      <c r="BM50" s="47">
        <v>0.317</v>
      </c>
      <c r="BN50" s="47">
        <v>0.228</v>
      </c>
      <c r="BO50" s="47">
        <v>0.089</v>
      </c>
      <c r="BP50" s="47">
        <v>0</v>
      </c>
      <c r="BQ50" s="47">
        <v>0</v>
      </c>
      <c r="BR50" s="47">
        <v>0</v>
      </c>
      <c r="BS50" s="47">
        <v>0</v>
      </c>
      <c r="BT50" s="47">
        <v>0.072</v>
      </c>
      <c r="BU50" s="47">
        <v>0</v>
      </c>
      <c r="BV50" s="47">
        <v>0</v>
      </c>
      <c r="BW50" s="47">
        <v>0.053</v>
      </c>
      <c r="BX50" s="47">
        <v>0</v>
      </c>
      <c r="BY50" s="47">
        <v>0</v>
      </c>
      <c r="BZ50" s="47">
        <v>0</v>
      </c>
      <c r="CA50" s="47">
        <v>0</v>
      </c>
      <c r="CB50" s="47">
        <v>0.019</v>
      </c>
      <c r="CC50" s="47">
        <v>0</v>
      </c>
      <c r="CD50" s="47">
        <v>0</v>
      </c>
      <c r="CE50" s="47">
        <v>0</v>
      </c>
      <c r="CF50" s="47">
        <v>0</v>
      </c>
      <c r="CG50" s="47">
        <v>0</v>
      </c>
      <c r="CH50" s="47">
        <v>0</v>
      </c>
      <c r="CI50" s="47">
        <v>0</v>
      </c>
      <c r="CJ50" s="47">
        <v>0</v>
      </c>
      <c r="CK50" s="47">
        <v>0</v>
      </c>
      <c r="CL50" s="47">
        <v>0</v>
      </c>
      <c r="CM50" s="47">
        <v>0</v>
      </c>
      <c r="CN50" s="47">
        <v>0</v>
      </c>
      <c r="CO50" s="47">
        <v>0</v>
      </c>
      <c r="CP50" s="47">
        <v>0</v>
      </c>
      <c r="CQ50" s="47">
        <v>0</v>
      </c>
      <c r="CR50" s="47">
        <v>0</v>
      </c>
      <c r="CS50" s="47">
        <v>0</v>
      </c>
      <c r="CT50" s="47">
        <v>0</v>
      </c>
      <c r="CU50" s="47">
        <v>0</v>
      </c>
      <c r="CV50" s="47">
        <v>0.382</v>
      </c>
      <c r="CW50" s="47">
        <v>0</v>
      </c>
      <c r="CX50" s="47">
        <v>0</v>
      </c>
      <c r="CY50" s="47">
        <v>0.229</v>
      </c>
      <c r="CZ50" s="47">
        <v>0.2</v>
      </c>
      <c r="DA50" s="47">
        <v>0.029</v>
      </c>
      <c r="DB50" s="47">
        <v>0</v>
      </c>
      <c r="DC50" s="47">
        <v>0</v>
      </c>
      <c r="DD50" s="47">
        <v>0</v>
      </c>
      <c r="DE50" s="47">
        <v>0</v>
      </c>
      <c r="DF50" s="47">
        <v>0</v>
      </c>
      <c r="DG50" s="47">
        <v>0</v>
      </c>
      <c r="DH50" s="47">
        <v>0</v>
      </c>
      <c r="DI50" s="47">
        <v>0</v>
      </c>
      <c r="DJ50" s="47">
        <v>0</v>
      </c>
      <c r="DK50" s="47">
        <v>0</v>
      </c>
      <c r="DL50" s="47">
        <v>0</v>
      </c>
      <c r="DM50" s="47">
        <v>0</v>
      </c>
      <c r="DN50" s="47">
        <v>0</v>
      </c>
      <c r="DO50" s="47">
        <v>0</v>
      </c>
      <c r="DP50" s="47">
        <v>0</v>
      </c>
      <c r="DQ50" s="47">
        <v>0</v>
      </c>
      <c r="DR50" s="47">
        <v>0</v>
      </c>
      <c r="DS50" s="47">
        <v>0</v>
      </c>
      <c r="DT50" s="47">
        <v>0</v>
      </c>
      <c r="DU50" s="47">
        <v>0</v>
      </c>
      <c r="DV50" s="47">
        <v>0</v>
      </c>
      <c r="DW50" s="47">
        <v>0</v>
      </c>
      <c r="DX50" s="47">
        <v>0</v>
      </c>
      <c r="DY50" s="47">
        <v>0</v>
      </c>
      <c r="DZ50" s="47"/>
      <c r="EA50" s="47">
        <v>1</v>
      </c>
      <c r="ZZ50" t="s">
        <v>1084</v>
      </c>
    </row>
    <row r="51" spans="1:702" x14ac:dyDescent="0.25">
      <c r="A51" s="47" t="s">
        <v>363</v>
      </c>
      <c r="B51" s="47" t="s">
        <v>151</v>
      </c>
      <c r="C51" s="47" t="s">
        <v>155</v>
      </c>
      <c r="D51" s="47" t="s">
        <v>1128</v>
      </c>
      <c r="E51" s="47" t="s">
        <v>364</v>
      </c>
      <c r="F51" s="47" t="s">
        <v>365</v>
      </c>
      <c r="G51" s="47" t="s">
        <v>366</v>
      </c>
      <c r="H51" s="47" t="s">
        <v>161</v>
      </c>
      <c r="I51" s="47" t="s">
        <v>353</v>
      </c>
      <c r="J51" s="47" t="str">
        <f>=IFERROR(VLOOKUP(H51&amp;I51,Table_Fonctions!A:G,6,FALSE),"")</f>
        <v>0</v>
      </c>
      <c r="K51" s="47" t="s">
        <v>1088</v>
      </c>
      <c r="L51" s="47" t="str">
        <f>=IFERROR(VLOOKUP(H51&amp;I51,Table_Fonctions!A:G,7,FALSE),K51)</f>
        <v/>
      </c>
      <c r="M51" s="47" t="str">
        <f>=IF(OR(LEFT(D51, 3)="TJ ", LEFT(D51, 4)="CPH "), "OUI", "NON")</f>
        <v/>
      </c>
      <c r="N51" s="47" t="s">
        <v>257</v>
      </c>
      <c r="O51" s="47"/>
      <c r="P51" s="47">
        <v>1</v>
      </c>
      <c r="Q51" s="47">
        <v>1</v>
      </c>
      <c r="R51" s="47">
        <v>0</v>
      </c>
      <c r="S51" s="47">
        <f>=ROUND(BQ51-(BR51+BS51),3)</f>
      </c>
      <c r="T51" s="47">
        <f>=ROUND(CK51-(CL51+CM51+CN51+CO51+CP51),3)</f>
      </c>
      <c r="U51" s="47">
        <v>0</v>
      </c>
      <c r="V51" s="47">
        <v>0</v>
      </c>
      <c r="W51" s="47">
        <v>0</v>
      </c>
      <c r="X51" s="47">
        <v>0</v>
      </c>
      <c r="Y51" s="47">
        <v>0</v>
      </c>
      <c r="Z51" s="47">
        <v>0</v>
      </c>
      <c r="AA51" s="47">
        <v>0</v>
      </c>
      <c r="AB51" s="47">
        <v>0</v>
      </c>
      <c r="AC51" s="47">
        <v>0</v>
      </c>
      <c r="AD51" s="47">
        <v>0</v>
      </c>
      <c r="AE51" s="47">
        <v>0</v>
      </c>
      <c r="AF51" s="47">
        <v>0</v>
      </c>
      <c r="AG51" s="47">
        <v>0</v>
      </c>
      <c r="AH51" s="47">
        <v>0</v>
      </c>
      <c r="AI51" s="47">
        <v>0</v>
      </c>
      <c r="AJ51" s="47">
        <v>0</v>
      </c>
      <c r="AK51" s="47">
        <v>0</v>
      </c>
      <c r="AL51" s="47">
        <v>0</v>
      </c>
      <c r="AM51" s="47">
        <v>0</v>
      </c>
      <c r="AN51" s="47">
        <v>0</v>
      </c>
      <c r="AO51" s="47">
        <v>0</v>
      </c>
      <c r="AP51" s="47">
        <v>0</v>
      </c>
      <c r="AQ51" s="47">
        <v>0</v>
      </c>
      <c r="AR51" s="47">
        <v>0</v>
      </c>
      <c r="AS51" s="47">
        <v>0.8</v>
      </c>
      <c r="AT51" s="47">
        <v>0</v>
      </c>
      <c r="AU51" s="47">
        <v>0</v>
      </c>
      <c r="AV51" s="47">
        <v>0</v>
      </c>
      <c r="AW51" s="47">
        <v>0</v>
      </c>
      <c r="AX51" s="47">
        <v>0</v>
      </c>
      <c r="AY51" s="47">
        <v>0</v>
      </c>
      <c r="AZ51" s="47">
        <v>0</v>
      </c>
      <c r="BA51" s="47">
        <v>0</v>
      </c>
      <c r="BB51" s="47">
        <v>0</v>
      </c>
      <c r="BC51" s="47">
        <v>0</v>
      </c>
      <c r="BD51" s="47">
        <v>0</v>
      </c>
      <c r="BE51" s="47">
        <v>0</v>
      </c>
      <c r="BF51" s="47">
        <v>0</v>
      </c>
      <c r="BG51" s="47">
        <v>0</v>
      </c>
      <c r="BH51" s="47">
        <v>0</v>
      </c>
      <c r="BI51" s="47">
        <v>0</v>
      </c>
      <c r="BJ51" s="47">
        <v>0</v>
      </c>
      <c r="BK51" s="47">
        <v>0</v>
      </c>
      <c r="BL51" s="47">
        <v>0</v>
      </c>
      <c r="BM51" s="47">
        <v>0</v>
      </c>
      <c r="BN51" s="47">
        <v>0</v>
      </c>
      <c r="BO51" s="47">
        <v>0</v>
      </c>
      <c r="BP51" s="47">
        <v>0</v>
      </c>
      <c r="BQ51" s="47">
        <v>0</v>
      </c>
      <c r="BR51" s="47">
        <v>0</v>
      </c>
      <c r="BS51" s="47">
        <v>0</v>
      </c>
      <c r="BT51" s="47">
        <v>0</v>
      </c>
      <c r="BU51" s="47">
        <v>0</v>
      </c>
      <c r="BV51" s="47">
        <v>0</v>
      </c>
      <c r="BW51" s="47">
        <v>0</v>
      </c>
      <c r="BX51" s="47">
        <v>0</v>
      </c>
      <c r="BY51" s="47">
        <v>0</v>
      </c>
      <c r="BZ51" s="47">
        <v>0</v>
      </c>
      <c r="CA51" s="47">
        <v>0</v>
      </c>
      <c r="CB51" s="47">
        <v>0</v>
      </c>
      <c r="CC51" s="47">
        <v>0</v>
      </c>
      <c r="CD51" s="47">
        <v>0</v>
      </c>
      <c r="CE51" s="47">
        <v>0</v>
      </c>
      <c r="CF51" s="47">
        <v>0</v>
      </c>
      <c r="CG51" s="47">
        <v>0</v>
      </c>
      <c r="CH51" s="47">
        <v>0</v>
      </c>
      <c r="CI51" s="47">
        <v>0</v>
      </c>
      <c r="CJ51" s="47">
        <v>0</v>
      </c>
      <c r="CK51" s="47">
        <v>0</v>
      </c>
      <c r="CL51" s="47">
        <v>0</v>
      </c>
      <c r="CM51" s="47">
        <v>0</v>
      </c>
      <c r="CN51" s="47">
        <v>0</v>
      </c>
      <c r="CO51" s="47">
        <v>0</v>
      </c>
      <c r="CP51" s="47">
        <v>0</v>
      </c>
      <c r="CQ51" s="47">
        <v>0</v>
      </c>
      <c r="CR51" s="47">
        <v>0</v>
      </c>
      <c r="CS51" s="47">
        <v>0</v>
      </c>
      <c r="CT51" s="47">
        <v>0</v>
      </c>
      <c r="CU51" s="47">
        <v>0</v>
      </c>
      <c r="CV51" s="47">
        <v>0</v>
      </c>
      <c r="CW51" s="47">
        <v>0</v>
      </c>
      <c r="CX51" s="47">
        <v>0</v>
      </c>
      <c r="CY51" s="47">
        <v>0.2</v>
      </c>
      <c r="CZ51" s="47">
        <v>0</v>
      </c>
      <c r="DA51" s="47">
        <v>0</v>
      </c>
      <c r="DB51" s="47">
        <v>0</v>
      </c>
      <c r="DC51" s="47">
        <v>0</v>
      </c>
      <c r="DD51" s="47">
        <v>0</v>
      </c>
      <c r="DE51" s="47">
        <v>0</v>
      </c>
      <c r="DF51" s="47">
        <v>0</v>
      </c>
      <c r="DG51" s="47">
        <v>0</v>
      </c>
      <c r="DH51" s="47">
        <v>0</v>
      </c>
      <c r="DI51" s="47">
        <v>0</v>
      </c>
      <c r="DJ51" s="47">
        <v>0</v>
      </c>
      <c r="DK51" s="47">
        <v>0</v>
      </c>
      <c r="DL51" s="47">
        <v>0</v>
      </c>
      <c r="DM51" s="47">
        <v>0</v>
      </c>
      <c r="DN51" s="47">
        <v>0</v>
      </c>
      <c r="DO51" s="47">
        <v>0</v>
      </c>
      <c r="DP51" s="47">
        <v>0</v>
      </c>
      <c r="DQ51" s="47">
        <v>0</v>
      </c>
      <c r="DR51" s="47">
        <v>0</v>
      </c>
      <c r="DS51" s="47">
        <v>0</v>
      </c>
      <c r="DT51" s="47">
        <v>0</v>
      </c>
      <c r="DU51" s="47">
        <v>0</v>
      </c>
      <c r="DV51" s="47">
        <v>0</v>
      </c>
      <c r="DW51" s="47">
        <v>0</v>
      </c>
      <c r="DX51" s="47">
        <v>0</v>
      </c>
      <c r="DY51" s="47">
        <v>0</v>
      </c>
      <c r="DZ51" s="47"/>
      <c r="EA51" s="47">
        <v>1</v>
      </c>
      <c r="ZZ51" t="s">
        <v>1084</v>
      </c>
    </row>
    <row r="52" spans="1:702" x14ac:dyDescent="0.25">
      <c r="A52" s="47" t="s">
        <v>367</v>
      </c>
      <c r="B52" s="47" t="s">
        <v>151</v>
      </c>
      <c r="C52" s="47" t="s">
        <v>155</v>
      </c>
      <c r="D52" s="47" t="s">
        <v>1129</v>
      </c>
      <c r="E52" s="47" t="s">
        <v>368</v>
      </c>
      <c r="F52" s="47" t="s">
        <v>369</v>
      </c>
      <c r="G52" s="47" t="s">
        <v>370</v>
      </c>
      <c r="H52" s="47" t="s">
        <v>161</v>
      </c>
      <c r="I52" s="47" t="s">
        <v>181</v>
      </c>
      <c r="J52" s="47" t="str">
        <f>=IFERROR(VLOOKUP(H52&amp;I52,Table_Fonctions!A:G,6,FALSE),"")</f>
        <v>0</v>
      </c>
      <c r="K52" s="47" t="s">
        <v>1088</v>
      </c>
      <c r="L52" s="47" t="str">
        <f>=IFERROR(VLOOKUP(H52&amp;I52,Table_Fonctions!A:G,7,FALSE),K52)</f>
        <v/>
      </c>
      <c r="M52" s="47" t="str">
        <f>=IF(OR(LEFT(D52, 3)="TJ ", LEFT(D52, 4)="CPH "), "OUI", "NON")</f>
        <v/>
      </c>
      <c r="N52" s="47" t="s">
        <v>208</v>
      </c>
      <c r="O52" s="47"/>
      <c r="P52" s="47">
        <v>1</v>
      </c>
      <c r="Q52" s="47">
        <v>1</v>
      </c>
      <c r="R52" s="47">
        <v>0</v>
      </c>
      <c r="S52" s="47">
        <f>=ROUND(BQ52-(BR52+BS52),3)</f>
      </c>
      <c r="T52" s="47">
        <f>=ROUND(CK52-(CL52+CM52+CN52+CO52+CP52),3)</f>
      </c>
      <c r="U52" s="47">
        <v>0</v>
      </c>
      <c r="V52" s="47">
        <v>0</v>
      </c>
      <c r="W52" s="47">
        <v>0</v>
      </c>
      <c r="X52" s="47">
        <v>0</v>
      </c>
      <c r="Y52" s="47">
        <v>0</v>
      </c>
      <c r="Z52" s="47">
        <v>0</v>
      </c>
      <c r="AA52" s="47">
        <v>0</v>
      </c>
      <c r="AB52" s="47">
        <v>0</v>
      </c>
      <c r="AC52" s="47">
        <v>0</v>
      </c>
      <c r="AD52" s="47">
        <v>0</v>
      </c>
      <c r="AE52" s="47">
        <v>0</v>
      </c>
      <c r="AF52" s="47">
        <v>0</v>
      </c>
      <c r="AG52" s="47">
        <v>0</v>
      </c>
      <c r="AH52" s="47">
        <v>0</v>
      </c>
      <c r="AI52" s="47">
        <v>0</v>
      </c>
      <c r="AJ52" s="47">
        <v>0</v>
      </c>
      <c r="AK52" s="47">
        <v>0</v>
      </c>
      <c r="AL52" s="47">
        <v>0</v>
      </c>
      <c r="AM52" s="47">
        <v>0</v>
      </c>
      <c r="AN52" s="47">
        <v>0</v>
      </c>
      <c r="AO52" s="47">
        <v>0</v>
      </c>
      <c r="AP52" s="47">
        <v>0</v>
      </c>
      <c r="AQ52" s="47">
        <v>0</v>
      </c>
      <c r="AR52" s="47">
        <v>0</v>
      </c>
      <c r="AS52" s="47">
        <v>0</v>
      </c>
      <c r="AT52" s="47">
        <v>0</v>
      </c>
      <c r="AU52" s="47">
        <v>0</v>
      </c>
      <c r="AV52" s="47">
        <v>0</v>
      </c>
      <c r="AW52" s="47">
        <v>0</v>
      </c>
      <c r="AX52" s="47">
        <v>0</v>
      </c>
      <c r="AY52" s="47">
        <v>0</v>
      </c>
      <c r="AZ52" s="47">
        <v>0</v>
      </c>
      <c r="BA52" s="47">
        <v>0</v>
      </c>
      <c r="BB52" s="47">
        <v>0</v>
      </c>
      <c r="BC52" s="47">
        <v>0</v>
      </c>
      <c r="BD52" s="47">
        <v>0</v>
      </c>
      <c r="BE52" s="47">
        <v>0</v>
      </c>
      <c r="BF52" s="47">
        <v>0</v>
      </c>
      <c r="BG52" s="47">
        <v>0</v>
      </c>
      <c r="BH52" s="47">
        <v>0</v>
      </c>
      <c r="BI52" s="47">
        <v>0</v>
      </c>
      <c r="BJ52" s="47">
        <v>0</v>
      </c>
      <c r="BK52" s="47">
        <v>0</v>
      </c>
      <c r="BL52" s="47">
        <v>0</v>
      </c>
      <c r="BM52" s="47">
        <v>0.275</v>
      </c>
      <c r="BN52" s="47">
        <v>0</v>
      </c>
      <c r="BO52" s="47">
        <v>0</v>
      </c>
      <c r="BP52" s="47">
        <v>0</v>
      </c>
      <c r="BQ52" s="47">
        <v>0</v>
      </c>
      <c r="BR52" s="47">
        <v>0</v>
      </c>
      <c r="BS52" s="47">
        <v>0</v>
      </c>
      <c r="BT52" s="47">
        <v>0</v>
      </c>
      <c r="BU52" s="47">
        <v>0</v>
      </c>
      <c r="BV52" s="47">
        <v>0</v>
      </c>
      <c r="BW52" s="47">
        <v>0</v>
      </c>
      <c r="BX52" s="47">
        <v>0</v>
      </c>
      <c r="BY52" s="47">
        <v>0</v>
      </c>
      <c r="BZ52" s="47">
        <v>0</v>
      </c>
      <c r="CA52" s="47">
        <v>0</v>
      </c>
      <c r="CB52" s="47">
        <v>0</v>
      </c>
      <c r="CC52" s="47">
        <v>0</v>
      </c>
      <c r="CD52" s="47">
        <v>0</v>
      </c>
      <c r="CE52" s="47">
        <v>0</v>
      </c>
      <c r="CF52" s="47">
        <v>0</v>
      </c>
      <c r="CG52" s="47">
        <v>0</v>
      </c>
      <c r="CH52" s="47">
        <v>0</v>
      </c>
      <c r="CI52" s="47">
        <v>0</v>
      </c>
      <c r="CJ52" s="47">
        <v>0</v>
      </c>
      <c r="CK52" s="47">
        <v>0</v>
      </c>
      <c r="CL52" s="47">
        <v>0</v>
      </c>
      <c r="CM52" s="47">
        <v>0</v>
      </c>
      <c r="CN52" s="47">
        <v>0</v>
      </c>
      <c r="CO52" s="47">
        <v>0</v>
      </c>
      <c r="CP52" s="47">
        <v>0</v>
      </c>
      <c r="CQ52" s="47">
        <v>0</v>
      </c>
      <c r="CR52" s="47">
        <v>0</v>
      </c>
      <c r="CS52" s="47">
        <v>0</v>
      </c>
      <c r="CT52" s="47">
        <v>0</v>
      </c>
      <c r="CU52" s="47">
        <v>0</v>
      </c>
      <c r="CV52" s="47">
        <v>0.64</v>
      </c>
      <c r="CW52" s="47">
        <v>0</v>
      </c>
      <c r="CX52" s="47">
        <v>0</v>
      </c>
      <c r="CY52" s="47">
        <v>0.085</v>
      </c>
      <c r="CZ52" s="47">
        <v>0.085</v>
      </c>
      <c r="DA52" s="47">
        <v>0</v>
      </c>
      <c r="DB52" s="47">
        <v>0</v>
      </c>
      <c r="DC52" s="47">
        <v>0</v>
      </c>
      <c r="DD52" s="47">
        <v>0</v>
      </c>
      <c r="DE52" s="47">
        <v>0</v>
      </c>
      <c r="DF52" s="47">
        <v>0</v>
      </c>
      <c r="DG52" s="47">
        <v>0</v>
      </c>
      <c r="DH52" s="47">
        <v>0</v>
      </c>
      <c r="DI52" s="47">
        <v>0</v>
      </c>
      <c r="DJ52" s="47">
        <v>0</v>
      </c>
      <c r="DK52" s="47">
        <v>0</v>
      </c>
      <c r="DL52" s="47">
        <v>0</v>
      </c>
      <c r="DM52" s="47">
        <v>0</v>
      </c>
      <c r="DN52" s="47">
        <v>0</v>
      </c>
      <c r="DO52" s="47">
        <v>0</v>
      </c>
      <c r="DP52" s="47">
        <v>0</v>
      </c>
      <c r="DQ52" s="47">
        <v>0</v>
      </c>
      <c r="DR52" s="47">
        <v>0</v>
      </c>
      <c r="DS52" s="47">
        <v>0</v>
      </c>
      <c r="DT52" s="47">
        <v>0</v>
      </c>
      <c r="DU52" s="47">
        <v>0</v>
      </c>
      <c r="DV52" s="47">
        <v>0</v>
      </c>
      <c r="DW52" s="47">
        <v>0</v>
      </c>
      <c r="DX52" s="47">
        <v>0</v>
      </c>
      <c r="DY52" s="47">
        <v>0</v>
      </c>
      <c r="DZ52" s="47"/>
      <c r="EA52" s="47">
        <v>1</v>
      </c>
      <c r="ZZ52" t="s">
        <v>1084</v>
      </c>
    </row>
    <row r="53" spans="1:702" x14ac:dyDescent="0.25">
      <c r="A53" s="47" t="s">
        <v>371</v>
      </c>
      <c r="B53" s="47" t="s">
        <v>151</v>
      </c>
      <c r="C53" s="47" t="s">
        <v>155</v>
      </c>
      <c r="D53" s="47" t="s">
        <v>1130</v>
      </c>
      <c r="E53" s="47" t="s">
        <v>372</v>
      </c>
      <c r="F53" s="47" t="s">
        <v>373</v>
      </c>
      <c r="G53" s="47" t="s">
        <v>374</v>
      </c>
      <c r="H53" s="47" t="s">
        <v>161</v>
      </c>
      <c r="I53" s="47" t="s">
        <v>353</v>
      </c>
      <c r="J53" s="47" t="str">
        <f>=IFERROR(VLOOKUP(H53&amp;I53,Table_Fonctions!A:G,6,FALSE),"")</f>
        <v>0</v>
      </c>
      <c r="K53" s="47" t="s">
        <v>1088</v>
      </c>
      <c r="L53" s="47" t="str">
        <f>=IFERROR(VLOOKUP(H53&amp;I53,Table_Fonctions!A:G,7,FALSE),K53)</f>
        <v/>
      </c>
      <c r="M53" s="47" t="str">
        <f>=IF(OR(LEFT(D53, 3)="TJ ", LEFT(D53, 4)="CPH "), "OUI", "NON")</f>
        <v/>
      </c>
      <c r="N53" s="47" t="s">
        <v>375</v>
      </c>
      <c r="O53" s="47" t="s">
        <v>170</v>
      </c>
      <c r="P53" s="47">
        <v>1</v>
      </c>
      <c r="Q53" s="47">
        <v>1</v>
      </c>
      <c r="R53" s="47">
        <v>0</v>
      </c>
      <c r="S53" s="47">
        <f>=ROUND(BQ53-(BR53+BS53),3)</f>
      </c>
      <c r="T53" s="47">
        <f>=ROUND(CK53-(CL53+CM53+CN53+CO53+CP53),3)</f>
      </c>
      <c r="U53" s="47">
        <v>0</v>
      </c>
      <c r="V53" s="47">
        <v>0</v>
      </c>
      <c r="W53" s="47">
        <v>0</v>
      </c>
      <c r="X53" s="47">
        <v>0</v>
      </c>
      <c r="Y53" s="47">
        <v>0</v>
      </c>
      <c r="Z53" s="47">
        <v>0</v>
      </c>
      <c r="AA53" s="47">
        <v>0</v>
      </c>
      <c r="AB53" s="47">
        <v>0</v>
      </c>
      <c r="AC53" s="47">
        <v>0</v>
      </c>
      <c r="AD53" s="47">
        <v>0</v>
      </c>
      <c r="AE53" s="47">
        <v>0</v>
      </c>
      <c r="AF53" s="47">
        <v>0</v>
      </c>
      <c r="AG53" s="47">
        <v>0</v>
      </c>
      <c r="AH53" s="47">
        <v>0</v>
      </c>
      <c r="AI53" s="47">
        <v>0</v>
      </c>
      <c r="AJ53" s="47">
        <v>0</v>
      </c>
      <c r="AK53" s="47">
        <v>0</v>
      </c>
      <c r="AL53" s="47">
        <v>0</v>
      </c>
      <c r="AM53" s="47">
        <v>0</v>
      </c>
      <c r="AN53" s="47">
        <v>0</v>
      </c>
      <c r="AO53" s="47">
        <v>0</v>
      </c>
      <c r="AP53" s="47">
        <v>0</v>
      </c>
      <c r="AQ53" s="47">
        <v>0</v>
      </c>
      <c r="AR53" s="47">
        <v>0</v>
      </c>
      <c r="AS53" s="47">
        <v>0.45</v>
      </c>
      <c r="AT53" s="47">
        <v>0</v>
      </c>
      <c r="AU53" s="47">
        <v>0</v>
      </c>
      <c r="AV53" s="47">
        <v>0</v>
      </c>
      <c r="AW53" s="47">
        <v>0</v>
      </c>
      <c r="AX53" s="47">
        <v>0</v>
      </c>
      <c r="AY53" s="47">
        <v>0</v>
      </c>
      <c r="AZ53" s="47">
        <v>0</v>
      </c>
      <c r="BA53" s="47">
        <v>0</v>
      </c>
      <c r="BB53" s="47">
        <v>0</v>
      </c>
      <c r="BC53" s="47">
        <v>0.1</v>
      </c>
      <c r="BD53" s="47">
        <v>0</v>
      </c>
      <c r="BE53" s="47">
        <v>0</v>
      </c>
      <c r="BF53" s="47">
        <v>0.03</v>
      </c>
      <c r="BG53" s="47">
        <v>0</v>
      </c>
      <c r="BH53" s="47">
        <v>0.05</v>
      </c>
      <c r="BI53" s="47">
        <v>0</v>
      </c>
      <c r="BJ53" s="47">
        <v>0</v>
      </c>
      <c r="BK53" s="47">
        <v>0.1</v>
      </c>
      <c r="BL53" s="47">
        <v>0.17</v>
      </c>
      <c r="BM53" s="47">
        <v>0</v>
      </c>
      <c r="BN53" s="47">
        <v>0</v>
      </c>
      <c r="BO53" s="47">
        <v>0</v>
      </c>
      <c r="BP53" s="47">
        <v>0</v>
      </c>
      <c r="BQ53" s="47">
        <v>0</v>
      </c>
      <c r="BR53" s="47">
        <v>0</v>
      </c>
      <c r="BS53" s="47">
        <v>0</v>
      </c>
      <c r="BT53" s="47">
        <v>0.03</v>
      </c>
      <c r="BU53" s="47">
        <v>0.03</v>
      </c>
      <c r="BV53" s="47">
        <v>0</v>
      </c>
      <c r="BW53" s="47">
        <v>0</v>
      </c>
      <c r="BX53" s="47">
        <v>0</v>
      </c>
      <c r="BY53" s="47">
        <v>0</v>
      </c>
      <c r="BZ53" s="47">
        <v>0</v>
      </c>
      <c r="CA53" s="47">
        <v>0</v>
      </c>
      <c r="CB53" s="47">
        <v>0</v>
      </c>
      <c r="CC53" s="47">
        <v>0</v>
      </c>
      <c r="CD53" s="47">
        <v>0</v>
      </c>
      <c r="CE53" s="47">
        <v>0</v>
      </c>
      <c r="CF53" s="47">
        <v>0</v>
      </c>
      <c r="CG53" s="47">
        <v>0</v>
      </c>
      <c r="CH53" s="47">
        <v>0</v>
      </c>
      <c r="CI53" s="47">
        <v>0</v>
      </c>
      <c r="CJ53" s="47">
        <v>0</v>
      </c>
      <c r="CK53" s="47">
        <v>0</v>
      </c>
      <c r="CL53" s="47">
        <v>0</v>
      </c>
      <c r="CM53" s="47">
        <v>0</v>
      </c>
      <c r="CN53" s="47">
        <v>0</v>
      </c>
      <c r="CO53" s="47">
        <v>0</v>
      </c>
      <c r="CP53" s="47">
        <v>0</v>
      </c>
      <c r="CQ53" s="47">
        <v>0</v>
      </c>
      <c r="CR53" s="47">
        <v>0</v>
      </c>
      <c r="CS53" s="47">
        <v>0</v>
      </c>
      <c r="CT53" s="47">
        <v>0</v>
      </c>
      <c r="CU53" s="47">
        <v>0</v>
      </c>
      <c r="CV53" s="47">
        <v>0.02</v>
      </c>
      <c r="CW53" s="47">
        <v>0.02</v>
      </c>
      <c r="CX53" s="47">
        <v>0</v>
      </c>
      <c r="CY53" s="47">
        <v>0.5</v>
      </c>
      <c r="CZ53" s="47">
        <v>0.35</v>
      </c>
      <c r="DA53" s="47">
        <v>0</v>
      </c>
      <c r="DB53" s="47">
        <v>0.05</v>
      </c>
      <c r="DC53" s="47">
        <v>0.1</v>
      </c>
      <c r="DD53" s="47">
        <v>0</v>
      </c>
      <c r="DE53" s="47">
        <v>0</v>
      </c>
      <c r="DF53" s="47">
        <v>0</v>
      </c>
      <c r="DG53" s="47">
        <v>0</v>
      </c>
      <c r="DH53" s="47">
        <v>0</v>
      </c>
      <c r="DI53" s="47">
        <v>0</v>
      </c>
      <c r="DJ53" s="47">
        <v>0</v>
      </c>
      <c r="DK53" s="47">
        <v>0</v>
      </c>
      <c r="DL53" s="47">
        <v>0</v>
      </c>
      <c r="DM53" s="47">
        <v>0</v>
      </c>
      <c r="DN53" s="47">
        <v>0</v>
      </c>
      <c r="DO53" s="47">
        <v>0</v>
      </c>
      <c r="DP53" s="47">
        <v>0</v>
      </c>
      <c r="DQ53" s="47">
        <v>0</v>
      </c>
      <c r="DR53" s="47">
        <v>0</v>
      </c>
      <c r="DS53" s="47">
        <v>0</v>
      </c>
      <c r="DT53" s="47">
        <v>0</v>
      </c>
      <c r="DU53" s="47">
        <v>0</v>
      </c>
      <c r="DV53" s="47">
        <v>0</v>
      </c>
      <c r="DW53" s="47">
        <v>0</v>
      </c>
      <c r="DX53" s="47">
        <v>0</v>
      </c>
      <c r="DY53" s="47">
        <v>0</v>
      </c>
      <c r="DZ53" s="47"/>
      <c r="EA53" s="47">
        <v>1</v>
      </c>
      <c r="ZZ53" t="s">
        <v>1084</v>
      </c>
    </row>
    <row r="54" spans="1:702" x14ac:dyDescent="0.25">
      <c r="A54" s="47" t="s">
        <v>376</v>
      </c>
      <c r="B54" s="47" t="s">
        <v>151</v>
      </c>
      <c r="C54" s="47" t="s">
        <v>155</v>
      </c>
      <c r="D54" s="47" t="s">
        <v>1131</v>
      </c>
      <c r="E54" s="47" t="s">
        <v>377</v>
      </c>
      <c r="F54" s="47" t="s">
        <v>378</v>
      </c>
      <c r="G54" s="47" t="s">
        <v>379</v>
      </c>
      <c r="H54" s="47" t="s">
        <v>380</v>
      </c>
      <c r="I54" s="47" t="s">
        <v>381</v>
      </c>
      <c r="J54" s="47" t="str">
        <f>=IFERROR(VLOOKUP(H54&amp;I54,Table_Fonctions!A:G,6,FALSE),"")</f>
        <v>0</v>
      </c>
      <c r="K54" s="47" t="s">
        <v>1132</v>
      </c>
      <c r="L54" s="47" t="str">
        <f>=IFERROR(VLOOKUP(H54&amp;I54,Table_Fonctions!A:G,7,FALSE),K54)</f>
        <v/>
      </c>
      <c r="M54" s="47" t="str">
        <f>=IF(OR(LEFT(D54, 3)="TJ ", LEFT(D54, 4)="CPH "), "OUI", "NON")</f>
        <v/>
      </c>
      <c r="N54" s="47" t="s">
        <v>208</v>
      </c>
      <c r="O54" s="47"/>
      <c r="P54" s="47">
        <v>1</v>
      </c>
      <c r="Q54" s="47">
        <v>1</v>
      </c>
      <c r="R54" s="47">
        <v>0</v>
      </c>
      <c r="S54" s="47">
        <f>=ROUND(BQ54-(BR54+BS54),3)</f>
      </c>
      <c r="T54" s="47">
        <f>=ROUND(CK54-(CL54+CM54+CN54+CO54+CP54),3)</f>
      </c>
      <c r="U54" s="47">
        <v>0</v>
      </c>
      <c r="V54" s="47">
        <v>0</v>
      </c>
      <c r="W54" s="47">
        <v>0</v>
      </c>
      <c r="X54" s="47">
        <v>0</v>
      </c>
      <c r="Y54" s="47">
        <v>0</v>
      </c>
      <c r="Z54" s="47">
        <v>0</v>
      </c>
      <c r="AA54" s="47">
        <v>0</v>
      </c>
      <c r="AB54" s="47">
        <v>0</v>
      </c>
      <c r="AC54" s="47">
        <v>0</v>
      </c>
      <c r="AD54" s="47">
        <v>0</v>
      </c>
      <c r="AE54" s="47">
        <v>0</v>
      </c>
      <c r="AF54" s="47">
        <v>0</v>
      </c>
      <c r="AG54" s="47">
        <v>0</v>
      </c>
      <c r="AH54" s="47">
        <v>0</v>
      </c>
      <c r="AI54" s="47">
        <v>0</v>
      </c>
      <c r="AJ54" s="47">
        <v>0</v>
      </c>
      <c r="AK54" s="47">
        <v>0</v>
      </c>
      <c r="AL54" s="47">
        <v>0</v>
      </c>
      <c r="AM54" s="47">
        <v>0</v>
      </c>
      <c r="AN54" s="47">
        <v>0</v>
      </c>
      <c r="AO54" s="47">
        <v>0</v>
      </c>
      <c r="AP54" s="47">
        <v>0</v>
      </c>
      <c r="AQ54" s="47">
        <v>0</v>
      </c>
      <c r="AR54" s="47">
        <v>0</v>
      </c>
      <c r="AS54" s="47">
        <v>0</v>
      </c>
      <c r="AT54" s="47">
        <v>0</v>
      </c>
      <c r="AU54" s="47">
        <v>0</v>
      </c>
      <c r="AV54" s="47">
        <v>0</v>
      </c>
      <c r="AW54" s="47">
        <v>0</v>
      </c>
      <c r="AX54" s="47">
        <v>0</v>
      </c>
      <c r="AY54" s="47">
        <v>0</v>
      </c>
      <c r="AZ54" s="47">
        <v>0</v>
      </c>
      <c r="BA54" s="47">
        <v>0</v>
      </c>
      <c r="BB54" s="47">
        <v>0</v>
      </c>
      <c r="BC54" s="47">
        <v>0</v>
      </c>
      <c r="BD54" s="47">
        <v>0</v>
      </c>
      <c r="BE54" s="47">
        <v>0</v>
      </c>
      <c r="BF54" s="47">
        <v>0</v>
      </c>
      <c r="BG54" s="47">
        <v>0</v>
      </c>
      <c r="BH54" s="47">
        <v>0</v>
      </c>
      <c r="BI54" s="47">
        <v>0</v>
      </c>
      <c r="BJ54" s="47">
        <v>0</v>
      </c>
      <c r="BK54" s="47">
        <v>0</v>
      </c>
      <c r="BL54" s="47">
        <v>0</v>
      </c>
      <c r="BM54" s="47">
        <v>0</v>
      </c>
      <c r="BN54" s="47">
        <v>0</v>
      </c>
      <c r="BO54" s="47">
        <v>0</v>
      </c>
      <c r="BP54" s="47">
        <v>0</v>
      </c>
      <c r="BQ54" s="47">
        <v>0</v>
      </c>
      <c r="BR54" s="47">
        <v>0</v>
      </c>
      <c r="BS54" s="47">
        <v>0</v>
      </c>
      <c r="BT54" s="47">
        <v>0</v>
      </c>
      <c r="BU54" s="47">
        <v>0</v>
      </c>
      <c r="BV54" s="47">
        <v>0</v>
      </c>
      <c r="BW54" s="47">
        <v>0</v>
      </c>
      <c r="BX54" s="47">
        <v>0</v>
      </c>
      <c r="BY54" s="47">
        <v>0</v>
      </c>
      <c r="BZ54" s="47">
        <v>0</v>
      </c>
      <c r="CA54" s="47">
        <v>0</v>
      </c>
      <c r="CB54" s="47">
        <v>0</v>
      </c>
      <c r="CC54" s="47">
        <v>0</v>
      </c>
      <c r="CD54" s="47">
        <v>0</v>
      </c>
      <c r="CE54" s="47">
        <v>0</v>
      </c>
      <c r="CF54" s="47">
        <v>0</v>
      </c>
      <c r="CG54" s="47">
        <v>0</v>
      </c>
      <c r="CH54" s="47">
        <v>0</v>
      </c>
      <c r="CI54" s="47">
        <v>0</v>
      </c>
      <c r="CJ54" s="47">
        <v>0</v>
      </c>
      <c r="CK54" s="47">
        <v>1</v>
      </c>
      <c r="CL54" s="47">
        <v>1</v>
      </c>
      <c r="CM54" s="47">
        <v>0</v>
      </c>
      <c r="CN54" s="47">
        <v>0</v>
      </c>
      <c r="CO54" s="47">
        <v>0</v>
      </c>
      <c r="CP54" s="47">
        <v>0</v>
      </c>
      <c r="CQ54" s="47">
        <v>0</v>
      </c>
      <c r="CR54" s="47">
        <v>0</v>
      </c>
      <c r="CS54" s="47">
        <v>0</v>
      </c>
      <c r="CT54" s="47">
        <v>0</v>
      </c>
      <c r="CU54" s="47">
        <v>0</v>
      </c>
      <c r="CV54" s="47">
        <v>0</v>
      </c>
      <c r="CW54" s="47">
        <v>0</v>
      </c>
      <c r="CX54" s="47">
        <v>0</v>
      </c>
      <c r="CY54" s="47">
        <v>0</v>
      </c>
      <c r="CZ54" s="47">
        <v>0</v>
      </c>
      <c r="DA54" s="47">
        <v>0</v>
      </c>
      <c r="DB54" s="47">
        <v>0</v>
      </c>
      <c r="DC54" s="47">
        <v>0</v>
      </c>
      <c r="DD54" s="47">
        <v>0</v>
      </c>
      <c r="DE54" s="47">
        <v>0</v>
      </c>
      <c r="DF54" s="47">
        <v>0</v>
      </c>
      <c r="DG54" s="47">
        <v>0</v>
      </c>
      <c r="DH54" s="47">
        <v>0</v>
      </c>
      <c r="DI54" s="47">
        <v>0</v>
      </c>
      <c r="DJ54" s="47">
        <v>0</v>
      </c>
      <c r="DK54" s="47">
        <v>0</v>
      </c>
      <c r="DL54" s="47">
        <v>0</v>
      </c>
      <c r="DM54" s="47">
        <v>0</v>
      </c>
      <c r="DN54" s="47">
        <v>0</v>
      </c>
      <c r="DO54" s="47">
        <v>0</v>
      </c>
      <c r="DP54" s="47">
        <v>0</v>
      </c>
      <c r="DQ54" s="47">
        <v>0</v>
      </c>
      <c r="DR54" s="47">
        <v>0</v>
      </c>
      <c r="DS54" s="47">
        <v>0</v>
      </c>
      <c r="DT54" s="47">
        <v>0</v>
      </c>
      <c r="DU54" s="47">
        <v>0</v>
      </c>
      <c r="DV54" s="47">
        <v>0</v>
      </c>
      <c r="DW54" s="47">
        <v>0</v>
      </c>
      <c r="DX54" s="47">
        <v>0</v>
      </c>
      <c r="DY54" s="47">
        <v>0</v>
      </c>
      <c r="DZ54" s="47"/>
      <c r="EA54" s="47">
        <v>1</v>
      </c>
      <c r="ZZ54" t="s">
        <v>1084</v>
      </c>
    </row>
    <row r="55" spans="1:702" x14ac:dyDescent="0.25">
      <c r="A55" s="47" t="s">
        <v>382</v>
      </c>
      <c r="B55" s="47" t="s">
        <v>151</v>
      </c>
      <c r="C55" s="47" t="s">
        <v>155</v>
      </c>
      <c r="D55" s="47" t="s">
        <v>1133</v>
      </c>
      <c r="E55" s="47" t="s">
        <v>383</v>
      </c>
      <c r="F55" s="47" t="s">
        <v>384</v>
      </c>
      <c r="G55" s="47" t="s">
        <v>385</v>
      </c>
      <c r="H55" s="47" t="s">
        <v>380</v>
      </c>
      <c r="I55" s="47" t="s">
        <v>381</v>
      </c>
      <c r="J55" s="47" t="str">
        <f>=IFERROR(VLOOKUP(H55&amp;I55,Table_Fonctions!A:G,6,FALSE),"")</f>
        <v>0</v>
      </c>
      <c r="K55" s="47" t="s">
        <v>1132</v>
      </c>
      <c r="L55" s="47" t="str">
        <f>=IFERROR(VLOOKUP(H55&amp;I55,Table_Fonctions!A:G,7,FALSE),K55)</f>
        <v/>
      </c>
      <c r="M55" s="47" t="str">
        <f>=IF(OR(LEFT(D55, 3)="TJ ", LEFT(D55, 4)="CPH "), "OUI", "NON")</f>
        <v/>
      </c>
      <c r="N55" s="47" t="s">
        <v>386</v>
      </c>
      <c r="O55" s="47"/>
      <c r="P55" s="47">
        <v>1</v>
      </c>
      <c r="Q55" s="47">
        <v>1</v>
      </c>
      <c r="R55" s="47">
        <v>0</v>
      </c>
      <c r="S55" s="47">
        <f>=ROUND(BQ55-(BR55+BS55),3)</f>
      </c>
      <c r="T55" s="47">
        <f>=ROUND(CK55-(CL55+CM55+CN55+CO55+CP55),3)</f>
      </c>
      <c r="U55" s="47">
        <v>0</v>
      </c>
      <c r="V55" s="47">
        <v>0</v>
      </c>
      <c r="W55" s="47">
        <v>0</v>
      </c>
      <c r="X55" s="47">
        <v>0</v>
      </c>
      <c r="Y55" s="47">
        <v>0</v>
      </c>
      <c r="Z55" s="47">
        <v>0</v>
      </c>
      <c r="AA55" s="47">
        <v>0</v>
      </c>
      <c r="AB55" s="47">
        <v>0</v>
      </c>
      <c r="AC55" s="47">
        <v>0</v>
      </c>
      <c r="AD55" s="47">
        <v>0</v>
      </c>
      <c r="AE55" s="47">
        <v>0</v>
      </c>
      <c r="AF55" s="47">
        <v>0</v>
      </c>
      <c r="AG55" s="47">
        <v>0</v>
      </c>
      <c r="AH55" s="47">
        <v>0</v>
      </c>
      <c r="AI55" s="47">
        <v>0</v>
      </c>
      <c r="AJ55" s="47">
        <v>0</v>
      </c>
      <c r="AK55" s="47">
        <v>0</v>
      </c>
      <c r="AL55" s="47">
        <v>0</v>
      </c>
      <c r="AM55" s="47">
        <v>0</v>
      </c>
      <c r="AN55" s="47">
        <v>0</v>
      </c>
      <c r="AO55" s="47">
        <v>0</v>
      </c>
      <c r="AP55" s="47">
        <v>0</v>
      </c>
      <c r="AQ55" s="47">
        <v>0</v>
      </c>
      <c r="AR55" s="47">
        <v>0</v>
      </c>
      <c r="AS55" s="47">
        <v>0.53</v>
      </c>
      <c r="AT55" s="47">
        <v>0</v>
      </c>
      <c r="AU55" s="47">
        <v>0</v>
      </c>
      <c r="AV55" s="47">
        <v>0</v>
      </c>
      <c r="AW55" s="47">
        <v>0</v>
      </c>
      <c r="AX55" s="47">
        <v>0</v>
      </c>
      <c r="AY55" s="47">
        <v>0</v>
      </c>
      <c r="AZ55" s="47">
        <v>0</v>
      </c>
      <c r="BA55" s="47">
        <v>0</v>
      </c>
      <c r="BB55" s="47">
        <v>0</v>
      </c>
      <c r="BC55" s="47">
        <v>0</v>
      </c>
      <c r="BD55" s="47">
        <v>0</v>
      </c>
      <c r="BE55" s="47">
        <v>0</v>
      </c>
      <c r="BF55" s="47">
        <v>0</v>
      </c>
      <c r="BG55" s="47">
        <v>0</v>
      </c>
      <c r="BH55" s="47">
        <v>0.1</v>
      </c>
      <c r="BI55" s="47">
        <v>0</v>
      </c>
      <c r="BJ55" s="47">
        <v>0</v>
      </c>
      <c r="BK55" s="47">
        <v>0.43</v>
      </c>
      <c r="BL55" s="47">
        <v>0</v>
      </c>
      <c r="BM55" s="47">
        <v>0.02</v>
      </c>
      <c r="BN55" s="47">
        <v>0</v>
      </c>
      <c r="BO55" s="47">
        <v>0.02</v>
      </c>
      <c r="BP55" s="47">
        <v>0</v>
      </c>
      <c r="BQ55" s="47">
        <v>0</v>
      </c>
      <c r="BR55" s="47">
        <v>0</v>
      </c>
      <c r="BS55" s="47">
        <v>0</v>
      </c>
      <c r="BT55" s="47">
        <v>0</v>
      </c>
      <c r="BU55" s="47">
        <v>0</v>
      </c>
      <c r="BV55" s="47">
        <v>0</v>
      </c>
      <c r="BW55" s="47">
        <v>0</v>
      </c>
      <c r="BX55" s="47">
        <v>0</v>
      </c>
      <c r="BY55" s="47">
        <v>0</v>
      </c>
      <c r="BZ55" s="47">
        <v>0</v>
      </c>
      <c r="CA55" s="47">
        <v>0</v>
      </c>
      <c r="CB55" s="47">
        <v>0</v>
      </c>
      <c r="CC55" s="47">
        <v>0</v>
      </c>
      <c r="CD55" s="47">
        <v>0</v>
      </c>
      <c r="CE55" s="47">
        <v>0</v>
      </c>
      <c r="CF55" s="47">
        <v>0</v>
      </c>
      <c r="CG55" s="47">
        <v>0</v>
      </c>
      <c r="CH55" s="47">
        <v>0</v>
      </c>
      <c r="CI55" s="47">
        <v>0</v>
      </c>
      <c r="CJ55" s="47">
        <v>0</v>
      </c>
      <c r="CK55" s="47">
        <v>0</v>
      </c>
      <c r="CL55" s="47">
        <v>0</v>
      </c>
      <c r="CM55" s="47">
        <v>0</v>
      </c>
      <c r="CN55" s="47">
        <v>0</v>
      </c>
      <c r="CO55" s="47">
        <v>0</v>
      </c>
      <c r="CP55" s="47">
        <v>0</v>
      </c>
      <c r="CQ55" s="47">
        <v>0</v>
      </c>
      <c r="CR55" s="47">
        <v>0</v>
      </c>
      <c r="CS55" s="47">
        <v>0</v>
      </c>
      <c r="CT55" s="47">
        <v>0</v>
      </c>
      <c r="CU55" s="47">
        <v>0</v>
      </c>
      <c r="CV55" s="47">
        <v>0</v>
      </c>
      <c r="CW55" s="47">
        <v>0</v>
      </c>
      <c r="CX55" s="47">
        <v>0</v>
      </c>
      <c r="CY55" s="47">
        <v>0.45</v>
      </c>
      <c r="CZ55" s="47">
        <v>0.45</v>
      </c>
      <c r="DA55" s="47">
        <v>0</v>
      </c>
      <c r="DB55" s="47">
        <v>0</v>
      </c>
      <c r="DC55" s="47">
        <v>0</v>
      </c>
      <c r="DD55" s="47">
        <v>0</v>
      </c>
      <c r="DE55" s="47">
        <v>0</v>
      </c>
      <c r="DF55" s="47">
        <v>0</v>
      </c>
      <c r="DG55" s="47">
        <v>0</v>
      </c>
      <c r="DH55" s="47">
        <v>0</v>
      </c>
      <c r="DI55" s="47">
        <v>0</v>
      </c>
      <c r="DJ55" s="47">
        <v>0</v>
      </c>
      <c r="DK55" s="47">
        <v>0</v>
      </c>
      <c r="DL55" s="47">
        <v>0</v>
      </c>
      <c r="DM55" s="47">
        <v>0</v>
      </c>
      <c r="DN55" s="47">
        <v>0</v>
      </c>
      <c r="DO55" s="47">
        <v>0</v>
      </c>
      <c r="DP55" s="47">
        <v>0</v>
      </c>
      <c r="DQ55" s="47">
        <v>0</v>
      </c>
      <c r="DR55" s="47">
        <v>0</v>
      </c>
      <c r="DS55" s="47">
        <v>0</v>
      </c>
      <c r="DT55" s="47">
        <v>0</v>
      </c>
      <c r="DU55" s="47">
        <v>0</v>
      </c>
      <c r="DV55" s="47">
        <v>0</v>
      </c>
      <c r="DW55" s="47">
        <v>0</v>
      </c>
      <c r="DX55" s="47">
        <v>0</v>
      </c>
      <c r="DY55" s="47">
        <v>0</v>
      </c>
      <c r="DZ55" s="47"/>
      <c r="EA55" s="47">
        <v>1</v>
      </c>
      <c r="ZZ55" t="s">
        <v>1084</v>
      </c>
    </row>
    <row r="56" spans="1:702" x14ac:dyDescent="0.25">
      <c r="A56" s="47" t="s">
        <v>387</v>
      </c>
      <c r="B56" s="47" t="s">
        <v>151</v>
      </c>
      <c r="C56" s="47" t="s">
        <v>155</v>
      </c>
      <c r="D56" s="47" t="s">
        <v>1134</v>
      </c>
      <c r="E56" s="47" t="s">
        <v>388</v>
      </c>
      <c r="F56" s="47" t="s">
        <v>389</v>
      </c>
      <c r="G56" s="47" t="s">
        <v>390</v>
      </c>
      <c r="H56" s="47" t="s">
        <v>380</v>
      </c>
      <c r="I56" s="47" t="s">
        <v>1135</v>
      </c>
      <c r="J56" s="47" t="str">
        <f>=IFERROR(VLOOKUP(H56&amp;I56,Table_Fonctions!A:G,6,FALSE),"")</f>
        <v>0</v>
      </c>
      <c r="K56" s="47" t="s">
        <v>1136</v>
      </c>
      <c r="L56" s="47" t="str">
        <f>=IFERROR(VLOOKUP(H56&amp;I56,Table_Fonctions!A:G,7,FALSE),K56)</f>
        <v/>
      </c>
      <c r="M56" s="47" t="str">
        <f>=IF(OR(LEFT(D56, 3)="TJ ", LEFT(D56, 4)="CPH "), "OUI", "NON")</f>
        <v/>
      </c>
      <c r="N56" s="47" t="s">
        <v>176</v>
      </c>
      <c r="O56" s="47"/>
      <c r="P56" s="47">
        <v>1</v>
      </c>
      <c r="Q56" s="47">
        <v>1</v>
      </c>
      <c r="R56" s="47">
        <v>0</v>
      </c>
      <c r="S56" s="47">
        <f>=ROUND(BQ56-(BR56+BS56),3)</f>
      </c>
      <c r="T56" s="47">
        <f>=ROUND(CK56-(CL56+CM56+CN56+CO56+CP56),3)</f>
      </c>
      <c r="U56" s="47">
        <v>0</v>
      </c>
      <c r="V56" s="47">
        <v>0</v>
      </c>
      <c r="W56" s="47">
        <v>0</v>
      </c>
      <c r="X56" s="47">
        <v>0</v>
      </c>
      <c r="Y56" s="47">
        <v>0</v>
      </c>
      <c r="Z56" s="47">
        <v>0</v>
      </c>
      <c r="AA56" s="47">
        <v>0</v>
      </c>
      <c r="AB56" s="47">
        <v>0</v>
      </c>
      <c r="AC56" s="47">
        <v>0</v>
      </c>
      <c r="AD56" s="47">
        <v>0</v>
      </c>
      <c r="AE56" s="47">
        <v>0</v>
      </c>
      <c r="AF56" s="47">
        <v>0</v>
      </c>
      <c r="AG56" s="47">
        <v>0</v>
      </c>
      <c r="AH56" s="47">
        <v>0</v>
      </c>
      <c r="AI56" s="47">
        <v>0</v>
      </c>
      <c r="AJ56" s="47">
        <v>0</v>
      </c>
      <c r="AK56" s="47">
        <v>0</v>
      </c>
      <c r="AL56" s="47">
        <v>0</v>
      </c>
      <c r="AM56" s="47">
        <v>0</v>
      </c>
      <c r="AN56" s="47">
        <v>0</v>
      </c>
      <c r="AO56" s="47">
        <v>0</v>
      </c>
      <c r="AP56" s="47">
        <v>0</v>
      </c>
      <c r="AQ56" s="47">
        <v>0</v>
      </c>
      <c r="AR56" s="47">
        <v>0</v>
      </c>
      <c r="AS56" s="47">
        <v>0</v>
      </c>
      <c r="AT56" s="47">
        <v>0</v>
      </c>
      <c r="AU56" s="47">
        <v>0</v>
      </c>
      <c r="AV56" s="47">
        <v>0</v>
      </c>
      <c r="AW56" s="47">
        <v>0</v>
      </c>
      <c r="AX56" s="47">
        <v>0</v>
      </c>
      <c r="AY56" s="47">
        <v>0</v>
      </c>
      <c r="AZ56" s="47">
        <v>0</v>
      </c>
      <c r="BA56" s="47">
        <v>0</v>
      </c>
      <c r="BB56" s="47">
        <v>0</v>
      </c>
      <c r="BC56" s="47">
        <v>0</v>
      </c>
      <c r="BD56" s="47">
        <v>0</v>
      </c>
      <c r="BE56" s="47">
        <v>0</v>
      </c>
      <c r="BF56" s="47">
        <v>0</v>
      </c>
      <c r="BG56" s="47">
        <v>0</v>
      </c>
      <c r="BH56" s="47">
        <v>0</v>
      </c>
      <c r="BI56" s="47">
        <v>0</v>
      </c>
      <c r="BJ56" s="47">
        <v>0</v>
      </c>
      <c r="BK56" s="47">
        <v>0</v>
      </c>
      <c r="BL56" s="47">
        <v>0</v>
      </c>
      <c r="BM56" s="47">
        <v>0</v>
      </c>
      <c r="BN56" s="47">
        <v>0</v>
      </c>
      <c r="BO56" s="47">
        <v>0</v>
      </c>
      <c r="BP56" s="47">
        <v>0</v>
      </c>
      <c r="BQ56" s="47">
        <v>0</v>
      </c>
      <c r="BR56" s="47">
        <v>0</v>
      </c>
      <c r="BS56" s="47">
        <v>0</v>
      </c>
      <c r="BT56" s="47">
        <v>1</v>
      </c>
      <c r="BU56" s="47">
        <v>0</v>
      </c>
      <c r="BV56" s="47">
        <v>0</v>
      </c>
      <c r="BW56" s="47">
        <v>0</v>
      </c>
      <c r="BX56" s="47">
        <v>0</v>
      </c>
      <c r="BY56" s="47">
        <v>0</v>
      </c>
      <c r="BZ56" s="47">
        <v>0</v>
      </c>
      <c r="CA56" s="47">
        <v>0</v>
      </c>
      <c r="CB56" s="47">
        <v>0</v>
      </c>
      <c r="CC56" s="47">
        <v>1</v>
      </c>
      <c r="CD56" s="47">
        <v>0</v>
      </c>
      <c r="CE56" s="47">
        <v>0</v>
      </c>
      <c r="CF56" s="47">
        <v>0</v>
      </c>
      <c r="CG56" s="47">
        <v>0</v>
      </c>
      <c r="CH56" s="47">
        <v>0</v>
      </c>
      <c r="CI56" s="47">
        <v>0</v>
      </c>
      <c r="CJ56" s="47">
        <v>0</v>
      </c>
      <c r="CK56" s="47">
        <v>0</v>
      </c>
      <c r="CL56" s="47">
        <v>0</v>
      </c>
      <c r="CM56" s="47">
        <v>0</v>
      </c>
      <c r="CN56" s="47">
        <v>0</v>
      </c>
      <c r="CO56" s="47">
        <v>0</v>
      </c>
      <c r="CP56" s="47">
        <v>0</v>
      </c>
      <c r="CQ56" s="47">
        <v>0</v>
      </c>
      <c r="CR56" s="47">
        <v>0</v>
      </c>
      <c r="CS56" s="47">
        <v>0</v>
      </c>
      <c r="CT56" s="47">
        <v>0</v>
      </c>
      <c r="CU56" s="47">
        <v>0</v>
      </c>
      <c r="CV56" s="47">
        <v>0</v>
      </c>
      <c r="CW56" s="47">
        <v>0</v>
      </c>
      <c r="CX56" s="47">
        <v>0</v>
      </c>
      <c r="CY56" s="47">
        <v>0</v>
      </c>
      <c r="CZ56" s="47">
        <v>0</v>
      </c>
      <c r="DA56" s="47">
        <v>0</v>
      </c>
      <c r="DB56" s="47">
        <v>0</v>
      </c>
      <c r="DC56" s="47">
        <v>0</v>
      </c>
      <c r="DD56" s="47">
        <v>0</v>
      </c>
      <c r="DE56" s="47">
        <v>0</v>
      </c>
      <c r="DF56" s="47">
        <v>0</v>
      </c>
      <c r="DG56" s="47">
        <v>0</v>
      </c>
      <c r="DH56" s="47">
        <v>0</v>
      </c>
      <c r="DI56" s="47">
        <v>0</v>
      </c>
      <c r="DJ56" s="47">
        <v>0</v>
      </c>
      <c r="DK56" s="47">
        <v>0</v>
      </c>
      <c r="DL56" s="47">
        <v>0</v>
      </c>
      <c r="DM56" s="47">
        <v>0</v>
      </c>
      <c r="DN56" s="47">
        <v>0</v>
      </c>
      <c r="DO56" s="47">
        <v>0</v>
      </c>
      <c r="DP56" s="47">
        <v>0</v>
      </c>
      <c r="DQ56" s="47">
        <v>0</v>
      </c>
      <c r="DR56" s="47">
        <v>0</v>
      </c>
      <c r="DS56" s="47">
        <v>0</v>
      </c>
      <c r="DT56" s="47">
        <v>0</v>
      </c>
      <c r="DU56" s="47">
        <v>0</v>
      </c>
      <c r="DV56" s="47">
        <v>0</v>
      </c>
      <c r="DW56" s="47">
        <v>0</v>
      </c>
      <c r="DX56" s="47">
        <v>0</v>
      </c>
      <c r="DY56" s="47">
        <v>0</v>
      </c>
      <c r="DZ56" s="47"/>
      <c r="EA56" s="47">
        <v>1</v>
      </c>
      <c r="ZZ56" t="s">
        <v>1084</v>
      </c>
    </row>
    <row r="57" spans="1:702" x14ac:dyDescent="0.25">
      <c r="A57" s="47" t="s">
        <v>392</v>
      </c>
      <c r="B57" s="47" t="s">
        <v>151</v>
      </c>
      <c r="C57" s="47" t="s">
        <v>155</v>
      </c>
      <c r="D57" s="47" t="s">
        <v>1137</v>
      </c>
      <c r="E57" s="47" t="s">
        <v>393</v>
      </c>
      <c r="F57" s="47" t="s">
        <v>394</v>
      </c>
      <c r="G57" s="47" t="s">
        <v>395</v>
      </c>
      <c r="H57" s="47" t="s">
        <v>380</v>
      </c>
      <c r="I57" s="47" t="s">
        <v>381</v>
      </c>
      <c r="J57" s="47" t="str">
        <f>=IFERROR(VLOOKUP(H57&amp;I57,Table_Fonctions!A:G,6,FALSE),"")</f>
        <v>0</v>
      </c>
      <c r="K57" s="47" t="s">
        <v>1132</v>
      </c>
      <c r="L57" s="47" t="str">
        <f>=IFERROR(VLOOKUP(H57&amp;I57,Table_Fonctions!A:G,7,FALSE),K57)</f>
        <v/>
      </c>
      <c r="M57" s="47" t="str">
        <f>=IF(OR(LEFT(D57, 3)="TJ ", LEFT(D57, 4)="CPH "), "OUI", "NON")</f>
        <v/>
      </c>
      <c r="N57" s="47" t="s">
        <v>208</v>
      </c>
      <c r="O57" s="47"/>
      <c r="P57" s="47">
        <v>1</v>
      </c>
      <c r="Q57" s="47">
        <v>1</v>
      </c>
      <c r="R57" s="47">
        <v>0</v>
      </c>
      <c r="S57" s="47">
        <f>=ROUND(BQ57-(BR57+BS57),3)</f>
      </c>
      <c r="T57" s="47">
        <f>=ROUND(CK57-(CL57+CM57+CN57+CO57+CP57),3)</f>
      </c>
      <c r="U57" s="47">
        <v>0</v>
      </c>
      <c r="V57" s="47">
        <v>0</v>
      </c>
      <c r="W57" s="47">
        <v>0</v>
      </c>
      <c r="X57" s="47">
        <v>0</v>
      </c>
      <c r="Y57" s="47">
        <v>0</v>
      </c>
      <c r="Z57" s="47">
        <v>0</v>
      </c>
      <c r="AA57" s="47">
        <v>0</v>
      </c>
      <c r="AB57" s="47">
        <v>0</v>
      </c>
      <c r="AC57" s="47">
        <v>0</v>
      </c>
      <c r="AD57" s="47">
        <v>0</v>
      </c>
      <c r="AE57" s="47">
        <v>0</v>
      </c>
      <c r="AF57" s="47">
        <v>0</v>
      </c>
      <c r="AG57" s="47">
        <v>0</v>
      </c>
      <c r="AH57" s="47">
        <v>0</v>
      </c>
      <c r="AI57" s="47">
        <v>0</v>
      </c>
      <c r="AJ57" s="47">
        <v>0</v>
      </c>
      <c r="AK57" s="47">
        <v>0</v>
      </c>
      <c r="AL57" s="47">
        <v>0</v>
      </c>
      <c r="AM57" s="47">
        <v>0</v>
      </c>
      <c r="AN57" s="47">
        <v>0</v>
      </c>
      <c r="AO57" s="47">
        <v>0</v>
      </c>
      <c r="AP57" s="47">
        <v>0</v>
      </c>
      <c r="AQ57" s="47">
        <v>0</v>
      </c>
      <c r="AR57" s="47">
        <v>0</v>
      </c>
      <c r="AS57" s="47">
        <v>0</v>
      </c>
      <c r="AT57" s="47">
        <v>0</v>
      </c>
      <c r="AU57" s="47">
        <v>0</v>
      </c>
      <c r="AV57" s="47">
        <v>0</v>
      </c>
      <c r="AW57" s="47">
        <v>0</v>
      </c>
      <c r="AX57" s="47">
        <v>0</v>
      </c>
      <c r="AY57" s="47">
        <v>0</v>
      </c>
      <c r="AZ57" s="47">
        <v>0</v>
      </c>
      <c r="BA57" s="47">
        <v>0</v>
      </c>
      <c r="BB57" s="47">
        <v>0</v>
      </c>
      <c r="BC57" s="47">
        <v>0</v>
      </c>
      <c r="BD57" s="47">
        <v>0</v>
      </c>
      <c r="BE57" s="47">
        <v>0</v>
      </c>
      <c r="BF57" s="47">
        <v>0</v>
      </c>
      <c r="BG57" s="47">
        <v>0</v>
      </c>
      <c r="BH57" s="47">
        <v>0</v>
      </c>
      <c r="BI57" s="47">
        <v>0</v>
      </c>
      <c r="BJ57" s="47">
        <v>0</v>
      </c>
      <c r="BK57" s="47">
        <v>0</v>
      </c>
      <c r="BL57" s="47">
        <v>0</v>
      </c>
      <c r="BM57" s="47">
        <v>0</v>
      </c>
      <c r="BN57" s="47">
        <v>0</v>
      </c>
      <c r="BO57" s="47">
        <v>0</v>
      </c>
      <c r="BP57" s="47">
        <v>0</v>
      </c>
      <c r="BQ57" s="47">
        <v>1</v>
      </c>
      <c r="BR57" s="47">
        <v>0.6</v>
      </c>
      <c r="BS57" s="47">
        <v>0.4</v>
      </c>
      <c r="BT57" s="47">
        <v>0</v>
      </c>
      <c r="BU57" s="47">
        <v>0</v>
      </c>
      <c r="BV57" s="47">
        <v>0</v>
      </c>
      <c r="BW57" s="47">
        <v>0</v>
      </c>
      <c r="BX57" s="47">
        <v>0</v>
      </c>
      <c r="BY57" s="47">
        <v>0</v>
      </c>
      <c r="BZ57" s="47">
        <v>0</v>
      </c>
      <c r="CA57" s="47">
        <v>0</v>
      </c>
      <c r="CB57" s="47">
        <v>0</v>
      </c>
      <c r="CC57" s="47">
        <v>0</v>
      </c>
      <c r="CD57" s="47">
        <v>0</v>
      </c>
      <c r="CE57" s="47">
        <v>0</v>
      </c>
      <c r="CF57" s="47">
        <v>0</v>
      </c>
      <c r="CG57" s="47">
        <v>0</v>
      </c>
      <c r="CH57" s="47">
        <v>0</v>
      </c>
      <c r="CI57" s="47">
        <v>0</v>
      </c>
      <c r="CJ57" s="47">
        <v>0</v>
      </c>
      <c r="CK57" s="47">
        <v>0</v>
      </c>
      <c r="CL57" s="47">
        <v>0</v>
      </c>
      <c r="CM57" s="47">
        <v>0</v>
      </c>
      <c r="CN57" s="47">
        <v>0</v>
      </c>
      <c r="CO57" s="47">
        <v>0</v>
      </c>
      <c r="CP57" s="47">
        <v>0</v>
      </c>
      <c r="CQ57" s="47">
        <v>0</v>
      </c>
      <c r="CR57" s="47">
        <v>0</v>
      </c>
      <c r="CS57" s="47">
        <v>0</v>
      </c>
      <c r="CT57" s="47">
        <v>0</v>
      </c>
      <c r="CU57" s="47">
        <v>0</v>
      </c>
      <c r="CV57" s="47">
        <v>0</v>
      </c>
      <c r="CW57" s="47">
        <v>0</v>
      </c>
      <c r="CX57" s="47">
        <v>0</v>
      </c>
      <c r="CY57" s="47">
        <v>0</v>
      </c>
      <c r="CZ57" s="47">
        <v>0</v>
      </c>
      <c r="DA57" s="47">
        <v>0</v>
      </c>
      <c r="DB57" s="47">
        <v>0</v>
      </c>
      <c r="DC57" s="47">
        <v>0</v>
      </c>
      <c r="DD57" s="47">
        <v>0</v>
      </c>
      <c r="DE57" s="47">
        <v>0</v>
      </c>
      <c r="DF57" s="47">
        <v>0</v>
      </c>
      <c r="DG57" s="47">
        <v>0</v>
      </c>
      <c r="DH57" s="47">
        <v>0</v>
      </c>
      <c r="DI57" s="47">
        <v>0</v>
      </c>
      <c r="DJ57" s="47">
        <v>0</v>
      </c>
      <c r="DK57" s="47">
        <v>0</v>
      </c>
      <c r="DL57" s="47">
        <v>0</v>
      </c>
      <c r="DM57" s="47">
        <v>0</v>
      </c>
      <c r="DN57" s="47">
        <v>0</v>
      </c>
      <c r="DO57" s="47">
        <v>0</v>
      </c>
      <c r="DP57" s="47">
        <v>0</v>
      </c>
      <c r="DQ57" s="47">
        <v>0</v>
      </c>
      <c r="DR57" s="47">
        <v>0</v>
      </c>
      <c r="DS57" s="47">
        <v>0</v>
      </c>
      <c r="DT57" s="47">
        <v>0</v>
      </c>
      <c r="DU57" s="47">
        <v>0</v>
      </c>
      <c r="DV57" s="47">
        <v>0</v>
      </c>
      <c r="DW57" s="47">
        <v>0</v>
      </c>
      <c r="DX57" s="47">
        <v>0</v>
      </c>
      <c r="DY57" s="47">
        <v>0</v>
      </c>
      <c r="DZ57" s="47"/>
      <c r="EA57" s="47">
        <v>1</v>
      </c>
      <c r="ZZ57" t="s">
        <v>1084</v>
      </c>
    </row>
    <row r="58" spans="1:702" x14ac:dyDescent="0.25">
      <c r="A58" s="47" t="s">
        <v>396</v>
      </c>
      <c r="B58" s="47" t="s">
        <v>151</v>
      </c>
      <c r="C58" s="47" t="s">
        <v>155</v>
      </c>
      <c r="D58" s="47" t="s">
        <v>1138</v>
      </c>
      <c r="E58" s="47" t="s">
        <v>397</v>
      </c>
      <c r="F58" s="47" t="s">
        <v>398</v>
      </c>
      <c r="G58" s="47" t="s">
        <v>399</v>
      </c>
      <c r="H58" s="47" t="s">
        <v>380</v>
      </c>
      <c r="I58" s="47" t="s">
        <v>381</v>
      </c>
      <c r="J58" s="47" t="str">
        <f>=IFERROR(VLOOKUP(H58&amp;I58,Table_Fonctions!A:G,6,FALSE),"")</f>
        <v>0</v>
      </c>
      <c r="K58" s="47" t="s">
        <v>1132</v>
      </c>
      <c r="L58" s="47" t="str">
        <f>=IFERROR(VLOOKUP(H58&amp;I58,Table_Fonctions!A:G,7,FALSE),K58)</f>
        <v/>
      </c>
      <c r="M58" s="47" t="str">
        <f>=IF(OR(LEFT(D58, 3)="TJ ", LEFT(D58, 4)="CPH "), "OUI", "NON")</f>
        <v/>
      </c>
      <c r="N58" s="47" t="s">
        <v>400</v>
      </c>
      <c r="O58" s="47"/>
      <c r="P58" s="47">
        <v>1</v>
      </c>
      <c r="Q58" s="47">
        <v>0</v>
      </c>
      <c r="R58" s="47">
        <v>1</v>
      </c>
      <c r="S58" s="47">
        <f>=ROUND(BQ58-(BR58+BS58),3)</f>
      </c>
      <c r="T58" s="47">
        <f>=ROUND(CK58-(CL58+CM58+CN58+CO58+CP58),3)</f>
      </c>
      <c r="U58" s="47">
        <v>0</v>
      </c>
      <c r="V58" s="47">
        <v>0</v>
      </c>
      <c r="W58" s="47">
        <v>0</v>
      </c>
      <c r="X58" s="47">
        <v>0</v>
      </c>
      <c r="Y58" s="47">
        <v>0</v>
      </c>
      <c r="Z58" s="47">
        <v>0</v>
      </c>
      <c r="AA58" s="47">
        <v>0</v>
      </c>
      <c r="AB58" s="47">
        <v>0</v>
      </c>
      <c r="AC58" s="47">
        <v>0</v>
      </c>
      <c r="AD58" s="47">
        <v>0</v>
      </c>
      <c r="AE58" s="47">
        <v>0</v>
      </c>
      <c r="AF58" s="47">
        <v>0</v>
      </c>
      <c r="AG58" s="47">
        <v>0</v>
      </c>
      <c r="AH58" s="47">
        <v>0</v>
      </c>
      <c r="AI58" s="47">
        <v>0</v>
      </c>
      <c r="AJ58" s="47">
        <v>0</v>
      </c>
      <c r="AK58" s="47">
        <v>0</v>
      </c>
      <c r="AL58" s="47">
        <v>0</v>
      </c>
      <c r="AM58" s="47">
        <v>0</v>
      </c>
      <c r="AN58" s="47">
        <v>0</v>
      </c>
      <c r="AO58" s="47">
        <v>0</v>
      </c>
      <c r="AP58" s="47">
        <v>0</v>
      </c>
      <c r="AQ58" s="47">
        <v>0</v>
      </c>
      <c r="AR58" s="47">
        <v>0</v>
      </c>
      <c r="AS58" s="47">
        <v>0</v>
      </c>
      <c r="AT58" s="47">
        <v>0</v>
      </c>
      <c r="AU58" s="47">
        <v>0</v>
      </c>
      <c r="AV58" s="47">
        <v>0</v>
      </c>
      <c r="AW58" s="47">
        <v>0</v>
      </c>
      <c r="AX58" s="47">
        <v>0</v>
      </c>
      <c r="AY58" s="47">
        <v>0</v>
      </c>
      <c r="AZ58" s="47">
        <v>0</v>
      </c>
      <c r="BA58" s="47">
        <v>0</v>
      </c>
      <c r="BB58" s="47">
        <v>0</v>
      </c>
      <c r="BC58" s="47">
        <v>0</v>
      </c>
      <c r="BD58" s="47">
        <v>0</v>
      </c>
      <c r="BE58" s="47">
        <v>0</v>
      </c>
      <c r="BF58" s="47">
        <v>0</v>
      </c>
      <c r="BG58" s="47">
        <v>0</v>
      </c>
      <c r="BH58" s="47">
        <v>0</v>
      </c>
      <c r="BI58" s="47">
        <v>0</v>
      </c>
      <c r="BJ58" s="47">
        <v>0</v>
      </c>
      <c r="BK58" s="47">
        <v>0</v>
      </c>
      <c r="BL58" s="47">
        <v>0</v>
      </c>
      <c r="BM58" s="47">
        <v>0</v>
      </c>
      <c r="BN58" s="47">
        <v>0</v>
      </c>
      <c r="BO58" s="47">
        <v>0</v>
      </c>
      <c r="BP58" s="47">
        <v>0</v>
      </c>
      <c r="BQ58" s="47">
        <v>0</v>
      </c>
      <c r="BR58" s="47">
        <v>0</v>
      </c>
      <c r="BS58" s="47">
        <v>0</v>
      </c>
      <c r="BT58" s="47">
        <v>0</v>
      </c>
      <c r="BU58" s="47">
        <v>0</v>
      </c>
      <c r="BV58" s="47">
        <v>0</v>
      </c>
      <c r="BW58" s="47">
        <v>0</v>
      </c>
      <c r="BX58" s="47">
        <v>0</v>
      </c>
      <c r="BY58" s="47">
        <v>0</v>
      </c>
      <c r="BZ58" s="47">
        <v>0</v>
      </c>
      <c r="CA58" s="47">
        <v>0</v>
      </c>
      <c r="CB58" s="47">
        <v>0</v>
      </c>
      <c r="CC58" s="47">
        <v>0</v>
      </c>
      <c r="CD58" s="47">
        <v>0</v>
      </c>
      <c r="CE58" s="47">
        <v>0</v>
      </c>
      <c r="CF58" s="47">
        <v>0</v>
      </c>
      <c r="CG58" s="47">
        <v>0</v>
      </c>
      <c r="CH58" s="47">
        <v>0</v>
      </c>
      <c r="CI58" s="47">
        <v>0</v>
      </c>
      <c r="CJ58" s="47">
        <v>0</v>
      </c>
      <c r="CK58" s="47">
        <v>0</v>
      </c>
      <c r="CL58" s="47">
        <v>0</v>
      </c>
      <c r="CM58" s="47">
        <v>0</v>
      </c>
      <c r="CN58" s="47">
        <v>0</v>
      </c>
      <c r="CO58" s="47">
        <v>0</v>
      </c>
      <c r="CP58" s="47">
        <v>0</v>
      </c>
      <c r="CQ58" s="47">
        <v>0</v>
      </c>
      <c r="CR58" s="47">
        <v>0</v>
      </c>
      <c r="CS58" s="47">
        <v>0</v>
      </c>
      <c r="CT58" s="47">
        <v>0</v>
      </c>
      <c r="CU58" s="47">
        <v>0</v>
      </c>
      <c r="CV58" s="47">
        <v>0</v>
      </c>
      <c r="CW58" s="47">
        <v>0</v>
      </c>
      <c r="CX58" s="47">
        <v>0</v>
      </c>
      <c r="CY58" s="47">
        <v>0</v>
      </c>
      <c r="CZ58" s="47">
        <v>0</v>
      </c>
      <c r="DA58" s="47">
        <v>0</v>
      </c>
      <c r="DB58" s="47">
        <v>0</v>
      </c>
      <c r="DC58" s="47">
        <v>0</v>
      </c>
      <c r="DD58" s="47">
        <v>0</v>
      </c>
      <c r="DE58" s="47">
        <v>0</v>
      </c>
      <c r="DF58" s="47">
        <v>0</v>
      </c>
      <c r="DG58" s="47">
        <v>0</v>
      </c>
      <c r="DH58" s="47">
        <v>0</v>
      </c>
      <c r="DI58" s="47">
        <v>0</v>
      </c>
      <c r="DJ58" s="47">
        <v>0</v>
      </c>
      <c r="DK58" s="47">
        <v>0</v>
      </c>
      <c r="DL58" s="47">
        <v>0</v>
      </c>
      <c r="DM58" s="47">
        <v>0</v>
      </c>
      <c r="DN58" s="47">
        <v>0</v>
      </c>
      <c r="DO58" s="47">
        <v>0</v>
      </c>
      <c r="DP58" s="47">
        <v>0</v>
      </c>
      <c r="DQ58" s="47">
        <v>0</v>
      </c>
      <c r="DR58" s="47">
        <v>0</v>
      </c>
      <c r="DS58" s="47">
        <v>0</v>
      </c>
      <c r="DT58" s="47">
        <v>0</v>
      </c>
      <c r="DU58" s="47">
        <v>0</v>
      </c>
      <c r="DV58" s="47">
        <v>0</v>
      </c>
      <c r="DW58" s="47">
        <v>0</v>
      </c>
      <c r="DX58" s="47">
        <v>0</v>
      </c>
      <c r="DY58" s="47">
        <v>0</v>
      </c>
      <c r="DZ58" s="47"/>
      <c r="EA58" s="47">
        <v>1</v>
      </c>
      <c r="ZZ58" t="s">
        <v>1084</v>
      </c>
    </row>
    <row r="59" spans="1:702" x14ac:dyDescent="0.25">
      <c r="A59" s="47" t="s">
        <v>401</v>
      </c>
      <c r="B59" s="47" t="s">
        <v>151</v>
      </c>
      <c r="C59" s="47" t="s">
        <v>155</v>
      </c>
      <c r="D59" s="47" t="s">
        <v>1139</v>
      </c>
      <c r="E59" s="47" t="s">
        <v>402</v>
      </c>
      <c r="F59" s="47" t="s">
        <v>403</v>
      </c>
      <c r="G59" s="47" t="s">
        <v>404</v>
      </c>
      <c r="H59" s="47" t="s">
        <v>380</v>
      </c>
      <c r="I59" s="47" t="s">
        <v>381</v>
      </c>
      <c r="J59" s="47" t="str">
        <f>=IFERROR(VLOOKUP(H59&amp;I59,Table_Fonctions!A:G,6,FALSE),"")</f>
        <v>0</v>
      </c>
      <c r="K59" s="47" t="s">
        <v>1132</v>
      </c>
      <c r="L59" s="47" t="str">
        <f>=IFERROR(VLOOKUP(H59&amp;I59,Table_Fonctions!A:G,7,FALSE),K59)</f>
        <v/>
      </c>
      <c r="M59" s="47" t="str">
        <f>=IF(OR(LEFT(D59, 3)="TJ ", LEFT(D59, 4)="CPH "), "OUI", "NON")</f>
        <v/>
      </c>
      <c r="N59" s="47" t="s">
        <v>405</v>
      </c>
      <c r="O59" s="47" t="s">
        <v>406</v>
      </c>
      <c r="P59" s="47">
        <v>1</v>
      </c>
      <c r="Q59" s="47">
        <v>1</v>
      </c>
      <c r="R59" s="47">
        <v>0</v>
      </c>
      <c r="S59" s="47">
        <f>=ROUND(BQ59-(BR59+BS59),3)</f>
      </c>
      <c r="T59" s="47">
        <f>=ROUND(CK59-(CL59+CM59+CN59+CO59+CP59),3)</f>
      </c>
      <c r="U59" s="47">
        <v>0</v>
      </c>
      <c r="V59" s="47">
        <v>0</v>
      </c>
      <c r="W59" s="47">
        <v>0</v>
      </c>
      <c r="X59" s="47">
        <v>0</v>
      </c>
      <c r="Y59" s="47">
        <v>0</v>
      </c>
      <c r="Z59" s="47">
        <v>0</v>
      </c>
      <c r="AA59" s="47">
        <v>0</v>
      </c>
      <c r="AB59" s="47">
        <v>0</v>
      </c>
      <c r="AC59" s="47">
        <v>0</v>
      </c>
      <c r="AD59" s="47">
        <v>0</v>
      </c>
      <c r="AE59" s="47">
        <v>0</v>
      </c>
      <c r="AF59" s="47">
        <v>0</v>
      </c>
      <c r="AG59" s="47">
        <v>0</v>
      </c>
      <c r="AH59" s="47">
        <v>0</v>
      </c>
      <c r="AI59" s="47">
        <v>0</v>
      </c>
      <c r="AJ59" s="47">
        <v>0</v>
      </c>
      <c r="AK59" s="47">
        <v>0</v>
      </c>
      <c r="AL59" s="47">
        <v>0</v>
      </c>
      <c r="AM59" s="47">
        <v>0</v>
      </c>
      <c r="AN59" s="47">
        <v>0</v>
      </c>
      <c r="AO59" s="47">
        <v>0</v>
      </c>
      <c r="AP59" s="47">
        <v>0</v>
      </c>
      <c r="AQ59" s="47">
        <v>0</v>
      </c>
      <c r="AR59" s="47">
        <v>0</v>
      </c>
      <c r="AS59" s="47">
        <v>0</v>
      </c>
      <c r="AT59" s="47">
        <v>0</v>
      </c>
      <c r="AU59" s="47">
        <v>0</v>
      </c>
      <c r="AV59" s="47">
        <v>0</v>
      </c>
      <c r="AW59" s="47">
        <v>0</v>
      </c>
      <c r="AX59" s="47">
        <v>0</v>
      </c>
      <c r="AY59" s="47">
        <v>0</v>
      </c>
      <c r="AZ59" s="47">
        <v>0</v>
      </c>
      <c r="BA59" s="47">
        <v>0</v>
      </c>
      <c r="BB59" s="47">
        <v>0</v>
      </c>
      <c r="BC59" s="47">
        <v>0</v>
      </c>
      <c r="BD59" s="47">
        <v>0</v>
      </c>
      <c r="BE59" s="47">
        <v>0</v>
      </c>
      <c r="BF59" s="47">
        <v>0</v>
      </c>
      <c r="BG59" s="47">
        <v>0</v>
      </c>
      <c r="BH59" s="47">
        <v>0</v>
      </c>
      <c r="BI59" s="47">
        <v>0</v>
      </c>
      <c r="BJ59" s="47">
        <v>0</v>
      </c>
      <c r="BK59" s="47">
        <v>0</v>
      </c>
      <c r="BL59" s="47">
        <v>0</v>
      </c>
      <c r="BM59" s="47">
        <v>0</v>
      </c>
      <c r="BN59" s="47">
        <v>0</v>
      </c>
      <c r="BO59" s="47">
        <v>0</v>
      </c>
      <c r="BP59" s="47">
        <v>0</v>
      </c>
      <c r="BQ59" s="47">
        <v>0</v>
      </c>
      <c r="BR59" s="47">
        <v>0</v>
      </c>
      <c r="BS59" s="47">
        <v>0</v>
      </c>
      <c r="BT59" s="47">
        <v>0</v>
      </c>
      <c r="BU59" s="47">
        <v>0</v>
      </c>
      <c r="BV59" s="47">
        <v>0</v>
      </c>
      <c r="BW59" s="47">
        <v>0</v>
      </c>
      <c r="BX59" s="47">
        <v>0</v>
      </c>
      <c r="BY59" s="47">
        <v>0</v>
      </c>
      <c r="BZ59" s="47">
        <v>0</v>
      </c>
      <c r="CA59" s="47">
        <v>0</v>
      </c>
      <c r="CB59" s="47">
        <v>0</v>
      </c>
      <c r="CC59" s="47">
        <v>0</v>
      </c>
      <c r="CD59" s="47">
        <v>0</v>
      </c>
      <c r="CE59" s="47">
        <v>0</v>
      </c>
      <c r="CF59" s="47">
        <v>0</v>
      </c>
      <c r="CG59" s="47">
        <v>0</v>
      </c>
      <c r="CH59" s="47">
        <v>0</v>
      </c>
      <c r="CI59" s="47">
        <v>0</v>
      </c>
      <c r="CJ59" s="47">
        <v>0</v>
      </c>
      <c r="CK59" s="47">
        <v>1</v>
      </c>
      <c r="CL59" s="47">
        <v>0</v>
      </c>
      <c r="CM59" s="47">
        <v>0</v>
      </c>
      <c r="CN59" s="47">
        <v>0</v>
      </c>
      <c r="CO59" s="47">
        <v>1</v>
      </c>
      <c r="CP59" s="47">
        <v>0</v>
      </c>
      <c r="CQ59" s="47">
        <v>0</v>
      </c>
      <c r="CR59" s="47">
        <v>0</v>
      </c>
      <c r="CS59" s="47">
        <v>0</v>
      </c>
      <c r="CT59" s="47">
        <v>0</v>
      </c>
      <c r="CU59" s="47">
        <v>0</v>
      </c>
      <c r="CV59" s="47">
        <v>0</v>
      </c>
      <c r="CW59" s="47">
        <v>0</v>
      </c>
      <c r="CX59" s="47">
        <v>0</v>
      </c>
      <c r="CY59" s="47">
        <v>0</v>
      </c>
      <c r="CZ59" s="47">
        <v>0</v>
      </c>
      <c r="DA59" s="47">
        <v>0</v>
      </c>
      <c r="DB59" s="47">
        <v>0</v>
      </c>
      <c r="DC59" s="47">
        <v>0</v>
      </c>
      <c r="DD59" s="47">
        <v>0</v>
      </c>
      <c r="DE59" s="47">
        <v>0</v>
      </c>
      <c r="DF59" s="47">
        <v>0</v>
      </c>
      <c r="DG59" s="47">
        <v>0</v>
      </c>
      <c r="DH59" s="47">
        <v>0</v>
      </c>
      <c r="DI59" s="47">
        <v>0</v>
      </c>
      <c r="DJ59" s="47">
        <v>0</v>
      </c>
      <c r="DK59" s="47">
        <v>0</v>
      </c>
      <c r="DL59" s="47">
        <v>0</v>
      </c>
      <c r="DM59" s="47">
        <v>0</v>
      </c>
      <c r="DN59" s="47">
        <v>0</v>
      </c>
      <c r="DO59" s="47">
        <v>0</v>
      </c>
      <c r="DP59" s="47">
        <v>0</v>
      </c>
      <c r="DQ59" s="47">
        <v>0</v>
      </c>
      <c r="DR59" s="47">
        <v>0</v>
      </c>
      <c r="DS59" s="47">
        <v>0</v>
      </c>
      <c r="DT59" s="47">
        <v>0.0685</v>
      </c>
      <c r="DU59" s="47">
        <v>0</v>
      </c>
      <c r="DV59" s="47">
        <v>0</v>
      </c>
      <c r="DW59" s="47">
        <v>0</v>
      </c>
      <c r="DX59" s="47">
        <v>0</v>
      </c>
      <c r="DY59" s="47">
        <v>0.0685</v>
      </c>
      <c r="DZ59" s="47"/>
      <c r="EA59" s="47">
        <v>1</v>
      </c>
      <c r="ZZ59" t="s">
        <v>1084</v>
      </c>
    </row>
    <row r="60" spans="1:702" x14ac:dyDescent="0.25">
      <c r="A60" s="47" t="s">
        <v>407</v>
      </c>
      <c r="B60" s="47" t="s">
        <v>151</v>
      </c>
      <c r="C60" s="47" t="s">
        <v>155</v>
      </c>
      <c r="D60" s="47" t="s">
        <v>1140</v>
      </c>
      <c r="E60" s="47" t="s">
        <v>408</v>
      </c>
      <c r="F60" s="47" t="s">
        <v>409</v>
      </c>
      <c r="G60" s="47" t="s">
        <v>410</v>
      </c>
      <c r="H60" s="47" t="s">
        <v>380</v>
      </c>
      <c r="I60" s="47" t="s">
        <v>411</v>
      </c>
      <c r="J60" s="47" t="str">
        <f>=IFERROR(VLOOKUP(H60&amp;I60,Table_Fonctions!A:G,6,FALSE),"")</f>
        <v>0</v>
      </c>
      <c r="K60" s="47" t="s">
        <v>1132</v>
      </c>
      <c r="L60" s="47" t="str">
        <f>=IFERROR(VLOOKUP(H60&amp;I60,Table_Fonctions!A:G,7,FALSE),K60)</f>
        <v/>
      </c>
      <c r="M60" s="47" t="str">
        <f>=IF(OR(LEFT(D60, 3)="TJ ", LEFT(D60, 4)="CPH "), "OUI", "NON")</f>
        <v/>
      </c>
      <c r="N60" s="47" t="s">
        <v>412</v>
      </c>
      <c r="O60" s="47"/>
      <c r="P60" s="47">
        <v>1</v>
      </c>
      <c r="Q60" s="47">
        <v>0</v>
      </c>
      <c r="R60" s="47">
        <v>1</v>
      </c>
      <c r="S60" s="47">
        <f>=ROUND(BQ60-(BR60+BS60),3)</f>
      </c>
      <c r="T60" s="47">
        <f>=ROUND(CK60-(CL60+CM60+CN60+CO60+CP60),3)</f>
      </c>
      <c r="U60" s="47">
        <v>0</v>
      </c>
      <c r="V60" s="47">
        <v>0</v>
      </c>
      <c r="W60" s="47">
        <v>0</v>
      </c>
      <c r="X60" s="47">
        <v>0</v>
      </c>
      <c r="Y60" s="47">
        <v>0</v>
      </c>
      <c r="Z60" s="47">
        <v>0</v>
      </c>
      <c r="AA60" s="47">
        <v>0</v>
      </c>
      <c r="AB60" s="47">
        <v>0</v>
      </c>
      <c r="AC60" s="47">
        <v>0</v>
      </c>
      <c r="AD60" s="47">
        <v>0</v>
      </c>
      <c r="AE60" s="47">
        <v>0</v>
      </c>
      <c r="AF60" s="47">
        <v>0</v>
      </c>
      <c r="AG60" s="47">
        <v>0</v>
      </c>
      <c r="AH60" s="47">
        <v>0</v>
      </c>
      <c r="AI60" s="47">
        <v>0</v>
      </c>
      <c r="AJ60" s="47">
        <v>0</v>
      </c>
      <c r="AK60" s="47">
        <v>0</v>
      </c>
      <c r="AL60" s="47">
        <v>0</v>
      </c>
      <c r="AM60" s="47">
        <v>0</v>
      </c>
      <c r="AN60" s="47">
        <v>0</v>
      </c>
      <c r="AO60" s="47">
        <v>0</v>
      </c>
      <c r="AP60" s="47">
        <v>0</v>
      </c>
      <c r="AQ60" s="47">
        <v>0</v>
      </c>
      <c r="AR60" s="47">
        <v>0</v>
      </c>
      <c r="AS60" s="47">
        <v>0</v>
      </c>
      <c r="AT60" s="47">
        <v>0</v>
      </c>
      <c r="AU60" s="47">
        <v>0</v>
      </c>
      <c r="AV60" s="47">
        <v>0</v>
      </c>
      <c r="AW60" s="47">
        <v>0</v>
      </c>
      <c r="AX60" s="47">
        <v>0</v>
      </c>
      <c r="AY60" s="47">
        <v>0</v>
      </c>
      <c r="AZ60" s="47">
        <v>0</v>
      </c>
      <c r="BA60" s="47">
        <v>0</v>
      </c>
      <c r="BB60" s="47">
        <v>0</v>
      </c>
      <c r="BC60" s="47">
        <v>0</v>
      </c>
      <c r="BD60" s="47">
        <v>0</v>
      </c>
      <c r="BE60" s="47">
        <v>0</v>
      </c>
      <c r="BF60" s="47">
        <v>0</v>
      </c>
      <c r="BG60" s="47">
        <v>0</v>
      </c>
      <c r="BH60" s="47">
        <v>0</v>
      </c>
      <c r="BI60" s="47">
        <v>0</v>
      </c>
      <c r="BJ60" s="47">
        <v>0</v>
      </c>
      <c r="BK60" s="47">
        <v>0</v>
      </c>
      <c r="BL60" s="47">
        <v>0</v>
      </c>
      <c r="BM60" s="47">
        <v>0</v>
      </c>
      <c r="BN60" s="47">
        <v>0</v>
      </c>
      <c r="BO60" s="47">
        <v>0</v>
      </c>
      <c r="BP60" s="47">
        <v>0</v>
      </c>
      <c r="BQ60" s="47">
        <v>0</v>
      </c>
      <c r="BR60" s="47">
        <v>0</v>
      </c>
      <c r="BS60" s="47">
        <v>0</v>
      </c>
      <c r="BT60" s="47">
        <v>0</v>
      </c>
      <c r="BU60" s="47">
        <v>0</v>
      </c>
      <c r="BV60" s="47">
        <v>0</v>
      </c>
      <c r="BW60" s="47">
        <v>0</v>
      </c>
      <c r="BX60" s="47">
        <v>0</v>
      </c>
      <c r="BY60" s="47">
        <v>0</v>
      </c>
      <c r="BZ60" s="47">
        <v>0</v>
      </c>
      <c r="CA60" s="47">
        <v>0</v>
      </c>
      <c r="CB60" s="47">
        <v>0</v>
      </c>
      <c r="CC60" s="47">
        <v>0</v>
      </c>
      <c r="CD60" s="47">
        <v>0</v>
      </c>
      <c r="CE60" s="47">
        <v>0</v>
      </c>
      <c r="CF60" s="47">
        <v>0</v>
      </c>
      <c r="CG60" s="47">
        <v>0</v>
      </c>
      <c r="CH60" s="47">
        <v>0</v>
      </c>
      <c r="CI60" s="47">
        <v>0</v>
      </c>
      <c r="CJ60" s="47">
        <v>0</v>
      </c>
      <c r="CK60" s="47">
        <v>0</v>
      </c>
      <c r="CL60" s="47">
        <v>0</v>
      </c>
      <c r="CM60" s="47">
        <v>0</v>
      </c>
      <c r="CN60" s="47">
        <v>0</v>
      </c>
      <c r="CO60" s="47">
        <v>0</v>
      </c>
      <c r="CP60" s="47">
        <v>0</v>
      </c>
      <c r="CQ60" s="47">
        <v>0</v>
      </c>
      <c r="CR60" s="47">
        <v>0</v>
      </c>
      <c r="CS60" s="47">
        <v>0</v>
      </c>
      <c r="CT60" s="47">
        <v>0</v>
      </c>
      <c r="CU60" s="47">
        <v>0</v>
      </c>
      <c r="CV60" s="47">
        <v>0</v>
      </c>
      <c r="CW60" s="47">
        <v>0</v>
      </c>
      <c r="CX60" s="47">
        <v>0</v>
      </c>
      <c r="CY60" s="47">
        <v>0</v>
      </c>
      <c r="CZ60" s="47">
        <v>0</v>
      </c>
      <c r="DA60" s="47">
        <v>0</v>
      </c>
      <c r="DB60" s="47">
        <v>0</v>
      </c>
      <c r="DC60" s="47">
        <v>0</v>
      </c>
      <c r="DD60" s="47">
        <v>0</v>
      </c>
      <c r="DE60" s="47">
        <v>0</v>
      </c>
      <c r="DF60" s="47">
        <v>0</v>
      </c>
      <c r="DG60" s="47">
        <v>0</v>
      </c>
      <c r="DH60" s="47">
        <v>0</v>
      </c>
      <c r="DI60" s="47">
        <v>0</v>
      </c>
      <c r="DJ60" s="47">
        <v>0</v>
      </c>
      <c r="DK60" s="47">
        <v>0</v>
      </c>
      <c r="DL60" s="47">
        <v>0</v>
      </c>
      <c r="DM60" s="47">
        <v>0</v>
      </c>
      <c r="DN60" s="47">
        <v>0</v>
      </c>
      <c r="DO60" s="47">
        <v>0</v>
      </c>
      <c r="DP60" s="47">
        <v>0</v>
      </c>
      <c r="DQ60" s="47">
        <v>0</v>
      </c>
      <c r="DR60" s="47">
        <v>0</v>
      </c>
      <c r="DS60" s="47">
        <v>0</v>
      </c>
      <c r="DT60" s="47">
        <v>0</v>
      </c>
      <c r="DU60" s="47">
        <v>0</v>
      </c>
      <c r="DV60" s="47">
        <v>0</v>
      </c>
      <c r="DW60" s="47">
        <v>0</v>
      </c>
      <c r="DX60" s="47">
        <v>0</v>
      </c>
      <c r="DY60" s="47">
        <v>0</v>
      </c>
      <c r="DZ60" s="47"/>
      <c r="EA60" s="47">
        <v>1</v>
      </c>
      <c r="ZZ60" t="s">
        <v>1084</v>
      </c>
    </row>
    <row r="61" spans="1:702" x14ac:dyDescent="0.25">
      <c r="A61" s="47" t="s">
        <v>413</v>
      </c>
      <c r="B61" s="47" t="s">
        <v>151</v>
      </c>
      <c r="C61" s="47" t="s">
        <v>155</v>
      </c>
      <c r="D61" s="47" t="s">
        <v>1141</v>
      </c>
      <c r="E61" s="47" t="s">
        <v>414</v>
      </c>
      <c r="F61" s="47" t="s">
        <v>415</v>
      </c>
      <c r="G61" s="47" t="s">
        <v>416</v>
      </c>
      <c r="H61" s="47" t="s">
        <v>380</v>
      </c>
      <c r="I61" s="47" t="s">
        <v>411</v>
      </c>
      <c r="J61" s="47" t="str">
        <f>=IFERROR(VLOOKUP(H61&amp;I61,Table_Fonctions!A:G,6,FALSE),"")</f>
        <v>0</v>
      </c>
      <c r="K61" s="47" t="s">
        <v>1132</v>
      </c>
      <c r="L61" s="47" t="str">
        <f>=IFERROR(VLOOKUP(H61&amp;I61,Table_Fonctions!A:G,7,FALSE),K61)</f>
        <v/>
      </c>
      <c r="M61" s="47" t="str">
        <f>=IF(OR(LEFT(D61, 3)="TJ ", LEFT(D61, 4)="CPH "), "OUI", "NON")</f>
        <v/>
      </c>
      <c r="N61" s="47" t="s">
        <v>208</v>
      </c>
      <c r="O61" s="47" t="s">
        <v>169</v>
      </c>
      <c r="P61" s="47">
        <v>0.7016</v>
      </c>
      <c r="Q61" s="47">
        <v>0.7016</v>
      </c>
      <c r="R61" s="47">
        <v>0</v>
      </c>
      <c r="S61" s="47">
        <f>=ROUND(BQ61-(BR61+BS61),3)</f>
      </c>
      <c r="T61" s="47">
        <f>=ROUND(CK61-(CL61+CM61+CN61+CO61+CP61),3)</f>
      </c>
      <c r="U61" s="47">
        <v>0</v>
      </c>
      <c r="V61" s="47">
        <v>0</v>
      </c>
      <c r="W61" s="47">
        <v>0</v>
      </c>
      <c r="X61" s="47">
        <v>0</v>
      </c>
      <c r="Y61" s="47">
        <v>0</v>
      </c>
      <c r="Z61" s="47">
        <v>0</v>
      </c>
      <c r="AA61" s="47">
        <v>0</v>
      </c>
      <c r="AB61" s="47">
        <v>0</v>
      </c>
      <c r="AC61" s="47">
        <v>0</v>
      </c>
      <c r="AD61" s="47">
        <v>0</v>
      </c>
      <c r="AE61" s="47">
        <v>0</v>
      </c>
      <c r="AF61" s="47">
        <v>0</v>
      </c>
      <c r="AG61" s="47">
        <v>0</v>
      </c>
      <c r="AH61" s="47">
        <v>0</v>
      </c>
      <c r="AI61" s="47">
        <v>0</v>
      </c>
      <c r="AJ61" s="47">
        <v>0</v>
      </c>
      <c r="AK61" s="47">
        <v>0</v>
      </c>
      <c r="AL61" s="47">
        <v>0</v>
      </c>
      <c r="AM61" s="47">
        <v>0</v>
      </c>
      <c r="AN61" s="47">
        <v>0</v>
      </c>
      <c r="AO61" s="47">
        <v>0</v>
      </c>
      <c r="AP61" s="47">
        <v>0</v>
      </c>
      <c r="AQ61" s="47">
        <v>0</v>
      </c>
      <c r="AR61" s="47">
        <v>0</v>
      </c>
      <c r="AS61" s="47">
        <v>0</v>
      </c>
      <c r="AT61" s="47">
        <v>0</v>
      </c>
      <c r="AU61" s="47">
        <v>0</v>
      </c>
      <c r="AV61" s="47">
        <v>0</v>
      </c>
      <c r="AW61" s="47">
        <v>0</v>
      </c>
      <c r="AX61" s="47">
        <v>0</v>
      </c>
      <c r="AY61" s="47">
        <v>0</v>
      </c>
      <c r="AZ61" s="47">
        <v>0</v>
      </c>
      <c r="BA61" s="47">
        <v>0</v>
      </c>
      <c r="BB61" s="47">
        <v>0</v>
      </c>
      <c r="BC61" s="47">
        <v>0</v>
      </c>
      <c r="BD61" s="47">
        <v>0</v>
      </c>
      <c r="BE61" s="47">
        <v>0</v>
      </c>
      <c r="BF61" s="47">
        <v>0</v>
      </c>
      <c r="BG61" s="47">
        <v>0</v>
      </c>
      <c r="BH61" s="47">
        <v>0</v>
      </c>
      <c r="BI61" s="47">
        <v>0</v>
      </c>
      <c r="BJ61" s="47">
        <v>0</v>
      </c>
      <c r="BK61" s="47">
        <v>0</v>
      </c>
      <c r="BL61" s="47">
        <v>0</v>
      </c>
      <c r="BM61" s="47">
        <v>0</v>
      </c>
      <c r="BN61" s="47">
        <v>0</v>
      </c>
      <c r="BO61" s="47">
        <v>0</v>
      </c>
      <c r="BP61" s="47">
        <v>0</v>
      </c>
      <c r="BQ61" s="47">
        <v>0</v>
      </c>
      <c r="BR61" s="47">
        <v>0</v>
      </c>
      <c r="BS61" s="47">
        <v>0</v>
      </c>
      <c r="BT61" s="47">
        <v>0</v>
      </c>
      <c r="BU61" s="47">
        <v>0</v>
      </c>
      <c r="BV61" s="47">
        <v>0</v>
      </c>
      <c r="BW61" s="47">
        <v>0</v>
      </c>
      <c r="BX61" s="47">
        <v>0</v>
      </c>
      <c r="BY61" s="47">
        <v>0</v>
      </c>
      <c r="BZ61" s="47">
        <v>0</v>
      </c>
      <c r="CA61" s="47">
        <v>0</v>
      </c>
      <c r="CB61" s="47">
        <v>0</v>
      </c>
      <c r="CC61" s="47">
        <v>0</v>
      </c>
      <c r="CD61" s="47">
        <v>0</v>
      </c>
      <c r="CE61" s="47">
        <v>0</v>
      </c>
      <c r="CF61" s="47">
        <v>0</v>
      </c>
      <c r="CG61" s="47">
        <v>0</v>
      </c>
      <c r="CH61" s="47">
        <v>0</v>
      </c>
      <c r="CI61" s="47">
        <v>0</v>
      </c>
      <c r="CJ61" s="47">
        <v>0</v>
      </c>
      <c r="CK61" s="47">
        <v>0</v>
      </c>
      <c r="CL61" s="47">
        <v>0</v>
      </c>
      <c r="CM61" s="47">
        <v>0</v>
      </c>
      <c r="CN61" s="47">
        <v>0</v>
      </c>
      <c r="CO61" s="47">
        <v>0</v>
      </c>
      <c r="CP61" s="47">
        <v>0</v>
      </c>
      <c r="CQ61" s="47">
        <v>0</v>
      </c>
      <c r="CR61" s="47">
        <v>0</v>
      </c>
      <c r="CS61" s="47">
        <v>0</v>
      </c>
      <c r="CT61" s="47">
        <v>0</v>
      </c>
      <c r="CU61" s="47">
        <v>0</v>
      </c>
      <c r="CV61" s="47">
        <v>0</v>
      </c>
      <c r="CW61" s="47">
        <v>0</v>
      </c>
      <c r="CX61" s="47">
        <v>0</v>
      </c>
      <c r="CY61" s="47">
        <v>0.7016</v>
      </c>
      <c r="CZ61" s="47">
        <v>0</v>
      </c>
      <c r="DA61" s="47">
        <v>0</v>
      </c>
      <c r="DB61" s="47">
        <v>0</v>
      </c>
      <c r="DC61" s="47">
        <v>0</v>
      </c>
      <c r="DD61" s="47">
        <v>0</v>
      </c>
      <c r="DE61" s="47">
        <v>0</v>
      </c>
      <c r="DF61" s="47">
        <v>0</v>
      </c>
      <c r="DG61" s="47">
        <v>0</v>
      </c>
      <c r="DH61" s="47">
        <v>0</v>
      </c>
      <c r="DI61" s="47">
        <v>0</v>
      </c>
      <c r="DJ61" s="47">
        <v>0.7016</v>
      </c>
      <c r="DK61" s="47">
        <v>0</v>
      </c>
      <c r="DL61" s="47">
        <v>0</v>
      </c>
      <c r="DM61" s="47">
        <v>0</v>
      </c>
      <c r="DN61" s="47">
        <v>0</v>
      </c>
      <c r="DO61" s="47">
        <v>0</v>
      </c>
      <c r="DP61" s="47">
        <v>0</v>
      </c>
      <c r="DQ61" s="47">
        <v>0</v>
      </c>
      <c r="DR61" s="47">
        <v>0</v>
      </c>
      <c r="DS61" s="47">
        <v>0</v>
      </c>
      <c r="DT61" s="47">
        <v>0</v>
      </c>
      <c r="DU61" s="47">
        <v>0.0605</v>
      </c>
      <c r="DV61" s="47">
        <v>0</v>
      </c>
      <c r="DW61" s="47">
        <v>0.0202</v>
      </c>
      <c r="DX61" s="47">
        <v>0</v>
      </c>
      <c r="DY61" s="47">
        <v>0.0806</v>
      </c>
      <c r="DZ61" s="47"/>
      <c r="EA61" s="47">
        <v>0.7016</v>
      </c>
      <c r="ZZ61" t="s">
        <v>1084</v>
      </c>
    </row>
    <row r="62" spans="1:702" x14ac:dyDescent="0.25">
      <c r="A62" s="47" t="s">
        <v>417</v>
      </c>
      <c r="B62" s="47" t="s">
        <v>151</v>
      </c>
      <c r="C62" s="47" t="s">
        <v>155</v>
      </c>
      <c r="D62" s="47" t="s">
        <v>1142</v>
      </c>
      <c r="E62" s="47" t="s">
        <v>418</v>
      </c>
      <c r="F62" s="47" t="s">
        <v>419</v>
      </c>
      <c r="G62" s="47" t="s">
        <v>420</v>
      </c>
      <c r="H62" s="47" t="s">
        <v>380</v>
      </c>
      <c r="I62" s="47" t="s">
        <v>421</v>
      </c>
      <c r="J62" s="47" t="str">
        <f>=IFERROR(VLOOKUP(H62&amp;I62,Table_Fonctions!A:G,6,FALSE),"")</f>
        <v>0</v>
      </c>
      <c r="K62" s="47" t="s">
        <v>1132</v>
      </c>
      <c r="L62" s="47" t="str">
        <f>=IFERROR(VLOOKUP(H62&amp;I62,Table_Fonctions!A:G,7,FALSE),K62)</f>
        <v/>
      </c>
      <c r="M62" s="47" t="str">
        <f>=IF(OR(LEFT(D62, 3)="TJ ", LEFT(D62, 4)="CPH "), "OUI", "NON")</f>
        <v/>
      </c>
      <c r="N62" s="47" t="s">
        <v>176</v>
      </c>
      <c r="O62" s="47"/>
      <c r="P62" s="47">
        <v>1</v>
      </c>
      <c r="Q62" s="47">
        <v>1</v>
      </c>
      <c r="R62" s="47">
        <v>0</v>
      </c>
      <c r="S62" s="47">
        <f>=ROUND(BQ62-(BR62+BS62),3)</f>
      </c>
      <c r="T62" s="47">
        <f>=ROUND(CK62-(CL62+CM62+CN62+CO62+CP62),3)</f>
      </c>
      <c r="U62" s="47">
        <v>0</v>
      </c>
      <c r="V62" s="47">
        <v>0</v>
      </c>
      <c r="W62" s="47">
        <v>0</v>
      </c>
      <c r="X62" s="47">
        <v>0</v>
      </c>
      <c r="Y62" s="47">
        <v>0</v>
      </c>
      <c r="Z62" s="47">
        <v>0</v>
      </c>
      <c r="AA62" s="47">
        <v>0</v>
      </c>
      <c r="AB62" s="47">
        <v>0</v>
      </c>
      <c r="AC62" s="47">
        <v>0</v>
      </c>
      <c r="AD62" s="47">
        <v>0</v>
      </c>
      <c r="AE62" s="47">
        <v>0</v>
      </c>
      <c r="AF62" s="47">
        <v>0</v>
      </c>
      <c r="AG62" s="47">
        <v>0</v>
      </c>
      <c r="AH62" s="47">
        <v>0</v>
      </c>
      <c r="AI62" s="47">
        <v>0</v>
      </c>
      <c r="AJ62" s="47">
        <v>0</v>
      </c>
      <c r="AK62" s="47">
        <v>0</v>
      </c>
      <c r="AL62" s="47">
        <v>0</v>
      </c>
      <c r="AM62" s="47">
        <v>0</v>
      </c>
      <c r="AN62" s="47">
        <v>0</v>
      </c>
      <c r="AO62" s="47">
        <v>0</v>
      </c>
      <c r="AP62" s="47">
        <v>0</v>
      </c>
      <c r="AQ62" s="47">
        <v>0</v>
      </c>
      <c r="AR62" s="47">
        <v>0</v>
      </c>
      <c r="AS62" s="47">
        <v>0</v>
      </c>
      <c r="AT62" s="47">
        <v>0</v>
      </c>
      <c r="AU62" s="47">
        <v>0</v>
      </c>
      <c r="AV62" s="47">
        <v>0</v>
      </c>
      <c r="AW62" s="47">
        <v>0</v>
      </c>
      <c r="AX62" s="47">
        <v>0</v>
      </c>
      <c r="AY62" s="47">
        <v>0</v>
      </c>
      <c r="AZ62" s="47">
        <v>0</v>
      </c>
      <c r="BA62" s="47">
        <v>0</v>
      </c>
      <c r="BB62" s="47">
        <v>0</v>
      </c>
      <c r="BC62" s="47">
        <v>0</v>
      </c>
      <c r="BD62" s="47">
        <v>0</v>
      </c>
      <c r="BE62" s="47">
        <v>0</v>
      </c>
      <c r="BF62" s="47">
        <v>0</v>
      </c>
      <c r="BG62" s="47">
        <v>0</v>
      </c>
      <c r="BH62" s="47">
        <v>0</v>
      </c>
      <c r="BI62" s="47">
        <v>0</v>
      </c>
      <c r="BJ62" s="47">
        <v>0</v>
      </c>
      <c r="BK62" s="47">
        <v>0</v>
      </c>
      <c r="BL62" s="47">
        <v>0</v>
      </c>
      <c r="BM62" s="47">
        <v>0</v>
      </c>
      <c r="BN62" s="47">
        <v>0</v>
      </c>
      <c r="BO62" s="47">
        <v>0</v>
      </c>
      <c r="BP62" s="47">
        <v>0</v>
      </c>
      <c r="BQ62" s="47">
        <v>0</v>
      </c>
      <c r="BR62" s="47">
        <v>0</v>
      </c>
      <c r="BS62" s="47">
        <v>0</v>
      </c>
      <c r="BT62" s="47">
        <v>0</v>
      </c>
      <c r="BU62" s="47">
        <v>0</v>
      </c>
      <c r="BV62" s="47">
        <v>0</v>
      </c>
      <c r="BW62" s="47">
        <v>0</v>
      </c>
      <c r="BX62" s="47">
        <v>0</v>
      </c>
      <c r="BY62" s="47">
        <v>0</v>
      </c>
      <c r="BZ62" s="47">
        <v>0</v>
      </c>
      <c r="CA62" s="47">
        <v>0</v>
      </c>
      <c r="CB62" s="47">
        <v>0</v>
      </c>
      <c r="CC62" s="47">
        <v>0</v>
      </c>
      <c r="CD62" s="47">
        <v>0</v>
      </c>
      <c r="CE62" s="47">
        <v>0</v>
      </c>
      <c r="CF62" s="47">
        <v>0</v>
      </c>
      <c r="CG62" s="47">
        <v>0</v>
      </c>
      <c r="CH62" s="47">
        <v>0</v>
      </c>
      <c r="CI62" s="47">
        <v>0</v>
      </c>
      <c r="CJ62" s="47">
        <v>0</v>
      </c>
      <c r="CK62" s="47">
        <v>0</v>
      </c>
      <c r="CL62" s="47">
        <v>0</v>
      </c>
      <c r="CM62" s="47">
        <v>0</v>
      </c>
      <c r="CN62" s="47">
        <v>0</v>
      </c>
      <c r="CO62" s="47">
        <v>0</v>
      </c>
      <c r="CP62" s="47">
        <v>0</v>
      </c>
      <c r="CQ62" s="47">
        <v>0</v>
      </c>
      <c r="CR62" s="47">
        <v>0</v>
      </c>
      <c r="CS62" s="47">
        <v>0</v>
      </c>
      <c r="CT62" s="47">
        <v>0</v>
      </c>
      <c r="CU62" s="47">
        <v>0</v>
      </c>
      <c r="CV62" s="47">
        <v>0</v>
      </c>
      <c r="CW62" s="47">
        <v>0</v>
      </c>
      <c r="CX62" s="47">
        <v>0</v>
      </c>
      <c r="CY62" s="47">
        <v>1</v>
      </c>
      <c r="CZ62" s="47">
        <v>1</v>
      </c>
      <c r="DA62" s="47">
        <v>0</v>
      </c>
      <c r="DB62" s="47">
        <v>0</v>
      </c>
      <c r="DC62" s="47">
        <v>0</v>
      </c>
      <c r="DD62" s="47">
        <v>0</v>
      </c>
      <c r="DE62" s="47">
        <v>0</v>
      </c>
      <c r="DF62" s="47">
        <v>0</v>
      </c>
      <c r="DG62" s="47">
        <v>0</v>
      </c>
      <c r="DH62" s="47">
        <v>0</v>
      </c>
      <c r="DI62" s="47">
        <v>0</v>
      </c>
      <c r="DJ62" s="47">
        <v>0</v>
      </c>
      <c r="DK62" s="47">
        <v>0</v>
      </c>
      <c r="DL62" s="47">
        <v>0</v>
      </c>
      <c r="DM62" s="47">
        <v>0</v>
      </c>
      <c r="DN62" s="47">
        <v>0</v>
      </c>
      <c r="DO62" s="47">
        <v>0</v>
      </c>
      <c r="DP62" s="47">
        <v>0</v>
      </c>
      <c r="DQ62" s="47">
        <v>0</v>
      </c>
      <c r="DR62" s="47">
        <v>0</v>
      </c>
      <c r="DS62" s="47">
        <v>0</v>
      </c>
      <c r="DT62" s="47">
        <v>0</v>
      </c>
      <c r="DU62" s="47">
        <v>0</v>
      </c>
      <c r="DV62" s="47">
        <v>0</v>
      </c>
      <c r="DW62" s="47">
        <v>0</v>
      </c>
      <c r="DX62" s="47">
        <v>0</v>
      </c>
      <c r="DY62" s="47">
        <v>0</v>
      </c>
      <c r="DZ62" s="47"/>
      <c r="EA62" s="47">
        <v>1</v>
      </c>
      <c r="ZZ62" t="s">
        <v>1084</v>
      </c>
    </row>
    <row r="63" spans="1:702" x14ac:dyDescent="0.25">
      <c r="A63" s="47" t="s">
        <v>422</v>
      </c>
      <c r="B63" s="47" t="s">
        <v>151</v>
      </c>
      <c r="C63" s="47" t="s">
        <v>155</v>
      </c>
      <c r="D63" s="47" t="s">
        <v>1143</v>
      </c>
      <c r="E63" s="47" t="s">
        <v>423</v>
      </c>
      <c r="F63" s="47" t="s">
        <v>424</v>
      </c>
      <c r="G63" s="47" t="s">
        <v>425</v>
      </c>
      <c r="H63" s="47" t="s">
        <v>380</v>
      </c>
      <c r="I63" s="47" t="s">
        <v>381</v>
      </c>
      <c r="J63" s="47" t="str">
        <f>=IFERROR(VLOOKUP(H63&amp;I63,Table_Fonctions!A:G,6,FALSE),"")</f>
        <v>0</v>
      </c>
      <c r="K63" s="47" t="s">
        <v>1132</v>
      </c>
      <c r="L63" s="47" t="str">
        <f>=IFERROR(VLOOKUP(H63&amp;I63,Table_Fonctions!A:G,7,FALSE),K63)</f>
        <v/>
      </c>
      <c r="M63" s="47" t="str">
        <f>=IF(OR(LEFT(D63, 3)="TJ ", LEFT(D63, 4)="CPH "), "OUI", "NON")</f>
        <v/>
      </c>
      <c r="N63" s="47" t="s">
        <v>426</v>
      </c>
      <c r="O63" s="47"/>
      <c r="P63" s="47">
        <v>1</v>
      </c>
      <c r="Q63" s="47">
        <v>1</v>
      </c>
      <c r="R63" s="47">
        <v>0</v>
      </c>
      <c r="S63" s="47">
        <f>=ROUND(BQ63-(BR63+BS63),3)</f>
      </c>
      <c r="T63" s="47">
        <f>=ROUND(CK63-(CL63+CM63+CN63+CO63+CP63),3)</f>
      </c>
      <c r="U63" s="47">
        <v>0</v>
      </c>
      <c r="V63" s="47">
        <v>0</v>
      </c>
      <c r="W63" s="47">
        <v>0</v>
      </c>
      <c r="X63" s="47">
        <v>0</v>
      </c>
      <c r="Y63" s="47">
        <v>0</v>
      </c>
      <c r="Z63" s="47">
        <v>0</v>
      </c>
      <c r="AA63" s="47">
        <v>0</v>
      </c>
      <c r="AB63" s="47">
        <v>0</v>
      </c>
      <c r="AC63" s="47">
        <v>0</v>
      </c>
      <c r="AD63" s="47">
        <v>0</v>
      </c>
      <c r="AE63" s="47">
        <v>0</v>
      </c>
      <c r="AF63" s="47">
        <v>0</v>
      </c>
      <c r="AG63" s="47">
        <v>0</v>
      </c>
      <c r="AH63" s="47">
        <v>0</v>
      </c>
      <c r="AI63" s="47">
        <v>0</v>
      </c>
      <c r="AJ63" s="47">
        <v>0</v>
      </c>
      <c r="AK63" s="47">
        <v>0</v>
      </c>
      <c r="AL63" s="47">
        <v>0</v>
      </c>
      <c r="AM63" s="47">
        <v>0</v>
      </c>
      <c r="AN63" s="47">
        <v>0</v>
      </c>
      <c r="AO63" s="47">
        <v>0</v>
      </c>
      <c r="AP63" s="47">
        <v>0</v>
      </c>
      <c r="AQ63" s="47">
        <v>0</v>
      </c>
      <c r="AR63" s="47">
        <v>0</v>
      </c>
      <c r="AS63" s="47">
        <v>0</v>
      </c>
      <c r="AT63" s="47">
        <v>0</v>
      </c>
      <c r="AU63" s="47">
        <v>0</v>
      </c>
      <c r="AV63" s="47">
        <v>0</v>
      </c>
      <c r="AW63" s="47">
        <v>0</v>
      </c>
      <c r="AX63" s="47">
        <v>0</v>
      </c>
      <c r="AY63" s="47">
        <v>0</v>
      </c>
      <c r="AZ63" s="47">
        <v>0</v>
      </c>
      <c r="BA63" s="47">
        <v>0</v>
      </c>
      <c r="BB63" s="47">
        <v>0</v>
      </c>
      <c r="BC63" s="47">
        <v>0</v>
      </c>
      <c r="BD63" s="47">
        <v>0</v>
      </c>
      <c r="BE63" s="47">
        <v>0</v>
      </c>
      <c r="BF63" s="47">
        <v>0</v>
      </c>
      <c r="BG63" s="47">
        <v>0</v>
      </c>
      <c r="BH63" s="47">
        <v>0</v>
      </c>
      <c r="BI63" s="47">
        <v>0</v>
      </c>
      <c r="BJ63" s="47">
        <v>0</v>
      </c>
      <c r="BK63" s="47">
        <v>0</v>
      </c>
      <c r="BL63" s="47">
        <v>0</v>
      </c>
      <c r="BM63" s="47">
        <v>0</v>
      </c>
      <c r="BN63" s="47">
        <v>0</v>
      </c>
      <c r="BO63" s="47">
        <v>0</v>
      </c>
      <c r="BP63" s="47">
        <v>0</v>
      </c>
      <c r="BQ63" s="47">
        <v>1</v>
      </c>
      <c r="BR63" s="47">
        <v>0.65</v>
      </c>
      <c r="BS63" s="47">
        <v>0.35</v>
      </c>
      <c r="BT63" s="47">
        <v>0</v>
      </c>
      <c r="BU63" s="47">
        <v>0</v>
      </c>
      <c r="BV63" s="47">
        <v>0</v>
      </c>
      <c r="BW63" s="47">
        <v>0</v>
      </c>
      <c r="BX63" s="47">
        <v>0</v>
      </c>
      <c r="BY63" s="47">
        <v>0</v>
      </c>
      <c r="BZ63" s="47">
        <v>0</v>
      </c>
      <c r="CA63" s="47">
        <v>0</v>
      </c>
      <c r="CB63" s="47">
        <v>0</v>
      </c>
      <c r="CC63" s="47">
        <v>0</v>
      </c>
      <c r="CD63" s="47">
        <v>0</v>
      </c>
      <c r="CE63" s="47">
        <v>0</v>
      </c>
      <c r="CF63" s="47">
        <v>0</v>
      </c>
      <c r="CG63" s="47">
        <v>0</v>
      </c>
      <c r="CH63" s="47">
        <v>0</v>
      </c>
      <c r="CI63" s="47">
        <v>0</v>
      </c>
      <c r="CJ63" s="47">
        <v>0</v>
      </c>
      <c r="CK63" s="47">
        <v>0</v>
      </c>
      <c r="CL63" s="47">
        <v>0</v>
      </c>
      <c r="CM63" s="47">
        <v>0</v>
      </c>
      <c r="CN63" s="47">
        <v>0</v>
      </c>
      <c r="CO63" s="47">
        <v>0</v>
      </c>
      <c r="CP63" s="47">
        <v>0</v>
      </c>
      <c r="CQ63" s="47">
        <v>0</v>
      </c>
      <c r="CR63" s="47">
        <v>0</v>
      </c>
      <c r="CS63" s="47">
        <v>0</v>
      </c>
      <c r="CT63" s="47">
        <v>0</v>
      </c>
      <c r="CU63" s="47">
        <v>0</v>
      </c>
      <c r="CV63" s="47">
        <v>0</v>
      </c>
      <c r="CW63" s="47">
        <v>0</v>
      </c>
      <c r="CX63" s="47">
        <v>0</v>
      </c>
      <c r="CY63" s="47">
        <v>0</v>
      </c>
      <c r="CZ63" s="47">
        <v>0</v>
      </c>
      <c r="DA63" s="47">
        <v>0</v>
      </c>
      <c r="DB63" s="47">
        <v>0</v>
      </c>
      <c r="DC63" s="47">
        <v>0</v>
      </c>
      <c r="DD63" s="47">
        <v>0</v>
      </c>
      <c r="DE63" s="47">
        <v>0</v>
      </c>
      <c r="DF63" s="47">
        <v>0</v>
      </c>
      <c r="DG63" s="47">
        <v>0</v>
      </c>
      <c r="DH63" s="47">
        <v>0</v>
      </c>
      <c r="DI63" s="47">
        <v>0</v>
      </c>
      <c r="DJ63" s="47">
        <v>0</v>
      </c>
      <c r="DK63" s="47">
        <v>0</v>
      </c>
      <c r="DL63" s="47">
        <v>0</v>
      </c>
      <c r="DM63" s="47">
        <v>0</v>
      </c>
      <c r="DN63" s="47">
        <v>0</v>
      </c>
      <c r="DO63" s="47">
        <v>0</v>
      </c>
      <c r="DP63" s="47">
        <v>0</v>
      </c>
      <c r="DQ63" s="47">
        <v>0</v>
      </c>
      <c r="DR63" s="47">
        <v>0</v>
      </c>
      <c r="DS63" s="47">
        <v>0</v>
      </c>
      <c r="DT63" s="47">
        <v>0</v>
      </c>
      <c r="DU63" s="47">
        <v>0</v>
      </c>
      <c r="DV63" s="47">
        <v>0</v>
      </c>
      <c r="DW63" s="47">
        <v>0</v>
      </c>
      <c r="DX63" s="47">
        <v>0</v>
      </c>
      <c r="DY63" s="47">
        <v>0</v>
      </c>
      <c r="DZ63" s="47"/>
      <c r="EA63" s="47">
        <v>1</v>
      </c>
      <c r="ZZ63" t="s">
        <v>1084</v>
      </c>
    </row>
    <row r="64" spans="1:702" x14ac:dyDescent="0.25">
      <c r="A64" s="47" t="s">
        <v>427</v>
      </c>
      <c r="B64" s="47" t="s">
        <v>151</v>
      </c>
      <c r="C64" s="47" t="s">
        <v>155</v>
      </c>
      <c r="D64" s="47" t="s">
        <v>1144</v>
      </c>
      <c r="E64" s="47" t="s">
        <v>428</v>
      </c>
      <c r="F64" s="47" t="s">
        <v>429</v>
      </c>
      <c r="G64" s="47" t="s">
        <v>430</v>
      </c>
      <c r="H64" s="47" t="s">
        <v>380</v>
      </c>
      <c r="I64" s="47" t="s">
        <v>381</v>
      </c>
      <c r="J64" s="47" t="str">
        <f>=IFERROR(VLOOKUP(H64&amp;I64,Table_Fonctions!A:G,6,FALSE),"")</f>
        <v>0</v>
      </c>
      <c r="K64" s="47" t="s">
        <v>1132</v>
      </c>
      <c r="L64" s="47" t="str">
        <f>=IFERROR(VLOOKUP(H64&amp;I64,Table_Fonctions!A:G,7,FALSE),K64)</f>
        <v/>
      </c>
      <c r="M64" s="47" t="str">
        <f>=IF(OR(LEFT(D64, 3)="TJ ", LEFT(D64, 4)="CPH "), "OUI", "NON")</f>
        <v/>
      </c>
      <c r="N64" s="47" t="s">
        <v>400</v>
      </c>
      <c r="O64" s="47"/>
      <c r="P64" s="47">
        <v>1</v>
      </c>
      <c r="Q64" s="47">
        <v>0</v>
      </c>
      <c r="R64" s="47">
        <v>1</v>
      </c>
      <c r="S64" s="47">
        <f>=ROUND(BQ64-(BR64+BS64),3)</f>
      </c>
      <c r="T64" s="47">
        <f>=ROUND(CK64-(CL64+CM64+CN64+CO64+CP64),3)</f>
      </c>
      <c r="U64" s="47">
        <v>0</v>
      </c>
      <c r="V64" s="47">
        <v>0</v>
      </c>
      <c r="W64" s="47">
        <v>0</v>
      </c>
      <c r="X64" s="47">
        <v>0</v>
      </c>
      <c r="Y64" s="47">
        <v>0</v>
      </c>
      <c r="Z64" s="47">
        <v>0</v>
      </c>
      <c r="AA64" s="47">
        <v>0</v>
      </c>
      <c r="AB64" s="47">
        <v>0</v>
      </c>
      <c r="AC64" s="47">
        <v>0</v>
      </c>
      <c r="AD64" s="47">
        <v>0</v>
      </c>
      <c r="AE64" s="47">
        <v>0</v>
      </c>
      <c r="AF64" s="47">
        <v>0</v>
      </c>
      <c r="AG64" s="47">
        <v>0</v>
      </c>
      <c r="AH64" s="47">
        <v>0</v>
      </c>
      <c r="AI64" s="47">
        <v>0</v>
      </c>
      <c r="AJ64" s="47">
        <v>0</v>
      </c>
      <c r="AK64" s="47">
        <v>0</v>
      </c>
      <c r="AL64" s="47">
        <v>0</v>
      </c>
      <c r="AM64" s="47">
        <v>0</v>
      </c>
      <c r="AN64" s="47">
        <v>0</v>
      </c>
      <c r="AO64" s="47">
        <v>0</v>
      </c>
      <c r="AP64" s="47">
        <v>0</v>
      </c>
      <c r="AQ64" s="47">
        <v>0</v>
      </c>
      <c r="AR64" s="47">
        <v>0</v>
      </c>
      <c r="AS64" s="47">
        <v>0</v>
      </c>
      <c r="AT64" s="47">
        <v>0</v>
      </c>
      <c r="AU64" s="47">
        <v>0</v>
      </c>
      <c r="AV64" s="47">
        <v>0</v>
      </c>
      <c r="AW64" s="47">
        <v>0</v>
      </c>
      <c r="AX64" s="47">
        <v>0</v>
      </c>
      <c r="AY64" s="47">
        <v>0</v>
      </c>
      <c r="AZ64" s="47">
        <v>0</v>
      </c>
      <c r="BA64" s="47">
        <v>0</v>
      </c>
      <c r="BB64" s="47">
        <v>0</v>
      </c>
      <c r="BC64" s="47">
        <v>0</v>
      </c>
      <c r="BD64" s="47">
        <v>0</v>
      </c>
      <c r="BE64" s="47">
        <v>0</v>
      </c>
      <c r="BF64" s="47">
        <v>0</v>
      </c>
      <c r="BG64" s="47">
        <v>0</v>
      </c>
      <c r="BH64" s="47">
        <v>0</v>
      </c>
      <c r="BI64" s="47">
        <v>0</v>
      </c>
      <c r="BJ64" s="47">
        <v>0</v>
      </c>
      <c r="BK64" s="47">
        <v>0</v>
      </c>
      <c r="BL64" s="47">
        <v>0</v>
      </c>
      <c r="BM64" s="47">
        <v>0</v>
      </c>
      <c r="BN64" s="47">
        <v>0</v>
      </c>
      <c r="BO64" s="47">
        <v>0</v>
      </c>
      <c r="BP64" s="47">
        <v>0</v>
      </c>
      <c r="BQ64" s="47">
        <v>0</v>
      </c>
      <c r="BR64" s="47">
        <v>0</v>
      </c>
      <c r="BS64" s="47">
        <v>0</v>
      </c>
      <c r="BT64" s="47">
        <v>0</v>
      </c>
      <c r="BU64" s="47">
        <v>0</v>
      </c>
      <c r="BV64" s="47">
        <v>0</v>
      </c>
      <c r="BW64" s="47">
        <v>0</v>
      </c>
      <c r="BX64" s="47">
        <v>0</v>
      </c>
      <c r="BY64" s="47">
        <v>0</v>
      </c>
      <c r="BZ64" s="47">
        <v>0</v>
      </c>
      <c r="CA64" s="47">
        <v>0</v>
      </c>
      <c r="CB64" s="47">
        <v>0</v>
      </c>
      <c r="CC64" s="47">
        <v>0</v>
      </c>
      <c r="CD64" s="47">
        <v>0</v>
      </c>
      <c r="CE64" s="47">
        <v>0</v>
      </c>
      <c r="CF64" s="47">
        <v>0</v>
      </c>
      <c r="CG64" s="47">
        <v>0</v>
      </c>
      <c r="CH64" s="47">
        <v>0</v>
      </c>
      <c r="CI64" s="47">
        <v>0</v>
      </c>
      <c r="CJ64" s="47">
        <v>0</v>
      </c>
      <c r="CK64" s="47">
        <v>0</v>
      </c>
      <c r="CL64" s="47">
        <v>0</v>
      </c>
      <c r="CM64" s="47">
        <v>0</v>
      </c>
      <c r="CN64" s="47">
        <v>0</v>
      </c>
      <c r="CO64" s="47">
        <v>0</v>
      </c>
      <c r="CP64" s="47">
        <v>0</v>
      </c>
      <c r="CQ64" s="47">
        <v>0</v>
      </c>
      <c r="CR64" s="47">
        <v>0</v>
      </c>
      <c r="CS64" s="47">
        <v>0</v>
      </c>
      <c r="CT64" s="47">
        <v>0</v>
      </c>
      <c r="CU64" s="47">
        <v>0</v>
      </c>
      <c r="CV64" s="47">
        <v>0</v>
      </c>
      <c r="CW64" s="47">
        <v>0</v>
      </c>
      <c r="CX64" s="47">
        <v>0</v>
      </c>
      <c r="CY64" s="47">
        <v>0</v>
      </c>
      <c r="CZ64" s="47">
        <v>0</v>
      </c>
      <c r="DA64" s="47">
        <v>0</v>
      </c>
      <c r="DB64" s="47">
        <v>0</v>
      </c>
      <c r="DC64" s="47">
        <v>0</v>
      </c>
      <c r="DD64" s="47">
        <v>0</v>
      </c>
      <c r="DE64" s="47">
        <v>0</v>
      </c>
      <c r="DF64" s="47">
        <v>0</v>
      </c>
      <c r="DG64" s="47">
        <v>0</v>
      </c>
      <c r="DH64" s="47">
        <v>0</v>
      </c>
      <c r="DI64" s="47">
        <v>0</v>
      </c>
      <c r="DJ64" s="47">
        <v>0</v>
      </c>
      <c r="DK64" s="47">
        <v>0</v>
      </c>
      <c r="DL64" s="47">
        <v>0</v>
      </c>
      <c r="DM64" s="47">
        <v>0</v>
      </c>
      <c r="DN64" s="47">
        <v>0</v>
      </c>
      <c r="DO64" s="47">
        <v>0</v>
      </c>
      <c r="DP64" s="47">
        <v>0</v>
      </c>
      <c r="DQ64" s="47">
        <v>0</v>
      </c>
      <c r="DR64" s="47">
        <v>0</v>
      </c>
      <c r="DS64" s="47">
        <v>0</v>
      </c>
      <c r="DT64" s="47">
        <v>0</v>
      </c>
      <c r="DU64" s="47">
        <v>0</v>
      </c>
      <c r="DV64" s="47">
        <v>0</v>
      </c>
      <c r="DW64" s="47">
        <v>0</v>
      </c>
      <c r="DX64" s="47">
        <v>0</v>
      </c>
      <c r="DY64" s="47">
        <v>0</v>
      </c>
      <c r="DZ64" s="47"/>
      <c r="EA64" s="47">
        <v>1</v>
      </c>
      <c r="ZZ64" t="s">
        <v>1084</v>
      </c>
    </row>
    <row r="65" spans="1:702" x14ac:dyDescent="0.25">
      <c r="A65" s="47" t="s">
        <v>431</v>
      </c>
      <c r="B65" s="47" t="s">
        <v>151</v>
      </c>
      <c r="C65" s="47" t="s">
        <v>155</v>
      </c>
      <c r="D65" s="47" t="s">
        <v>1145</v>
      </c>
      <c r="E65" s="47" t="s">
        <v>432</v>
      </c>
      <c r="F65" s="47" t="s">
        <v>433</v>
      </c>
      <c r="G65" s="47" t="s">
        <v>434</v>
      </c>
      <c r="H65" s="47" t="s">
        <v>380</v>
      </c>
      <c r="I65" s="47" t="s">
        <v>381</v>
      </c>
      <c r="J65" s="47" t="str">
        <f>=IFERROR(VLOOKUP(H65&amp;I65,Table_Fonctions!A:G,6,FALSE),"")</f>
        <v>0</v>
      </c>
      <c r="K65" s="47" t="s">
        <v>1132</v>
      </c>
      <c r="L65" s="47" t="str">
        <f>=IFERROR(VLOOKUP(H65&amp;I65,Table_Fonctions!A:G,7,FALSE),K65)</f>
        <v/>
      </c>
      <c r="M65" s="47" t="str">
        <f>=IF(OR(LEFT(D65, 3)="TJ ", LEFT(D65, 4)="CPH "), "OUI", "NON")</f>
        <v/>
      </c>
      <c r="N65" s="47" t="s">
        <v>435</v>
      </c>
      <c r="O65" s="47"/>
      <c r="P65" s="47">
        <v>1</v>
      </c>
      <c r="Q65" s="47">
        <v>0</v>
      </c>
      <c r="R65" s="47">
        <v>1</v>
      </c>
      <c r="S65" s="47">
        <f>=ROUND(BQ65-(BR65+BS65),3)</f>
      </c>
      <c r="T65" s="47">
        <f>=ROUND(CK65-(CL65+CM65+CN65+CO65+CP65),3)</f>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c r="EA65" s="47">
        <v>1</v>
      </c>
      <c r="ZZ65" t="s">
        <v>1084</v>
      </c>
    </row>
    <row r="66" spans="1:702" x14ac:dyDescent="0.25">
      <c r="A66" s="47" t="s">
        <v>436</v>
      </c>
      <c r="B66" s="47" t="s">
        <v>151</v>
      </c>
      <c r="C66" s="47" t="s">
        <v>155</v>
      </c>
      <c r="D66" s="47" t="s">
        <v>1146</v>
      </c>
      <c r="E66" s="47" t="s">
        <v>437</v>
      </c>
      <c r="F66" s="47" t="s">
        <v>438</v>
      </c>
      <c r="G66" s="47" t="s">
        <v>439</v>
      </c>
      <c r="H66" s="47" t="s">
        <v>380</v>
      </c>
      <c r="I66" s="47" t="s">
        <v>411</v>
      </c>
      <c r="J66" s="47" t="str">
        <f>=IFERROR(VLOOKUP(H66&amp;I66,Table_Fonctions!A:G,6,FALSE),"")</f>
        <v>0</v>
      </c>
      <c r="K66" s="47" t="s">
        <v>1132</v>
      </c>
      <c r="L66" s="47" t="str">
        <f>=IFERROR(VLOOKUP(H66&amp;I66,Table_Fonctions!A:G,7,FALSE),K66)</f>
        <v/>
      </c>
      <c r="M66" s="47" t="str">
        <f>=IF(OR(LEFT(D66, 3)="TJ ", LEFT(D66, 4)="CPH "), "OUI", "NON")</f>
        <v/>
      </c>
      <c r="N66" s="47" t="s">
        <v>440</v>
      </c>
      <c r="O66" s="47"/>
      <c r="P66" s="47">
        <v>1</v>
      </c>
      <c r="Q66" s="47">
        <v>1</v>
      </c>
      <c r="R66" s="47">
        <v>0</v>
      </c>
      <c r="S66" s="47">
        <f>=ROUND(BQ66-(BR66+BS66),3)</f>
      </c>
      <c r="T66" s="47">
        <f>=ROUND(CK66-(CL66+CM66+CN66+CO66+CP66),3)</f>
      </c>
      <c r="U66" s="47">
        <v>1</v>
      </c>
      <c r="V66" s="47">
        <v>0</v>
      </c>
      <c r="W66" s="47">
        <v>1</v>
      </c>
      <c r="X66" s="47">
        <v>0</v>
      </c>
      <c r="Y66" s="47">
        <v>0</v>
      </c>
      <c r="Z66" s="47">
        <v>0</v>
      </c>
      <c r="AA66" s="47">
        <v>0</v>
      </c>
      <c r="AB66" s="47">
        <v>0</v>
      </c>
      <c r="AC66" s="47">
        <v>0</v>
      </c>
      <c r="AD66" s="47">
        <v>0</v>
      </c>
      <c r="AE66" s="47">
        <v>0</v>
      </c>
      <c r="AF66" s="47">
        <v>0</v>
      </c>
      <c r="AG66" s="47">
        <v>0</v>
      </c>
      <c r="AH66" s="47">
        <v>0</v>
      </c>
      <c r="AI66" s="47">
        <v>0</v>
      </c>
      <c r="AJ66" s="47">
        <v>0</v>
      </c>
      <c r="AK66" s="47">
        <v>0</v>
      </c>
      <c r="AL66" s="47">
        <v>0</v>
      </c>
      <c r="AM66" s="47">
        <v>0</v>
      </c>
      <c r="AN66" s="47">
        <v>0</v>
      </c>
      <c r="AO66" s="47">
        <v>0</v>
      </c>
      <c r="AP66" s="47">
        <v>0</v>
      </c>
      <c r="AQ66" s="47">
        <v>0</v>
      </c>
      <c r="AR66" s="47">
        <v>0</v>
      </c>
      <c r="AS66" s="47">
        <v>0</v>
      </c>
      <c r="AT66" s="47">
        <v>0</v>
      </c>
      <c r="AU66" s="47">
        <v>0</v>
      </c>
      <c r="AV66" s="47">
        <v>0</v>
      </c>
      <c r="AW66" s="47">
        <v>0</v>
      </c>
      <c r="AX66" s="47">
        <v>0</v>
      </c>
      <c r="AY66" s="47">
        <v>0</v>
      </c>
      <c r="AZ66" s="47">
        <v>0</v>
      </c>
      <c r="BA66" s="47">
        <v>0</v>
      </c>
      <c r="BB66" s="47">
        <v>0</v>
      </c>
      <c r="BC66" s="47">
        <v>0</v>
      </c>
      <c r="BD66" s="47">
        <v>0</v>
      </c>
      <c r="BE66" s="47">
        <v>0</v>
      </c>
      <c r="BF66" s="47">
        <v>0</v>
      </c>
      <c r="BG66" s="47">
        <v>0</v>
      </c>
      <c r="BH66" s="47">
        <v>0</v>
      </c>
      <c r="BI66" s="47">
        <v>0</v>
      </c>
      <c r="BJ66" s="47">
        <v>0</v>
      </c>
      <c r="BK66" s="47">
        <v>0</v>
      </c>
      <c r="BL66" s="47">
        <v>0</v>
      </c>
      <c r="BM66" s="47">
        <v>0</v>
      </c>
      <c r="BN66" s="47">
        <v>0</v>
      </c>
      <c r="BO66" s="47">
        <v>0</v>
      </c>
      <c r="BP66" s="47">
        <v>0</v>
      </c>
      <c r="BQ66" s="47">
        <v>0</v>
      </c>
      <c r="BR66" s="47">
        <v>0</v>
      </c>
      <c r="BS66" s="47">
        <v>0</v>
      </c>
      <c r="BT66" s="47">
        <v>0</v>
      </c>
      <c r="BU66" s="47">
        <v>0</v>
      </c>
      <c r="BV66" s="47">
        <v>0</v>
      </c>
      <c r="BW66" s="47">
        <v>0</v>
      </c>
      <c r="BX66" s="47">
        <v>0</v>
      </c>
      <c r="BY66" s="47">
        <v>0</v>
      </c>
      <c r="BZ66" s="47">
        <v>0</v>
      </c>
      <c r="CA66" s="47">
        <v>0</v>
      </c>
      <c r="CB66" s="47">
        <v>0</v>
      </c>
      <c r="CC66" s="47">
        <v>0</v>
      </c>
      <c r="CD66" s="47">
        <v>0</v>
      </c>
      <c r="CE66" s="47">
        <v>0</v>
      </c>
      <c r="CF66" s="47">
        <v>0</v>
      </c>
      <c r="CG66" s="47">
        <v>0</v>
      </c>
      <c r="CH66" s="47">
        <v>0</v>
      </c>
      <c r="CI66" s="47">
        <v>0</v>
      </c>
      <c r="CJ66" s="47">
        <v>0</v>
      </c>
      <c r="CK66" s="47">
        <v>0</v>
      </c>
      <c r="CL66" s="47">
        <v>0</v>
      </c>
      <c r="CM66" s="47">
        <v>0</v>
      </c>
      <c r="CN66" s="47">
        <v>0</v>
      </c>
      <c r="CO66" s="47">
        <v>0</v>
      </c>
      <c r="CP66" s="47">
        <v>0</v>
      </c>
      <c r="CQ66" s="47">
        <v>0</v>
      </c>
      <c r="CR66" s="47">
        <v>0</v>
      </c>
      <c r="CS66" s="47">
        <v>0</v>
      </c>
      <c r="CT66" s="47">
        <v>0</v>
      </c>
      <c r="CU66" s="47">
        <v>0</v>
      </c>
      <c r="CV66" s="47">
        <v>0</v>
      </c>
      <c r="CW66" s="47">
        <v>0</v>
      </c>
      <c r="CX66" s="47">
        <v>0</v>
      </c>
      <c r="CY66" s="47">
        <v>0</v>
      </c>
      <c r="CZ66" s="47">
        <v>0</v>
      </c>
      <c r="DA66" s="47">
        <v>0</v>
      </c>
      <c r="DB66" s="47">
        <v>0</v>
      </c>
      <c r="DC66" s="47">
        <v>0</v>
      </c>
      <c r="DD66" s="47">
        <v>0</v>
      </c>
      <c r="DE66" s="47">
        <v>0</v>
      </c>
      <c r="DF66" s="47">
        <v>0</v>
      </c>
      <c r="DG66" s="47">
        <v>0</v>
      </c>
      <c r="DH66" s="47">
        <v>0</v>
      </c>
      <c r="DI66" s="47">
        <v>0</v>
      </c>
      <c r="DJ66" s="47">
        <v>0</v>
      </c>
      <c r="DK66" s="47">
        <v>0</v>
      </c>
      <c r="DL66" s="47">
        <v>0</v>
      </c>
      <c r="DM66" s="47">
        <v>0</v>
      </c>
      <c r="DN66" s="47">
        <v>0</v>
      </c>
      <c r="DO66" s="47">
        <v>0</v>
      </c>
      <c r="DP66" s="47">
        <v>0</v>
      </c>
      <c r="DQ66" s="47">
        <v>0</v>
      </c>
      <c r="DR66" s="47">
        <v>0</v>
      </c>
      <c r="DS66" s="47">
        <v>0</v>
      </c>
      <c r="DT66" s="47">
        <v>0</v>
      </c>
      <c r="DU66" s="47">
        <v>0</v>
      </c>
      <c r="DV66" s="47">
        <v>0</v>
      </c>
      <c r="DW66" s="47">
        <v>0</v>
      </c>
      <c r="DX66" s="47">
        <v>0</v>
      </c>
      <c r="DY66" s="47">
        <v>0</v>
      </c>
      <c r="DZ66" s="47"/>
      <c r="EA66" s="47">
        <v>1</v>
      </c>
      <c r="ZZ66" t="s">
        <v>1084</v>
      </c>
    </row>
    <row r="67" spans="1:702" x14ac:dyDescent="0.25">
      <c r="A67" s="47" t="s">
        <v>441</v>
      </c>
      <c r="B67" s="47" t="s">
        <v>151</v>
      </c>
      <c r="C67" s="47" t="s">
        <v>155</v>
      </c>
      <c r="D67" s="47" t="s">
        <v>1147</v>
      </c>
      <c r="E67" s="47" t="s">
        <v>442</v>
      </c>
      <c r="F67" s="47" t="s">
        <v>443</v>
      </c>
      <c r="G67" s="47" t="s">
        <v>444</v>
      </c>
      <c r="H67" s="47" t="s">
        <v>380</v>
      </c>
      <c r="I67" s="47" t="s">
        <v>381</v>
      </c>
      <c r="J67" s="47" t="str">
        <f>=IFERROR(VLOOKUP(H67&amp;I67,Table_Fonctions!A:G,6,FALSE),"")</f>
        <v>0</v>
      </c>
      <c r="K67" s="47" t="s">
        <v>1132</v>
      </c>
      <c r="L67" s="47" t="str">
        <f>=IFERROR(VLOOKUP(H67&amp;I67,Table_Fonctions!A:G,7,FALSE),K67)</f>
        <v/>
      </c>
      <c r="M67" s="47" t="str">
        <f>=IF(OR(LEFT(D67, 3)="TJ ", LEFT(D67, 4)="CPH "), "OUI", "NON")</f>
        <v/>
      </c>
      <c r="N67" s="47" t="s">
        <v>445</v>
      </c>
      <c r="O67" s="47"/>
      <c r="P67" s="47">
        <v>1</v>
      </c>
      <c r="Q67" s="47">
        <v>0</v>
      </c>
      <c r="R67" s="47">
        <v>1</v>
      </c>
      <c r="S67" s="47">
        <f>=ROUND(BQ67-(BR67+BS67),3)</f>
      </c>
      <c r="T67" s="47">
        <f>=ROUND(CK67-(CL67+CM67+CN67+CO67+CP67),3)</f>
      </c>
      <c r="U67" s="47">
        <v>0</v>
      </c>
      <c r="V67" s="47">
        <v>0</v>
      </c>
      <c r="W67" s="47">
        <v>0</v>
      </c>
      <c r="X67" s="47">
        <v>0</v>
      </c>
      <c r="Y67" s="47">
        <v>0</v>
      </c>
      <c r="Z67" s="47">
        <v>0</v>
      </c>
      <c r="AA67" s="47">
        <v>0</v>
      </c>
      <c r="AB67" s="47">
        <v>0</v>
      </c>
      <c r="AC67" s="47">
        <v>0</v>
      </c>
      <c r="AD67" s="47">
        <v>0</v>
      </c>
      <c r="AE67" s="47">
        <v>0</v>
      </c>
      <c r="AF67" s="47">
        <v>0</v>
      </c>
      <c r="AG67" s="47">
        <v>0</v>
      </c>
      <c r="AH67" s="47">
        <v>0</v>
      </c>
      <c r="AI67" s="47">
        <v>0</v>
      </c>
      <c r="AJ67" s="47">
        <v>0</v>
      </c>
      <c r="AK67" s="47">
        <v>0</v>
      </c>
      <c r="AL67" s="47">
        <v>0</v>
      </c>
      <c r="AM67" s="47">
        <v>0</v>
      </c>
      <c r="AN67" s="47">
        <v>0</v>
      </c>
      <c r="AO67" s="47">
        <v>0</v>
      </c>
      <c r="AP67" s="47">
        <v>0</v>
      </c>
      <c r="AQ67" s="47">
        <v>0</v>
      </c>
      <c r="AR67" s="47">
        <v>0</v>
      </c>
      <c r="AS67" s="47">
        <v>0</v>
      </c>
      <c r="AT67" s="47">
        <v>0</v>
      </c>
      <c r="AU67" s="47">
        <v>0</v>
      </c>
      <c r="AV67" s="47">
        <v>0</v>
      </c>
      <c r="AW67" s="47">
        <v>0</v>
      </c>
      <c r="AX67" s="47">
        <v>0</v>
      </c>
      <c r="AY67" s="47">
        <v>0</v>
      </c>
      <c r="AZ67" s="47">
        <v>0</v>
      </c>
      <c r="BA67" s="47">
        <v>0</v>
      </c>
      <c r="BB67" s="47">
        <v>0</v>
      </c>
      <c r="BC67" s="47">
        <v>0</v>
      </c>
      <c r="BD67" s="47">
        <v>0</v>
      </c>
      <c r="BE67" s="47">
        <v>0</v>
      </c>
      <c r="BF67" s="47">
        <v>0</v>
      </c>
      <c r="BG67" s="47">
        <v>0</v>
      </c>
      <c r="BH67" s="47">
        <v>0</v>
      </c>
      <c r="BI67" s="47">
        <v>0</v>
      </c>
      <c r="BJ67" s="47">
        <v>0</v>
      </c>
      <c r="BK67" s="47">
        <v>0</v>
      </c>
      <c r="BL67" s="47">
        <v>0</v>
      </c>
      <c r="BM67" s="47">
        <v>0</v>
      </c>
      <c r="BN67" s="47">
        <v>0</v>
      </c>
      <c r="BO67" s="47">
        <v>0</v>
      </c>
      <c r="BP67" s="47">
        <v>0</v>
      </c>
      <c r="BQ67" s="47">
        <v>0</v>
      </c>
      <c r="BR67" s="47">
        <v>0</v>
      </c>
      <c r="BS67" s="47">
        <v>0</v>
      </c>
      <c r="BT67" s="47">
        <v>0</v>
      </c>
      <c r="BU67" s="47">
        <v>0</v>
      </c>
      <c r="BV67" s="47">
        <v>0</v>
      </c>
      <c r="BW67" s="47">
        <v>0</v>
      </c>
      <c r="BX67" s="47">
        <v>0</v>
      </c>
      <c r="BY67" s="47">
        <v>0</v>
      </c>
      <c r="BZ67" s="47">
        <v>0</v>
      </c>
      <c r="CA67" s="47">
        <v>0</v>
      </c>
      <c r="CB67" s="47">
        <v>0</v>
      </c>
      <c r="CC67" s="47">
        <v>0</v>
      </c>
      <c r="CD67" s="47">
        <v>0</v>
      </c>
      <c r="CE67" s="47">
        <v>0</v>
      </c>
      <c r="CF67" s="47">
        <v>0</v>
      </c>
      <c r="CG67" s="47">
        <v>0</v>
      </c>
      <c r="CH67" s="47">
        <v>0</v>
      </c>
      <c r="CI67" s="47">
        <v>0</v>
      </c>
      <c r="CJ67" s="47">
        <v>0</v>
      </c>
      <c r="CK67" s="47">
        <v>0</v>
      </c>
      <c r="CL67" s="47">
        <v>0</v>
      </c>
      <c r="CM67" s="47">
        <v>0</v>
      </c>
      <c r="CN67" s="47">
        <v>0</v>
      </c>
      <c r="CO67" s="47">
        <v>0</v>
      </c>
      <c r="CP67" s="47">
        <v>0</v>
      </c>
      <c r="CQ67" s="47">
        <v>0</v>
      </c>
      <c r="CR67" s="47">
        <v>0</v>
      </c>
      <c r="CS67" s="47">
        <v>0</v>
      </c>
      <c r="CT67" s="47">
        <v>0</v>
      </c>
      <c r="CU67" s="47">
        <v>0</v>
      </c>
      <c r="CV67" s="47">
        <v>0</v>
      </c>
      <c r="CW67" s="47">
        <v>0</v>
      </c>
      <c r="CX67" s="47">
        <v>0</v>
      </c>
      <c r="CY67" s="47">
        <v>0</v>
      </c>
      <c r="CZ67" s="47">
        <v>0</v>
      </c>
      <c r="DA67" s="47">
        <v>0</v>
      </c>
      <c r="DB67" s="47">
        <v>0</v>
      </c>
      <c r="DC67" s="47">
        <v>0</v>
      </c>
      <c r="DD67" s="47">
        <v>0</v>
      </c>
      <c r="DE67" s="47">
        <v>0</v>
      </c>
      <c r="DF67" s="47">
        <v>0</v>
      </c>
      <c r="DG67" s="47">
        <v>0</v>
      </c>
      <c r="DH67" s="47">
        <v>0</v>
      </c>
      <c r="DI67" s="47">
        <v>0</v>
      </c>
      <c r="DJ67" s="47">
        <v>0</v>
      </c>
      <c r="DK67" s="47">
        <v>0</v>
      </c>
      <c r="DL67" s="47">
        <v>0</v>
      </c>
      <c r="DM67" s="47">
        <v>0</v>
      </c>
      <c r="DN67" s="47">
        <v>0</v>
      </c>
      <c r="DO67" s="47">
        <v>0</v>
      </c>
      <c r="DP67" s="47">
        <v>0</v>
      </c>
      <c r="DQ67" s="47">
        <v>0</v>
      </c>
      <c r="DR67" s="47">
        <v>0</v>
      </c>
      <c r="DS67" s="47">
        <v>0</v>
      </c>
      <c r="DT67" s="47">
        <v>0</v>
      </c>
      <c r="DU67" s="47">
        <v>0</v>
      </c>
      <c r="DV67" s="47">
        <v>0</v>
      </c>
      <c r="DW67" s="47">
        <v>0</v>
      </c>
      <c r="DX67" s="47">
        <v>0</v>
      </c>
      <c r="DY67" s="47">
        <v>0</v>
      </c>
      <c r="DZ67" s="47"/>
      <c r="EA67" s="47">
        <v>1</v>
      </c>
      <c r="ZZ67" t="s">
        <v>1084</v>
      </c>
    </row>
    <row r="68" spans="1:702" x14ac:dyDescent="0.25">
      <c r="A68" s="47" t="s">
        <v>446</v>
      </c>
      <c r="B68" s="47" t="s">
        <v>151</v>
      </c>
      <c r="C68" s="47" t="s">
        <v>155</v>
      </c>
      <c r="D68" s="47" t="s">
        <v>1148</v>
      </c>
      <c r="E68" s="47" t="s">
        <v>447</v>
      </c>
      <c r="F68" s="47" t="s">
        <v>448</v>
      </c>
      <c r="G68" s="47" t="s">
        <v>449</v>
      </c>
      <c r="H68" s="47" t="s">
        <v>380</v>
      </c>
      <c r="I68" s="47" t="s">
        <v>381</v>
      </c>
      <c r="J68" s="47" t="str">
        <f>=IFERROR(VLOOKUP(H68&amp;I68,Table_Fonctions!A:G,6,FALSE),"")</f>
        <v>0</v>
      </c>
      <c r="K68" s="47" t="s">
        <v>1132</v>
      </c>
      <c r="L68" s="47" t="str">
        <f>=IFERROR(VLOOKUP(H68&amp;I68,Table_Fonctions!A:G,7,FALSE),K68)</f>
        <v/>
      </c>
      <c r="M68" s="47" t="str">
        <f>=IF(OR(LEFT(D68, 3)="TJ ", LEFT(D68, 4)="CPH "), "OUI", "NON")</f>
        <v/>
      </c>
      <c r="N68" s="47" t="s">
        <v>450</v>
      </c>
      <c r="O68" s="47"/>
      <c r="P68" s="47">
        <v>1</v>
      </c>
      <c r="Q68" s="47">
        <v>1</v>
      </c>
      <c r="R68" s="47">
        <v>0</v>
      </c>
      <c r="S68" s="47">
        <f>=ROUND(BQ68-(BR68+BS68),3)</f>
      </c>
      <c r="T68" s="47">
        <f>=ROUND(CK68-(CL68+CM68+CN68+CO68+CP68),3)</f>
      </c>
      <c r="U68" s="47">
        <v>0</v>
      </c>
      <c r="V68" s="47">
        <v>0</v>
      </c>
      <c r="W68" s="47">
        <v>0</v>
      </c>
      <c r="X68" s="47">
        <v>0</v>
      </c>
      <c r="Y68" s="47">
        <v>0</v>
      </c>
      <c r="Z68" s="47">
        <v>0</v>
      </c>
      <c r="AA68" s="47">
        <v>0</v>
      </c>
      <c r="AB68" s="47">
        <v>0</v>
      </c>
      <c r="AC68" s="47">
        <v>0</v>
      </c>
      <c r="AD68" s="47">
        <v>0</v>
      </c>
      <c r="AE68" s="47">
        <v>0</v>
      </c>
      <c r="AF68" s="47">
        <v>0</v>
      </c>
      <c r="AG68" s="47">
        <v>0</v>
      </c>
      <c r="AH68" s="47">
        <v>0</v>
      </c>
      <c r="AI68" s="47">
        <v>0</v>
      </c>
      <c r="AJ68" s="47">
        <v>0</v>
      </c>
      <c r="AK68" s="47">
        <v>0</v>
      </c>
      <c r="AL68" s="47">
        <v>0</v>
      </c>
      <c r="AM68" s="47">
        <v>0</v>
      </c>
      <c r="AN68" s="47">
        <v>0</v>
      </c>
      <c r="AO68" s="47">
        <v>0</v>
      </c>
      <c r="AP68" s="47">
        <v>0</v>
      </c>
      <c r="AQ68" s="47">
        <v>0</v>
      </c>
      <c r="AR68" s="47">
        <v>0</v>
      </c>
      <c r="AS68" s="47">
        <v>0</v>
      </c>
      <c r="AT68" s="47">
        <v>0</v>
      </c>
      <c r="AU68" s="47">
        <v>0</v>
      </c>
      <c r="AV68" s="47">
        <v>0</v>
      </c>
      <c r="AW68" s="47">
        <v>0</v>
      </c>
      <c r="AX68" s="47">
        <v>0</v>
      </c>
      <c r="AY68" s="47">
        <v>0</v>
      </c>
      <c r="AZ68" s="47">
        <v>0</v>
      </c>
      <c r="BA68" s="47">
        <v>0</v>
      </c>
      <c r="BB68" s="47">
        <v>0</v>
      </c>
      <c r="BC68" s="47">
        <v>0</v>
      </c>
      <c r="BD68" s="47">
        <v>0</v>
      </c>
      <c r="BE68" s="47">
        <v>0</v>
      </c>
      <c r="BF68" s="47">
        <v>0</v>
      </c>
      <c r="BG68" s="47">
        <v>0</v>
      </c>
      <c r="BH68" s="47">
        <v>0</v>
      </c>
      <c r="BI68" s="47">
        <v>0</v>
      </c>
      <c r="BJ68" s="47">
        <v>0</v>
      </c>
      <c r="BK68" s="47">
        <v>0</v>
      </c>
      <c r="BL68" s="47">
        <v>0</v>
      </c>
      <c r="BM68" s="47">
        <v>0</v>
      </c>
      <c r="BN68" s="47">
        <v>0</v>
      </c>
      <c r="BO68" s="47">
        <v>0</v>
      </c>
      <c r="BP68" s="47">
        <v>0</v>
      </c>
      <c r="BQ68" s="47">
        <v>0</v>
      </c>
      <c r="BR68" s="47">
        <v>0</v>
      </c>
      <c r="BS68" s="47">
        <v>0</v>
      </c>
      <c r="BT68" s="47">
        <v>0</v>
      </c>
      <c r="BU68" s="47">
        <v>0</v>
      </c>
      <c r="BV68" s="47">
        <v>0</v>
      </c>
      <c r="BW68" s="47">
        <v>0</v>
      </c>
      <c r="BX68" s="47">
        <v>0</v>
      </c>
      <c r="BY68" s="47">
        <v>0</v>
      </c>
      <c r="BZ68" s="47">
        <v>0</v>
      </c>
      <c r="CA68" s="47">
        <v>0</v>
      </c>
      <c r="CB68" s="47">
        <v>0</v>
      </c>
      <c r="CC68" s="47">
        <v>0</v>
      </c>
      <c r="CD68" s="47">
        <v>0</v>
      </c>
      <c r="CE68" s="47">
        <v>0</v>
      </c>
      <c r="CF68" s="47">
        <v>0</v>
      </c>
      <c r="CG68" s="47">
        <v>0</v>
      </c>
      <c r="CH68" s="47">
        <v>0</v>
      </c>
      <c r="CI68" s="47">
        <v>0</v>
      </c>
      <c r="CJ68" s="47">
        <v>0</v>
      </c>
      <c r="CK68" s="47">
        <v>0</v>
      </c>
      <c r="CL68" s="47">
        <v>0</v>
      </c>
      <c r="CM68" s="47">
        <v>0</v>
      </c>
      <c r="CN68" s="47">
        <v>0</v>
      </c>
      <c r="CO68" s="47">
        <v>0</v>
      </c>
      <c r="CP68" s="47">
        <v>0</v>
      </c>
      <c r="CQ68" s="47">
        <v>1</v>
      </c>
      <c r="CR68" s="47">
        <v>0</v>
      </c>
      <c r="CS68" s="47">
        <v>0</v>
      </c>
      <c r="CT68" s="47">
        <v>0</v>
      </c>
      <c r="CU68" s="47">
        <v>0</v>
      </c>
      <c r="CV68" s="47">
        <v>0</v>
      </c>
      <c r="CW68" s="47">
        <v>0</v>
      </c>
      <c r="CX68" s="47">
        <v>0</v>
      </c>
      <c r="CY68" s="47">
        <v>0</v>
      </c>
      <c r="CZ68" s="47">
        <v>0</v>
      </c>
      <c r="DA68" s="47">
        <v>0</v>
      </c>
      <c r="DB68" s="47">
        <v>0</v>
      </c>
      <c r="DC68" s="47">
        <v>0</v>
      </c>
      <c r="DD68" s="47">
        <v>0</v>
      </c>
      <c r="DE68" s="47">
        <v>0</v>
      </c>
      <c r="DF68" s="47">
        <v>0</v>
      </c>
      <c r="DG68" s="47">
        <v>0</v>
      </c>
      <c r="DH68" s="47">
        <v>0</v>
      </c>
      <c r="DI68" s="47">
        <v>0</v>
      </c>
      <c r="DJ68" s="47">
        <v>0</v>
      </c>
      <c r="DK68" s="47">
        <v>0</v>
      </c>
      <c r="DL68" s="47">
        <v>0</v>
      </c>
      <c r="DM68" s="47">
        <v>0</v>
      </c>
      <c r="DN68" s="47">
        <v>0</v>
      </c>
      <c r="DO68" s="47">
        <v>0</v>
      </c>
      <c r="DP68" s="47">
        <v>0</v>
      </c>
      <c r="DQ68" s="47">
        <v>0</v>
      </c>
      <c r="DR68" s="47">
        <v>0</v>
      </c>
      <c r="DS68" s="47">
        <v>0</v>
      </c>
      <c r="DT68" s="47">
        <v>0</v>
      </c>
      <c r="DU68" s="47">
        <v>0</v>
      </c>
      <c r="DV68" s="47">
        <v>0</v>
      </c>
      <c r="DW68" s="47">
        <v>0</v>
      </c>
      <c r="DX68" s="47">
        <v>0</v>
      </c>
      <c r="DY68" s="47">
        <v>0</v>
      </c>
      <c r="DZ68" s="47"/>
      <c r="EA68" s="47">
        <v>1</v>
      </c>
      <c r="ZZ68" t="s">
        <v>1084</v>
      </c>
    </row>
    <row r="69" spans="1:702" x14ac:dyDescent="0.25">
      <c r="A69" s="47" t="s">
        <v>451</v>
      </c>
      <c r="B69" s="47" t="s">
        <v>151</v>
      </c>
      <c r="C69" s="47" t="s">
        <v>155</v>
      </c>
      <c r="D69" s="47" t="s">
        <v>1149</v>
      </c>
      <c r="E69" s="47" t="s">
        <v>452</v>
      </c>
      <c r="F69" s="47" t="s">
        <v>453</v>
      </c>
      <c r="G69" s="47" t="s">
        <v>454</v>
      </c>
      <c r="H69" s="47" t="s">
        <v>380</v>
      </c>
      <c r="I69" s="47" t="s">
        <v>411</v>
      </c>
      <c r="J69" s="47" t="str">
        <f>=IFERROR(VLOOKUP(H69&amp;I69,Table_Fonctions!A:G,6,FALSE),"")</f>
        <v>0</v>
      </c>
      <c r="K69" s="47" t="s">
        <v>1132</v>
      </c>
      <c r="L69" s="47" t="str">
        <f>=IFERROR(VLOOKUP(H69&amp;I69,Table_Fonctions!A:G,7,FALSE),K69)</f>
        <v/>
      </c>
      <c r="M69" s="47" t="str">
        <f>=IF(OR(LEFT(D69, 3)="TJ ", LEFT(D69, 4)="CPH "), "OUI", "NON")</f>
        <v/>
      </c>
      <c r="N69" s="47" t="s">
        <v>455</v>
      </c>
      <c r="O69" s="47"/>
      <c r="P69" s="47">
        <v>0.8</v>
      </c>
      <c r="Q69" s="47">
        <v>0.8</v>
      </c>
      <c r="R69" s="47">
        <v>0</v>
      </c>
      <c r="S69" s="47">
        <f>=ROUND(BQ69-(BR69+BS69),3)</f>
      </c>
      <c r="T69" s="47">
        <f>=ROUND(CK69-(CL69+CM69+CN69+CO69+CP69),3)</f>
      </c>
      <c r="U69" s="47">
        <v>0</v>
      </c>
      <c r="V69" s="47">
        <v>0</v>
      </c>
      <c r="W69" s="47">
        <v>0</v>
      </c>
      <c r="X69" s="47">
        <v>0</v>
      </c>
      <c r="Y69" s="47">
        <v>0</v>
      </c>
      <c r="Z69" s="47">
        <v>0</v>
      </c>
      <c r="AA69" s="47">
        <v>0</v>
      </c>
      <c r="AB69" s="47">
        <v>0</v>
      </c>
      <c r="AC69" s="47">
        <v>0</v>
      </c>
      <c r="AD69" s="47">
        <v>0</v>
      </c>
      <c r="AE69" s="47">
        <v>0</v>
      </c>
      <c r="AF69" s="47">
        <v>0</v>
      </c>
      <c r="AG69" s="47">
        <v>0</v>
      </c>
      <c r="AH69" s="47">
        <v>0</v>
      </c>
      <c r="AI69" s="47">
        <v>0</v>
      </c>
      <c r="AJ69" s="47">
        <v>0</v>
      </c>
      <c r="AK69" s="47">
        <v>0</v>
      </c>
      <c r="AL69" s="47">
        <v>0</v>
      </c>
      <c r="AM69" s="47">
        <v>0</v>
      </c>
      <c r="AN69" s="47">
        <v>0</v>
      </c>
      <c r="AO69" s="47">
        <v>0</v>
      </c>
      <c r="AP69" s="47">
        <v>0</v>
      </c>
      <c r="AQ69" s="47">
        <v>0</v>
      </c>
      <c r="AR69" s="47">
        <v>0</v>
      </c>
      <c r="AS69" s="47">
        <v>0</v>
      </c>
      <c r="AT69" s="47">
        <v>0</v>
      </c>
      <c r="AU69" s="47">
        <v>0</v>
      </c>
      <c r="AV69" s="47">
        <v>0</v>
      </c>
      <c r="AW69" s="47">
        <v>0</v>
      </c>
      <c r="AX69" s="47">
        <v>0</v>
      </c>
      <c r="AY69" s="47">
        <v>0</v>
      </c>
      <c r="AZ69" s="47">
        <v>0</v>
      </c>
      <c r="BA69" s="47">
        <v>0</v>
      </c>
      <c r="BB69" s="47">
        <v>0</v>
      </c>
      <c r="BC69" s="47">
        <v>0</v>
      </c>
      <c r="BD69" s="47">
        <v>0</v>
      </c>
      <c r="BE69" s="47">
        <v>0</v>
      </c>
      <c r="BF69" s="47">
        <v>0</v>
      </c>
      <c r="BG69" s="47">
        <v>0</v>
      </c>
      <c r="BH69" s="47">
        <v>0</v>
      </c>
      <c r="BI69" s="47">
        <v>0</v>
      </c>
      <c r="BJ69" s="47">
        <v>0</v>
      </c>
      <c r="BK69" s="47">
        <v>0</v>
      </c>
      <c r="BL69" s="47">
        <v>0</v>
      </c>
      <c r="BM69" s="47">
        <v>0</v>
      </c>
      <c r="BN69" s="47">
        <v>0</v>
      </c>
      <c r="BO69" s="47">
        <v>0</v>
      </c>
      <c r="BP69" s="47">
        <v>0</v>
      </c>
      <c r="BQ69" s="47">
        <v>0</v>
      </c>
      <c r="BR69" s="47">
        <v>0</v>
      </c>
      <c r="BS69" s="47">
        <v>0</v>
      </c>
      <c r="BT69" s="47">
        <v>0</v>
      </c>
      <c r="BU69" s="47">
        <v>0</v>
      </c>
      <c r="BV69" s="47">
        <v>0</v>
      </c>
      <c r="BW69" s="47">
        <v>0</v>
      </c>
      <c r="BX69" s="47">
        <v>0</v>
      </c>
      <c r="BY69" s="47">
        <v>0</v>
      </c>
      <c r="BZ69" s="47">
        <v>0</v>
      </c>
      <c r="CA69" s="47">
        <v>0</v>
      </c>
      <c r="CB69" s="47">
        <v>0</v>
      </c>
      <c r="CC69" s="47">
        <v>0</v>
      </c>
      <c r="CD69" s="47">
        <v>0</v>
      </c>
      <c r="CE69" s="47">
        <v>0</v>
      </c>
      <c r="CF69" s="47">
        <v>0</v>
      </c>
      <c r="CG69" s="47">
        <v>0</v>
      </c>
      <c r="CH69" s="47">
        <v>0</v>
      </c>
      <c r="CI69" s="47">
        <v>0</v>
      </c>
      <c r="CJ69" s="47">
        <v>0</v>
      </c>
      <c r="CK69" s="47">
        <v>0</v>
      </c>
      <c r="CL69" s="47">
        <v>0</v>
      </c>
      <c r="CM69" s="47">
        <v>0</v>
      </c>
      <c r="CN69" s="47">
        <v>0</v>
      </c>
      <c r="CO69" s="47">
        <v>0</v>
      </c>
      <c r="CP69" s="47">
        <v>0</v>
      </c>
      <c r="CQ69" s="47">
        <v>0</v>
      </c>
      <c r="CR69" s="47">
        <v>0</v>
      </c>
      <c r="CS69" s="47">
        <v>0</v>
      </c>
      <c r="CT69" s="47">
        <v>0</v>
      </c>
      <c r="CU69" s="47">
        <v>0</v>
      </c>
      <c r="CV69" s="47">
        <v>0</v>
      </c>
      <c r="CW69" s="47">
        <v>0</v>
      </c>
      <c r="CX69" s="47">
        <v>0</v>
      </c>
      <c r="CY69" s="47">
        <v>0.8</v>
      </c>
      <c r="CZ69" s="47">
        <v>0.8</v>
      </c>
      <c r="DA69" s="47">
        <v>0</v>
      </c>
      <c r="DB69" s="47">
        <v>0</v>
      </c>
      <c r="DC69" s="47">
        <v>0</v>
      </c>
      <c r="DD69" s="47">
        <v>0</v>
      </c>
      <c r="DE69" s="47">
        <v>0</v>
      </c>
      <c r="DF69" s="47">
        <v>0</v>
      </c>
      <c r="DG69" s="47">
        <v>0</v>
      </c>
      <c r="DH69" s="47">
        <v>0</v>
      </c>
      <c r="DI69" s="47">
        <v>0</v>
      </c>
      <c r="DJ69" s="47">
        <v>0</v>
      </c>
      <c r="DK69" s="47">
        <v>0</v>
      </c>
      <c r="DL69" s="47">
        <v>0</v>
      </c>
      <c r="DM69" s="47">
        <v>0</v>
      </c>
      <c r="DN69" s="47">
        <v>0</v>
      </c>
      <c r="DO69" s="47">
        <v>0</v>
      </c>
      <c r="DP69" s="47">
        <v>0</v>
      </c>
      <c r="DQ69" s="47">
        <v>0</v>
      </c>
      <c r="DR69" s="47">
        <v>0</v>
      </c>
      <c r="DS69" s="47">
        <v>0</v>
      </c>
      <c r="DT69" s="47">
        <v>0</v>
      </c>
      <c r="DU69" s="47">
        <v>0</v>
      </c>
      <c r="DV69" s="47">
        <v>0</v>
      </c>
      <c r="DW69" s="47">
        <v>0</v>
      </c>
      <c r="DX69" s="47">
        <v>0</v>
      </c>
      <c r="DY69" s="47">
        <v>0</v>
      </c>
      <c r="DZ69" s="47"/>
      <c r="EA69" s="47">
        <v>0.8</v>
      </c>
      <c r="ZZ69" t="s">
        <v>1084</v>
      </c>
    </row>
    <row r="70" spans="1:702" x14ac:dyDescent="0.25">
      <c r="A70" s="47" t="s">
        <v>456</v>
      </c>
      <c r="B70" s="47" t="s">
        <v>151</v>
      </c>
      <c r="C70" s="47" t="s">
        <v>155</v>
      </c>
      <c r="D70" s="47" t="s">
        <v>1150</v>
      </c>
      <c r="E70" s="47" t="s">
        <v>457</v>
      </c>
      <c r="F70" s="47" t="s">
        <v>458</v>
      </c>
      <c r="G70" s="47" t="s">
        <v>459</v>
      </c>
      <c r="H70" s="47" t="s">
        <v>380</v>
      </c>
      <c r="I70" s="47" t="s">
        <v>411</v>
      </c>
      <c r="J70" s="47" t="str">
        <f>=IFERROR(VLOOKUP(H70&amp;I70,Table_Fonctions!A:G,6,FALSE),"")</f>
        <v>0</v>
      </c>
      <c r="K70" s="47" t="s">
        <v>1132</v>
      </c>
      <c r="L70" s="47" t="str">
        <f>=IFERROR(VLOOKUP(H70&amp;I70,Table_Fonctions!A:G,7,FALSE),K70)</f>
        <v/>
      </c>
      <c r="M70" s="47" t="str">
        <f>=IF(OR(LEFT(D70, 3)="TJ ", LEFT(D70, 4)="CPH "), "OUI", "NON")</f>
        <v/>
      </c>
      <c r="N70" s="47" t="s">
        <v>460</v>
      </c>
      <c r="O70" s="47"/>
      <c r="P70" s="47">
        <v>1</v>
      </c>
      <c r="Q70" s="47">
        <v>0</v>
      </c>
      <c r="R70" s="47">
        <v>1</v>
      </c>
      <c r="S70" s="47">
        <f>=ROUND(BQ70-(BR70+BS70),3)</f>
      </c>
      <c r="T70" s="47">
        <f>=ROUND(CK70-(CL70+CM70+CN70+CO70+CP70),3)</f>
      </c>
      <c r="U70" s="47">
        <v>0</v>
      </c>
      <c r="V70" s="47">
        <v>0</v>
      </c>
      <c r="W70" s="47">
        <v>0</v>
      </c>
      <c r="X70" s="47">
        <v>0</v>
      </c>
      <c r="Y70" s="47">
        <v>0</v>
      </c>
      <c r="Z70" s="47">
        <v>0</v>
      </c>
      <c r="AA70" s="47">
        <v>0</v>
      </c>
      <c r="AB70" s="47">
        <v>0</v>
      </c>
      <c r="AC70" s="47">
        <v>0</v>
      </c>
      <c r="AD70" s="47">
        <v>0</v>
      </c>
      <c r="AE70" s="47">
        <v>0</v>
      </c>
      <c r="AF70" s="47">
        <v>0</v>
      </c>
      <c r="AG70" s="47">
        <v>0</v>
      </c>
      <c r="AH70" s="47">
        <v>0</v>
      </c>
      <c r="AI70" s="47">
        <v>0</v>
      </c>
      <c r="AJ70" s="47">
        <v>0</v>
      </c>
      <c r="AK70" s="47">
        <v>0</v>
      </c>
      <c r="AL70" s="47">
        <v>0</v>
      </c>
      <c r="AM70" s="47">
        <v>0</v>
      </c>
      <c r="AN70" s="47">
        <v>0</v>
      </c>
      <c r="AO70" s="47">
        <v>0</v>
      </c>
      <c r="AP70" s="47">
        <v>0</v>
      </c>
      <c r="AQ70" s="47">
        <v>0</v>
      </c>
      <c r="AR70" s="47">
        <v>0</v>
      </c>
      <c r="AS70" s="47">
        <v>0</v>
      </c>
      <c r="AT70" s="47">
        <v>0</v>
      </c>
      <c r="AU70" s="47">
        <v>0</v>
      </c>
      <c r="AV70" s="47">
        <v>0</v>
      </c>
      <c r="AW70" s="47">
        <v>0</v>
      </c>
      <c r="AX70" s="47">
        <v>0</v>
      </c>
      <c r="AY70" s="47">
        <v>0</v>
      </c>
      <c r="AZ70" s="47">
        <v>0</v>
      </c>
      <c r="BA70" s="47">
        <v>0</v>
      </c>
      <c r="BB70" s="47">
        <v>0</v>
      </c>
      <c r="BC70" s="47">
        <v>0</v>
      </c>
      <c r="BD70" s="47">
        <v>0</v>
      </c>
      <c r="BE70" s="47">
        <v>0</v>
      </c>
      <c r="BF70" s="47">
        <v>0</v>
      </c>
      <c r="BG70" s="47">
        <v>0</v>
      </c>
      <c r="BH70" s="47">
        <v>0</v>
      </c>
      <c r="BI70" s="47">
        <v>0</v>
      </c>
      <c r="BJ70" s="47">
        <v>0</v>
      </c>
      <c r="BK70" s="47">
        <v>0</v>
      </c>
      <c r="BL70" s="47">
        <v>0</v>
      </c>
      <c r="BM70" s="47">
        <v>0</v>
      </c>
      <c r="BN70" s="47">
        <v>0</v>
      </c>
      <c r="BO70" s="47">
        <v>0</v>
      </c>
      <c r="BP70" s="47">
        <v>0</v>
      </c>
      <c r="BQ70" s="47">
        <v>0</v>
      </c>
      <c r="BR70" s="47">
        <v>0</v>
      </c>
      <c r="BS70" s="47">
        <v>0</v>
      </c>
      <c r="BT70" s="47">
        <v>0</v>
      </c>
      <c r="BU70" s="47">
        <v>0</v>
      </c>
      <c r="BV70" s="47">
        <v>0</v>
      </c>
      <c r="BW70" s="47">
        <v>0</v>
      </c>
      <c r="BX70" s="47">
        <v>0</v>
      </c>
      <c r="BY70" s="47">
        <v>0</v>
      </c>
      <c r="BZ70" s="47">
        <v>0</v>
      </c>
      <c r="CA70" s="47">
        <v>0</v>
      </c>
      <c r="CB70" s="47">
        <v>0</v>
      </c>
      <c r="CC70" s="47">
        <v>0</v>
      </c>
      <c r="CD70" s="47">
        <v>0</v>
      </c>
      <c r="CE70" s="47">
        <v>0</v>
      </c>
      <c r="CF70" s="47">
        <v>0</v>
      </c>
      <c r="CG70" s="47">
        <v>0</v>
      </c>
      <c r="CH70" s="47">
        <v>0</v>
      </c>
      <c r="CI70" s="47">
        <v>0</v>
      </c>
      <c r="CJ70" s="47">
        <v>0</v>
      </c>
      <c r="CK70" s="47">
        <v>0</v>
      </c>
      <c r="CL70" s="47">
        <v>0</v>
      </c>
      <c r="CM70" s="47">
        <v>0</v>
      </c>
      <c r="CN70" s="47">
        <v>0</v>
      </c>
      <c r="CO70" s="47">
        <v>0</v>
      </c>
      <c r="CP70" s="47">
        <v>0</v>
      </c>
      <c r="CQ70" s="47">
        <v>0</v>
      </c>
      <c r="CR70" s="47">
        <v>0</v>
      </c>
      <c r="CS70" s="47">
        <v>0</v>
      </c>
      <c r="CT70" s="47">
        <v>0</v>
      </c>
      <c r="CU70" s="47">
        <v>0</v>
      </c>
      <c r="CV70" s="47">
        <v>0</v>
      </c>
      <c r="CW70" s="47">
        <v>0</v>
      </c>
      <c r="CX70" s="47">
        <v>0</v>
      </c>
      <c r="CY70" s="47">
        <v>0</v>
      </c>
      <c r="CZ70" s="47">
        <v>0</v>
      </c>
      <c r="DA70" s="47">
        <v>0</v>
      </c>
      <c r="DB70" s="47">
        <v>0</v>
      </c>
      <c r="DC70" s="47">
        <v>0</v>
      </c>
      <c r="DD70" s="47">
        <v>0</v>
      </c>
      <c r="DE70" s="47">
        <v>0</v>
      </c>
      <c r="DF70" s="47">
        <v>0</v>
      </c>
      <c r="DG70" s="47">
        <v>0</v>
      </c>
      <c r="DH70" s="47">
        <v>0</v>
      </c>
      <c r="DI70" s="47">
        <v>0</v>
      </c>
      <c r="DJ70" s="47">
        <v>0</v>
      </c>
      <c r="DK70" s="47">
        <v>0</v>
      </c>
      <c r="DL70" s="47">
        <v>0</v>
      </c>
      <c r="DM70" s="47">
        <v>0</v>
      </c>
      <c r="DN70" s="47">
        <v>0</v>
      </c>
      <c r="DO70" s="47">
        <v>0</v>
      </c>
      <c r="DP70" s="47">
        <v>0</v>
      </c>
      <c r="DQ70" s="47">
        <v>0</v>
      </c>
      <c r="DR70" s="47">
        <v>0</v>
      </c>
      <c r="DS70" s="47">
        <v>0</v>
      </c>
      <c r="DT70" s="47">
        <v>0</v>
      </c>
      <c r="DU70" s="47">
        <v>0</v>
      </c>
      <c r="DV70" s="47">
        <v>0</v>
      </c>
      <c r="DW70" s="47">
        <v>0</v>
      </c>
      <c r="DX70" s="47">
        <v>0</v>
      </c>
      <c r="DY70" s="47">
        <v>0</v>
      </c>
      <c r="DZ70" s="47"/>
      <c r="EA70" s="47">
        <v>1</v>
      </c>
      <c r="ZZ70" t="s">
        <v>1084</v>
      </c>
    </row>
    <row r="71" spans="1:702" x14ac:dyDescent="0.25">
      <c r="A71" s="47" t="s">
        <v>461</v>
      </c>
      <c r="B71" s="47" t="s">
        <v>151</v>
      </c>
      <c r="C71" s="47" t="s">
        <v>155</v>
      </c>
      <c r="D71" s="47" t="s">
        <v>1151</v>
      </c>
      <c r="E71" s="47" t="s">
        <v>462</v>
      </c>
      <c r="F71" s="47" t="s">
        <v>463</v>
      </c>
      <c r="G71" s="47" t="s">
        <v>464</v>
      </c>
      <c r="H71" s="47" t="s">
        <v>380</v>
      </c>
      <c r="I71" s="47" t="s">
        <v>381</v>
      </c>
      <c r="J71" s="47" t="str">
        <f>=IFERROR(VLOOKUP(H71&amp;I71,Table_Fonctions!A:G,6,FALSE),"")</f>
        <v>0</v>
      </c>
      <c r="K71" s="47" t="s">
        <v>1132</v>
      </c>
      <c r="L71" s="47" t="str">
        <f>=IFERROR(VLOOKUP(H71&amp;I71,Table_Fonctions!A:G,7,FALSE),K71)</f>
        <v/>
      </c>
      <c r="M71" s="47" t="str">
        <f>=IF(OR(LEFT(D71, 3)="TJ ", LEFT(D71, 4)="CPH "), "OUI", "NON")</f>
        <v/>
      </c>
      <c r="N71" s="47" t="s">
        <v>465</v>
      </c>
      <c r="O71" s="47"/>
      <c r="P71" s="47">
        <v>1</v>
      </c>
      <c r="Q71" s="47">
        <v>1</v>
      </c>
      <c r="R71" s="47">
        <v>0</v>
      </c>
      <c r="S71" s="47">
        <f>=ROUND(BQ71-(BR71+BS71),3)</f>
      </c>
      <c r="T71" s="47">
        <f>=ROUND(CK71-(CL71+CM71+CN71+CO71+CP71),3)</f>
      </c>
      <c r="U71" s="47">
        <v>0</v>
      </c>
      <c r="V71" s="47">
        <v>0</v>
      </c>
      <c r="W71" s="47">
        <v>0</v>
      </c>
      <c r="X71" s="47">
        <v>0</v>
      </c>
      <c r="Y71" s="47">
        <v>0</v>
      </c>
      <c r="Z71" s="47">
        <v>0</v>
      </c>
      <c r="AA71" s="47">
        <v>0</v>
      </c>
      <c r="AB71" s="47">
        <v>0</v>
      </c>
      <c r="AC71" s="47">
        <v>0</v>
      </c>
      <c r="AD71" s="47">
        <v>0</v>
      </c>
      <c r="AE71" s="47">
        <v>0</v>
      </c>
      <c r="AF71" s="47">
        <v>0</v>
      </c>
      <c r="AG71" s="47">
        <v>0</v>
      </c>
      <c r="AH71" s="47">
        <v>0</v>
      </c>
      <c r="AI71" s="47">
        <v>0</v>
      </c>
      <c r="AJ71" s="47">
        <v>0</v>
      </c>
      <c r="AK71" s="47">
        <v>0</v>
      </c>
      <c r="AL71" s="47">
        <v>0</v>
      </c>
      <c r="AM71" s="47">
        <v>0</v>
      </c>
      <c r="AN71" s="47">
        <v>0</v>
      </c>
      <c r="AO71" s="47">
        <v>0</v>
      </c>
      <c r="AP71" s="47">
        <v>0</v>
      </c>
      <c r="AQ71" s="47">
        <v>0</v>
      </c>
      <c r="AR71" s="47">
        <v>0</v>
      </c>
      <c r="AS71" s="47">
        <v>0</v>
      </c>
      <c r="AT71" s="47">
        <v>0</v>
      </c>
      <c r="AU71" s="47">
        <v>0</v>
      </c>
      <c r="AV71" s="47">
        <v>0</v>
      </c>
      <c r="AW71" s="47">
        <v>0</v>
      </c>
      <c r="AX71" s="47">
        <v>0</v>
      </c>
      <c r="AY71" s="47">
        <v>0</v>
      </c>
      <c r="AZ71" s="47">
        <v>0</v>
      </c>
      <c r="BA71" s="47">
        <v>0</v>
      </c>
      <c r="BB71" s="47">
        <v>0</v>
      </c>
      <c r="BC71" s="47">
        <v>0</v>
      </c>
      <c r="BD71" s="47">
        <v>0</v>
      </c>
      <c r="BE71" s="47">
        <v>0</v>
      </c>
      <c r="BF71" s="47">
        <v>0</v>
      </c>
      <c r="BG71" s="47">
        <v>0</v>
      </c>
      <c r="BH71" s="47">
        <v>0</v>
      </c>
      <c r="BI71" s="47">
        <v>0</v>
      </c>
      <c r="BJ71" s="47">
        <v>0</v>
      </c>
      <c r="BK71" s="47">
        <v>0</v>
      </c>
      <c r="BL71" s="47">
        <v>0</v>
      </c>
      <c r="BM71" s="47">
        <v>0</v>
      </c>
      <c r="BN71" s="47">
        <v>0</v>
      </c>
      <c r="BO71" s="47">
        <v>0</v>
      </c>
      <c r="BP71" s="47">
        <v>0</v>
      </c>
      <c r="BQ71" s="47">
        <v>0</v>
      </c>
      <c r="BR71" s="47">
        <v>0</v>
      </c>
      <c r="BS71" s="47">
        <v>0</v>
      </c>
      <c r="BT71" s="47">
        <v>0</v>
      </c>
      <c r="BU71" s="47">
        <v>0</v>
      </c>
      <c r="BV71" s="47">
        <v>0</v>
      </c>
      <c r="BW71" s="47">
        <v>0</v>
      </c>
      <c r="BX71" s="47">
        <v>0</v>
      </c>
      <c r="BY71" s="47">
        <v>0</v>
      </c>
      <c r="BZ71" s="47">
        <v>0</v>
      </c>
      <c r="CA71" s="47">
        <v>0</v>
      </c>
      <c r="CB71" s="47">
        <v>0</v>
      </c>
      <c r="CC71" s="47">
        <v>0</v>
      </c>
      <c r="CD71" s="47">
        <v>0</v>
      </c>
      <c r="CE71" s="47">
        <v>0</v>
      </c>
      <c r="CF71" s="47">
        <v>0</v>
      </c>
      <c r="CG71" s="47">
        <v>0</v>
      </c>
      <c r="CH71" s="47">
        <v>0</v>
      </c>
      <c r="CI71" s="47">
        <v>0</v>
      </c>
      <c r="CJ71" s="47">
        <v>0</v>
      </c>
      <c r="CK71" s="47">
        <v>0</v>
      </c>
      <c r="CL71" s="47">
        <v>0</v>
      </c>
      <c r="CM71" s="47">
        <v>0</v>
      </c>
      <c r="CN71" s="47">
        <v>0</v>
      </c>
      <c r="CO71" s="47">
        <v>0</v>
      </c>
      <c r="CP71" s="47">
        <v>0</v>
      </c>
      <c r="CQ71" s="47">
        <v>0</v>
      </c>
      <c r="CR71" s="47">
        <v>0</v>
      </c>
      <c r="CS71" s="47">
        <v>0</v>
      </c>
      <c r="CT71" s="47">
        <v>0</v>
      </c>
      <c r="CU71" s="47">
        <v>0</v>
      </c>
      <c r="CV71" s="47">
        <v>0</v>
      </c>
      <c r="CW71" s="47">
        <v>0</v>
      </c>
      <c r="CX71" s="47">
        <v>0</v>
      </c>
      <c r="CY71" s="47">
        <v>1</v>
      </c>
      <c r="CZ71" s="47">
        <v>0</v>
      </c>
      <c r="DA71" s="47">
        <v>0</v>
      </c>
      <c r="DB71" s="47">
        <v>0</v>
      </c>
      <c r="DC71" s="47">
        <v>0</v>
      </c>
      <c r="DD71" s="47">
        <v>0</v>
      </c>
      <c r="DE71" s="47">
        <v>0</v>
      </c>
      <c r="DF71" s="47">
        <v>0</v>
      </c>
      <c r="DG71" s="47">
        <v>0</v>
      </c>
      <c r="DH71" s="47">
        <v>0</v>
      </c>
      <c r="DI71" s="47">
        <v>0</v>
      </c>
      <c r="DJ71" s="47">
        <v>1</v>
      </c>
      <c r="DK71" s="47">
        <v>0</v>
      </c>
      <c r="DL71" s="47">
        <v>0</v>
      </c>
      <c r="DM71" s="47">
        <v>0</v>
      </c>
      <c r="DN71" s="47">
        <v>0</v>
      </c>
      <c r="DO71" s="47">
        <v>0</v>
      </c>
      <c r="DP71" s="47">
        <v>0</v>
      </c>
      <c r="DQ71" s="47">
        <v>0</v>
      </c>
      <c r="DR71" s="47">
        <v>0</v>
      </c>
      <c r="DS71" s="47">
        <v>0</v>
      </c>
      <c r="DT71" s="47">
        <v>0</v>
      </c>
      <c r="DU71" s="47">
        <v>0</v>
      </c>
      <c r="DV71" s="47">
        <v>0</v>
      </c>
      <c r="DW71" s="47">
        <v>0</v>
      </c>
      <c r="DX71" s="47">
        <v>0</v>
      </c>
      <c r="DY71" s="47">
        <v>0</v>
      </c>
      <c r="DZ71" s="47"/>
      <c r="EA71" s="47">
        <v>1</v>
      </c>
      <c r="ZZ71" t="s">
        <v>1084</v>
      </c>
    </row>
    <row r="72" spans="1:702" x14ac:dyDescent="0.25">
      <c r="A72" s="47" t="s">
        <v>466</v>
      </c>
      <c r="B72" s="47" t="s">
        <v>151</v>
      </c>
      <c r="C72" s="47" t="s">
        <v>155</v>
      </c>
      <c r="D72" s="47" t="s">
        <v>1152</v>
      </c>
      <c r="E72" s="47" t="s">
        <v>467</v>
      </c>
      <c r="F72" s="47" t="s">
        <v>468</v>
      </c>
      <c r="G72" s="47" t="s">
        <v>469</v>
      </c>
      <c r="H72" s="47" t="s">
        <v>380</v>
      </c>
      <c r="I72" s="47" t="s">
        <v>411</v>
      </c>
      <c r="J72" s="47" t="str">
        <f>=IFERROR(VLOOKUP(H72&amp;I72,Table_Fonctions!A:G,6,FALSE),"")</f>
        <v>0</v>
      </c>
      <c r="K72" s="47" t="s">
        <v>1132</v>
      </c>
      <c r="L72" s="47" t="str">
        <f>=IFERROR(VLOOKUP(H72&amp;I72,Table_Fonctions!A:G,7,FALSE),K72)</f>
        <v/>
      </c>
      <c r="M72" s="47" t="str">
        <f>=IF(OR(LEFT(D72, 3)="TJ ", LEFT(D72, 4)="CPH "), "OUI", "NON")</f>
        <v/>
      </c>
      <c r="N72" s="47" t="s">
        <v>470</v>
      </c>
      <c r="O72" s="47"/>
      <c r="P72" s="47">
        <v>0.9879</v>
      </c>
      <c r="Q72" s="47">
        <v>0.9879</v>
      </c>
      <c r="R72" s="47">
        <v>0</v>
      </c>
      <c r="S72" s="47">
        <f>=ROUND(BQ72-(BR72+BS72),3)</f>
      </c>
      <c r="T72" s="47">
        <f>=ROUND(CK72-(CL72+CM72+CN72+CO72+CP72),3)</f>
      </c>
      <c r="U72" s="47">
        <v>0</v>
      </c>
      <c r="V72" s="47">
        <v>0</v>
      </c>
      <c r="W72" s="47">
        <v>0</v>
      </c>
      <c r="X72" s="47">
        <v>0</v>
      </c>
      <c r="Y72" s="47">
        <v>0</v>
      </c>
      <c r="Z72" s="47">
        <v>0</v>
      </c>
      <c r="AA72" s="47">
        <v>0</v>
      </c>
      <c r="AB72" s="47">
        <v>0</v>
      </c>
      <c r="AC72" s="47">
        <v>0</v>
      </c>
      <c r="AD72" s="47">
        <v>0</v>
      </c>
      <c r="AE72" s="47">
        <v>0</v>
      </c>
      <c r="AF72" s="47">
        <v>0</v>
      </c>
      <c r="AG72" s="47">
        <v>0</v>
      </c>
      <c r="AH72" s="47">
        <v>0</v>
      </c>
      <c r="AI72" s="47">
        <v>0</v>
      </c>
      <c r="AJ72" s="47">
        <v>0</v>
      </c>
      <c r="AK72" s="47">
        <v>0</v>
      </c>
      <c r="AL72" s="47">
        <v>0</v>
      </c>
      <c r="AM72" s="47">
        <v>0</v>
      </c>
      <c r="AN72" s="47">
        <v>0</v>
      </c>
      <c r="AO72" s="47">
        <v>0</v>
      </c>
      <c r="AP72" s="47">
        <v>0</v>
      </c>
      <c r="AQ72" s="47">
        <v>0</v>
      </c>
      <c r="AR72" s="47">
        <v>0</v>
      </c>
      <c r="AS72" s="47">
        <v>0</v>
      </c>
      <c r="AT72" s="47">
        <v>0</v>
      </c>
      <c r="AU72" s="47">
        <v>0</v>
      </c>
      <c r="AV72" s="47">
        <v>0</v>
      </c>
      <c r="AW72" s="47">
        <v>0</v>
      </c>
      <c r="AX72" s="47">
        <v>0</v>
      </c>
      <c r="AY72" s="47">
        <v>0</v>
      </c>
      <c r="AZ72" s="47">
        <v>0</v>
      </c>
      <c r="BA72" s="47">
        <v>0</v>
      </c>
      <c r="BB72" s="47">
        <v>0</v>
      </c>
      <c r="BC72" s="47">
        <v>0</v>
      </c>
      <c r="BD72" s="47">
        <v>0</v>
      </c>
      <c r="BE72" s="47">
        <v>0</v>
      </c>
      <c r="BF72" s="47">
        <v>0</v>
      </c>
      <c r="BG72" s="47">
        <v>0</v>
      </c>
      <c r="BH72" s="47">
        <v>0</v>
      </c>
      <c r="BI72" s="47">
        <v>0</v>
      </c>
      <c r="BJ72" s="47">
        <v>0</v>
      </c>
      <c r="BK72" s="47">
        <v>0</v>
      </c>
      <c r="BL72" s="47">
        <v>0</v>
      </c>
      <c r="BM72" s="47">
        <v>0</v>
      </c>
      <c r="BN72" s="47">
        <v>0</v>
      </c>
      <c r="BO72" s="47">
        <v>0</v>
      </c>
      <c r="BP72" s="47">
        <v>0</v>
      </c>
      <c r="BQ72" s="47">
        <v>0</v>
      </c>
      <c r="BR72" s="47">
        <v>0</v>
      </c>
      <c r="BS72" s="47">
        <v>0</v>
      </c>
      <c r="BT72" s="47">
        <v>0</v>
      </c>
      <c r="BU72" s="47">
        <v>0</v>
      </c>
      <c r="BV72" s="47">
        <v>0</v>
      </c>
      <c r="BW72" s="47">
        <v>0</v>
      </c>
      <c r="BX72" s="47">
        <v>0</v>
      </c>
      <c r="BY72" s="47">
        <v>0</v>
      </c>
      <c r="BZ72" s="47">
        <v>0</v>
      </c>
      <c r="CA72" s="47">
        <v>0</v>
      </c>
      <c r="CB72" s="47">
        <v>0</v>
      </c>
      <c r="CC72" s="47">
        <v>0</v>
      </c>
      <c r="CD72" s="47">
        <v>0</v>
      </c>
      <c r="CE72" s="47">
        <v>0</v>
      </c>
      <c r="CF72" s="47">
        <v>0</v>
      </c>
      <c r="CG72" s="47">
        <v>0</v>
      </c>
      <c r="CH72" s="47">
        <v>0</v>
      </c>
      <c r="CI72" s="47">
        <v>0</v>
      </c>
      <c r="CJ72" s="47">
        <v>0</v>
      </c>
      <c r="CK72" s="47">
        <v>0</v>
      </c>
      <c r="CL72" s="47">
        <v>0</v>
      </c>
      <c r="CM72" s="47">
        <v>0</v>
      </c>
      <c r="CN72" s="47">
        <v>0</v>
      </c>
      <c r="CO72" s="47">
        <v>0</v>
      </c>
      <c r="CP72" s="47">
        <v>0</v>
      </c>
      <c r="CQ72" s="47">
        <v>0</v>
      </c>
      <c r="CR72" s="47">
        <v>0</v>
      </c>
      <c r="CS72" s="47">
        <v>0</v>
      </c>
      <c r="CT72" s="47">
        <v>0</v>
      </c>
      <c r="CU72" s="47">
        <v>0</v>
      </c>
      <c r="CV72" s="47">
        <v>0</v>
      </c>
      <c r="CW72" s="47">
        <v>0</v>
      </c>
      <c r="CX72" s="47">
        <v>0</v>
      </c>
      <c r="CY72" s="47">
        <v>0.9879</v>
      </c>
      <c r="CZ72" s="47">
        <v>0</v>
      </c>
      <c r="DA72" s="47">
        <v>0</v>
      </c>
      <c r="DB72" s="47">
        <v>0</v>
      </c>
      <c r="DC72" s="47">
        <v>0.9879</v>
      </c>
      <c r="DD72" s="47">
        <v>0</v>
      </c>
      <c r="DE72" s="47">
        <v>0</v>
      </c>
      <c r="DF72" s="47">
        <v>0</v>
      </c>
      <c r="DG72" s="47">
        <v>0</v>
      </c>
      <c r="DH72" s="47">
        <v>0</v>
      </c>
      <c r="DI72" s="47">
        <v>0</v>
      </c>
      <c r="DJ72" s="47">
        <v>0</v>
      </c>
      <c r="DK72" s="47">
        <v>0.0121</v>
      </c>
      <c r="DL72" s="47">
        <v>0</v>
      </c>
      <c r="DM72" s="47">
        <v>0</v>
      </c>
      <c r="DN72" s="47">
        <v>0</v>
      </c>
      <c r="DO72" s="47">
        <v>0</v>
      </c>
      <c r="DP72" s="47">
        <v>0</v>
      </c>
      <c r="DQ72" s="47">
        <v>0</v>
      </c>
      <c r="DR72" s="47">
        <v>0.0121</v>
      </c>
      <c r="DS72" s="47">
        <v>0</v>
      </c>
      <c r="DT72" s="47">
        <v>0</v>
      </c>
      <c r="DU72" s="47">
        <v>0</v>
      </c>
      <c r="DV72" s="47">
        <v>0</v>
      </c>
      <c r="DW72" s="47">
        <v>0.0524</v>
      </c>
      <c r="DX72" s="47">
        <v>0.0081</v>
      </c>
      <c r="DY72" s="47">
        <v>0.0605</v>
      </c>
      <c r="DZ72" s="47"/>
      <c r="EA72" s="47">
        <v>1</v>
      </c>
      <c r="ZZ72" t="s">
        <v>1084</v>
      </c>
    </row>
    <row r="73" spans="1:702" x14ac:dyDescent="0.25">
      <c r="A73" s="47" t="s">
        <v>471</v>
      </c>
      <c r="B73" s="47" t="s">
        <v>151</v>
      </c>
      <c r="C73" s="47" t="s">
        <v>155</v>
      </c>
      <c r="D73" s="47" t="s">
        <v>1153</v>
      </c>
      <c r="E73" s="47" t="s">
        <v>472</v>
      </c>
      <c r="F73" s="47" t="s">
        <v>473</v>
      </c>
      <c r="G73" s="47" t="s">
        <v>474</v>
      </c>
      <c r="H73" s="47" t="s">
        <v>380</v>
      </c>
      <c r="I73" s="47" t="s">
        <v>381</v>
      </c>
      <c r="J73" s="47" t="str">
        <f>=IFERROR(VLOOKUP(H73&amp;I73,Table_Fonctions!A:G,6,FALSE),"")</f>
        <v>0</v>
      </c>
      <c r="K73" s="47" t="s">
        <v>1132</v>
      </c>
      <c r="L73" s="47" t="str">
        <f>=IFERROR(VLOOKUP(H73&amp;I73,Table_Fonctions!A:G,7,FALSE),K73)</f>
        <v/>
      </c>
      <c r="M73" s="47" t="str">
        <f>=IF(OR(LEFT(D73, 3)="TJ ", LEFT(D73, 4)="CPH "), "OUI", "NON")</f>
        <v/>
      </c>
      <c r="N73" s="47" t="s">
        <v>475</v>
      </c>
      <c r="O73" s="47"/>
      <c r="P73" s="47">
        <v>1</v>
      </c>
      <c r="Q73" s="47">
        <v>0</v>
      </c>
      <c r="R73" s="47">
        <v>1</v>
      </c>
      <c r="S73" s="47">
        <f>=ROUND(BQ73-(BR73+BS73),3)</f>
      </c>
      <c r="T73" s="47">
        <f>=ROUND(CK73-(CL73+CM73+CN73+CO73+CP73),3)</f>
      </c>
      <c r="U73" s="47">
        <v>0</v>
      </c>
      <c r="V73" s="47">
        <v>0</v>
      </c>
      <c r="W73" s="47">
        <v>0</v>
      </c>
      <c r="X73" s="47">
        <v>0</v>
      </c>
      <c r="Y73" s="47">
        <v>0</v>
      </c>
      <c r="Z73" s="47">
        <v>0</v>
      </c>
      <c r="AA73" s="47">
        <v>0</v>
      </c>
      <c r="AB73" s="47">
        <v>0</v>
      </c>
      <c r="AC73" s="47">
        <v>0</v>
      </c>
      <c r="AD73" s="47">
        <v>0</v>
      </c>
      <c r="AE73" s="47">
        <v>0</v>
      </c>
      <c r="AF73" s="47">
        <v>0</v>
      </c>
      <c r="AG73" s="47">
        <v>0</v>
      </c>
      <c r="AH73" s="47">
        <v>0</v>
      </c>
      <c r="AI73" s="47">
        <v>0</v>
      </c>
      <c r="AJ73" s="47">
        <v>0</v>
      </c>
      <c r="AK73" s="47">
        <v>0</v>
      </c>
      <c r="AL73" s="47">
        <v>0</v>
      </c>
      <c r="AM73" s="47">
        <v>0</v>
      </c>
      <c r="AN73" s="47">
        <v>0</v>
      </c>
      <c r="AO73" s="47">
        <v>0</v>
      </c>
      <c r="AP73" s="47">
        <v>0</v>
      </c>
      <c r="AQ73" s="47">
        <v>0</v>
      </c>
      <c r="AR73" s="47">
        <v>0</v>
      </c>
      <c r="AS73" s="47">
        <v>0</v>
      </c>
      <c r="AT73" s="47">
        <v>0</v>
      </c>
      <c r="AU73" s="47">
        <v>0</v>
      </c>
      <c r="AV73" s="47">
        <v>0</v>
      </c>
      <c r="AW73" s="47">
        <v>0</v>
      </c>
      <c r="AX73" s="47">
        <v>0</v>
      </c>
      <c r="AY73" s="47">
        <v>0</v>
      </c>
      <c r="AZ73" s="47">
        <v>0</v>
      </c>
      <c r="BA73" s="47">
        <v>0</v>
      </c>
      <c r="BB73" s="47">
        <v>0</v>
      </c>
      <c r="BC73" s="47">
        <v>0</v>
      </c>
      <c r="BD73" s="47">
        <v>0</v>
      </c>
      <c r="BE73" s="47">
        <v>0</v>
      </c>
      <c r="BF73" s="47">
        <v>0</v>
      </c>
      <c r="BG73" s="47">
        <v>0</v>
      </c>
      <c r="BH73" s="47">
        <v>0</v>
      </c>
      <c r="BI73" s="47">
        <v>0</v>
      </c>
      <c r="BJ73" s="47">
        <v>0</v>
      </c>
      <c r="BK73" s="47">
        <v>0</v>
      </c>
      <c r="BL73" s="47">
        <v>0</v>
      </c>
      <c r="BM73" s="47">
        <v>0</v>
      </c>
      <c r="BN73" s="47">
        <v>0</v>
      </c>
      <c r="BO73" s="47">
        <v>0</v>
      </c>
      <c r="BP73" s="47">
        <v>0</v>
      </c>
      <c r="BQ73" s="47">
        <v>0</v>
      </c>
      <c r="BR73" s="47">
        <v>0</v>
      </c>
      <c r="BS73" s="47">
        <v>0</v>
      </c>
      <c r="BT73" s="47">
        <v>0</v>
      </c>
      <c r="BU73" s="47">
        <v>0</v>
      </c>
      <c r="BV73" s="47">
        <v>0</v>
      </c>
      <c r="BW73" s="47">
        <v>0</v>
      </c>
      <c r="BX73" s="47">
        <v>0</v>
      </c>
      <c r="BY73" s="47">
        <v>0</v>
      </c>
      <c r="BZ73" s="47">
        <v>0</v>
      </c>
      <c r="CA73" s="47">
        <v>0</v>
      </c>
      <c r="CB73" s="47">
        <v>0</v>
      </c>
      <c r="CC73" s="47">
        <v>0</v>
      </c>
      <c r="CD73" s="47">
        <v>0</v>
      </c>
      <c r="CE73" s="47">
        <v>0</v>
      </c>
      <c r="CF73" s="47">
        <v>0</v>
      </c>
      <c r="CG73" s="47">
        <v>0</v>
      </c>
      <c r="CH73" s="47">
        <v>0</v>
      </c>
      <c r="CI73" s="47">
        <v>0</v>
      </c>
      <c r="CJ73" s="47">
        <v>0</v>
      </c>
      <c r="CK73" s="47">
        <v>0</v>
      </c>
      <c r="CL73" s="47">
        <v>0</v>
      </c>
      <c r="CM73" s="47">
        <v>0</v>
      </c>
      <c r="CN73" s="47">
        <v>0</v>
      </c>
      <c r="CO73" s="47">
        <v>0</v>
      </c>
      <c r="CP73" s="47">
        <v>0</v>
      </c>
      <c r="CQ73" s="47">
        <v>0</v>
      </c>
      <c r="CR73" s="47">
        <v>0</v>
      </c>
      <c r="CS73" s="47">
        <v>0</v>
      </c>
      <c r="CT73" s="47">
        <v>0</v>
      </c>
      <c r="CU73" s="47">
        <v>0</v>
      </c>
      <c r="CV73" s="47">
        <v>0</v>
      </c>
      <c r="CW73" s="47">
        <v>0</v>
      </c>
      <c r="CX73" s="47">
        <v>0</v>
      </c>
      <c r="CY73" s="47">
        <v>0</v>
      </c>
      <c r="CZ73" s="47">
        <v>0</v>
      </c>
      <c r="DA73" s="47">
        <v>0</v>
      </c>
      <c r="DB73" s="47">
        <v>0</v>
      </c>
      <c r="DC73" s="47">
        <v>0</v>
      </c>
      <c r="DD73" s="47">
        <v>0</v>
      </c>
      <c r="DE73" s="47">
        <v>0</v>
      </c>
      <c r="DF73" s="47">
        <v>0</v>
      </c>
      <c r="DG73" s="47">
        <v>0</v>
      </c>
      <c r="DH73" s="47">
        <v>0</v>
      </c>
      <c r="DI73" s="47">
        <v>0</v>
      </c>
      <c r="DJ73" s="47">
        <v>0</v>
      </c>
      <c r="DK73" s="47">
        <v>0</v>
      </c>
      <c r="DL73" s="47">
        <v>0</v>
      </c>
      <c r="DM73" s="47">
        <v>0</v>
      </c>
      <c r="DN73" s="47">
        <v>0</v>
      </c>
      <c r="DO73" s="47">
        <v>0</v>
      </c>
      <c r="DP73" s="47">
        <v>0</v>
      </c>
      <c r="DQ73" s="47">
        <v>0</v>
      </c>
      <c r="DR73" s="47">
        <v>0</v>
      </c>
      <c r="DS73" s="47">
        <v>0</v>
      </c>
      <c r="DT73" s="47">
        <v>0</v>
      </c>
      <c r="DU73" s="47">
        <v>0</v>
      </c>
      <c r="DV73" s="47">
        <v>0</v>
      </c>
      <c r="DW73" s="47">
        <v>0</v>
      </c>
      <c r="DX73" s="47">
        <v>0</v>
      </c>
      <c r="DY73" s="47">
        <v>0</v>
      </c>
      <c r="DZ73" s="47"/>
      <c r="EA73" s="47">
        <v>1</v>
      </c>
      <c r="ZZ73" t="s">
        <v>1084</v>
      </c>
    </row>
    <row r="74" spans="1:702" x14ac:dyDescent="0.25">
      <c r="A74" s="47" t="s">
        <v>476</v>
      </c>
      <c r="B74" s="47" t="s">
        <v>151</v>
      </c>
      <c r="C74" s="47" t="s">
        <v>155</v>
      </c>
      <c r="D74" s="47" t="s">
        <v>1154</v>
      </c>
      <c r="E74" s="47" t="s">
        <v>477</v>
      </c>
      <c r="F74" s="47" t="s">
        <v>478</v>
      </c>
      <c r="G74" s="47" t="s">
        <v>479</v>
      </c>
      <c r="H74" s="47" t="s">
        <v>380</v>
      </c>
      <c r="I74" s="47" t="s">
        <v>411</v>
      </c>
      <c r="J74" s="47" t="str">
        <f>=IFERROR(VLOOKUP(H74&amp;I74,Table_Fonctions!A:G,6,FALSE),"")</f>
        <v>0</v>
      </c>
      <c r="K74" s="47" t="s">
        <v>1132</v>
      </c>
      <c r="L74" s="47" t="str">
        <f>=IFERROR(VLOOKUP(H74&amp;I74,Table_Fonctions!A:G,7,FALSE),K74)</f>
        <v/>
      </c>
      <c r="M74" s="47" t="str">
        <f>=IF(OR(LEFT(D74, 3)="TJ ", LEFT(D74, 4)="CPH "), "OUI", "NON")</f>
        <v/>
      </c>
      <c r="N74" s="47" t="s">
        <v>480</v>
      </c>
      <c r="O74" s="47"/>
      <c r="P74" s="47">
        <v>0.1593</v>
      </c>
      <c r="Q74" s="47">
        <v>0</v>
      </c>
      <c r="R74" s="47">
        <v>0.1593</v>
      </c>
      <c r="S74" s="47">
        <f>=ROUND(BQ74-(BR74+BS74),3)</f>
      </c>
      <c r="T74" s="47">
        <f>=ROUND(CK74-(CL74+CM74+CN74+CO74+CP74),3)</f>
      </c>
      <c r="U74" s="47">
        <v>0</v>
      </c>
      <c r="V74" s="47">
        <v>0</v>
      </c>
      <c r="W74" s="47">
        <v>0</v>
      </c>
      <c r="X74" s="47">
        <v>0</v>
      </c>
      <c r="Y74" s="47">
        <v>0</v>
      </c>
      <c r="Z74" s="47">
        <v>0</v>
      </c>
      <c r="AA74" s="47">
        <v>0</v>
      </c>
      <c r="AB74" s="47">
        <v>0</v>
      </c>
      <c r="AC74" s="47">
        <v>0</v>
      </c>
      <c r="AD74" s="47">
        <v>0</v>
      </c>
      <c r="AE74" s="47">
        <v>0</v>
      </c>
      <c r="AF74" s="47">
        <v>0</v>
      </c>
      <c r="AG74" s="47">
        <v>0</v>
      </c>
      <c r="AH74" s="47">
        <v>0</v>
      </c>
      <c r="AI74" s="47">
        <v>0</v>
      </c>
      <c r="AJ74" s="47">
        <v>0</v>
      </c>
      <c r="AK74" s="47">
        <v>0</v>
      </c>
      <c r="AL74" s="47">
        <v>0</v>
      </c>
      <c r="AM74" s="47">
        <v>0</v>
      </c>
      <c r="AN74" s="47">
        <v>0</v>
      </c>
      <c r="AO74" s="47">
        <v>0</v>
      </c>
      <c r="AP74" s="47">
        <v>0</v>
      </c>
      <c r="AQ74" s="47">
        <v>0</v>
      </c>
      <c r="AR74" s="47">
        <v>0</v>
      </c>
      <c r="AS74" s="47">
        <v>0</v>
      </c>
      <c r="AT74" s="47">
        <v>0</v>
      </c>
      <c r="AU74" s="47">
        <v>0</v>
      </c>
      <c r="AV74" s="47">
        <v>0</v>
      </c>
      <c r="AW74" s="47">
        <v>0</v>
      </c>
      <c r="AX74" s="47">
        <v>0</v>
      </c>
      <c r="AY74" s="47">
        <v>0</v>
      </c>
      <c r="AZ74" s="47">
        <v>0</v>
      </c>
      <c r="BA74" s="47">
        <v>0</v>
      </c>
      <c r="BB74" s="47">
        <v>0</v>
      </c>
      <c r="BC74" s="47">
        <v>0</v>
      </c>
      <c r="BD74" s="47">
        <v>0</v>
      </c>
      <c r="BE74" s="47">
        <v>0</v>
      </c>
      <c r="BF74" s="47">
        <v>0</v>
      </c>
      <c r="BG74" s="47">
        <v>0</v>
      </c>
      <c r="BH74" s="47">
        <v>0</v>
      </c>
      <c r="BI74" s="47">
        <v>0</v>
      </c>
      <c r="BJ74" s="47">
        <v>0</v>
      </c>
      <c r="BK74" s="47">
        <v>0</v>
      </c>
      <c r="BL74" s="47">
        <v>0</v>
      </c>
      <c r="BM74" s="47">
        <v>0</v>
      </c>
      <c r="BN74" s="47">
        <v>0</v>
      </c>
      <c r="BO74" s="47">
        <v>0</v>
      </c>
      <c r="BP74" s="47">
        <v>0</v>
      </c>
      <c r="BQ74" s="47">
        <v>0</v>
      </c>
      <c r="BR74" s="47">
        <v>0</v>
      </c>
      <c r="BS74" s="47">
        <v>0</v>
      </c>
      <c r="BT74" s="47">
        <v>0</v>
      </c>
      <c r="BU74" s="47">
        <v>0</v>
      </c>
      <c r="BV74" s="47">
        <v>0</v>
      </c>
      <c r="BW74" s="47">
        <v>0</v>
      </c>
      <c r="BX74" s="47">
        <v>0</v>
      </c>
      <c r="BY74" s="47">
        <v>0</v>
      </c>
      <c r="BZ74" s="47">
        <v>0</v>
      </c>
      <c r="CA74" s="47">
        <v>0</v>
      </c>
      <c r="CB74" s="47">
        <v>0</v>
      </c>
      <c r="CC74" s="47">
        <v>0</v>
      </c>
      <c r="CD74" s="47">
        <v>0</v>
      </c>
      <c r="CE74" s="47">
        <v>0</v>
      </c>
      <c r="CF74" s="47">
        <v>0</v>
      </c>
      <c r="CG74" s="47">
        <v>0</v>
      </c>
      <c r="CH74" s="47">
        <v>0</v>
      </c>
      <c r="CI74" s="47">
        <v>0</v>
      </c>
      <c r="CJ74" s="47">
        <v>0</v>
      </c>
      <c r="CK74" s="47">
        <v>0</v>
      </c>
      <c r="CL74" s="47">
        <v>0</v>
      </c>
      <c r="CM74" s="47">
        <v>0</v>
      </c>
      <c r="CN74" s="47">
        <v>0</v>
      </c>
      <c r="CO74" s="47">
        <v>0</v>
      </c>
      <c r="CP74" s="47">
        <v>0</v>
      </c>
      <c r="CQ74" s="47">
        <v>0</v>
      </c>
      <c r="CR74" s="47">
        <v>0</v>
      </c>
      <c r="CS74" s="47">
        <v>0</v>
      </c>
      <c r="CT74" s="47">
        <v>0</v>
      </c>
      <c r="CU74" s="47">
        <v>0</v>
      </c>
      <c r="CV74" s="47">
        <v>0</v>
      </c>
      <c r="CW74" s="47">
        <v>0</v>
      </c>
      <c r="CX74" s="47">
        <v>0</v>
      </c>
      <c r="CY74" s="47">
        <v>0</v>
      </c>
      <c r="CZ74" s="47">
        <v>0</v>
      </c>
      <c r="DA74" s="47">
        <v>0</v>
      </c>
      <c r="DB74" s="47">
        <v>0</v>
      </c>
      <c r="DC74" s="47">
        <v>0</v>
      </c>
      <c r="DD74" s="47">
        <v>0</v>
      </c>
      <c r="DE74" s="47">
        <v>0</v>
      </c>
      <c r="DF74" s="47">
        <v>0</v>
      </c>
      <c r="DG74" s="47">
        <v>0</v>
      </c>
      <c r="DH74" s="47">
        <v>0</v>
      </c>
      <c r="DI74" s="47">
        <v>0</v>
      </c>
      <c r="DJ74" s="47">
        <v>0</v>
      </c>
      <c r="DK74" s="47">
        <v>0.131</v>
      </c>
      <c r="DL74" s="47">
        <v>0</v>
      </c>
      <c r="DM74" s="47">
        <v>0</v>
      </c>
      <c r="DN74" s="47">
        <v>0.131</v>
      </c>
      <c r="DO74" s="47">
        <v>0</v>
      </c>
      <c r="DP74" s="47">
        <v>0</v>
      </c>
      <c r="DQ74" s="47">
        <v>0</v>
      </c>
      <c r="DR74" s="47">
        <v>0</v>
      </c>
      <c r="DS74" s="47">
        <v>0</v>
      </c>
      <c r="DT74" s="47">
        <v>0</v>
      </c>
      <c r="DU74" s="47">
        <v>0.1109</v>
      </c>
      <c r="DV74" s="47">
        <v>0</v>
      </c>
      <c r="DW74" s="47">
        <v>0</v>
      </c>
      <c r="DX74" s="47">
        <v>0</v>
      </c>
      <c r="DY74" s="47">
        <v>0.1109</v>
      </c>
      <c r="DZ74" s="47"/>
      <c r="EA74" s="47">
        <v>0.2903</v>
      </c>
      <c r="ZZ74" t="s">
        <v>1084</v>
      </c>
    </row>
    <row r="75" spans="1:702" x14ac:dyDescent="0.25">
      <c r="A75" s="47" t="s">
        <v>481</v>
      </c>
      <c r="B75" s="47" t="s">
        <v>151</v>
      </c>
      <c r="C75" s="47" t="s">
        <v>155</v>
      </c>
      <c r="D75" s="47" t="s">
        <v>1155</v>
      </c>
      <c r="E75" s="47" t="s">
        <v>482</v>
      </c>
      <c r="F75" s="47" t="s">
        <v>483</v>
      </c>
      <c r="G75" s="47" t="s">
        <v>484</v>
      </c>
      <c r="H75" s="47" t="s">
        <v>380</v>
      </c>
      <c r="I75" s="47" t="s">
        <v>411</v>
      </c>
      <c r="J75" s="47" t="str">
        <f>=IFERROR(VLOOKUP(H75&amp;I75,Table_Fonctions!A:G,6,FALSE),"")</f>
        <v>0</v>
      </c>
      <c r="K75" s="47" t="s">
        <v>1132</v>
      </c>
      <c r="L75" s="47" t="str">
        <f>=IFERROR(VLOOKUP(H75&amp;I75,Table_Fonctions!A:G,7,FALSE),K75)</f>
        <v/>
      </c>
      <c r="M75" s="47" t="str">
        <f>=IF(OR(LEFT(D75, 3)="TJ ", LEFT(D75, 4)="CPH "), "OUI", "NON")</f>
        <v/>
      </c>
      <c r="N75" s="47" t="s">
        <v>485</v>
      </c>
      <c r="O75" s="47"/>
      <c r="P75" s="47">
        <v>1</v>
      </c>
      <c r="Q75" s="47">
        <v>0</v>
      </c>
      <c r="R75" s="47">
        <v>1</v>
      </c>
      <c r="S75" s="47">
        <f>=ROUND(BQ75-(BR75+BS75),3)</f>
      </c>
      <c r="T75" s="47">
        <f>=ROUND(CK75-(CL75+CM75+CN75+CO75+CP75),3)</f>
      </c>
      <c r="U75" s="47">
        <v>0</v>
      </c>
      <c r="V75" s="47">
        <v>0</v>
      </c>
      <c r="W75" s="47">
        <v>0</v>
      </c>
      <c r="X75" s="47">
        <v>0</v>
      </c>
      <c r="Y75" s="47">
        <v>0</v>
      </c>
      <c r="Z75" s="47">
        <v>0</v>
      </c>
      <c r="AA75" s="47">
        <v>0</v>
      </c>
      <c r="AB75" s="47">
        <v>0</v>
      </c>
      <c r="AC75" s="47">
        <v>0</v>
      </c>
      <c r="AD75" s="47">
        <v>0</v>
      </c>
      <c r="AE75" s="47">
        <v>0</v>
      </c>
      <c r="AF75" s="47">
        <v>0</v>
      </c>
      <c r="AG75" s="47">
        <v>0</v>
      </c>
      <c r="AH75" s="47">
        <v>0</v>
      </c>
      <c r="AI75" s="47">
        <v>0</v>
      </c>
      <c r="AJ75" s="47">
        <v>0</v>
      </c>
      <c r="AK75" s="47">
        <v>0</v>
      </c>
      <c r="AL75" s="47">
        <v>0</v>
      </c>
      <c r="AM75" s="47">
        <v>0</v>
      </c>
      <c r="AN75" s="47">
        <v>0</v>
      </c>
      <c r="AO75" s="47">
        <v>0</v>
      </c>
      <c r="AP75" s="47">
        <v>0</v>
      </c>
      <c r="AQ75" s="47">
        <v>0</v>
      </c>
      <c r="AR75" s="47">
        <v>0</v>
      </c>
      <c r="AS75" s="47">
        <v>0</v>
      </c>
      <c r="AT75" s="47">
        <v>0</v>
      </c>
      <c r="AU75" s="47">
        <v>0</v>
      </c>
      <c r="AV75" s="47">
        <v>0</v>
      </c>
      <c r="AW75" s="47">
        <v>0</v>
      </c>
      <c r="AX75" s="47">
        <v>0</v>
      </c>
      <c r="AY75" s="47">
        <v>0</v>
      </c>
      <c r="AZ75" s="47">
        <v>0</v>
      </c>
      <c r="BA75" s="47">
        <v>0</v>
      </c>
      <c r="BB75" s="47">
        <v>0</v>
      </c>
      <c r="BC75" s="47">
        <v>0</v>
      </c>
      <c r="BD75" s="47">
        <v>0</v>
      </c>
      <c r="BE75" s="47">
        <v>0</v>
      </c>
      <c r="BF75" s="47">
        <v>0</v>
      </c>
      <c r="BG75" s="47">
        <v>0</v>
      </c>
      <c r="BH75" s="47">
        <v>0</v>
      </c>
      <c r="BI75" s="47">
        <v>0</v>
      </c>
      <c r="BJ75" s="47">
        <v>0</v>
      </c>
      <c r="BK75" s="47">
        <v>0</v>
      </c>
      <c r="BL75" s="47">
        <v>0</v>
      </c>
      <c r="BM75" s="47">
        <v>0</v>
      </c>
      <c r="BN75" s="47">
        <v>0</v>
      </c>
      <c r="BO75" s="47">
        <v>0</v>
      </c>
      <c r="BP75" s="47">
        <v>0</v>
      </c>
      <c r="BQ75" s="47">
        <v>0</v>
      </c>
      <c r="BR75" s="47">
        <v>0</v>
      </c>
      <c r="BS75" s="47">
        <v>0</v>
      </c>
      <c r="BT75" s="47">
        <v>0</v>
      </c>
      <c r="BU75" s="47">
        <v>0</v>
      </c>
      <c r="BV75" s="47">
        <v>0</v>
      </c>
      <c r="BW75" s="47">
        <v>0</v>
      </c>
      <c r="BX75" s="47">
        <v>0</v>
      </c>
      <c r="BY75" s="47">
        <v>0</v>
      </c>
      <c r="BZ75" s="47">
        <v>0</v>
      </c>
      <c r="CA75" s="47">
        <v>0</v>
      </c>
      <c r="CB75" s="47">
        <v>0</v>
      </c>
      <c r="CC75" s="47">
        <v>0</v>
      </c>
      <c r="CD75" s="47">
        <v>0</v>
      </c>
      <c r="CE75" s="47">
        <v>0</v>
      </c>
      <c r="CF75" s="47">
        <v>0</v>
      </c>
      <c r="CG75" s="47">
        <v>0</v>
      </c>
      <c r="CH75" s="47">
        <v>0</v>
      </c>
      <c r="CI75" s="47">
        <v>0</v>
      </c>
      <c r="CJ75" s="47">
        <v>0</v>
      </c>
      <c r="CK75" s="47">
        <v>0</v>
      </c>
      <c r="CL75" s="47">
        <v>0</v>
      </c>
      <c r="CM75" s="47">
        <v>0</v>
      </c>
      <c r="CN75" s="47">
        <v>0</v>
      </c>
      <c r="CO75" s="47">
        <v>0</v>
      </c>
      <c r="CP75" s="47">
        <v>0</v>
      </c>
      <c r="CQ75" s="47">
        <v>0</v>
      </c>
      <c r="CR75" s="47">
        <v>0</v>
      </c>
      <c r="CS75" s="47">
        <v>0</v>
      </c>
      <c r="CT75" s="47">
        <v>0</v>
      </c>
      <c r="CU75" s="47">
        <v>0</v>
      </c>
      <c r="CV75" s="47">
        <v>0</v>
      </c>
      <c r="CW75" s="47">
        <v>0</v>
      </c>
      <c r="CX75" s="47">
        <v>0</v>
      </c>
      <c r="CY75" s="47">
        <v>0</v>
      </c>
      <c r="CZ75" s="47">
        <v>0</v>
      </c>
      <c r="DA75" s="47">
        <v>0</v>
      </c>
      <c r="DB75" s="47">
        <v>0</v>
      </c>
      <c r="DC75" s="47">
        <v>0</v>
      </c>
      <c r="DD75" s="47">
        <v>0</v>
      </c>
      <c r="DE75" s="47">
        <v>0</v>
      </c>
      <c r="DF75" s="47">
        <v>0</v>
      </c>
      <c r="DG75" s="47">
        <v>0</v>
      </c>
      <c r="DH75" s="47">
        <v>0</v>
      </c>
      <c r="DI75" s="47">
        <v>0</v>
      </c>
      <c r="DJ75" s="47">
        <v>0</v>
      </c>
      <c r="DK75" s="47">
        <v>0</v>
      </c>
      <c r="DL75" s="47">
        <v>0</v>
      </c>
      <c r="DM75" s="47">
        <v>0</v>
      </c>
      <c r="DN75" s="47">
        <v>0</v>
      </c>
      <c r="DO75" s="47">
        <v>0</v>
      </c>
      <c r="DP75" s="47">
        <v>0</v>
      </c>
      <c r="DQ75" s="47">
        <v>0</v>
      </c>
      <c r="DR75" s="47">
        <v>0</v>
      </c>
      <c r="DS75" s="47">
        <v>0</v>
      </c>
      <c r="DT75" s="47">
        <v>0</v>
      </c>
      <c r="DU75" s="47">
        <v>0</v>
      </c>
      <c r="DV75" s="47">
        <v>0</v>
      </c>
      <c r="DW75" s="47">
        <v>0</v>
      </c>
      <c r="DX75" s="47">
        <v>0</v>
      </c>
      <c r="DY75" s="47">
        <v>0</v>
      </c>
      <c r="DZ75" s="47"/>
      <c r="EA75" s="47">
        <v>1</v>
      </c>
      <c r="ZZ75" t="s">
        <v>1084</v>
      </c>
    </row>
    <row r="76" spans="1:702" x14ac:dyDescent="0.25">
      <c r="A76" s="47" t="s">
        <v>486</v>
      </c>
      <c r="B76" s="47" t="s">
        <v>151</v>
      </c>
      <c r="C76" s="47" t="s">
        <v>155</v>
      </c>
      <c r="D76" s="47" t="s">
        <v>1156</v>
      </c>
      <c r="E76" s="47" t="s">
        <v>487</v>
      </c>
      <c r="F76" s="47" t="s">
        <v>488</v>
      </c>
      <c r="G76" s="47" t="s">
        <v>489</v>
      </c>
      <c r="H76" s="47" t="s">
        <v>380</v>
      </c>
      <c r="I76" s="47" t="s">
        <v>381</v>
      </c>
      <c r="J76" s="47" t="str">
        <f>=IFERROR(VLOOKUP(H76&amp;I76,Table_Fonctions!A:G,6,FALSE),"")</f>
        <v>0</v>
      </c>
      <c r="K76" s="47" t="s">
        <v>1132</v>
      </c>
      <c r="L76" s="47" t="str">
        <f>=IFERROR(VLOOKUP(H76&amp;I76,Table_Fonctions!A:G,7,FALSE),K76)</f>
        <v/>
      </c>
      <c r="M76" s="47" t="str">
        <f>=IF(OR(LEFT(D76, 3)="TJ ", LEFT(D76, 4)="CPH "), "OUI", "NON")</f>
        <v/>
      </c>
      <c r="N76" s="47" t="s">
        <v>490</v>
      </c>
      <c r="O76" s="47"/>
      <c r="P76" s="47">
        <v>1</v>
      </c>
      <c r="Q76" s="47">
        <v>0</v>
      </c>
      <c r="R76" s="47">
        <v>1</v>
      </c>
      <c r="S76" s="47">
        <f>=ROUND(BQ76-(BR76+BS76),3)</f>
      </c>
      <c r="T76" s="47">
        <f>=ROUND(CK76-(CL76+CM76+CN76+CO76+CP76),3)</f>
      </c>
      <c r="U76" s="47">
        <v>0</v>
      </c>
      <c r="V76" s="47">
        <v>0</v>
      </c>
      <c r="W76" s="47">
        <v>0</v>
      </c>
      <c r="X76" s="47">
        <v>0</v>
      </c>
      <c r="Y76" s="47">
        <v>0</v>
      </c>
      <c r="Z76" s="47">
        <v>0</v>
      </c>
      <c r="AA76" s="47">
        <v>0</v>
      </c>
      <c r="AB76" s="47">
        <v>0</v>
      </c>
      <c r="AC76" s="47">
        <v>0</v>
      </c>
      <c r="AD76" s="47">
        <v>0</v>
      </c>
      <c r="AE76" s="47">
        <v>0</v>
      </c>
      <c r="AF76" s="47">
        <v>0</v>
      </c>
      <c r="AG76" s="47">
        <v>0</v>
      </c>
      <c r="AH76" s="47">
        <v>0</v>
      </c>
      <c r="AI76" s="47">
        <v>0</v>
      </c>
      <c r="AJ76" s="47">
        <v>0</v>
      </c>
      <c r="AK76" s="47">
        <v>0</v>
      </c>
      <c r="AL76" s="47">
        <v>0</v>
      </c>
      <c r="AM76" s="47">
        <v>0</v>
      </c>
      <c r="AN76" s="47">
        <v>0</v>
      </c>
      <c r="AO76" s="47">
        <v>0</v>
      </c>
      <c r="AP76" s="47">
        <v>0</v>
      </c>
      <c r="AQ76" s="47">
        <v>0</v>
      </c>
      <c r="AR76" s="47">
        <v>0</v>
      </c>
      <c r="AS76" s="47">
        <v>0</v>
      </c>
      <c r="AT76" s="47">
        <v>0</v>
      </c>
      <c r="AU76" s="47">
        <v>0</v>
      </c>
      <c r="AV76" s="47">
        <v>0</v>
      </c>
      <c r="AW76" s="47">
        <v>0</v>
      </c>
      <c r="AX76" s="47">
        <v>0</v>
      </c>
      <c r="AY76" s="47">
        <v>0</v>
      </c>
      <c r="AZ76" s="47">
        <v>0</v>
      </c>
      <c r="BA76" s="47">
        <v>0</v>
      </c>
      <c r="BB76" s="47">
        <v>0</v>
      </c>
      <c r="BC76" s="47">
        <v>0</v>
      </c>
      <c r="BD76" s="47">
        <v>0</v>
      </c>
      <c r="BE76" s="47">
        <v>0</v>
      </c>
      <c r="BF76" s="47">
        <v>0</v>
      </c>
      <c r="BG76" s="47">
        <v>0</v>
      </c>
      <c r="BH76" s="47">
        <v>0</v>
      </c>
      <c r="BI76" s="47">
        <v>0</v>
      </c>
      <c r="BJ76" s="47">
        <v>0</v>
      </c>
      <c r="BK76" s="47">
        <v>0</v>
      </c>
      <c r="BL76" s="47">
        <v>0</v>
      </c>
      <c r="BM76" s="47">
        <v>0</v>
      </c>
      <c r="BN76" s="47">
        <v>0</v>
      </c>
      <c r="BO76" s="47">
        <v>0</v>
      </c>
      <c r="BP76" s="47">
        <v>0</v>
      </c>
      <c r="BQ76" s="47">
        <v>0</v>
      </c>
      <c r="BR76" s="47">
        <v>0</v>
      </c>
      <c r="BS76" s="47">
        <v>0</v>
      </c>
      <c r="BT76" s="47">
        <v>0</v>
      </c>
      <c r="BU76" s="47">
        <v>0</v>
      </c>
      <c r="BV76" s="47">
        <v>0</v>
      </c>
      <c r="BW76" s="47">
        <v>0</v>
      </c>
      <c r="BX76" s="47">
        <v>0</v>
      </c>
      <c r="BY76" s="47">
        <v>0</v>
      </c>
      <c r="BZ76" s="47">
        <v>0</v>
      </c>
      <c r="CA76" s="47">
        <v>0</v>
      </c>
      <c r="CB76" s="47">
        <v>0</v>
      </c>
      <c r="CC76" s="47">
        <v>0</v>
      </c>
      <c r="CD76" s="47">
        <v>0</v>
      </c>
      <c r="CE76" s="47">
        <v>0</v>
      </c>
      <c r="CF76" s="47">
        <v>0</v>
      </c>
      <c r="CG76" s="47">
        <v>0</v>
      </c>
      <c r="CH76" s="47">
        <v>0</v>
      </c>
      <c r="CI76" s="47">
        <v>0</v>
      </c>
      <c r="CJ76" s="47">
        <v>0</v>
      </c>
      <c r="CK76" s="47">
        <v>0</v>
      </c>
      <c r="CL76" s="47">
        <v>0</v>
      </c>
      <c r="CM76" s="47">
        <v>0</v>
      </c>
      <c r="CN76" s="47">
        <v>0</v>
      </c>
      <c r="CO76" s="47">
        <v>0</v>
      </c>
      <c r="CP76" s="47">
        <v>0</v>
      </c>
      <c r="CQ76" s="47">
        <v>0</v>
      </c>
      <c r="CR76" s="47">
        <v>0</v>
      </c>
      <c r="CS76" s="47">
        <v>0</v>
      </c>
      <c r="CT76" s="47">
        <v>0</v>
      </c>
      <c r="CU76" s="47">
        <v>0</v>
      </c>
      <c r="CV76" s="47">
        <v>0</v>
      </c>
      <c r="CW76" s="47">
        <v>0</v>
      </c>
      <c r="CX76" s="47">
        <v>0</v>
      </c>
      <c r="CY76" s="47">
        <v>0</v>
      </c>
      <c r="CZ76" s="47">
        <v>0</v>
      </c>
      <c r="DA76" s="47">
        <v>0</v>
      </c>
      <c r="DB76" s="47">
        <v>0</v>
      </c>
      <c r="DC76" s="47">
        <v>0</v>
      </c>
      <c r="DD76" s="47">
        <v>0</v>
      </c>
      <c r="DE76" s="47">
        <v>0</v>
      </c>
      <c r="DF76" s="47">
        <v>0</v>
      </c>
      <c r="DG76" s="47">
        <v>0</v>
      </c>
      <c r="DH76" s="47">
        <v>0</v>
      </c>
      <c r="DI76" s="47">
        <v>0</v>
      </c>
      <c r="DJ76" s="47">
        <v>0</v>
      </c>
      <c r="DK76" s="47">
        <v>0</v>
      </c>
      <c r="DL76" s="47">
        <v>0</v>
      </c>
      <c r="DM76" s="47">
        <v>0</v>
      </c>
      <c r="DN76" s="47">
        <v>0</v>
      </c>
      <c r="DO76" s="47">
        <v>0</v>
      </c>
      <c r="DP76" s="47">
        <v>0</v>
      </c>
      <c r="DQ76" s="47">
        <v>0</v>
      </c>
      <c r="DR76" s="47">
        <v>0</v>
      </c>
      <c r="DS76" s="47">
        <v>0</v>
      </c>
      <c r="DT76" s="47">
        <v>0</v>
      </c>
      <c r="DU76" s="47">
        <v>0</v>
      </c>
      <c r="DV76" s="47">
        <v>0</v>
      </c>
      <c r="DW76" s="47">
        <v>0</v>
      </c>
      <c r="DX76" s="47">
        <v>0</v>
      </c>
      <c r="DY76" s="47">
        <v>0</v>
      </c>
      <c r="DZ76" s="47"/>
      <c r="EA76" s="47">
        <v>1</v>
      </c>
      <c r="ZZ76" t="s">
        <v>1084</v>
      </c>
    </row>
    <row r="77" spans="1:702" x14ac:dyDescent="0.25">
      <c r="A77" s="47" t="s">
        <v>491</v>
      </c>
      <c r="B77" s="47" t="s">
        <v>151</v>
      </c>
      <c r="C77" s="47" t="s">
        <v>155</v>
      </c>
      <c r="D77" s="47" t="s">
        <v>1157</v>
      </c>
      <c r="E77" s="47" t="s">
        <v>492</v>
      </c>
      <c r="F77" s="47" t="s">
        <v>493</v>
      </c>
      <c r="G77" s="47" t="s">
        <v>494</v>
      </c>
      <c r="H77" s="47" t="s">
        <v>380</v>
      </c>
      <c r="I77" s="47" t="s">
        <v>421</v>
      </c>
      <c r="J77" s="47" t="str">
        <f>=IFERROR(VLOOKUP(H77&amp;I77,Table_Fonctions!A:G,6,FALSE),"")</f>
        <v>0</v>
      </c>
      <c r="K77" s="47" t="s">
        <v>1132</v>
      </c>
      <c r="L77" s="47" t="str">
        <f>=IFERROR(VLOOKUP(H77&amp;I77,Table_Fonctions!A:G,7,FALSE),K77)</f>
        <v/>
      </c>
      <c r="M77" s="47" t="str">
        <f>=IF(OR(LEFT(D77, 3)="TJ ", LEFT(D77, 4)="CPH "), "OUI", "NON")</f>
        <v/>
      </c>
      <c r="N77" s="47" t="s">
        <v>495</v>
      </c>
      <c r="O77" s="47"/>
      <c r="P77" s="47">
        <v>1</v>
      </c>
      <c r="Q77" s="47">
        <v>1</v>
      </c>
      <c r="R77" s="47">
        <v>0</v>
      </c>
      <c r="S77" s="47">
        <f>=ROUND(BQ77-(BR77+BS77),3)</f>
      </c>
      <c r="T77" s="47">
        <f>=ROUND(CK77-(CL77+CM77+CN77+CO77+CP77),3)</f>
      </c>
      <c r="U77" s="47">
        <v>0</v>
      </c>
      <c r="V77" s="47">
        <v>0</v>
      </c>
      <c r="W77" s="47">
        <v>0</v>
      </c>
      <c r="X77" s="47">
        <v>0</v>
      </c>
      <c r="Y77" s="47">
        <v>0</v>
      </c>
      <c r="Z77" s="47">
        <v>0</v>
      </c>
      <c r="AA77" s="47">
        <v>0</v>
      </c>
      <c r="AB77" s="47">
        <v>0</v>
      </c>
      <c r="AC77" s="47">
        <v>0</v>
      </c>
      <c r="AD77" s="47">
        <v>0</v>
      </c>
      <c r="AE77" s="47">
        <v>0</v>
      </c>
      <c r="AF77" s="47">
        <v>0</v>
      </c>
      <c r="AG77" s="47">
        <v>0</v>
      </c>
      <c r="AH77" s="47">
        <v>0</v>
      </c>
      <c r="AI77" s="47">
        <v>0</v>
      </c>
      <c r="AJ77" s="47">
        <v>0</v>
      </c>
      <c r="AK77" s="47">
        <v>0</v>
      </c>
      <c r="AL77" s="47">
        <v>0</v>
      </c>
      <c r="AM77" s="47">
        <v>0</v>
      </c>
      <c r="AN77" s="47">
        <v>0</v>
      </c>
      <c r="AO77" s="47">
        <v>0</v>
      </c>
      <c r="AP77" s="47">
        <v>0</v>
      </c>
      <c r="AQ77" s="47">
        <v>0</v>
      </c>
      <c r="AR77" s="47">
        <v>0</v>
      </c>
      <c r="AS77" s="47">
        <v>0</v>
      </c>
      <c r="AT77" s="47">
        <v>0</v>
      </c>
      <c r="AU77" s="47">
        <v>0</v>
      </c>
      <c r="AV77" s="47">
        <v>0</v>
      </c>
      <c r="AW77" s="47">
        <v>0</v>
      </c>
      <c r="AX77" s="47">
        <v>0</v>
      </c>
      <c r="AY77" s="47">
        <v>0</v>
      </c>
      <c r="AZ77" s="47">
        <v>0</v>
      </c>
      <c r="BA77" s="47">
        <v>0</v>
      </c>
      <c r="BB77" s="47">
        <v>0</v>
      </c>
      <c r="BC77" s="47">
        <v>0</v>
      </c>
      <c r="BD77" s="47">
        <v>0</v>
      </c>
      <c r="BE77" s="47">
        <v>0</v>
      </c>
      <c r="BF77" s="47">
        <v>0</v>
      </c>
      <c r="BG77" s="47">
        <v>0</v>
      </c>
      <c r="BH77" s="47">
        <v>0</v>
      </c>
      <c r="BI77" s="47">
        <v>0</v>
      </c>
      <c r="BJ77" s="47">
        <v>0</v>
      </c>
      <c r="BK77" s="47">
        <v>0</v>
      </c>
      <c r="BL77" s="47">
        <v>0</v>
      </c>
      <c r="BM77" s="47">
        <v>0</v>
      </c>
      <c r="BN77" s="47">
        <v>0</v>
      </c>
      <c r="BO77" s="47">
        <v>0</v>
      </c>
      <c r="BP77" s="47">
        <v>0</v>
      </c>
      <c r="BQ77" s="47">
        <v>0</v>
      </c>
      <c r="BR77" s="47">
        <v>0</v>
      </c>
      <c r="BS77" s="47">
        <v>0</v>
      </c>
      <c r="BT77" s="47">
        <v>0</v>
      </c>
      <c r="BU77" s="47">
        <v>0</v>
      </c>
      <c r="BV77" s="47">
        <v>0</v>
      </c>
      <c r="BW77" s="47">
        <v>0</v>
      </c>
      <c r="BX77" s="47">
        <v>0</v>
      </c>
      <c r="BY77" s="47">
        <v>0</v>
      </c>
      <c r="BZ77" s="47">
        <v>0</v>
      </c>
      <c r="CA77" s="47">
        <v>0</v>
      </c>
      <c r="CB77" s="47">
        <v>0</v>
      </c>
      <c r="CC77" s="47">
        <v>0</v>
      </c>
      <c r="CD77" s="47">
        <v>0</v>
      </c>
      <c r="CE77" s="47">
        <v>0</v>
      </c>
      <c r="CF77" s="47">
        <v>0</v>
      </c>
      <c r="CG77" s="47">
        <v>0</v>
      </c>
      <c r="CH77" s="47">
        <v>0</v>
      </c>
      <c r="CI77" s="47">
        <v>0</v>
      </c>
      <c r="CJ77" s="47">
        <v>0</v>
      </c>
      <c r="CK77" s="47">
        <v>0</v>
      </c>
      <c r="CL77" s="47">
        <v>0</v>
      </c>
      <c r="CM77" s="47">
        <v>0</v>
      </c>
      <c r="CN77" s="47">
        <v>0</v>
      </c>
      <c r="CO77" s="47">
        <v>0</v>
      </c>
      <c r="CP77" s="47">
        <v>0</v>
      </c>
      <c r="CQ77" s="47">
        <v>0</v>
      </c>
      <c r="CR77" s="47">
        <v>0</v>
      </c>
      <c r="CS77" s="47">
        <v>0</v>
      </c>
      <c r="CT77" s="47">
        <v>0</v>
      </c>
      <c r="CU77" s="47">
        <v>0</v>
      </c>
      <c r="CV77" s="47">
        <v>0</v>
      </c>
      <c r="CW77" s="47">
        <v>0</v>
      </c>
      <c r="CX77" s="47">
        <v>0</v>
      </c>
      <c r="CY77" s="47">
        <v>1</v>
      </c>
      <c r="CZ77" s="47">
        <v>0.871</v>
      </c>
      <c r="DA77" s="47">
        <v>0.022</v>
      </c>
      <c r="DB77" s="47">
        <v>0.057</v>
      </c>
      <c r="DC77" s="47">
        <v>0</v>
      </c>
      <c r="DD77" s="47">
        <v>0</v>
      </c>
      <c r="DE77" s="47">
        <v>0</v>
      </c>
      <c r="DF77" s="47">
        <v>0</v>
      </c>
      <c r="DG77" s="47">
        <v>0.05</v>
      </c>
      <c r="DH77" s="47">
        <v>0</v>
      </c>
      <c r="DI77" s="47">
        <v>0</v>
      </c>
      <c r="DJ77" s="47">
        <v>0</v>
      </c>
      <c r="DK77" s="47">
        <v>0</v>
      </c>
      <c r="DL77" s="47">
        <v>0</v>
      </c>
      <c r="DM77" s="47">
        <v>0</v>
      </c>
      <c r="DN77" s="47">
        <v>0</v>
      </c>
      <c r="DO77" s="47">
        <v>0</v>
      </c>
      <c r="DP77" s="47">
        <v>0</v>
      </c>
      <c r="DQ77" s="47">
        <v>0</v>
      </c>
      <c r="DR77" s="47">
        <v>0</v>
      </c>
      <c r="DS77" s="47">
        <v>0</v>
      </c>
      <c r="DT77" s="47">
        <v>0</v>
      </c>
      <c r="DU77" s="47">
        <v>0</v>
      </c>
      <c r="DV77" s="47">
        <v>0</v>
      </c>
      <c r="DW77" s="47">
        <v>0</v>
      </c>
      <c r="DX77" s="47">
        <v>0</v>
      </c>
      <c r="DY77" s="47">
        <v>0</v>
      </c>
      <c r="DZ77" s="47"/>
      <c r="EA77" s="47">
        <v>1</v>
      </c>
      <c r="ZZ77" t="s">
        <v>1084</v>
      </c>
    </row>
    <row r="78" spans="1:702" x14ac:dyDescent="0.25">
      <c r="A78" s="47" t="s">
        <v>496</v>
      </c>
      <c r="B78" s="47" t="s">
        <v>151</v>
      </c>
      <c r="C78" s="47" t="s">
        <v>155</v>
      </c>
      <c r="D78" s="47" t="s">
        <v>1158</v>
      </c>
      <c r="E78" s="47" t="s">
        <v>497</v>
      </c>
      <c r="F78" s="47" t="s">
        <v>498</v>
      </c>
      <c r="G78" s="47" t="s">
        <v>499</v>
      </c>
      <c r="H78" s="47" t="s">
        <v>380</v>
      </c>
      <c r="I78" s="47" t="s">
        <v>411</v>
      </c>
      <c r="J78" s="47" t="str">
        <f>=IFERROR(VLOOKUP(H78&amp;I78,Table_Fonctions!A:G,6,FALSE),"")</f>
        <v>0</v>
      </c>
      <c r="K78" s="47" t="s">
        <v>1132</v>
      </c>
      <c r="L78" s="47" t="str">
        <f>=IFERROR(VLOOKUP(H78&amp;I78,Table_Fonctions!A:G,7,FALSE),K78)</f>
        <v/>
      </c>
      <c r="M78" s="47" t="str">
        <f>=IF(OR(LEFT(D78, 3)="TJ ", LEFT(D78, 4)="CPH "), "OUI", "NON")</f>
        <v/>
      </c>
      <c r="N78" s="47" t="s">
        <v>500</v>
      </c>
      <c r="O78" s="47"/>
      <c r="P78" s="47">
        <v>0.5161</v>
      </c>
      <c r="Q78" s="47">
        <v>0.4839</v>
      </c>
      <c r="R78" s="47">
        <v>0.0323</v>
      </c>
      <c r="S78" s="47">
        <f>=ROUND(BQ78-(BR78+BS78),3)</f>
      </c>
      <c r="T78" s="47">
        <f>=ROUND(CK78-(CL78+CM78+CN78+CO78+CP78),3)</f>
      </c>
      <c r="U78" s="47">
        <v>0</v>
      </c>
      <c r="V78" s="47">
        <v>0</v>
      </c>
      <c r="W78" s="47">
        <v>0</v>
      </c>
      <c r="X78" s="47">
        <v>0</v>
      </c>
      <c r="Y78" s="47">
        <v>0</v>
      </c>
      <c r="Z78" s="47">
        <v>0</v>
      </c>
      <c r="AA78" s="47">
        <v>0</v>
      </c>
      <c r="AB78" s="47">
        <v>0</v>
      </c>
      <c r="AC78" s="47">
        <v>0</v>
      </c>
      <c r="AD78" s="47">
        <v>0</v>
      </c>
      <c r="AE78" s="47">
        <v>0</v>
      </c>
      <c r="AF78" s="47">
        <v>0</v>
      </c>
      <c r="AG78" s="47">
        <v>0</v>
      </c>
      <c r="AH78" s="47">
        <v>0</v>
      </c>
      <c r="AI78" s="47">
        <v>0</v>
      </c>
      <c r="AJ78" s="47">
        <v>0.4839</v>
      </c>
      <c r="AK78" s="47">
        <v>0</v>
      </c>
      <c r="AL78" s="47">
        <v>0</v>
      </c>
      <c r="AM78" s="47">
        <v>0</v>
      </c>
      <c r="AN78" s="47">
        <v>0</v>
      </c>
      <c r="AO78" s="47">
        <v>0.4839</v>
      </c>
      <c r="AP78" s="47">
        <v>0</v>
      </c>
      <c r="AQ78" s="47">
        <v>0</v>
      </c>
      <c r="AR78" s="47">
        <v>0</v>
      </c>
      <c r="AS78" s="47">
        <v>0</v>
      </c>
      <c r="AT78" s="47">
        <v>0</v>
      </c>
      <c r="AU78" s="47">
        <v>0</v>
      </c>
      <c r="AV78" s="47">
        <v>0</v>
      </c>
      <c r="AW78" s="47">
        <v>0</v>
      </c>
      <c r="AX78" s="47">
        <v>0</v>
      </c>
      <c r="AY78" s="47">
        <v>0</v>
      </c>
      <c r="AZ78" s="47">
        <v>0</v>
      </c>
      <c r="BA78" s="47">
        <v>0</v>
      </c>
      <c r="BB78" s="47">
        <v>0</v>
      </c>
      <c r="BC78" s="47">
        <v>0</v>
      </c>
      <c r="BD78" s="47">
        <v>0</v>
      </c>
      <c r="BE78" s="47">
        <v>0</v>
      </c>
      <c r="BF78" s="47">
        <v>0</v>
      </c>
      <c r="BG78" s="47">
        <v>0</v>
      </c>
      <c r="BH78" s="47">
        <v>0</v>
      </c>
      <c r="BI78" s="47">
        <v>0</v>
      </c>
      <c r="BJ78" s="47">
        <v>0</v>
      </c>
      <c r="BK78" s="47">
        <v>0</v>
      </c>
      <c r="BL78" s="47">
        <v>0</v>
      </c>
      <c r="BM78" s="47">
        <v>0</v>
      </c>
      <c r="BN78" s="47">
        <v>0</v>
      </c>
      <c r="BO78" s="47">
        <v>0</v>
      </c>
      <c r="BP78" s="47">
        <v>0</v>
      </c>
      <c r="BQ78" s="47">
        <v>0</v>
      </c>
      <c r="BR78" s="47">
        <v>0</v>
      </c>
      <c r="BS78" s="47">
        <v>0</v>
      </c>
      <c r="BT78" s="47">
        <v>0</v>
      </c>
      <c r="BU78" s="47">
        <v>0</v>
      </c>
      <c r="BV78" s="47">
        <v>0</v>
      </c>
      <c r="BW78" s="47">
        <v>0</v>
      </c>
      <c r="BX78" s="47">
        <v>0</v>
      </c>
      <c r="BY78" s="47">
        <v>0</v>
      </c>
      <c r="BZ78" s="47">
        <v>0</v>
      </c>
      <c r="CA78" s="47">
        <v>0</v>
      </c>
      <c r="CB78" s="47">
        <v>0</v>
      </c>
      <c r="CC78" s="47">
        <v>0</v>
      </c>
      <c r="CD78" s="47">
        <v>0</v>
      </c>
      <c r="CE78" s="47">
        <v>0</v>
      </c>
      <c r="CF78" s="47">
        <v>0</v>
      </c>
      <c r="CG78" s="47">
        <v>0</v>
      </c>
      <c r="CH78" s="47">
        <v>0</v>
      </c>
      <c r="CI78" s="47">
        <v>0</v>
      </c>
      <c r="CJ78" s="47">
        <v>0</v>
      </c>
      <c r="CK78" s="47">
        <v>0</v>
      </c>
      <c r="CL78" s="47">
        <v>0</v>
      </c>
      <c r="CM78" s="47">
        <v>0</v>
      </c>
      <c r="CN78" s="47">
        <v>0</v>
      </c>
      <c r="CO78" s="47">
        <v>0</v>
      </c>
      <c r="CP78" s="47">
        <v>0</v>
      </c>
      <c r="CQ78" s="47">
        <v>0</v>
      </c>
      <c r="CR78" s="47">
        <v>0</v>
      </c>
      <c r="CS78" s="47">
        <v>0</v>
      </c>
      <c r="CT78" s="47">
        <v>0</v>
      </c>
      <c r="CU78" s="47">
        <v>0</v>
      </c>
      <c r="CV78" s="47">
        <v>0</v>
      </c>
      <c r="CW78" s="47">
        <v>0</v>
      </c>
      <c r="CX78" s="47">
        <v>0</v>
      </c>
      <c r="CY78" s="47">
        <v>0</v>
      </c>
      <c r="CZ78" s="47">
        <v>0</v>
      </c>
      <c r="DA78" s="47">
        <v>0</v>
      </c>
      <c r="DB78" s="47">
        <v>0</v>
      </c>
      <c r="DC78" s="47">
        <v>0</v>
      </c>
      <c r="DD78" s="47">
        <v>0</v>
      </c>
      <c r="DE78" s="47">
        <v>0</v>
      </c>
      <c r="DF78" s="47">
        <v>0</v>
      </c>
      <c r="DG78" s="47">
        <v>0</v>
      </c>
      <c r="DH78" s="47">
        <v>0</v>
      </c>
      <c r="DI78" s="47">
        <v>0</v>
      </c>
      <c r="DJ78" s="47">
        <v>0</v>
      </c>
      <c r="DK78" s="47">
        <v>0</v>
      </c>
      <c r="DL78" s="47">
        <v>0</v>
      </c>
      <c r="DM78" s="47">
        <v>0</v>
      </c>
      <c r="DN78" s="47">
        <v>0</v>
      </c>
      <c r="DO78" s="47">
        <v>0</v>
      </c>
      <c r="DP78" s="47">
        <v>0</v>
      </c>
      <c r="DQ78" s="47">
        <v>0</v>
      </c>
      <c r="DR78" s="47">
        <v>0</v>
      </c>
      <c r="DS78" s="47">
        <v>0</v>
      </c>
      <c r="DT78" s="47">
        <v>0</v>
      </c>
      <c r="DU78" s="47">
        <v>0</v>
      </c>
      <c r="DV78" s="47">
        <v>0</v>
      </c>
      <c r="DW78" s="47">
        <v>0</v>
      </c>
      <c r="DX78" s="47">
        <v>0</v>
      </c>
      <c r="DY78" s="47">
        <v>0</v>
      </c>
      <c r="DZ78" s="47"/>
      <c r="EA78" s="47">
        <v>0.5161</v>
      </c>
      <c r="ZZ78" t="s">
        <v>1084</v>
      </c>
    </row>
    <row r="79" spans="1:702" x14ac:dyDescent="0.25">
      <c r="A79" s="47" t="s">
        <v>501</v>
      </c>
      <c r="B79" s="47" t="s">
        <v>151</v>
      </c>
      <c r="C79" s="47" t="s">
        <v>155</v>
      </c>
      <c r="D79" s="47" t="s">
        <v>1159</v>
      </c>
      <c r="E79" s="47" t="s">
        <v>502</v>
      </c>
      <c r="F79" s="47" t="s">
        <v>503</v>
      </c>
      <c r="G79" s="47" t="s">
        <v>504</v>
      </c>
      <c r="H79" s="47" t="s">
        <v>380</v>
      </c>
      <c r="I79" s="47" t="s">
        <v>381</v>
      </c>
      <c r="J79" s="47" t="str">
        <f>=IFERROR(VLOOKUP(H79&amp;I79,Table_Fonctions!A:G,6,FALSE),"")</f>
        <v>0</v>
      </c>
      <c r="K79" s="47" t="s">
        <v>1132</v>
      </c>
      <c r="L79" s="47" t="str">
        <f>=IFERROR(VLOOKUP(H79&amp;I79,Table_Fonctions!A:G,7,FALSE),K79)</f>
        <v/>
      </c>
      <c r="M79" s="47" t="str">
        <f>=IF(OR(LEFT(D79, 3)="TJ ", LEFT(D79, 4)="CPH "), "OUI", "NON")</f>
        <v/>
      </c>
      <c r="N79" s="47" t="s">
        <v>505</v>
      </c>
      <c r="O79" s="47"/>
      <c r="P79" s="47">
        <v>1</v>
      </c>
      <c r="Q79" s="47">
        <v>0.0005</v>
      </c>
      <c r="R79" s="47">
        <v>0.9995</v>
      </c>
      <c r="S79" s="47">
        <f>=ROUND(BQ79-(BR79+BS79),3)</f>
      </c>
      <c r="T79" s="47">
        <f>=ROUND(CK79-(CL79+CM79+CN79+CO79+CP79),3)</f>
      </c>
      <c r="U79" s="47">
        <v>0</v>
      </c>
      <c r="V79" s="47">
        <v>0</v>
      </c>
      <c r="W79" s="47">
        <v>0</v>
      </c>
      <c r="X79" s="47">
        <v>0</v>
      </c>
      <c r="Y79" s="47">
        <v>0</v>
      </c>
      <c r="Z79" s="47">
        <v>0</v>
      </c>
      <c r="AA79" s="47">
        <v>0</v>
      </c>
      <c r="AB79" s="47">
        <v>0</v>
      </c>
      <c r="AC79" s="47">
        <v>0</v>
      </c>
      <c r="AD79" s="47">
        <v>0</v>
      </c>
      <c r="AE79" s="47">
        <v>0</v>
      </c>
      <c r="AF79" s="47">
        <v>0</v>
      </c>
      <c r="AG79" s="47">
        <v>0</v>
      </c>
      <c r="AH79" s="47">
        <v>0</v>
      </c>
      <c r="AI79" s="47">
        <v>0</v>
      </c>
      <c r="AJ79" s="47">
        <v>0</v>
      </c>
      <c r="AK79" s="47">
        <v>0</v>
      </c>
      <c r="AL79" s="47">
        <v>0</v>
      </c>
      <c r="AM79" s="47">
        <v>0</v>
      </c>
      <c r="AN79" s="47">
        <v>0</v>
      </c>
      <c r="AO79" s="47">
        <v>0</v>
      </c>
      <c r="AP79" s="47">
        <v>0</v>
      </c>
      <c r="AQ79" s="47">
        <v>0</v>
      </c>
      <c r="AR79" s="47">
        <v>0</v>
      </c>
      <c r="AS79" s="47">
        <v>0</v>
      </c>
      <c r="AT79" s="47">
        <v>0</v>
      </c>
      <c r="AU79" s="47">
        <v>0</v>
      </c>
      <c r="AV79" s="47">
        <v>0</v>
      </c>
      <c r="AW79" s="47">
        <v>0</v>
      </c>
      <c r="AX79" s="47">
        <v>0</v>
      </c>
      <c r="AY79" s="47">
        <v>0</v>
      </c>
      <c r="AZ79" s="47">
        <v>0</v>
      </c>
      <c r="BA79" s="47">
        <v>0</v>
      </c>
      <c r="BB79" s="47">
        <v>0</v>
      </c>
      <c r="BC79" s="47">
        <v>0</v>
      </c>
      <c r="BD79" s="47">
        <v>0</v>
      </c>
      <c r="BE79" s="47">
        <v>0</v>
      </c>
      <c r="BF79" s="47">
        <v>0</v>
      </c>
      <c r="BG79" s="47">
        <v>0</v>
      </c>
      <c r="BH79" s="47">
        <v>0</v>
      </c>
      <c r="BI79" s="47">
        <v>0</v>
      </c>
      <c r="BJ79" s="47">
        <v>0</v>
      </c>
      <c r="BK79" s="47">
        <v>0</v>
      </c>
      <c r="BL79" s="47">
        <v>0</v>
      </c>
      <c r="BM79" s="47">
        <v>0</v>
      </c>
      <c r="BN79" s="47">
        <v>0</v>
      </c>
      <c r="BO79" s="47">
        <v>0</v>
      </c>
      <c r="BP79" s="47">
        <v>0</v>
      </c>
      <c r="BQ79" s="47">
        <v>0</v>
      </c>
      <c r="BR79" s="47">
        <v>0</v>
      </c>
      <c r="BS79" s="47">
        <v>0</v>
      </c>
      <c r="BT79" s="47">
        <v>0</v>
      </c>
      <c r="BU79" s="47">
        <v>0</v>
      </c>
      <c r="BV79" s="47">
        <v>0</v>
      </c>
      <c r="BW79" s="47">
        <v>0</v>
      </c>
      <c r="BX79" s="47">
        <v>0</v>
      </c>
      <c r="BY79" s="47">
        <v>0</v>
      </c>
      <c r="BZ79" s="47">
        <v>0</v>
      </c>
      <c r="CA79" s="47">
        <v>0</v>
      </c>
      <c r="CB79" s="47">
        <v>0</v>
      </c>
      <c r="CC79" s="47">
        <v>0</v>
      </c>
      <c r="CD79" s="47">
        <v>0</v>
      </c>
      <c r="CE79" s="47">
        <v>0</v>
      </c>
      <c r="CF79" s="47">
        <v>0</v>
      </c>
      <c r="CG79" s="47">
        <v>0</v>
      </c>
      <c r="CH79" s="47">
        <v>0</v>
      </c>
      <c r="CI79" s="47">
        <v>0</v>
      </c>
      <c r="CJ79" s="47">
        <v>0</v>
      </c>
      <c r="CK79" s="47">
        <v>0</v>
      </c>
      <c r="CL79" s="47">
        <v>0</v>
      </c>
      <c r="CM79" s="47">
        <v>0</v>
      </c>
      <c r="CN79" s="47">
        <v>0</v>
      </c>
      <c r="CO79" s="47">
        <v>0</v>
      </c>
      <c r="CP79" s="47">
        <v>0</v>
      </c>
      <c r="CQ79" s="47">
        <v>0</v>
      </c>
      <c r="CR79" s="47">
        <v>0</v>
      </c>
      <c r="CS79" s="47">
        <v>0</v>
      </c>
      <c r="CT79" s="47">
        <v>0</v>
      </c>
      <c r="CU79" s="47">
        <v>0</v>
      </c>
      <c r="CV79" s="47">
        <v>0</v>
      </c>
      <c r="CW79" s="47">
        <v>0</v>
      </c>
      <c r="CX79" s="47">
        <v>0</v>
      </c>
      <c r="CY79" s="47">
        <v>0.0005</v>
      </c>
      <c r="CZ79" s="47">
        <v>0</v>
      </c>
      <c r="DA79" s="47">
        <v>0.0003</v>
      </c>
      <c r="DB79" s="47">
        <v>0</v>
      </c>
      <c r="DC79" s="47">
        <v>0</v>
      </c>
      <c r="DD79" s="47">
        <v>0</v>
      </c>
      <c r="DE79" s="47">
        <v>0.0002</v>
      </c>
      <c r="DF79" s="47">
        <v>0</v>
      </c>
      <c r="DG79" s="47">
        <v>0</v>
      </c>
      <c r="DH79" s="47">
        <v>0</v>
      </c>
      <c r="DI79" s="47">
        <v>0</v>
      </c>
      <c r="DJ79" s="47">
        <v>0</v>
      </c>
      <c r="DK79" s="47">
        <v>0</v>
      </c>
      <c r="DL79" s="47">
        <v>0</v>
      </c>
      <c r="DM79" s="47">
        <v>0</v>
      </c>
      <c r="DN79" s="47">
        <v>0</v>
      </c>
      <c r="DO79" s="47">
        <v>0</v>
      </c>
      <c r="DP79" s="47">
        <v>0</v>
      </c>
      <c r="DQ79" s="47">
        <v>0</v>
      </c>
      <c r="DR79" s="47">
        <v>0</v>
      </c>
      <c r="DS79" s="47">
        <v>0</v>
      </c>
      <c r="DT79" s="47">
        <v>0</v>
      </c>
      <c r="DU79" s="47">
        <v>0</v>
      </c>
      <c r="DV79" s="47">
        <v>0</v>
      </c>
      <c r="DW79" s="47">
        <v>0</v>
      </c>
      <c r="DX79" s="47">
        <v>0</v>
      </c>
      <c r="DY79" s="47">
        <v>0</v>
      </c>
      <c r="DZ79" s="47"/>
      <c r="EA79" s="47">
        <v>1</v>
      </c>
      <c r="ZZ79" t="s">
        <v>1084</v>
      </c>
    </row>
    <row r="80" spans="1:702" x14ac:dyDescent="0.25">
      <c r="A80" s="47" t="s">
        <v>506</v>
      </c>
      <c r="B80" s="47" t="s">
        <v>151</v>
      </c>
      <c r="C80" s="47" t="s">
        <v>155</v>
      </c>
      <c r="D80" s="47" t="s">
        <v>1160</v>
      </c>
      <c r="E80" s="47" t="s">
        <v>507</v>
      </c>
      <c r="F80" s="47" t="s">
        <v>508</v>
      </c>
      <c r="G80" s="47" t="s">
        <v>509</v>
      </c>
      <c r="H80" s="47" t="s">
        <v>380</v>
      </c>
      <c r="I80" s="47" t="s">
        <v>510</v>
      </c>
      <c r="J80" s="47" t="str">
        <f>=IFERROR(VLOOKUP(H80&amp;I80,Table_Fonctions!A:G,6,FALSE),"")</f>
        <v>0</v>
      </c>
      <c r="K80" s="47" t="s">
        <v>1136</v>
      </c>
      <c r="L80" s="47" t="str">
        <f>=IFERROR(VLOOKUP(H80&amp;I80,Table_Fonctions!A:G,7,FALSE),K80)</f>
        <v/>
      </c>
      <c r="M80" s="47" t="str">
        <f>=IF(OR(LEFT(D80, 3)="TJ ", LEFT(D80, 4)="CPH "), "OUI", "NON")</f>
        <v/>
      </c>
      <c r="N80" s="47" t="s">
        <v>511</v>
      </c>
      <c r="O80" s="47"/>
      <c r="P80" s="47">
        <v>1</v>
      </c>
      <c r="Q80" s="47">
        <v>1</v>
      </c>
      <c r="R80" s="47">
        <v>0</v>
      </c>
      <c r="S80" s="47">
        <f>=ROUND(BQ80-(BR80+BS80),3)</f>
      </c>
      <c r="T80" s="47">
        <f>=ROUND(CK80-(CL80+CM80+CN80+CO80+CP80),3)</f>
      </c>
      <c r="U80" s="47">
        <v>0</v>
      </c>
      <c r="V80" s="47">
        <v>0</v>
      </c>
      <c r="W80" s="47">
        <v>0</v>
      </c>
      <c r="X80" s="47">
        <v>0</v>
      </c>
      <c r="Y80" s="47">
        <v>0</v>
      </c>
      <c r="Z80" s="47">
        <v>0</v>
      </c>
      <c r="AA80" s="47">
        <v>0</v>
      </c>
      <c r="AB80" s="47">
        <v>0</v>
      </c>
      <c r="AC80" s="47">
        <v>0</v>
      </c>
      <c r="AD80" s="47">
        <v>0</v>
      </c>
      <c r="AE80" s="47">
        <v>0</v>
      </c>
      <c r="AF80" s="47">
        <v>0</v>
      </c>
      <c r="AG80" s="47">
        <v>0</v>
      </c>
      <c r="AH80" s="47">
        <v>0</v>
      </c>
      <c r="AI80" s="47">
        <v>0</v>
      </c>
      <c r="AJ80" s="47">
        <v>0</v>
      </c>
      <c r="AK80" s="47">
        <v>0</v>
      </c>
      <c r="AL80" s="47">
        <v>0</v>
      </c>
      <c r="AM80" s="47">
        <v>0</v>
      </c>
      <c r="AN80" s="47">
        <v>0</v>
      </c>
      <c r="AO80" s="47">
        <v>0</v>
      </c>
      <c r="AP80" s="47">
        <v>0</v>
      </c>
      <c r="AQ80" s="47">
        <v>0</v>
      </c>
      <c r="AR80" s="47">
        <v>0</v>
      </c>
      <c r="AS80" s="47">
        <v>0</v>
      </c>
      <c r="AT80" s="47">
        <v>0</v>
      </c>
      <c r="AU80" s="47">
        <v>0</v>
      </c>
      <c r="AV80" s="47">
        <v>0</v>
      </c>
      <c r="AW80" s="47">
        <v>0</v>
      </c>
      <c r="AX80" s="47">
        <v>0</v>
      </c>
      <c r="AY80" s="47">
        <v>0</v>
      </c>
      <c r="AZ80" s="47">
        <v>0</v>
      </c>
      <c r="BA80" s="47">
        <v>0</v>
      </c>
      <c r="BB80" s="47">
        <v>0</v>
      </c>
      <c r="BC80" s="47">
        <v>0</v>
      </c>
      <c r="BD80" s="47">
        <v>0</v>
      </c>
      <c r="BE80" s="47">
        <v>0</v>
      </c>
      <c r="BF80" s="47">
        <v>0</v>
      </c>
      <c r="BG80" s="47">
        <v>0</v>
      </c>
      <c r="BH80" s="47">
        <v>0</v>
      </c>
      <c r="BI80" s="47">
        <v>0</v>
      </c>
      <c r="BJ80" s="47">
        <v>0</v>
      </c>
      <c r="BK80" s="47">
        <v>0</v>
      </c>
      <c r="BL80" s="47">
        <v>0</v>
      </c>
      <c r="BM80" s="47">
        <v>0</v>
      </c>
      <c r="BN80" s="47">
        <v>0</v>
      </c>
      <c r="BO80" s="47">
        <v>0</v>
      </c>
      <c r="BP80" s="47">
        <v>0</v>
      </c>
      <c r="BQ80" s="47">
        <v>0</v>
      </c>
      <c r="BR80" s="47">
        <v>0</v>
      </c>
      <c r="BS80" s="47">
        <v>0</v>
      </c>
      <c r="BT80" s="47">
        <v>0</v>
      </c>
      <c r="BU80" s="47">
        <v>0</v>
      </c>
      <c r="BV80" s="47">
        <v>0</v>
      </c>
      <c r="BW80" s="47">
        <v>0</v>
      </c>
      <c r="BX80" s="47">
        <v>0</v>
      </c>
      <c r="BY80" s="47">
        <v>0</v>
      </c>
      <c r="BZ80" s="47">
        <v>0</v>
      </c>
      <c r="CA80" s="47">
        <v>0</v>
      </c>
      <c r="CB80" s="47">
        <v>0</v>
      </c>
      <c r="CC80" s="47">
        <v>0</v>
      </c>
      <c r="CD80" s="47">
        <v>0</v>
      </c>
      <c r="CE80" s="47">
        <v>0</v>
      </c>
      <c r="CF80" s="47">
        <v>0</v>
      </c>
      <c r="CG80" s="47">
        <v>0</v>
      </c>
      <c r="CH80" s="47">
        <v>0</v>
      </c>
      <c r="CI80" s="47">
        <v>0</v>
      </c>
      <c r="CJ80" s="47">
        <v>0</v>
      </c>
      <c r="CK80" s="47">
        <v>0</v>
      </c>
      <c r="CL80" s="47">
        <v>0</v>
      </c>
      <c r="CM80" s="47">
        <v>0</v>
      </c>
      <c r="CN80" s="47">
        <v>0</v>
      </c>
      <c r="CO80" s="47">
        <v>0</v>
      </c>
      <c r="CP80" s="47">
        <v>0</v>
      </c>
      <c r="CQ80" s="47">
        <v>0</v>
      </c>
      <c r="CR80" s="47">
        <v>0</v>
      </c>
      <c r="CS80" s="47">
        <v>0</v>
      </c>
      <c r="CT80" s="47">
        <v>0</v>
      </c>
      <c r="CU80" s="47">
        <v>0</v>
      </c>
      <c r="CV80" s="47">
        <v>0</v>
      </c>
      <c r="CW80" s="47">
        <v>0</v>
      </c>
      <c r="CX80" s="47">
        <v>0</v>
      </c>
      <c r="CY80" s="47">
        <v>1</v>
      </c>
      <c r="CZ80" s="47">
        <v>0</v>
      </c>
      <c r="DA80" s="47">
        <v>0</v>
      </c>
      <c r="DB80" s="47">
        <v>0</v>
      </c>
      <c r="DC80" s="47">
        <v>0</v>
      </c>
      <c r="DD80" s="47">
        <v>0</v>
      </c>
      <c r="DE80" s="47">
        <v>0</v>
      </c>
      <c r="DF80" s="47">
        <v>0</v>
      </c>
      <c r="DG80" s="47">
        <v>0</v>
      </c>
      <c r="DH80" s="47">
        <v>0</v>
      </c>
      <c r="DI80" s="47">
        <v>0.1</v>
      </c>
      <c r="DJ80" s="47">
        <v>0.9</v>
      </c>
      <c r="DK80" s="47">
        <v>0</v>
      </c>
      <c r="DL80" s="47">
        <v>0</v>
      </c>
      <c r="DM80" s="47">
        <v>0</v>
      </c>
      <c r="DN80" s="47">
        <v>0</v>
      </c>
      <c r="DO80" s="47">
        <v>0</v>
      </c>
      <c r="DP80" s="47">
        <v>0</v>
      </c>
      <c r="DQ80" s="47">
        <v>0</v>
      </c>
      <c r="DR80" s="47">
        <v>0</v>
      </c>
      <c r="DS80" s="47">
        <v>0</v>
      </c>
      <c r="DT80" s="47">
        <v>0</v>
      </c>
      <c r="DU80" s="47">
        <v>0.1815</v>
      </c>
      <c r="DV80" s="47">
        <v>0</v>
      </c>
      <c r="DW80" s="47">
        <v>0</v>
      </c>
      <c r="DX80" s="47">
        <v>0</v>
      </c>
      <c r="DY80" s="47">
        <v>0.1815</v>
      </c>
      <c r="DZ80" s="47"/>
      <c r="EA80" s="47">
        <v>1</v>
      </c>
      <c r="ZZ80" t="s">
        <v>1084</v>
      </c>
    </row>
    <row r="81" spans="1:702" x14ac:dyDescent="0.25">
      <c r="A81" s="47" t="s">
        <v>512</v>
      </c>
      <c r="B81" s="47" t="s">
        <v>151</v>
      </c>
      <c r="C81" s="47" t="s">
        <v>155</v>
      </c>
      <c r="D81" s="47" t="s">
        <v>1161</v>
      </c>
      <c r="E81" s="47" t="s">
        <v>513</v>
      </c>
      <c r="F81" s="47" t="s">
        <v>514</v>
      </c>
      <c r="G81" s="47" t="s">
        <v>515</v>
      </c>
      <c r="H81" s="47" t="s">
        <v>380</v>
      </c>
      <c r="I81" s="47" t="s">
        <v>411</v>
      </c>
      <c r="J81" s="47" t="str">
        <f>=IFERROR(VLOOKUP(H81&amp;I81,Table_Fonctions!A:G,6,FALSE),"")</f>
        <v>0</v>
      </c>
      <c r="K81" s="47" t="s">
        <v>1132</v>
      </c>
      <c r="L81" s="47" t="str">
        <f>=IFERROR(VLOOKUP(H81&amp;I81,Table_Fonctions!A:G,7,FALSE),K81)</f>
        <v/>
      </c>
      <c r="M81" s="47" t="str">
        <f>=IF(OR(LEFT(D81, 3)="TJ ", LEFT(D81, 4)="CPH "), "OUI", "NON")</f>
        <v/>
      </c>
      <c r="N81" s="47" t="s">
        <v>516</v>
      </c>
      <c r="O81" s="47"/>
      <c r="P81" s="47">
        <v>1</v>
      </c>
      <c r="Q81" s="47">
        <v>0</v>
      </c>
      <c r="R81" s="47">
        <v>1</v>
      </c>
      <c r="S81" s="47">
        <f>=ROUND(BQ81-(BR81+BS81),3)</f>
      </c>
      <c r="T81" s="47">
        <f>=ROUND(CK81-(CL81+CM81+CN81+CO81+CP81),3)</f>
      </c>
      <c r="U81" s="47">
        <v>0</v>
      </c>
      <c r="V81" s="47">
        <v>0</v>
      </c>
      <c r="W81" s="47">
        <v>0</v>
      </c>
      <c r="X81" s="47">
        <v>0</v>
      </c>
      <c r="Y81" s="47">
        <v>0</v>
      </c>
      <c r="Z81" s="47">
        <v>0</v>
      </c>
      <c r="AA81" s="47">
        <v>0</v>
      </c>
      <c r="AB81" s="47">
        <v>0</v>
      </c>
      <c r="AC81" s="47">
        <v>0</v>
      </c>
      <c r="AD81" s="47">
        <v>0</v>
      </c>
      <c r="AE81" s="47">
        <v>0</v>
      </c>
      <c r="AF81" s="47">
        <v>0</v>
      </c>
      <c r="AG81" s="47">
        <v>0</v>
      </c>
      <c r="AH81" s="47">
        <v>0</v>
      </c>
      <c r="AI81" s="47">
        <v>0</v>
      </c>
      <c r="AJ81" s="47">
        <v>0</v>
      </c>
      <c r="AK81" s="47">
        <v>0</v>
      </c>
      <c r="AL81" s="47">
        <v>0</v>
      </c>
      <c r="AM81" s="47">
        <v>0</v>
      </c>
      <c r="AN81" s="47">
        <v>0</v>
      </c>
      <c r="AO81" s="47">
        <v>0</v>
      </c>
      <c r="AP81" s="47">
        <v>0</v>
      </c>
      <c r="AQ81" s="47">
        <v>0</v>
      </c>
      <c r="AR81" s="47">
        <v>0</v>
      </c>
      <c r="AS81" s="47">
        <v>0</v>
      </c>
      <c r="AT81" s="47">
        <v>0</v>
      </c>
      <c r="AU81" s="47">
        <v>0</v>
      </c>
      <c r="AV81" s="47">
        <v>0</v>
      </c>
      <c r="AW81" s="47">
        <v>0</v>
      </c>
      <c r="AX81" s="47">
        <v>0</v>
      </c>
      <c r="AY81" s="47">
        <v>0</v>
      </c>
      <c r="AZ81" s="47">
        <v>0</v>
      </c>
      <c r="BA81" s="47">
        <v>0</v>
      </c>
      <c r="BB81" s="47">
        <v>0</v>
      </c>
      <c r="BC81" s="47">
        <v>0</v>
      </c>
      <c r="BD81" s="47">
        <v>0</v>
      </c>
      <c r="BE81" s="47">
        <v>0</v>
      </c>
      <c r="BF81" s="47">
        <v>0</v>
      </c>
      <c r="BG81" s="47">
        <v>0</v>
      </c>
      <c r="BH81" s="47">
        <v>0</v>
      </c>
      <c r="BI81" s="47">
        <v>0</v>
      </c>
      <c r="BJ81" s="47">
        <v>0</v>
      </c>
      <c r="BK81" s="47">
        <v>0</v>
      </c>
      <c r="BL81" s="47">
        <v>0</v>
      </c>
      <c r="BM81" s="47">
        <v>0</v>
      </c>
      <c r="BN81" s="47">
        <v>0</v>
      </c>
      <c r="BO81" s="47">
        <v>0</v>
      </c>
      <c r="BP81" s="47">
        <v>0</v>
      </c>
      <c r="BQ81" s="47">
        <v>0</v>
      </c>
      <c r="BR81" s="47">
        <v>0</v>
      </c>
      <c r="BS81" s="47">
        <v>0</v>
      </c>
      <c r="BT81" s="47">
        <v>0</v>
      </c>
      <c r="BU81" s="47">
        <v>0</v>
      </c>
      <c r="BV81" s="47">
        <v>0</v>
      </c>
      <c r="BW81" s="47">
        <v>0</v>
      </c>
      <c r="BX81" s="47">
        <v>0</v>
      </c>
      <c r="BY81" s="47">
        <v>0</v>
      </c>
      <c r="BZ81" s="47">
        <v>0</v>
      </c>
      <c r="CA81" s="47">
        <v>0</v>
      </c>
      <c r="CB81" s="47">
        <v>0</v>
      </c>
      <c r="CC81" s="47">
        <v>0</v>
      </c>
      <c r="CD81" s="47">
        <v>0</v>
      </c>
      <c r="CE81" s="47">
        <v>0</v>
      </c>
      <c r="CF81" s="47">
        <v>0</v>
      </c>
      <c r="CG81" s="47">
        <v>0</v>
      </c>
      <c r="CH81" s="47">
        <v>0</v>
      </c>
      <c r="CI81" s="47">
        <v>0</v>
      </c>
      <c r="CJ81" s="47">
        <v>0</v>
      </c>
      <c r="CK81" s="47">
        <v>0</v>
      </c>
      <c r="CL81" s="47">
        <v>0</v>
      </c>
      <c r="CM81" s="47">
        <v>0</v>
      </c>
      <c r="CN81" s="47">
        <v>0</v>
      </c>
      <c r="CO81" s="47">
        <v>0</v>
      </c>
      <c r="CP81" s="47">
        <v>0</v>
      </c>
      <c r="CQ81" s="47">
        <v>0</v>
      </c>
      <c r="CR81" s="47">
        <v>0</v>
      </c>
      <c r="CS81" s="47">
        <v>0</v>
      </c>
      <c r="CT81" s="47">
        <v>0</v>
      </c>
      <c r="CU81" s="47">
        <v>0</v>
      </c>
      <c r="CV81" s="47">
        <v>0</v>
      </c>
      <c r="CW81" s="47">
        <v>0</v>
      </c>
      <c r="CX81" s="47">
        <v>0</v>
      </c>
      <c r="CY81" s="47">
        <v>0</v>
      </c>
      <c r="CZ81" s="47">
        <v>0</v>
      </c>
      <c r="DA81" s="47">
        <v>0</v>
      </c>
      <c r="DB81" s="47">
        <v>0</v>
      </c>
      <c r="DC81" s="47">
        <v>0</v>
      </c>
      <c r="DD81" s="47">
        <v>0</v>
      </c>
      <c r="DE81" s="47">
        <v>0</v>
      </c>
      <c r="DF81" s="47">
        <v>0</v>
      </c>
      <c r="DG81" s="47">
        <v>0</v>
      </c>
      <c r="DH81" s="47">
        <v>0</v>
      </c>
      <c r="DI81" s="47">
        <v>0</v>
      </c>
      <c r="DJ81" s="47">
        <v>0</v>
      </c>
      <c r="DK81" s="47">
        <v>0</v>
      </c>
      <c r="DL81" s="47">
        <v>0</v>
      </c>
      <c r="DM81" s="47">
        <v>0</v>
      </c>
      <c r="DN81" s="47">
        <v>0</v>
      </c>
      <c r="DO81" s="47">
        <v>0</v>
      </c>
      <c r="DP81" s="47">
        <v>0</v>
      </c>
      <c r="DQ81" s="47">
        <v>0</v>
      </c>
      <c r="DR81" s="47">
        <v>0</v>
      </c>
      <c r="DS81" s="47">
        <v>0</v>
      </c>
      <c r="DT81" s="47">
        <v>0</v>
      </c>
      <c r="DU81" s="47">
        <v>0</v>
      </c>
      <c r="DV81" s="47">
        <v>0</v>
      </c>
      <c r="DW81" s="47">
        <v>0</v>
      </c>
      <c r="DX81" s="47">
        <v>0</v>
      </c>
      <c r="DY81" s="47">
        <v>0</v>
      </c>
      <c r="DZ81" s="47"/>
      <c r="EA81" s="47">
        <v>1</v>
      </c>
      <c r="ZZ81" t="s">
        <v>1084</v>
      </c>
    </row>
    <row r="82" spans="1:702" x14ac:dyDescent="0.25">
      <c r="A82" s="47" t="s">
        <v>517</v>
      </c>
      <c r="B82" s="47" t="s">
        <v>151</v>
      </c>
      <c r="C82" s="47" t="s">
        <v>155</v>
      </c>
      <c r="D82" s="47" t="s">
        <v>1162</v>
      </c>
      <c r="E82" s="47" t="s">
        <v>518</v>
      </c>
      <c r="F82" s="47" t="s">
        <v>519</v>
      </c>
      <c r="G82" s="47" t="s">
        <v>520</v>
      </c>
      <c r="H82" s="47" t="s">
        <v>380</v>
      </c>
      <c r="I82" s="47" t="s">
        <v>381</v>
      </c>
      <c r="J82" s="47" t="str">
        <f>=IFERROR(VLOOKUP(H82&amp;I82,Table_Fonctions!A:G,6,FALSE),"")</f>
        <v>0</v>
      </c>
      <c r="K82" s="47" t="s">
        <v>1132</v>
      </c>
      <c r="L82" s="47" t="str">
        <f>=IFERROR(VLOOKUP(H82&amp;I82,Table_Fonctions!A:G,7,FALSE),K82)</f>
        <v/>
      </c>
      <c r="M82" s="47" t="str">
        <f>=IF(OR(LEFT(D82, 3)="TJ ", LEFT(D82, 4)="CPH "), "OUI", "NON")</f>
        <v/>
      </c>
      <c r="N82" s="47" t="s">
        <v>521</v>
      </c>
      <c r="O82" s="47"/>
      <c r="P82" s="47">
        <v>1</v>
      </c>
      <c r="Q82" s="47">
        <v>0</v>
      </c>
      <c r="R82" s="47">
        <v>1</v>
      </c>
      <c r="S82" s="47">
        <f>=ROUND(BQ82-(BR82+BS82),3)</f>
      </c>
      <c r="T82" s="47">
        <f>=ROUND(CK82-(CL82+CM82+CN82+CO82+CP82),3)</f>
      </c>
      <c r="U82" s="47">
        <v>0</v>
      </c>
      <c r="V82" s="47">
        <v>0</v>
      </c>
      <c r="W82" s="47">
        <v>0</v>
      </c>
      <c r="X82" s="47">
        <v>0</v>
      </c>
      <c r="Y82" s="47">
        <v>0</v>
      </c>
      <c r="Z82" s="47">
        <v>0</v>
      </c>
      <c r="AA82" s="47">
        <v>0</v>
      </c>
      <c r="AB82" s="47">
        <v>0</v>
      </c>
      <c r="AC82" s="47">
        <v>0</v>
      </c>
      <c r="AD82" s="47">
        <v>0</v>
      </c>
      <c r="AE82" s="47">
        <v>0</v>
      </c>
      <c r="AF82" s="47">
        <v>0</v>
      </c>
      <c r="AG82" s="47">
        <v>0</v>
      </c>
      <c r="AH82" s="47">
        <v>0</v>
      </c>
      <c r="AI82" s="47">
        <v>0</v>
      </c>
      <c r="AJ82" s="47">
        <v>0</v>
      </c>
      <c r="AK82" s="47">
        <v>0</v>
      </c>
      <c r="AL82" s="47">
        <v>0</v>
      </c>
      <c r="AM82" s="47">
        <v>0</v>
      </c>
      <c r="AN82" s="47">
        <v>0</v>
      </c>
      <c r="AO82" s="47">
        <v>0</v>
      </c>
      <c r="AP82" s="47">
        <v>0</v>
      </c>
      <c r="AQ82" s="47">
        <v>0</v>
      </c>
      <c r="AR82" s="47">
        <v>0</v>
      </c>
      <c r="AS82" s="47">
        <v>0</v>
      </c>
      <c r="AT82" s="47">
        <v>0</v>
      </c>
      <c r="AU82" s="47">
        <v>0</v>
      </c>
      <c r="AV82" s="47">
        <v>0</v>
      </c>
      <c r="AW82" s="47">
        <v>0</v>
      </c>
      <c r="AX82" s="47">
        <v>0</v>
      </c>
      <c r="AY82" s="47">
        <v>0</v>
      </c>
      <c r="AZ82" s="47">
        <v>0</v>
      </c>
      <c r="BA82" s="47">
        <v>0</v>
      </c>
      <c r="BB82" s="47">
        <v>0</v>
      </c>
      <c r="BC82" s="47">
        <v>0</v>
      </c>
      <c r="BD82" s="47">
        <v>0</v>
      </c>
      <c r="BE82" s="47">
        <v>0</v>
      </c>
      <c r="BF82" s="47">
        <v>0</v>
      </c>
      <c r="BG82" s="47">
        <v>0</v>
      </c>
      <c r="BH82" s="47">
        <v>0</v>
      </c>
      <c r="BI82" s="47">
        <v>0</v>
      </c>
      <c r="BJ82" s="47">
        <v>0</v>
      </c>
      <c r="BK82" s="47">
        <v>0</v>
      </c>
      <c r="BL82" s="47">
        <v>0</v>
      </c>
      <c r="BM82" s="47">
        <v>0</v>
      </c>
      <c r="BN82" s="47">
        <v>0</v>
      </c>
      <c r="BO82" s="47">
        <v>0</v>
      </c>
      <c r="BP82" s="47">
        <v>0</v>
      </c>
      <c r="BQ82" s="47">
        <v>0</v>
      </c>
      <c r="BR82" s="47">
        <v>0</v>
      </c>
      <c r="BS82" s="47">
        <v>0</v>
      </c>
      <c r="BT82" s="47">
        <v>0</v>
      </c>
      <c r="BU82" s="47">
        <v>0</v>
      </c>
      <c r="BV82" s="47">
        <v>0</v>
      </c>
      <c r="BW82" s="47">
        <v>0</v>
      </c>
      <c r="BX82" s="47">
        <v>0</v>
      </c>
      <c r="BY82" s="47">
        <v>0</v>
      </c>
      <c r="BZ82" s="47">
        <v>0</v>
      </c>
      <c r="CA82" s="47">
        <v>0</v>
      </c>
      <c r="CB82" s="47">
        <v>0</v>
      </c>
      <c r="CC82" s="47">
        <v>0</v>
      </c>
      <c r="CD82" s="47">
        <v>0</v>
      </c>
      <c r="CE82" s="47">
        <v>0</v>
      </c>
      <c r="CF82" s="47">
        <v>0</v>
      </c>
      <c r="CG82" s="47">
        <v>0</v>
      </c>
      <c r="CH82" s="47">
        <v>0</v>
      </c>
      <c r="CI82" s="47">
        <v>0</v>
      </c>
      <c r="CJ82" s="47">
        <v>0</v>
      </c>
      <c r="CK82" s="47">
        <v>0</v>
      </c>
      <c r="CL82" s="47">
        <v>0</v>
      </c>
      <c r="CM82" s="47">
        <v>0</v>
      </c>
      <c r="CN82" s="47">
        <v>0</v>
      </c>
      <c r="CO82" s="47">
        <v>0</v>
      </c>
      <c r="CP82" s="47">
        <v>0</v>
      </c>
      <c r="CQ82" s="47">
        <v>0</v>
      </c>
      <c r="CR82" s="47">
        <v>0</v>
      </c>
      <c r="CS82" s="47">
        <v>0</v>
      </c>
      <c r="CT82" s="47">
        <v>0</v>
      </c>
      <c r="CU82" s="47">
        <v>0</v>
      </c>
      <c r="CV82" s="47">
        <v>0</v>
      </c>
      <c r="CW82" s="47">
        <v>0</v>
      </c>
      <c r="CX82" s="47">
        <v>0</v>
      </c>
      <c r="CY82" s="47">
        <v>0</v>
      </c>
      <c r="CZ82" s="47">
        <v>0</v>
      </c>
      <c r="DA82" s="47">
        <v>0</v>
      </c>
      <c r="DB82" s="47">
        <v>0</v>
      </c>
      <c r="DC82" s="47">
        <v>0</v>
      </c>
      <c r="DD82" s="47">
        <v>0</v>
      </c>
      <c r="DE82" s="47">
        <v>0</v>
      </c>
      <c r="DF82" s="47">
        <v>0</v>
      </c>
      <c r="DG82" s="47">
        <v>0</v>
      </c>
      <c r="DH82" s="47">
        <v>0</v>
      </c>
      <c r="DI82" s="47">
        <v>0</v>
      </c>
      <c r="DJ82" s="47">
        <v>0</v>
      </c>
      <c r="DK82" s="47">
        <v>0</v>
      </c>
      <c r="DL82" s="47">
        <v>0</v>
      </c>
      <c r="DM82" s="47">
        <v>0</v>
      </c>
      <c r="DN82" s="47">
        <v>0</v>
      </c>
      <c r="DO82" s="47">
        <v>0</v>
      </c>
      <c r="DP82" s="47">
        <v>0</v>
      </c>
      <c r="DQ82" s="47">
        <v>0</v>
      </c>
      <c r="DR82" s="47">
        <v>0</v>
      </c>
      <c r="DS82" s="47">
        <v>0</v>
      </c>
      <c r="DT82" s="47">
        <v>0</v>
      </c>
      <c r="DU82" s="47">
        <v>0</v>
      </c>
      <c r="DV82" s="47">
        <v>0</v>
      </c>
      <c r="DW82" s="47">
        <v>0</v>
      </c>
      <c r="DX82" s="47">
        <v>0</v>
      </c>
      <c r="DY82" s="47">
        <v>0</v>
      </c>
      <c r="DZ82" s="47"/>
      <c r="EA82" s="47">
        <v>1</v>
      </c>
      <c r="ZZ82" t="s">
        <v>1084</v>
      </c>
    </row>
    <row r="83" spans="1:702" x14ac:dyDescent="0.25">
      <c r="A83" s="47" t="s">
        <v>522</v>
      </c>
      <c r="B83" s="47" t="s">
        <v>151</v>
      </c>
      <c r="C83" s="47" t="s">
        <v>155</v>
      </c>
      <c r="D83" s="47" t="s">
        <v>1163</v>
      </c>
      <c r="E83" s="47" t="s">
        <v>523</v>
      </c>
      <c r="F83" s="47" t="s">
        <v>524</v>
      </c>
      <c r="G83" s="47" t="s">
        <v>525</v>
      </c>
      <c r="H83" s="47" t="s">
        <v>380</v>
      </c>
      <c r="I83" s="47" t="s">
        <v>526</v>
      </c>
      <c r="J83" s="47" t="str">
        <f>=IFERROR(VLOOKUP(H83&amp;I83,Table_Fonctions!A:G,6,FALSE),"")</f>
        <v>0</v>
      </c>
      <c r="K83" s="47" t="s">
        <v>1136</v>
      </c>
      <c r="L83" s="47" t="str">
        <f>=IFERROR(VLOOKUP(H83&amp;I83,Table_Fonctions!A:G,7,FALSE),K83)</f>
        <v/>
      </c>
      <c r="M83" s="47" t="str">
        <f>=IF(OR(LEFT(D83, 3)="TJ ", LEFT(D83, 4)="CPH "), "OUI", "NON")</f>
        <v/>
      </c>
      <c r="N83" s="47" t="s">
        <v>527</v>
      </c>
      <c r="O83" s="47" t="s">
        <v>528</v>
      </c>
      <c r="P83" s="47">
        <v>0.5242</v>
      </c>
      <c r="Q83" s="47">
        <v>0.5242</v>
      </c>
      <c r="R83" s="47">
        <v>0</v>
      </c>
      <c r="S83" s="47">
        <f>=ROUND(BQ83-(BR83+BS83),3)</f>
      </c>
      <c r="T83" s="47">
        <f>=ROUND(CK83-(CL83+CM83+CN83+CO83+CP83),3)</f>
      </c>
      <c r="U83" s="47">
        <v>0</v>
      </c>
      <c r="V83" s="47">
        <v>0</v>
      </c>
      <c r="W83" s="47">
        <v>0</v>
      </c>
      <c r="X83" s="47">
        <v>0</v>
      </c>
      <c r="Y83" s="47">
        <v>0</v>
      </c>
      <c r="Z83" s="47">
        <v>0.5242</v>
      </c>
      <c r="AA83" s="47">
        <v>0</v>
      </c>
      <c r="AB83" s="47">
        <v>0</v>
      </c>
      <c r="AC83" s="47">
        <v>0</v>
      </c>
      <c r="AD83" s="47">
        <v>0</v>
      </c>
      <c r="AE83" s="47">
        <v>0</v>
      </c>
      <c r="AF83" s="47">
        <v>0</v>
      </c>
      <c r="AG83" s="47">
        <v>0</v>
      </c>
      <c r="AH83" s="47">
        <v>0</v>
      </c>
      <c r="AI83" s="47">
        <v>0</v>
      </c>
      <c r="AJ83" s="47">
        <v>0</v>
      </c>
      <c r="AK83" s="47">
        <v>0</v>
      </c>
      <c r="AL83" s="47">
        <v>0</v>
      </c>
      <c r="AM83" s="47">
        <v>0</v>
      </c>
      <c r="AN83" s="47">
        <v>0</v>
      </c>
      <c r="AO83" s="47">
        <v>0</v>
      </c>
      <c r="AP83" s="47">
        <v>0</v>
      </c>
      <c r="AQ83" s="47">
        <v>0</v>
      </c>
      <c r="AR83" s="47">
        <v>0</v>
      </c>
      <c r="AS83" s="47">
        <v>0</v>
      </c>
      <c r="AT83" s="47">
        <v>0</v>
      </c>
      <c r="AU83" s="47">
        <v>0</v>
      </c>
      <c r="AV83" s="47">
        <v>0</v>
      </c>
      <c r="AW83" s="47">
        <v>0</v>
      </c>
      <c r="AX83" s="47">
        <v>0</v>
      </c>
      <c r="AY83" s="47">
        <v>0</v>
      </c>
      <c r="AZ83" s="47">
        <v>0</v>
      </c>
      <c r="BA83" s="47">
        <v>0</v>
      </c>
      <c r="BB83" s="47">
        <v>0</v>
      </c>
      <c r="BC83" s="47">
        <v>0</v>
      </c>
      <c r="BD83" s="47">
        <v>0</v>
      </c>
      <c r="BE83" s="47">
        <v>0</v>
      </c>
      <c r="BF83" s="47">
        <v>0</v>
      </c>
      <c r="BG83" s="47">
        <v>0</v>
      </c>
      <c r="BH83" s="47">
        <v>0</v>
      </c>
      <c r="BI83" s="47">
        <v>0</v>
      </c>
      <c r="BJ83" s="47">
        <v>0</v>
      </c>
      <c r="BK83" s="47">
        <v>0</v>
      </c>
      <c r="BL83" s="47">
        <v>0</v>
      </c>
      <c r="BM83" s="47">
        <v>0</v>
      </c>
      <c r="BN83" s="47">
        <v>0</v>
      </c>
      <c r="BO83" s="47">
        <v>0</v>
      </c>
      <c r="BP83" s="47">
        <v>0</v>
      </c>
      <c r="BQ83" s="47">
        <v>0</v>
      </c>
      <c r="BR83" s="47">
        <v>0</v>
      </c>
      <c r="BS83" s="47">
        <v>0</v>
      </c>
      <c r="BT83" s="47">
        <v>0</v>
      </c>
      <c r="BU83" s="47">
        <v>0</v>
      </c>
      <c r="BV83" s="47">
        <v>0</v>
      </c>
      <c r="BW83" s="47">
        <v>0</v>
      </c>
      <c r="BX83" s="47">
        <v>0</v>
      </c>
      <c r="BY83" s="47">
        <v>0</v>
      </c>
      <c r="BZ83" s="47">
        <v>0</v>
      </c>
      <c r="CA83" s="47">
        <v>0</v>
      </c>
      <c r="CB83" s="47">
        <v>0</v>
      </c>
      <c r="CC83" s="47">
        <v>0</v>
      </c>
      <c r="CD83" s="47">
        <v>0</v>
      </c>
      <c r="CE83" s="47">
        <v>0</v>
      </c>
      <c r="CF83" s="47">
        <v>0</v>
      </c>
      <c r="CG83" s="47">
        <v>0</v>
      </c>
      <c r="CH83" s="47">
        <v>0</v>
      </c>
      <c r="CI83" s="47">
        <v>0</v>
      </c>
      <c r="CJ83" s="47">
        <v>0</v>
      </c>
      <c r="CK83" s="47">
        <v>0</v>
      </c>
      <c r="CL83" s="47">
        <v>0</v>
      </c>
      <c r="CM83" s="47">
        <v>0</v>
      </c>
      <c r="CN83" s="47">
        <v>0</v>
      </c>
      <c r="CO83" s="47">
        <v>0</v>
      </c>
      <c r="CP83" s="47">
        <v>0</v>
      </c>
      <c r="CQ83" s="47">
        <v>0</v>
      </c>
      <c r="CR83" s="47">
        <v>0</v>
      </c>
      <c r="CS83" s="47">
        <v>0</v>
      </c>
      <c r="CT83" s="47">
        <v>0</v>
      </c>
      <c r="CU83" s="47">
        <v>0</v>
      </c>
      <c r="CV83" s="47">
        <v>0</v>
      </c>
      <c r="CW83" s="47">
        <v>0</v>
      </c>
      <c r="CX83" s="47">
        <v>0</v>
      </c>
      <c r="CY83" s="47">
        <v>0</v>
      </c>
      <c r="CZ83" s="47">
        <v>0</v>
      </c>
      <c r="DA83" s="47">
        <v>0</v>
      </c>
      <c r="DB83" s="47">
        <v>0</v>
      </c>
      <c r="DC83" s="47">
        <v>0</v>
      </c>
      <c r="DD83" s="47">
        <v>0</v>
      </c>
      <c r="DE83" s="47">
        <v>0</v>
      </c>
      <c r="DF83" s="47">
        <v>0</v>
      </c>
      <c r="DG83" s="47">
        <v>0</v>
      </c>
      <c r="DH83" s="47">
        <v>0</v>
      </c>
      <c r="DI83" s="47">
        <v>0</v>
      </c>
      <c r="DJ83" s="47">
        <v>0</v>
      </c>
      <c r="DK83" s="47">
        <v>0</v>
      </c>
      <c r="DL83" s="47">
        <v>0</v>
      </c>
      <c r="DM83" s="47">
        <v>0</v>
      </c>
      <c r="DN83" s="47">
        <v>0</v>
      </c>
      <c r="DO83" s="47">
        <v>0</v>
      </c>
      <c r="DP83" s="47">
        <v>0</v>
      </c>
      <c r="DQ83" s="47">
        <v>0</v>
      </c>
      <c r="DR83" s="47">
        <v>0</v>
      </c>
      <c r="DS83" s="47">
        <v>0</v>
      </c>
      <c r="DT83" s="47">
        <v>0</v>
      </c>
      <c r="DU83" s="47">
        <v>0</v>
      </c>
      <c r="DV83" s="47">
        <v>0</v>
      </c>
      <c r="DW83" s="47">
        <v>0</v>
      </c>
      <c r="DX83" s="47">
        <v>0</v>
      </c>
      <c r="DY83" s="47">
        <v>0</v>
      </c>
      <c r="DZ83" s="47"/>
      <c r="EA83" s="47">
        <v>0.5242</v>
      </c>
      <c r="ZZ83" t="s">
        <v>1084</v>
      </c>
    </row>
    <row r="84" spans="1:702" x14ac:dyDescent="0.25">
      <c r="A84" s="47" t="s">
        <v>529</v>
      </c>
      <c r="B84" s="47" t="s">
        <v>151</v>
      </c>
      <c r="C84" s="47" t="s">
        <v>155</v>
      </c>
      <c r="D84" s="47" t="s">
        <v>1164</v>
      </c>
      <c r="E84" s="47" t="s">
        <v>530</v>
      </c>
      <c r="F84" s="47" t="s">
        <v>531</v>
      </c>
      <c r="G84" s="47" t="s">
        <v>532</v>
      </c>
      <c r="H84" s="47" t="s">
        <v>380</v>
      </c>
      <c r="I84" s="47" t="s">
        <v>381</v>
      </c>
      <c r="J84" s="47" t="str">
        <f>=IFERROR(VLOOKUP(H84&amp;I84,Table_Fonctions!A:G,6,FALSE),"")</f>
        <v>0</v>
      </c>
      <c r="K84" s="47" t="s">
        <v>1132</v>
      </c>
      <c r="L84" s="47" t="str">
        <f>=IFERROR(VLOOKUP(H84&amp;I84,Table_Fonctions!A:G,7,FALSE),K84)</f>
        <v/>
      </c>
      <c r="M84" s="47" t="str">
        <f>=IF(OR(LEFT(D84, 3)="TJ ", LEFT(D84, 4)="CPH "), "OUI", "NON")</f>
        <v/>
      </c>
      <c r="N84" s="47" t="s">
        <v>533</v>
      </c>
      <c r="O84" s="47"/>
      <c r="P84" s="47">
        <v>1</v>
      </c>
      <c r="Q84" s="47">
        <v>0</v>
      </c>
      <c r="R84" s="47">
        <v>1</v>
      </c>
      <c r="S84" s="47">
        <f>=ROUND(BQ84-(BR84+BS84),3)</f>
      </c>
      <c r="T84" s="47">
        <f>=ROUND(CK84-(CL84+CM84+CN84+CO84+CP84),3)</f>
      </c>
      <c r="U84" s="47">
        <v>0</v>
      </c>
      <c r="V84" s="47">
        <v>0</v>
      </c>
      <c r="W84" s="47">
        <v>0</v>
      </c>
      <c r="X84" s="47">
        <v>0</v>
      </c>
      <c r="Y84" s="47">
        <v>0</v>
      </c>
      <c r="Z84" s="47">
        <v>0</v>
      </c>
      <c r="AA84" s="47">
        <v>0</v>
      </c>
      <c r="AB84" s="47">
        <v>0</v>
      </c>
      <c r="AC84" s="47">
        <v>0</v>
      </c>
      <c r="AD84" s="47">
        <v>0</v>
      </c>
      <c r="AE84" s="47">
        <v>0</v>
      </c>
      <c r="AF84" s="47">
        <v>0</v>
      </c>
      <c r="AG84" s="47">
        <v>0</v>
      </c>
      <c r="AH84" s="47">
        <v>0</v>
      </c>
      <c r="AI84" s="47">
        <v>0</v>
      </c>
      <c r="AJ84" s="47">
        <v>0</v>
      </c>
      <c r="AK84" s="47">
        <v>0</v>
      </c>
      <c r="AL84" s="47">
        <v>0</v>
      </c>
      <c r="AM84" s="47">
        <v>0</v>
      </c>
      <c r="AN84" s="47">
        <v>0</v>
      </c>
      <c r="AO84" s="47">
        <v>0</v>
      </c>
      <c r="AP84" s="47">
        <v>0</v>
      </c>
      <c r="AQ84" s="47">
        <v>0</v>
      </c>
      <c r="AR84" s="47">
        <v>0</v>
      </c>
      <c r="AS84" s="47">
        <v>0</v>
      </c>
      <c r="AT84" s="47">
        <v>0</v>
      </c>
      <c r="AU84" s="47">
        <v>0</v>
      </c>
      <c r="AV84" s="47">
        <v>0</v>
      </c>
      <c r="AW84" s="47">
        <v>0</v>
      </c>
      <c r="AX84" s="47">
        <v>0</v>
      </c>
      <c r="AY84" s="47">
        <v>0</v>
      </c>
      <c r="AZ84" s="47">
        <v>0</v>
      </c>
      <c r="BA84" s="47">
        <v>0</v>
      </c>
      <c r="BB84" s="47">
        <v>0</v>
      </c>
      <c r="BC84" s="47">
        <v>0</v>
      </c>
      <c r="BD84" s="47">
        <v>0</v>
      </c>
      <c r="BE84" s="47">
        <v>0</v>
      </c>
      <c r="BF84" s="47">
        <v>0</v>
      </c>
      <c r="BG84" s="47">
        <v>0</v>
      </c>
      <c r="BH84" s="47">
        <v>0</v>
      </c>
      <c r="BI84" s="47">
        <v>0</v>
      </c>
      <c r="BJ84" s="47">
        <v>0</v>
      </c>
      <c r="BK84" s="47">
        <v>0</v>
      </c>
      <c r="BL84" s="47">
        <v>0</v>
      </c>
      <c r="BM84" s="47">
        <v>0</v>
      </c>
      <c r="BN84" s="47">
        <v>0</v>
      </c>
      <c r="BO84" s="47">
        <v>0</v>
      </c>
      <c r="BP84" s="47">
        <v>0</v>
      </c>
      <c r="BQ84" s="47">
        <v>0</v>
      </c>
      <c r="BR84" s="47">
        <v>0</v>
      </c>
      <c r="BS84" s="47">
        <v>0</v>
      </c>
      <c r="BT84" s="47">
        <v>0</v>
      </c>
      <c r="BU84" s="47">
        <v>0</v>
      </c>
      <c r="BV84" s="47">
        <v>0</v>
      </c>
      <c r="BW84" s="47">
        <v>0</v>
      </c>
      <c r="BX84" s="47">
        <v>0</v>
      </c>
      <c r="BY84" s="47">
        <v>0</v>
      </c>
      <c r="BZ84" s="47">
        <v>0</v>
      </c>
      <c r="CA84" s="47">
        <v>0</v>
      </c>
      <c r="CB84" s="47">
        <v>0</v>
      </c>
      <c r="CC84" s="47">
        <v>0</v>
      </c>
      <c r="CD84" s="47">
        <v>0</v>
      </c>
      <c r="CE84" s="47">
        <v>0</v>
      </c>
      <c r="CF84" s="47">
        <v>0</v>
      </c>
      <c r="CG84" s="47">
        <v>0</v>
      </c>
      <c r="CH84" s="47">
        <v>0</v>
      </c>
      <c r="CI84" s="47">
        <v>0</v>
      </c>
      <c r="CJ84" s="47">
        <v>0</v>
      </c>
      <c r="CK84" s="47">
        <v>0</v>
      </c>
      <c r="CL84" s="47">
        <v>0</v>
      </c>
      <c r="CM84" s="47">
        <v>0</v>
      </c>
      <c r="CN84" s="47">
        <v>0</v>
      </c>
      <c r="CO84" s="47">
        <v>0</v>
      </c>
      <c r="CP84" s="47">
        <v>0</v>
      </c>
      <c r="CQ84" s="47">
        <v>0</v>
      </c>
      <c r="CR84" s="47">
        <v>0</v>
      </c>
      <c r="CS84" s="47">
        <v>0</v>
      </c>
      <c r="CT84" s="47">
        <v>0</v>
      </c>
      <c r="CU84" s="47">
        <v>0</v>
      </c>
      <c r="CV84" s="47">
        <v>0</v>
      </c>
      <c r="CW84" s="47">
        <v>0</v>
      </c>
      <c r="CX84" s="47">
        <v>0</v>
      </c>
      <c r="CY84" s="47">
        <v>0</v>
      </c>
      <c r="CZ84" s="47">
        <v>0</v>
      </c>
      <c r="DA84" s="47">
        <v>0</v>
      </c>
      <c r="DB84" s="47">
        <v>0</v>
      </c>
      <c r="DC84" s="47">
        <v>0</v>
      </c>
      <c r="DD84" s="47">
        <v>0</v>
      </c>
      <c r="DE84" s="47">
        <v>0</v>
      </c>
      <c r="DF84" s="47">
        <v>0</v>
      </c>
      <c r="DG84" s="47">
        <v>0</v>
      </c>
      <c r="DH84" s="47">
        <v>0</v>
      </c>
      <c r="DI84" s="47">
        <v>0</v>
      </c>
      <c r="DJ84" s="47">
        <v>0</v>
      </c>
      <c r="DK84" s="47">
        <v>0</v>
      </c>
      <c r="DL84" s="47">
        <v>0</v>
      </c>
      <c r="DM84" s="47">
        <v>0</v>
      </c>
      <c r="DN84" s="47">
        <v>0</v>
      </c>
      <c r="DO84" s="47">
        <v>0</v>
      </c>
      <c r="DP84" s="47">
        <v>0</v>
      </c>
      <c r="DQ84" s="47">
        <v>0</v>
      </c>
      <c r="DR84" s="47">
        <v>0</v>
      </c>
      <c r="DS84" s="47">
        <v>0</v>
      </c>
      <c r="DT84" s="47">
        <v>0</v>
      </c>
      <c r="DU84" s="47">
        <v>0</v>
      </c>
      <c r="DV84" s="47">
        <v>0</v>
      </c>
      <c r="DW84" s="47">
        <v>0</v>
      </c>
      <c r="DX84" s="47">
        <v>0</v>
      </c>
      <c r="DY84" s="47">
        <v>0</v>
      </c>
      <c r="DZ84" s="47"/>
      <c r="EA84" s="47">
        <v>1</v>
      </c>
      <c r="ZZ84" t="s">
        <v>1084</v>
      </c>
    </row>
    <row r="85" spans="1:702" x14ac:dyDescent="0.25">
      <c r="A85" s="47" t="s">
        <v>534</v>
      </c>
      <c r="B85" s="47" t="s">
        <v>151</v>
      </c>
      <c r="C85" s="47" t="s">
        <v>155</v>
      </c>
      <c r="D85" s="47" t="s">
        <v>1165</v>
      </c>
      <c r="E85" s="47" t="s">
        <v>535</v>
      </c>
      <c r="F85" s="47" t="s">
        <v>536</v>
      </c>
      <c r="G85" s="47" t="s">
        <v>537</v>
      </c>
      <c r="H85" s="47" t="s">
        <v>380</v>
      </c>
      <c r="I85" s="47" t="s">
        <v>381</v>
      </c>
      <c r="J85" s="47" t="str">
        <f>=IFERROR(VLOOKUP(H85&amp;I85,Table_Fonctions!A:G,6,FALSE),"")</f>
        <v>0</v>
      </c>
      <c r="K85" s="47" t="s">
        <v>1132</v>
      </c>
      <c r="L85" s="47" t="str">
        <f>=IFERROR(VLOOKUP(H85&amp;I85,Table_Fonctions!A:G,7,FALSE),K85)</f>
        <v/>
      </c>
      <c r="M85" s="47" t="str">
        <f>=IF(OR(LEFT(D85, 3)="TJ ", LEFT(D85, 4)="CPH "), "OUI", "NON")</f>
        <v/>
      </c>
      <c r="N85" s="47" t="s">
        <v>169</v>
      </c>
      <c r="O85" s="47"/>
      <c r="P85" s="47">
        <v>0.3024</v>
      </c>
      <c r="Q85" s="47">
        <v>0.3024</v>
      </c>
      <c r="R85" s="47">
        <v>0</v>
      </c>
      <c r="S85" s="47">
        <f>=ROUND(BQ85-(BR85+BS85),3)</f>
      </c>
      <c r="T85" s="47">
        <f>=ROUND(CK85-(CL85+CM85+CN85+CO85+CP85),3)</f>
      </c>
      <c r="U85" s="47">
        <v>0</v>
      </c>
      <c r="V85" s="47">
        <v>0</v>
      </c>
      <c r="W85" s="47">
        <v>0</v>
      </c>
      <c r="X85" s="47">
        <v>0</v>
      </c>
      <c r="Y85" s="47">
        <v>0</v>
      </c>
      <c r="Z85" s="47">
        <v>0</v>
      </c>
      <c r="AA85" s="47">
        <v>0</v>
      </c>
      <c r="AB85" s="47">
        <v>0</v>
      </c>
      <c r="AC85" s="47">
        <v>0</v>
      </c>
      <c r="AD85" s="47">
        <v>0</v>
      </c>
      <c r="AE85" s="47">
        <v>0</v>
      </c>
      <c r="AF85" s="47">
        <v>0</v>
      </c>
      <c r="AG85" s="47">
        <v>0</v>
      </c>
      <c r="AH85" s="47">
        <v>0</v>
      </c>
      <c r="AI85" s="47">
        <v>0</v>
      </c>
      <c r="AJ85" s="47">
        <v>0</v>
      </c>
      <c r="AK85" s="47">
        <v>0</v>
      </c>
      <c r="AL85" s="47">
        <v>0</v>
      </c>
      <c r="AM85" s="47">
        <v>0</v>
      </c>
      <c r="AN85" s="47">
        <v>0</v>
      </c>
      <c r="AO85" s="47">
        <v>0</v>
      </c>
      <c r="AP85" s="47">
        <v>0</v>
      </c>
      <c r="AQ85" s="47">
        <v>0</v>
      </c>
      <c r="AR85" s="47">
        <v>0</v>
      </c>
      <c r="AS85" s="47">
        <v>0</v>
      </c>
      <c r="AT85" s="47">
        <v>0</v>
      </c>
      <c r="AU85" s="47">
        <v>0</v>
      </c>
      <c r="AV85" s="47">
        <v>0</v>
      </c>
      <c r="AW85" s="47">
        <v>0</v>
      </c>
      <c r="AX85" s="47">
        <v>0</v>
      </c>
      <c r="AY85" s="47">
        <v>0</v>
      </c>
      <c r="AZ85" s="47">
        <v>0</v>
      </c>
      <c r="BA85" s="47">
        <v>0</v>
      </c>
      <c r="BB85" s="47">
        <v>0</v>
      </c>
      <c r="BC85" s="47">
        <v>0</v>
      </c>
      <c r="BD85" s="47">
        <v>0</v>
      </c>
      <c r="BE85" s="47">
        <v>0</v>
      </c>
      <c r="BF85" s="47">
        <v>0</v>
      </c>
      <c r="BG85" s="47">
        <v>0</v>
      </c>
      <c r="BH85" s="47">
        <v>0</v>
      </c>
      <c r="BI85" s="47">
        <v>0</v>
      </c>
      <c r="BJ85" s="47">
        <v>0</v>
      </c>
      <c r="BK85" s="47">
        <v>0</v>
      </c>
      <c r="BL85" s="47">
        <v>0</v>
      </c>
      <c r="BM85" s="47">
        <v>0.1815</v>
      </c>
      <c r="BN85" s="47">
        <v>0</v>
      </c>
      <c r="BO85" s="47">
        <v>0</v>
      </c>
      <c r="BP85" s="47">
        <v>0</v>
      </c>
      <c r="BQ85" s="47">
        <v>0</v>
      </c>
      <c r="BR85" s="47">
        <v>0</v>
      </c>
      <c r="BS85" s="47">
        <v>0</v>
      </c>
      <c r="BT85" s="47">
        <v>0</v>
      </c>
      <c r="BU85" s="47">
        <v>0</v>
      </c>
      <c r="BV85" s="47">
        <v>0</v>
      </c>
      <c r="BW85" s="47">
        <v>0</v>
      </c>
      <c r="BX85" s="47">
        <v>0</v>
      </c>
      <c r="BY85" s="47">
        <v>0</v>
      </c>
      <c r="BZ85" s="47">
        <v>0</v>
      </c>
      <c r="CA85" s="47">
        <v>0</v>
      </c>
      <c r="CB85" s="47">
        <v>0</v>
      </c>
      <c r="CC85" s="47">
        <v>0</v>
      </c>
      <c r="CD85" s="47">
        <v>0</v>
      </c>
      <c r="CE85" s="47">
        <v>0</v>
      </c>
      <c r="CF85" s="47">
        <v>0</v>
      </c>
      <c r="CG85" s="47">
        <v>0</v>
      </c>
      <c r="CH85" s="47">
        <v>0</v>
      </c>
      <c r="CI85" s="47">
        <v>0</v>
      </c>
      <c r="CJ85" s="47">
        <v>0</v>
      </c>
      <c r="CK85" s="47">
        <v>0</v>
      </c>
      <c r="CL85" s="47">
        <v>0</v>
      </c>
      <c r="CM85" s="47">
        <v>0</v>
      </c>
      <c r="CN85" s="47">
        <v>0</v>
      </c>
      <c r="CO85" s="47">
        <v>0</v>
      </c>
      <c r="CP85" s="47">
        <v>0</v>
      </c>
      <c r="CQ85" s="47">
        <v>0</v>
      </c>
      <c r="CR85" s="47">
        <v>0</v>
      </c>
      <c r="CS85" s="47">
        <v>0</v>
      </c>
      <c r="CT85" s="47">
        <v>0</v>
      </c>
      <c r="CU85" s="47">
        <v>0</v>
      </c>
      <c r="CV85" s="47">
        <v>0.121</v>
      </c>
      <c r="CW85" s="47">
        <v>0</v>
      </c>
      <c r="CX85" s="47">
        <v>0</v>
      </c>
      <c r="CY85" s="47">
        <v>0</v>
      </c>
      <c r="CZ85" s="47">
        <v>0</v>
      </c>
      <c r="DA85" s="47">
        <v>0</v>
      </c>
      <c r="DB85" s="47">
        <v>0</v>
      </c>
      <c r="DC85" s="47">
        <v>0</v>
      </c>
      <c r="DD85" s="47">
        <v>0</v>
      </c>
      <c r="DE85" s="47">
        <v>0</v>
      </c>
      <c r="DF85" s="47">
        <v>0</v>
      </c>
      <c r="DG85" s="47">
        <v>0</v>
      </c>
      <c r="DH85" s="47">
        <v>0</v>
      </c>
      <c r="DI85" s="47">
        <v>0</v>
      </c>
      <c r="DJ85" s="47">
        <v>0</v>
      </c>
      <c r="DK85" s="47">
        <v>0</v>
      </c>
      <c r="DL85" s="47">
        <v>0</v>
      </c>
      <c r="DM85" s="47">
        <v>0</v>
      </c>
      <c r="DN85" s="47">
        <v>0</v>
      </c>
      <c r="DO85" s="47">
        <v>0</v>
      </c>
      <c r="DP85" s="47">
        <v>0</v>
      </c>
      <c r="DQ85" s="47">
        <v>0</v>
      </c>
      <c r="DR85" s="47">
        <v>0</v>
      </c>
      <c r="DS85" s="47">
        <v>0</v>
      </c>
      <c r="DT85" s="47">
        <v>0</v>
      </c>
      <c r="DU85" s="47">
        <v>0</v>
      </c>
      <c r="DV85" s="47">
        <v>0</v>
      </c>
      <c r="DW85" s="47">
        <v>0</v>
      </c>
      <c r="DX85" s="47">
        <v>0</v>
      </c>
      <c r="DY85" s="47">
        <v>0</v>
      </c>
      <c r="DZ85" s="47"/>
      <c r="EA85" s="47">
        <v>0.3024</v>
      </c>
      <c r="ZZ85" t="s">
        <v>1084</v>
      </c>
    </row>
    <row r="86" spans="1:702" x14ac:dyDescent="0.25">
      <c r="A86" s="47" t="s">
        <v>538</v>
      </c>
      <c r="B86" s="47" t="s">
        <v>151</v>
      </c>
      <c r="C86" s="47" t="s">
        <v>155</v>
      </c>
      <c r="D86" s="47" t="s">
        <v>1157</v>
      </c>
      <c r="E86" s="47" t="s">
        <v>539</v>
      </c>
      <c r="F86" s="47" t="s">
        <v>540</v>
      </c>
      <c r="G86" s="47" t="s">
        <v>541</v>
      </c>
      <c r="H86" s="47" t="s">
        <v>380</v>
      </c>
      <c r="I86" s="47" t="s">
        <v>411</v>
      </c>
      <c r="J86" s="47" t="str">
        <f>=IFERROR(VLOOKUP(H86&amp;I86,Table_Fonctions!A:G,6,FALSE),"")</f>
        <v>0</v>
      </c>
      <c r="K86" s="47" t="s">
        <v>1132</v>
      </c>
      <c r="L86" s="47" t="str">
        <f>=IFERROR(VLOOKUP(H86&amp;I86,Table_Fonctions!A:G,7,FALSE),K86)</f>
        <v/>
      </c>
      <c r="M86" s="47" t="str">
        <f>=IF(OR(LEFT(D86, 3)="TJ ", LEFT(D86, 4)="CPH "), "OUI", "NON")</f>
        <v/>
      </c>
      <c r="N86" s="47" t="s">
        <v>542</v>
      </c>
      <c r="O86" s="47"/>
      <c r="P86" s="47">
        <v>1</v>
      </c>
      <c r="Q86" s="47">
        <v>1</v>
      </c>
      <c r="R86" s="47">
        <v>0</v>
      </c>
      <c r="S86" s="47">
        <f>=ROUND(BQ86-(BR86+BS86),3)</f>
      </c>
      <c r="T86" s="47">
        <f>=ROUND(CK86-(CL86+CM86+CN86+CO86+CP86),3)</f>
      </c>
      <c r="U86" s="47">
        <v>0</v>
      </c>
      <c r="V86" s="47">
        <v>0</v>
      </c>
      <c r="W86" s="47">
        <v>0</v>
      </c>
      <c r="X86" s="47">
        <v>0</v>
      </c>
      <c r="Y86" s="47">
        <v>0</v>
      </c>
      <c r="Z86" s="47">
        <v>0</v>
      </c>
      <c r="AA86" s="47">
        <v>0</v>
      </c>
      <c r="AB86" s="47">
        <v>0</v>
      </c>
      <c r="AC86" s="47">
        <v>0</v>
      </c>
      <c r="AD86" s="47">
        <v>0</v>
      </c>
      <c r="AE86" s="47">
        <v>0</v>
      </c>
      <c r="AF86" s="47">
        <v>0</v>
      </c>
      <c r="AG86" s="47">
        <v>0</v>
      </c>
      <c r="AH86" s="47">
        <v>0</v>
      </c>
      <c r="AI86" s="47">
        <v>0</v>
      </c>
      <c r="AJ86" s="47">
        <v>0</v>
      </c>
      <c r="AK86" s="47">
        <v>0</v>
      </c>
      <c r="AL86" s="47">
        <v>0</v>
      </c>
      <c r="AM86" s="47">
        <v>0</v>
      </c>
      <c r="AN86" s="47">
        <v>0</v>
      </c>
      <c r="AO86" s="47">
        <v>0</v>
      </c>
      <c r="AP86" s="47">
        <v>0</v>
      </c>
      <c r="AQ86" s="47">
        <v>0</v>
      </c>
      <c r="AR86" s="47">
        <v>0</v>
      </c>
      <c r="AS86" s="47">
        <v>0</v>
      </c>
      <c r="AT86" s="47">
        <v>0</v>
      </c>
      <c r="AU86" s="47">
        <v>0</v>
      </c>
      <c r="AV86" s="47">
        <v>0</v>
      </c>
      <c r="AW86" s="47">
        <v>0</v>
      </c>
      <c r="AX86" s="47">
        <v>0</v>
      </c>
      <c r="AY86" s="47">
        <v>0</v>
      </c>
      <c r="AZ86" s="47">
        <v>0</v>
      </c>
      <c r="BA86" s="47">
        <v>0</v>
      </c>
      <c r="BB86" s="47">
        <v>0</v>
      </c>
      <c r="BC86" s="47">
        <v>0</v>
      </c>
      <c r="BD86" s="47">
        <v>0</v>
      </c>
      <c r="BE86" s="47">
        <v>0</v>
      </c>
      <c r="BF86" s="47">
        <v>0</v>
      </c>
      <c r="BG86" s="47">
        <v>0</v>
      </c>
      <c r="BH86" s="47">
        <v>0</v>
      </c>
      <c r="BI86" s="47">
        <v>0</v>
      </c>
      <c r="BJ86" s="47">
        <v>0</v>
      </c>
      <c r="BK86" s="47">
        <v>0</v>
      </c>
      <c r="BL86" s="47">
        <v>0</v>
      </c>
      <c r="BM86" s="47">
        <v>0</v>
      </c>
      <c r="BN86" s="47">
        <v>0</v>
      </c>
      <c r="BO86" s="47">
        <v>0</v>
      </c>
      <c r="BP86" s="47">
        <v>0</v>
      </c>
      <c r="BQ86" s="47">
        <v>0</v>
      </c>
      <c r="BR86" s="47">
        <v>0</v>
      </c>
      <c r="BS86" s="47">
        <v>0</v>
      </c>
      <c r="BT86" s="47">
        <v>0</v>
      </c>
      <c r="BU86" s="47">
        <v>0</v>
      </c>
      <c r="BV86" s="47">
        <v>0</v>
      </c>
      <c r="BW86" s="47">
        <v>0</v>
      </c>
      <c r="BX86" s="47">
        <v>0</v>
      </c>
      <c r="BY86" s="47">
        <v>0</v>
      </c>
      <c r="BZ86" s="47">
        <v>0</v>
      </c>
      <c r="CA86" s="47">
        <v>0</v>
      </c>
      <c r="CB86" s="47">
        <v>0</v>
      </c>
      <c r="CC86" s="47">
        <v>0</v>
      </c>
      <c r="CD86" s="47">
        <v>0</v>
      </c>
      <c r="CE86" s="47">
        <v>0</v>
      </c>
      <c r="CF86" s="47">
        <v>0</v>
      </c>
      <c r="CG86" s="47">
        <v>0</v>
      </c>
      <c r="CH86" s="47">
        <v>0</v>
      </c>
      <c r="CI86" s="47">
        <v>0</v>
      </c>
      <c r="CJ86" s="47">
        <v>0</v>
      </c>
      <c r="CK86" s="47">
        <v>0</v>
      </c>
      <c r="CL86" s="47">
        <v>0</v>
      </c>
      <c r="CM86" s="47">
        <v>0</v>
      </c>
      <c r="CN86" s="47">
        <v>0</v>
      </c>
      <c r="CO86" s="47">
        <v>0</v>
      </c>
      <c r="CP86" s="47">
        <v>0</v>
      </c>
      <c r="CQ86" s="47">
        <v>0</v>
      </c>
      <c r="CR86" s="47">
        <v>0</v>
      </c>
      <c r="CS86" s="47">
        <v>0</v>
      </c>
      <c r="CT86" s="47">
        <v>0</v>
      </c>
      <c r="CU86" s="47">
        <v>0</v>
      </c>
      <c r="CV86" s="47">
        <v>0</v>
      </c>
      <c r="CW86" s="47">
        <v>0</v>
      </c>
      <c r="CX86" s="47">
        <v>0</v>
      </c>
      <c r="CY86" s="47">
        <v>1</v>
      </c>
      <c r="CZ86" s="47">
        <v>0</v>
      </c>
      <c r="DA86" s="47">
        <v>0</v>
      </c>
      <c r="DB86" s="47">
        <v>0</v>
      </c>
      <c r="DC86" s="47">
        <v>1</v>
      </c>
      <c r="DD86" s="47">
        <v>0</v>
      </c>
      <c r="DE86" s="47">
        <v>0</v>
      </c>
      <c r="DF86" s="47">
        <v>0</v>
      </c>
      <c r="DG86" s="47">
        <v>0</v>
      </c>
      <c r="DH86" s="47">
        <v>0</v>
      </c>
      <c r="DI86" s="47">
        <v>0</v>
      </c>
      <c r="DJ86" s="47">
        <v>0</v>
      </c>
      <c r="DK86" s="47">
        <v>0</v>
      </c>
      <c r="DL86" s="47">
        <v>0</v>
      </c>
      <c r="DM86" s="47">
        <v>0</v>
      </c>
      <c r="DN86" s="47">
        <v>0</v>
      </c>
      <c r="DO86" s="47">
        <v>0</v>
      </c>
      <c r="DP86" s="47">
        <v>0</v>
      </c>
      <c r="DQ86" s="47">
        <v>0</v>
      </c>
      <c r="DR86" s="47">
        <v>0</v>
      </c>
      <c r="DS86" s="47">
        <v>0</v>
      </c>
      <c r="DT86" s="47">
        <v>0</v>
      </c>
      <c r="DU86" s="47">
        <v>0</v>
      </c>
      <c r="DV86" s="47">
        <v>0</v>
      </c>
      <c r="DW86" s="47">
        <v>0</v>
      </c>
      <c r="DX86" s="47">
        <v>0</v>
      </c>
      <c r="DY86" s="47">
        <v>0</v>
      </c>
      <c r="DZ86" s="47"/>
      <c r="EA86" s="47">
        <v>1</v>
      </c>
      <c r="ZZ86" t="s">
        <v>1084</v>
      </c>
    </row>
    <row r="87" spans="1:702" x14ac:dyDescent="0.25">
      <c r="A87" s="47" t="s">
        <v>543</v>
      </c>
      <c r="B87" s="47" t="s">
        <v>151</v>
      </c>
      <c r="C87" s="47" t="s">
        <v>155</v>
      </c>
      <c r="D87" s="47" t="s">
        <v>1166</v>
      </c>
      <c r="E87" s="47" t="s">
        <v>544</v>
      </c>
      <c r="F87" s="47" t="s">
        <v>545</v>
      </c>
      <c r="G87" s="47" t="s">
        <v>546</v>
      </c>
      <c r="H87" s="47" t="s">
        <v>380</v>
      </c>
      <c r="I87" s="47" t="s">
        <v>411</v>
      </c>
      <c r="J87" s="47" t="str">
        <f>=IFERROR(VLOOKUP(H87&amp;I87,Table_Fonctions!A:G,6,FALSE),"")</f>
        <v>0</v>
      </c>
      <c r="K87" s="47" t="s">
        <v>1132</v>
      </c>
      <c r="L87" s="47" t="str">
        <f>=IFERROR(VLOOKUP(H87&amp;I87,Table_Fonctions!A:G,7,FALSE),K87)</f>
        <v/>
      </c>
      <c r="M87" s="47" t="str">
        <f>=IF(OR(LEFT(D87, 3)="TJ ", LEFT(D87, 4)="CPH "), "OUI", "NON")</f>
        <v/>
      </c>
      <c r="N87" s="47" t="s">
        <v>547</v>
      </c>
      <c r="O87" s="47"/>
      <c r="P87" s="47">
        <v>1</v>
      </c>
      <c r="Q87" s="47">
        <v>0</v>
      </c>
      <c r="R87" s="47">
        <v>1</v>
      </c>
      <c r="S87" s="47">
        <f>=ROUND(BQ87-(BR87+BS87),3)</f>
      </c>
      <c r="T87" s="47">
        <f>=ROUND(CK87-(CL87+CM87+CN87+CO87+CP87),3)</f>
      </c>
      <c r="U87" s="47">
        <v>0</v>
      </c>
      <c r="V87" s="47">
        <v>0</v>
      </c>
      <c r="W87" s="47">
        <v>0</v>
      </c>
      <c r="X87" s="47">
        <v>0</v>
      </c>
      <c r="Y87" s="47">
        <v>0</v>
      </c>
      <c r="Z87" s="47">
        <v>0</v>
      </c>
      <c r="AA87" s="47">
        <v>0</v>
      </c>
      <c r="AB87" s="47">
        <v>0</v>
      </c>
      <c r="AC87" s="47">
        <v>0</v>
      </c>
      <c r="AD87" s="47">
        <v>0</v>
      </c>
      <c r="AE87" s="47">
        <v>0</v>
      </c>
      <c r="AF87" s="47">
        <v>0</v>
      </c>
      <c r="AG87" s="47">
        <v>0</v>
      </c>
      <c r="AH87" s="47">
        <v>0</v>
      </c>
      <c r="AI87" s="47">
        <v>0</v>
      </c>
      <c r="AJ87" s="47">
        <v>0</v>
      </c>
      <c r="AK87" s="47">
        <v>0</v>
      </c>
      <c r="AL87" s="47">
        <v>0</v>
      </c>
      <c r="AM87" s="47">
        <v>0</v>
      </c>
      <c r="AN87" s="47">
        <v>0</v>
      </c>
      <c r="AO87" s="47">
        <v>0</v>
      </c>
      <c r="AP87" s="47">
        <v>0</v>
      </c>
      <c r="AQ87" s="47">
        <v>0</v>
      </c>
      <c r="AR87" s="47">
        <v>0</v>
      </c>
      <c r="AS87" s="47">
        <v>0</v>
      </c>
      <c r="AT87" s="47">
        <v>0</v>
      </c>
      <c r="AU87" s="47">
        <v>0</v>
      </c>
      <c r="AV87" s="47">
        <v>0</v>
      </c>
      <c r="AW87" s="47">
        <v>0</v>
      </c>
      <c r="AX87" s="47">
        <v>0</v>
      </c>
      <c r="AY87" s="47">
        <v>0</v>
      </c>
      <c r="AZ87" s="47">
        <v>0</v>
      </c>
      <c r="BA87" s="47">
        <v>0</v>
      </c>
      <c r="BB87" s="47">
        <v>0</v>
      </c>
      <c r="BC87" s="47">
        <v>0</v>
      </c>
      <c r="BD87" s="47">
        <v>0</v>
      </c>
      <c r="BE87" s="47">
        <v>0</v>
      </c>
      <c r="BF87" s="47">
        <v>0</v>
      </c>
      <c r="BG87" s="47">
        <v>0</v>
      </c>
      <c r="BH87" s="47">
        <v>0</v>
      </c>
      <c r="BI87" s="47">
        <v>0</v>
      </c>
      <c r="BJ87" s="47">
        <v>0</v>
      </c>
      <c r="BK87" s="47">
        <v>0</v>
      </c>
      <c r="BL87" s="47">
        <v>0</v>
      </c>
      <c r="BM87" s="47">
        <v>0</v>
      </c>
      <c r="BN87" s="47">
        <v>0</v>
      </c>
      <c r="BO87" s="47">
        <v>0</v>
      </c>
      <c r="BP87" s="47">
        <v>0</v>
      </c>
      <c r="BQ87" s="47">
        <v>0</v>
      </c>
      <c r="BR87" s="47">
        <v>0</v>
      </c>
      <c r="BS87" s="47">
        <v>0</v>
      </c>
      <c r="BT87" s="47">
        <v>0</v>
      </c>
      <c r="BU87" s="47">
        <v>0</v>
      </c>
      <c r="BV87" s="47">
        <v>0</v>
      </c>
      <c r="BW87" s="47">
        <v>0</v>
      </c>
      <c r="BX87" s="47">
        <v>0</v>
      </c>
      <c r="BY87" s="47">
        <v>0</v>
      </c>
      <c r="BZ87" s="47">
        <v>0</v>
      </c>
      <c r="CA87" s="47">
        <v>0</v>
      </c>
      <c r="CB87" s="47">
        <v>0</v>
      </c>
      <c r="CC87" s="47">
        <v>0</v>
      </c>
      <c r="CD87" s="47">
        <v>0</v>
      </c>
      <c r="CE87" s="47">
        <v>0</v>
      </c>
      <c r="CF87" s="47">
        <v>0</v>
      </c>
      <c r="CG87" s="47">
        <v>0</v>
      </c>
      <c r="CH87" s="47">
        <v>0</v>
      </c>
      <c r="CI87" s="47">
        <v>0</v>
      </c>
      <c r="CJ87" s="47">
        <v>0</v>
      </c>
      <c r="CK87" s="47">
        <v>0</v>
      </c>
      <c r="CL87" s="47">
        <v>0</v>
      </c>
      <c r="CM87" s="47">
        <v>0</v>
      </c>
      <c r="CN87" s="47">
        <v>0</v>
      </c>
      <c r="CO87" s="47">
        <v>0</v>
      </c>
      <c r="CP87" s="47">
        <v>0</v>
      </c>
      <c r="CQ87" s="47">
        <v>0</v>
      </c>
      <c r="CR87" s="47">
        <v>0</v>
      </c>
      <c r="CS87" s="47">
        <v>0</v>
      </c>
      <c r="CT87" s="47">
        <v>0</v>
      </c>
      <c r="CU87" s="47">
        <v>0</v>
      </c>
      <c r="CV87" s="47">
        <v>0</v>
      </c>
      <c r="CW87" s="47">
        <v>0</v>
      </c>
      <c r="CX87" s="47">
        <v>0</v>
      </c>
      <c r="CY87" s="47">
        <v>0</v>
      </c>
      <c r="CZ87" s="47">
        <v>0</v>
      </c>
      <c r="DA87" s="47">
        <v>0</v>
      </c>
      <c r="DB87" s="47">
        <v>0</v>
      </c>
      <c r="DC87" s="47">
        <v>0</v>
      </c>
      <c r="DD87" s="47">
        <v>0</v>
      </c>
      <c r="DE87" s="47">
        <v>0</v>
      </c>
      <c r="DF87" s="47">
        <v>0</v>
      </c>
      <c r="DG87" s="47">
        <v>0</v>
      </c>
      <c r="DH87" s="47">
        <v>0</v>
      </c>
      <c r="DI87" s="47">
        <v>0</v>
      </c>
      <c r="DJ87" s="47">
        <v>0</v>
      </c>
      <c r="DK87" s="47">
        <v>0</v>
      </c>
      <c r="DL87" s="47">
        <v>0</v>
      </c>
      <c r="DM87" s="47">
        <v>0</v>
      </c>
      <c r="DN87" s="47">
        <v>0</v>
      </c>
      <c r="DO87" s="47">
        <v>0</v>
      </c>
      <c r="DP87" s="47">
        <v>0</v>
      </c>
      <c r="DQ87" s="47">
        <v>0</v>
      </c>
      <c r="DR87" s="47">
        <v>0</v>
      </c>
      <c r="DS87" s="47">
        <v>0</v>
      </c>
      <c r="DT87" s="47">
        <v>0</v>
      </c>
      <c r="DU87" s="47">
        <v>0</v>
      </c>
      <c r="DV87" s="47">
        <v>0</v>
      </c>
      <c r="DW87" s="47">
        <v>0</v>
      </c>
      <c r="DX87" s="47">
        <v>0</v>
      </c>
      <c r="DY87" s="47">
        <v>0</v>
      </c>
      <c r="DZ87" s="47"/>
      <c r="EA87" s="47">
        <v>1</v>
      </c>
      <c r="ZZ87" t="s">
        <v>1084</v>
      </c>
    </row>
    <row r="88" spans="1:702" x14ac:dyDescent="0.25">
      <c r="A88" s="47" t="s">
        <v>548</v>
      </c>
      <c r="B88" s="47" t="s">
        <v>151</v>
      </c>
      <c r="C88" s="47" t="s">
        <v>155</v>
      </c>
      <c r="D88" s="47" t="s">
        <v>1167</v>
      </c>
      <c r="E88" s="47" t="s">
        <v>549</v>
      </c>
      <c r="F88" s="47" t="s">
        <v>550</v>
      </c>
      <c r="G88" s="47" t="s">
        <v>551</v>
      </c>
      <c r="H88" s="47" t="s">
        <v>380</v>
      </c>
      <c r="I88" s="47" t="s">
        <v>381</v>
      </c>
      <c r="J88" s="47" t="str">
        <f>=IFERROR(VLOOKUP(H88&amp;I88,Table_Fonctions!A:G,6,FALSE),"")</f>
        <v>0</v>
      </c>
      <c r="K88" s="47" t="s">
        <v>1132</v>
      </c>
      <c r="L88" s="47" t="str">
        <f>=IFERROR(VLOOKUP(H88&amp;I88,Table_Fonctions!A:G,7,FALSE),K88)</f>
        <v/>
      </c>
      <c r="M88" s="47" t="str">
        <f>=IF(OR(LEFT(D88, 3)="TJ ", LEFT(D88, 4)="CPH "), "OUI", "NON")</f>
        <v/>
      </c>
      <c r="N88" s="47" t="s">
        <v>470</v>
      </c>
      <c r="O88" s="47"/>
      <c r="P88" s="47">
        <v>1</v>
      </c>
      <c r="Q88" s="47">
        <v>0</v>
      </c>
      <c r="R88" s="47">
        <v>1</v>
      </c>
      <c r="S88" s="47">
        <f>=ROUND(BQ88-(BR88+BS88),3)</f>
      </c>
      <c r="T88" s="47">
        <f>=ROUND(CK88-(CL88+CM88+CN88+CO88+CP88),3)</f>
      </c>
      <c r="U88" s="47">
        <v>0</v>
      </c>
      <c r="V88" s="47">
        <v>0</v>
      </c>
      <c r="W88" s="47">
        <v>0</v>
      </c>
      <c r="X88" s="47">
        <v>0</v>
      </c>
      <c r="Y88" s="47">
        <v>0</v>
      </c>
      <c r="Z88" s="47">
        <v>0</v>
      </c>
      <c r="AA88" s="47">
        <v>0</v>
      </c>
      <c r="AB88" s="47">
        <v>0</v>
      </c>
      <c r="AC88" s="47">
        <v>0</v>
      </c>
      <c r="AD88" s="47">
        <v>0</v>
      </c>
      <c r="AE88" s="47">
        <v>0</v>
      </c>
      <c r="AF88" s="47">
        <v>0</v>
      </c>
      <c r="AG88" s="47">
        <v>0</v>
      </c>
      <c r="AH88" s="47">
        <v>0</v>
      </c>
      <c r="AI88" s="47">
        <v>0</v>
      </c>
      <c r="AJ88" s="47">
        <v>0</v>
      </c>
      <c r="AK88" s="47">
        <v>0</v>
      </c>
      <c r="AL88" s="47">
        <v>0</v>
      </c>
      <c r="AM88" s="47">
        <v>0</v>
      </c>
      <c r="AN88" s="47">
        <v>0</v>
      </c>
      <c r="AO88" s="47">
        <v>0</v>
      </c>
      <c r="AP88" s="47">
        <v>0</v>
      </c>
      <c r="AQ88" s="47">
        <v>0</v>
      </c>
      <c r="AR88" s="47">
        <v>0</v>
      </c>
      <c r="AS88" s="47">
        <v>0</v>
      </c>
      <c r="AT88" s="47">
        <v>0</v>
      </c>
      <c r="AU88" s="47">
        <v>0</v>
      </c>
      <c r="AV88" s="47">
        <v>0</v>
      </c>
      <c r="AW88" s="47">
        <v>0</v>
      </c>
      <c r="AX88" s="47">
        <v>0</v>
      </c>
      <c r="AY88" s="47">
        <v>0</v>
      </c>
      <c r="AZ88" s="47">
        <v>0</v>
      </c>
      <c r="BA88" s="47">
        <v>0</v>
      </c>
      <c r="BB88" s="47">
        <v>0</v>
      </c>
      <c r="BC88" s="47">
        <v>0</v>
      </c>
      <c r="BD88" s="47">
        <v>0</v>
      </c>
      <c r="BE88" s="47">
        <v>0</v>
      </c>
      <c r="BF88" s="47">
        <v>0</v>
      </c>
      <c r="BG88" s="47">
        <v>0</v>
      </c>
      <c r="BH88" s="47">
        <v>0</v>
      </c>
      <c r="BI88" s="47">
        <v>0</v>
      </c>
      <c r="BJ88" s="47">
        <v>0</v>
      </c>
      <c r="BK88" s="47">
        <v>0</v>
      </c>
      <c r="BL88" s="47">
        <v>0</v>
      </c>
      <c r="BM88" s="47">
        <v>0</v>
      </c>
      <c r="BN88" s="47">
        <v>0</v>
      </c>
      <c r="BO88" s="47">
        <v>0</v>
      </c>
      <c r="BP88" s="47">
        <v>0</v>
      </c>
      <c r="BQ88" s="47">
        <v>0</v>
      </c>
      <c r="BR88" s="47">
        <v>0</v>
      </c>
      <c r="BS88" s="47">
        <v>0</v>
      </c>
      <c r="BT88" s="47">
        <v>0</v>
      </c>
      <c r="BU88" s="47">
        <v>0</v>
      </c>
      <c r="BV88" s="47">
        <v>0</v>
      </c>
      <c r="BW88" s="47">
        <v>0</v>
      </c>
      <c r="BX88" s="47">
        <v>0</v>
      </c>
      <c r="BY88" s="47">
        <v>0</v>
      </c>
      <c r="BZ88" s="47">
        <v>0</v>
      </c>
      <c r="CA88" s="47">
        <v>0</v>
      </c>
      <c r="CB88" s="47">
        <v>0</v>
      </c>
      <c r="CC88" s="47">
        <v>0</v>
      </c>
      <c r="CD88" s="47">
        <v>0</v>
      </c>
      <c r="CE88" s="47">
        <v>0</v>
      </c>
      <c r="CF88" s="47">
        <v>0</v>
      </c>
      <c r="CG88" s="47">
        <v>0</v>
      </c>
      <c r="CH88" s="47">
        <v>0</v>
      </c>
      <c r="CI88" s="47">
        <v>0</v>
      </c>
      <c r="CJ88" s="47">
        <v>0</v>
      </c>
      <c r="CK88" s="47">
        <v>0</v>
      </c>
      <c r="CL88" s="47">
        <v>0</v>
      </c>
      <c r="CM88" s="47">
        <v>0</v>
      </c>
      <c r="CN88" s="47">
        <v>0</v>
      </c>
      <c r="CO88" s="47">
        <v>0</v>
      </c>
      <c r="CP88" s="47">
        <v>0</v>
      </c>
      <c r="CQ88" s="47">
        <v>0</v>
      </c>
      <c r="CR88" s="47">
        <v>0</v>
      </c>
      <c r="CS88" s="47">
        <v>0</v>
      </c>
      <c r="CT88" s="47">
        <v>0</v>
      </c>
      <c r="CU88" s="47">
        <v>0</v>
      </c>
      <c r="CV88" s="47">
        <v>0</v>
      </c>
      <c r="CW88" s="47">
        <v>0</v>
      </c>
      <c r="CX88" s="47">
        <v>0</v>
      </c>
      <c r="CY88" s="47">
        <v>0</v>
      </c>
      <c r="CZ88" s="47">
        <v>0</v>
      </c>
      <c r="DA88" s="47">
        <v>0</v>
      </c>
      <c r="DB88" s="47">
        <v>0</v>
      </c>
      <c r="DC88" s="47">
        <v>0</v>
      </c>
      <c r="DD88" s="47">
        <v>0</v>
      </c>
      <c r="DE88" s="47">
        <v>0</v>
      </c>
      <c r="DF88" s="47">
        <v>0</v>
      </c>
      <c r="DG88" s="47">
        <v>0</v>
      </c>
      <c r="DH88" s="47">
        <v>0</v>
      </c>
      <c r="DI88" s="47">
        <v>0</v>
      </c>
      <c r="DJ88" s="47">
        <v>0</v>
      </c>
      <c r="DK88" s="47">
        <v>0</v>
      </c>
      <c r="DL88" s="47">
        <v>0</v>
      </c>
      <c r="DM88" s="47">
        <v>0</v>
      </c>
      <c r="DN88" s="47">
        <v>0</v>
      </c>
      <c r="DO88" s="47">
        <v>0</v>
      </c>
      <c r="DP88" s="47">
        <v>0</v>
      </c>
      <c r="DQ88" s="47">
        <v>0</v>
      </c>
      <c r="DR88" s="47">
        <v>0</v>
      </c>
      <c r="DS88" s="47">
        <v>0</v>
      </c>
      <c r="DT88" s="47">
        <v>0</v>
      </c>
      <c r="DU88" s="47">
        <v>0</v>
      </c>
      <c r="DV88" s="47">
        <v>0</v>
      </c>
      <c r="DW88" s="47">
        <v>0</v>
      </c>
      <c r="DX88" s="47">
        <v>0</v>
      </c>
      <c r="DY88" s="47">
        <v>0</v>
      </c>
      <c r="DZ88" s="47"/>
      <c r="EA88" s="47">
        <v>1</v>
      </c>
      <c r="ZZ88" t="s">
        <v>1084</v>
      </c>
    </row>
    <row r="89" spans="1:702" x14ac:dyDescent="0.25">
      <c r="A89" s="47" t="s">
        <v>552</v>
      </c>
      <c r="B89" s="47" t="s">
        <v>151</v>
      </c>
      <c r="C89" s="47" t="s">
        <v>155</v>
      </c>
      <c r="D89" s="47" t="s">
        <v>1168</v>
      </c>
      <c r="E89" s="47" t="s">
        <v>553</v>
      </c>
      <c r="F89" s="47" t="s">
        <v>554</v>
      </c>
      <c r="G89" s="47" t="s">
        <v>555</v>
      </c>
      <c r="H89" s="47" t="s">
        <v>380</v>
      </c>
      <c r="I89" s="47" t="s">
        <v>381</v>
      </c>
      <c r="J89" s="47" t="str">
        <f>=IFERROR(VLOOKUP(H89&amp;I89,Table_Fonctions!A:G,6,FALSE),"")</f>
        <v>0</v>
      </c>
      <c r="K89" s="47" t="s">
        <v>1132</v>
      </c>
      <c r="L89" s="47" t="str">
        <f>=IFERROR(VLOOKUP(H89&amp;I89,Table_Fonctions!A:G,7,FALSE),K89)</f>
        <v/>
      </c>
      <c r="M89" s="47" t="str">
        <f>=IF(OR(LEFT(D89, 3)="TJ ", LEFT(D89, 4)="CPH "), "OUI", "NON")</f>
        <v/>
      </c>
      <c r="N89" s="47" t="s">
        <v>556</v>
      </c>
      <c r="O89" s="47"/>
      <c r="P89" s="47">
        <v>1</v>
      </c>
      <c r="Q89" s="47">
        <v>1</v>
      </c>
      <c r="R89" s="47">
        <v>0</v>
      </c>
      <c r="S89" s="47">
        <f>=ROUND(BQ89-(BR89+BS89),3)</f>
      </c>
      <c r="T89" s="47">
        <f>=ROUND(CK89-(CL89+CM89+CN89+CO89+CP89),3)</f>
      </c>
      <c r="U89" s="47">
        <v>0</v>
      </c>
      <c r="V89" s="47">
        <v>0</v>
      </c>
      <c r="W89" s="47">
        <v>0</v>
      </c>
      <c r="X89" s="47">
        <v>0</v>
      </c>
      <c r="Y89" s="47">
        <v>0</v>
      </c>
      <c r="Z89" s="47">
        <v>0</v>
      </c>
      <c r="AA89" s="47">
        <v>0</v>
      </c>
      <c r="AB89" s="47">
        <v>0</v>
      </c>
      <c r="AC89" s="47">
        <v>0</v>
      </c>
      <c r="AD89" s="47">
        <v>0</v>
      </c>
      <c r="AE89" s="47">
        <v>0</v>
      </c>
      <c r="AF89" s="47">
        <v>0</v>
      </c>
      <c r="AG89" s="47">
        <v>0</v>
      </c>
      <c r="AH89" s="47">
        <v>0</v>
      </c>
      <c r="AI89" s="47">
        <v>0</v>
      </c>
      <c r="AJ89" s="47">
        <v>0.4</v>
      </c>
      <c r="AK89" s="47">
        <v>0.2</v>
      </c>
      <c r="AL89" s="47">
        <v>0.2</v>
      </c>
      <c r="AM89" s="47">
        <v>0</v>
      </c>
      <c r="AN89" s="47">
        <v>0</v>
      </c>
      <c r="AO89" s="47">
        <v>0</v>
      </c>
      <c r="AP89" s="47">
        <v>0</v>
      </c>
      <c r="AQ89" s="47">
        <v>0</v>
      </c>
      <c r="AR89" s="47">
        <v>0</v>
      </c>
      <c r="AS89" s="47">
        <v>0.15</v>
      </c>
      <c r="AT89" s="47">
        <v>0</v>
      </c>
      <c r="AU89" s="47">
        <v>0.1</v>
      </c>
      <c r="AV89" s="47">
        <v>0</v>
      </c>
      <c r="AW89" s="47">
        <v>0</v>
      </c>
      <c r="AX89" s="47">
        <v>0</v>
      </c>
      <c r="AY89" s="47">
        <v>0</v>
      </c>
      <c r="AZ89" s="47">
        <v>0</v>
      </c>
      <c r="BA89" s="47">
        <v>0</v>
      </c>
      <c r="BB89" s="47">
        <v>0</v>
      </c>
      <c r="BC89" s="47">
        <v>0</v>
      </c>
      <c r="BD89" s="47">
        <v>0</v>
      </c>
      <c r="BE89" s="47">
        <v>0</v>
      </c>
      <c r="BF89" s="47">
        <v>0</v>
      </c>
      <c r="BG89" s="47">
        <v>0</v>
      </c>
      <c r="BH89" s="47">
        <v>0</v>
      </c>
      <c r="BI89" s="47">
        <v>0</v>
      </c>
      <c r="BJ89" s="47">
        <v>0</v>
      </c>
      <c r="BK89" s="47">
        <v>0</v>
      </c>
      <c r="BL89" s="47">
        <v>0.05</v>
      </c>
      <c r="BM89" s="47">
        <v>0</v>
      </c>
      <c r="BN89" s="47">
        <v>0</v>
      </c>
      <c r="BO89" s="47">
        <v>0</v>
      </c>
      <c r="BP89" s="47">
        <v>0</v>
      </c>
      <c r="BQ89" s="47">
        <v>0</v>
      </c>
      <c r="BR89" s="47">
        <v>0</v>
      </c>
      <c r="BS89" s="47">
        <v>0</v>
      </c>
      <c r="BT89" s="47">
        <v>0</v>
      </c>
      <c r="BU89" s="47">
        <v>0</v>
      </c>
      <c r="BV89" s="47">
        <v>0</v>
      </c>
      <c r="BW89" s="47">
        <v>0</v>
      </c>
      <c r="BX89" s="47">
        <v>0</v>
      </c>
      <c r="BY89" s="47">
        <v>0</v>
      </c>
      <c r="BZ89" s="47">
        <v>0</v>
      </c>
      <c r="CA89" s="47">
        <v>0</v>
      </c>
      <c r="CB89" s="47">
        <v>0</v>
      </c>
      <c r="CC89" s="47">
        <v>0</v>
      </c>
      <c r="CD89" s="47">
        <v>0</v>
      </c>
      <c r="CE89" s="47">
        <v>0</v>
      </c>
      <c r="CF89" s="47">
        <v>0</v>
      </c>
      <c r="CG89" s="47">
        <v>0</v>
      </c>
      <c r="CH89" s="47">
        <v>0</v>
      </c>
      <c r="CI89" s="47">
        <v>0</v>
      </c>
      <c r="CJ89" s="47">
        <v>0</v>
      </c>
      <c r="CK89" s="47">
        <v>0</v>
      </c>
      <c r="CL89" s="47">
        <v>0</v>
      </c>
      <c r="CM89" s="47">
        <v>0</v>
      </c>
      <c r="CN89" s="47">
        <v>0</v>
      </c>
      <c r="CO89" s="47">
        <v>0</v>
      </c>
      <c r="CP89" s="47">
        <v>0</v>
      </c>
      <c r="CQ89" s="47">
        <v>0</v>
      </c>
      <c r="CR89" s="47">
        <v>0</v>
      </c>
      <c r="CS89" s="47">
        <v>0</v>
      </c>
      <c r="CT89" s="47">
        <v>0</v>
      </c>
      <c r="CU89" s="47">
        <v>0</v>
      </c>
      <c r="CV89" s="47">
        <v>0</v>
      </c>
      <c r="CW89" s="47">
        <v>0</v>
      </c>
      <c r="CX89" s="47">
        <v>0</v>
      </c>
      <c r="CY89" s="47">
        <v>0.45</v>
      </c>
      <c r="CZ89" s="47">
        <v>0.45</v>
      </c>
      <c r="DA89" s="47">
        <v>0</v>
      </c>
      <c r="DB89" s="47">
        <v>0</v>
      </c>
      <c r="DC89" s="47">
        <v>0</v>
      </c>
      <c r="DD89" s="47">
        <v>0</v>
      </c>
      <c r="DE89" s="47">
        <v>0</v>
      </c>
      <c r="DF89" s="47">
        <v>0</v>
      </c>
      <c r="DG89" s="47">
        <v>0</v>
      </c>
      <c r="DH89" s="47">
        <v>0</v>
      </c>
      <c r="DI89" s="47">
        <v>0</v>
      </c>
      <c r="DJ89" s="47">
        <v>0</v>
      </c>
      <c r="DK89" s="47">
        <v>0</v>
      </c>
      <c r="DL89" s="47">
        <v>0</v>
      </c>
      <c r="DM89" s="47">
        <v>0</v>
      </c>
      <c r="DN89" s="47">
        <v>0</v>
      </c>
      <c r="DO89" s="47">
        <v>0</v>
      </c>
      <c r="DP89" s="47">
        <v>0</v>
      </c>
      <c r="DQ89" s="47">
        <v>0</v>
      </c>
      <c r="DR89" s="47">
        <v>0</v>
      </c>
      <c r="DS89" s="47">
        <v>0</v>
      </c>
      <c r="DT89" s="47">
        <v>0</v>
      </c>
      <c r="DU89" s="47">
        <v>0</v>
      </c>
      <c r="DV89" s="47">
        <v>0</v>
      </c>
      <c r="DW89" s="47">
        <v>0</v>
      </c>
      <c r="DX89" s="47">
        <v>0</v>
      </c>
      <c r="DY89" s="47">
        <v>0</v>
      </c>
      <c r="DZ89" s="47"/>
      <c r="EA89" s="47">
        <v>1</v>
      </c>
      <c r="ZZ89" t="s">
        <v>1084</v>
      </c>
    </row>
    <row r="90" spans="1:702" x14ac:dyDescent="0.25">
      <c r="A90" s="47" t="s">
        <v>557</v>
      </c>
      <c r="B90" s="47" t="s">
        <v>151</v>
      </c>
      <c r="C90" s="47" t="s">
        <v>155</v>
      </c>
      <c r="D90" s="47" t="s">
        <v>1169</v>
      </c>
      <c r="E90" s="47" t="s">
        <v>558</v>
      </c>
      <c r="F90" s="47" t="s">
        <v>559</v>
      </c>
      <c r="G90" s="47" t="s">
        <v>560</v>
      </c>
      <c r="H90" s="47" t="s">
        <v>380</v>
      </c>
      <c r="I90" s="47" t="s">
        <v>411</v>
      </c>
      <c r="J90" s="47" t="str">
        <f>=IFERROR(VLOOKUP(H90&amp;I90,Table_Fonctions!A:G,6,FALSE),"")</f>
        <v>0</v>
      </c>
      <c r="K90" s="47" t="s">
        <v>1132</v>
      </c>
      <c r="L90" s="47" t="str">
        <f>=IFERROR(VLOOKUP(H90&amp;I90,Table_Fonctions!A:G,7,FALSE),K90)</f>
        <v/>
      </c>
      <c r="M90" s="47" t="str">
        <f>=IF(OR(LEFT(D90, 3)="TJ ", LEFT(D90, 4)="CPH "), "OUI", "NON")</f>
        <v/>
      </c>
      <c r="N90" s="47" t="s">
        <v>561</v>
      </c>
      <c r="O90" s="47"/>
      <c r="P90" s="47">
        <v>1</v>
      </c>
      <c r="Q90" s="47">
        <v>0</v>
      </c>
      <c r="R90" s="47">
        <v>1</v>
      </c>
      <c r="S90" s="47">
        <f>=ROUND(BQ90-(BR90+BS90),3)</f>
      </c>
      <c r="T90" s="47">
        <f>=ROUND(CK90-(CL90+CM90+CN90+CO90+CP90),3)</f>
      </c>
      <c r="U90" s="47">
        <v>0</v>
      </c>
      <c r="V90" s="47">
        <v>0</v>
      </c>
      <c r="W90" s="47">
        <v>0</v>
      </c>
      <c r="X90" s="47">
        <v>0</v>
      </c>
      <c r="Y90" s="47">
        <v>0</v>
      </c>
      <c r="Z90" s="47">
        <v>0</v>
      </c>
      <c r="AA90" s="47">
        <v>0</v>
      </c>
      <c r="AB90" s="47">
        <v>0</v>
      </c>
      <c r="AC90" s="47">
        <v>0</v>
      </c>
      <c r="AD90" s="47">
        <v>0</v>
      </c>
      <c r="AE90" s="47">
        <v>0</v>
      </c>
      <c r="AF90" s="47">
        <v>0</v>
      </c>
      <c r="AG90" s="47">
        <v>0</v>
      </c>
      <c r="AH90" s="47">
        <v>0</v>
      </c>
      <c r="AI90" s="47">
        <v>0</v>
      </c>
      <c r="AJ90" s="47">
        <v>0</v>
      </c>
      <c r="AK90" s="47">
        <v>0</v>
      </c>
      <c r="AL90" s="47">
        <v>0</v>
      </c>
      <c r="AM90" s="47">
        <v>0</v>
      </c>
      <c r="AN90" s="47">
        <v>0</v>
      </c>
      <c r="AO90" s="47">
        <v>0</v>
      </c>
      <c r="AP90" s="47">
        <v>0</v>
      </c>
      <c r="AQ90" s="47">
        <v>0</v>
      </c>
      <c r="AR90" s="47">
        <v>0</v>
      </c>
      <c r="AS90" s="47">
        <v>0</v>
      </c>
      <c r="AT90" s="47">
        <v>0</v>
      </c>
      <c r="AU90" s="47">
        <v>0</v>
      </c>
      <c r="AV90" s="47">
        <v>0</v>
      </c>
      <c r="AW90" s="47">
        <v>0</v>
      </c>
      <c r="AX90" s="47">
        <v>0</v>
      </c>
      <c r="AY90" s="47">
        <v>0</v>
      </c>
      <c r="AZ90" s="47">
        <v>0</v>
      </c>
      <c r="BA90" s="47">
        <v>0</v>
      </c>
      <c r="BB90" s="47">
        <v>0</v>
      </c>
      <c r="BC90" s="47">
        <v>0</v>
      </c>
      <c r="BD90" s="47">
        <v>0</v>
      </c>
      <c r="BE90" s="47">
        <v>0</v>
      </c>
      <c r="BF90" s="47">
        <v>0</v>
      </c>
      <c r="BG90" s="47">
        <v>0</v>
      </c>
      <c r="BH90" s="47">
        <v>0</v>
      </c>
      <c r="BI90" s="47">
        <v>0</v>
      </c>
      <c r="BJ90" s="47">
        <v>0</v>
      </c>
      <c r="BK90" s="47">
        <v>0</v>
      </c>
      <c r="BL90" s="47">
        <v>0</v>
      </c>
      <c r="BM90" s="47">
        <v>0</v>
      </c>
      <c r="BN90" s="47">
        <v>0</v>
      </c>
      <c r="BO90" s="47">
        <v>0</v>
      </c>
      <c r="BP90" s="47">
        <v>0</v>
      </c>
      <c r="BQ90" s="47">
        <v>0</v>
      </c>
      <c r="BR90" s="47">
        <v>0</v>
      </c>
      <c r="BS90" s="47">
        <v>0</v>
      </c>
      <c r="BT90" s="47">
        <v>0</v>
      </c>
      <c r="BU90" s="47">
        <v>0</v>
      </c>
      <c r="BV90" s="47">
        <v>0</v>
      </c>
      <c r="BW90" s="47">
        <v>0</v>
      </c>
      <c r="BX90" s="47">
        <v>0</v>
      </c>
      <c r="BY90" s="47">
        <v>0</v>
      </c>
      <c r="BZ90" s="47">
        <v>0</v>
      </c>
      <c r="CA90" s="47">
        <v>0</v>
      </c>
      <c r="CB90" s="47">
        <v>0</v>
      </c>
      <c r="CC90" s="47">
        <v>0</v>
      </c>
      <c r="CD90" s="47">
        <v>0</v>
      </c>
      <c r="CE90" s="47">
        <v>0</v>
      </c>
      <c r="CF90" s="47">
        <v>0</v>
      </c>
      <c r="CG90" s="47">
        <v>0</v>
      </c>
      <c r="CH90" s="47">
        <v>0</v>
      </c>
      <c r="CI90" s="47">
        <v>0</v>
      </c>
      <c r="CJ90" s="47">
        <v>0</v>
      </c>
      <c r="CK90" s="47">
        <v>0</v>
      </c>
      <c r="CL90" s="47">
        <v>0</v>
      </c>
      <c r="CM90" s="47">
        <v>0</v>
      </c>
      <c r="CN90" s="47">
        <v>0</v>
      </c>
      <c r="CO90" s="47">
        <v>0</v>
      </c>
      <c r="CP90" s="47">
        <v>0</v>
      </c>
      <c r="CQ90" s="47">
        <v>0</v>
      </c>
      <c r="CR90" s="47">
        <v>0</v>
      </c>
      <c r="CS90" s="47">
        <v>0</v>
      </c>
      <c r="CT90" s="47">
        <v>0</v>
      </c>
      <c r="CU90" s="47">
        <v>0</v>
      </c>
      <c r="CV90" s="47">
        <v>0</v>
      </c>
      <c r="CW90" s="47">
        <v>0</v>
      </c>
      <c r="CX90" s="47">
        <v>0</v>
      </c>
      <c r="CY90" s="47">
        <v>0</v>
      </c>
      <c r="CZ90" s="47">
        <v>0</v>
      </c>
      <c r="DA90" s="47">
        <v>0</v>
      </c>
      <c r="DB90" s="47">
        <v>0</v>
      </c>
      <c r="DC90" s="47">
        <v>0</v>
      </c>
      <c r="DD90" s="47">
        <v>0</v>
      </c>
      <c r="DE90" s="47">
        <v>0</v>
      </c>
      <c r="DF90" s="47">
        <v>0</v>
      </c>
      <c r="DG90" s="47">
        <v>0</v>
      </c>
      <c r="DH90" s="47">
        <v>0</v>
      </c>
      <c r="DI90" s="47">
        <v>0</v>
      </c>
      <c r="DJ90" s="47">
        <v>0</v>
      </c>
      <c r="DK90" s="47">
        <v>0</v>
      </c>
      <c r="DL90" s="47">
        <v>0</v>
      </c>
      <c r="DM90" s="47">
        <v>0</v>
      </c>
      <c r="DN90" s="47">
        <v>0</v>
      </c>
      <c r="DO90" s="47">
        <v>0</v>
      </c>
      <c r="DP90" s="47">
        <v>0</v>
      </c>
      <c r="DQ90" s="47">
        <v>0</v>
      </c>
      <c r="DR90" s="47">
        <v>0</v>
      </c>
      <c r="DS90" s="47">
        <v>0</v>
      </c>
      <c r="DT90" s="47">
        <v>0</v>
      </c>
      <c r="DU90" s="47">
        <v>0</v>
      </c>
      <c r="DV90" s="47">
        <v>0</v>
      </c>
      <c r="DW90" s="47">
        <v>0</v>
      </c>
      <c r="DX90" s="47">
        <v>0</v>
      </c>
      <c r="DY90" s="47">
        <v>0</v>
      </c>
      <c r="DZ90" s="47"/>
      <c r="EA90" s="47">
        <v>1</v>
      </c>
      <c r="ZZ90" t="s">
        <v>1084</v>
      </c>
    </row>
    <row r="91" spans="1:702" x14ac:dyDescent="0.25">
      <c r="A91" s="47" t="s">
        <v>562</v>
      </c>
      <c r="B91" s="47" t="s">
        <v>151</v>
      </c>
      <c r="C91" s="47" t="s">
        <v>155</v>
      </c>
      <c r="D91" s="47" t="s">
        <v>1170</v>
      </c>
      <c r="E91" s="47" t="s">
        <v>563</v>
      </c>
      <c r="F91" s="47" t="s">
        <v>564</v>
      </c>
      <c r="G91" s="47" t="s">
        <v>565</v>
      </c>
      <c r="H91" s="47" t="s">
        <v>380</v>
      </c>
      <c r="I91" s="47" t="s">
        <v>411</v>
      </c>
      <c r="J91" s="47" t="str">
        <f>=IFERROR(VLOOKUP(H91&amp;I91,Table_Fonctions!A:G,6,FALSE),"")</f>
        <v>0</v>
      </c>
      <c r="K91" s="47" t="s">
        <v>1132</v>
      </c>
      <c r="L91" s="47" t="str">
        <f>=IFERROR(VLOOKUP(H91&amp;I91,Table_Fonctions!A:G,7,FALSE),K91)</f>
        <v/>
      </c>
      <c r="M91" s="47" t="str">
        <f>=IF(OR(LEFT(D91, 3)="TJ ", LEFT(D91, 4)="CPH "), "OUI", "NON")</f>
        <v/>
      </c>
      <c r="N91" s="47" t="s">
        <v>400</v>
      </c>
      <c r="O91" s="47"/>
      <c r="P91" s="47">
        <v>1</v>
      </c>
      <c r="Q91" s="47">
        <v>1</v>
      </c>
      <c r="R91" s="47">
        <v>0</v>
      </c>
      <c r="S91" s="47">
        <f>=ROUND(BQ91-(BR91+BS91),3)</f>
      </c>
      <c r="T91" s="47">
        <f>=ROUND(CK91-(CL91+CM91+CN91+CO91+CP91),3)</f>
      </c>
      <c r="U91" s="47">
        <v>0</v>
      </c>
      <c r="V91" s="47">
        <v>0</v>
      </c>
      <c r="W91" s="47">
        <v>0</v>
      </c>
      <c r="X91" s="47">
        <v>0</v>
      </c>
      <c r="Y91" s="47">
        <v>0</v>
      </c>
      <c r="Z91" s="47">
        <v>0</v>
      </c>
      <c r="AA91" s="47">
        <v>0</v>
      </c>
      <c r="AB91" s="47">
        <v>0</v>
      </c>
      <c r="AC91" s="47">
        <v>0</v>
      </c>
      <c r="AD91" s="47">
        <v>0</v>
      </c>
      <c r="AE91" s="47">
        <v>0</v>
      </c>
      <c r="AF91" s="47">
        <v>0</v>
      </c>
      <c r="AG91" s="47">
        <v>0</v>
      </c>
      <c r="AH91" s="47">
        <v>0</v>
      </c>
      <c r="AI91" s="47">
        <v>0</v>
      </c>
      <c r="AJ91" s="47">
        <v>0</v>
      </c>
      <c r="AK91" s="47">
        <v>0</v>
      </c>
      <c r="AL91" s="47">
        <v>0</v>
      </c>
      <c r="AM91" s="47">
        <v>0</v>
      </c>
      <c r="AN91" s="47">
        <v>0</v>
      </c>
      <c r="AO91" s="47">
        <v>0</v>
      </c>
      <c r="AP91" s="47">
        <v>0</v>
      </c>
      <c r="AQ91" s="47">
        <v>0</v>
      </c>
      <c r="AR91" s="47">
        <v>0</v>
      </c>
      <c r="AS91" s="47">
        <v>0</v>
      </c>
      <c r="AT91" s="47">
        <v>0</v>
      </c>
      <c r="AU91" s="47">
        <v>0</v>
      </c>
      <c r="AV91" s="47">
        <v>0</v>
      </c>
      <c r="AW91" s="47">
        <v>0</v>
      </c>
      <c r="AX91" s="47">
        <v>0</v>
      </c>
      <c r="AY91" s="47">
        <v>0</v>
      </c>
      <c r="AZ91" s="47">
        <v>0</v>
      </c>
      <c r="BA91" s="47">
        <v>0</v>
      </c>
      <c r="BB91" s="47">
        <v>0</v>
      </c>
      <c r="BC91" s="47">
        <v>0</v>
      </c>
      <c r="BD91" s="47">
        <v>0</v>
      </c>
      <c r="BE91" s="47">
        <v>0</v>
      </c>
      <c r="BF91" s="47">
        <v>0</v>
      </c>
      <c r="BG91" s="47">
        <v>0</v>
      </c>
      <c r="BH91" s="47">
        <v>0</v>
      </c>
      <c r="BI91" s="47">
        <v>0</v>
      </c>
      <c r="BJ91" s="47">
        <v>0</v>
      </c>
      <c r="BK91" s="47">
        <v>0</v>
      </c>
      <c r="BL91" s="47">
        <v>0</v>
      </c>
      <c r="BM91" s="47">
        <v>0</v>
      </c>
      <c r="BN91" s="47">
        <v>0</v>
      </c>
      <c r="BO91" s="47">
        <v>0</v>
      </c>
      <c r="BP91" s="47">
        <v>0</v>
      </c>
      <c r="BQ91" s="47">
        <v>0</v>
      </c>
      <c r="BR91" s="47">
        <v>0</v>
      </c>
      <c r="BS91" s="47">
        <v>0</v>
      </c>
      <c r="BT91" s="47">
        <v>0</v>
      </c>
      <c r="BU91" s="47">
        <v>0</v>
      </c>
      <c r="BV91" s="47">
        <v>0</v>
      </c>
      <c r="BW91" s="47">
        <v>0</v>
      </c>
      <c r="BX91" s="47">
        <v>0</v>
      </c>
      <c r="BY91" s="47">
        <v>0</v>
      </c>
      <c r="BZ91" s="47">
        <v>0</v>
      </c>
      <c r="CA91" s="47">
        <v>0</v>
      </c>
      <c r="CB91" s="47">
        <v>0</v>
      </c>
      <c r="CC91" s="47">
        <v>0</v>
      </c>
      <c r="CD91" s="47">
        <v>0</v>
      </c>
      <c r="CE91" s="47">
        <v>0</v>
      </c>
      <c r="CF91" s="47">
        <v>0</v>
      </c>
      <c r="CG91" s="47">
        <v>0</v>
      </c>
      <c r="CH91" s="47">
        <v>0</v>
      </c>
      <c r="CI91" s="47">
        <v>0</v>
      </c>
      <c r="CJ91" s="47">
        <v>0</v>
      </c>
      <c r="CK91" s="47">
        <v>0</v>
      </c>
      <c r="CL91" s="47">
        <v>0</v>
      </c>
      <c r="CM91" s="47">
        <v>0</v>
      </c>
      <c r="CN91" s="47">
        <v>0</v>
      </c>
      <c r="CO91" s="47">
        <v>0</v>
      </c>
      <c r="CP91" s="47">
        <v>0</v>
      </c>
      <c r="CQ91" s="47">
        <v>0</v>
      </c>
      <c r="CR91" s="47">
        <v>0</v>
      </c>
      <c r="CS91" s="47">
        <v>0</v>
      </c>
      <c r="CT91" s="47">
        <v>0</v>
      </c>
      <c r="CU91" s="47">
        <v>0</v>
      </c>
      <c r="CV91" s="47">
        <v>0</v>
      </c>
      <c r="CW91" s="47">
        <v>0</v>
      </c>
      <c r="CX91" s="47">
        <v>0</v>
      </c>
      <c r="CY91" s="47">
        <v>1</v>
      </c>
      <c r="CZ91" s="47">
        <v>0</v>
      </c>
      <c r="DA91" s="47">
        <v>0.0004</v>
      </c>
      <c r="DB91" s="47">
        <v>0</v>
      </c>
      <c r="DC91" s="47">
        <v>0</v>
      </c>
      <c r="DD91" s="47">
        <v>0</v>
      </c>
      <c r="DE91" s="47">
        <v>0</v>
      </c>
      <c r="DF91" s="47">
        <v>0</v>
      </c>
      <c r="DG91" s="47">
        <v>0</v>
      </c>
      <c r="DH91" s="47">
        <v>0</v>
      </c>
      <c r="DI91" s="47">
        <v>0</v>
      </c>
      <c r="DJ91" s="47">
        <v>0.9996</v>
      </c>
      <c r="DK91" s="47">
        <v>0</v>
      </c>
      <c r="DL91" s="47">
        <v>0</v>
      </c>
      <c r="DM91" s="47">
        <v>0</v>
      </c>
      <c r="DN91" s="47">
        <v>0</v>
      </c>
      <c r="DO91" s="47">
        <v>0</v>
      </c>
      <c r="DP91" s="47">
        <v>0</v>
      </c>
      <c r="DQ91" s="47">
        <v>0</v>
      </c>
      <c r="DR91" s="47">
        <v>0</v>
      </c>
      <c r="DS91" s="47">
        <v>0</v>
      </c>
      <c r="DT91" s="47">
        <v>0</v>
      </c>
      <c r="DU91" s="47">
        <v>0</v>
      </c>
      <c r="DV91" s="47">
        <v>0</v>
      </c>
      <c r="DW91" s="47">
        <v>0</v>
      </c>
      <c r="DX91" s="47">
        <v>0</v>
      </c>
      <c r="DY91" s="47">
        <v>0</v>
      </c>
      <c r="DZ91" s="47"/>
      <c r="EA91" s="47">
        <v>1</v>
      </c>
      <c r="ZZ91" t="s">
        <v>1084</v>
      </c>
    </row>
    <row r="92" spans="1:702" x14ac:dyDescent="0.25">
      <c r="A92" s="47" t="s">
        <v>566</v>
      </c>
      <c r="B92" s="47" t="s">
        <v>151</v>
      </c>
      <c r="C92" s="47" t="s">
        <v>155</v>
      </c>
      <c r="D92" s="47" t="s">
        <v>1171</v>
      </c>
      <c r="E92" s="47" t="s">
        <v>567</v>
      </c>
      <c r="F92" s="47" t="s">
        <v>568</v>
      </c>
      <c r="G92" s="47" t="s">
        <v>569</v>
      </c>
      <c r="H92" s="47" t="s">
        <v>380</v>
      </c>
      <c r="I92" s="47" t="s">
        <v>421</v>
      </c>
      <c r="J92" s="47" t="str">
        <f>=IFERROR(VLOOKUP(H92&amp;I92,Table_Fonctions!A:G,6,FALSE),"")</f>
        <v>0</v>
      </c>
      <c r="K92" s="47" t="s">
        <v>1132</v>
      </c>
      <c r="L92" s="47" t="str">
        <f>=IFERROR(VLOOKUP(H92&amp;I92,Table_Fonctions!A:G,7,FALSE),K92)</f>
        <v/>
      </c>
      <c r="M92" s="47" t="str">
        <f>=IF(OR(LEFT(D92, 3)="TJ ", LEFT(D92, 4)="CPH "), "OUI", "NON")</f>
        <v/>
      </c>
      <c r="N92" s="47" t="s">
        <v>475</v>
      </c>
      <c r="O92" s="47" t="s">
        <v>570</v>
      </c>
      <c r="P92" s="47">
        <v>0.0524</v>
      </c>
      <c r="Q92" s="47">
        <v>0</v>
      </c>
      <c r="R92" s="47">
        <v>0.0524</v>
      </c>
      <c r="S92" s="47">
        <f>=ROUND(BQ92-(BR92+BS92),3)</f>
      </c>
      <c r="T92" s="47">
        <f>=ROUND(CK92-(CL92+CM92+CN92+CO92+CP92),3)</f>
      </c>
      <c r="U92" s="47">
        <v>0</v>
      </c>
      <c r="V92" s="47">
        <v>0</v>
      </c>
      <c r="W92" s="47">
        <v>0</v>
      </c>
      <c r="X92" s="47">
        <v>0</v>
      </c>
      <c r="Y92" s="47">
        <v>0</v>
      </c>
      <c r="Z92" s="47">
        <v>0</v>
      </c>
      <c r="AA92" s="47">
        <v>0</v>
      </c>
      <c r="AB92" s="47">
        <v>0</v>
      </c>
      <c r="AC92" s="47">
        <v>0</v>
      </c>
      <c r="AD92" s="47">
        <v>0</v>
      </c>
      <c r="AE92" s="47">
        <v>0</v>
      </c>
      <c r="AF92" s="47">
        <v>0</v>
      </c>
      <c r="AG92" s="47">
        <v>0</v>
      </c>
      <c r="AH92" s="47">
        <v>0</v>
      </c>
      <c r="AI92" s="47">
        <v>0</v>
      </c>
      <c r="AJ92" s="47">
        <v>0</v>
      </c>
      <c r="AK92" s="47">
        <v>0</v>
      </c>
      <c r="AL92" s="47">
        <v>0</v>
      </c>
      <c r="AM92" s="47">
        <v>0</v>
      </c>
      <c r="AN92" s="47">
        <v>0</v>
      </c>
      <c r="AO92" s="47">
        <v>0</v>
      </c>
      <c r="AP92" s="47">
        <v>0</v>
      </c>
      <c r="AQ92" s="47">
        <v>0</v>
      </c>
      <c r="AR92" s="47">
        <v>0</v>
      </c>
      <c r="AS92" s="47">
        <v>0</v>
      </c>
      <c r="AT92" s="47">
        <v>0</v>
      </c>
      <c r="AU92" s="47">
        <v>0</v>
      </c>
      <c r="AV92" s="47">
        <v>0</v>
      </c>
      <c r="AW92" s="47">
        <v>0</v>
      </c>
      <c r="AX92" s="47">
        <v>0</v>
      </c>
      <c r="AY92" s="47">
        <v>0</v>
      </c>
      <c r="AZ92" s="47">
        <v>0</v>
      </c>
      <c r="BA92" s="47">
        <v>0</v>
      </c>
      <c r="BB92" s="47">
        <v>0</v>
      </c>
      <c r="BC92" s="47">
        <v>0</v>
      </c>
      <c r="BD92" s="47">
        <v>0</v>
      </c>
      <c r="BE92" s="47">
        <v>0</v>
      </c>
      <c r="BF92" s="47">
        <v>0</v>
      </c>
      <c r="BG92" s="47">
        <v>0</v>
      </c>
      <c r="BH92" s="47">
        <v>0</v>
      </c>
      <c r="BI92" s="47">
        <v>0</v>
      </c>
      <c r="BJ92" s="47">
        <v>0</v>
      </c>
      <c r="BK92" s="47">
        <v>0</v>
      </c>
      <c r="BL92" s="47">
        <v>0</v>
      </c>
      <c r="BM92" s="47">
        <v>0</v>
      </c>
      <c r="BN92" s="47">
        <v>0</v>
      </c>
      <c r="BO92" s="47">
        <v>0</v>
      </c>
      <c r="BP92" s="47">
        <v>0</v>
      </c>
      <c r="BQ92" s="47">
        <v>0</v>
      </c>
      <c r="BR92" s="47">
        <v>0</v>
      </c>
      <c r="BS92" s="47">
        <v>0</v>
      </c>
      <c r="BT92" s="47">
        <v>0</v>
      </c>
      <c r="BU92" s="47">
        <v>0</v>
      </c>
      <c r="BV92" s="47">
        <v>0</v>
      </c>
      <c r="BW92" s="47">
        <v>0</v>
      </c>
      <c r="BX92" s="47">
        <v>0</v>
      </c>
      <c r="BY92" s="47">
        <v>0</v>
      </c>
      <c r="BZ92" s="47">
        <v>0</v>
      </c>
      <c r="CA92" s="47">
        <v>0</v>
      </c>
      <c r="CB92" s="47">
        <v>0</v>
      </c>
      <c r="CC92" s="47">
        <v>0</v>
      </c>
      <c r="CD92" s="47">
        <v>0</v>
      </c>
      <c r="CE92" s="47">
        <v>0</v>
      </c>
      <c r="CF92" s="47">
        <v>0</v>
      </c>
      <c r="CG92" s="47">
        <v>0</v>
      </c>
      <c r="CH92" s="47">
        <v>0</v>
      </c>
      <c r="CI92" s="47">
        <v>0</v>
      </c>
      <c r="CJ92" s="47">
        <v>0</v>
      </c>
      <c r="CK92" s="47">
        <v>0</v>
      </c>
      <c r="CL92" s="47">
        <v>0</v>
      </c>
      <c r="CM92" s="47">
        <v>0</v>
      </c>
      <c r="CN92" s="47">
        <v>0</v>
      </c>
      <c r="CO92" s="47">
        <v>0</v>
      </c>
      <c r="CP92" s="47">
        <v>0</v>
      </c>
      <c r="CQ92" s="47">
        <v>0</v>
      </c>
      <c r="CR92" s="47">
        <v>0</v>
      </c>
      <c r="CS92" s="47">
        <v>0</v>
      </c>
      <c r="CT92" s="47">
        <v>0</v>
      </c>
      <c r="CU92" s="47">
        <v>0</v>
      </c>
      <c r="CV92" s="47">
        <v>0</v>
      </c>
      <c r="CW92" s="47">
        <v>0</v>
      </c>
      <c r="CX92" s="47">
        <v>0</v>
      </c>
      <c r="CY92" s="47">
        <v>0</v>
      </c>
      <c r="CZ92" s="47">
        <v>0</v>
      </c>
      <c r="DA92" s="47">
        <v>0</v>
      </c>
      <c r="DB92" s="47">
        <v>0</v>
      </c>
      <c r="DC92" s="47">
        <v>0</v>
      </c>
      <c r="DD92" s="47">
        <v>0</v>
      </c>
      <c r="DE92" s="47">
        <v>0</v>
      </c>
      <c r="DF92" s="47">
        <v>0</v>
      </c>
      <c r="DG92" s="47">
        <v>0</v>
      </c>
      <c r="DH92" s="47">
        <v>0</v>
      </c>
      <c r="DI92" s="47">
        <v>0</v>
      </c>
      <c r="DJ92" s="47">
        <v>0</v>
      </c>
      <c r="DK92" s="47">
        <v>0</v>
      </c>
      <c r="DL92" s="47">
        <v>0</v>
      </c>
      <c r="DM92" s="47">
        <v>0</v>
      </c>
      <c r="DN92" s="47">
        <v>0</v>
      </c>
      <c r="DO92" s="47">
        <v>0</v>
      </c>
      <c r="DP92" s="47">
        <v>0</v>
      </c>
      <c r="DQ92" s="47">
        <v>0</v>
      </c>
      <c r="DR92" s="47">
        <v>0</v>
      </c>
      <c r="DS92" s="47">
        <v>0</v>
      </c>
      <c r="DT92" s="47">
        <v>0</v>
      </c>
      <c r="DU92" s="47">
        <v>0</v>
      </c>
      <c r="DV92" s="47">
        <v>0</v>
      </c>
      <c r="DW92" s="47">
        <v>0</v>
      </c>
      <c r="DX92" s="47">
        <v>0</v>
      </c>
      <c r="DY92" s="47">
        <v>0</v>
      </c>
      <c r="DZ92" s="47"/>
      <c r="EA92" s="47">
        <v>0.0524</v>
      </c>
      <c r="ZZ92" t="s">
        <v>1084</v>
      </c>
    </row>
    <row r="93" spans="1:702" x14ac:dyDescent="0.25">
      <c r="A93" s="47" t="s">
        <v>571</v>
      </c>
      <c r="B93" s="47" t="s">
        <v>151</v>
      </c>
      <c r="C93" s="47" t="s">
        <v>155</v>
      </c>
      <c r="D93" s="47" t="s">
        <v>1172</v>
      </c>
      <c r="E93" s="47" t="s">
        <v>572</v>
      </c>
      <c r="F93" s="47" t="s">
        <v>573</v>
      </c>
      <c r="G93" s="47" t="s">
        <v>574</v>
      </c>
      <c r="H93" s="47" t="s">
        <v>380</v>
      </c>
      <c r="I93" s="47" t="s">
        <v>411</v>
      </c>
      <c r="J93" s="47" t="str">
        <f>=IFERROR(VLOOKUP(H93&amp;I93,Table_Fonctions!A:G,6,FALSE),"")</f>
        <v>0</v>
      </c>
      <c r="K93" s="47" t="s">
        <v>1132</v>
      </c>
      <c r="L93" s="47" t="str">
        <f>=IFERROR(VLOOKUP(H93&amp;I93,Table_Fonctions!A:G,7,FALSE),K93)</f>
        <v/>
      </c>
      <c r="M93" s="47" t="str">
        <f>=IF(OR(LEFT(D93, 3)="TJ ", LEFT(D93, 4)="CPH "), "OUI", "NON")</f>
        <v/>
      </c>
      <c r="N93" s="47" t="s">
        <v>575</v>
      </c>
      <c r="O93" s="47"/>
      <c r="P93" s="47">
        <v>1</v>
      </c>
      <c r="Q93" s="47">
        <v>0</v>
      </c>
      <c r="R93" s="47">
        <v>1</v>
      </c>
      <c r="S93" s="47">
        <f>=ROUND(BQ93-(BR93+BS93),3)</f>
      </c>
      <c r="T93" s="47">
        <f>=ROUND(CK93-(CL93+CM93+CN93+CO93+CP93),3)</f>
      </c>
      <c r="U93" s="47">
        <v>0</v>
      </c>
      <c r="V93" s="47">
        <v>0</v>
      </c>
      <c r="W93" s="47">
        <v>0</v>
      </c>
      <c r="X93" s="47">
        <v>0</v>
      </c>
      <c r="Y93" s="47">
        <v>0</v>
      </c>
      <c r="Z93" s="47">
        <v>0</v>
      </c>
      <c r="AA93" s="47">
        <v>0</v>
      </c>
      <c r="AB93" s="47">
        <v>0</v>
      </c>
      <c r="AC93" s="47">
        <v>0</v>
      </c>
      <c r="AD93" s="47">
        <v>0</v>
      </c>
      <c r="AE93" s="47">
        <v>0</v>
      </c>
      <c r="AF93" s="47">
        <v>0</v>
      </c>
      <c r="AG93" s="47">
        <v>0</v>
      </c>
      <c r="AH93" s="47">
        <v>0</v>
      </c>
      <c r="AI93" s="47">
        <v>0</v>
      </c>
      <c r="AJ93" s="47">
        <v>0</v>
      </c>
      <c r="AK93" s="47">
        <v>0</v>
      </c>
      <c r="AL93" s="47">
        <v>0</v>
      </c>
      <c r="AM93" s="47">
        <v>0</v>
      </c>
      <c r="AN93" s="47">
        <v>0</v>
      </c>
      <c r="AO93" s="47">
        <v>0</v>
      </c>
      <c r="AP93" s="47">
        <v>0</v>
      </c>
      <c r="AQ93" s="47">
        <v>0</v>
      </c>
      <c r="AR93" s="47">
        <v>0</v>
      </c>
      <c r="AS93" s="47">
        <v>0</v>
      </c>
      <c r="AT93" s="47">
        <v>0</v>
      </c>
      <c r="AU93" s="47">
        <v>0</v>
      </c>
      <c r="AV93" s="47">
        <v>0</v>
      </c>
      <c r="AW93" s="47">
        <v>0</v>
      </c>
      <c r="AX93" s="47">
        <v>0</v>
      </c>
      <c r="AY93" s="47">
        <v>0</v>
      </c>
      <c r="AZ93" s="47">
        <v>0</v>
      </c>
      <c r="BA93" s="47">
        <v>0</v>
      </c>
      <c r="BB93" s="47">
        <v>0</v>
      </c>
      <c r="BC93" s="47">
        <v>0</v>
      </c>
      <c r="BD93" s="47">
        <v>0</v>
      </c>
      <c r="BE93" s="47">
        <v>0</v>
      </c>
      <c r="BF93" s="47">
        <v>0</v>
      </c>
      <c r="BG93" s="47">
        <v>0</v>
      </c>
      <c r="BH93" s="47">
        <v>0</v>
      </c>
      <c r="BI93" s="47">
        <v>0</v>
      </c>
      <c r="BJ93" s="47">
        <v>0</v>
      </c>
      <c r="BK93" s="47">
        <v>0</v>
      </c>
      <c r="BL93" s="47">
        <v>0</v>
      </c>
      <c r="BM93" s="47">
        <v>0</v>
      </c>
      <c r="BN93" s="47">
        <v>0</v>
      </c>
      <c r="BO93" s="47">
        <v>0</v>
      </c>
      <c r="BP93" s="47">
        <v>0</v>
      </c>
      <c r="BQ93" s="47">
        <v>0</v>
      </c>
      <c r="BR93" s="47">
        <v>0</v>
      </c>
      <c r="BS93" s="47">
        <v>0</v>
      </c>
      <c r="BT93" s="47">
        <v>0</v>
      </c>
      <c r="BU93" s="47">
        <v>0</v>
      </c>
      <c r="BV93" s="47">
        <v>0</v>
      </c>
      <c r="BW93" s="47">
        <v>0</v>
      </c>
      <c r="BX93" s="47">
        <v>0</v>
      </c>
      <c r="BY93" s="47">
        <v>0</v>
      </c>
      <c r="BZ93" s="47">
        <v>0</v>
      </c>
      <c r="CA93" s="47">
        <v>0</v>
      </c>
      <c r="CB93" s="47">
        <v>0</v>
      </c>
      <c r="CC93" s="47">
        <v>0</v>
      </c>
      <c r="CD93" s="47">
        <v>0</v>
      </c>
      <c r="CE93" s="47">
        <v>0</v>
      </c>
      <c r="CF93" s="47">
        <v>0</v>
      </c>
      <c r="CG93" s="47">
        <v>0</v>
      </c>
      <c r="CH93" s="47">
        <v>0</v>
      </c>
      <c r="CI93" s="47">
        <v>0</v>
      </c>
      <c r="CJ93" s="47">
        <v>0</v>
      </c>
      <c r="CK93" s="47">
        <v>0</v>
      </c>
      <c r="CL93" s="47">
        <v>0</v>
      </c>
      <c r="CM93" s="47">
        <v>0</v>
      </c>
      <c r="CN93" s="47">
        <v>0</v>
      </c>
      <c r="CO93" s="47">
        <v>0</v>
      </c>
      <c r="CP93" s="47">
        <v>0</v>
      </c>
      <c r="CQ93" s="47">
        <v>0</v>
      </c>
      <c r="CR93" s="47">
        <v>0</v>
      </c>
      <c r="CS93" s="47">
        <v>0</v>
      </c>
      <c r="CT93" s="47">
        <v>0</v>
      </c>
      <c r="CU93" s="47">
        <v>0</v>
      </c>
      <c r="CV93" s="47">
        <v>0</v>
      </c>
      <c r="CW93" s="47">
        <v>0</v>
      </c>
      <c r="CX93" s="47">
        <v>0</v>
      </c>
      <c r="CY93" s="47">
        <v>0</v>
      </c>
      <c r="CZ93" s="47">
        <v>0</v>
      </c>
      <c r="DA93" s="47">
        <v>0</v>
      </c>
      <c r="DB93" s="47">
        <v>0</v>
      </c>
      <c r="DC93" s="47">
        <v>0</v>
      </c>
      <c r="DD93" s="47">
        <v>0</v>
      </c>
      <c r="DE93" s="47">
        <v>0</v>
      </c>
      <c r="DF93" s="47">
        <v>0</v>
      </c>
      <c r="DG93" s="47">
        <v>0</v>
      </c>
      <c r="DH93" s="47">
        <v>0</v>
      </c>
      <c r="DI93" s="47">
        <v>0</v>
      </c>
      <c r="DJ93" s="47">
        <v>0</v>
      </c>
      <c r="DK93" s="47">
        <v>0</v>
      </c>
      <c r="DL93" s="47">
        <v>0</v>
      </c>
      <c r="DM93" s="47">
        <v>0</v>
      </c>
      <c r="DN93" s="47">
        <v>0</v>
      </c>
      <c r="DO93" s="47">
        <v>0</v>
      </c>
      <c r="DP93" s="47">
        <v>0</v>
      </c>
      <c r="DQ93" s="47">
        <v>0</v>
      </c>
      <c r="DR93" s="47">
        <v>0</v>
      </c>
      <c r="DS93" s="47">
        <v>0</v>
      </c>
      <c r="DT93" s="47">
        <v>0</v>
      </c>
      <c r="DU93" s="47">
        <v>0</v>
      </c>
      <c r="DV93" s="47">
        <v>0</v>
      </c>
      <c r="DW93" s="47">
        <v>0</v>
      </c>
      <c r="DX93" s="47">
        <v>0</v>
      </c>
      <c r="DY93" s="47">
        <v>0</v>
      </c>
      <c r="DZ93" s="47"/>
      <c r="EA93" s="47">
        <v>1</v>
      </c>
      <c r="ZZ93" t="s">
        <v>1084</v>
      </c>
    </row>
    <row r="94" spans="1:702" x14ac:dyDescent="0.25">
      <c r="A94" s="47" t="s">
        <v>576</v>
      </c>
      <c r="B94" s="47" t="s">
        <v>151</v>
      </c>
      <c r="C94" s="47" t="s">
        <v>155</v>
      </c>
      <c r="D94" s="47" t="s">
        <v>1173</v>
      </c>
      <c r="E94" s="47" t="s">
        <v>577</v>
      </c>
      <c r="F94" s="47" t="s">
        <v>578</v>
      </c>
      <c r="G94" s="47" t="s">
        <v>579</v>
      </c>
      <c r="H94" s="47" t="s">
        <v>380</v>
      </c>
      <c r="I94" s="47" t="s">
        <v>580</v>
      </c>
      <c r="J94" s="47" t="str">
        <f>=IFERROR(VLOOKUP(H94&amp;I94,Table_Fonctions!A:G,6,FALSE),"")</f>
        <v>0</v>
      </c>
      <c r="K94" s="47" t="s">
        <v>1136</v>
      </c>
      <c r="L94" s="47" t="str">
        <f>=IFERROR(VLOOKUP(H94&amp;I94,Table_Fonctions!A:G,7,FALSE),K94)</f>
        <v/>
      </c>
      <c r="M94" s="47" t="str">
        <f>=IF(OR(LEFT(D94, 3)="TJ ", LEFT(D94, 4)="CPH "), "OUI", "NON")</f>
        <v/>
      </c>
      <c r="N94" s="47" t="s">
        <v>581</v>
      </c>
      <c r="O94" s="47"/>
      <c r="P94" s="47">
        <v>1</v>
      </c>
      <c r="Q94" s="47">
        <v>1</v>
      </c>
      <c r="R94" s="47">
        <v>0</v>
      </c>
      <c r="S94" s="47">
        <f>=ROUND(BQ94-(BR94+BS94),3)</f>
      </c>
      <c r="T94" s="47">
        <f>=ROUND(CK94-(CL94+CM94+CN94+CO94+CP94),3)</f>
      </c>
      <c r="U94" s="47">
        <v>0</v>
      </c>
      <c r="V94" s="47">
        <v>0</v>
      </c>
      <c r="W94" s="47">
        <v>0</v>
      </c>
      <c r="X94" s="47">
        <v>0</v>
      </c>
      <c r="Y94" s="47">
        <v>0</v>
      </c>
      <c r="Z94" s="47">
        <v>0</v>
      </c>
      <c r="AA94" s="47">
        <v>0</v>
      </c>
      <c r="AB94" s="47">
        <v>0</v>
      </c>
      <c r="AC94" s="47">
        <v>0</v>
      </c>
      <c r="AD94" s="47">
        <v>0</v>
      </c>
      <c r="AE94" s="47">
        <v>0</v>
      </c>
      <c r="AF94" s="47">
        <v>0</v>
      </c>
      <c r="AG94" s="47">
        <v>0</v>
      </c>
      <c r="AH94" s="47">
        <v>0</v>
      </c>
      <c r="AI94" s="47">
        <v>0</v>
      </c>
      <c r="AJ94" s="47">
        <v>0</v>
      </c>
      <c r="AK94" s="47">
        <v>0</v>
      </c>
      <c r="AL94" s="47">
        <v>0</v>
      </c>
      <c r="AM94" s="47">
        <v>0</v>
      </c>
      <c r="AN94" s="47">
        <v>0</v>
      </c>
      <c r="AO94" s="47">
        <v>0</v>
      </c>
      <c r="AP94" s="47">
        <v>0</v>
      </c>
      <c r="AQ94" s="47">
        <v>0</v>
      </c>
      <c r="AR94" s="47">
        <v>0</v>
      </c>
      <c r="AS94" s="47">
        <v>0</v>
      </c>
      <c r="AT94" s="47">
        <v>0</v>
      </c>
      <c r="AU94" s="47">
        <v>0</v>
      </c>
      <c r="AV94" s="47">
        <v>0</v>
      </c>
      <c r="AW94" s="47">
        <v>0</v>
      </c>
      <c r="AX94" s="47">
        <v>0</v>
      </c>
      <c r="AY94" s="47">
        <v>0</v>
      </c>
      <c r="AZ94" s="47">
        <v>0</v>
      </c>
      <c r="BA94" s="47">
        <v>0</v>
      </c>
      <c r="BB94" s="47">
        <v>0</v>
      </c>
      <c r="BC94" s="47">
        <v>0</v>
      </c>
      <c r="BD94" s="47">
        <v>0</v>
      </c>
      <c r="BE94" s="47">
        <v>0</v>
      </c>
      <c r="BF94" s="47">
        <v>0</v>
      </c>
      <c r="BG94" s="47">
        <v>0</v>
      </c>
      <c r="BH94" s="47">
        <v>0</v>
      </c>
      <c r="BI94" s="47">
        <v>0</v>
      </c>
      <c r="BJ94" s="47">
        <v>0</v>
      </c>
      <c r="BK94" s="47">
        <v>0</v>
      </c>
      <c r="BL94" s="47">
        <v>0</v>
      </c>
      <c r="BM94" s="47">
        <v>0</v>
      </c>
      <c r="BN94" s="47">
        <v>0</v>
      </c>
      <c r="BO94" s="47">
        <v>0</v>
      </c>
      <c r="BP94" s="47">
        <v>0</v>
      </c>
      <c r="BQ94" s="47">
        <v>0</v>
      </c>
      <c r="BR94" s="47">
        <v>0</v>
      </c>
      <c r="BS94" s="47">
        <v>0</v>
      </c>
      <c r="BT94" s="47">
        <v>1</v>
      </c>
      <c r="BU94" s="47">
        <v>0</v>
      </c>
      <c r="BV94" s="47">
        <v>0</v>
      </c>
      <c r="BW94" s="47">
        <v>0</v>
      </c>
      <c r="BX94" s="47">
        <v>0</v>
      </c>
      <c r="BY94" s="47">
        <v>0</v>
      </c>
      <c r="BZ94" s="47">
        <v>0</v>
      </c>
      <c r="CA94" s="47">
        <v>0</v>
      </c>
      <c r="CB94" s="47">
        <v>0</v>
      </c>
      <c r="CC94" s="47">
        <v>0</v>
      </c>
      <c r="CD94" s="47">
        <v>0</v>
      </c>
      <c r="CE94" s="47">
        <v>1</v>
      </c>
      <c r="CF94" s="47">
        <v>0</v>
      </c>
      <c r="CG94" s="47">
        <v>0</v>
      </c>
      <c r="CH94" s="47">
        <v>0</v>
      </c>
      <c r="CI94" s="47">
        <v>0</v>
      </c>
      <c r="CJ94" s="47">
        <v>0</v>
      </c>
      <c r="CK94" s="47">
        <v>0</v>
      </c>
      <c r="CL94" s="47">
        <v>0</v>
      </c>
      <c r="CM94" s="47">
        <v>0</v>
      </c>
      <c r="CN94" s="47">
        <v>0</v>
      </c>
      <c r="CO94" s="47">
        <v>0</v>
      </c>
      <c r="CP94" s="47">
        <v>0</v>
      </c>
      <c r="CQ94" s="47">
        <v>0</v>
      </c>
      <c r="CR94" s="47">
        <v>0</v>
      </c>
      <c r="CS94" s="47">
        <v>0</v>
      </c>
      <c r="CT94" s="47">
        <v>0</v>
      </c>
      <c r="CU94" s="47">
        <v>0</v>
      </c>
      <c r="CV94" s="47">
        <v>0</v>
      </c>
      <c r="CW94" s="47">
        <v>0</v>
      </c>
      <c r="CX94" s="47">
        <v>0</v>
      </c>
      <c r="CY94" s="47">
        <v>0</v>
      </c>
      <c r="CZ94" s="47">
        <v>0</v>
      </c>
      <c r="DA94" s="47">
        <v>0</v>
      </c>
      <c r="DB94" s="47">
        <v>0</v>
      </c>
      <c r="DC94" s="47">
        <v>0</v>
      </c>
      <c r="DD94" s="47">
        <v>0</v>
      </c>
      <c r="DE94" s="47">
        <v>0</v>
      </c>
      <c r="DF94" s="47">
        <v>0</v>
      </c>
      <c r="DG94" s="47">
        <v>0</v>
      </c>
      <c r="DH94" s="47">
        <v>0</v>
      </c>
      <c r="DI94" s="47">
        <v>0</v>
      </c>
      <c r="DJ94" s="47">
        <v>0</v>
      </c>
      <c r="DK94" s="47">
        <v>0</v>
      </c>
      <c r="DL94" s="47">
        <v>0</v>
      </c>
      <c r="DM94" s="47">
        <v>0</v>
      </c>
      <c r="DN94" s="47">
        <v>0</v>
      </c>
      <c r="DO94" s="47">
        <v>0</v>
      </c>
      <c r="DP94" s="47">
        <v>0</v>
      </c>
      <c r="DQ94" s="47">
        <v>0</v>
      </c>
      <c r="DR94" s="47">
        <v>0</v>
      </c>
      <c r="DS94" s="47">
        <v>0</v>
      </c>
      <c r="DT94" s="47">
        <v>0</v>
      </c>
      <c r="DU94" s="47">
        <v>0</v>
      </c>
      <c r="DV94" s="47">
        <v>0</v>
      </c>
      <c r="DW94" s="47">
        <v>0</v>
      </c>
      <c r="DX94" s="47">
        <v>0</v>
      </c>
      <c r="DY94" s="47">
        <v>0</v>
      </c>
      <c r="DZ94" s="47"/>
      <c r="EA94" s="47">
        <v>1</v>
      </c>
      <c r="ZZ94" t="s">
        <v>1084</v>
      </c>
    </row>
    <row r="95" spans="1:702" x14ac:dyDescent="0.25">
      <c r="A95" s="47" t="s">
        <v>582</v>
      </c>
      <c r="B95" s="47" t="s">
        <v>151</v>
      </c>
      <c r="C95" s="47" t="s">
        <v>155</v>
      </c>
      <c r="D95" s="47" t="s">
        <v>1174</v>
      </c>
      <c r="E95" s="47" t="s">
        <v>583</v>
      </c>
      <c r="F95" s="47" t="s">
        <v>584</v>
      </c>
      <c r="G95" s="47" t="s">
        <v>585</v>
      </c>
      <c r="H95" s="47" t="s">
        <v>380</v>
      </c>
      <c r="I95" s="47" t="s">
        <v>586</v>
      </c>
      <c r="J95" s="47" t="str">
        <f>=IFERROR(VLOOKUP(H95&amp;I95,Table_Fonctions!A:G,6,FALSE),"")</f>
        <v>0</v>
      </c>
      <c r="K95" s="47" t="s">
        <v>1132</v>
      </c>
      <c r="L95" s="47" t="str">
        <f>=IFERROR(VLOOKUP(H95&amp;I95,Table_Fonctions!A:G,7,FALSE),K95)</f>
        <v/>
      </c>
      <c r="M95" s="47" t="str">
        <f>=IF(OR(LEFT(D95, 3)="TJ ", LEFT(D95, 4)="CPH "), "OUI", "NON")</f>
        <v/>
      </c>
      <c r="N95" s="47" t="s">
        <v>516</v>
      </c>
      <c r="O95" s="47"/>
      <c r="P95" s="47">
        <v>1</v>
      </c>
      <c r="Q95" s="47">
        <v>1</v>
      </c>
      <c r="R95" s="47">
        <v>0</v>
      </c>
      <c r="S95" s="47">
        <f>=ROUND(BQ95-(BR95+BS95),3)</f>
      </c>
      <c r="T95" s="47">
        <f>=ROUND(CK95-(CL95+CM95+CN95+CO95+CP95),3)</f>
      </c>
      <c r="U95" s="47">
        <v>0</v>
      </c>
      <c r="V95" s="47">
        <v>0</v>
      </c>
      <c r="W95" s="47">
        <v>0</v>
      </c>
      <c r="X95" s="47">
        <v>0</v>
      </c>
      <c r="Y95" s="47">
        <v>0</v>
      </c>
      <c r="Z95" s="47">
        <v>0</v>
      </c>
      <c r="AA95" s="47">
        <v>0</v>
      </c>
      <c r="AB95" s="47">
        <v>0</v>
      </c>
      <c r="AC95" s="47">
        <v>0</v>
      </c>
      <c r="AD95" s="47">
        <v>0</v>
      </c>
      <c r="AE95" s="47">
        <v>0</v>
      </c>
      <c r="AF95" s="47">
        <v>0</v>
      </c>
      <c r="AG95" s="47">
        <v>0</v>
      </c>
      <c r="AH95" s="47">
        <v>0</v>
      </c>
      <c r="AI95" s="47">
        <v>0</v>
      </c>
      <c r="AJ95" s="47">
        <v>0</v>
      </c>
      <c r="AK95" s="47">
        <v>0</v>
      </c>
      <c r="AL95" s="47">
        <v>0</v>
      </c>
      <c r="AM95" s="47">
        <v>0</v>
      </c>
      <c r="AN95" s="47">
        <v>0</v>
      </c>
      <c r="AO95" s="47">
        <v>0</v>
      </c>
      <c r="AP95" s="47">
        <v>0</v>
      </c>
      <c r="AQ95" s="47">
        <v>0</v>
      </c>
      <c r="AR95" s="47">
        <v>0</v>
      </c>
      <c r="AS95" s="47">
        <v>0</v>
      </c>
      <c r="AT95" s="47">
        <v>0</v>
      </c>
      <c r="AU95" s="47">
        <v>0</v>
      </c>
      <c r="AV95" s="47">
        <v>0</v>
      </c>
      <c r="AW95" s="47">
        <v>0</v>
      </c>
      <c r="AX95" s="47">
        <v>0</v>
      </c>
      <c r="AY95" s="47">
        <v>0</v>
      </c>
      <c r="AZ95" s="47">
        <v>0</v>
      </c>
      <c r="BA95" s="47">
        <v>0</v>
      </c>
      <c r="BB95" s="47">
        <v>0</v>
      </c>
      <c r="BC95" s="47">
        <v>0</v>
      </c>
      <c r="BD95" s="47">
        <v>0</v>
      </c>
      <c r="BE95" s="47">
        <v>0</v>
      </c>
      <c r="BF95" s="47">
        <v>0</v>
      </c>
      <c r="BG95" s="47">
        <v>0</v>
      </c>
      <c r="BH95" s="47">
        <v>0</v>
      </c>
      <c r="BI95" s="47">
        <v>0</v>
      </c>
      <c r="BJ95" s="47">
        <v>0</v>
      </c>
      <c r="BK95" s="47">
        <v>0</v>
      </c>
      <c r="BL95" s="47">
        <v>0</v>
      </c>
      <c r="BM95" s="47">
        <v>0</v>
      </c>
      <c r="BN95" s="47">
        <v>0</v>
      </c>
      <c r="BO95" s="47">
        <v>0</v>
      </c>
      <c r="BP95" s="47">
        <v>0</v>
      </c>
      <c r="BQ95" s="47">
        <v>0</v>
      </c>
      <c r="BR95" s="47">
        <v>0</v>
      </c>
      <c r="BS95" s="47">
        <v>0</v>
      </c>
      <c r="BT95" s="47">
        <v>0</v>
      </c>
      <c r="BU95" s="47">
        <v>0</v>
      </c>
      <c r="BV95" s="47">
        <v>0</v>
      </c>
      <c r="BW95" s="47">
        <v>0</v>
      </c>
      <c r="BX95" s="47">
        <v>0</v>
      </c>
      <c r="BY95" s="47">
        <v>0</v>
      </c>
      <c r="BZ95" s="47">
        <v>0</v>
      </c>
      <c r="CA95" s="47">
        <v>0</v>
      </c>
      <c r="CB95" s="47">
        <v>0</v>
      </c>
      <c r="CC95" s="47">
        <v>0</v>
      </c>
      <c r="CD95" s="47">
        <v>0</v>
      </c>
      <c r="CE95" s="47">
        <v>0</v>
      </c>
      <c r="CF95" s="47">
        <v>0</v>
      </c>
      <c r="CG95" s="47">
        <v>0</v>
      </c>
      <c r="CH95" s="47">
        <v>0</v>
      </c>
      <c r="CI95" s="47">
        <v>0</v>
      </c>
      <c r="CJ95" s="47">
        <v>0</v>
      </c>
      <c r="CK95" s="47">
        <v>0</v>
      </c>
      <c r="CL95" s="47">
        <v>0</v>
      </c>
      <c r="CM95" s="47">
        <v>0</v>
      </c>
      <c r="CN95" s="47">
        <v>0</v>
      </c>
      <c r="CO95" s="47">
        <v>0</v>
      </c>
      <c r="CP95" s="47">
        <v>0</v>
      </c>
      <c r="CQ95" s="47">
        <v>0</v>
      </c>
      <c r="CR95" s="47">
        <v>0</v>
      </c>
      <c r="CS95" s="47">
        <v>0</v>
      </c>
      <c r="CT95" s="47">
        <v>0</v>
      </c>
      <c r="CU95" s="47">
        <v>0</v>
      </c>
      <c r="CV95" s="47">
        <v>0</v>
      </c>
      <c r="CW95" s="47">
        <v>0</v>
      </c>
      <c r="CX95" s="47">
        <v>0</v>
      </c>
      <c r="CY95" s="47">
        <v>1</v>
      </c>
      <c r="CZ95" s="47">
        <v>0</v>
      </c>
      <c r="DA95" s="47">
        <v>0</v>
      </c>
      <c r="DB95" s="47">
        <v>0</v>
      </c>
      <c r="DC95" s="47">
        <v>0</v>
      </c>
      <c r="DD95" s="47">
        <v>0</v>
      </c>
      <c r="DE95" s="47">
        <v>0</v>
      </c>
      <c r="DF95" s="47">
        <v>0</v>
      </c>
      <c r="DG95" s="47">
        <v>0</v>
      </c>
      <c r="DH95" s="47">
        <v>0</v>
      </c>
      <c r="DI95" s="47">
        <v>0</v>
      </c>
      <c r="DJ95" s="47">
        <v>1</v>
      </c>
      <c r="DK95" s="47">
        <v>0</v>
      </c>
      <c r="DL95" s="47">
        <v>0</v>
      </c>
      <c r="DM95" s="47">
        <v>0</v>
      </c>
      <c r="DN95" s="47">
        <v>0</v>
      </c>
      <c r="DO95" s="47">
        <v>0</v>
      </c>
      <c r="DP95" s="47">
        <v>0</v>
      </c>
      <c r="DQ95" s="47">
        <v>0</v>
      </c>
      <c r="DR95" s="47">
        <v>0</v>
      </c>
      <c r="DS95" s="47">
        <v>0</v>
      </c>
      <c r="DT95" s="47">
        <v>0</v>
      </c>
      <c r="DU95" s="47">
        <v>0</v>
      </c>
      <c r="DV95" s="47">
        <v>0</v>
      </c>
      <c r="DW95" s="47">
        <v>0</v>
      </c>
      <c r="DX95" s="47">
        <v>0</v>
      </c>
      <c r="DY95" s="47">
        <v>0</v>
      </c>
      <c r="DZ95" s="47"/>
      <c r="EA95" s="47">
        <v>1</v>
      </c>
      <c r="ZZ95" t="s">
        <v>1084</v>
      </c>
    </row>
    <row r="96" spans="1:702" x14ac:dyDescent="0.25">
      <c r="A96" s="47" t="s">
        <v>587</v>
      </c>
      <c r="B96" s="47" t="s">
        <v>151</v>
      </c>
      <c r="C96" s="47" t="s">
        <v>155</v>
      </c>
      <c r="D96" s="47" t="s">
        <v>1175</v>
      </c>
      <c r="E96" s="47" t="s">
        <v>588</v>
      </c>
      <c r="F96" s="47" t="s">
        <v>589</v>
      </c>
      <c r="G96" s="47" t="s">
        <v>590</v>
      </c>
      <c r="H96" s="47" t="s">
        <v>380</v>
      </c>
      <c r="I96" s="47" t="s">
        <v>411</v>
      </c>
      <c r="J96" s="47" t="str">
        <f>=IFERROR(VLOOKUP(H96&amp;I96,Table_Fonctions!A:G,6,FALSE),"")</f>
        <v>0</v>
      </c>
      <c r="K96" s="47" t="s">
        <v>1132</v>
      </c>
      <c r="L96" s="47" t="str">
        <f>=IFERROR(VLOOKUP(H96&amp;I96,Table_Fonctions!A:G,7,FALSE),K96)</f>
        <v/>
      </c>
      <c r="M96" s="47" t="str">
        <f>=IF(OR(LEFT(D96, 3)="TJ ", LEFT(D96, 4)="CPH "), "OUI", "NON")</f>
        <v/>
      </c>
      <c r="N96" s="47" t="s">
        <v>591</v>
      </c>
      <c r="O96" s="47"/>
      <c r="P96" s="47">
        <v>1</v>
      </c>
      <c r="Q96" s="47">
        <v>1</v>
      </c>
      <c r="R96" s="47">
        <v>0</v>
      </c>
      <c r="S96" s="47">
        <f>=ROUND(BQ96-(BR96+BS96),3)</f>
      </c>
      <c r="T96" s="47">
        <f>=ROUND(CK96-(CL96+CM96+CN96+CO96+CP96),3)</f>
      </c>
      <c r="U96" s="47">
        <v>0</v>
      </c>
      <c r="V96" s="47">
        <v>0</v>
      </c>
      <c r="W96" s="47">
        <v>0</v>
      </c>
      <c r="X96" s="47">
        <v>0</v>
      </c>
      <c r="Y96" s="47">
        <v>0</v>
      </c>
      <c r="Z96" s="47">
        <v>0</v>
      </c>
      <c r="AA96" s="47">
        <v>0</v>
      </c>
      <c r="AB96" s="47">
        <v>0</v>
      </c>
      <c r="AC96" s="47">
        <v>0</v>
      </c>
      <c r="AD96" s="47">
        <v>0</v>
      </c>
      <c r="AE96" s="47">
        <v>0</v>
      </c>
      <c r="AF96" s="47">
        <v>0</v>
      </c>
      <c r="AG96" s="47">
        <v>0</v>
      </c>
      <c r="AH96" s="47">
        <v>0</v>
      </c>
      <c r="AI96" s="47">
        <v>0</v>
      </c>
      <c r="AJ96" s="47">
        <v>0</v>
      </c>
      <c r="AK96" s="47">
        <v>0</v>
      </c>
      <c r="AL96" s="47">
        <v>0</v>
      </c>
      <c r="AM96" s="47">
        <v>0</v>
      </c>
      <c r="AN96" s="47">
        <v>0</v>
      </c>
      <c r="AO96" s="47">
        <v>0</v>
      </c>
      <c r="AP96" s="47">
        <v>0</v>
      </c>
      <c r="AQ96" s="47">
        <v>0</v>
      </c>
      <c r="AR96" s="47">
        <v>0</v>
      </c>
      <c r="AS96" s="47">
        <v>0</v>
      </c>
      <c r="AT96" s="47">
        <v>0</v>
      </c>
      <c r="AU96" s="47">
        <v>0</v>
      </c>
      <c r="AV96" s="47">
        <v>0</v>
      </c>
      <c r="AW96" s="47">
        <v>0</v>
      </c>
      <c r="AX96" s="47">
        <v>0</v>
      </c>
      <c r="AY96" s="47">
        <v>0</v>
      </c>
      <c r="AZ96" s="47">
        <v>0</v>
      </c>
      <c r="BA96" s="47">
        <v>0</v>
      </c>
      <c r="BB96" s="47">
        <v>0</v>
      </c>
      <c r="BC96" s="47">
        <v>0</v>
      </c>
      <c r="BD96" s="47">
        <v>0</v>
      </c>
      <c r="BE96" s="47">
        <v>0</v>
      </c>
      <c r="BF96" s="47">
        <v>0</v>
      </c>
      <c r="BG96" s="47">
        <v>0</v>
      </c>
      <c r="BH96" s="47">
        <v>0</v>
      </c>
      <c r="BI96" s="47">
        <v>0</v>
      </c>
      <c r="BJ96" s="47">
        <v>0</v>
      </c>
      <c r="BK96" s="47">
        <v>0</v>
      </c>
      <c r="BL96" s="47">
        <v>0</v>
      </c>
      <c r="BM96" s="47">
        <v>0</v>
      </c>
      <c r="BN96" s="47">
        <v>0</v>
      </c>
      <c r="BO96" s="47">
        <v>0</v>
      </c>
      <c r="BP96" s="47">
        <v>0</v>
      </c>
      <c r="BQ96" s="47">
        <v>0</v>
      </c>
      <c r="BR96" s="47">
        <v>0</v>
      </c>
      <c r="BS96" s="47">
        <v>0</v>
      </c>
      <c r="BT96" s="47">
        <v>0</v>
      </c>
      <c r="BU96" s="47">
        <v>0</v>
      </c>
      <c r="BV96" s="47">
        <v>0</v>
      </c>
      <c r="BW96" s="47">
        <v>0</v>
      </c>
      <c r="BX96" s="47">
        <v>0</v>
      </c>
      <c r="BY96" s="47">
        <v>0</v>
      </c>
      <c r="BZ96" s="47">
        <v>0</v>
      </c>
      <c r="CA96" s="47">
        <v>0</v>
      </c>
      <c r="CB96" s="47">
        <v>0</v>
      </c>
      <c r="CC96" s="47">
        <v>0</v>
      </c>
      <c r="CD96" s="47">
        <v>0</v>
      </c>
      <c r="CE96" s="47">
        <v>0</v>
      </c>
      <c r="CF96" s="47">
        <v>0</v>
      </c>
      <c r="CG96" s="47">
        <v>0</v>
      </c>
      <c r="CH96" s="47">
        <v>0</v>
      </c>
      <c r="CI96" s="47">
        <v>0</v>
      </c>
      <c r="CJ96" s="47">
        <v>0</v>
      </c>
      <c r="CK96" s="47">
        <v>0</v>
      </c>
      <c r="CL96" s="47">
        <v>0</v>
      </c>
      <c r="CM96" s="47">
        <v>0</v>
      </c>
      <c r="CN96" s="47">
        <v>0</v>
      </c>
      <c r="CO96" s="47">
        <v>0</v>
      </c>
      <c r="CP96" s="47">
        <v>0</v>
      </c>
      <c r="CQ96" s="47">
        <v>0</v>
      </c>
      <c r="CR96" s="47">
        <v>0</v>
      </c>
      <c r="CS96" s="47">
        <v>0</v>
      </c>
      <c r="CT96" s="47">
        <v>0</v>
      </c>
      <c r="CU96" s="47">
        <v>0</v>
      </c>
      <c r="CV96" s="47">
        <v>0</v>
      </c>
      <c r="CW96" s="47">
        <v>0</v>
      </c>
      <c r="CX96" s="47">
        <v>0</v>
      </c>
      <c r="CY96" s="47">
        <v>1</v>
      </c>
      <c r="CZ96" s="47">
        <v>1</v>
      </c>
      <c r="DA96" s="47">
        <v>0</v>
      </c>
      <c r="DB96" s="47">
        <v>0</v>
      </c>
      <c r="DC96" s="47">
        <v>0</v>
      </c>
      <c r="DD96" s="47">
        <v>0</v>
      </c>
      <c r="DE96" s="47">
        <v>0</v>
      </c>
      <c r="DF96" s="47">
        <v>0</v>
      </c>
      <c r="DG96" s="47">
        <v>0</v>
      </c>
      <c r="DH96" s="47">
        <v>0</v>
      </c>
      <c r="DI96" s="47">
        <v>0</v>
      </c>
      <c r="DJ96" s="47">
        <v>0</v>
      </c>
      <c r="DK96" s="47">
        <v>0</v>
      </c>
      <c r="DL96" s="47">
        <v>0</v>
      </c>
      <c r="DM96" s="47">
        <v>0</v>
      </c>
      <c r="DN96" s="47">
        <v>0</v>
      </c>
      <c r="DO96" s="47">
        <v>0</v>
      </c>
      <c r="DP96" s="47">
        <v>0</v>
      </c>
      <c r="DQ96" s="47">
        <v>0</v>
      </c>
      <c r="DR96" s="47">
        <v>0</v>
      </c>
      <c r="DS96" s="47">
        <v>0</v>
      </c>
      <c r="DT96" s="47">
        <v>0</v>
      </c>
      <c r="DU96" s="47">
        <v>0</v>
      </c>
      <c r="DV96" s="47">
        <v>0</v>
      </c>
      <c r="DW96" s="47">
        <v>0</v>
      </c>
      <c r="DX96" s="47">
        <v>0</v>
      </c>
      <c r="DY96" s="47">
        <v>0</v>
      </c>
      <c r="DZ96" s="47"/>
      <c r="EA96" s="47">
        <v>1</v>
      </c>
      <c r="ZZ96" t="s">
        <v>1084</v>
      </c>
    </row>
    <row r="97" spans="1:702" x14ac:dyDescent="0.25">
      <c r="A97" s="47" t="s">
        <v>592</v>
      </c>
      <c r="B97" s="47" t="s">
        <v>151</v>
      </c>
      <c r="C97" s="47" t="s">
        <v>155</v>
      </c>
      <c r="D97" s="47" t="s">
        <v>1176</v>
      </c>
      <c r="E97" s="47" t="s">
        <v>593</v>
      </c>
      <c r="F97" s="47" t="s">
        <v>594</v>
      </c>
      <c r="G97" s="47" t="s">
        <v>595</v>
      </c>
      <c r="H97" s="47" t="s">
        <v>380</v>
      </c>
      <c r="I97" s="47" t="s">
        <v>411</v>
      </c>
      <c r="J97" s="47" t="str">
        <f>=IFERROR(VLOOKUP(H97&amp;I97,Table_Fonctions!A:G,6,FALSE),"")</f>
        <v>0</v>
      </c>
      <c r="K97" s="47" t="s">
        <v>1132</v>
      </c>
      <c r="L97" s="47" t="str">
        <f>=IFERROR(VLOOKUP(H97&amp;I97,Table_Fonctions!A:G,7,FALSE),K97)</f>
        <v/>
      </c>
      <c r="M97" s="47" t="str">
        <f>=IF(OR(LEFT(D97, 3)="TJ ", LEFT(D97, 4)="CPH "), "OUI", "NON")</f>
        <v/>
      </c>
      <c r="N97" s="47" t="s">
        <v>596</v>
      </c>
      <c r="O97" s="47"/>
      <c r="P97" s="47">
        <v>1</v>
      </c>
      <c r="Q97" s="47">
        <v>0</v>
      </c>
      <c r="R97" s="47">
        <v>1</v>
      </c>
      <c r="S97" s="47">
        <f>=ROUND(BQ97-(BR97+BS97),3)</f>
      </c>
      <c r="T97" s="47">
        <f>=ROUND(CK97-(CL97+CM97+CN97+CO97+CP97),3)</f>
      </c>
      <c r="U97" s="47">
        <v>0</v>
      </c>
      <c r="V97" s="47">
        <v>0</v>
      </c>
      <c r="W97" s="47">
        <v>0</v>
      </c>
      <c r="X97" s="47">
        <v>0</v>
      </c>
      <c r="Y97" s="47">
        <v>0</v>
      </c>
      <c r="Z97" s="47">
        <v>0</v>
      </c>
      <c r="AA97" s="47">
        <v>0</v>
      </c>
      <c r="AB97" s="47">
        <v>0</v>
      </c>
      <c r="AC97" s="47">
        <v>0</v>
      </c>
      <c r="AD97" s="47">
        <v>0</v>
      </c>
      <c r="AE97" s="47">
        <v>0</v>
      </c>
      <c r="AF97" s="47">
        <v>0</v>
      </c>
      <c r="AG97" s="47">
        <v>0</v>
      </c>
      <c r="AH97" s="47">
        <v>0</v>
      </c>
      <c r="AI97" s="47">
        <v>0</v>
      </c>
      <c r="AJ97" s="47">
        <v>0</v>
      </c>
      <c r="AK97" s="47">
        <v>0</v>
      </c>
      <c r="AL97" s="47">
        <v>0</v>
      </c>
      <c r="AM97" s="47">
        <v>0</v>
      </c>
      <c r="AN97" s="47">
        <v>0</v>
      </c>
      <c r="AO97" s="47">
        <v>0</v>
      </c>
      <c r="AP97" s="47">
        <v>0</v>
      </c>
      <c r="AQ97" s="47">
        <v>0</v>
      </c>
      <c r="AR97" s="47">
        <v>0</v>
      </c>
      <c r="AS97" s="47">
        <v>0</v>
      </c>
      <c r="AT97" s="47">
        <v>0</v>
      </c>
      <c r="AU97" s="47">
        <v>0</v>
      </c>
      <c r="AV97" s="47">
        <v>0</v>
      </c>
      <c r="AW97" s="47">
        <v>0</v>
      </c>
      <c r="AX97" s="47">
        <v>0</v>
      </c>
      <c r="AY97" s="47">
        <v>0</v>
      </c>
      <c r="AZ97" s="47">
        <v>0</v>
      </c>
      <c r="BA97" s="47">
        <v>0</v>
      </c>
      <c r="BB97" s="47">
        <v>0</v>
      </c>
      <c r="BC97" s="47">
        <v>0</v>
      </c>
      <c r="BD97" s="47">
        <v>0</v>
      </c>
      <c r="BE97" s="47">
        <v>0</v>
      </c>
      <c r="BF97" s="47">
        <v>0</v>
      </c>
      <c r="BG97" s="47">
        <v>0</v>
      </c>
      <c r="BH97" s="47">
        <v>0</v>
      </c>
      <c r="BI97" s="47">
        <v>0</v>
      </c>
      <c r="BJ97" s="47">
        <v>0</v>
      </c>
      <c r="BK97" s="47">
        <v>0</v>
      </c>
      <c r="BL97" s="47">
        <v>0</v>
      </c>
      <c r="BM97" s="47">
        <v>0</v>
      </c>
      <c r="BN97" s="47">
        <v>0</v>
      </c>
      <c r="BO97" s="47">
        <v>0</v>
      </c>
      <c r="BP97" s="47">
        <v>0</v>
      </c>
      <c r="BQ97" s="47">
        <v>0</v>
      </c>
      <c r="BR97" s="47">
        <v>0</v>
      </c>
      <c r="BS97" s="47">
        <v>0</v>
      </c>
      <c r="BT97" s="47">
        <v>0</v>
      </c>
      <c r="BU97" s="47">
        <v>0</v>
      </c>
      <c r="BV97" s="47">
        <v>0</v>
      </c>
      <c r="BW97" s="47">
        <v>0</v>
      </c>
      <c r="BX97" s="47">
        <v>0</v>
      </c>
      <c r="BY97" s="47">
        <v>0</v>
      </c>
      <c r="BZ97" s="47">
        <v>0</v>
      </c>
      <c r="CA97" s="47">
        <v>0</v>
      </c>
      <c r="CB97" s="47">
        <v>0</v>
      </c>
      <c r="CC97" s="47">
        <v>0</v>
      </c>
      <c r="CD97" s="47">
        <v>0</v>
      </c>
      <c r="CE97" s="47">
        <v>0</v>
      </c>
      <c r="CF97" s="47">
        <v>0</v>
      </c>
      <c r="CG97" s="47">
        <v>0</v>
      </c>
      <c r="CH97" s="47">
        <v>0</v>
      </c>
      <c r="CI97" s="47">
        <v>0</v>
      </c>
      <c r="CJ97" s="47">
        <v>0</v>
      </c>
      <c r="CK97" s="47">
        <v>0</v>
      </c>
      <c r="CL97" s="47">
        <v>0</v>
      </c>
      <c r="CM97" s="47">
        <v>0</v>
      </c>
      <c r="CN97" s="47">
        <v>0</v>
      </c>
      <c r="CO97" s="47">
        <v>0</v>
      </c>
      <c r="CP97" s="47">
        <v>0</v>
      </c>
      <c r="CQ97" s="47">
        <v>0</v>
      </c>
      <c r="CR97" s="47">
        <v>0</v>
      </c>
      <c r="CS97" s="47">
        <v>0</v>
      </c>
      <c r="CT97" s="47">
        <v>0</v>
      </c>
      <c r="CU97" s="47">
        <v>0</v>
      </c>
      <c r="CV97" s="47">
        <v>0</v>
      </c>
      <c r="CW97" s="47">
        <v>0</v>
      </c>
      <c r="CX97" s="47">
        <v>0</v>
      </c>
      <c r="CY97" s="47">
        <v>0</v>
      </c>
      <c r="CZ97" s="47">
        <v>0</v>
      </c>
      <c r="DA97" s="47">
        <v>0</v>
      </c>
      <c r="DB97" s="47">
        <v>0</v>
      </c>
      <c r="DC97" s="47">
        <v>0</v>
      </c>
      <c r="DD97" s="47">
        <v>0</v>
      </c>
      <c r="DE97" s="47">
        <v>0</v>
      </c>
      <c r="DF97" s="47">
        <v>0</v>
      </c>
      <c r="DG97" s="47">
        <v>0</v>
      </c>
      <c r="DH97" s="47">
        <v>0</v>
      </c>
      <c r="DI97" s="47">
        <v>0</v>
      </c>
      <c r="DJ97" s="47">
        <v>0</v>
      </c>
      <c r="DK97" s="47">
        <v>0</v>
      </c>
      <c r="DL97" s="47">
        <v>0</v>
      </c>
      <c r="DM97" s="47">
        <v>0</v>
      </c>
      <c r="DN97" s="47">
        <v>0</v>
      </c>
      <c r="DO97" s="47">
        <v>0</v>
      </c>
      <c r="DP97" s="47">
        <v>0</v>
      </c>
      <c r="DQ97" s="47">
        <v>0</v>
      </c>
      <c r="DR97" s="47">
        <v>0</v>
      </c>
      <c r="DS97" s="47">
        <v>0</v>
      </c>
      <c r="DT97" s="47">
        <v>0</v>
      </c>
      <c r="DU97" s="47">
        <v>0</v>
      </c>
      <c r="DV97" s="47">
        <v>0</v>
      </c>
      <c r="DW97" s="47">
        <v>0</v>
      </c>
      <c r="DX97" s="47">
        <v>0</v>
      </c>
      <c r="DY97" s="47">
        <v>0</v>
      </c>
      <c r="DZ97" s="47"/>
      <c r="EA97" s="47">
        <v>1</v>
      </c>
      <c r="ZZ97" t="s">
        <v>1084</v>
      </c>
    </row>
    <row r="98" spans="1:702" x14ac:dyDescent="0.25">
      <c r="A98" s="47" t="s">
        <v>597</v>
      </c>
      <c r="B98" s="47" t="s">
        <v>151</v>
      </c>
      <c r="C98" s="47" t="s">
        <v>155</v>
      </c>
      <c r="D98" s="47" t="s">
        <v>1177</v>
      </c>
      <c r="E98" s="47" t="s">
        <v>598</v>
      </c>
      <c r="F98" s="47" t="s">
        <v>599</v>
      </c>
      <c r="G98" s="47" t="s">
        <v>600</v>
      </c>
      <c r="H98" s="47" t="s">
        <v>380</v>
      </c>
      <c r="I98" s="47" t="s">
        <v>381</v>
      </c>
      <c r="J98" s="47" t="str">
        <f>=IFERROR(VLOOKUP(H98&amp;I98,Table_Fonctions!A:G,6,FALSE),"")</f>
        <v>0</v>
      </c>
      <c r="K98" s="47" t="s">
        <v>1132</v>
      </c>
      <c r="L98" s="47" t="str">
        <f>=IFERROR(VLOOKUP(H98&amp;I98,Table_Fonctions!A:G,7,FALSE),K98)</f>
        <v/>
      </c>
      <c r="M98" s="47" t="str">
        <f>=IF(OR(LEFT(D98, 3)="TJ ", LEFT(D98, 4)="CPH "), "OUI", "NON")</f>
        <v/>
      </c>
      <c r="N98" s="47" t="s">
        <v>601</v>
      </c>
      <c r="O98" s="47"/>
      <c r="P98" s="47">
        <v>1</v>
      </c>
      <c r="Q98" s="47">
        <v>0</v>
      </c>
      <c r="R98" s="47">
        <v>1</v>
      </c>
      <c r="S98" s="47">
        <f>=ROUND(BQ98-(BR98+BS98),3)</f>
      </c>
      <c r="T98" s="47">
        <f>=ROUND(CK98-(CL98+CM98+CN98+CO98+CP98),3)</f>
      </c>
      <c r="U98" s="47">
        <v>0</v>
      </c>
      <c r="V98" s="47">
        <v>0</v>
      </c>
      <c r="W98" s="47">
        <v>0</v>
      </c>
      <c r="X98" s="47">
        <v>0</v>
      </c>
      <c r="Y98" s="47">
        <v>0</v>
      </c>
      <c r="Z98" s="47">
        <v>0</v>
      </c>
      <c r="AA98" s="47">
        <v>0</v>
      </c>
      <c r="AB98" s="47">
        <v>0</v>
      </c>
      <c r="AC98" s="47">
        <v>0</v>
      </c>
      <c r="AD98" s="47">
        <v>0</v>
      </c>
      <c r="AE98" s="47">
        <v>0</v>
      </c>
      <c r="AF98" s="47">
        <v>0</v>
      </c>
      <c r="AG98" s="47">
        <v>0</v>
      </c>
      <c r="AH98" s="47">
        <v>0</v>
      </c>
      <c r="AI98" s="47">
        <v>0</v>
      </c>
      <c r="AJ98" s="47">
        <v>0</v>
      </c>
      <c r="AK98" s="47">
        <v>0</v>
      </c>
      <c r="AL98" s="47">
        <v>0</v>
      </c>
      <c r="AM98" s="47">
        <v>0</v>
      </c>
      <c r="AN98" s="47">
        <v>0</v>
      </c>
      <c r="AO98" s="47">
        <v>0</v>
      </c>
      <c r="AP98" s="47">
        <v>0</v>
      </c>
      <c r="AQ98" s="47">
        <v>0</v>
      </c>
      <c r="AR98" s="47">
        <v>0</v>
      </c>
      <c r="AS98" s="47">
        <v>0</v>
      </c>
      <c r="AT98" s="47">
        <v>0</v>
      </c>
      <c r="AU98" s="47">
        <v>0</v>
      </c>
      <c r="AV98" s="47">
        <v>0</v>
      </c>
      <c r="AW98" s="47">
        <v>0</v>
      </c>
      <c r="AX98" s="47">
        <v>0</v>
      </c>
      <c r="AY98" s="47">
        <v>0</v>
      </c>
      <c r="AZ98" s="47">
        <v>0</v>
      </c>
      <c r="BA98" s="47">
        <v>0</v>
      </c>
      <c r="BB98" s="47">
        <v>0</v>
      </c>
      <c r="BC98" s="47">
        <v>0</v>
      </c>
      <c r="BD98" s="47">
        <v>0</v>
      </c>
      <c r="BE98" s="47">
        <v>0</v>
      </c>
      <c r="BF98" s="47">
        <v>0</v>
      </c>
      <c r="BG98" s="47">
        <v>0</v>
      </c>
      <c r="BH98" s="47">
        <v>0</v>
      </c>
      <c r="BI98" s="47">
        <v>0</v>
      </c>
      <c r="BJ98" s="47">
        <v>0</v>
      </c>
      <c r="BK98" s="47">
        <v>0</v>
      </c>
      <c r="BL98" s="47">
        <v>0</v>
      </c>
      <c r="BM98" s="47">
        <v>0</v>
      </c>
      <c r="BN98" s="47">
        <v>0</v>
      </c>
      <c r="BO98" s="47">
        <v>0</v>
      </c>
      <c r="BP98" s="47">
        <v>0</v>
      </c>
      <c r="BQ98" s="47">
        <v>0</v>
      </c>
      <c r="BR98" s="47">
        <v>0</v>
      </c>
      <c r="BS98" s="47">
        <v>0</v>
      </c>
      <c r="BT98" s="47">
        <v>0</v>
      </c>
      <c r="BU98" s="47">
        <v>0</v>
      </c>
      <c r="BV98" s="47">
        <v>0</v>
      </c>
      <c r="BW98" s="47">
        <v>0</v>
      </c>
      <c r="BX98" s="47">
        <v>0</v>
      </c>
      <c r="BY98" s="47">
        <v>0</v>
      </c>
      <c r="BZ98" s="47">
        <v>0</v>
      </c>
      <c r="CA98" s="47">
        <v>0</v>
      </c>
      <c r="CB98" s="47">
        <v>0</v>
      </c>
      <c r="CC98" s="47">
        <v>0</v>
      </c>
      <c r="CD98" s="47">
        <v>0</v>
      </c>
      <c r="CE98" s="47">
        <v>0</v>
      </c>
      <c r="CF98" s="47">
        <v>0</v>
      </c>
      <c r="CG98" s="47">
        <v>0</v>
      </c>
      <c r="CH98" s="47">
        <v>0</v>
      </c>
      <c r="CI98" s="47">
        <v>0</v>
      </c>
      <c r="CJ98" s="47">
        <v>0</v>
      </c>
      <c r="CK98" s="47">
        <v>0</v>
      </c>
      <c r="CL98" s="47">
        <v>0</v>
      </c>
      <c r="CM98" s="47">
        <v>0</v>
      </c>
      <c r="CN98" s="47">
        <v>0</v>
      </c>
      <c r="CO98" s="47">
        <v>0</v>
      </c>
      <c r="CP98" s="47">
        <v>0</v>
      </c>
      <c r="CQ98" s="47">
        <v>0</v>
      </c>
      <c r="CR98" s="47">
        <v>0</v>
      </c>
      <c r="CS98" s="47">
        <v>0</v>
      </c>
      <c r="CT98" s="47">
        <v>0</v>
      </c>
      <c r="CU98" s="47">
        <v>0</v>
      </c>
      <c r="CV98" s="47">
        <v>0</v>
      </c>
      <c r="CW98" s="47">
        <v>0</v>
      </c>
      <c r="CX98" s="47">
        <v>0</v>
      </c>
      <c r="CY98" s="47">
        <v>0</v>
      </c>
      <c r="CZ98" s="47">
        <v>0</v>
      </c>
      <c r="DA98" s="47">
        <v>0</v>
      </c>
      <c r="DB98" s="47">
        <v>0</v>
      </c>
      <c r="DC98" s="47">
        <v>0</v>
      </c>
      <c r="DD98" s="47">
        <v>0</v>
      </c>
      <c r="DE98" s="47">
        <v>0</v>
      </c>
      <c r="DF98" s="47">
        <v>0</v>
      </c>
      <c r="DG98" s="47">
        <v>0</v>
      </c>
      <c r="DH98" s="47">
        <v>0</v>
      </c>
      <c r="DI98" s="47">
        <v>0</v>
      </c>
      <c r="DJ98" s="47">
        <v>0</v>
      </c>
      <c r="DK98" s="47">
        <v>0</v>
      </c>
      <c r="DL98" s="47">
        <v>0</v>
      </c>
      <c r="DM98" s="47">
        <v>0</v>
      </c>
      <c r="DN98" s="47">
        <v>0</v>
      </c>
      <c r="DO98" s="47">
        <v>0</v>
      </c>
      <c r="DP98" s="47">
        <v>0</v>
      </c>
      <c r="DQ98" s="47">
        <v>0</v>
      </c>
      <c r="DR98" s="47">
        <v>0</v>
      </c>
      <c r="DS98" s="47">
        <v>0</v>
      </c>
      <c r="DT98" s="47">
        <v>0</v>
      </c>
      <c r="DU98" s="47">
        <v>0</v>
      </c>
      <c r="DV98" s="47">
        <v>0</v>
      </c>
      <c r="DW98" s="47">
        <v>0</v>
      </c>
      <c r="DX98" s="47">
        <v>0</v>
      </c>
      <c r="DY98" s="47">
        <v>0</v>
      </c>
      <c r="DZ98" s="47"/>
      <c r="EA98" s="47">
        <v>1</v>
      </c>
      <c r="ZZ98" t="s">
        <v>1084</v>
      </c>
    </row>
    <row r="99" spans="1:702" x14ac:dyDescent="0.25">
      <c r="A99" s="47" t="s">
        <v>602</v>
      </c>
      <c r="B99" s="47" t="s">
        <v>151</v>
      </c>
      <c r="C99" s="47" t="s">
        <v>155</v>
      </c>
      <c r="D99" s="47" t="s">
        <v>1178</v>
      </c>
      <c r="E99" s="47" t="s">
        <v>603</v>
      </c>
      <c r="F99" s="47" t="s">
        <v>604</v>
      </c>
      <c r="G99" s="47" t="s">
        <v>605</v>
      </c>
      <c r="H99" s="47" t="s">
        <v>380</v>
      </c>
      <c r="I99" s="47" t="s">
        <v>381</v>
      </c>
      <c r="J99" s="47" t="str">
        <f>=IFERROR(VLOOKUP(H99&amp;I99,Table_Fonctions!A:G,6,FALSE),"")</f>
        <v>0</v>
      </c>
      <c r="K99" s="47" t="s">
        <v>1132</v>
      </c>
      <c r="L99" s="47" t="str">
        <f>=IFERROR(VLOOKUP(H99&amp;I99,Table_Fonctions!A:G,7,FALSE),K99)</f>
        <v/>
      </c>
      <c r="M99" s="47" t="str">
        <f>=IF(OR(LEFT(D99, 3)="TJ ", LEFT(D99, 4)="CPH "), "OUI", "NON")</f>
        <v/>
      </c>
      <c r="N99" s="47" t="s">
        <v>606</v>
      </c>
      <c r="O99" s="47"/>
      <c r="P99" s="47">
        <v>1</v>
      </c>
      <c r="Q99" s="47">
        <v>1</v>
      </c>
      <c r="R99" s="47">
        <v>0</v>
      </c>
      <c r="S99" s="47">
        <f>=ROUND(BQ99-(BR99+BS99),3)</f>
      </c>
      <c r="T99" s="47">
        <f>=ROUND(CK99-(CL99+CM99+CN99+CO99+CP99),3)</f>
      </c>
      <c r="U99" s="47">
        <v>0</v>
      </c>
      <c r="V99" s="47">
        <v>0</v>
      </c>
      <c r="W99" s="47">
        <v>0</v>
      </c>
      <c r="X99" s="47">
        <v>0</v>
      </c>
      <c r="Y99" s="47">
        <v>0</v>
      </c>
      <c r="Z99" s="47">
        <v>0</v>
      </c>
      <c r="AA99" s="47">
        <v>0</v>
      </c>
      <c r="AB99" s="47">
        <v>0</v>
      </c>
      <c r="AC99" s="47">
        <v>0</v>
      </c>
      <c r="AD99" s="47">
        <v>0</v>
      </c>
      <c r="AE99" s="47">
        <v>0</v>
      </c>
      <c r="AF99" s="47">
        <v>0</v>
      </c>
      <c r="AG99" s="47">
        <v>0</v>
      </c>
      <c r="AH99" s="47">
        <v>0</v>
      </c>
      <c r="AI99" s="47">
        <v>0</v>
      </c>
      <c r="AJ99" s="47">
        <v>0</v>
      </c>
      <c r="AK99" s="47">
        <v>0</v>
      </c>
      <c r="AL99" s="47">
        <v>0</v>
      </c>
      <c r="AM99" s="47">
        <v>0</v>
      </c>
      <c r="AN99" s="47">
        <v>0</v>
      </c>
      <c r="AO99" s="47">
        <v>0</v>
      </c>
      <c r="AP99" s="47">
        <v>0</v>
      </c>
      <c r="AQ99" s="47">
        <v>0</v>
      </c>
      <c r="AR99" s="47">
        <v>0</v>
      </c>
      <c r="AS99" s="47">
        <v>0</v>
      </c>
      <c r="AT99" s="47">
        <v>0</v>
      </c>
      <c r="AU99" s="47">
        <v>0</v>
      </c>
      <c r="AV99" s="47">
        <v>0</v>
      </c>
      <c r="AW99" s="47">
        <v>0</v>
      </c>
      <c r="AX99" s="47">
        <v>0</v>
      </c>
      <c r="AY99" s="47">
        <v>0</v>
      </c>
      <c r="AZ99" s="47">
        <v>0</v>
      </c>
      <c r="BA99" s="47">
        <v>0</v>
      </c>
      <c r="BB99" s="47">
        <v>0</v>
      </c>
      <c r="BC99" s="47">
        <v>0</v>
      </c>
      <c r="BD99" s="47">
        <v>0</v>
      </c>
      <c r="BE99" s="47">
        <v>0</v>
      </c>
      <c r="BF99" s="47">
        <v>0</v>
      </c>
      <c r="BG99" s="47">
        <v>0</v>
      </c>
      <c r="BH99" s="47">
        <v>0</v>
      </c>
      <c r="BI99" s="47">
        <v>0</v>
      </c>
      <c r="BJ99" s="47">
        <v>0</v>
      </c>
      <c r="BK99" s="47">
        <v>0</v>
      </c>
      <c r="BL99" s="47">
        <v>0</v>
      </c>
      <c r="BM99" s="47">
        <v>0</v>
      </c>
      <c r="BN99" s="47">
        <v>0</v>
      </c>
      <c r="BO99" s="47">
        <v>0</v>
      </c>
      <c r="BP99" s="47">
        <v>0</v>
      </c>
      <c r="BQ99" s="47">
        <v>0</v>
      </c>
      <c r="BR99" s="47">
        <v>0</v>
      </c>
      <c r="BS99" s="47">
        <v>0</v>
      </c>
      <c r="BT99" s="47">
        <v>0</v>
      </c>
      <c r="BU99" s="47">
        <v>0</v>
      </c>
      <c r="BV99" s="47">
        <v>0</v>
      </c>
      <c r="BW99" s="47">
        <v>0</v>
      </c>
      <c r="BX99" s="47">
        <v>0</v>
      </c>
      <c r="BY99" s="47">
        <v>0</v>
      </c>
      <c r="BZ99" s="47">
        <v>0</v>
      </c>
      <c r="CA99" s="47">
        <v>0</v>
      </c>
      <c r="CB99" s="47">
        <v>0</v>
      </c>
      <c r="CC99" s="47">
        <v>0</v>
      </c>
      <c r="CD99" s="47">
        <v>0</v>
      </c>
      <c r="CE99" s="47">
        <v>0</v>
      </c>
      <c r="CF99" s="47">
        <v>0</v>
      </c>
      <c r="CG99" s="47">
        <v>0</v>
      </c>
      <c r="CH99" s="47">
        <v>0</v>
      </c>
      <c r="CI99" s="47">
        <v>0</v>
      </c>
      <c r="CJ99" s="47">
        <v>0</v>
      </c>
      <c r="CK99" s="47">
        <v>0</v>
      </c>
      <c r="CL99" s="47">
        <v>0</v>
      </c>
      <c r="CM99" s="47">
        <v>0</v>
      </c>
      <c r="CN99" s="47">
        <v>0</v>
      </c>
      <c r="CO99" s="47">
        <v>0</v>
      </c>
      <c r="CP99" s="47">
        <v>0</v>
      </c>
      <c r="CQ99" s="47">
        <v>0</v>
      </c>
      <c r="CR99" s="47">
        <v>0</v>
      </c>
      <c r="CS99" s="47">
        <v>0</v>
      </c>
      <c r="CT99" s="47">
        <v>0</v>
      </c>
      <c r="CU99" s="47">
        <v>0</v>
      </c>
      <c r="CV99" s="47">
        <v>0</v>
      </c>
      <c r="CW99" s="47">
        <v>0</v>
      </c>
      <c r="CX99" s="47">
        <v>0</v>
      </c>
      <c r="CY99" s="47">
        <v>1</v>
      </c>
      <c r="CZ99" s="47">
        <v>0</v>
      </c>
      <c r="DA99" s="47">
        <v>0</v>
      </c>
      <c r="DB99" s="47">
        <v>0</v>
      </c>
      <c r="DC99" s="47">
        <v>1</v>
      </c>
      <c r="DD99" s="47">
        <v>0</v>
      </c>
      <c r="DE99" s="47">
        <v>0</v>
      </c>
      <c r="DF99" s="47">
        <v>0</v>
      </c>
      <c r="DG99" s="47">
        <v>0</v>
      </c>
      <c r="DH99" s="47">
        <v>0</v>
      </c>
      <c r="DI99" s="47">
        <v>0</v>
      </c>
      <c r="DJ99" s="47">
        <v>0</v>
      </c>
      <c r="DK99" s="47">
        <v>0</v>
      </c>
      <c r="DL99" s="47">
        <v>0</v>
      </c>
      <c r="DM99" s="47">
        <v>0</v>
      </c>
      <c r="DN99" s="47">
        <v>0</v>
      </c>
      <c r="DO99" s="47">
        <v>0</v>
      </c>
      <c r="DP99" s="47">
        <v>0</v>
      </c>
      <c r="DQ99" s="47">
        <v>0</v>
      </c>
      <c r="DR99" s="47">
        <v>0</v>
      </c>
      <c r="DS99" s="47">
        <v>0</v>
      </c>
      <c r="DT99" s="47">
        <v>0</v>
      </c>
      <c r="DU99" s="47">
        <v>0</v>
      </c>
      <c r="DV99" s="47">
        <v>0</v>
      </c>
      <c r="DW99" s="47">
        <v>0</v>
      </c>
      <c r="DX99" s="47">
        <v>0</v>
      </c>
      <c r="DY99" s="47">
        <v>0</v>
      </c>
      <c r="DZ99" s="47"/>
      <c r="EA99" s="47">
        <v>1</v>
      </c>
      <c r="ZZ99" t="s">
        <v>1084</v>
      </c>
    </row>
    <row r="100" spans="1:702" x14ac:dyDescent="0.25">
      <c r="A100" s="47" t="s">
        <v>607</v>
      </c>
      <c r="B100" s="47" t="s">
        <v>151</v>
      </c>
      <c r="C100" s="47" t="s">
        <v>155</v>
      </c>
      <c r="D100" s="47" t="s">
        <v>1179</v>
      </c>
      <c r="E100" s="47" t="s">
        <v>608</v>
      </c>
      <c r="F100" s="47" t="s">
        <v>609</v>
      </c>
      <c r="G100" s="47" t="s">
        <v>610</v>
      </c>
      <c r="H100" s="47" t="s">
        <v>380</v>
      </c>
      <c r="I100" s="47" t="s">
        <v>411</v>
      </c>
      <c r="J100" s="47" t="str">
        <f>=IFERROR(VLOOKUP(H100&amp;I100,Table_Fonctions!A:G,6,FALSE),"")</f>
        <v>0</v>
      </c>
      <c r="K100" s="47" t="s">
        <v>1132</v>
      </c>
      <c r="L100" s="47" t="str">
        <f>=IFERROR(VLOOKUP(H100&amp;I100,Table_Fonctions!A:G,7,FALSE),K100)</f>
        <v/>
      </c>
      <c r="M100" s="47" t="str">
        <f>=IF(OR(LEFT(D100, 3)="TJ ", LEFT(D100, 4)="CPH "), "OUI", "NON")</f>
        <v/>
      </c>
      <c r="N100" s="47" t="s">
        <v>257</v>
      </c>
      <c r="O100" s="47"/>
      <c r="P100" s="47">
        <v>1</v>
      </c>
      <c r="Q100" s="47">
        <v>0</v>
      </c>
      <c r="R100" s="47">
        <v>1</v>
      </c>
      <c r="S100" s="47">
        <f>=ROUND(BQ100-(BR100+BS100),3)</f>
      </c>
      <c r="T100" s="47">
        <f>=ROUND(CK100-(CL100+CM100+CN100+CO100+CP100),3)</f>
      </c>
      <c r="U100" s="47">
        <v>0</v>
      </c>
      <c r="V100" s="47">
        <v>0</v>
      </c>
      <c r="W100" s="47">
        <v>0</v>
      </c>
      <c r="X100" s="47">
        <v>0</v>
      </c>
      <c r="Y100" s="47">
        <v>0</v>
      </c>
      <c r="Z100" s="47">
        <v>0</v>
      </c>
      <c r="AA100" s="47">
        <v>0</v>
      </c>
      <c r="AB100" s="47">
        <v>0</v>
      </c>
      <c r="AC100" s="47">
        <v>0</v>
      </c>
      <c r="AD100" s="47">
        <v>0</v>
      </c>
      <c r="AE100" s="47">
        <v>0</v>
      </c>
      <c r="AF100" s="47">
        <v>0</v>
      </c>
      <c r="AG100" s="47">
        <v>0</v>
      </c>
      <c r="AH100" s="47">
        <v>0</v>
      </c>
      <c r="AI100" s="47">
        <v>0</v>
      </c>
      <c r="AJ100" s="47">
        <v>0</v>
      </c>
      <c r="AK100" s="47">
        <v>0</v>
      </c>
      <c r="AL100" s="47">
        <v>0</v>
      </c>
      <c r="AM100" s="47">
        <v>0</v>
      </c>
      <c r="AN100" s="47">
        <v>0</v>
      </c>
      <c r="AO100" s="47">
        <v>0</v>
      </c>
      <c r="AP100" s="47">
        <v>0</v>
      </c>
      <c r="AQ100" s="47">
        <v>0</v>
      </c>
      <c r="AR100" s="47">
        <v>0</v>
      </c>
      <c r="AS100" s="47">
        <v>0</v>
      </c>
      <c r="AT100" s="47">
        <v>0</v>
      </c>
      <c r="AU100" s="47">
        <v>0</v>
      </c>
      <c r="AV100" s="47">
        <v>0</v>
      </c>
      <c r="AW100" s="47">
        <v>0</v>
      </c>
      <c r="AX100" s="47">
        <v>0</v>
      </c>
      <c r="AY100" s="47">
        <v>0</v>
      </c>
      <c r="AZ100" s="47">
        <v>0</v>
      </c>
      <c r="BA100" s="47">
        <v>0</v>
      </c>
      <c r="BB100" s="47">
        <v>0</v>
      </c>
      <c r="BC100" s="47">
        <v>0</v>
      </c>
      <c r="BD100" s="47">
        <v>0</v>
      </c>
      <c r="BE100" s="47">
        <v>0</v>
      </c>
      <c r="BF100" s="47">
        <v>0</v>
      </c>
      <c r="BG100" s="47">
        <v>0</v>
      </c>
      <c r="BH100" s="47">
        <v>0</v>
      </c>
      <c r="BI100" s="47">
        <v>0</v>
      </c>
      <c r="BJ100" s="47">
        <v>0</v>
      </c>
      <c r="BK100" s="47">
        <v>0</v>
      </c>
      <c r="BL100" s="47">
        <v>0</v>
      </c>
      <c r="BM100" s="47">
        <v>0</v>
      </c>
      <c r="BN100" s="47">
        <v>0</v>
      </c>
      <c r="BO100" s="47">
        <v>0</v>
      </c>
      <c r="BP100" s="47">
        <v>0</v>
      </c>
      <c r="BQ100" s="47">
        <v>0</v>
      </c>
      <c r="BR100" s="47">
        <v>0</v>
      </c>
      <c r="BS100" s="47">
        <v>0</v>
      </c>
      <c r="BT100" s="47">
        <v>0</v>
      </c>
      <c r="BU100" s="47">
        <v>0</v>
      </c>
      <c r="BV100" s="47">
        <v>0</v>
      </c>
      <c r="BW100" s="47">
        <v>0</v>
      </c>
      <c r="BX100" s="47">
        <v>0</v>
      </c>
      <c r="BY100" s="47">
        <v>0</v>
      </c>
      <c r="BZ100" s="47">
        <v>0</v>
      </c>
      <c r="CA100" s="47">
        <v>0</v>
      </c>
      <c r="CB100" s="47">
        <v>0</v>
      </c>
      <c r="CC100" s="47">
        <v>0</v>
      </c>
      <c r="CD100" s="47">
        <v>0</v>
      </c>
      <c r="CE100" s="47">
        <v>0</v>
      </c>
      <c r="CF100" s="47">
        <v>0</v>
      </c>
      <c r="CG100" s="47">
        <v>0</v>
      </c>
      <c r="CH100" s="47">
        <v>0</v>
      </c>
      <c r="CI100" s="47">
        <v>0</v>
      </c>
      <c r="CJ100" s="47">
        <v>0</v>
      </c>
      <c r="CK100" s="47">
        <v>0</v>
      </c>
      <c r="CL100" s="47">
        <v>0</v>
      </c>
      <c r="CM100" s="47">
        <v>0</v>
      </c>
      <c r="CN100" s="47">
        <v>0</v>
      </c>
      <c r="CO100" s="47">
        <v>0</v>
      </c>
      <c r="CP100" s="47">
        <v>0</v>
      </c>
      <c r="CQ100" s="47">
        <v>0</v>
      </c>
      <c r="CR100" s="47">
        <v>0</v>
      </c>
      <c r="CS100" s="47">
        <v>0</v>
      </c>
      <c r="CT100" s="47">
        <v>0</v>
      </c>
      <c r="CU100" s="47">
        <v>0</v>
      </c>
      <c r="CV100" s="47">
        <v>0</v>
      </c>
      <c r="CW100" s="47">
        <v>0</v>
      </c>
      <c r="CX100" s="47">
        <v>0</v>
      </c>
      <c r="CY100" s="47">
        <v>0</v>
      </c>
      <c r="CZ100" s="47">
        <v>0</v>
      </c>
      <c r="DA100" s="47">
        <v>0</v>
      </c>
      <c r="DB100" s="47">
        <v>0</v>
      </c>
      <c r="DC100" s="47">
        <v>0</v>
      </c>
      <c r="DD100" s="47">
        <v>0</v>
      </c>
      <c r="DE100" s="47">
        <v>0</v>
      </c>
      <c r="DF100" s="47">
        <v>0</v>
      </c>
      <c r="DG100" s="47">
        <v>0</v>
      </c>
      <c r="DH100" s="47">
        <v>0</v>
      </c>
      <c r="DI100" s="47">
        <v>0</v>
      </c>
      <c r="DJ100" s="47">
        <v>0</v>
      </c>
      <c r="DK100" s="47">
        <v>0</v>
      </c>
      <c r="DL100" s="47">
        <v>0</v>
      </c>
      <c r="DM100" s="47">
        <v>0</v>
      </c>
      <c r="DN100" s="47">
        <v>0</v>
      </c>
      <c r="DO100" s="47">
        <v>0</v>
      </c>
      <c r="DP100" s="47">
        <v>0</v>
      </c>
      <c r="DQ100" s="47">
        <v>0</v>
      </c>
      <c r="DR100" s="47">
        <v>0</v>
      </c>
      <c r="DS100" s="47">
        <v>0</v>
      </c>
      <c r="DT100" s="47">
        <v>0</v>
      </c>
      <c r="DU100" s="47">
        <v>0</v>
      </c>
      <c r="DV100" s="47">
        <v>0</v>
      </c>
      <c r="DW100" s="47">
        <v>0</v>
      </c>
      <c r="DX100" s="47">
        <v>0</v>
      </c>
      <c r="DY100" s="47">
        <v>0</v>
      </c>
      <c r="DZ100" s="47"/>
      <c r="EA100" s="47">
        <v>1</v>
      </c>
      <c r="ZZ100" t="s">
        <v>1084</v>
      </c>
    </row>
    <row r="101" spans="1:702" x14ac:dyDescent="0.25">
      <c r="A101" s="47" t="s">
        <v>611</v>
      </c>
      <c r="B101" s="47" t="s">
        <v>151</v>
      </c>
      <c r="C101" s="47" t="s">
        <v>155</v>
      </c>
      <c r="D101" s="47" t="s">
        <v>1180</v>
      </c>
      <c r="E101" s="47" t="s">
        <v>612</v>
      </c>
      <c r="F101" s="47" t="s">
        <v>613</v>
      </c>
      <c r="G101" s="47" t="s">
        <v>614</v>
      </c>
      <c r="H101" s="47" t="s">
        <v>380</v>
      </c>
      <c r="I101" s="47" t="s">
        <v>411</v>
      </c>
      <c r="J101" s="47" t="str">
        <f>=IFERROR(VLOOKUP(H101&amp;I101,Table_Fonctions!A:G,6,FALSE),"")</f>
        <v>0</v>
      </c>
      <c r="K101" s="47" t="s">
        <v>1132</v>
      </c>
      <c r="L101" s="47" t="str">
        <f>=IFERROR(VLOOKUP(H101&amp;I101,Table_Fonctions!A:G,7,FALSE),K101)</f>
        <v/>
      </c>
      <c r="M101" s="47" t="str">
        <f>=IF(OR(LEFT(D101, 3)="TJ ", LEFT(D101, 4)="CPH "), "OUI", "NON")</f>
        <v/>
      </c>
      <c r="N101" s="47" t="s">
        <v>615</v>
      </c>
      <c r="O101" s="47"/>
      <c r="P101" s="47">
        <v>1</v>
      </c>
      <c r="Q101" s="47">
        <v>1</v>
      </c>
      <c r="R101" s="47">
        <v>0</v>
      </c>
      <c r="S101" s="47">
        <f>=ROUND(BQ101-(BR101+BS101),3)</f>
      </c>
      <c r="T101" s="47">
        <f>=ROUND(CK101-(CL101+CM101+CN101+CO101+CP101),3)</f>
      </c>
      <c r="U101" s="47">
        <v>0</v>
      </c>
      <c r="V101" s="47">
        <v>0</v>
      </c>
      <c r="W101" s="47">
        <v>0</v>
      </c>
      <c r="X101" s="47">
        <v>0</v>
      </c>
      <c r="Y101" s="47">
        <v>0</v>
      </c>
      <c r="Z101" s="47">
        <v>0</v>
      </c>
      <c r="AA101" s="47">
        <v>0</v>
      </c>
      <c r="AB101" s="47">
        <v>0</v>
      </c>
      <c r="AC101" s="47">
        <v>0</v>
      </c>
      <c r="AD101" s="47">
        <v>0</v>
      </c>
      <c r="AE101" s="47">
        <v>0</v>
      </c>
      <c r="AF101" s="47">
        <v>0</v>
      </c>
      <c r="AG101" s="47">
        <v>0</v>
      </c>
      <c r="AH101" s="47">
        <v>0</v>
      </c>
      <c r="AI101" s="47">
        <v>0</v>
      </c>
      <c r="AJ101" s="47">
        <v>0</v>
      </c>
      <c r="AK101" s="47">
        <v>0</v>
      </c>
      <c r="AL101" s="47">
        <v>0</v>
      </c>
      <c r="AM101" s="47">
        <v>0</v>
      </c>
      <c r="AN101" s="47">
        <v>0</v>
      </c>
      <c r="AO101" s="47">
        <v>0</v>
      </c>
      <c r="AP101" s="47">
        <v>0</v>
      </c>
      <c r="AQ101" s="47">
        <v>0</v>
      </c>
      <c r="AR101" s="47">
        <v>0</v>
      </c>
      <c r="AS101" s="47">
        <v>0</v>
      </c>
      <c r="AT101" s="47">
        <v>0</v>
      </c>
      <c r="AU101" s="47">
        <v>0</v>
      </c>
      <c r="AV101" s="47">
        <v>0</v>
      </c>
      <c r="AW101" s="47">
        <v>0</v>
      </c>
      <c r="AX101" s="47">
        <v>0</v>
      </c>
      <c r="AY101" s="47">
        <v>0</v>
      </c>
      <c r="AZ101" s="47">
        <v>0</v>
      </c>
      <c r="BA101" s="47">
        <v>0</v>
      </c>
      <c r="BB101" s="47">
        <v>0</v>
      </c>
      <c r="BC101" s="47">
        <v>0</v>
      </c>
      <c r="BD101" s="47">
        <v>0</v>
      </c>
      <c r="BE101" s="47">
        <v>0</v>
      </c>
      <c r="BF101" s="47">
        <v>0</v>
      </c>
      <c r="BG101" s="47">
        <v>0</v>
      </c>
      <c r="BH101" s="47">
        <v>0</v>
      </c>
      <c r="BI101" s="47">
        <v>0</v>
      </c>
      <c r="BJ101" s="47">
        <v>0</v>
      </c>
      <c r="BK101" s="47">
        <v>0</v>
      </c>
      <c r="BL101" s="47">
        <v>0</v>
      </c>
      <c r="BM101" s="47">
        <v>0</v>
      </c>
      <c r="BN101" s="47">
        <v>0</v>
      </c>
      <c r="BO101" s="47">
        <v>0</v>
      </c>
      <c r="BP101" s="47">
        <v>0</v>
      </c>
      <c r="BQ101" s="47">
        <v>0</v>
      </c>
      <c r="BR101" s="47">
        <v>0</v>
      </c>
      <c r="BS101" s="47">
        <v>0</v>
      </c>
      <c r="BT101" s="47">
        <v>0</v>
      </c>
      <c r="BU101" s="47">
        <v>0</v>
      </c>
      <c r="BV101" s="47">
        <v>0</v>
      </c>
      <c r="BW101" s="47">
        <v>0</v>
      </c>
      <c r="BX101" s="47">
        <v>0</v>
      </c>
      <c r="BY101" s="47">
        <v>0</v>
      </c>
      <c r="BZ101" s="47">
        <v>0</v>
      </c>
      <c r="CA101" s="47">
        <v>0</v>
      </c>
      <c r="CB101" s="47">
        <v>0</v>
      </c>
      <c r="CC101" s="47">
        <v>0</v>
      </c>
      <c r="CD101" s="47">
        <v>0</v>
      </c>
      <c r="CE101" s="47">
        <v>0</v>
      </c>
      <c r="CF101" s="47">
        <v>0</v>
      </c>
      <c r="CG101" s="47">
        <v>0</v>
      </c>
      <c r="CH101" s="47">
        <v>0</v>
      </c>
      <c r="CI101" s="47">
        <v>0</v>
      </c>
      <c r="CJ101" s="47">
        <v>0</v>
      </c>
      <c r="CK101" s="47">
        <v>0</v>
      </c>
      <c r="CL101" s="47">
        <v>0</v>
      </c>
      <c r="CM101" s="47">
        <v>0</v>
      </c>
      <c r="CN101" s="47">
        <v>0</v>
      </c>
      <c r="CO101" s="47">
        <v>0</v>
      </c>
      <c r="CP101" s="47">
        <v>0</v>
      </c>
      <c r="CQ101" s="47">
        <v>0</v>
      </c>
      <c r="CR101" s="47">
        <v>0</v>
      </c>
      <c r="CS101" s="47">
        <v>0</v>
      </c>
      <c r="CT101" s="47">
        <v>0</v>
      </c>
      <c r="CU101" s="47">
        <v>0</v>
      </c>
      <c r="CV101" s="47">
        <v>0</v>
      </c>
      <c r="CW101" s="47">
        <v>0</v>
      </c>
      <c r="CX101" s="47">
        <v>0</v>
      </c>
      <c r="CY101" s="47">
        <v>1</v>
      </c>
      <c r="CZ101" s="47">
        <v>0</v>
      </c>
      <c r="DA101" s="47">
        <v>0</v>
      </c>
      <c r="DB101" s="47">
        <v>0</v>
      </c>
      <c r="DC101" s="47">
        <v>1</v>
      </c>
      <c r="DD101" s="47">
        <v>0</v>
      </c>
      <c r="DE101" s="47">
        <v>0</v>
      </c>
      <c r="DF101" s="47">
        <v>0</v>
      </c>
      <c r="DG101" s="47">
        <v>0</v>
      </c>
      <c r="DH101" s="47">
        <v>0</v>
      </c>
      <c r="DI101" s="47">
        <v>0</v>
      </c>
      <c r="DJ101" s="47">
        <v>0</v>
      </c>
      <c r="DK101" s="47">
        <v>0</v>
      </c>
      <c r="DL101" s="47">
        <v>0</v>
      </c>
      <c r="DM101" s="47">
        <v>0</v>
      </c>
      <c r="DN101" s="47">
        <v>0</v>
      </c>
      <c r="DO101" s="47">
        <v>0</v>
      </c>
      <c r="DP101" s="47">
        <v>0</v>
      </c>
      <c r="DQ101" s="47">
        <v>0</v>
      </c>
      <c r="DR101" s="47">
        <v>0</v>
      </c>
      <c r="DS101" s="47">
        <v>0</v>
      </c>
      <c r="DT101" s="47">
        <v>0</v>
      </c>
      <c r="DU101" s="47">
        <v>0</v>
      </c>
      <c r="DV101" s="47">
        <v>0</v>
      </c>
      <c r="DW101" s="47">
        <v>0</v>
      </c>
      <c r="DX101" s="47">
        <v>0</v>
      </c>
      <c r="DY101" s="47">
        <v>0</v>
      </c>
      <c r="DZ101" s="47"/>
      <c r="EA101" s="47">
        <v>1</v>
      </c>
      <c r="ZZ101" t="s">
        <v>1084</v>
      </c>
    </row>
    <row r="102" spans="1:702" x14ac:dyDescent="0.25">
      <c r="A102" s="47" t="s">
        <v>616</v>
      </c>
      <c r="B102" s="47" t="s">
        <v>151</v>
      </c>
      <c r="C102" s="47" t="s">
        <v>155</v>
      </c>
      <c r="D102" s="47" t="s">
        <v>1139</v>
      </c>
      <c r="E102" s="47" t="s">
        <v>617</v>
      </c>
      <c r="F102" s="47" t="s">
        <v>618</v>
      </c>
      <c r="G102" s="47" t="s">
        <v>404</v>
      </c>
      <c r="H102" s="47" t="s">
        <v>380</v>
      </c>
      <c r="I102" s="47" t="s">
        <v>411</v>
      </c>
      <c r="J102" s="47" t="str">
        <f>=IFERROR(VLOOKUP(H102&amp;I102,Table_Fonctions!A:G,6,FALSE),"")</f>
        <v>0</v>
      </c>
      <c r="K102" s="47" t="s">
        <v>1132</v>
      </c>
      <c r="L102" s="47" t="str">
        <f>=IFERROR(VLOOKUP(H102&amp;I102,Table_Fonctions!A:G,7,FALSE),K102)</f>
        <v/>
      </c>
      <c r="M102" s="47" t="str">
        <f>=IF(OR(LEFT(D102, 3)="TJ ", LEFT(D102, 4)="CPH "), "OUI", "NON")</f>
        <v/>
      </c>
      <c r="N102" s="47" t="s">
        <v>619</v>
      </c>
      <c r="O102" s="47"/>
      <c r="P102" s="47">
        <v>1</v>
      </c>
      <c r="Q102" s="47">
        <v>1</v>
      </c>
      <c r="R102" s="47">
        <v>0</v>
      </c>
      <c r="S102" s="47">
        <f>=ROUND(BQ102-(BR102+BS102),3)</f>
      </c>
      <c r="T102" s="47">
        <f>=ROUND(CK102-(CL102+CM102+CN102+CO102+CP102),3)</f>
      </c>
      <c r="U102" s="47">
        <v>0</v>
      </c>
      <c r="V102" s="47">
        <v>0</v>
      </c>
      <c r="W102" s="47">
        <v>0</v>
      </c>
      <c r="X102" s="47">
        <v>0</v>
      </c>
      <c r="Y102" s="47">
        <v>0</v>
      </c>
      <c r="Z102" s="47">
        <v>0</v>
      </c>
      <c r="AA102" s="47">
        <v>0</v>
      </c>
      <c r="AB102" s="47">
        <v>0</v>
      </c>
      <c r="AC102" s="47">
        <v>0</v>
      </c>
      <c r="AD102" s="47">
        <v>0</v>
      </c>
      <c r="AE102" s="47">
        <v>0</v>
      </c>
      <c r="AF102" s="47">
        <v>0</v>
      </c>
      <c r="AG102" s="47">
        <v>0</v>
      </c>
      <c r="AH102" s="47">
        <v>0</v>
      </c>
      <c r="AI102" s="47">
        <v>0</v>
      </c>
      <c r="AJ102" s="47">
        <v>0</v>
      </c>
      <c r="AK102" s="47">
        <v>0</v>
      </c>
      <c r="AL102" s="47">
        <v>0</v>
      </c>
      <c r="AM102" s="47">
        <v>0</v>
      </c>
      <c r="AN102" s="47">
        <v>0</v>
      </c>
      <c r="AO102" s="47">
        <v>0</v>
      </c>
      <c r="AP102" s="47">
        <v>0</v>
      </c>
      <c r="AQ102" s="47">
        <v>0</v>
      </c>
      <c r="AR102" s="47">
        <v>0</v>
      </c>
      <c r="AS102" s="47">
        <v>0</v>
      </c>
      <c r="AT102" s="47">
        <v>0</v>
      </c>
      <c r="AU102" s="47">
        <v>0</v>
      </c>
      <c r="AV102" s="47">
        <v>0</v>
      </c>
      <c r="AW102" s="47">
        <v>0</v>
      </c>
      <c r="AX102" s="47">
        <v>0</v>
      </c>
      <c r="AY102" s="47">
        <v>0</v>
      </c>
      <c r="AZ102" s="47">
        <v>0</v>
      </c>
      <c r="BA102" s="47">
        <v>0</v>
      </c>
      <c r="BB102" s="47">
        <v>0</v>
      </c>
      <c r="BC102" s="47">
        <v>0</v>
      </c>
      <c r="BD102" s="47">
        <v>0</v>
      </c>
      <c r="BE102" s="47">
        <v>0</v>
      </c>
      <c r="BF102" s="47">
        <v>0</v>
      </c>
      <c r="BG102" s="47">
        <v>0</v>
      </c>
      <c r="BH102" s="47">
        <v>0</v>
      </c>
      <c r="BI102" s="47">
        <v>0</v>
      </c>
      <c r="BJ102" s="47">
        <v>0</v>
      </c>
      <c r="BK102" s="47">
        <v>0</v>
      </c>
      <c r="BL102" s="47">
        <v>0</v>
      </c>
      <c r="BM102" s="47">
        <v>0</v>
      </c>
      <c r="BN102" s="47">
        <v>0</v>
      </c>
      <c r="BO102" s="47">
        <v>0</v>
      </c>
      <c r="BP102" s="47">
        <v>0</v>
      </c>
      <c r="BQ102" s="47">
        <v>0</v>
      </c>
      <c r="BR102" s="47">
        <v>0</v>
      </c>
      <c r="BS102" s="47">
        <v>0</v>
      </c>
      <c r="BT102" s="47">
        <v>1</v>
      </c>
      <c r="BU102" s="47">
        <v>0</v>
      </c>
      <c r="BV102" s="47">
        <v>0</v>
      </c>
      <c r="BW102" s="47">
        <v>0</v>
      </c>
      <c r="BX102" s="47">
        <v>0</v>
      </c>
      <c r="BY102" s="47">
        <v>0</v>
      </c>
      <c r="BZ102" s="47">
        <v>0</v>
      </c>
      <c r="CA102" s="47">
        <v>0</v>
      </c>
      <c r="CB102" s="47">
        <v>0</v>
      </c>
      <c r="CC102" s="47">
        <v>0</v>
      </c>
      <c r="CD102" s="47">
        <v>0</v>
      </c>
      <c r="CE102" s="47">
        <v>0</v>
      </c>
      <c r="CF102" s="47">
        <v>0</v>
      </c>
      <c r="CG102" s="47">
        <v>0</v>
      </c>
      <c r="CH102" s="47">
        <v>0</v>
      </c>
      <c r="CI102" s="47">
        <v>0</v>
      </c>
      <c r="CJ102" s="47">
        <v>0</v>
      </c>
      <c r="CK102" s="47">
        <v>0</v>
      </c>
      <c r="CL102" s="47">
        <v>0</v>
      </c>
      <c r="CM102" s="47">
        <v>0</v>
      </c>
      <c r="CN102" s="47">
        <v>0</v>
      </c>
      <c r="CO102" s="47">
        <v>0</v>
      </c>
      <c r="CP102" s="47">
        <v>0</v>
      </c>
      <c r="CQ102" s="47">
        <v>0</v>
      </c>
      <c r="CR102" s="47">
        <v>0</v>
      </c>
      <c r="CS102" s="47">
        <v>0</v>
      </c>
      <c r="CT102" s="47">
        <v>0</v>
      </c>
      <c r="CU102" s="47">
        <v>0</v>
      </c>
      <c r="CV102" s="47">
        <v>0</v>
      </c>
      <c r="CW102" s="47">
        <v>0</v>
      </c>
      <c r="CX102" s="47">
        <v>0</v>
      </c>
      <c r="CY102" s="47">
        <v>0</v>
      </c>
      <c r="CZ102" s="47">
        <v>0</v>
      </c>
      <c r="DA102" s="47">
        <v>0</v>
      </c>
      <c r="DB102" s="47">
        <v>0</v>
      </c>
      <c r="DC102" s="47">
        <v>0</v>
      </c>
      <c r="DD102" s="47">
        <v>0</v>
      </c>
      <c r="DE102" s="47">
        <v>0</v>
      </c>
      <c r="DF102" s="47">
        <v>0</v>
      </c>
      <c r="DG102" s="47">
        <v>0</v>
      </c>
      <c r="DH102" s="47">
        <v>0</v>
      </c>
      <c r="DI102" s="47">
        <v>0</v>
      </c>
      <c r="DJ102" s="47">
        <v>0</v>
      </c>
      <c r="DK102" s="47">
        <v>0</v>
      </c>
      <c r="DL102" s="47">
        <v>0</v>
      </c>
      <c r="DM102" s="47">
        <v>0</v>
      </c>
      <c r="DN102" s="47">
        <v>0</v>
      </c>
      <c r="DO102" s="47">
        <v>0</v>
      </c>
      <c r="DP102" s="47">
        <v>0</v>
      </c>
      <c r="DQ102" s="47">
        <v>0</v>
      </c>
      <c r="DR102" s="47">
        <v>0</v>
      </c>
      <c r="DS102" s="47">
        <v>0</v>
      </c>
      <c r="DT102" s="47">
        <v>0</v>
      </c>
      <c r="DU102" s="47">
        <v>0</v>
      </c>
      <c r="DV102" s="47">
        <v>0</v>
      </c>
      <c r="DW102" s="47">
        <v>0</v>
      </c>
      <c r="DX102" s="47">
        <v>0</v>
      </c>
      <c r="DY102" s="47">
        <v>0</v>
      </c>
      <c r="DZ102" s="47"/>
      <c r="EA102" s="47">
        <v>1</v>
      </c>
      <c r="ZZ102" t="s">
        <v>1084</v>
      </c>
    </row>
    <row r="103" spans="1:702" x14ac:dyDescent="0.25">
      <c r="A103" s="47" t="s">
        <v>620</v>
      </c>
      <c r="B103" s="47" t="s">
        <v>151</v>
      </c>
      <c r="C103" s="47" t="s">
        <v>155</v>
      </c>
      <c r="D103" s="47" t="s">
        <v>1181</v>
      </c>
      <c r="E103" s="47" t="s">
        <v>621</v>
      </c>
      <c r="F103" s="47" t="s">
        <v>622</v>
      </c>
      <c r="G103" s="47" t="s">
        <v>623</v>
      </c>
      <c r="H103" s="47" t="s">
        <v>380</v>
      </c>
      <c r="I103" s="47" t="s">
        <v>1182</v>
      </c>
      <c r="J103" s="47" t="str">
        <f>=IFERROR(VLOOKUP(H103&amp;I103,Table_Fonctions!A:G,6,FALSE),"")</f>
        <v>0</v>
      </c>
      <c r="K103" s="47" t="s">
        <v>1183</v>
      </c>
      <c r="L103" s="47" t="str">
        <f>=IFERROR(VLOOKUP(H103&amp;I103,Table_Fonctions!A:G,7,FALSE),K103)</f>
        <v/>
      </c>
      <c r="M103" s="47" t="str">
        <f>=IF(OR(LEFT(D103, 3)="TJ ", LEFT(D103, 4)="CPH "), "OUI", "NON")</f>
        <v/>
      </c>
      <c r="N103" s="47" t="s">
        <v>505</v>
      </c>
      <c r="O103" s="47" t="s">
        <v>625</v>
      </c>
      <c r="P103" s="47">
        <v>0.1734</v>
      </c>
      <c r="Q103" s="47">
        <v>0.1734</v>
      </c>
      <c r="R103" s="47">
        <v>0</v>
      </c>
      <c r="S103" s="47">
        <f>=ROUND(BQ103-(BR103+BS103),3)</f>
      </c>
      <c r="T103" s="47">
        <f>=ROUND(CK103-(CL103+CM103+CN103+CO103+CP103),3)</f>
      </c>
      <c r="U103" s="47">
        <v>0</v>
      </c>
      <c r="V103" s="47">
        <v>0</v>
      </c>
      <c r="W103" s="47">
        <v>0</v>
      </c>
      <c r="X103" s="47">
        <v>0</v>
      </c>
      <c r="Y103" s="47">
        <v>0</v>
      </c>
      <c r="Z103" s="47">
        <v>0</v>
      </c>
      <c r="AA103" s="47">
        <v>0</v>
      </c>
      <c r="AB103" s="47">
        <v>0</v>
      </c>
      <c r="AC103" s="47">
        <v>0</v>
      </c>
      <c r="AD103" s="47">
        <v>0</v>
      </c>
      <c r="AE103" s="47">
        <v>0</v>
      </c>
      <c r="AF103" s="47">
        <v>0</v>
      </c>
      <c r="AG103" s="47">
        <v>0</v>
      </c>
      <c r="AH103" s="47">
        <v>0</v>
      </c>
      <c r="AI103" s="47">
        <v>0</v>
      </c>
      <c r="AJ103" s="47">
        <v>0</v>
      </c>
      <c r="AK103" s="47">
        <v>0</v>
      </c>
      <c r="AL103" s="47">
        <v>0</v>
      </c>
      <c r="AM103" s="47">
        <v>0</v>
      </c>
      <c r="AN103" s="47">
        <v>0</v>
      </c>
      <c r="AO103" s="47">
        <v>0</v>
      </c>
      <c r="AP103" s="47">
        <v>0</v>
      </c>
      <c r="AQ103" s="47">
        <v>0</v>
      </c>
      <c r="AR103" s="47">
        <v>0</v>
      </c>
      <c r="AS103" s="47">
        <v>0</v>
      </c>
      <c r="AT103" s="47">
        <v>0</v>
      </c>
      <c r="AU103" s="47">
        <v>0</v>
      </c>
      <c r="AV103" s="47">
        <v>0</v>
      </c>
      <c r="AW103" s="47">
        <v>0</v>
      </c>
      <c r="AX103" s="47">
        <v>0</v>
      </c>
      <c r="AY103" s="47">
        <v>0</v>
      </c>
      <c r="AZ103" s="47">
        <v>0</v>
      </c>
      <c r="BA103" s="47">
        <v>0</v>
      </c>
      <c r="BB103" s="47">
        <v>0</v>
      </c>
      <c r="BC103" s="47">
        <v>0</v>
      </c>
      <c r="BD103" s="47">
        <v>0</v>
      </c>
      <c r="BE103" s="47">
        <v>0</v>
      </c>
      <c r="BF103" s="47">
        <v>0</v>
      </c>
      <c r="BG103" s="47">
        <v>0</v>
      </c>
      <c r="BH103" s="47">
        <v>0</v>
      </c>
      <c r="BI103" s="47">
        <v>0</v>
      </c>
      <c r="BJ103" s="47">
        <v>0</v>
      </c>
      <c r="BK103" s="47">
        <v>0</v>
      </c>
      <c r="BL103" s="47">
        <v>0</v>
      </c>
      <c r="BM103" s="47">
        <v>0</v>
      </c>
      <c r="BN103" s="47">
        <v>0</v>
      </c>
      <c r="BO103" s="47">
        <v>0</v>
      </c>
      <c r="BP103" s="47">
        <v>0</v>
      </c>
      <c r="BQ103" s="47">
        <v>0</v>
      </c>
      <c r="BR103" s="47">
        <v>0</v>
      </c>
      <c r="BS103" s="47">
        <v>0</v>
      </c>
      <c r="BT103" s="47">
        <v>0</v>
      </c>
      <c r="BU103" s="47">
        <v>0</v>
      </c>
      <c r="BV103" s="47">
        <v>0</v>
      </c>
      <c r="BW103" s="47">
        <v>0</v>
      </c>
      <c r="BX103" s="47">
        <v>0</v>
      </c>
      <c r="BY103" s="47">
        <v>0</v>
      </c>
      <c r="BZ103" s="47">
        <v>0</v>
      </c>
      <c r="CA103" s="47">
        <v>0</v>
      </c>
      <c r="CB103" s="47">
        <v>0</v>
      </c>
      <c r="CC103" s="47">
        <v>0</v>
      </c>
      <c r="CD103" s="47">
        <v>0</v>
      </c>
      <c r="CE103" s="47">
        <v>0</v>
      </c>
      <c r="CF103" s="47">
        <v>0</v>
      </c>
      <c r="CG103" s="47">
        <v>0</v>
      </c>
      <c r="CH103" s="47">
        <v>0</v>
      </c>
      <c r="CI103" s="47">
        <v>0</v>
      </c>
      <c r="CJ103" s="47">
        <v>0</v>
      </c>
      <c r="CK103" s="47">
        <v>0</v>
      </c>
      <c r="CL103" s="47">
        <v>0</v>
      </c>
      <c r="CM103" s="47">
        <v>0</v>
      </c>
      <c r="CN103" s="47">
        <v>0</v>
      </c>
      <c r="CO103" s="47">
        <v>0</v>
      </c>
      <c r="CP103" s="47">
        <v>0</v>
      </c>
      <c r="CQ103" s="47">
        <v>0</v>
      </c>
      <c r="CR103" s="47">
        <v>0</v>
      </c>
      <c r="CS103" s="47">
        <v>0</v>
      </c>
      <c r="CT103" s="47">
        <v>0</v>
      </c>
      <c r="CU103" s="47">
        <v>0</v>
      </c>
      <c r="CV103" s="47">
        <v>0</v>
      </c>
      <c r="CW103" s="47">
        <v>0</v>
      </c>
      <c r="CX103" s="47">
        <v>0</v>
      </c>
      <c r="CY103" s="47">
        <v>0.1734</v>
      </c>
      <c r="CZ103" s="47">
        <v>0.1734</v>
      </c>
      <c r="DA103" s="47">
        <v>0</v>
      </c>
      <c r="DB103" s="47">
        <v>0</v>
      </c>
      <c r="DC103" s="47">
        <v>0</v>
      </c>
      <c r="DD103" s="47">
        <v>0</v>
      </c>
      <c r="DE103" s="47">
        <v>0</v>
      </c>
      <c r="DF103" s="47">
        <v>0</v>
      </c>
      <c r="DG103" s="47">
        <v>0</v>
      </c>
      <c r="DH103" s="47">
        <v>0</v>
      </c>
      <c r="DI103" s="47">
        <v>0</v>
      </c>
      <c r="DJ103" s="47">
        <v>0</v>
      </c>
      <c r="DK103" s="47">
        <v>0</v>
      </c>
      <c r="DL103" s="47">
        <v>0</v>
      </c>
      <c r="DM103" s="47">
        <v>0</v>
      </c>
      <c r="DN103" s="47">
        <v>0</v>
      </c>
      <c r="DO103" s="47">
        <v>0</v>
      </c>
      <c r="DP103" s="47">
        <v>0</v>
      </c>
      <c r="DQ103" s="47">
        <v>0</v>
      </c>
      <c r="DR103" s="47">
        <v>0</v>
      </c>
      <c r="DS103" s="47">
        <v>0</v>
      </c>
      <c r="DT103" s="47">
        <v>0</v>
      </c>
      <c r="DU103" s="47">
        <v>0</v>
      </c>
      <c r="DV103" s="47">
        <v>0</v>
      </c>
      <c r="DW103" s="47">
        <v>0</v>
      </c>
      <c r="DX103" s="47">
        <v>0</v>
      </c>
      <c r="DY103" s="47">
        <v>0</v>
      </c>
      <c r="DZ103" s="47"/>
      <c r="EA103" s="47">
        <v>0.1734</v>
      </c>
      <c r="ZZ103" t="s">
        <v>1084</v>
      </c>
    </row>
    <row r="104" spans="1:702" x14ac:dyDescent="0.25">
      <c r="A104" s="47" t="s">
        <v>626</v>
      </c>
      <c r="B104" s="47" t="s">
        <v>151</v>
      </c>
      <c r="C104" s="47" t="s">
        <v>155</v>
      </c>
      <c r="D104" s="47" t="s">
        <v>1184</v>
      </c>
      <c r="E104" s="47" t="s">
        <v>627</v>
      </c>
      <c r="F104" s="47" t="s">
        <v>628</v>
      </c>
      <c r="G104" s="47" t="s">
        <v>629</v>
      </c>
      <c r="H104" s="47" t="s">
        <v>380</v>
      </c>
      <c r="I104" s="47" t="s">
        <v>381</v>
      </c>
      <c r="J104" s="47" t="str">
        <f>=IFERROR(VLOOKUP(H104&amp;I104,Table_Fonctions!A:G,6,FALSE),"")</f>
        <v>0</v>
      </c>
      <c r="K104" s="47" t="s">
        <v>1132</v>
      </c>
      <c r="L104" s="47" t="str">
        <f>=IFERROR(VLOOKUP(H104&amp;I104,Table_Fonctions!A:G,7,FALSE),K104)</f>
        <v/>
      </c>
      <c r="M104" s="47" t="str">
        <f>=IF(OR(LEFT(D104, 3)="TJ ", LEFT(D104, 4)="CPH "), "OUI", "NON")</f>
        <v/>
      </c>
      <c r="N104" s="47" t="s">
        <v>386</v>
      </c>
      <c r="O104" s="47"/>
      <c r="P104" s="47">
        <v>1</v>
      </c>
      <c r="Q104" s="47">
        <v>1</v>
      </c>
      <c r="R104" s="47">
        <v>0</v>
      </c>
      <c r="S104" s="47">
        <f>=ROUND(BQ104-(BR104+BS104),3)</f>
      </c>
      <c r="T104" s="47">
        <f>=ROUND(CK104-(CL104+CM104+CN104+CO104+CP104),3)</f>
      </c>
      <c r="U104" s="47">
        <v>0</v>
      </c>
      <c r="V104" s="47">
        <v>0</v>
      </c>
      <c r="W104" s="47">
        <v>0</v>
      </c>
      <c r="X104" s="47">
        <v>0</v>
      </c>
      <c r="Y104" s="47">
        <v>0</v>
      </c>
      <c r="Z104" s="47">
        <v>0</v>
      </c>
      <c r="AA104" s="47">
        <v>0</v>
      </c>
      <c r="AB104" s="47">
        <v>0</v>
      </c>
      <c r="AC104" s="47">
        <v>0</v>
      </c>
      <c r="AD104" s="47">
        <v>0</v>
      </c>
      <c r="AE104" s="47">
        <v>0</v>
      </c>
      <c r="AF104" s="47">
        <v>0</v>
      </c>
      <c r="AG104" s="47">
        <v>0</v>
      </c>
      <c r="AH104" s="47">
        <v>0</v>
      </c>
      <c r="AI104" s="47">
        <v>0</v>
      </c>
      <c r="AJ104" s="47">
        <v>0</v>
      </c>
      <c r="AK104" s="47">
        <v>0</v>
      </c>
      <c r="AL104" s="47">
        <v>0</v>
      </c>
      <c r="AM104" s="47">
        <v>0</v>
      </c>
      <c r="AN104" s="47">
        <v>0</v>
      </c>
      <c r="AO104" s="47">
        <v>0</v>
      </c>
      <c r="AP104" s="47">
        <v>0</v>
      </c>
      <c r="AQ104" s="47">
        <v>0</v>
      </c>
      <c r="AR104" s="47">
        <v>0</v>
      </c>
      <c r="AS104" s="47">
        <v>0</v>
      </c>
      <c r="AT104" s="47">
        <v>0</v>
      </c>
      <c r="AU104" s="47">
        <v>0</v>
      </c>
      <c r="AV104" s="47">
        <v>0</v>
      </c>
      <c r="AW104" s="47">
        <v>0</v>
      </c>
      <c r="AX104" s="47">
        <v>0</v>
      </c>
      <c r="AY104" s="47">
        <v>0</v>
      </c>
      <c r="AZ104" s="47">
        <v>0</v>
      </c>
      <c r="BA104" s="47">
        <v>0</v>
      </c>
      <c r="BB104" s="47">
        <v>0</v>
      </c>
      <c r="BC104" s="47">
        <v>0</v>
      </c>
      <c r="BD104" s="47">
        <v>0</v>
      </c>
      <c r="BE104" s="47">
        <v>0</v>
      </c>
      <c r="BF104" s="47">
        <v>0</v>
      </c>
      <c r="BG104" s="47">
        <v>0</v>
      </c>
      <c r="BH104" s="47">
        <v>0</v>
      </c>
      <c r="BI104" s="47">
        <v>0</v>
      </c>
      <c r="BJ104" s="47">
        <v>0</v>
      </c>
      <c r="BK104" s="47">
        <v>0</v>
      </c>
      <c r="BL104" s="47">
        <v>0</v>
      </c>
      <c r="BM104" s="47">
        <v>0</v>
      </c>
      <c r="BN104" s="47">
        <v>0</v>
      </c>
      <c r="BO104" s="47">
        <v>0</v>
      </c>
      <c r="BP104" s="47">
        <v>0</v>
      </c>
      <c r="BQ104" s="47">
        <v>0</v>
      </c>
      <c r="BR104" s="47">
        <v>0</v>
      </c>
      <c r="BS104" s="47">
        <v>0</v>
      </c>
      <c r="BT104" s="47">
        <v>1</v>
      </c>
      <c r="BU104" s="47">
        <v>0.2</v>
      </c>
      <c r="BV104" s="47">
        <v>0.8</v>
      </c>
      <c r="BW104" s="47">
        <v>0</v>
      </c>
      <c r="BX104" s="47">
        <v>0</v>
      </c>
      <c r="BY104" s="47">
        <v>0</v>
      </c>
      <c r="BZ104" s="47">
        <v>0</v>
      </c>
      <c r="CA104" s="47">
        <v>0</v>
      </c>
      <c r="CB104" s="47">
        <v>0</v>
      </c>
      <c r="CC104" s="47">
        <v>0</v>
      </c>
      <c r="CD104" s="47">
        <v>0</v>
      </c>
      <c r="CE104" s="47">
        <v>0</v>
      </c>
      <c r="CF104" s="47">
        <v>0</v>
      </c>
      <c r="CG104" s="47">
        <v>0</v>
      </c>
      <c r="CH104" s="47">
        <v>0</v>
      </c>
      <c r="CI104" s="47">
        <v>0</v>
      </c>
      <c r="CJ104" s="47">
        <v>0</v>
      </c>
      <c r="CK104" s="47">
        <v>0</v>
      </c>
      <c r="CL104" s="47">
        <v>0</v>
      </c>
      <c r="CM104" s="47">
        <v>0</v>
      </c>
      <c r="CN104" s="47">
        <v>0</v>
      </c>
      <c r="CO104" s="47">
        <v>0</v>
      </c>
      <c r="CP104" s="47">
        <v>0</v>
      </c>
      <c r="CQ104" s="47">
        <v>0</v>
      </c>
      <c r="CR104" s="47">
        <v>0</v>
      </c>
      <c r="CS104" s="47">
        <v>0</v>
      </c>
      <c r="CT104" s="47">
        <v>0</v>
      </c>
      <c r="CU104" s="47">
        <v>0</v>
      </c>
      <c r="CV104" s="47">
        <v>0</v>
      </c>
      <c r="CW104" s="47">
        <v>0</v>
      </c>
      <c r="CX104" s="47">
        <v>0</v>
      </c>
      <c r="CY104" s="47">
        <v>0</v>
      </c>
      <c r="CZ104" s="47">
        <v>0</v>
      </c>
      <c r="DA104" s="47">
        <v>0</v>
      </c>
      <c r="DB104" s="47">
        <v>0</v>
      </c>
      <c r="DC104" s="47">
        <v>0</v>
      </c>
      <c r="DD104" s="47">
        <v>0</v>
      </c>
      <c r="DE104" s="47">
        <v>0</v>
      </c>
      <c r="DF104" s="47">
        <v>0</v>
      </c>
      <c r="DG104" s="47">
        <v>0</v>
      </c>
      <c r="DH104" s="47">
        <v>0</v>
      </c>
      <c r="DI104" s="47">
        <v>0</v>
      </c>
      <c r="DJ104" s="47">
        <v>0</v>
      </c>
      <c r="DK104" s="47">
        <v>0</v>
      </c>
      <c r="DL104" s="47">
        <v>0</v>
      </c>
      <c r="DM104" s="47">
        <v>0</v>
      </c>
      <c r="DN104" s="47">
        <v>0</v>
      </c>
      <c r="DO104" s="47">
        <v>0</v>
      </c>
      <c r="DP104" s="47">
        <v>0</v>
      </c>
      <c r="DQ104" s="47">
        <v>0</v>
      </c>
      <c r="DR104" s="47">
        <v>0</v>
      </c>
      <c r="DS104" s="47">
        <v>0</v>
      </c>
      <c r="DT104" s="47">
        <v>0</v>
      </c>
      <c r="DU104" s="47">
        <v>0.0202</v>
      </c>
      <c r="DV104" s="47">
        <v>0</v>
      </c>
      <c r="DW104" s="47">
        <v>0</v>
      </c>
      <c r="DX104" s="47">
        <v>0.0121</v>
      </c>
      <c r="DY104" s="47">
        <v>0.0323</v>
      </c>
      <c r="DZ104" s="47"/>
      <c r="EA104" s="47">
        <v>1</v>
      </c>
      <c r="ZZ104" t="s">
        <v>1084</v>
      </c>
    </row>
    <row r="105" spans="1:702" x14ac:dyDescent="0.25">
      <c r="A105" s="47" t="s">
        <v>630</v>
      </c>
      <c r="B105" s="47" t="s">
        <v>151</v>
      </c>
      <c r="C105" s="47" t="s">
        <v>155</v>
      </c>
      <c r="D105" s="47" t="s">
        <v>1185</v>
      </c>
      <c r="E105" s="47" t="s">
        <v>631</v>
      </c>
      <c r="F105" s="47" t="s">
        <v>632</v>
      </c>
      <c r="G105" s="47" t="s">
        <v>633</v>
      </c>
      <c r="H105" s="47" t="s">
        <v>380</v>
      </c>
      <c r="I105" s="47" t="s">
        <v>586</v>
      </c>
      <c r="J105" s="47" t="str">
        <f>=IFERROR(VLOOKUP(H105&amp;I105,Table_Fonctions!A:G,6,FALSE),"")</f>
        <v>0</v>
      </c>
      <c r="K105" s="47" t="s">
        <v>1132</v>
      </c>
      <c r="L105" s="47" t="str">
        <f>=IFERROR(VLOOKUP(H105&amp;I105,Table_Fonctions!A:G,7,FALSE),K105)</f>
        <v/>
      </c>
      <c r="M105" s="47" t="str">
        <f>=IF(OR(LEFT(D105, 3)="TJ ", LEFT(D105, 4)="CPH "), "OUI", "NON")</f>
        <v/>
      </c>
      <c r="N105" s="47" t="s">
        <v>596</v>
      </c>
      <c r="O105" s="47"/>
      <c r="P105" s="47">
        <v>1</v>
      </c>
      <c r="Q105" s="47">
        <v>1</v>
      </c>
      <c r="R105" s="47">
        <v>0</v>
      </c>
      <c r="S105" s="47">
        <f>=ROUND(BQ105-(BR105+BS105),3)</f>
      </c>
      <c r="T105" s="47">
        <f>=ROUND(CK105-(CL105+CM105+CN105+CO105+CP105),3)</f>
      </c>
      <c r="U105" s="47">
        <v>0</v>
      </c>
      <c r="V105" s="47">
        <v>0</v>
      </c>
      <c r="W105" s="47">
        <v>0</v>
      </c>
      <c r="X105" s="47">
        <v>0</v>
      </c>
      <c r="Y105" s="47">
        <v>0</v>
      </c>
      <c r="Z105" s="47">
        <v>0</v>
      </c>
      <c r="AA105" s="47">
        <v>0</v>
      </c>
      <c r="AB105" s="47">
        <v>0</v>
      </c>
      <c r="AC105" s="47">
        <v>0</v>
      </c>
      <c r="AD105" s="47">
        <v>0</v>
      </c>
      <c r="AE105" s="47">
        <v>0</v>
      </c>
      <c r="AF105" s="47">
        <v>0</v>
      </c>
      <c r="AG105" s="47">
        <v>0</v>
      </c>
      <c r="AH105" s="47">
        <v>0</v>
      </c>
      <c r="AI105" s="47">
        <v>0</v>
      </c>
      <c r="AJ105" s="47">
        <v>0.3488</v>
      </c>
      <c r="AK105" s="47">
        <v>0</v>
      </c>
      <c r="AL105" s="47">
        <v>0</v>
      </c>
      <c r="AM105" s="47">
        <v>0</v>
      </c>
      <c r="AN105" s="47">
        <v>0</v>
      </c>
      <c r="AO105" s="47">
        <v>0</v>
      </c>
      <c r="AP105" s="47">
        <v>0.3488</v>
      </c>
      <c r="AQ105" s="47">
        <v>0</v>
      </c>
      <c r="AR105" s="47">
        <v>0</v>
      </c>
      <c r="AS105" s="47">
        <v>0.3488</v>
      </c>
      <c r="AT105" s="47">
        <v>0</v>
      </c>
      <c r="AU105" s="47">
        <v>0</v>
      </c>
      <c r="AV105" s="47">
        <v>0</v>
      </c>
      <c r="AW105" s="47">
        <v>0</v>
      </c>
      <c r="AX105" s="47">
        <v>0</v>
      </c>
      <c r="AY105" s="47">
        <v>0</v>
      </c>
      <c r="AZ105" s="47">
        <v>0</v>
      </c>
      <c r="BA105" s="47">
        <v>0</v>
      </c>
      <c r="BB105" s="47">
        <v>0</v>
      </c>
      <c r="BC105" s="47">
        <v>0</v>
      </c>
      <c r="BD105" s="47">
        <v>0</v>
      </c>
      <c r="BE105" s="47">
        <v>0</v>
      </c>
      <c r="BF105" s="47">
        <v>0</v>
      </c>
      <c r="BG105" s="47">
        <v>0</v>
      </c>
      <c r="BH105" s="47">
        <v>0</v>
      </c>
      <c r="BI105" s="47">
        <v>0</v>
      </c>
      <c r="BJ105" s="47">
        <v>0</v>
      </c>
      <c r="BK105" s="47">
        <v>0</v>
      </c>
      <c r="BL105" s="47">
        <v>0</v>
      </c>
      <c r="BM105" s="47">
        <v>0</v>
      </c>
      <c r="BN105" s="47">
        <v>0</v>
      </c>
      <c r="BO105" s="47">
        <v>0</v>
      </c>
      <c r="BP105" s="47">
        <v>0</v>
      </c>
      <c r="BQ105" s="47">
        <v>0</v>
      </c>
      <c r="BR105" s="47">
        <v>0</v>
      </c>
      <c r="BS105" s="47">
        <v>0</v>
      </c>
      <c r="BT105" s="47">
        <v>0</v>
      </c>
      <c r="BU105" s="47">
        <v>0</v>
      </c>
      <c r="BV105" s="47">
        <v>0</v>
      </c>
      <c r="BW105" s="47">
        <v>0</v>
      </c>
      <c r="BX105" s="47">
        <v>0</v>
      </c>
      <c r="BY105" s="47">
        <v>0</v>
      </c>
      <c r="BZ105" s="47">
        <v>0</v>
      </c>
      <c r="CA105" s="47">
        <v>0</v>
      </c>
      <c r="CB105" s="47">
        <v>0</v>
      </c>
      <c r="CC105" s="47">
        <v>0</v>
      </c>
      <c r="CD105" s="47">
        <v>0</v>
      </c>
      <c r="CE105" s="47">
        <v>0</v>
      </c>
      <c r="CF105" s="47">
        <v>0</v>
      </c>
      <c r="CG105" s="47">
        <v>0</v>
      </c>
      <c r="CH105" s="47">
        <v>0</v>
      </c>
      <c r="CI105" s="47">
        <v>0</v>
      </c>
      <c r="CJ105" s="47">
        <v>0</v>
      </c>
      <c r="CK105" s="47">
        <v>0</v>
      </c>
      <c r="CL105" s="47">
        <v>0</v>
      </c>
      <c r="CM105" s="47">
        <v>0</v>
      </c>
      <c r="CN105" s="47">
        <v>0</v>
      </c>
      <c r="CO105" s="47">
        <v>0</v>
      </c>
      <c r="CP105" s="47">
        <v>0</v>
      </c>
      <c r="CQ105" s="47">
        <v>0</v>
      </c>
      <c r="CR105" s="47">
        <v>0</v>
      </c>
      <c r="CS105" s="47">
        <v>0</v>
      </c>
      <c r="CT105" s="47">
        <v>0</v>
      </c>
      <c r="CU105" s="47">
        <v>0</v>
      </c>
      <c r="CV105" s="47">
        <v>0</v>
      </c>
      <c r="CW105" s="47">
        <v>0</v>
      </c>
      <c r="CX105" s="47">
        <v>0</v>
      </c>
      <c r="CY105" s="47">
        <v>0.3024</v>
      </c>
      <c r="CZ105" s="47">
        <v>0</v>
      </c>
      <c r="DA105" s="47">
        <v>0</v>
      </c>
      <c r="DB105" s="47">
        <v>0</v>
      </c>
      <c r="DC105" s="47">
        <v>0</v>
      </c>
      <c r="DD105" s="47">
        <v>0</v>
      </c>
      <c r="DE105" s="47">
        <v>0</v>
      </c>
      <c r="DF105" s="47">
        <v>0</v>
      </c>
      <c r="DG105" s="47">
        <v>0</v>
      </c>
      <c r="DH105" s="47">
        <v>0</v>
      </c>
      <c r="DI105" s="47">
        <v>0</v>
      </c>
      <c r="DJ105" s="47">
        <v>0.3024</v>
      </c>
      <c r="DK105" s="47">
        <v>0</v>
      </c>
      <c r="DL105" s="47">
        <v>0</v>
      </c>
      <c r="DM105" s="47">
        <v>0</v>
      </c>
      <c r="DN105" s="47">
        <v>0</v>
      </c>
      <c r="DO105" s="47">
        <v>0</v>
      </c>
      <c r="DP105" s="47">
        <v>0</v>
      </c>
      <c r="DQ105" s="47">
        <v>0</v>
      </c>
      <c r="DR105" s="47">
        <v>0</v>
      </c>
      <c r="DS105" s="47">
        <v>0</v>
      </c>
      <c r="DT105" s="47">
        <v>0</v>
      </c>
      <c r="DU105" s="47">
        <v>0.0242</v>
      </c>
      <c r="DV105" s="47">
        <v>0</v>
      </c>
      <c r="DW105" s="47">
        <v>0</v>
      </c>
      <c r="DX105" s="47">
        <v>0</v>
      </c>
      <c r="DY105" s="47">
        <v>0.0242</v>
      </c>
      <c r="DZ105" s="47"/>
      <c r="EA105" s="47">
        <v>1</v>
      </c>
      <c r="ZZ105" t="s">
        <v>1084</v>
      </c>
    </row>
    <row r="106" spans="1:702" x14ac:dyDescent="0.25">
      <c r="A106" s="47" t="s">
        <v>634</v>
      </c>
      <c r="B106" s="47" t="s">
        <v>151</v>
      </c>
      <c r="C106" s="47" t="s">
        <v>155</v>
      </c>
      <c r="D106" s="47" t="s">
        <v>1186</v>
      </c>
      <c r="E106" s="47" t="s">
        <v>635</v>
      </c>
      <c r="F106" s="47" t="s">
        <v>636</v>
      </c>
      <c r="G106" s="47" t="s">
        <v>637</v>
      </c>
      <c r="H106" s="47" t="s">
        <v>380</v>
      </c>
      <c r="I106" s="47" t="s">
        <v>381</v>
      </c>
      <c r="J106" s="47" t="str">
        <f>=IFERROR(VLOOKUP(H106&amp;I106,Table_Fonctions!A:G,6,FALSE),"")</f>
        <v>0</v>
      </c>
      <c r="K106" s="47" t="s">
        <v>1132</v>
      </c>
      <c r="L106" s="47" t="str">
        <f>=IFERROR(VLOOKUP(H106&amp;I106,Table_Fonctions!A:G,7,FALSE),K106)</f>
        <v/>
      </c>
      <c r="M106" s="47" t="str">
        <f>=IF(OR(LEFT(D106, 3)="TJ ", LEFT(D106, 4)="CPH "), "OUI", "NON")</f>
        <v/>
      </c>
      <c r="N106" s="47" t="s">
        <v>596</v>
      </c>
      <c r="O106" s="47"/>
      <c r="P106" s="47">
        <v>1</v>
      </c>
      <c r="Q106" s="47">
        <v>1</v>
      </c>
      <c r="R106" s="47">
        <v>0</v>
      </c>
      <c r="S106" s="47">
        <f>=ROUND(BQ106-(BR106+BS106),3)</f>
      </c>
      <c r="T106" s="47">
        <f>=ROUND(CK106-(CL106+CM106+CN106+CO106+CP106),3)</f>
      </c>
      <c r="U106" s="47">
        <v>0</v>
      </c>
      <c r="V106" s="47">
        <v>0</v>
      </c>
      <c r="W106" s="47">
        <v>0</v>
      </c>
      <c r="X106" s="47">
        <v>0</v>
      </c>
      <c r="Y106" s="47">
        <v>0</v>
      </c>
      <c r="Z106" s="47">
        <v>0</v>
      </c>
      <c r="AA106" s="47">
        <v>0</v>
      </c>
      <c r="AB106" s="47">
        <v>0</v>
      </c>
      <c r="AC106" s="47">
        <v>0</v>
      </c>
      <c r="AD106" s="47">
        <v>0</v>
      </c>
      <c r="AE106" s="47">
        <v>0</v>
      </c>
      <c r="AF106" s="47">
        <v>0</v>
      </c>
      <c r="AG106" s="47">
        <v>0</v>
      </c>
      <c r="AH106" s="47">
        <v>0</v>
      </c>
      <c r="AI106" s="47">
        <v>0</v>
      </c>
      <c r="AJ106" s="47">
        <v>0</v>
      </c>
      <c r="AK106" s="47">
        <v>0</v>
      </c>
      <c r="AL106" s="47">
        <v>0</v>
      </c>
      <c r="AM106" s="47">
        <v>0</v>
      </c>
      <c r="AN106" s="47">
        <v>0</v>
      </c>
      <c r="AO106" s="47">
        <v>0</v>
      </c>
      <c r="AP106" s="47">
        <v>0</v>
      </c>
      <c r="AQ106" s="47">
        <v>0</v>
      </c>
      <c r="AR106" s="47">
        <v>0</v>
      </c>
      <c r="AS106" s="47">
        <v>0</v>
      </c>
      <c r="AT106" s="47">
        <v>0</v>
      </c>
      <c r="AU106" s="47">
        <v>0</v>
      </c>
      <c r="AV106" s="47">
        <v>0</v>
      </c>
      <c r="AW106" s="47">
        <v>0</v>
      </c>
      <c r="AX106" s="47">
        <v>0</v>
      </c>
      <c r="AY106" s="47">
        <v>0</v>
      </c>
      <c r="AZ106" s="47">
        <v>0</v>
      </c>
      <c r="BA106" s="47">
        <v>0</v>
      </c>
      <c r="BB106" s="47">
        <v>0</v>
      </c>
      <c r="BC106" s="47">
        <v>0</v>
      </c>
      <c r="BD106" s="47">
        <v>0</v>
      </c>
      <c r="BE106" s="47">
        <v>0</v>
      </c>
      <c r="BF106" s="47">
        <v>0</v>
      </c>
      <c r="BG106" s="47">
        <v>0</v>
      </c>
      <c r="BH106" s="47">
        <v>0</v>
      </c>
      <c r="BI106" s="47">
        <v>0</v>
      </c>
      <c r="BJ106" s="47">
        <v>0</v>
      </c>
      <c r="BK106" s="47">
        <v>0</v>
      </c>
      <c r="BL106" s="47">
        <v>0</v>
      </c>
      <c r="BM106" s="47">
        <v>0.2413</v>
      </c>
      <c r="BN106" s="47">
        <v>0</v>
      </c>
      <c r="BO106" s="47">
        <v>0</v>
      </c>
      <c r="BP106" s="47">
        <v>0</v>
      </c>
      <c r="BQ106" s="47">
        <v>0</v>
      </c>
      <c r="BR106" s="47">
        <v>0</v>
      </c>
      <c r="BS106" s="47">
        <v>0</v>
      </c>
      <c r="BT106" s="47">
        <v>0.0173</v>
      </c>
      <c r="BU106" s="47">
        <v>0</v>
      </c>
      <c r="BV106" s="47">
        <v>0</v>
      </c>
      <c r="BW106" s="47">
        <v>0</v>
      </c>
      <c r="BX106" s="47">
        <v>0</v>
      </c>
      <c r="BY106" s="47">
        <v>0</v>
      </c>
      <c r="BZ106" s="47">
        <v>0</v>
      </c>
      <c r="CA106" s="47">
        <v>0</v>
      </c>
      <c r="CB106" s="47">
        <v>0</v>
      </c>
      <c r="CC106" s="47">
        <v>0</v>
      </c>
      <c r="CD106" s="47">
        <v>0</v>
      </c>
      <c r="CE106" s="47">
        <v>0</v>
      </c>
      <c r="CF106" s="47">
        <v>0</v>
      </c>
      <c r="CG106" s="47">
        <v>0</v>
      </c>
      <c r="CH106" s="47">
        <v>0</v>
      </c>
      <c r="CI106" s="47">
        <v>0</v>
      </c>
      <c r="CJ106" s="47">
        <v>0</v>
      </c>
      <c r="CK106" s="47">
        <v>0.5</v>
      </c>
      <c r="CL106" s="47">
        <v>0</v>
      </c>
      <c r="CM106" s="47">
        <v>0</v>
      </c>
      <c r="CN106" s="47">
        <v>0</v>
      </c>
      <c r="CO106" s="47">
        <v>0</v>
      </c>
      <c r="CP106" s="47">
        <v>0</v>
      </c>
      <c r="CQ106" s="47">
        <v>0</v>
      </c>
      <c r="CR106" s="47">
        <v>0</v>
      </c>
      <c r="CS106" s="47">
        <v>0</v>
      </c>
      <c r="CT106" s="47">
        <v>0</v>
      </c>
      <c r="CU106" s="47">
        <v>0</v>
      </c>
      <c r="CV106" s="47">
        <v>0.2413</v>
      </c>
      <c r="CW106" s="47">
        <v>0</v>
      </c>
      <c r="CX106" s="47">
        <v>0</v>
      </c>
      <c r="CY106" s="47">
        <v>0</v>
      </c>
      <c r="CZ106" s="47">
        <v>0</v>
      </c>
      <c r="DA106" s="47">
        <v>0</v>
      </c>
      <c r="DB106" s="47">
        <v>0</v>
      </c>
      <c r="DC106" s="47">
        <v>0</v>
      </c>
      <c r="DD106" s="47">
        <v>0</v>
      </c>
      <c r="DE106" s="47">
        <v>0</v>
      </c>
      <c r="DF106" s="47">
        <v>0</v>
      </c>
      <c r="DG106" s="47">
        <v>0</v>
      </c>
      <c r="DH106" s="47">
        <v>0</v>
      </c>
      <c r="DI106" s="47">
        <v>0</v>
      </c>
      <c r="DJ106" s="47">
        <v>0</v>
      </c>
      <c r="DK106" s="47">
        <v>0</v>
      </c>
      <c r="DL106" s="47">
        <v>0</v>
      </c>
      <c r="DM106" s="47">
        <v>0</v>
      </c>
      <c r="DN106" s="47">
        <v>0</v>
      </c>
      <c r="DO106" s="47">
        <v>0</v>
      </c>
      <c r="DP106" s="47">
        <v>0</v>
      </c>
      <c r="DQ106" s="47">
        <v>0</v>
      </c>
      <c r="DR106" s="47">
        <v>0</v>
      </c>
      <c r="DS106" s="47">
        <v>0</v>
      </c>
      <c r="DT106" s="47">
        <v>0</v>
      </c>
      <c r="DU106" s="47">
        <v>0</v>
      </c>
      <c r="DV106" s="47">
        <v>0</v>
      </c>
      <c r="DW106" s="47">
        <v>0</v>
      </c>
      <c r="DX106" s="47">
        <v>0</v>
      </c>
      <c r="DY106" s="47">
        <v>0</v>
      </c>
      <c r="DZ106" s="47"/>
      <c r="EA106" s="47">
        <v>1</v>
      </c>
      <c r="ZZ106" t="s">
        <v>1084</v>
      </c>
    </row>
    <row r="107" spans="1:702" x14ac:dyDescent="0.25">
      <c r="A107" s="47" t="s">
        <v>638</v>
      </c>
      <c r="B107" s="47" t="s">
        <v>151</v>
      </c>
      <c r="C107" s="47" t="s">
        <v>155</v>
      </c>
      <c r="D107" s="47" t="s">
        <v>1187</v>
      </c>
      <c r="E107" s="47" t="s">
        <v>639</v>
      </c>
      <c r="F107" s="47" t="s">
        <v>640</v>
      </c>
      <c r="G107" s="47" t="s">
        <v>641</v>
      </c>
      <c r="H107" s="47" t="s">
        <v>380</v>
      </c>
      <c r="I107" s="47" t="s">
        <v>421</v>
      </c>
      <c r="J107" s="47" t="str">
        <f>=IFERROR(VLOOKUP(H107&amp;I107,Table_Fonctions!A:G,6,FALSE),"")</f>
        <v>0</v>
      </c>
      <c r="K107" s="47" t="s">
        <v>1132</v>
      </c>
      <c r="L107" s="47" t="str">
        <f>=IFERROR(VLOOKUP(H107&amp;I107,Table_Fonctions!A:G,7,FALSE),K107)</f>
        <v/>
      </c>
      <c r="M107" s="47" t="str">
        <f>=IF(OR(LEFT(D107, 3)="TJ ", LEFT(D107, 4)="CPH "), "OUI", "NON")</f>
        <v/>
      </c>
      <c r="N107" s="47" t="s">
        <v>642</v>
      </c>
      <c r="O107" s="47"/>
      <c r="P107" s="47">
        <v>1</v>
      </c>
      <c r="Q107" s="47">
        <v>0</v>
      </c>
      <c r="R107" s="47">
        <v>1</v>
      </c>
      <c r="S107" s="47">
        <f>=ROUND(BQ107-(BR107+BS107),3)</f>
      </c>
      <c r="T107" s="47">
        <f>=ROUND(CK107-(CL107+CM107+CN107+CO107+CP107),3)</f>
      </c>
      <c r="U107" s="47">
        <v>0</v>
      </c>
      <c r="V107" s="47">
        <v>0</v>
      </c>
      <c r="W107" s="47">
        <v>0</v>
      </c>
      <c r="X107" s="47">
        <v>0</v>
      </c>
      <c r="Y107" s="47">
        <v>0</v>
      </c>
      <c r="Z107" s="47">
        <v>0</v>
      </c>
      <c r="AA107" s="47">
        <v>0</v>
      </c>
      <c r="AB107" s="47">
        <v>0</v>
      </c>
      <c r="AC107" s="47">
        <v>0</v>
      </c>
      <c r="AD107" s="47">
        <v>0</v>
      </c>
      <c r="AE107" s="47">
        <v>0</v>
      </c>
      <c r="AF107" s="47">
        <v>0</v>
      </c>
      <c r="AG107" s="47">
        <v>0</v>
      </c>
      <c r="AH107" s="47">
        <v>0</v>
      </c>
      <c r="AI107" s="47">
        <v>0</v>
      </c>
      <c r="AJ107" s="47">
        <v>0</v>
      </c>
      <c r="AK107" s="47">
        <v>0</v>
      </c>
      <c r="AL107" s="47">
        <v>0</v>
      </c>
      <c r="AM107" s="47">
        <v>0</v>
      </c>
      <c r="AN107" s="47">
        <v>0</v>
      </c>
      <c r="AO107" s="47">
        <v>0</v>
      </c>
      <c r="AP107" s="47">
        <v>0</v>
      </c>
      <c r="AQ107" s="47">
        <v>0</v>
      </c>
      <c r="AR107" s="47">
        <v>0</v>
      </c>
      <c r="AS107" s="47">
        <v>0</v>
      </c>
      <c r="AT107" s="47">
        <v>0</v>
      </c>
      <c r="AU107" s="47">
        <v>0</v>
      </c>
      <c r="AV107" s="47">
        <v>0</v>
      </c>
      <c r="AW107" s="47">
        <v>0</v>
      </c>
      <c r="AX107" s="47">
        <v>0</v>
      </c>
      <c r="AY107" s="47">
        <v>0</v>
      </c>
      <c r="AZ107" s="47">
        <v>0</v>
      </c>
      <c r="BA107" s="47">
        <v>0</v>
      </c>
      <c r="BB107" s="47">
        <v>0</v>
      </c>
      <c r="BC107" s="47">
        <v>0</v>
      </c>
      <c r="BD107" s="47">
        <v>0</v>
      </c>
      <c r="BE107" s="47">
        <v>0</v>
      </c>
      <c r="BF107" s="47">
        <v>0</v>
      </c>
      <c r="BG107" s="47">
        <v>0</v>
      </c>
      <c r="BH107" s="47">
        <v>0</v>
      </c>
      <c r="BI107" s="47">
        <v>0</v>
      </c>
      <c r="BJ107" s="47">
        <v>0</v>
      </c>
      <c r="BK107" s="47">
        <v>0</v>
      </c>
      <c r="BL107" s="47">
        <v>0</v>
      </c>
      <c r="BM107" s="47">
        <v>0</v>
      </c>
      <c r="BN107" s="47">
        <v>0</v>
      </c>
      <c r="BO107" s="47">
        <v>0</v>
      </c>
      <c r="BP107" s="47">
        <v>0</v>
      </c>
      <c r="BQ107" s="47">
        <v>0</v>
      </c>
      <c r="BR107" s="47">
        <v>0</v>
      </c>
      <c r="BS107" s="47">
        <v>0</v>
      </c>
      <c r="BT107" s="47">
        <v>0</v>
      </c>
      <c r="BU107" s="47">
        <v>0</v>
      </c>
      <c r="BV107" s="47">
        <v>0</v>
      </c>
      <c r="BW107" s="47">
        <v>0</v>
      </c>
      <c r="BX107" s="47">
        <v>0</v>
      </c>
      <c r="BY107" s="47">
        <v>0</v>
      </c>
      <c r="BZ107" s="47">
        <v>0</v>
      </c>
      <c r="CA107" s="47">
        <v>0</v>
      </c>
      <c r="CB107" s="47">
        <v>0</v>
      </c>
      <c r="CC107" s="47">
        <v>0</v>
      </c>
      <c r="CD107" s="47">
        <v>0</v>
      </c>
      <c r="CE107" s="47">
        <v>0</v>
      </c>
      <c r="CF107" s="47">
        <v>0</v>
      </c>
      <c r="CG107" s="47">
        <v>0</v>
      </c>
      <c r="CH107" s="47">
        <v>0</v>
      </c>
      <c r="CI107" s="47">
        <v>0</v>
      </c>
      <c r="CJ107" s="47">
        <v>0</v>
      </c>
      <c r="CK107" s="47">
        <v>0</v>
      </c>
      <c r="CL107" s="47">
        <v>0</v>
      </c>
      <c r="CM107" s="47">
        <v>0</v>
      </c>
      <c r="CN107" s="47">
        <v>0</v>
      </c>
      <c r="CO107" s="47">
        <v>0</v>
      </c>
      <c r="CP107" s="47">
        <v>0</v>
      </c>
      <c r="CQ107" s="47">
        <v>0</v>
      </c>
      <c r="CR107" s="47">
        <v>0</v>
      </c>
      <c r="CS107" s="47">
        <v>0</v>
      </c>
      <c r="CT107" s="47">
        <v>0</v>
      </c>
      <c r="CU107" s="47">
        <v>0</v>
      </c>
      <c r="CV107" s="47">
        <v>0</v>
      </c>
      <c r="CW107" s="47">
        <v>0</v>
      </c>
      <c r="CX107" s="47">
        <v>0</v>
      </c>
      <c r="CY107" s="47">
        <v>0</v>
      </c>
      <c r="CZ107" s="47">
        <v>0</v>
      </c>
      <c r="DA107" s="47">
        <v>0</v>
      </c>
      <c r="DB107" s="47">
        <v>0</v>
      </c>
      <c r="DC107" s="47">
        <v>0</v>
      </c>
      <c r="DD107" s="47">
        <v>0</v>
      </c>
      <c r="DE107" s="47">
        <v>0</v>
      </c>
      <c r="DF107" s="47">
        <v>0</v>
      </c>
      <c r="DG107" s="47">
        <v>0</v>
      </c>
      <c r="DH107" s="47">
        <v>0</v>
      </c>
      <c r="DI107" s="47">
        <v>0</v>
      </c>
      <c r="DJ107" s="47">
        <v>0</v>
      </c>
      <c r="DK107" s="47">
        <v>0</v>
      </c>
      <c r="DL107" s="47">
        <v>0</v>
      </c>
      <c r="DM107" s="47">
        <v>0</v>
      </c>
      <c r="DN107" s="47">
        <v>0</v>
      </c>
      <c r="DO107" s="47">
        <v>0</v>
      </c>
      <c r="DP107" s="47">
        <v>0</v>
      </c>
      <c r="DQ107" s="47">
        <v>0</v>
      </c>
      <c r="DR107" s="47">
        <v>0</v>
      </c>
      <c r="DS107" s="47">
        <v>0</v>
      </c>
      <c r="DT107" s="47">
        <v>0</v>
      </c>
      <c r="DU107" s="47">
        <v>0</v>
      </c>
      <c r="DV107" s="47">
        <v>0</v>
      </c>
      <c r="DW107" s="47">
        <v>0</v>
      </c>
      <c r="DX107" s="47">
        <v>0</v>
      </c>
      <c r="DY107" s="47">
        <v>0</v>
      </c>
      <c r="DZ107" s="47"/>
      <c r="EA107" s="47">
        <v>1</v>
      </c>
      <c r="ZZ107" t="s">
        <v>1084</v>
      </c>
    </row>
    <row r="108" spans="1:702" x14ac:dyDescent="0.25">
      <c r="A108" s="47" t="s">
        <v>643</v>
      </c>
      <c r="B108" s="47" t="s">
        <v>151</v>
      </c>
      <c r="C108" s="47" t="s">
        <v>155</v>
      </c>
      <c r="D108" s="47" t="s">
        <v>1157</v>
      </c>
      <c r="E108" s="47" t="s">
        <v>644</v>
      </c>
      <c r="F108" s="47" t="s">
        <v>645</v>
      </c>
      <c r="G108" s="47" t="s">
        <v>646</v>
      </c>
      <c r="H108" s="47" t="s">
        <v>380</v>
      </c>
      <c r="I108" s="47" t="s">
        <v>381</v>
      </c>
      <c r="J108" s="47" t="str">
        <f>=IFERROR(VLOOKUP(H108&amp;I108,Table_Fonctions!A:G,6,FALSE),"")</f>
        <v>0</v>
      </c>
      <c r="K108" s="47" t="s">
        <v>1132</v>
      </c>
      <c r="L108" s="47" t="str">
        <f>=IFERROR(VLOOKUP(H108&amp;I108,Table_Fonctions!A:G,7,FALSE),K108)</f>
        <v/>
      </c>
      <c r="M108" s="47" t="str">
        <f>=IF(OR(LEFT(D108, 3)="TJ ", LEFT(D108, 4)="CPH "), "OUI", "NON")</f>
        <v/>
      </c>
      <c r="N108" s="47" t="s">
        <v>647</v>
      </c>
      <c r="O108" s="47"/>
      <c r="P108" s="47">
        <v>1</v>
      </c>
      <c r="Q108" s="47">
        <v>1</v>
      </c>
      <c r="R108" s="47">
        <v>0</v>
      </c>
      <c r="S108" s="47">
        <f>=ROUND(BQ108-(BR108+BS108),3)</f>
      </c>
      <c r="T108" s="47">
        <f>=ROUND(CK108-(CL108+CM108+CN108+CO108+CP108),3)</f>
      </c>
      <c r="U108" s="47">
        <v>0</v>
      </c>
      <c r="V108" s="47">
        <v>0</v>
      </c>
      <c r="W108" s="47">
        <v>0</v>
      </c>
      <c r="X108" s="47">
        <v>0</v>
      </c>
      <c r="Y108" s="47">
        <v>0</v>
      </c>
      <c r="Z108" s="47">
        <v>1</v>
      </c>
      <c r="AA108" s="47">
        <v>0</v>
      </c>
      <c r="AB108" s="47">
        <v>0</v>
      </c>
      <c r="AC108" s="47">
        <v>0</v>
      </c>
      <c r="AD108" s="47">
        <v>0</v>
      </c>
      <c r="AE108" s="47">
        <v>0</v>
      </c>
      <c r="AF108" s="47">
        <v>0</v>
      </c>
      <c r="AG108" s="47">
        <v>0</v>
      </c>
      <c r="AH108" s="47">
        <v>0</v>
      </c>
      <c r="AI108" s="47">
        <v>0</v>
      </c>
      <c r="AJ108" s="47">
        <v>0</v>
      </c>
      <c r="AK108" s="47">
        <v>0</v>
      </c>
      <c r="AL108" s="47">
        <v>0</v>
      </c>
      <c r="AM108" s="47">
        <v>0</v>
      </c>
      <c r="AN108" s="47">
        <v>0</v>
      </c>
      <c r="AO108" s="47">
        <v>0</v>
      </c>
      <c r="AP108" s="47">
        <v>0</v>
      </c>
      <c r="AQ108" s="47">
        <v>0</v>
      </c>
      <c r="AR108" s="47">
        <v>0</v>
      </c>
      <c r="AS108" s="47">
        <v>0</v>
      </c>
      <c r="AT108" s="47">
        <v>0</v>
      </c>
      <c r="AU108" s="47">
        <v>0</v>
      </c>
      <c r="AV108" s="47">
        <v>0</v>
      </c>
      <c r="AW108" s="47">
        <v>0</v>
      </c>
      <c r="AX108" s="47">
        <v>0</v>
      </c>
      <c r="AY108" s="47">
        <v>0</v>
      </c>
      <c r="AZ108" s="47">
        <v>0</v>
      </c>
      <c r="BA108" s="47">
        <v>0</v>
      </c>
      <c r="BB108" s="47">
        <v>0</v>
      </c>
      <c r="BC108" s="47">
        <v>0</v>
      </c>
      <c r="BD108" s="47">
        <v>0</v>
      </c>
      <c r="BE108" s="47">
        <v>0</v>
      </c>
      <c r="BF108" s="47">
        <v>0</v>
      </c>
      <c r="BG108" s="47">
        <v>0</v>
      </c>
      <c r="BH108" s="47">
        <v>0</v>
      </c>
      <c r="BI108" s="47">
        <v>0</v>
      </c>
      <c r="BJ108" s="47">
        <v>0</v>
      </c>
      <c r="BK108" s="47">
        <v>0</v>
      </c>
      <c r="BL108" s="47">
        <v>0</v>
      </c>
      <c r="BM108" s="47">
        <v>0</v>
      </c>
      <c r="BN108" s="47">
        <v>0</v>
      </c>
      <c r="BO108" s="47">
        <v>0</v>
      </c>
      <c r="BP108" s="47">
        <v>0</v>
      </c>
      <c r="BQ108" s="47">
        <v>0</v>
      </c>
      <c r="BR108" s="47">
        <v>0</v>
      </c>
      <c r="BS108" s="47">
        <v>0</v>
      </c>
      <c r="BT108" s="47">
        <v>0</v>
      </c>
      <c r="BU108" s="47">
        <v>0</v>
      </c>
      <c r="BV108" s="47">
        <v>0</v>
      </c>
      <c r="BW108" s="47">
        <v>0</v>
      </c>
      <c r="BX108" s="47">
        <v>0</v>
      </c>
      <c r="BY108" s="47">
        <v>0</v>
      </c>
      <c r="BZ108" s="47">
        <v>0</v>
      </c>
      <c r="CA108" s="47">
        <v>0</v>
      </c>
      <c r="CB108" s="47">
        <v>0</v>
      </c>
      <c r="CC108" s="47">
        <v>0</v>
      </c>
      <c r="CD108" s="47">
        <v>0</v>
      </c>
      <c r="CE108" s="47">
        <v>0</v>
      </c>
      <c r="CF108" s="47">
        <v>0</v>
      </c>
      <c r="CG108" s="47">
        <v>0</v>
      </c>
      <c r="CH108" s="47">
        <v>0</v>
      </c>
      <c r="CI108" s="47">
        <v>0</v>
      </c>
      <c r="CJ108" s="47">
        <v>0</v>
      </c>
      <c r="CK108" s="47">
        <v>0</v>
      </c>
      <c r="CL108" s="47">
        <v>0</v>
      </c>
      <c r="CM108" s="47">
        <v>0</v>
      </c>
      <c r="CN108" s="47">
        <v>0</v>
      </c>
      <c r="CO108" s="47">
        <v>0</v>
      </c>
      <c r="CP108" s="47">
        <v>0</v>
      </c>
      <c r="CQ108" s="47">
        <v>0</v>
      </c>
      <c r="CR108" s="47">
        <v>0</v>
      </c>
      <c r="CS108" s="47">
        <v>0</v>
      </c>
      <c r="CT108" s="47">
        <v>0</v>
      </c>
      <c r="CU108" s="47">
        <v>0</v>
      </c>
      <c r="CV108" s="47">
        <v>0</v>
      </c>
      <c r="CW108" s="47">
        <v>0</v>
      </c>
      <c r="CX108" s="47">
        <v>0</v>
      </c>
      <c r="CY108" s="47">
        <v>0</v>
      </c>
      <c r="CZ108" s="47">
        <v>0</v>
      </c>
      <c r="DA108" s="47">
        <v>0</v>
      </c>
      <c r="DB108" s="47">
        <v>0</v>
      </c>
      <c r="DC108" s="47">
        <v>0</v>
      </c>
      <c r="DD108" s="47">
        <v>0</v>
      </c>
      <c r="DE108" s="47">
        <v>0</v>
      </c>
      <c r="DF108" s="47">
        <v>0</v>
      </c>
      <c r="DG108" s="47">
        <v>0</v>
      </c>
      <c r="DH108" s="47">
        <v>0</v>
      </c>
      <c r="DI108" s="47">
        <v>0</v>
      </c>
      <c r="DJ108" s="47">
        <v>0</v>
      </c>
      <c r="DK108" s="47">
        <v>0</v>
      </c>
      <c r="DL108" s="47">
        <v>0</v>
      </c>
      <c r="DM108" s="47">
        <v>0</v>
      </c>
      <c r="DN108" s="47">
        <v>0</v>
      </c>
      <c r="DO108" s="47">
        <v>0</v>
      </c>
      <c r="DP108" s="47">
        <v>0</v>
      </c>
      <c r="DQ108" s="47">
        <v>0</v>
      </c>
      <c r="DR108" s="47">
        <v>0</v>
      </c>
      <c r="DS108" s="47">
        <v>0</v>
      </c>
      <c r="DT108" s="47">
        <v>0</v>
      </c>
      <c r="DU108" s="47">
        <v>0.0121</v>
      </c>
      <c r="DV108" s="47">
        <v>0</v>
      </c>
      <c r="DW108" s="47">
        <v>0</v>
      </c>
      <c r="DX108" s="47">
        <v>0</v>
      </c>
      <c r="DY108" s="47">
        <v>0.0121</v>
      </c>
      <c r="DZ108" s="47"/>
      <c r="EA108" s="47">
        <v>1</v>
      </c>
      <c r="ZZ108" t="s">
        <v>1084</v>
      </c>
    </row>
    <row r="109" spans="1:702" x14ac:dyDescent="0.25">
      <c r="A109" s="47" t="s">
        <v>648</v>
      </c>
      <c r="B109" s="47" t="s">
        <v>151</v>
      </c>
      <c r="C109" s="47" t="s">
        <v>155</v>
      </c>
      <c r="D109" s="47" t="s">
        <v>1188</v>
      </c>
      <c r="E109" s="47" t="s">
        <v>649</v>
      </c>
      <c r="F109" s="47" t="s">
        <v>650</v>
      </c>
      <c r="G109" s="47" t="s">
        <v>651</v>
      </c>
      <c r="H109" s="47" t="s">
        <v>380</v>
      </c>
      <c r="I109" s="47" t="s">
        <v>580</v>
      </c>
      <c r="J109" s="47" t="str">
        <f>=IFERROR(VLOOKUP(H109&amp;I109,Table_Fonctions!A:G,6,FALSE),"")</f>
        <v>0</v>
      </c>
      <c r="K109" s="47" t="s">
        <v>1136</v>
      </c>
      <c r="L109" s="47" t="str">
        <f>=IFERROR(VLOOKUP(H109&amp;I109,Table_Fonctions!A:G,7,FALSE),K109)</f>
        <v/>
      </c>
      <c r="M109" s="47" t="str">
        <f>=IF(OR(LEFT(D109, 3)="TJ ", LEFT(D109, 4)="CPH "), "OUI", "NON")</f>
        <v/>
      </c>
      <c r="N109" s="47" t="s">
        <v>647</v>
      </c>
      <c r="O109" s="47" t="s">
        <v>652</v>
      </c>
      <c r="P109" s="47">
        <v>0.5161</v>
      </c>
      <c r="Q109" s="47">
        <v>0.5161</v>
      </c>
      <c r="R109" s="47">
        <v>0</v>
      </c>
      <c r="S109" s="47">
        <f>=ROUND(BQ109-(BR109+BS109),3)</f>
      </c>
      <c r="T109" s="47">
        <f>=ROUND(CK109-(CL109+CM109+CN109+CO109+CP109),3)</f>
      </c>
      <c r="U109" s="47">
        <v>0</v>
      </c>
      <c r="V109" s="47">
        <v>0</v>
      </c>
      <c r="W109" s="47">
        <v>0</v>
      </c>
      <c r="X109" s="47">
        <v>0</v>
      </c>
      <c r="Y109" s="47">
        <v>0</v>
      </c>
      <c r="Z109" s="47">
        <v>0</v>
      </c>
      <c r="AA109" s="47">
        <v>0</v>
      </c>
      <c r="AB109" s="47">
        <v>0</v>
      </c>
      <c r="AC109" s="47">
        <v>0</v>
      </c>
      <c r="AD109" s="47">
        <v>0</v>
      </c>
      <c r="AE109" s="47">
        <v>0</v>
      </c>
      <c r="AF109" s="47">
        <v>0</v>
      </c>
      <c r="AG109" s="47">
        <v>0</v>
      </c>
      <c r="AH109" s="47">
        <v>0</v>
      </c>
      <c r="AI109" s="47">
        <v>0</v>
      </c>
      <c r="AJ109" s="47">
        <v>0.5161</v>
      </c>
      <c r="AK109" s="47">
        <v>0.3448</v>
      </c>
      <c r="AL109" s="47">
        <v>0</v>
      </c>
      <c r="AM109" s="47">
        <v>0</v>
      </c>
      <c r="AN109" s="47">
        <v>0</v>
      </c>
      <c r="AO109" s="47">
        <v>0.1714</v>
      </c>
      <c r="AP109" s="47">
        <v>0</v>
      </c>
      <c r="AQ109" s="47">
        <v>0</v>
      </c>
      <c r="AR109" s="47">
        <v>0</v>
      </c>
      <c r="AS109" s="47">
        <v>0</v>
      </c>
      <c r="AT109" s="47">
        <v>0</v>
      </c>
      <c r="AU109" s="47">
        <v>0</v>
      </c>
      <c r="AV109" s="47">
        <v>0</v>
      </c>
      <c r="AW109" s="47">
        <v>0</v>
      </c>
      <c r="AX109" s="47">
        <v>0</v>
      </c>
      <c r="AY109" s="47">
        <v>0</v>
      </c>
      <c r="AZ109" s="47">
        <v>0</v>
      </c>
      <c r="BA109" s="47">
        <v>0</v>
      </c>
      <c r="BB109" s="47">
        <v>0</v>
      </c>
      <c r="BC109" s="47">
        <v>0</v>
      </c>
      <c r="BD109" s="47">
        <v>0</v>
      </c>
      <c r="BE109" s="47">
        <v>0</v>
      </c>
      <c r="BF109" s="47">
        <v>0</v>
      </c>
      <c r="BG109" s="47">
        <v>0</v>
      </c>
      <c r="BH109" s="47">
        <v>0</v>
      </c>
      <c r="BI109" s="47">
        <v>0</v>
      </c>
      <c r="BJ109" s="47">
        <v>0</v>
      </c>
      <c r="BK109" s="47">
        <v>0</v>
      </c>
      <c r="BL109" s="47">
        <v>0</v>
      </c>
      <c r="BM109" s="47">
        <v>0</v>
      </c>
      <c r="BN109" s="47">
        <v>0</v>
      </c>
      <c r="BO109" s="47">
        <v>0</v>
      </c>
      <c r="BP109" s="47">
        <v>0</v>
      </c>
      <c r="BQ109" s="47">
        <v>0</v>
      </c>
      <c r="BR109" s="47">
        <v>0</v>
      </c>
      <c r="BS109" s="47">
        <v>0</v>
      </c>
      <c r="BT109" s="47">
        <v>0</v>
      </c>
      <c r="BU109" s="47">
        <v>0</v>
      </c>
      <c r="BV109" s="47">
        <v>0</v>
      </c>
      <c r="BW109" s="47">
        <v>0</v>
      </c>
      <c r="BX109" s="47">
        <v>0</v>
      </c>
      <c r="BY109" s="47">
        <v>0</v>
      </c>
      <c r="BZ109" s="47">
        <v>0</v>
      </c>
      <c r="CA109" s="47">
        <v>0</v>
      </c>
      <c r="CB109" s="47">
        <v>0</v>
      </c>
      <c r="CC109" s="47">
        <v>0</v>
      </c>
      <c r="CD109" s="47">
        <v>0</v>
      </c>
      <c r="CE109" s="47">
        <v>0</v>
      </c>
      <c r="CF109" s="47">
        <v>0</v>
      </c>
      <c r="CG109" s="47">
        <v>0</v>
      </c>
      <c r="CH109" s="47">
        <v>0</v>
      </c>
      <c r="CI109" s="47">
        <v>0</v>
      </c>
      <c r="CJ109" s="47">
        <v>0</v>
      </c>
      <c r="CK109" s="47">
        <v>0</v>
      </c>
      <c r="CL109" s="47">
        <v>0</v>
      </c>
      <c r="CM109" s="47">
        <v>0</v>
      </c>
      <c r="CN109" s="47">
        <v>0</v>
      </c>
      <c r="CO109" s="47">
        <v>0</v>
      </c>
      <c r="CP109" s="47">
        <v>0</v>
      </c>
      <c r="CQ109" s="47">
        <v>0</v>
      </c>
      <c r="CR109" s="47">
        <v>0</v>
      </c>
      <c r="CS109" s="47">
        <v>0</v>
      </c>
      <c r="CT109" s="47">
        <v>0</v>
      </c>
      <c r="CU109" s="47">
        <v>0</v>
      </c>
      <c r="CV109" s="47">
        <v>0</v>
      </c>
      <c r="CW109" s="47">
        <v>0</v>
      </c>
      <c r="CX109" s="47">
        <v>0</v>
      </c>
      <c r="CY109" s="47">
        <v>0</v>
      </c>
      <c r="CZ109" s="47">
        <v>0</v>
      </c>
      <c r="DA109" s="47">
        <v>0</v>
      </c>
      <c r="DB109" s="47">
        <v>0</v>
      </c>
      <c r="DC109" s="47">
        <v>0</v>
      </c>
      <c r="DD109" s="47">
        <v>0</v>
      </c>
      <c r="DE109" s="47">
        <v>0</v>
      </c>
      <c r="DF109" s="47">
        <v>0</v>
      </c>
      <c r="DG109" s="47">
        <v>0</v>
      </c>
      <c r="DH109" s="47">
        <v>0</v>
      </c>
      <c r="DI109" s="47">
        <v>0</v>
      </c>
      <c r="DJ109" s="47">
        <v>0</v>
      </c>
      <c r="DK109" s="47">
        <v>0</v>
      </c>
      <c r="DL109" s="47">
        <v>0</v>
      </c>
      <c r="DM109" s="47">
        <v>0</v>
      </c>
      <c r="DN109" s="47">
        <v>0</v>
      </c>
      <c r="DO109" s="47">
        <v>0</v>
      </c>
      <c r="DP109" s="47">
        <v>0</v>
      </c>
      <c r="DQ109" s="47">
        <v>0</v>
      </c>
      <c r="DR109" s="47">
        <v>0</v>
      </c>
      <c r="DS109" s="47">
        <v>0</v>
      </c>
      <c r="DT109" s="47">
        <v>0</v>
      </c>
      <c r="DU109" s="47">
        <v>0</v>
      </c>
      <c r="DV109" s="47">
        <v>0</v>
      </c>
      <c r="DW109" s="47">
        <v>0</v>
      </c>
      <c r="DX109" s="47">
        <v>0</v>
      </c>
      <c r="DY109" s="47">
        <v>0</v>
      </c>
      <c r="DZ109" s="47"/>
      <c r="EA109" s="47">
        <v>0.5161</v>
      </c>
      <c r="ZZ109" t="s">
        <v>1084</v>
      </c>
    </row>
    <row r="110" spans="1:702" x14ac:dyDescent="0.25">
      <c r="A110" s="47" t="s">
        <v>653</v>
      </c>
      <c r="B110" s="47" t="s">
        <v>151</v>
      </c>
      <c r="C110" s="47" t="s">
        <v>155</v>
      </c>
      <c r="D110" s="47" t="s">
        <v>1189</v>
      </c>
      <c r="E110" s="47" t="s">
        <v>654</v>
      </c>
      <c r="F110" s="47" t="s">
        <v>655</v>
      </c>
      <c r="G110" s="47" t="s">
        <v>656</v>
      </c>
      <c r="H110" s="47" t="s">
        <v>380</v>
      </c>
      <c r="I110" s="47" t="s">
        <v>411</v>
      </c>
      <c r="J110" s="47" t="str">
        <f>=IFERROR(VLOOKUP(H110&amp;I110,Table_Fonctions!A:G,6,FALSE),"")</f>
        <v>0</v>
      </c>
      <c r="K110" s="47" t="s">
        <v>1132</v>
      </c>
      <c r="L110" s="47" t="str">
        <f>=IFERROR(VLOOKUP(H110&amp;I110,Table_Fonctions!A:G,7,FALSE),K110)</f>
        <v/>
      </c>
      <c r="M110" s="47" t="str">
        <f>=IF(OR(LEFT(D110, 3)="TJ ", LEFT(D110, 4)="CPH "), "OUI", "NON")</f>
        <v/>
      </c>
      <c r="N110" s="47" t="s">
        <v>657</v>
      </c>
      <c r="O110" s="47"/>
      <c r="P110" s="47">
        <v>0.2137</v>
      </c>
      <c r="Q110" s="47">
        <v>0</v>
      </c>
      <c r="R110" s="47">
        <v>0.2137</v>
      </c>
      <c r="S110" s="47">
        <f>=ROUND(BQ110-(BR110+BS110),3)</f>
      </c>
      <c r="T110" s="47">
        <f>=ROUND(CK110-(CL110+CM110+CN110+CO110+CP110),3)</f>
      </c>
      <c r="U110" s="47">
        <v>0</v>
      </c>
      <c r="V110" s="47">
        <v>0</v>
      </c>
      <c r="W110" s="47">
        <v>0</v>
      </c>
      <c r="X110" s="47">
        <v>0</v>
      </c>
      <c r="Y110" s="47">
        <v>0</v>
      </c>
      <c r="Z110" s="47">
        <v>0</v>
      </c>
      <c r="AA110" s="47">
        <v>0</v>
      </c>
      <c r="AB110" s="47">
        <v>0</v>
      </c>
      <c r="AC110" s="47">
        <v>0</v>
      </c>
      <c r="AD110" s="47">
        <v>0</v>
      </c>
      <c r="AE110" s="47">
        <v>0</v>
      </c>
      <c r="AF110" s="47">
        <v>0</v>
      </c>
      <c r="AG110" s="47">
        <v>0</v>
      </c>
      <c r="AH110" s="47">
        <v>0</v>
      </c>
      <c r="AI110" s="47">
        <v>0</v>
      </c>
      <c r="AJ110" s="47">
        <v>0</v>
      </c>
      <c r="AK110" s="47">
        <v>0</v>
      </c>
      <c r="AL110" s="47">
        <v>0</v>
      </c>
      <c r="AM110" s="47">
        <v>0</v>
      </c>
      <c r="AN110" s="47">
        <v>0</v>
      </c>
      <c r="AO110" s="47">
        <v>0</v>
      </c>
      <c r="AP110" s="47">
        <v>0</v>
      </c>
      <c r="AQ110" s="47">
        <v>0</v>
      </c>
      <c r="AR110" s="47">
        <v>0</v>
      </c>
      <c r="AS110" s="47">
        <v>0</v>
      </c>
      <c r="AT110" s="47">
        <v>0</v>
      </c>
      <c r="AU110" s="47">
        <v>0</v>
      </c>
      <c r="AV110" s="47">
        <v>0</v>
      </c>
      <c r="AW110" s="47">
        <v>0</v>
      </c>
      <c r="AX110" s="47">
        <v>0</v>
      </c>
      <c r="AY110" s="47">
        <v>0</v>
      </c>
      <c r="AZ110" s="47">
        <v>0</v>
      </c>
      <c r="BA110" s="47">
        <v>0</v>
      </c>
      <c r="BB110" s="47">
        <v>0</v>
      </c>
      <c r="BC110" s="47">
        <v>0</v>
      </c>
      <c r="BD110" s="47">
        <v>0</v>
      </c>
      <c r="BE110" s="47">
        <v>0</v>
      </c>
      <c r="BF110" s="47">
        <v>0</v>
      </c>
      <c r="BG110" s="47">
        <v>0</v>
      </c>
      <c r="BH110" s="47">
        <v>0</v>
      </c>
      <c r="BI110" s="47">
        <v>0</v>
      </c>
      <c r="BJ110" s="47">
        <v>0</v>
      </c>
      <c r="BK110" s="47">
        <v>0</v>
      </c>
      <c r="BL110" s="47">
        <v>0</v>
      </c>
      <c r="BM110" s="47">
        <v>0</v>
      </c>
      <c r="BN110" s="47">
        <v>0</v>
      </c>
      <c r="BO110" s="47">
        <v>0</v>
      </c>
      <c r="BP110" s="47">
        <v>0</v>
      </c>
      <c r="BQ110" s="47">
        <v>0</v>
      </c>
      <c r="BR110" s="47">
        <v>0</v>
      </c>
      <c r="BS110" s="47">
        <v>0</v>
      </c>
      <c r="BT110" s="47">
        <v>0</v>
      </c>
      <c r="BU110" s="47">
        <v>0</v>
      </c>
      <c r="BV110" s="47">
        <v>0</v>
      </c>
      <c r="BW110" s="47">
        <v>0</v>
      </c>
      <c r="BX110" s="47">
        <v>0</v>
      </c>
      <c r="BY110" s="47">
        <v>0</v>
      </c>
      <c r="BZ110" s="47">
        <v>0</v>
      </c>
      <c r="CA110" s="47">
        <v>0</v>
      </c>
      <c r="CB110" s="47">
        <v>0</v>
      </c>
      <c r="CC110" s="47">
        <v>0</v>
      </c>
      <c r="CD110" s="47">
        <v>0</v>
      </c>
      <c r="CE110" s="47">
        <v>0</v>
      </c>
      <c r="CF110" s="47">
        <v>0</v>
      </c>
      <c r="CG110" s="47">
        <v>0</v>
      </c>
      <c r="CH110" s="47">
        <v>0</v>
      </c>
      <c r="CI110" s="47">
        <v>0</v>
      </c>
      <c r="CJ110" s="47">
        <v>0</v>
      </c>
      <c r="CK110" s="47">
        <v>0</v>
      </c>
      <c r="CL110" s="47">
        <v>0</v>
      </c>
      <c r="CM110" s="47">
        <v>0</v>
      </c>
      <c r="CN110" s="47">
        <v>0</v>
      </c>
      <c r="CO110" s="47">
        <v>0</v>
      </c>
      <c r="CP110" s="47">
        <v>0</v>
      </c>
      <c r="CQ110" s="47">
        <v>0</v>
      </c>
      <c r="CR110" s="47">
        <v>0</v>
      </c>
      <c r="CS110" s="47">
        <v>0</v>
      </c>
      <c r="CT110" s="47">
        <v>0</v>
      </c>
      <c r="CU110" s="47">
        <v>0</v>
      </c>
      <c r="CV110" s="47">
        <v>0</v>
      </c>
      <c r="CW110" s="47">
        <v>0</v>
      </c>
      <c r="CX110" s="47">
        <v>0</v>
      </c>
      <c r="CY110" s="47">
        <v>0</v>
      </c>
      <c r="CZ110" s="47">
        <v>0</v>
      </c>
      <c r="DA110" s="47">
        <v>0</v>
      </c>
      <c r="DB110" s="47">
        <v>0</v>
      </c>
      <c r="DC110" s="47">
        <v>0</v>
      </c>
      <c r="DD110" s="47">
        <v>0</v>
      </c>
      <c r="DE110" s="47">
        <v>0</v>
      </c>
      <c r="DF110" s="47">
        <v>0</v>
      </c>
      <c r="DG110" s="47">
        <v>0</v>
      </c>
      <c r="DH110" s="47">
        <v>0</v>
      </c>
      <c r="DI110" s="47">
        <v>0</v>
      </c>
      <c r="DJ110" s="47">
        <v>0</v>
      </c>
      <c r="DK110" s="47">
        <v>0</v>
      </c>
      <c r="DL110" s="47">
        <v>0</v>
      </c>
      <c r="DM110" s="47">
        <v>0</v>
      </c>
      <c r="DN110" s="47">
        <v>0</v>
      </c>
      <c r="DO110" s="47">
        <v>0</v>
      </c>
      <c r="DP110" s="47">
        <v>0</v>
      </c>
      <c r="DQ110" s="47">
        <v>0</v>
      </c>
      <c r="DR110" s="47">
        <v>0</v>
      </c>
      <c r="DS110" s="47">
        <v>0</v>
      </c>
      <c r="DT110" s="47">
        <v>0</v>
      </c>
      <c r="DU110" s="47">
        <v>0</v>
      </c>
      <c r="DV110" s="47">
        <v>0</v>
      </c>
      <c r="DW110" s="47">
        <v>0</v>
      </c>
      <c r="DX110" s="47">
        <v>0</v>
      </c>
      <c r="DY110" s="47">
        <v>0</v>
      </c>
      <c r="DZ110" s="47"/>
      <c r="EA110" s="47">
        <v>0.2137</v>
      </c>
      <c r="ZZ110" t="s">
        <v>1084</v>
      </c>
    </row>
    <row r="111" spans="1:702" x14ac:dyDescent="0.25">
      <c r="A111" s="47" t="s">
        <v>658</v>
      </c>
      <c r="B111" s="47" t="s">
        <v>151</v>
      </c>
      <c r="C111" s="47" t="s">
        <v>155</v>
      </c>
      <c r="D111" s="47" t="s">
        <v>1190</v>
      </c>
      <c r="E111" s="47" t="s">
        <v>659</v>
      </c>
      <c r="F111" s="47" t="s">
        <v>660</v>
      </c>
      <c r="G111" s="47" t="s">
        <v>661</v>
      </c>
      <c r="H111" s="47" t="s">
        <v>380</v>
      </c>
      <c r="I111" s="47" t="s">
        <v>411</v>
      </c>
      <c r="J111" s="47" t="str">
        <f>=IFERROR(VLOOKUP(H111&amp;I111,Table_Fonctions!A:G,6,FALSE),"")</f>
        <v>0</v>
      </c>
      <c r="K111" s="47" t="s">
        <v>1132</v>
      </c>
      <c r="L111" s="47" t="str">
        <f>=IFERROR(VLOOKUP(H111&amp;I111,Table_Fonctions!A:G,7,FALSE),K111)</f>
        <v/>
      </c>
      <c r="M111" s="47" t="str">
        <f>=IF(OR(LEFT(D111, 3)="TJ ", LEFT(D111, 4)="CPH "), "OUI", "NON")</f>
        <v/>
      </c>
      <c r="N111" s="47" t="s">
        <v>208</v>
      </c>
      <c r="O111" s="47" t="s">
        <v>662</v>
      </c>
      <c r="P111" s="47">
        <v>1</v>
      </c>
      <c r="Q111" s="47">
        <v>1</v>
      </c>
      <c r="R111" s="47">
        <v>0</v>
      </c>
      <c r="S111" s="47">
        <f>=ROUND(BQ111-(BR111+BS111),3)</f>
      </c>
      <c r="T111" s="47">
        <f>=ROUND(CK111-(CL111+CM111+CN111+CO111+CP111),3)</f>
      </c>
      <c r="U111" s="47">
        <v>0</v>
      </c>
      <c r="V111" s="47">
        <v>0</v>
      </c>
      <c r="W111" s="47">
        <v>0</v>
      </c>
      <c r="X111" s="47">
        <v>0</v>
      </c>
      <c r="Y111" s="47">
        <v>0</v>
      </c>
      <c r="Z111" s="47">
        <v>0</v>
      </c>
      <c r="AA111" s="47">
        <v>0</v>
      </c>
      <c r="AB111" s="47">
        <v>0</v>
      </c>
      <c r="AC111" s="47">
        <v>0</v>
      </c>
      <c r="AD111" s="47">
        <v>0</v>
      </c>
      <c r="AE111" s="47">
        <v>0</v>
      </c>
      <c r="AF111" s="47">
        <v>0</v>
      </c>
      <c r="AG111" s="47">
        <v>0</v>
      </c>
      <c r="AH111" s="47">
        <v>0</v>
      </c>
      <c r="AI111" s="47">
        <v>0</v>
      </c>
      <c r="AJ111" s="47">
        <v>0</v>
      </c>
      <c r="AK111" s="47">
        <v>0</v>
      </c>
      <c r="AL111" s="47">
        <v>0</v>
      </c>
      <c r="AM111" s="47">
        <v>0</v>
      </c>
      <c r="AN111" s="47">
        <v>0</v>
      </c>
      <c r="AO111" s="47">
        <v>0</v>
      </c>
      <c r="AP111" s="47">
        <v>0</v>
      </c>
      <c r="AQ111" s="47">
        <v>0</v>
      </c>
      <c r="AR111" s="47">
        <v>0</v>
      </c>
      <c r="AS111" s="47">
        <v>0</v>
      </c>
      <c r="AT111" s="47">
        <v>0</v>
      </c>
      <c r="AU111" s="47">
        <v>0</v>
      </c>
      <c r="AV111" s="47">
        <v>0</v>
      </c>
      <c r="AW111" s="47">
        <v>0</v>
      </c>
      <c r="AX111" s="47">
        <v>0</v>
      </c>
      <c r="AY111" s="47">
        <v>0</v>
      </c>
      <c r="AZ111" s="47">
        <v>0</v>
      </c>
      <c r="BA111" s="47">
        <v>0</v>
      </c>
      <c r="BB111" s="47">
        <v>0</v>
      </c>
      <c r="BC111" s="47">
        <v>0</v>
      </c>
      <c r="BD111" s="47">
        <v>0</v>
      </c>
      <c r="BE111" s="47">
        <v>0</v>
      </c>
      <c r="BF111" s="47">
        <v>0</v>
      </c>
      <c r="BG111" s="47">
        <v>0</v>
      </c>
      <c r="BH111" s="47">
        <v>0</v>
      </c>
      <c r="BI111" s="47">
        <v>0</v>
      </c>
      <c r="BJ111" s="47">
        <v>0</v>
      </c>
      <c r="BK111" s="47">
        <v>0</v>
      </c>
      <c r="BL111" s="47">
        <v>0</v>
      </c>
      <c r="BM111" s="47">
        <v>0</v>
      </c>
      <c r="BN111" s="47">
        <v>0</v>
      </c>
      <c r="BO111" s="47">
        <v>0</v>
      </c>
      <c r="BP111" s="47">
        <v>0</v>
      </c>
      <c r="BQ111" s="47">
        <v>0</v>
      </c>
      <c r="BR111" s="47">
        <v>0</v>
      </c>
      <c r="BS111" s="47">
        <v>0</v>
      </c>
      <c r="BT111" s="47">
        <v>0</v>
      </c>
      <c r="BU111" s="47">
        <v>0</v>
      </c>
      <c r="BV111" s="47">
        <v>0</v>
      </c>
      <c r="BW111" s="47">
        <v>0</v>
      </c>
      <c r="BX111" s="47">
        <v>0</v>
      </c>
      <c r="BY111" s="47">
        <v>0</v>
      </c>
      <c r="BZ111" s="47">
        <v>0</v>
      </c>
      <c r="CA111" s="47">
        <v>0</v>
      </c>
      <c r="CB111" s="47">
        <v>0</v>
      </c>
      <c r="CC111" s="47">
        <v>0</v>
      </c>
      <c r="CD111" s="47">
        <v>0</v>
      </c>
      <c r="CE111" s="47">
        <v>0</v>
      </c>
      <c r="CF111" s="47">
        <v>0</v>
      </c>
      <c r="CG111" s="47">
        <v>0</v>
      </c>
      <c r="CH111" s="47">
        <v>0</v>
      </c>
      <c r="CI111" s="47">
        <v>0</v>
      </c>
      <c r="CJ111" s="47">
        <v>0</v>
      </c>
      <c r="CK111" s="47">
        <v>0</v>
      </c>
      <c r="CL111" s="47">
        <v>0</v>
      </c>
      <c r="CM111" s="47">
        <v>0</v>
      </c>
      <c r="CN111" s="47">
        <v>0</v>
      </c>
      <c r="CO111" s="47">
        <v>0</v>
      </c>
      <c r="CP111" s="47">
        <v>0</v>
      </c>
      <c r="CQ111" s="47">
        <v>0</v>
      </c>
      <c r="CR111" s="47">
        <v>0</v>
      </c>
      <c r="CS111" s="47">
        <v>0</v>
      </c>
      <c r="CT111" s="47">
        <v>0</v>
      </c>
      <c r="CU111" s="47">
        <v>0</v>
      </c>
      <c r="CV111" s="47">
        <v>0</v>
      </c>
      <c r="CW111" s="47">
        <v>0</v>
      </c>
      <c r="CX111" s="47">
        <v>0</v>
      </c>
      <c r="CY111" s="47">
        <v>1</v>
      </c>
      <c r="CZ111" s="47">
        <v>0</v>
      </c>
      <c r="DA111" s="47">
        <v>0</v>
      </c>
      <c r="DB111" s="47">
        <v>0</v>
      </c>
      <c r="DC111" s="47">
        <v>0</v>
      </c>
      <c r="DD111" s="47">
        <v>0</v>
      </c>
      <c r="DE111" s="47">
        <v>0</v>
      </c>
      <c r="DF111" s="47">
        <v>0</v>
      </c>
      <c r="DG111" s="47">
        <v>0</v>
      </c>
      <c r="DH111" s="47">
        <v>0</v>
      </c>
      <c r="DI111" s="47">
        <v>1</v>
      </c>
      <c r="DJ111" s="47">
        <v>0</v>
      </c>
      <c r="DK111" s="47">
        <v>0</v>
      </c>
      <c r="DL111" s="47">
        <v>0</v>
      </c>
      <c r="DM111" s="47">
        <v>0</v>
      </c>
      <c r="DN111" s="47">
        <v>0</v>
      </c>
      <c r="DO111" s="47">
        <v>0</v>
      </c>
      <c r="DP111" s="47">
        <v>0</v>
      </c>
      <c r="DQ111" s="47">
        <v>0</v>
      </c>
      <c r="DR111" s="47">
        <v>0</v>
      </c>
      <c r="DS111" s="47">
        <v>0</v>
      </c>
      <c r="DT111" s="47">
        <v>0</v>
      </c>
      <c r="DU111" s="47">
        <v>0</v>
      </c>
      <c r="DV111" s="47">
        <v>0</v>
      </c>
      <c r="DW111" s="47">
        <v>0</v>
      </c>
      <c r="DX111" s="47">
        <v>0</v>
      </c>
      <c r="DY111" s="47">
        <v>0</v>
      </c>
      <c r="DZ111" s="47"/>
      <c r="EA111" s="47">
        <v>1</v>
      </c>
      <c r="ZZ111" t="s">
        <v>1084</v>
      </c>
    </row>
    <row r="112" spans="1:702" x14ac:dyDescent="0.25">
      <c r="A112" s="47" t="s">
        <v>663</v>
      </c>
      <c r="B112" s="47" t="s">
        <v>151</v>
      </c>
      <c r="C112" s="47" t="s">
        <v>155</v>
      </c>
      <c r="D112" s="47" t="s">
        <v>1191</v>
      </c>
      <c r="E112" s="47" t="s">
        <v>664</v>
      </c>
      <c r="F112" s="47" t="s">
        <v>665</v>
      </c>
      <c r="G112" s="47" t="s">
        <v>666</v>
      </c>
      <c r="H112" s="47" t="s">
        <v>380</v>
      </c>
      <c r="I112" s="47" t="s">
        <v>411</v>
      </c>
      <c r="J112" s="47" t="str">
        <f>=IFERROR(VLOOKUP(H112&amp;I112,Table_Fonctions!A:G,6,FALSE),"")</f>
        <v>0</v>
      </c>
      <c r="K112" s="47" t="s">
        <v>1132</v>
      </c>
      <c r="L112" s="47" t="str">
        <f>=IFERROR(VLOOKUP(H112&amp;I112,Table_Fonctions!A:G,7,FALSE),K112)</f>
        <v/>
      </c>
      <c r="M112" s="47" t="str">
        <f>=IF(OR(LEFT(D112, 3)="TJ ", LEFT(D112, 4)="CPH "), "OUI", "NON")</f>
        <v/>
      </c>
      <c r="N112" s="47" t="s">
        <v>667</v>
      </c>
      <c r="O112" s="47"/>
      <c r="P112" s="47">
        <v>1</v>
      </c>
      <c r="Q112" s="47">
        <v>1</v>
      </c>
      <c r="R112" s="47">
        <v>0</v>
      </c>
      <c r="S112" s="47">
        <f>=ROUND(BQ112-(BR112+BS112),3)</f>
      </c>
      <c r="T112" s="47">
        <f>=ROUND(CK112-(CL112+CM112+CN112+CO112+CP112),3)</f>
      </c>
      <c r="U112" s="47">
        <v>0</v>
      </c>
      <c r="V112" s="47">
        <v>0</v>
      </c>
      <c r="W112" s="47">
        <v>0</v>
      </c>
      <c r="X112" s="47">
        <v>0</v>
      </c>
      <c r="Y112" s="47">
        <v>0</v>
      </c>
      <c r="Z112" s="47">
        <v>0</v>
      </c>
      <c r="AA112" s="47">
        <v>0</v>
      </c>
      <c r="AB112" s="47">
        <v>0</v>
      </c>
      <c r="AC112" s="47">
        <v>0</v>
      </c>
      <c r="AD112" s="47">
        <v>0</v>
      </c>
      <c r="AE112" s="47">
        <v>0</v>
      </c>
      <c r="AF112" s="47">
        <v>0</v>
      </c>
      <c r="AG112" s="47">
        <v>0</v>
      </c>
      <c r="AH112" s="47">
        <v>0</v>
      </c>
      <c r="AI112" s="47">
        <v>0</v>
      </c>
      <c r="AJ112" s="47">
        <v>0</v>
      </c>
      <c r="AK112" s="47">
        <v>0</v>
      </c>
      <c r="AL112" s="47">
        <v>0</v>
      </c>
      <c r="AM112" s="47">
        <v>0</v>
      </c>
      <c r="AN112" s="47">
        <v>0</v>
      </c>
      <c r="AO112" s="47">
        <v>0</v>
      </c>
      <c r="AP112" s="47">
        <v>0</v>
      </c>
      <c r="AQ112" s="47">
        <v>0</v>
      </c>
      <c r="AR112" s="47">
        <v>0</v>
      </c>
      <c r="AS112" s="47">
        <v>0</v>
      </c>
      <c r="AT112" s="47">
        <v>0</v>
      </c>
      <c r="AU112" s="47">
        <v>0</v>
      </c>
      <c r="AV112" s="47">
        <v>0</v>
      </c>
      <c r="AW112" s="47">
        <v>0</v>
      </c>
      <c r="AX112" s="47">
        <v>0</v>
      </c>
      <c r="AY112" s="47">
        <v>0</v>
      </c>
      <c r="AZ112" s="47">
        <v>0</v>
      </c>
      <c r="BA112" s="47">
        <v>0</v>
      </c>
      <c r="BB112" s="47">
        <v>0</v>
      </c>
      <c r="BC112" s="47">
        <v>0</v>
      </c>
      <c r="BD112" s="47">
        <v>0</v>
      </c>
      <c r="BE112" s="47">
        <v>0</v>
      </c>
      <c r="BF112" s="47">
        <v>0</v>
      </c>
      <c r="BG112" s="47">
        <v>0</v>
      </c>
      <c r="BH112" s="47">
        <v>0</v>
      </c>
      <c r="BI112" s="47">
        <v>0</v>
      </c>
      <c r="BJ112" s="47">
        <v>0</v>
      </c>
      <c r="BK112" s="47">
        <v>0</v>
      </c>
      <c r="BL112" s="47">
        <v>0</v>
      </c>
      <c r="BM112" s="47">
        <v>0</v>
      </c>
      <c r="BN112" s="47">
        <v>0</v>
      </c>
      <c r="BO112" s="47">
        <v>0</v>
      </c>
      <c r="BP112" s="47">
        <v>0</v>
      </c>
      <c r="BQ112" s="47">
        <v>0</v>
      </c>
      <c r="BR112" s="47">
        <v>0</v>
      </c>
      <c r="BS112" s="47">
        <v>0</v>
      </c>
      <c r="BT112" s="47">
        <v>0</v>
      </c>
      <c r="BU112" s="47">
        <v>0</v>
      </c>
      <c r="BV112" s="47">
        <v>0</v>
      </c>
      <c r="BW112" s="47">
        <v>0</v>
      </c>
      <c r="BX112" s="47">
        <v>0</v>
      </c>
      <c r="BY112" s="47">
        <v>0</v>
      </c>
      <c r="BZ112" s="47">
        <v>0</v>
      </c>
      <c r="CA112" s="47">
        <v>0</v>
      </c>
      <c r="CB112" s="47">
        <v>0</v>
      </c>
      <c r="CC112" s="47">
        <v>0</v>
      </c>
      <c r="CD112" s="47">
        <v>0</v>
      </c>
      <c r="CE112" s="47">
        <v>0</v>
      </c>
      <c r="CF112" s="47">
        <v>0</v>
      </c>
      <c r="CG112" s="47">
        <v>0</v>
      </c>
      <c r="CH112" s="47">
        <v>0</v>
      </c>
      <c r="CI112" s="47">
        <v>0</v>
      </c>
      <c r="CJ112" s="47">
        <v>0</v>
      </c>
      <c r="CK112" s="47">
        <v>0</v>
      </c>
      <c r="CL112" s="47">
        <v>0</v>
      </c>
      <c r="CM112" s="47">
        <v>0</v>
      </c>
      <c r="CN112" s="47">
        <v>0</v>
      </c>
      <c r="CO112" s="47">
        <v>0</v>
      </c>
      <c r="CP112" s="47">
        <v>0</v>
      </c>
      <c r="CQ112" s="47">
        <v>0</v>
      </c>
      <c r="CR112" s="47">
        <v>0</v>
      </c>
      <c r="CS112" s="47">
        <v>0</v>
      </c>
      <c r="CT112" s="47">
        <v>0</v>
      </c>
      <c r="CU112" s="47">
        <v>0</v>
      </c>
      <c r="CV112" s="47">
        <v>0</v>
      </c>
      <c r="CW112" s="47">
        <v>0</v>
      </c>
      <c r="CX112" s="47">
        <v>0</v>
      </c>
      <c r="CY112" s="47">
        <v>1</v>
      </c>
      <c r="CZ112" s="47">
        <v>0</v>
      </c>
      <c r="DA112" s="47">
        <v>0</v>
      </c>
      <c r="DB112" s="47">
        <v>0</v>
      </c>
      <c r="DC112" s="47">
        <v>0</v>
      </c>
      <c r="DD112" s="47">
        <v>0</v>
      </c>
      <c r="DE112" s="47">
        <v>0</v>
      </c>
      <c r="DF112" s="47">
        <v>0</v>
      </c>
      <c r="DG112" s="47">
        <v>1</v>
      </c>
      <c r="DH112" s="47">
        <v>0</v>
      </c>
      <c r="DI112" s="47">
        <v>0</v>
      </c>
      <c r="DJ112" s="47">
        <v>0</v>
      </c>
      <c r="DK112" s="47">
        <v>0</v>
      </c>
      <c r="DL112" s="47">
        <v>0</v>
      </c>
      <c r="DM112" s="47">
        <v>0</v>
      </c>
      <c r="DN112" s="47">
        <v>0</v>
      </c>
      <c r="DO112" s="47">
        <v>0</v>
      </c>
      <c r="DP112" s="47">
        <v>0</v>
      </c>
      <c r="DQ112" s="47">
        <v>0</v>
      </c>
      <c r="DR112" s="47">
        <v>0</v>
      </c>
      <c r="DS112" s="47">
        <v>0</v>
      </c>
      <c r="DT112" s="47">
        <v>0</v>
      </c>
      <c r="DU112" s="47">
        <v>0</v>
      </c>
      <c r="DV112" s="47">
        <v>0</v>
      </c>
      <c r="DW112" s="47">
        <v>0</v>
      </c>
      <c r="DX112" s="47">
        <v>0</v>
      </c>
      <c r="DY112" s="47">
        <v>0</v>
      </c>
      <c r="DZ112" s="47"/>
      <c r="EA112" s="47">
        <v>1</v>
      </c>
      <c r="ZZ112" t="s">
        <v>1084</v>
      </c>
    </row>
    <row r="113" spans="1:702" x14ac:dyDescent="0.25">
      <c r="A113" s="47" t="s">
        <v>668</v>
      </c>
      <c r="B113" s="47" t="s">
        <v>151</v>
      </c>
      <c r="C113" s="47" t="s">
        <v>155</v>
      </c>
      <c r="D113" s="47" t="s">
        <v>1192</v>
      </c>
      <c r="E113" s="47" t="s">
        <v>669</v>
      </c>
      <c r="F113" s="47" t="s">
        <v>670</v>
      </c>
      <c r="G113" s="47" t="s">
        <v>671</v>
      </c>
      <c r="H113" s="47" t="s">
        <v>380</v>
      </c>
      <c r="I113" s="47" t="s">
        <v>381</v>
      </c>
      <c r="J113" s="47" t="str">
        <f>=IFERROR(VLOOKUP(H113&amp;I113,Table_Fonctions!A:G,6,FALSE),"")</f>
        <v>0</v>
      </c>
      <c r="K113" s="47" t="s">
        <v>1132</v>
      </c>
      <c r="L113" s="47" t="str">
        <f>=IFERROR(VLOOKUP(H113&amp;I113,Table_Fonctions!A:G,7,FALSE),K113)</f>
        <v/>
      </c>
      <c r="M113" s="47" t="str">
        <f>=IF(OR(LEFT(D113, 3)="TJ ", LEFT(D113, 4)="CPH "), "OUI", "NON")</f>
        <v/>
      </c>
      <c r="N113" s="47" t="s">
        <v>672</v>
      </c>
      <c r="O113" s="47"/>
      <c r="P113" s="47">
        <v>0.8</v>
      </c>
      <c r="Q113" s="47">
        <v>0</v>
      </c>
      <c r="R113" s="47">
        <v>0.8</v>
      </c>
      <c r="S113" s="47">
        <f>=ROUND(BQ113-(BR113+BS113),3)</f>
      </c>
      <c r="T113" s="47">
        <f>=ROUND(CK113-(CL113+CM113+CN113+CO113+CP113),3)</f>
      </c>
      <c r="U113" s="47">
        <v>0</v>
      </c>
      <c r="V113" s="47">
        <v>0</v>
      </c>
      <c r="W113" s="47">
        <v>0</v>
      </c>
      <c r="X113" s="47">
        <v>0</v>
      </c>
      <c r="Y113" s="47">
        <v>0</v>
      </c>
      <c r="Z113" s="47">
        <v>0</v>
      </c>
      <c r="AA113" s="47">
        <v>0</v>
      </c>
      <c r="AB113" s="47">
        <v>0</v>
      </c>
      <c r="AC113" s="47">
        <v>0</v>
      </c>
      <c r="AD113" s="47">
        <v>0</v>
      </c>
      <c r="AE113" s="47">
        <v>0</v>
      </c>
      <c r="AF113" s="47">
        <v>0</v>
      </c>
      <c r="AG113" s="47">
        <v>0</v>
      </c>
      <c r="AH113" s="47">
        <v>0</v>
      </c>
      <c r="AI113" s="47">
        <v>0</v>
      </c>
      <c r="AJ113" s="47">
        <v>0</v>
      </c>
      <c r="AK113" s="47">
        <v>0</v>
      </c>
      <c r="AL113" s="47">
        <v>0</v>
      </c>
      <c r="AM113" s="47">
        <v>0</v>
      </c>
      <c r="AN113" s="47">
        <v>0</v>
      </c>
      <c r="AO113" s="47">
        <v>0</v>
      </c>
      <c r="AP113" s="47">
        <v>0</v>
      </c>
      <c r="AQ113" s="47">
        <v>0</v>
      </c>
      <c r="AR113" s="47">
        <v>0</v>
      </c>
      <c r="AS113" s="47">
        <v>0</v>
      </c>
      <c r="AT113" s="47">
        <v>0</v>
      </c>
      <c r="AU113" s="47">
        <v>0</v>
      </c>
      <c r="AV113" s="47">
        <v>0</v>
      </c>
      <c r="AW113" s="47">
        <v>0</v>
      </c>
      <c r="AX113" s="47">
        <v>0</v>
      </c>
      <c r="AY113" s="47">
        <v>0</v>
      </c>
      <c r="AZ113" s="47">
        <v>0</v>
      </c>
      <c r="BA113" s="47">
        <v>0</v>
      </c>
      <c r="BB113" s="47">
        <v>0</v>
      </c>
      <c r="BC113" s="47">
        <v>0</v>
      </c>
      <c r="BD113" s="47">
        <v>0</v>
      </c>
      <c r="BE113" s="47">
        <v>0</v>
      </c>
      <c r="BF113" s="47">
        <v>0</v>
      </c>
      <c r="BG113" s="47">
        <v>0</v>
      </c>
      <c r="BH113" s="47">
        <v>0</v>
      </c>
      <c r="BI113" s="47">
        <v>0</v>
      </c>
      <c r="BJ113" s="47">
        <v>0</v>
      </c>
      <c r="BK113" s="47">
        <v>0</v>
      </c>
      <c r="BL113" s="47">
        <v>0</v>
      </c>
      <c r="BM113" s="47">
        <v>0</v>
      </c>
      <c r="BN113" s="47">
        <v>0</v>
      </c>
      <c r="BO113" s="47">
        <v>0</v>
      </c>
      <c r="BP113" s="47">
        <v>0</v>
      </c>
      <c r="BQ113" s="47">
        <v>0</v>
      </c>
      <c r="BR113" s="47">
        <v>0</v>
      </c>
      <c r="BS113" s="47">
        <v>0</v>
      </c>
      <c r="BT113" s="47">
        <v>0</v>
      </c>
      <c r="BU113" s="47">
        <v>0</v>
      </c>
      <c r="BV113" s="47">
        <v>0</v>
      </c>
      <c r="BW113" s="47">
        <v>0</v>
      </c>
      <c r="BX113" s="47">
        <v>0</v>
      </c>
      <c r="BY113" s="47">
        <v>0</v>
      </c>
      <c r="BZ113" s="47">
        <v>0</v>
      </c>
      <c r="CA113" s="47">
        <v>0</v>
      </c>
      <c r="CB113" s="47">
        <v>0</v>
      </c>
      <c r="CC113" s="47">
        <v>0</v>
      </c>
      <c r="CD113" s="47">
        <v>0</v>
      </c>
      <c r="CE113" s="47">
        <v>0</v>
      </c>
      <c r="CF113" s="47">
        <v>0</v>
      </c>
      <c r="CG113" s="47">
        <v>0</v>
      </c>
      <c r="CH113" s="47">
        <v>0</v>
      </c>
      <c r="CI113" s="47">
        <v>0</v>
      </c>
      <c r="CJ113" s="47">
        <v>0</v>
      </c>
      <c r="CK113" s="47">
        <v>0</v>
      </c>
      <c r="CL113" s="47">
        <v>0</v>
      </c>
      <c r="CM113" s="47">
        <v>0</v>
      </c>
      <c r="CN113" s="47">
        <v>0</v>
      </c>
      <c r="CO113" s="47">
        <v>0</v>
      </c>
      <c r="CP113" s="47">
        <v>0</v>
      </c>
      <c r="CQ113" s="47">
        <v>0</v>
      </c>
      <c r="CR113" s="47">
        <v>0</v>
      </c>
      <c r="CS113" s="47">
        <v>0</v>
      </c>
      <c r="CT113" s="47">
        <v>0</v>
      </c>
      <c r="CU113" s="47">
        <v>0</v>
      </c>
      <c r="CV113" s="47">
        <v>0</v>
      </c>
      <c r="CW113" s="47">
        <v>0</v>
      </c>
      <c r="CX113" s="47">
        <v>0</v>
      </c>
      <c r="CY113" s="47">
        <v>0</v>
      </c>
      <c r="CZ113" s="47">
        <v>0</v>
      </c>
      <c r="DA113" s="47">
        <v>0</v>
      </c>
      <c r="DB113" s="47">
        <v>0</v>
      </c>
      <c r="DC113" s="47">
        <v>0</v>
      </c>
      <c r="DD113" s="47">
        <v>0</v>
      </c>
      <c r="DE113" s="47">
        <v>0</v>
      </c>
      <c r="DF113" s="47">
        <v>0</v>
      </c>
      <c r="DG113" s="47">
        <v>0</v>
      </c>
      <c r="DH113" s="47">
        <v>0</v>
      </c>
      <c r="DI113" s="47">
        <v>0</v>
      </c>
      <c r="DJ113" s="47">
        <v>0</v>
      </c>
      <c r="DK113" s="47">
        <v>0</v>
      </c>
      <c r="DL113" s="47">
        <v>0</v>
      </c>
      <c r="DM113" s="47">
        <v>0</v>
      </c>
      <c r="DN113" s="47">
        <v>0</v>
      </c>
      <c r="DO113" s="47">
        <v>0</v>
      </c>
      <c r="DP113" s="47">
        <v>0</v>
      </c>
      <c r="DQ113" s="47">
        <v>0</v>
      </c>
      <c r="DR113" s="47">
        <v>0</v>
      </c>
      <c r="DS113" s="47">
        <v>0</v>
      </c>
      <c r="DT113" s="47">
        <v>0</v>
      </c>
      <c r="DU113" s="47">
        <v>0</v>
      </c>
      <c r="DV113" s="47">
        <v>0</v>
      </c>
      <c r="DW113" s="47">
        <v>0</v>
      </c>
      <c r="DX113" s="47">
        <v>0</v>
      </c>
      <c r="DY113" s="47">
        <v>0</v>
      </c>
      <c r="DZ113" s="47"/>
      <c r="EA113" s="47">
        <v>0.8</v>
      </c>
      <c r="ZZ113" t="s">
        <v>1084</v>
      </c>
    </row>
    <row r="114" spans="1:702" x14ac:dyDescent="0.25">
      <c r="A114" s="47" t="s">
        <v>673</v>
      </c>
      <c r="B114" s="47" t="s">
        <v>151</v>
      </c>
      <c r="C114" s="47" t="s">
        <v>155</v>
      </c>
      <c r="D114" s="47" t="s">
        <v>1193</v>
      </c>
      <c r="E114" s="47" t="s">
        <v>674</v>
      </c>
      <c r="F114" s="47" t="s">
        <v>675</v>
      </c>
      <c r="G114" s="47" t="s">
        <v>676</v>
      </c>
      <c r="H114" s="47" t="s">
        <v>380</v>
      </c>
      <c r="I114" s="47" t="s">
        <v>411</v>
      </c>
      <c r="J114" s="47" t="str">
        <f>=IFERROR(VLOOKUP(H114&amp;I114,Table_Fonctions!A:G,6,FALSE),"")</f>
        <v>0</v>
      </c>
      <c r="K114" s="47" t="s">
        <v>1132</v>
      </c>
      <c r="L114" s="47" t="str">
        <f>=IFERROR(VLOOKUP(H114&amp;I114,Table_Fonctions!A:G,7,FALSE),K114)</f>
        <v/>
      </c>
      <c r="M114" s="47" t="str">
        <f>=IF(OR(LEFT(D114, 3)="TJ ", LEFT(D114, 4)="CPH "), "OUI", "NON")</f>
        <v/>
      </c>
      <c r="N114" s="47" t="s">
        <v>440</v>
      </c>
      <c r="O114" s="47"/>
      <c r="P114" s="47">
        <v>1</v>
      </c>
      <c r="Q114" s="47">
        <v>0</v>
      </c>
      <c r="R114" s="47">
        <v>1</v>
      </c>
      <c r="S114" s="47">
        <f>=ROUND(BQ114-(BR114+BS114),3)</f>
      </c>
      <c r="T114" s="47">
        <f>=ROUND(CK114-(CL114+CM114+CN114+CO114+CP114),3)</f>
      </c>
      <c r="U114" s="47">
        <v>0</v>
      </c>
      <c r="V114" s="47">
        <v>0</v>
      </c>
      <c r="W114" s="47">
        <v>0</v>
      </c>
      <c r="X114" s="47">
        <v>0</v>
      </c>
      <c r="Y114" s="47">
        <v>0</v>
      </c>
      <c r="Z114" s="47">
        <v>0</v>
      </c>
      <c r="AA114" s="47">
        <v>0</v>
      </c>
      <c r="AB114" s="47">
        <v>0</v>
      </c>
      <c r="AC114" s="47">
        <v>0</v>
      </c>
      <c r="AD114" s="47">
        <v>0</v>
      </c>
      <c r="AE114" s="47">
        <v>0</v>
      </c>
      <c r="AF114" s="47">
        <v>0</v>
      </c>
      <c r="AG114" s="47">
        <v>0</v>
      </c>
      <c r="AH114" s="47">
        <v>0</v>
      </c>
      <c r="AI114" s="47">
        <v>0</v>
      </c>
      <c r="AJ114" s="47">
        <v>0</v>
      </c>
      <c r="AK114" s="47">
        <v>0</v>
      </c>
      <c r="AL114" s="47">
        <v>0</v>
      </c>
      <c r="AM114" s="47">
        <v>0</v>
      </c>
      <c r="AN114" s="47">
        <v>0</v>
      </c>
      <c r="AO114" s="47">
        <v>0</v>
      </c>
      <c r="AP114" s="47">
        <v>0</v>
      </c>
      <c r="AQ114" s="47">
        <v>0</v>
      </c>
      <c r="AR114" s="47">
        <v>0</v>
      </c>
      <c r="AS114" s="47">
        <v>0</v>
      </c>
      <c r="AT114" s="47">
        <v>0</v>
      </c>
      <c r="AU114" s="47">
        <v>0</v>
      </c>
      <c r="AV114" s="47">
        <v>0</v>
      </c>
      <c r="AW114" s="47">
        <v>0</v>
      </c>
      <c r="AX114" s="47">
        <v>0</v>
      </c>
      <c r="AY114" s="47">
        <v>0</v>
      </c>
      <c r="AZ114" s="47">
        <v>0</v>
      </c>
      <c r="BA114" s="47">
        <v>0</v>
      </c>
      <c r="BB114" s="47">
        <v>0</v>
      </c>
      <c r="BC114" s="47">
        <v>0</v>
      </c>
      <c r="BD114" s="47">
        <v>0</v>
      </c>
      <c r="BE114" s="47">
        <v>0</v>
      </c>
      <c r="BF114" s="47">
        <v>0</v>
      </c>
      <c r="BG114" s="47">
        <v>0</v>
      </c>
      <c r="BH114" s="47">
        <v>0</v>
      </c>
      <c r="BI114" s="47">
        <v>0</v>
      </c>
      <c r="BJ114" s="47">
        <v>0</v>
      </c>
      <c r="BK114" s="47">
        <v>0</v>
      </c>
      <c r="BL114" s="47">
        <v>0</v>
      </c>
      <c r="BM114" s="47">
        <v>0</v>
      </c>
      <c r="BN114" s="47">
        <v>0</v>
      </c>
      <c r="BO114" s="47">
        <v>0</v>
      </c>
      <c r="BP114" s="47">
        <v>0</v>
      </c>
      <c r="BQ114" s="47">
        <v>0</v>
      </c>
      <c r="BR114" s="47">
        <v>0</v>
      </c>
      <c r="BS114" s="47">
        <v>0</v>
      </c>
      <c r="BT114" s="47">
        <v>0</v>
      </c>
      <c r="BU114" s="47">
        <v>0</v>
      </c>
      <c r="BV114" s="47">
        <v>0</v>
      </c>
      <c r="BW114" s="47">
        <v>0</v>
      </c>
      <c r="BX114" s="47">
        <v>0</v>
      </c>
      <c r="BY114" s="47">
        <v>0</v>
      </c>
      <c r="BZ114" s="47">
        <v>0</v>
      </c>
      <c r="CA114" s="47">
        <v>0</v>
      </c>
      <c r="CB114" s="47">
        <v>0</v>
      </c>
      <c r="CC114" s="47">
        <v>0</v>
      </c>
      <c r="CD114" s="47">
        <v>0</v>
      </c>
      <c r="CE114" s="47">
        <v>0</v>
      </c>
      <c r="CF114" s="47">
        <v>0</v>
      </c>
      <c r="CG114" s="47">
        <v>0</v>
      </c>
      <c r="CH114" s="47">
        <v>0</v>
      </c>
      <c r="CI114" s="47">
        <v>0</v>
      </c>
      <c r="CJ114" s="47">
        <v>0</v>
      </c>
      <c r="CK114" s="47">
        <v>0</v>
      </c>
      <c r="CL114" s="47">
        <v>0</v>
      </c>
      <c r="CM114" s="47">
        <v>0</v>
      </c>
      <c r="CN114" s="47">
        <v>0</v>
      </c>
      <c r="CO114" s="47">
        <v>0</v>
      </c>
      <c r="CP114" s="47">
        <v>0</v>
      </c>
      <c r="CQ114" s="47">
        <v>0</v>
      </c>
      <c r="CR114" s="47">
        <v>0</v>
      </c>
      <c r="CS114" s="47">
        <v>0</v>
      </c>
      <c r="CT114" s="47">
        <v>0</v>
      </c>
      <c r="CU114" s="47">
        <v>0</v>
      </c>
      <c r="CV114" s="47">
        <v>0</v>
      </c>
      <c r="CW114" s="47">
        <v>0</v>
      </c>
      <c r="CX114" s="47">
        <v>0</v>
      </c>
      <c r="CY114" s="47">
        <v>0</v>
      </c>
      <c r="CZ114" s="47">
        <v>0</v>
      </c>
      <c r="DA114" s="47">
        <v>0</v>
      </c>
      <c r="DB114" s="47">
        <v>0</v>
      </c>
      <c r="DC114" s="47">
        <v>0</v>
      </c>
      <c r="DD114" s="47">
        <v>0</v>
      </c>
      <c r="DE114" s="47">
        <v>0</v>
      </c>
      <c r="DF114" s="47">
        <v>0</v>
      </c>
      <c r="DG114" s="47">
        <v>0</v>
      </c>
      <c r="DH114" s="47">
        <v>0</v>
      </c>
      <c r="DI114" s="47">
        <v>0</v>
      </c>
      <c r="DJ114" s="47">
        <v>0</v>
      </c>
      <c r="DK114" s="47">
        <v>0</v>
      </c>
      <c r="DL114" s="47">
        <v>0</v>
      </c>
      <c r="DM114" s="47">
        <v>0</v>
      </c>
      <c r="DN114" s="47">
        <v>0</v>
      </c>
      <c r="DO114" s="47">
        <v>0</v>
      </c>
      <c r="DP114" s="47">
        <v>0</v>
      </c>
      <c r="DQ114" s="47">
        <v>0</v>
      </c>
      <c r="DR114" s="47">
        <v>0</v>
      </c>
      <c r="DS114" s="47">
        <v>0</v>
      </c>
      <c r="DT114" s="47">
        <v>0</v>
      </c>
      <c r="DU114" s="47">
        <v>0</v>
      </c>
      <c r="DV114" s="47">
        <v>0</v>
      </c>
      <c r="DW114" s="47">
        <v>0</v>
      </c>
      <c r="DX114" s="47">
        <v>0</v>
      </c>
      <c r="DY114" s="47">
        <v>0</v>
      </c>
      <c r="DZ114" s="47"/>
      <c r="EA114" s="47">
        <v>1</v>
      </c>
      <c r="ZZ114" t="s">
        <v>1084</v>
      </c>
    </row>
    <row r="115" spans="1:702" x14ac:dyDescent="0.25">
      <c r="A115" s="47" t="s">
        <v>677</v>
      </c>
      <c r="B115" s="47" t="s">
        <v>151</v>
      </c>
      <c r="C115" s="47" t="s">
        <v>155</v>
      </c>
      <c r="D115" s="47" t="s">
        <v>1194</v>
      </c>
      <c r="E115" s="47" t="s">
        <v>678</v>
      </c>
      <c r="F115" s="47" t="s">
        <v>679</v>
      </c>
      <c r="G115" s="47" t="s">
        <v>680</v>
      </c>
      <c r="H115" s="47" t="s">
        <v>380</v>
      </c>
      <c r="I115" s="47" t="s">
        <v>381</v>
      </c>
      <c r="J115" s="47" t="str">
        <f>=IFERROR(VLOOKUP(H115&amp;I115,Table_Fonctions!A:G,6,FALSE),"")</f>
        <v>0</v>
      </c>
      <c r="K115" s="47" t="s">
        <v>1132</v>
      </c>
      <c r="L115" s="47" t="str">
        <f>=IFERROR(VLOOKUP(H115&amp;I115,Table_Fonctions!A:G,7,FALSE),K115)</f>
        <v/>
      </c>
      <c r="M115" s="47" t="str">
        <f>=IF(OR(LEFT(D115, 3)="TJ ", LEFT(D115, 4)="CPH "), "OUI", "NON")</f>
        <v/>
      </c>
      <c r="N115" s="47" t="s">
        <v>681</v>
      </c>
      <c r="O115" s="47"/>
      <c r="P115" s="47">
        <v>1</v>
      </c>
      <c r="Q115" s="47">
        <v>0</v>
      </c>
      <c r="R115" s="47">
        <v>1</v>
      </c>
      <c r="S115" s="47">
        <f>=ROUND(BQ115-(BR115+BS115),3)</f>
      </c>
      <c r="T115" s="47">
        <f>=ROUND(CK115-(CL115+CM115+CN115+CO115+CP115),3)</f>
      </c>
      <c r="U115" s="47">
        <v>0</v>
      </c>
      <c r="V115" s="47">
        <v>0</v>
      </c>
      <c r="W115" s="47">
        <v>0</v>
      </c>
      <c r="X115" s="47">
        <v>0</v>
      </c>
      <c r="Y115" s="47">
        <v>0</v>
      </c>
      <c r="Z115" s="47">
        <v>0</v>
      </c>
      <c r="AA115" s="47">
        <v>0</v>
      </c>
      <c r="AB115" s="47">
        <v>0</v>
      </c>
      <c r="AC115" s="47">
        <v>0</v>
      </c>
      <c r="AD115" s="47">
        <v>0</v>
      </c>
      <c r="AE115" s="47">
        <v>0</v>
      </c>
      <c r="AF115" s="47">
        <v>0</v>
      </c>
      <c r="AG115" s="47">
        <v>0</v>
      </c>
      <c r="AH115" s="47">
        <v>0</v>
      </c>
      <c r="AI115" s="47">
        <v>0</v>
      </c>
      <c r="AJ115" s="47">
        <v>0</v>
      </c>
      <c r="AK115" s="47">
        <v>0</v>
      </c>
      <c r="AL115" s="47">
        <v>0</v>
      </c>
      <c r="AM115" s="47">
        <v>0</v>
      </c>
      <c r="AN115" s="47">
        <v>0</v>
      </c>
      <c r="AO115" s="47">
        <v>0</v>
      </c>
      <c r="AP115" s="47">
        <v>0</v>
      </c>
      <c r="AQ115" s="47">
        <v>0</v>
      </c>
      <c r="AR115" s="47">
        <v>0</v>
      </c>
      <c r="AS115" s="47">
        <v>0</v>
      </c>
      <c r="AT115" s="47">
        <v>0</v>
      </c>
      <c r="AU115" s="47">
        <v>0</v>
      </c>
      <c r="AV115" s="47">
        <v>0</v>
      </c>
      <c r="AW115" s="47">
        <v>0</v>
      </c>
      <c r="AX115" s="47">
        <v>0</v>
      </c>
      <c r="AY115" s="47">
        <v>0</v>
      </c>
      <c r="AZ115" s="47">
        <v>0</v>
      </c>
      <c r="BA115" s="47">
        <v>0</v>
      </c>
      <c r="BB115" s="47">
        <v>0</v>
      </c>
      <c r="BC115" s="47">
        <v>0</v>
      </c>
      <c r="BD115" s="47">
        <v>0</v>
      </c>
      <c r="BE115" s="47">
        <v>0</v>
      </c>
      <c r="BF115" s="47">
        <v>0</v>
      </c>
      <c r="BG115" s="47">
        <v>0</v>
      </c>
      <c r="BH115" s="47">
        <v>0</v>
      </c>
      <c r="BI115" s="47">
        <v>0</v>
      </c>
      <c r="BJ115" s="47">
        <v>0</v>
      </c>
      <c r="BK115" s="47">
        <v>0</v>
      </c>
      <c r="BL115" s="47">
        <v>0</v>
      </c>
      <c r="BM115" s="47">
        <v>0</v>
      </c>
      <c r="BN115" s="47">
        <v>0</v>
      </c>
      <c r="BO115" s="47">
        <v>0</v>
      </c>
      <c r="BP115" s="47">
        <v>0</v>
      </c>
      <c r="BQ115" s="47">
        <v>0</v>
      </c>
      <c r="BR115" s="47">
        <v>0</v>
      </c>
      <c r="BS115" s="47">
        <v>0</v>
      </c>
      <c r="BT115" s="47">
        <v>0</v>
      </c>
      <c r="BU115" s="47">
        <v>0</v>
      </c>
      <c r="BV115" s="47">
        <v>0</v>
      </c>
      <c r="BW115" s="47">
        <v>0</v>
      </c>
      <c r="BX115" s="47">
        <v>0</v>
      </c>
      <c r="BY115" s="47">
        <v>0</v>
      </c>
      <c r="BZ115" s="47">
        <v>0</v>
      </c>
      <c r="CA115" s="47">
        <v>0</v>
      </c>
      <c r="CB115" s="47">
        <v>0</v>
      </c>
      <c r="CC115" s="47">
        <v>0</v>
      </c>
      <c r="CD115" s="47">
        <v>0</v>
      </c>
      <c r="CE115" s="47">
        <v>0</v>
      </c>
      <c r="CF115" s="47">
        <v>0</v>
      </c>
      <c r="CG115" s="47">
        <v>0</v>
      </c>
      <c r="CH115" s="47">
        <v>0</v>
      </c>
      <c r="CI115" s="47">
        <v>0</v>
      </c>
      <c r="CJ115" s="47">
        <v>0</v>
      </c>
      <c r="CK115" s="47">
        <v>0</v>
      </c>
      <c r="CL115" s="47">
        <v>0</v>
      </c>
      <c r="CM115" s="47">
        <v>0</v>
      </c>
      <c r="CN115" s="47">
        <v>0</v>
      </c>
      <c r="CO115" s="47">
        <v>0</v>
      </c>
      <c r="CP115" s="47">
        <v>0</v>
      </c>
      <c r="CQ115" s="47">
        <v>0</v>
      </c>
      <c r="CR115" s="47">
        <v>0</v>
      </c>
      <c r="CS115" s="47">
        <v>0</v>
      </c>
      <c r="CT115" s="47">
        <v>0</v>
      </c>
      <c r="CU115" s="47">
        <v>0</v>
      </c>
      <c r="CV115" s="47">
        <v>0</v>
      </c>
      <c r="CW115" s="47">
        <v>0</v>
      </c>
      <c r="CX115" s="47">
        <v>0</v>
      </c>
      <c r="CY115" s="47">
        <v>0</v>
      </c>
      <c r="CZ115" s="47">
        <v>0</v>
      </c>
      <c r="DA115" s="47">
        <v>0</v>
      </c>
      <c r="DB115" s="47">
        <v>0</v>
      </c>
      <c r="DC115" s="47">
        <v>0</v>
      </c>
      <c r="DD115" s="47">
        <v>0</v>
      </c>
      <c r="DE115" s="47">
        <v>0</v>
      </c>
      <c r="DF115" s="47">
        <v>0</v>
      </c>
      <c r="DG115" s="47">
        <v>0</v>
      </c>
      <c r="DH115" s="47">
        <v>0</v>
      </c>
      <c r="DI115" s="47">
        <v>0</v>
      </c>
      <c r="DJ115" s="47">
        <v>0</v>
      </c>
      <c r="DK115" s="47">
        <v>0</v>
      </c>
      <c r="DL115" s="47">
        <v>0</v>
      </c>
      <c r="DM115" s="47">
        <v>0</v>
      </c>
      <c r="DN115" s="47">
        <v>0</v>
      </c>
      <c r="DO115" s="47">
        <v>0</v>
      </c>
      <c r="DP115" s="47">
        <v>0</v>
      </c>
      <c r="DQ115" s="47">
        <v>0</v>
      </c>
      <c r="DR115" s="47">
        <v>0</v>
      </c>
      <c r="DS115" s="47">
        <v>0</v>
      </c>
      <c r="DT115" s="47">
        <v>0</v>
      </c>
      <c r="DU115" s="47">
        <v>0</v>
      </c>
      <c r="DV115" s="47">
        <v>0</v>
      </c>
      <c r="DW115" s="47">
        <v>0</v>
      </c>
      <c r="DX115" s="47">
        <v>0</v>
      </c>
      <c r="DY115" s="47">
        <v>0</v>
      </c>
      <c r="DZ115" s="47"/>
      <c r="EA115" s="47">
        <v>1</v>
      </c>
      <c r="ZZ115" t="s">
        <v>1084</v>
      </c>
    </row>
    <row r="116" spans="1:702" x14ac:dyDescent="0.25">
      <c r="A116" s="47" t="s">
        <v>682</v>
      </c>
      <c r="B116" s="47" t="s">
        <v>151</v>
      </c>
      <c r="C116" s="47" t="s">
        <v>155</v>
      </c>
      <c r="D116" s="47" t="s">
        <v>1195</v>
      </c>
      <c r="E116" s="47" t="s">
        <v>683</v>
      </c>
      <c r="F116" s="47" t="s">
        <v>684</v>
      </c>
      <c r="G116" s="47" t="s">
        <v>685</v>
      </c>
      <c r="H116" s="47" t="s">
        <v>380</v>
      </c>
      <c r="I116" s="47" t="s">
        <v>411</v>
      </c>
      <c r="J116" s="47" t="str">
        <f>=IFERROR(VLOOKUP(H116&amp;I116,Table_Fonctions!A:G,6,FALSE),"")</f>
        <v>0</v>
      </c>
      <c r="K116" s="47" t="s">
        <v>1132</v>
      </c>
      <c r="L116" s="47" t="str">
        <f>=IFERROR(VLOOKUP(H116&amp;I116,Table_Fonctions!A:G,7,FALSE),K116)</f>
        <v/>
      </c>
      <c r="M116" s="47" t="str">
        <f>=IF(OR(LEFT(D116, 3)="TJ ", LEFT(D116, 4)="CPH "), "OUI", "NON")</f>
        <v/>
      </c>
      <c r="N116" s="47" t="s">
        <v>686</v>
      </c>
      <c r="O116" s="47"/>
      <c r="P116" s="47">
        <v>1</v>
      </c>
      <c r="Q116" s="47">
        <v>0</v>
      </c>
      <c r="R116" s="47">
        <v>1</v>
      </c>
      <c r="S116" s="47">
        <f>=ROUND(BQ116-(BR116+BS116),3)</f>
      </c>
      <c r="T116" s="47">
        <f>=ROUND(CK116-(CL116+CM116+CN116+CO116+CP116),3)</f>
      </c>
      <c r="U116" s="47">
        <v>0</v>
      </c>
      <c r="V116" s="47">
        <v>0</v>
      </c>
      <c r="W116" s="47">
        <v>0</v>
      </c>
      <c r="X116" s="47">
        <v>0</v>
      </c>
      <c r="Y116" s="47">
        <v>0</v>
      </c>
      <c r="Z116" s="47">
        <v>0</v>
      </c>
      <c r="AA116" s="47">
        <v>0</v>
      </c>
      <c r="AB116" s="47">
        <v>0</v>
      </c>
      <c r="AC116" s="47">
        <v>0</v>
      </c>
      <c r="AD116" s="47">
        <v>0</v>
      </c>
      <c r="AE116" s="47">
        <v>0</v>
      </c>
      <c r="AF116" s="47">
        <v>0</v>
      </c>
      <c r="AG116" s="47">
        <v>0</v>
      </c>
      <c r="AH116" s="47">
        <v>0</v>
      </c>
      <c r="AI116" s="47">
        <v>0</v>
      </c>
      <c r="AJ116" s="47">
        <v>0</v>
      </c>
      <c r="AK116" s="47">
        <v>0</v>
      </c>
      <c r="AL116" s="47">
        <v>0</v>
      </c>
      <c r="AM116" s="47">
        <v>0</v>
      </c>
      <c r="AN116" s="47">
        <v>0</v>
      </c>
      <c r="AO116" s="47">
        <v>0</v>
      </c>
      <c r="AP116" s="47">
        <v>0</v>
      </c>
      <c r="AQ116" s="47">
        <v>0</v>
      </c>
      <c r="AR116" s="47">
        <v>0</v>
      </c>
      <c r="AS116" s="47">
        <v>0</v>
      </c>
      <c r="AT116" s="47">
        <v>0</v>
      </c>
      <c r="AU116" s="47">
        <v>0</v>
      </c>
      <c r="AV116" s="47">
        <v>0</v>
      </c>
      <c r="AW116" s="47">
        <v>0</v>
      </c>
      <c r="AX116" s="47">
        <v>0</v>
      </c>
      <c r="AY116" s="47">
        <v>0</v>
      </c>
      <c r="AZ116" s="47">
        <v>0</v>
      </c>
      <c r="BA116" s="47">
        <v>0</v>
      </c>
      <c r="BB116" s="47">
        <v>0</v>
      </c>
      <c r="BC116" s="47">
        <v>0</v>
      </c>
      <c r="BD116" s="47">
        <v>0</v>
      </c>
      <c r="BE116" s="47">
        <v>0</v>
      </c>
      <c r="BF116" s="47">
        <v>0</v>
      </c>
      <c r="BG116" s="47">
        <v>0</v>
      </c>
      <c r="BH116" s="47">
        <v>0</v>
      </c>
      <c r="BI116" s="47">
        <v>0</v>
      </c>
      <c r="BJ116" s="47">
        <v>0</v>
      </c>
      <c r="BK116" s="47">
        <v>0</v>
      </c>
      <c r="BL116" s="47">
        <v>0</v>
      </c>
      <c r="BM116" s="47">
        <v>0</v>
      </c>
      <c r="BN116" s="47">
        <v>0</v>
      </c>
      <c r="BO116" s="47">
        <v>0</v>
      </c>
      <c r="BP116" s="47">
        <v>0</v>
      </c>
      <c r="BQ116" s="47">
        <v>0</v>
      </c>
      <c r="BR116" s="47">
        <v>0</v>
      </c>
      <c r="BS116" s="47">
        <v>0</v>
      </c>
      <c r="BT116" s="47">
        <v>0</v>
      </c>
      <c r="BU116" s="47">
        <v>0</v>
      </c>
      <c r="BV116" s="47">
        <v>0</v>
      </c>
      <c r="BW116" s="47">
        <v>0</v>
      </c>
      <c r="BX116" s="47">
        <v>0</v>
      </c>
      <c r="BY116" s="47">
        <v>0</v>
      </c>
      <c r="BZ116" s="47">
        <v>0</v>
      </c>
      <c r="CA116" s="47">
        <v>0</v>
      </c>
      <c r="CB116" s="47">
        <v>0</v>
      </c>
      <c r="CC116" s="47">
        <v>0</v>
      </c>
      <c r="CD116" s="47">
        <v>0</v>
      </c>
      <c r="CE116" s="47">
        <v>0</v>
      </c>
      <c r="CF116" s="47">
        <v>0</v>
      </c>
      <c r="CG116" s="47">
        <v>0</v>
      </c>
      <c r="CH116" s="47">
        <v>0</v>
      </c>
      <c r="CI116" s="47">
        <v>0</v>
      </c>
      <c r="CJ116" s="47">
        <v>0</v>
      </c>
      <c r="CK116" s="47">
        <v>0</v>
      </c>
      <c r="CL116" s="47">
        <v>0</v>
      </c>
      <c r="CM116" s="47">
        <v>0</v>
      </c>
      <c r="CN116" s="47">
        <v>0</v>
      </c>
      <c r="CO116" s="47">
        <v>0</v>
      </c>
      <c r="CP116" s="47">
        <v>0</v>
      </c>
      <c r="CQ116" s="47">
        <v>0</v>
      </c>
      <c r="CR116" s="47">
        <v>0</v>
      </c>
      <c r="CS116" s="47">
        <v>0</v>
      </c>
      <c r="CT116" s="47">
        <v>0</v>
      </c>
      <c r="CU116" s="47">
        <v>0</v>
      </c>
      <c r="CV116" s="47">
        <v>0</v>
      </c>
      <c r="CW116" s="47">
        <v>0</v>
      </c>
      <c r="CX116" s="47">
        <v>0</v>
      </c>
      <c r="CY116" s="47">
        <v>0</v>
      </c>
      <c r="CZ116" s="47">
        <v>0</v>
      </c>
      <c r="DA116" s="47">
        <v>0</v>
      </c>
      <c r="DB116" s="47">
        <v>0</v>
      </c>
      <c r="DC116" s="47">
        <v>0</v>
      </c>
      <c r="DD116" s="47">
        <v>0</v>
      </c>
      <c r="DE116" s="47">
        <v>0</v>
      </c>
      <c r="DF116" s="47">
        <v>0</v>
      </c>
      <c r="DG116" s="47">
        <v>0</v>
      </c>
      <c r="DH116" s="47">
        <v>0</v>
      </c>
      <c r="DI116" s="47">
        <v>0</v>
      </c>
      <c r="DJ116" s="47">
        <v>0</v>
      </c>
      <c r="DK116" s="47">
        <v>0</v>
      </c>
      <c r="DL116" s="47">
        <v>0</v>
      </c>
      <c r="DM116" s="47">
        <v>0</v>
      </c>
      <c r="DN116" s="47">
        <v>0</v>
      </c>
      <c r="DO116" s="47">
        <v>0</v>
      </c>
      <c r="DP116" s="47">
        <v>0</v>
      </c>
      <c r="DQ116" s="47">
        <v>0</v>
      </c>
      <c r="DR116" s="47">
        <v>0</v>
      </c>
      <c r="DS116" s="47">
        <v>0</v>
      </c>
      <c r="DT116" s="47">
        <v>0</v>
      </c>
      <c r="DU116" s="47">
        <v>0</v>
      </c>
      <c r="DV116" s="47">
        <v>0</v>
      </c>
      <c r="DW116" s="47">
        <v>0</v>
      </c>
      <c r="DX116" s="47">
        <v>0</v>
      </c>
      <c r="DY116" s="47">
        <v>0</v>
      </c>
      <c r="DZ116" s="47"/>
      <c r="EA116" s="47">
        <v>1</v>
      </c>
      <c r="ZZ116" t="s">
        <v>1084</v>
      </c>
    </row>
    <row r="117" spans="1:702" x14ac:dyDescent="0.25">
      <c r="A117" s="47" t="s">
        <v>687</v>
      </c>
      <c r="B117" s="47" t="s">
        <v>151</v>
      </c>
      <c r="C117" s="47" t="s">
        <v>155</v>
      </c>
      <c r="D117" s="47" t="s">
        <v>1196</v>
      </c>
      <c r="E117" s="47" t="s">
        <v>688</v>
      </c>
      <c r="F117" s="47" t="s">
        <v>689</v>
      </c>
      <c r="G117" s="47" t="s">
        <v>690</v>
      </c>
      <c r="H117" s="47" t="s">
        <v>380</v>
      </c>
      <c r="I117" s="47" t="s">
        <v>421</v>
      </c>
      <c r="J117" s="47" t="str">
        <f>=IFERROR(VLOOKUP(H117&amp;I117,Table_Fonctions!A:G,6,FALSE),"")</f>
        <v>0</v>
      </c>
      <c r="K117" s="47" t="s">
        <v>1132</v>
      </c>
      <c r="L117" s="47" t="str">
        <f>=IFERROR(VLOOKUP(H117&amp;I117,Table_Fonctions!A:G,7,FALSE),K117)</f>
        <v/>
      </c>
      <c r="M117" s="47" t="str">
        <f>=IF(OR(LEFT(D117, 3)="TJ ", LEFT(D117, 4)="CPH "), "OUI", "NON")</f>
        <v/>
      </c>
      <c r="N117" s="47" t="s">
        <v>208</v>
      </c>
      <c r="O117" s="47"/>
      <c r="P117" s="47">
        <v>1</v>
      </c>
      <c r="Q117" s="47">
        <v>1</v>
      </c>
      <c r="R117" s="47">
        <v>0</v>
      </c>
      <c r="S117" s="47">
        <f>=ROUND(BQ117-(BR117+BS117),3)</f>
      </c>
      <c r="T117" s="47">
        <f>=ROUND(CK117-(CL117+CM117+CN117+CO117+CP117),3)</f>
      </c>
      <c r="U117" s="47">
        <v>0</v>
      </c>
      <c r="V117" s="47">
        <v>0</v>
      </c>
      <c r="W117" s="47">
        <v>0</v>
      </c>
      <c r="X117" s="47">
        <v>0</v>
      </c>
      <c r="Y117" s="47">
        <v>0</v>
      </c>
      <c r="Z117" s="47">
        <v>0</v>
      </c>
      <c r="AA117" s="47">
        <v>0</v>
      </c>
      <c r="AB117" s="47">
        <v>0</v>
      </c>
      <c r="AC117" s="47">
        <v>0</v>
      </c>
      <c r="AD117" s="47">
        <v>0</v>
      </c>
      <c r="AE117" s="47">
        <v>0</v>
      </c>
      <c r="AF117" s="47">
        <v>0</v>
      </c>
      <c r="AG117" s="47">
        <v>0</v>
      </c>
      <c r="AH117" s="47">
        <v>0</v>
      </c>
      <c r="AI117" s="47">
        <v>0</v>
      </c>
      <c r="AJ117" s="47">
        <v>0</v>
      </c>
      <c r="AK117" s="47">
        <v>0</v>
      </c>
      <c r="AL117" s="47">
        <v>0</v>
      </c>
      <c r="AM117" s="47">
        <v>0</v>
      </c>
      <c r="AN117" s="47">
        <v>0</v>
      </c>
      <c r="AO117" s="47">
        <v>0</v>
      </c>
      <c r="AP117" s="47">
        <v>0</v>
      </c>
      <c r="AQ117" s="47">
        <v>0</v>
      </c>
      <c r="AR117" s="47">
        <v>0</v>
      </c>
      <c r="AS117" s="47">
        <v>0</v>
      </c>
      <c r="AT117" s="47">
        <v>0</v>
      </c>
      <c r="AU117" s="47">
        <v>0</v>
      </c>
      <c r="AV117" s="47">
        <v>0</v>
      </c>
      <c r="AW117" s="47">
        <v>0</v>
      </c>
      <c r="AX117" s="47">
        <v>0</v>
      </c>
      <c r="AY117" s="47">
        <v>0</v>
      </c>
      <c r="AZ117" s="47">
        <v>0</v>
      </c>
      <c r="BA117" s="47">
        <v>0</v>
      </c>
      <c r="BB117" s="47">
        <v>0</v>
      </c>
      <c r="BC117" s="47">
        <v>0</v>
      </c>
      <c r="BD117" s="47">
        <v>0</v>
      </c>
      <c r="BE117" s="47">
        <v>0</v>
      </c>
      <c r="BF117" s="47">
        <v>0</v>
      </c>
      <c r="BG117" s="47">
        <v>0</v>
      </c>
      <c r="BH117" s="47">
        <v>0</v>
      </c>
      <c r="BI117" s="47">
        <v>0</v>
      </c>
      <c r="BJ117" s="47">
        <v>0</v>
      </c>
      <c r="BK117" s="47">
        <v>0</v>
      </c>
      <c r="BL117" s="47">
        <v>0</v>
      </c>
      <c r="BM117" s="47">
        <v>0</v>
      </c>
      <c r="BN117" s="47">
        <v>0</v>
      </c>
      <c r="BO117" s="47">
        <v>0</v>
      </c>
      <c r="BP117" s="47">
        <v>0</v>
      </c>
      <c r="BQ117" s="47">
        <v>0</v>
      </c>
      <c r="BR117" s="47">
        <v>0</v>
      </c>
      <c r="BS117" s="47">
        <v>0</v>
      </c>
      <c r="BT117" s="47">
        <v>0</v>
      </c>
      <c r="BU117" s="47">
        <v>0</v>
      </c>
      <c r="BV117" s="47">
        <v>0</v>
      </c>
      <c r="BW117" s="47">
        <v>0</v>
      </c>
      <c r="BX117" s="47">
        <v>0</v>
      </c>
      <c r="BY117" s="47">
        <v>0</v>
      </c>
      <c r="BZ117" s="47">
        <v>0</v>
      </c>
      <c r="CA117" s="47">
        <v>0</v>
      </c>
      <c r="CB117" s="47">
        <v>0</v>
      </c>
      <c r="CC117" s="47">
        <v>0</v>
      </c>
      <c r="CD117" s="47">
        <v>0</v>
      </c>
      <c r="CE117" s="47">
        <v>0</v>
      </c>
      <c r="CF117" s="47">
        <v>0</v>
      </c>
      <c r="CG117" s="47">
        <v>0</v>
      </c>
      <c r="CH117" s="47">
        <v>0</v>
      </c>
      <c r="CI117" s="47">
        <v>0</v>
      </c>
      <c r="CJ117" s="47">
        <v>0</v>
      </c>
      <c r="CK117" s="47">
        <v>0</v>
      </c>
      <c r="CL117" s="47">
        <v>0</v>
      </c>
      <c r="CM117" s="47">
        <v>0</v>
      </c>
      <c r="CN117" s="47">
        <v>0</v>
      </c>
      <c r="CO117" s="47">
        <v>0</v>
      </c>
      <c r="CP117" s="47">
        <v>0</v>
      </c>
      <c r="CQ117" s="47">
        <v>0</v>
      </c>
      <c r="CR117" s="47">
        <v>0</v>
      </c>
      <c r="CS117" s="47">
        <v>0</v>
      </c>
      <c r="CT117" s="47">
        <v>0</v>
      </c>
      <c r="CU117" s="47">
        <v>0</v>
      </c>
      <c r="CV117" s="47">
        <v>0</v>
      </c>
      <c r="CW117" s="47">
        <v>0</v>
      </c>
      <c r="CX117" s="47">
        <v>0</v>
      </c>
      <c r="CY117" s="47">
        <v>1</v>
      </c>
      <c r="CZ117" s="47">
        <v>1</v>
      </c>
      <c r="DA117" s="47">
        <v>0</v>
      </c>
      <c r="DB117" s="47">
        <v>0</v>
      </c>
      <c r="DC117" s="47">
        <v>0</v>
      </c>
      <c r="DD117" s="47">
        <v>0</v>
      </c>
      <c r="DE117" s="47">
        <v>0</v>
      </c>
      <c r="DF117" s="47">
        <v>0</v>
      </c>
      <c r="DG117" s="47">
        <v>0</v>
      </c>
      <c r="DH117" s="47">
        <v>0</v>
      </c>
      <c r="DI117" s="47">
        <v>0</v>
      </c>
      <c r="DJ117" s="47">
        <v>0</v>
      </c>
      <c r="DK117" s="47">
        <v>0</v>
      </c>
      <c r="DL117" s="47">
        <v>0</v>
      </c>
      <c r="DM117" s="47">
        <v>0</v>
      </c>
      <c r="DN117" s="47">
        <v>0</v>
      </c>
      <c r="DO117" s="47">
        <v>0</v>
      </c>
      <c r="DP117" s="47">
        <v>0</v>
      </c>
      <c r="DQ117" s="47">
        <v>0</v>
      </c>
      <c r="DR117" s="47">
        <v>0</v>
      </c>
      <c r="DS117" s="47">
        <v>0</v>
      </c>
      <c r="DT117" s="47">
        <v>0</v>
      </c>
      <c r="DU117" s="47">
        <v>0</v>
      </c>
      <c r="DV117" s="47">
        <v>0</v>
      </c>
      <c r="DW117" s="47">
        <v>0</v>
      </c>
      <c r="DX117" s="47">
        <v>0</v>
      </c>
      <c r="DY117" s="47">
        <v>0</v>
      </c>
      <c r="DZ117" s="47"/>
      <c r="EA117" s="47">
        <v>1</v>
      </c>
      <c r="ZZ117" t="s">
        <v>1084</v>
      </c>
    </row>
    <row r="118" spans="1:702" x14ac:dyDescent="0.25">
      <c r="A118" s="47" t="s">
        <v>691</v>
      </c>
      <c r="B118" s="47" t="s">
        <v>151</v>
      </c>
      <c r="C118" s="47" t="s">
        <v>155</v>
      </c>
      <c r="D118" s="47" t="s">
        <v>1197</v>
      </c>
      <c r="E118" s="47" t="s">
        <v>692</v>
      </c>
      <c r="F118" s="47" t="s">
        <v>693</v>
      </c>
      <c r="G118" s="47" t="s">
        <v>694</v>
      </c>
      <c r="H118" s="47" t="s">
        <v>380</v>
      </c>
      <c r="I118" s="47" t="s">
        <v>1182</v>
      </c>
      <c r="J118" s="47" t="str">
        <f>=IFERROR(VLOOKUP(H118&amp;I118,Table_Fonctions!A:G,6,FALSE),"")</f>
        <v>0</v>
      </c>
      <c r="K118" s="47" t="s">
        <v>1183</v>
      </c>
      <c r="L118" s="47" t="str">
        <f>=IFERROR(VLOOKUP(H118&amp;I118,Table_Fonctions!A:G,7,FALSE),K118)</f>
        <v/>
      </c>
      <c r="M118" s="47" t="str">
        <f>=IF(OR(LEFT(D118, 3)="TJ ", LEFT(D118, 4)="CPH "), "OUI", "NON")</f>
        <v/>
      </c>
      <c r="N118" s="47" t="s">
        <v>695</v>
      </c>
      <c r="O118" s="47" t="s">
        <v>662</v>
      </c>
      <c r="P118" s="47">
        <v>0.121</v>
      </c>
      <c r="Q118" s="47">
        <v>0.121</v>
      </c>
      <c r="R118" s="47">
        <v>0</v>
      </c>
      <c r="S118" s="47">
        <f>=ROUND(BQ118-(BR118+BS118),3)</f>
      </c>
      <c r="T118" s="47">
        <f>=ROUND(CK118-(CL118+CM118+CN118+CO118+CP118),3)</f>
      </c>
      <c r="U118" s="47">
        <v>0</v>
      </c>
      <c r="V118" s="47">
        <v>0</v>
      </c>
      <c r="W118" s="47">
        <v>0</v>
      </c>
      <c r="X118" s="47">
        <v>0</v>
      </c>
      <c r="Y118" s="47">
        <v>0</v>
      </c>
      <c r="Z118" s="47">
        <v>0</v>
      </c>
      <c r="AA118" s="47">
        <v>0</v>
      </c>
      <c r="AB118" s="47">
        <v>0</v>
      </c>
      <c r="AC118" s="47">
        <v>0</v>
      </c>
      <c r="AD118" s="47">
        <v>0</v>
      </c>
      <c r="AE118" s="47">
        <v>0</v>
      </c>
      <c r="AF118" s="47">
        <v>0</v>
      </c>
      <c r="AG118" s="47">
        <v>0</v>
      </c>
      <c r="AH118" s="47">
        <v>0</v>
      </c>
      <c r="AI118" s="47">
        <v>0</v>
      </c>
      <c r="AJ118" s="47">
        <v>0</v>
      </c>
      <c r="AK118" s="47">
        <v>0</v>
      </c>
      <c r="AL118" s="47">
        <v>0</v>
      </c>
      <c r="AM118" s="47">
        <v>0</v>
      </c>
      <c r="AN118" s="47">
        <v>0</v>
      </c>
      <c r="AO118" s="47">
        <v>0</v>
      </c>
      <c r="AP118" s="47">
        <v>0</v>
      </c>
      <c r="AQ118" s="47">
        <v>0</v>
      </c>
      <c r="AR118" s="47">
        <v>0</v>
      </c>
      <c r="AS118" s="47">
        <v>0</v>
      </c>
      <c r="AT118" s="47">
        <v>0</v>
      </c>
      <c r="AU118" s="47">
        <v>0</v>
      </c>
      <c r="AV118" s="47">
        <v>0</v>
      </c>
      <c r="AW118" s="47">
        <v>0</v>
      </c>
      <c r="AX118" s="47">
        <v>0</v>
      </c>
      <c r="AY118" s="47">
        <v>0</v>
      </c>
      <c r="AZ118" s="47">
        <v>0</v>
      </c>
      <c r="BA118" s="47">
        <v>0</v>
      </c>
      <c r="BB118" s="47">
        <v>0</v>
      </c>
      <c r="BC118" s="47">
        <v>0</v>
      </c>
      <c r="BD118" s="47">
        <v>0</v>
      </c>
      <c r="BE118" s="47">
        <v>0</v>
      </c>
      <c r="BF118" s="47">
        <v>0</v>
      </c>
      <c r="BG118" s="47">
        <v>0</v>
      </c>
      <c r="BH118" s="47">
        <v>0</v>
      </c>
      <c r="BI118" s="47">
        <v>0</v>
      </c>
      <c r="BJ118" s="47">
        <v>0</v>
      </c>
      <c r="BK118" s="47">
        <v>0</v>
      </c>
      <c r="BL118" s="47">
        <v>0</v>
      </c>
      <c r="BM118" s="47">
        <v>0.0605</v>
      </c>
      <c r="BN118" s="47">
        <v>0</v>
      </c>
      <c r="BO118" s="47">
        <v>0.0242</v>
      </c>
      <c r="BP118" s="47">
        <v>0.0363</v>
      </c>
      <c r="BQ118" s="47">
        <v>0</v>
      </c>
      <c r="BR118" s="47">
        <v>0</v>
      </c>
      <c r="BS118" s="47">
        <v>0</v>
      </c>
      <c r="BT118" s="47">
        <v>0</v>
      </c>
      <c r="BU118" s="47">
        <v>0</v>
      </c>
      <c r="BV118" s="47">
        <v>0</v>
      </c>
      <c r="BW118" s="47">
        <v>0</v>
      </c>
      <c r="BX118" s="47">
        <v>0</v>
      </c>
      <c r="BY118" s="47">
        <v>0</v>
      </c>
      <c r="BZ118" s="47">
        <v>0</v>
      </c>
      <c r="CA118" s="47">
        <v>0</v>
      </c>
      <c r="CB118" s="47">
        <v>0</v>
      </c>
      <c r="CC118" s="47">
        <v>0</v>
      </c>
      <c r="CD118" s="47">
        <v>0</v>
      </c>
      <c r="CE118" s="47">
        <v>0</v>
      </c>
      <c r="CF118" s="47">
        <v>0</v>
      </c>
      <c r="CG118" s="47">
        <v>0</v>
      </c>
      <c r="CH118" s="47">
        <v>0</v>
      </c>
      <c r="CI118" s="47">
        <v>0</v>
      </c>
      <c r="CJ118" s="47">
        <v>0</v>
      </c>
      <c r="CK118" s="47">
        <v>0</v>
      </c>
      <c r="CL118" s="47">
        <v>0</v>
      </c>
      <c r="CM118" s="47">
        <v>0</v>
      </c>
      <c r="CN118" s="47">
        <v>0</v>
      </c>
      <c r="CO118" s="47">
        <v>0</v>
      </c>
      <c r="CP118" s="47">
        <v>0</v>
      </c>
      <c r="CQ118" s="47">
        <v>0</v>
      </c>
      <c r="CR118" s="47">
        <v>0</v>
      </c>
      <c r="CS118" s="47">
        <v>0</v>
      </c>
      <c r="CT118" s="47">
        <v>0</v>
      </c>
      <c r="CU118" s="47">
        <v>0</v>
      </c>
      <c r="CV118" s="47">
        <v>0.0484</v>
      </c>
      <c r="CW118" s="47">
        <v>0.0484</v>
      </c>
      <c r="CX118" s="47">
        <v>0</v>
      </c>
      <c r="CY118" s="47">
        <v>0.0121</v>
      </c>
      <c r="CZ118" s="47">
        <v>0</v>
      </c>
      <c r="DA118" s="47">
        <v>0</v>
      </c>
      <c r="DB118" s="47">
        <v>0</v>
      </c>
      <c r="DC118" s="47">
        <v>0.0121</v>
      </c>
      <c r="DD118" s="47">
        <v>0</v>
      </c>
      <c r="DE118" s="47">
        <v>0</v>
      </c>
      <c r="DF118" s="47">
        <v>0</v>
      </c>
      <c r="DG118" s="47">
        <v>0</v>
      </c>
      <c r="DH118" s="47">
        <v>0</v>
      </c>
      <c r="DI118" s="47">
        <v>0</v>
      </c>
      <c r="DJ118" s="47">
        <v>0</v>
      </c>
      <c r="DK118" s="47">
        <v>0</v>
      </c>
      <c r="DL118" s="47">
        <v>0</v>
      </c>
      <c r="DM118" s="47">
        <v>0</v>
      </c>
      <c r="DN118" s="47">
        <v>0</v>
      </c>
      <c r="DO118" s="47">
        <v>0</v>
      </c>
      <c r="DP118" s="47">
        <v>0</v>
      </c>
      <c r="DQ118" s="47">
        <v>0</v>
      </c>
      <c r="DR118" s="47">
        <v>0</v>
      </c>
      <c r="DS118" s="47">
        <v>0</v>
      </c>
      <c r="DT118" s="47">
        <v>0</v>
      </c>
      <c r="DU118" s="47">
        <v>0</v>
      </c>
      <c r="DV118" s="47">
        <v>0</v>
      </c>
      <c r="DW118" s="47">
        <v>0</v>
      </c>
      <c r="DX118" s="47">
        <v>0</v>
      </c>
      <c r="DY118" s="47">
        <v>0</v>
      </c>
      <c r="DZ118" s="47"/>
      <c r="EA118" s="47">
        <v>0.121</v>
      </c>
      <c r="ZZ118" t="s">
        <v>1084</v>
      </c>
    </row>
    <row r="119" spans="1:702" x14ac:dyDescent="0.25">
      <c r="A119" s="47" t="s">
        <v>696</v>
      </c>
      <c r="B119" s="47" t="s">
        <v>151</v>
      </c>
      <c r="C119" s="47" t="s">
        <v>155</v>
      </c>
      <c r="D119" s="47" t="s">
        <v>1198</v>
      </c>
      <c r="E119" s="47" t="s">
        <v>697</v>
      </c>
      <c r="F119" s="47" t="s">
        <v>698</v>
      </c>
      <c r="G119" s="47" t="s">
        <v>699</v>
      </c>
      <c r="H119" s="47" t="s">
        <v>380</v>
      </c>
      <c r="I119" s="47" t="s">
        <v>381</v>
      </c>
      <c r="J119" s="47" t="str">
        <f>=IFERROR(VLOOKUP(H119&amp;I119,Table_Fonctions!A:G,6,FALSE),"")</f>
        <v>0</v>
      </c>
      <c r="K119" s="47" t="s">
        <v>1132</v>
      </c>
      <c r="L119" s="47" t="str">
        <f>=IFERROR(VLOOKUP(H119&amp;I119,Table_Fonctions!A:G,7,FALSE),K119)</f>
        <v/>
      </c>
      <c r="M119" s="47" t="str">
        <f>=IF(OR(LEFT(D119, 3)="TJ ", LEFT(D119, 4)="CPH "), "OUI", "NON")</f>
        <v/>
      </c>
      <c r="N119" s="47" t="s">
        <v>556</v>
      </c>
      <c r="O119" s="47"/>
      <c r="P119" s="47">
        <v>1</v>
      </c>
      <c r="Q119" s="47">
        <v>1</v>
      </c>
      <c r="R119" s="47">
        <v>0</v>
      </c>
      <c r="S119" s="47">
        <f>=ROUND(BQ119-(BR119+BS119),3)</f>
      </c>
      <c r="T119" s="47">
        <f>=ROUND(CK119-(CL119+CM119+CN119+CO119+CP119),3)</f>
      </c>
      <c r="U119" s="47">
        <v>0</v>
      </c>
      <c r="V119" s="47">
        <v>0</v>
      </c>
      <c r="W119" s="47">
        <v>0</v>
      </c>
      <c r="X119" s="47">
        <v>0</v>
      </c>
      <c r="Y119" s="47">
        <v>0</v>
      </c>
      <c r="Z119" s="47">
        <v>0</v>
      </c>
      <c r="AA119" s="47">
        <v>0</v>
      </c>
      <c r="AB119" s="47">
        <v>0</v>
      </c>
      <c r="AC119" s="47">
        <v>0</v>
      </c>
      <c r="AD119" s="47">
        <v>0</v>
      </c>
      <c r="AE119" s="47">
        <v>0</v>
      </c>
      <c r="AF119" s="47">
        <v>0</v>
      </c>
      <c r="AG119" s="47">
        <v>0</v>
      </c>
      <c r="AH119" s="47">
        <v>0</v>
      </c>
      <c r="AI119" s="47">
        <v>0</v>
      </c>
      <c r="AJ119" s="47">
        <v>0</v>
      </c>
      <c r="AK119" s="47">
        <v>0</v>
      </c>
      <c r="AL119" s="47">
        <v>0</v>
      </c>
      <c r="AM119" s="47">
        <v>0</v>
      </c>
      <c r="AN119" s="47">
        <v>0</v>
      </c>
      <c r="AO119" s="47">
        <v>0</v>
      </c>
      <c r="AP119" s="47">
        <v>0</v>
      </c>
      <c r="AQ119" s="47">
        <v>0</v>
      </c>
      <c r="AR119" s="47">
        <v>0</v>
      </c>
      <c r="AS119" s="47">
        <v>1</v>
      </c>
      <c r="AT119" s="47">
        <v>0</v>
      </c>
      <c r="AU119" s="47">
        <v>0</v>
      </c>
      <c r="AV119" s="47">
        <v>0</v>
      </c>
      <c r="AW119" s="47">
        <v>0</v>
      </c>
      <c r="AX119" s="47">
        <v>0</v>
      </c>
      <c r="AY119" s="47">
        <v>0</v>
      </c>
      <c r="AZ119" s="47">
        <v>0</v>
      </c>
      <c r="BA119" s="47">
        <v>0</v>
      </c>
      <c r="BB119" s="47">
        <v>0</v>
      </c>
      <c r="BC119" s="47">
        <v>0</v>
      </c>
      <c r="BD119" s="47">
        <v>0</v>
      </c>
      <c r="BE119" s="47">
        <v>0</v>
      </c>
      <c r="BF119" s="47">
        <v>0</v>
      </c>
      <c r="BG119" s="47">
        <v>0</v>
      </c>
      <c r="BH119" s="47">
        <v>0</v>
      </c>
      <c r="BI119" s="47">
        <v>0</v>
      </c>
      <c r="BJ119" s="47">
        <v>0</v>
      </c>
      <c r="BK119" s="47">
        <v>0</v>
      </c>
      <c r="BL119" s="47">
        <v>0</v>
      </c>
      <c r="BM119" s="47">
        <v>0</v>
      </c>
      <c r="BN119" s="47">
        <v>0</v>
      </c>
      <c r="BO119" s="47">
        <v>0</v>
      </c>
      <c r="BP119" s="47">
        <v>0</v>
      </c>
      <c r="BQ119" s="47">
        <v>0</v>
      </c>
      <c r="BR119" s="47">
        <v>0</v>
      </c>
      <c r="BS119" s="47">
        <v>0</v>
      </c>
      <c r="BT119" s="47">
        <v>0</v>
      </c>
      <c r="BU119" s="47">
        <v>0</v>
      </c>
      <c r="BV119" s="47">
        <v>0</v>
      </c>
      <c r="BW119" s="47">
        <v>0</v>
      </c>
      <c r="BX119" s="47">
        <v>0</v>
      </c>
      <c r="BY119" s="47">
        <v>0</v>
      </c>
      <c r="BZ119" s="47">
        <v>0</v>
      </c>
      <c r="CA119" s="47">
        <v>0</v>
      </c>
      <c r="CB119" s="47">
        <v>0</v>
      </c>
      <c r="CC119" s="47">
        <v>0</v>
      </c>
      <c r="CD119" s="47">
        <v>0</v>
      </c>
      <c r="CE119" s="47">
        <v>0</v>
      </c>
      <c r="CF119" s="47">
        <v>0</v>
      </c>
      <c r="CG119" s="47">
        <v>0</v>
      </c>
      <c r="CH119" s="47">
        <v>0</v>
      </c>
      <c r="CI119" s="47">
        <v>0</v>
      </c>
      <c r="CJ119" s="47">
        <v>0</v>
      </c>
      <c r="CK119" s="47">
        <v>0</v>
      </c>
      <c r="CL119" s="47">
        <v>0</v>
      </c>
      <c r="CM119" s="47">
        <v>0</v>
      </c>
      <c r="CN119" s="47">
        <v>0</v>
      </c>
      <c r="CO119" s="47">
        <v>0</v>
      </c>
      <c r="CP119" s="47">
        <v>0</v>
      </c>
      <c r="CQ119" s="47">
        <v>0</v>
      </c>
      <c r="CR119" s="47">
        <v>0</v>
      </c>
      <c r="CS119" s="47">
        <v>0</v>
      </c>
      <c r="CT119" s="47">
        <v>0</v>
      </c>
      <c r="CU119" s="47">
        <v>0</v>
      </c>
      <c r="CV119" s="47">
        <v>0</v>
      </c>
      <c r="CW119" s="47">
        <v>0</v>
      </c>
      <c r="CX119" s="47">
        <v>0</v>
      </c>
      <c r="CY119" s="47">
        <v>0</v>
      </c>
      <c r="CZ119" s="47">
        <v>0</v>
      </c>
      <c r="DA119" s="47">
        <v>0</v>
      </c>
      <c r="DB119" s="47">
        <v>0</v>
      </c>
      <c r="DC119" s="47">
        <v>0</v>
      </c>
      <c r="DD119" s="47">
        <v>0</v>
      </c>
      <c r="DE119" s="47">
        <v>0</v>
      </c>
      <c r="DF119" s="47">
        <v>0</v>
      </c>
      <c r="DG119" s="47">
        <v>0</v>
      </c>
      <c r="DH119" s="47">
        <v>0</v>
      </c>
      <c r="DI119" s="47">
        <v>0</v>
      </c>
      <c r="DJ119" s="47">
        <v>0</v>
      </c>
      <c r="DK119" s="47">
        <v>0</v>
      </c>
      <c r="DL119" s="47">
        <v>0</v>
      </c>
      <c r="DM119" s="47">
        <v>0</v>
      </c>
      <c r="DN119" s="47">
        <v>0</v>
      </c>
      <c r="DO119" s="47">
        <v>0</v>
      </c>
      <c r="DP119" s="47">
        <v>0</v>
      </c>
      <c r="DQ119" s="47">
        <v>0</v>
      </c>
      <c r="DR119" s="47">
        <v>0</v>
      </c>
      <c r="DS119" s="47">
        <v>0</v>
      </c>
      <c r="DT119" s="47">
        <v>0</v>
      </c>
      <c r="DU119" s="47">
        <v>0</v>
      </c>
      <c r="DV119" s="47">
        <v>0</v>
      </c>
      <c r="DW119" s="47">
        <v>0</v>
      </c>
      <c r="DX119" s="47">
        <v>0</v>
      </c>
      <c r="DY119" s="47">
        <v>0</v>
      </c>
      <c r="DZ119" s="47"/>
      <c r="EA119" s="47">
        <v>1</v>
      </c>
      <c r="ZZ119" t="s">
        <v>1084</v>
      </c>
    </row>
    <row r="120" spans="1:702" x14ac:dyDescent="0.25">
      <c r="A120" s="47" t="s">
        <v>700</v>
      </c>
      <c r="B120" s="47" t="s">
        <v>151</v>
      </c>
      <c r="C120" s="47" t="s">
        <v>155</v>
      </c>
      <c r="D120" s="47" t="s">
        <v>1199</v>
      </c>
      <c r="E120" s="47" t="s">
        <v>701</v>
      </c>
      <c r="F120" s="47" t="s">
        <v>702</v>
      </c>
      <c r="G120" s="47" t="s">
        <v>703</v>
      </c>
      <c r="H120" s="47" t="s">
        <v>380</v>
      </c>
      <c r="I120" s="47" t="s">
        <v>381</v>
      </c>
      <c r="J120" s="47" t="str">
        <f>=IFERROR(VLOOKUP(H120&amp;I120,Table_Fonctions!A:G,6,FALSE),"")</f>
        <v>0</v>
      </c>
      <c r="K120" s="47" t="s">
        <v>1132</v>
      </c>
      <c r="L120" s="47" t="str">
        <f>=IFERROR(VLOOKUP(H120&amp;I120,Table_Fonctions!A:G,7,FALSE),K120)</f>
        <v/>
      </c>
      <c r="M120" s="47" t="str">
        <f>=IF(OR(LEFT(D120, 3)="TJ ", LEFT(D120, 4)="CPH "), "OUI", "NON")</f>
        <v/>
      </c>
      <c r="N120" s="47" t="s">
        <v>704</v>
      </c>
      <c r="O120" s="47"/>
      <c r="P120" s="47">
        <v>0.904</v>
      </c>
      <c r="Q120" s="47">
        <v>0.904</v>
      </c>
      <c r="R120" s="47">
        <v>0</v>
      </c>
      <c r="S120" s="47">
        <f>=ROUND(BQ120-(BR120+BS120),3)</f>
      </c>
      <c r="T120" s="47">
        <f>=ROUND(CK120-(CL120+CM120+CN120+CO120+CP120),3)</f>
      </c>
      <c r="U120" s="47">
        <v>0</v>
      </c>
      <c r="V120" s="47">
        <v>0</v>
      </c>
      <c r="W120" s="47">
        <v>0</v>
      </c>
      <c r="X120" s="47">
        <v>0</v>
      </c>
      <c r="Y120" s="47">
        <v>0</v>
      </c>
      <c r="Z120" s="47">
        <v>0</v>
      </c>
      <c r="AA120" s="47">
        <v>0</v>
      </c>
      <c r="AB120" s="47">
        <v>0</v>
      </c>
      <c r="AC120" s="47">
        <v>0</v>
      </c>
      <c r="AD120" s="47">
        <v>0</v>
      </c>
      <c r="AE120" s="47">
        <v>0</v>
      </c>
      <c r="AF120" s="47">
        <v>0</v>
      </c>
      <c r="AG120" s="47">
        <v>0</v>
      </c>
      <c r="AH120" s="47">
        <v>0</v>
      </c>
      <c r="AI120" s="47">
        <v>0</v>
      </c>
      <c r="AJ120" s="47">
        <v>0</v>
      </c>
      <c r="AK120" s="47">
        <v>0</v>
      </c>
      <c r="AL120" s="47">
        <v>0</v>
      </c>
      <c r="AM120" s="47">
        <v>0</v>
      </c>
      <c r="AN120" s="47">
        <v>0</v>
      </c>
      <c r="AO120" s="47">
        <v>0</v>
      </c>
      <c r="AP120" s="47">
        <v>0</v>
      </c>
      <c r="AQ120" s="47">
        <v>0</v>
      </c>
      <c r="AR120" s="47">
        <v>0</v>
      </c>
      <c r="AS120" s="47">
        <v>0</v>
      </c>
      <c r="AT120" s="47">
        <v>0</v>
      </c>
      <c r="AU120" s="47">
        <v>0</v>
      </c>
      <c r="AV120" s="47">
        <v>0</v>
      </c>
      <c r="AW120" s="47">
        <v>0</v>
      </c>
      <c r="AX120" s="47">
        <v>0</v>
      </c>
      <c r="AY120" s="47">
        <v>0</v>
      </c>
      <c r="AZ120" s="47">
        <v>0</v>
      </c>
      <c r="BA120" s="47">
        <v>0</v>
      </c>
      <c r="BB120" s="47">
        <v>0</v>
      </c>
      <c r="BC120" s="47">
        <v>0</v>
      </c>
      <c r="BD120" s="47">
        <v>0</v>
      </c>
      <c r="BE120" s="47">
        <v>0</v>
      </c>
      <c r="BF120" s="47">
        <v>0</v>
      </c>
      <c r="BG120" s="47">
        <v>0</v>
      </c>
      <c r="BH120" s="47">
        <v>0</v>
      </c>
      <c r="BI120" s="47">
        <v>0</v>
      </c>
      <c r="BJ120" s="47">
        <v>0</v>
      </c>
      <c r="BK120" s="47">
        <v>0</v>
      </c>
      <c r="BL120" s="47">
        <v>0</v>
      </c>
      <c r="BM120" s="47">
        <v>0</v>
      </c>
      <c r="BN120" s="47">
        <v>0</v>
      </c>
      <c r="BO120" s="47">
        <v>0</v>
      </c>
      <c r="BP120" s="47">
        <v>0</v>
      </c>
      <c r="BQ120" s="47">
        <v>0</v>
      </c>
      <c r="BR120" s="47">
        <v>0</v>
      </c>
      <c r="BS120" s="47">
        <v>0</v>
      </c>
      <c r="BT120" s="47">
        <v>0</v>
      </c>
      <c r="BU120" s="47">
        <v>0</v>
      </c>
      <c r="BV120" s="47">
        <v>0</v>
      </c>
      <c r="BW120" s="47">
        <v>0</v>
      </c>
      <c r="BX120" s="47">
        <v>0</v>
      </c>
      <c r="BY120" s="47">
        <v>0</v>
      </c>
      <c r="BZ120" s="47">
        <v>0</v>
      </c>
      <c r="CA120" s="47">
        <v>0</v>
      </c>
      <c r="CB120" s="47">
        <v>0</v>
      </c>
      <c r="CC120" s="47">
        <v>0</v>
      </c>
      <c r="CD120" s="47">
        <v>0</v>
      </c>
      <c r="CE120" s="47">
        <v>0</v>
      </c>
      <c r="CF120" s="47">
        <v>0</v>
      </c>
      <c r="CG120" s="47">
        <v>0</v>
      </c>
      <c r="CH120" s="47">
        <v>0</v>
      </c>
      <c r="CI120" s="47">
        <v>0</v>
      </c>
      <c r="CJ120" s="47">
        <v>0</v>
      </c>
      <c r="CK120" s="47">
        <v>0</v>
      </c>
      <c r="CL120" s="47">
        <v>0</v>
      </c>
      <c r="CM120" s="47">
        <v>0</v>
      </c>
      <c r="CN120" s="47">
        <v>0</v>
      </c>
      <c r="CO120" s="47">
        <v>0</v>
      </c>
      <c r="CP120" s="47">
        <v>0</v>
      </c>
      <c r="CQ120" s="47">
        <v>0</v>
      </c>
      <c r="CR120" s="47">
        <v>0</v>
      </c>
      <c r="CS120" s="47">
        <v>0</v>
      </c>
      <c r="CT120" s="47">
        <v>0</v>
      </c>
      <c r="CU120" s="47">
        <v>0</v>
      </c>
      <c r="CV120" s="47">
        <v>0</v>
      </c>
      <c r="CW120" s="47">
        <v>0</v>
      </c>
      <c r="CX120" s="47">
        <v>0</v>
      </c>
      <c r="CY120" s="47">
        <v>0.904</v>
      </c>
      <c r="CZ120" s="47">
        <v>0</v>
      </c>
      <c r="DA120" s="47">
        <v>0</v>
      </c>
      <c r="DB120" s="47">
        <v>0</v>
      </c>
      <c r="DC120" s="47">
        <v>0</v>
      </c>
      <c r="DD120" s="47">
        <v>0</v>
      </c>
      <c r="DE120" s="47">
        <v>0</v>
      </c>
      <c r="DF120" s="47">
        <v>0</v>
      </c>
      <c r="DG120" s="47">
        <v>0</v>
      </c>
      <c r="DH120" s="47">
        <v>0</v>
      </c>
      <c r="DI120" s="47">
        <v>0</v>
      </c>
      <c r="DJ120" s="47">
        <v>0.904</v>
      </c>
      <c r="DK120" s="47">
        <v>0</v>
      </c>
      <c r="DL120" s="47">
        <v>0</v>
      </c>
      <c r="DM120" s="47">
        <v>0</v>
      </c>
      <c r="DN120" s="47">
        <v>0</v>
      </c>
      <c r="DO120" s="47">
        <v>0</v>
      </c>
      <c r="DP120" s="47">
        <v>0</v>
      </c>
      <c r="DQ120" s="47">
        <v>0</v>
      </c>
      <c r="DR120" s="47">
        <v>0</v>
      </c>
      <c r="DS120" s="47">
        <v>0</v>
      </c>
      <c r="DT120" s="47">
        <v>0</v>
      </c>
      <c r="DU120" s="47">
        <v>0</v>
      </c>
      <c r="DV120" s="47">
        <v>0.4798</v>
      </c>
      <c r="DW120" s="47">
        <v>0</v>
      </c>
      <c r="DX120" s="47">
        <v>0</v>
      </c>
      <c r="DY120" s="47">
        <v>0.4798</v>
      </c>
      <c r="DZ120" s="47"/>
      <c r="EA120" s="47">
        <v>0.904</v>
      </c>
      <c r="ZZ120" t="s">
        <v>1084</v>
      </c>
    </row>
    <row r="121" spans="1:702" x14ac:dyDescent="0.25">
      <c r="A121" s="47" t="s">
        <v>705</v>
      </c>
      <c r="B121" s="47" t="s">
        <v>151</v>
      </c>
      <c r="C121" s="47" t="s">
        <v>155</v>
      </c>
      <c r="D121" s="47" t="s">
        <v>1163</v>
      </c>
      <c r="E121" s="47" t="s">
        <v>706</v>
      </c>
      <c r="F121" s="47" t="s">
        <v>707</v>
      </c>
      <c r="G121" s="47" t="s">
        <v>708</v>
      </c>
      <c r="H121" s="47" t="s">
        <v>380</v>
      </c>
      <c r="I121" s="47" t="s">
        <v>411</v>
      </c>
      <c r="J121" s="47" t="str">
        <f>=IFERROR(VLOOKUP(H121&amp;I121,Table_Fonctions!A:G,6,FALSE),"")</f>
        <v>0</v>
      </c>
      <c r="K121" s="47" t="s">
        <v>1132</v>
      </c>
      <c r="L121" s="47" t="str">
        <f>=IFERROR(VLOOKUP(H121&amp;I121,Table_Fonctions!A:G,7,FALSE),K121)</f>
        <v/>
      </c>
      <c r="M121" s="47" t="str">
        <f>=IF(OR(LEFT(D121, 3)="TJ ", LEFT(D121, 4)="CPH "), "OUI", "NON")</f>
        <v/>
      </c>
      <c r="N121" s="47" t="s">
        <v>709</v>
      </c>
      <c r="O121" s="47"/>
      <c r="P121" s="47">
        <v>1</v>
      </c>
      <c r="Q121" s="47">
        <v>1</v>
      </c>
      <c r="R121" s="47">
        <v>0</v>
      </c>
      <c r="S121" s="47">
        <f>=ROUND(BQ121-(BR121+BS121),3)</f>
      </c>
      <c r="T121" s="47">
        <f>=ROUND(CK121-(CL121+CM121+CN121+CO121+CP121),3)</f>
      </c>
      <c r="U121" s="47">
        <v>0</v>
      </c>
      <c r="V121" s="47">
        <v>0</v>
      </c>
      <c r="W121" s="47">
        <v>0</v>
      </c>
      <c r="X121" s="47">
        <v>0</v>
      </c>
      <c r="Y121" s="47">
        <v>0</v>
      </c>
      <c r="Z121" s="47">
        <v>0</v>
      </c>
      <c r="AA121" s="47">
        <v>0</v>
      </c>
      <c r="AB121" s="47">
        <v>0</v>
      </c>
      <c r="AC121" s="47">
        <v>0</v>
      </c>
      <c r="AD121" s="47">
        <v>0</v>
      </c>
      <c r="AE121" s="47">
        <v>0</v>
      </c>
      <c r="AF121" s="47">
        <v>0</v>
      </c>
      <c r="AG121" s="47">
        <v>0</v>
      </c>
      <c r="AH121" s="47">
        <v>0</v>
      </c>
      <c r="AI121" s="47">
        <v>0</v>
      </c>
      <c r="AJ121" s="47">
        <v>0</v>
      </c>
      <c r="AK121" s="47">
        <v>0</v>
      </c>
      <c r="AL121" s="47">
        <v>0</v>
      </c>
      <c r="AM121" s="47">
        <v>0</v>
      </c>
      <c r="AN121" s="47">
        <v>0</v>
      </c>
      <c r="AO121" s="47">
        <v>0</v>
      </c>
      <c r="AP121" s="47">
        <v>0</v>
      </c>
      <c r="AQ121" s="47">
        <v>0</v>
      </c>
      <c r="AR121" s="47">
        <v>0</v>
      </c>
      <c r="AS121" s="47">
        <v>0</v>
      </c>
      <c r="AT121" s="47">
        <v>0</v>
      </c>
      <c r="AU121" s="47">
        <v>0</v>
      </c>
      <c r="AV121" s="47">
        <v>0</v>
      </c>
      <c r="AW121" s="47">
        <v>0</v>
      </c>
      <c r="AX121" s="47">
        <v>0</v>
      </c>
      <c r="AY121" s="47">
        <v>0</v>
      </c>
      <c r="AZ121" s="47">
        <v>0</v>
      </c>
      <c r="BA121" s="47">
        <v>0</v>
      </c>
      <c r="BB121" s="47">
        <v>0</v>
      </c>
      <c r="BC121" s="47">
        <v>0</v>
      </c>
      <c r="BD121" s="47">
        <v>0</v>
      </c>
      <c r="BE121" s="47">
        <v>0</v>
      </c>
      <c r="BF121" s="47">
        <v>0</v>
      </c>
      <c r="BG121" s="47">
        <v>0</v>
      </c>
      <c r="BH121" s="47">
        <v>0</v>
      </c>
      <c r="BI121" s="47">
        <v>0</v>
      </c>
      <c r="BJ121" s="47">
        <v>0</v>
      </c>
      <c r="BK121" s="47">
        <v>0</v>
      </c>
      <c r="BL121" s="47">
        <v>0</v>
      </c>
      <c r="BM121" s="47">
        <v>0</v>
      </c>
      <c r="BN121" s="47">
        <v>0</v>
      </c>
      <c r="BO121" s="47">
        <v>0</v>
      </c>
      <c r="BP121" s="47">
        <v>0</v>
      </c>
      <c r="BQ121" s="47">
        <v>1</v>
      </c>
      <c r="BR121" s="47">
        <v>0</v>
      </c>
      <c r="BS121" s="47">
        <v>1</v>
      </c>
      <c r="BT121" s="47">
        <v>0</v>
      </c>
      <c r="BU121" s="47">
        <v>0</v>
      </c>
      <c r="BV121" s="47">
        <v>0</v>
      </c>
      <c r="BW121" s="47">
        <v>0</v>
      </c>
      <c r="BX121" s="47">
        <v>0</v>
      </c>
      <c r="BY121" s="47">
        <v>0</v>
      </c>
      <c r="BZ121" s="47">
        <v>0</v>
      </c>
      <c r="CA121" s="47">
        <v>0</v>
      </c>
      <c r="CB121" s="47">
        <v>0</v>
      </c>
      <c r="CC121" s="47">
        <v>0</v>
      </c>
      <c r="CD121" s="47">
        <v>0</v>
      </c>
      <c r="CE121" s="47">
        <v>0</v>
      </c>
      <c r="CF121" s="47">
        <v>0</v>
      </c>
      <c r="CG121" s="47">
        <v>0</v>
      </c>
      <c r="CH121" s="47">
        <v>0</v>
      </c>
      <c r="CI121" s="47">
        <v>0</v>
      </c>
      <c r="CJ121" s="47">
        <v>0</v>
      </c>
      <c r="CK121" s="47">
        <v>0</v>
      </c>
      <c r="CL121" s="47">
        <v>0</v>
      </c>
      <c r="CM121" s="47">
        <v>0</v>
      </c>
      <c r="CN121" s="47">
        <v>0</v>
      </c>
      <c r="CO121" s="47">
        <v>0</v>
      </c>
      <c r="CP121" s="47">
        <v>0</v>
      </c>
      <c r="CQ121" s="47">
        <v>0</v>
      </c>
      <c r="CR121" s="47">
        <v>0</v>
      </c>
      <c r="CS121" s="47">
        <v>0</v>
      </c>
      <c r="CT121" s="47">
        <v>0</v>
      </c>
      <c r="CU121" s="47">
        <v>0</v>
      </c>
      <c r="CV121" s="47">
        <v>0</v>
      </c>
      <c r="CW121" s="47">
        <v>0</v>
      </c>
      <c r="CX121" s="47">
        <v>0</v>
      </c>
      <c r="CY121" s="47">
        <v>0</v>
      </c>
      <c r="CZ121" s="47">
        <v>0</v>
      </c>
      <c r="DA121" s="47">
        <v>0</v>
      </c>
      <c r="DB121" s="47">
        <v>0</v>
      </c>
      <c r="DC121" s="47">
        <v>0</v>
      </c>
      <c r="DD121" s="47">
        <v>0</v>
      </c>
      <c r="DE121" s="47">
        <v>0</v>
      </c>
      <c r="DF121" s="47">
        <v>0</v>
      </c>
      <c r="DG121" s="47">
        <v>0</v>
      </c>
      <c r="DH121" s="47">
        <v>0</v>
      </c>
      <c r="DI121" s="47">
        <v>0</v>
      </c>
      <c r="DJ121" s="47">
        <v>0</v>
      </c>
      <c r="DK121" s="47">
        <v>0</v>
      </c>
      <c r="DL121" s="47">
        <v>0</v>
      </c>
      <c r="DM121" s="47">
        <v>0</v>
      </c>
      <c r="DN121" s="47">
        <v>0</v>
      </c>
      <c r="DO121" s="47">
        <v>0</v>
      </c>
      <c r="DP121" s="47">
        <v>0</v>
      </c>
      <c r="DQ121" s="47">
        <v>0</v>
      </c>
      <c r="DR121" s="47">
        <v>0</v>
      </c>
      <c r="DS121" s="47">
        <v>0</v>
      </c>
      <c r="DT121" s="47">
        <v>0</v>
      </c>
      <c r="DU121" s="47">
        <v>0</v>
      </c>
      <c r="DV121" s="47">
        <v>0</v>
      </c>
      <c r="DW121" s="47">
        <v>0</v>
      </c>
      <c r="DX121" s="47">
        <v>0</v>
      </c>
      <c r="DY121" s="47">
        <v>0</v>
      </c>
      <c r="DZ121" s="47"/>
      <c r="EA121" s="47">
        <v>1</v>
      </c>
      <c r="ZZ121" t="s">
        <v>1084</v>
      </c>
    </row>
    <row r="122" spans="1:702" x14ac:dyDescent="0.25">
      <c r="A122" s="47" t="s">
        <v>710</v>
      </c>
      <c r="B122" s="47" t="s">
        <v>151</v>
      </c>
      <c r="C122" s="47" t="s">
        <v>155</v>
      </c>
      <c r="D122" s="47" t="s">
        <v>1200</v>
      </c>
      <c r="E122" s="47" t="s">
        <v>711</v>
      </c>
      <c r="F122" s="47" t="s">
        <v>712</v>
      </c>
      <c r="G122" s="47" t="s">
        <v>713</v>
      </c>
      <c r="H122" s="47" t="s">
        <v>380</v>
      </c>
      <c r="I122" s="47" t="s">
        <v>714</v>
      </c>
      <c r="J122" s="47" t="str">
        <f>=IFERROR(VLOOKUP(H122&amp;I122,Table_Fonctions!A:G,6,FALSE),"")</f>
        <v>0</v>
      </c>
      <c r="K122" s="47" t="s">
        <v>1132</v>
      </c>
      <c r="L122" s="47" t="str">
        <f>=IFERROR(VLOOKUP(H122&amp;I122,Table_Fonctions!A:G,7,FALSE),K122)</f>
        <v/>
      </c>
      <c r="M122" s="47" t="str">
        <f>=IF(OR(LEFT(D122, 3)="TJ ", LEFT(D122, 4)="CPH "), "OUI", "NON")</f>
        <v/>
      </c>
      <c r="N122" s="47" t="s">
        <v>176</v>
      </c>
      <c r="O122" s="47"/>
      <c r="P122" s="47">
        <v>1</v>
      </c>
      <c r="Q122" s="47">
        <v>1</v>
      </c>
      <c r="R122" s="47">
        <v>0</v>
      </c>
      <c r="S122" s="47">
        <f>=ROUND(BQ122-(BR122+BS122),3)</f>
      </c>
      <c r="T122" s="47">
        <f>=ROUND(CK122-(CL122+CM122+CN122+CO122+CP122),3)</f>
      </c>
      <c r="U122" s="47">
        <v>0</v>
      </c>
      <c r="V122" s="47">
        <v>0</v>
      </c>
      <c r="W122" s="47">
        <v>0</v>
      </c>
      <c r="X122" s="47">
        <v>0</v>
      </c>
      <c r="Y122" s="47">
        <v>0</v>
      </c>
      <c r="Z122" s="47">
        <v>0</v>
      </c>
      <c r="AA122" s="47">
        <v>0</v>
      </c>
      <c r="AB122" s="47">
        <v>0</v>
      </c>
      <c r="AC122" s="47">
        <v>0</v>
      </c>
      <c r="AD122" s="47">
        <v>0</v>
      </c>
      <c r="AE122" s="47">
        <v>0</v>
      </c>
      <c r="AF122" s="47">
        <v>0</v>
      </c>
      <c r="AG122" s="47">
        <v>0</v>
      </c>
      <c r="AH122" s="47">
        <v>0</v>
      </c>
      <c r="AI122" s="47">
        <v>0</v>
      </c>
      <c r="AJ122" s="47">
        <v>0</v>
      </c>
      <c r="AK122" s="47">
        <v>0</v>
      </c>
      <c r="AL122" s="47">
        <v>0</v>
      </c>
      <c r="AM122" s="47">
        <v>0</v>
      </c>
      <c r="AN122" s="47">
        <v>0</v>
      </c>
      <c r="AO122" s="47">
        <v>0</v>
      </c>
      <c r="AP122" s="47">
        <v>0</v>
      </c>
      <c r="AQ122" s="47">
        <v>0</v>
      </c>
      <c r="AR122" s="47">
        <v>0</v>
      </c>
      <c r="AS122" s="47">
        <v>0</v>
      </c>
      <c r="AT122" s="47">
        <v>0</v>
      </c>
      <c r="AU122" s="47">
        <v>0</v>
      </c>
      <c r="AV122" s="47">
        <v>0</v>
      </c>
      <c r="AW122" s="47">
        <v>0</v>
      </c>
      <c r="AX122" s="47">
        <v>0</v>
      </c>
      <c r="AY122" s="47">
        <v>0</v>
      </c>
      <c r="AZ122" s="47">
        <v>0</v>
      </c>
      <c r="BA122" s="47">
        <v>0</v>
      </c>
      <c r="BB122" s="47">
        <v>0</v>
      </c>
      <c r="BC122" s="47">
        <v>0</v>
      </c>
      <c r="BD122" s="47">
        <v>0</v>
      </c>
      <c r="BE122" s="47">
        <v>0</v>
      </c>
      <c r="BF122" s="47">
        <v>0</v>
      </c>
      <c r="BG122" s="47">
        <v>0</v>
      </c>
      <c r="BH122" s="47">
        <v>0</v>
      </c>
      <c r="BI122" s="47">
        <v>0</v>
      </c>
      <c r="BJ122" s="47">
        <v>0</v>
      </c>
      <c r="BK122" s="47">
        <v>0</v>
      </c>
      <c r="BL122" s="47">
        <v>0</v>
      </c>
      <c r="BM122" s="47">
        <v>0</v>
      </c>
      <c r="BN122" s="47">
        <v>0</v>
      </c>
      <c r="BO122" s="47">
        <v>0</v>
      </c>
      <c r="BP122" s="47">
        <v>0</v>
      </c>
      <c r="BQ122" s="47">
        <v>0</v>
      </c>
      <c r="BR122" s="47">
        <v>0</v>
      </c>
      <c r="BS122" s="47">
        <v>0</v>
      </c>
      <c r="BT122" s="47">
        <v>0</v>
      </c>
      <c r="BU122" s="47">
        <v>0</v>
      </c>
      <c r="BV122" s="47">
        <v>0</v>
      </c>
      <c r="BW122" s="47">
        <v>0</v>
      </c>
      <c r="BX122" s="47">
        <v>0</v>
      </c>
      <c r="BY122" s="47">
        <v>0</v>
      </c>
      <c r="BZ122" s="47">
        <v>0</v>
      </c>
      <c r="CA122" s="47">
        <v>0</v>
      </c>
      <c r="CB122" s="47">
        <v>0</v>
      </c>
      <c r="CC122" s="47">
        <v>0</v>
      </c>
      <c r="CD122" s="47">
        <v>0</v>
      </c>
      <c r="CE122" s="47">
        <v>0</v>
      </c>
      <c r="CF122" s="47">
        <v>0</v>
      </c>
      <c r="CG122" s="47">
        <v>0</v>
      </c>
      <c r="CH122" s="47">
        <v>0</v>
      </c>
      <c r="CI122" s="47">
        <v>0</v>
      </c>
      <c r="CJ122" s="47">
        <v>0</v>
      </c>
      <c r="CK122" s="47">
        <v>0</v>
      </c>
      <c r="CL122" s="47">
        <v>0</v>
      </c>
      <c r="CM122" s="47">
        <v>0</v>
      </c>
      <c r="CN122" s="47">
        <v>0</v>
      </c>
      <c r="CO122" s="47">
        <v>0</v>
      </c>
      <c r="CP122" s="47">
        <v>0</v>
      </c>
      <c r="CQ122" s="47">
        <v>0</v>
      </c>
      <c r="CR122" s="47">
        <v>0</v>
      </c>
      <c r="CS122" s="47">
        <v>0</v>
      </c>
      <c r="CT122" s="47">
        <v>0</v>
      </c>
      <c r="CU122" s="47">
        <v>0</v>
      </c>
      <c r="CV122" s="47">
        <v>0</v>
      </c>
      <c r="CW122" s="47">
        <v>0</v>
      </c>
      <c r="CX122" s="47">
        <v>0</v>
      </c>
      <c r="CY122" s="47">
        <v>1</v>
      </c>
      <c r="CZ122" s="47">
        <v>0</v>
      </c>
      <c r="DA122" s="47">
        <v>0</v>
      </c>
      <c r="DB122" s="47">
        <v>0</v>
      </c>
      <c r="DC122" s="47">
        <v>1</v>
      </c>
      <c r="DD122" s="47">
        <v>0</v>
      </c>
      <c r="DE122" s="47">
        <v>0</v>
      </c>
      <c r="DF122" s="47">
        <v>0</v>
      </c>
      <c r="DG122" s="47">
        <v>0</v>
      </c>
      <c r="DH122" s="47">
        <v>0</v>
      </c>
      <c r="DI122" s="47">
        <v>0</v>
      </c>
      <c r="DJ122" s="47">
        <v>0</v>
      </c>
      <c r="DK122" s="47">
        <v>0</v>
      </c>
      <c r="DL122" s="47">
        <v>0</v>
      </c>
      <c r="DM122" s="47">
        <v>0</v>
      </c>
      <c r="DN122" s="47">
        <v>0</v>
      </c>
      <c r="DO122" s="47">
        <v>0</v>
      </c>
      <c r="DP122" s="47">
        <v>0</v>
      </c>
      <c r="DQ122" s="47">
        <v>0</v>
      </c>
      <c r="DR122" s="47">
        <v>0</v>
      </c>
      <c r="DS122" s="47">
        <v>0</v>
      </c>
      <c r="DT122" s="47">
        <v>0</v>
      </c>
      <c r="DU122" s="47">
        <v>0</v>
      </c>
      <c r="DV122" s="47">
        <v>0</v>
      </c>
      <c r="DW122" s="47">
        <v>0</v>
      </c>
      <c r="DX122" s="47">
        <v>0</v>
      </c>
      <c r="DY122" s="47">
        <v>0</v>
      </c>
      <c r="DZ122" s="47"/>
      <c r="EA122" s="47">
        <v>1</v>
      </c>
      <c r="ZZ122" t="s">
        <v>1084</v>
      </c>
    </row>
    <row r="123" spans="1:702" x14ac:dyDescent="0.25">
      <c r="A123" s="47" t="s">
        <v>715</v>
      </c>
      <c r="B123" s="47" t="s">
        <v>151</v>
      </c>
      <c r="C123" s="47" t="s">
        <v>155</v>
      </c>
      <c r="D123" s="47" t="s">
        <v>1201</v>
      </c>
      <c r="E123" s="47" t="s">
        <v>716</v>
      </c>
      <c r="F123" s="47" t="s">
        <v>717</v>
      </c>
      <c r="G123" s="47" t="s">
        <v>718</v>
      </c>
      <c r="H123" s="47" t="s">
        <v>380</v>
      </c>
      <c r="I123" s="47" t="s">
        <v>411</v>
      </c>
      <c r="J123" s="47" t="str">
        <f>=IFERROR(VLOOKUP(H123&amp;I123,Table_Fonctions!A:G,6,FALSE),"")</f>
        <v>0</v>
      </c>
      <c r="K123" s="47" t="s">
        <v>1132</v>
      </c>
      <c r="L123" s="47" t="str">
        <f>=IFERROR(VLOOKUP(H123&amp;I123,Table_Fonctions!A:G,7,FALSE),K123)</f>
        <v/>
      </c>
      <c r="M123" s="47" t="str">
        <f>=IF(OR(LEFT(D123, 3)="TJ ", LEFT(D123, 4)="CPH "), "OUI", "NON")</f>
        <v/>
      </c>
      <c r="N123" s="47" t="s">
        <v>719</v>
      </c>
      <c r="O123" s="47"/>
      <c r="P123" s="47">
        <v>1</v>
      </c>
      <c r="Q123" s="47">
        <v>0</v>
      </c>
      <c r="R123" s="47">
        <v>1</v>
      </c>
      <c r="S123" s="47">
        <f>=ROUND(BQ123-(BR123+BS123),3)</f>
      </c>
      <c r="T123" s="47">
        <f>=ROUND(CK123-(CL123+CM123+CN123+CO123+CP123),3)</f>
      </c>
      <c r="U123" s="47">
        <v>0</v>
      </c>
      <c r="V123" s="47">
        <v>0</v>
      </c>
      <c r="W123" s="47">
        <v>0</v>
      </c>
      <c r="X123" s="47">
        <v>0</v>
      </c>
      <c r="Y123" s="47">
        <v>0</v>
      </c>
      <c r="Z123" s="47">
        <v>0</v>
      </c>
      <c r="AA123" s="47">
        <v>0</v>
      </c>
      <c r="AB123" s="47">
        <v>0</v>
      </c>
      <c r="AC123" s="47">
        <v>0</v>
      </c>
      <c r="AD123" s="47">
        <v>0</v>
      </c>
      <c r="AE123" s="47">
        <v>0</v>
      </c>
      <c r="AF123" s="47">
        <v>0</v>
      </c>
      <c r="AG123" s="47">
        <v>0</v>
      </c>
      <c r="AH123" s="47">
        <v>0</v>
      </c>
      <c r="AI123" s="47">
        <v>0</v>
      </c>
      <c r="AJ123" s="47">
        <v>0</v>
      </c>
      <c r="AK123" s="47">
        <v>0</v>
      </c>
      <c r="AL123" s="47">
        <v>0</v>
      </c>
      <c r="AM123" s="47">
        <v>0</v>
      </c>
      <c r="AN123" s="47">
        <v>0</v>
      </c>
      <c r="AO123" s="47">
        <v>0</v>
      </c>
      <c r="AP123" s="47">
        <v>0</v>
      </c>
      <c r="AQ123" s="47">
        <v>0</v>
      </c>
      <c r="AR123" s="47">
        <v>0</v>
      </c>
      <c r="AS123" s="47">
        <v>0</v>
      </c>
      <c r="AT123" s="47">
        <v>0</v>
      </c>
      <c r="AU123" s="47">
        <v>0</v>
      </c>
      <c r="AV123" s="47">
        <v>0</v>
      </c>
      <c r="AW123" s="47">
        <v>0</v>
      </c>
      <c r="AX123" s="47">
        <v>0</v>
      </c>
      <c r="AY123" s="47">
        <v>0</v>
      </c>
      <c r="AZ123" s="47">
        <v>0</v>
      </c>
      <c r="BA123" s="47">
        <v>0</v>
      </c>
      <c r="BB123" s="47">
        <v>0</v>
      </c>
      <c r="BC123" s="47">
        <v>0</v>
      </c>
      <c r="BD123" s="47">
        <v>0</v>
      </c>
      <c r="BE123" s="47">
        <v>0</v>
      </c>
      <c r="BF123" s="47">
        <v>0</v>
      </c>
      <c r="BG123" s="47">
        <v>0</v>
      </c>
      <c r="BH123" s="47">
        <v>0</v>
      </c>
      <c r="BI123" s="47">
        <v>0</v>
      </c>
      <c r="BJ123" s="47">
        <v>0</v>
      </c>
      <c r="BK123" s="47">
        <v>0</v>
      </c>
      <c r="BL123" s="47">
        <v>0</v>
      </c>
      <c r="BM123" s="47">
        <v>0</v>
      </c>
      <c r="BN123" s="47">
        <v>0</v>
      </c>
      <c r="BO123" s="47">
        <v>0</v>
      </c>
      <c r="BP123" s="47">
        <v>0</v>
      </c>
      <c r="BQ123" s="47">
        <v>0</v>
      </c>
      <c r="BR123" s="47">
        <v>0</v>
      </c>
      <c r="BS123" s="47">
        <v>0</v>
      </c>
      <c r="BT123" s="47">
        <v>0</v>
      </c>
      <c r="BU123" s="47">
        <v>0</v>
      </c>
      <c r="BV123" s="47">
        <v>0</v>
      </c>
      <c r="BW123" s="47">
        <v>0</v>
      </c>
      <c r="BX123" s="47">
        <v>0</v>
      </c>
      <c r="BY123" s="47">
        <v>0</v>
      </c>
      <c r="BZ123" s="47">
        <v>0</v>
      </c>
      <c r="CA123" s="47">
        <v>0</v>
      </c>
      <c r="CB123" s="47">
        <v>0</v>
      </c>
      <c r="CC123" s="47">
        <v>0</v>
      </c>
      <c r="CD123" s="47">
        <v>0</v>
      </c>
      <c r="CE123" s="47">
        <v>0</v>
      </c>
      <c r="CF123" s="47">
        <v>0</v>
      </c>
      <c r="CG123" s="47">
        <v>0</v>
      </c>
      <c r="CH123" s="47">
        <v>0</v>
      </c>
      <c r="CI123" s="47">
        <v>0</v>
      </c>
      <c r="CJ123" s="47">
        <v>0</v>
      </c>
      <c r="CK123" s="47">
        <v>0</v>
      </c>
      <c r="CL123" s="47">
        <v>0</v>
      </c>
      <c r="CM123" s="47">
        <v>0</v>
      </c>
      <c r="CN123" s="47">
        <v>0</v>
      </c>
      <c r="CO123" s="47">
        <v>0</v>
      </c>
      <c r="CP123" s="47">
        <v>0</v>
      </c>
      <c r="CQ123" s="47">
        <v>0</v>
      </c>
      <c r="CR123" s="47">
        <v>0</v>
      </c>
      <c r="CS123" s="47">
        <v>0</v>
      </c>
      <c r="CT123" s="47">
        <v>0</v>
      </c>
      <c r="CU123" s="47">
        <v>0</v>
      </c>
      <c r="CV123" s="47">
        <v>0</v>
      </c>
      <c r="CW123" s="47">
        <v>0</v>
      </c>
      <c r="CX123" s="47">
        <v>0</v>
      </c>
      <c r="CY123" s="47">
        <v>0</v>
      </c>
      <c r="CZ123" s="47">
        <v>0</v>
      </c>
      <c r="DA123" s="47">
        <v>0</v>
      </c>
      <c r="DB123" s="47">
        <v>0</v>
      </c>
      <c r="DC123" s="47">
        <v>0</v>
      </c>
      <c r="DD123" s="47">
        <v>0</v>
      </c>
      <c r="DE123" s="47">
        <v>0</v>
      </c>
      <c r="DF123" s="47">
        <v>0</v>
      </c>
      <c r="DG123" s="47">
        <v>0</v>
      </c>
      <c r="DH123" s="47">
        <v>0</v>
      </c>
      <c r="DI123" s="47">
        <v>0</v>
      </c>
      <c r="DJ123" s="47">
        <v>0</v>
      </c>
      <c r="DK123" s="47">
        <v>0</v>
      </c>
      <c r="DL123" s="47">
        <v>0</v>
      </c>
      <c r="DM123" s="47">
        <v>0</v>
      </c>
      <c r="DN123" s="47">
        <v>0</v>
      </c>
      <c r="DO123" s="47">
        <v>0</v>
      </c>
      <c r="DP123" s="47">
        <v>0</v>
      </c>
      <c r="DQ123" s="47">
        <v>0</v>
      </c>
      <c r="DR123" s="47">
        <v>0</v>
      </c>
      <c r="DS123" s="47">
        <v>0</v>
      </c>
      <c r="DT123" s="47">
        <v>0</v>
      </c>
      <c r="DU123" s="47">
        <v>0</v>
      </c>
      <c r="DV123" s="47">
        <v>0</v>
      </c>
      <c r="DW123" s="47">
        <v>0</v>
      </c>
      <c r="DX123" s="47">
        <v>0</v>
      </c>
      <c r="DY123" s="47">
        <v>0</v>
      </c>
      <c r="DZ123" s="47"/>
      <c r="EA123" s="47">
        <v>1</v>
      </c>
      <c r="ZZ123" t="s">
        <v>1084</v>
      </c>
    </row>
    <row r="124" spans="1:702" x14ac:dyDescent="0.25">
      <c r="A124" s="47" t="s">
        <v>720</v>
      </c>
      <c r="B124" s="47" t="s">
        <v>151</v>
      </c>
      <c r="C124" s="47" t="s">
        <v>155</v>
      </c>
      <c r="D124" s="47" t="s">
        <v>1202</v>
      </c>
      <c r="E124" s="47" t="s">
        <v>721</v>
      </c>
      <c r="F124" s="47" t="s">
        <v>722</v>
      </c>
      <c r="G124" s="47" t="s">
        <v>723</v>
      </c>
      <c r="H124" s="47" t="s">
        <v>380</v>
      </c>
      <c r="I124" s="47" t="s">
        <v>381</v>
      </c>
      <c r="J124" s="47" t="str">
        <f>=IFERROR(VLOOKUP(H124&amp;I124,Table_Fonctions!A:G,6,FALSE),"")</f>
        <v>0</v>
      </c>
      <c r="K124" s="47" t="s">
        <v>1132</v>
      </c>
      <c r="L124" s="47" t="str">
        <f>=IFERROR(VLOOKUP(H124&amp;I124,Table_Fonctions!A:G,7,FALSE),K124)</f>
        <v/>
      </c>
      <c r="M124" s="47" t="str">
        <f>=IF(OR(LEFT(D124, 3)="TJ ", LEFT(D124, 4)="CPH "), "OUI", "NON")</f>
        <v/>
      </c>
      <c r="N124" s="47" t="s">
        <v>386</v>
      </c>
      <c r="O124" s="47"/>
      <c r="P124" s="47">
        <v>1</v>
      </c>
      <c r="Q124" s="47">
        <v>0</v>
      </c>
      <c r="R124" s="47">
        <v>1</v>
      </c>
      <c r="S124" s="47">
        <f>=ROUND(BQ124-(BR124+BS124),3)</f>
      </c>
      <c r="T124" s="47">
        <f>=ROUND(CK124-(CL124+CM124+CN124+CO124+CP124),3)</f>
      </c>
      <c r="U124" s="47">
        <v>0</v>
      </c>
      <c r="V124" s="47">
        <v>0</v>
      </c>
      <c r="W124" s="47">
        <v>0</v>
      </c>
      <c r="X124" s="47">
        <v>0</v>
      </c>
      <c r="Y124" s="47">
        <v>0</v>
      </c>
      <c r="Z124" s="47">
        <v>0</v>
      </c>
      <c r="AA124" s="47">
        <v>0</v>
      </c>
      <c r="AB124" s="47">
        <v>0</v>
      </c>
      <c r="AC124" s="47">
        <v>0</v>
      </c>
      <c r="AD124" s="47">
        <v>0</v>
      </c>
      <c r="AE124" s="47">
        <v>0</v>
      </c>
      <c r="AF124" s="47">
        <v>0</v>
      </c>
      <c r="AG124" s="47">
        <v>0</v>
      </c>
      <c r="AH124" s="47">
        <v>0</v>
      </c>
      <c r="AI124" s="47">
        <v>0</v>
      </c>
      <c r="AJ124" s="47">
        <v>0</v>
      </c>
      <c r="AK124" s="47">
        <v>0</v>
      </c>
      <c r="AL124" s="47">
        <v>0</v>
      </c>
      <c r="AM124" s="47">
        <v>0</v>
      </c>
      <c r="AN124" s="47">
        <v>0</v>
      </c>
      <c r="AO124" s="47">
        <v>0</v>
      </c>
      <c r="AP124" s="47">
        <v>0</v>
      </c>
      <c r="AQ124" s="47">
        <v>0</v>
      </c>
      <c r="AR124" s="47">
        <v>0</v>
      </c>
      <c r="AS124" s="47">
        <v>0</v>
      </c>
      <c r="AT124" s="47">
        <v>0</v>
      </c>
      <c r="AU124" s="47">
        <v>0</v>
      </c>
      <c r="AV124" s="47">
        <v>0</v>
      </c>
      <c r="AW124" s="47">
        <v>0</v>
      </c>
      <c r="AX124" s="47">
        <v>0</v>
      </c>
      <c r="AY124" s="47">
        <v>0</v>
      </c>
      <c r="AZ124" s="47">
        <v>0</v>
      </c>
      <c r="BA124" s="47">
        <v>0</v>
      </c>
      <c r="BB124" s="47">
        <v>0</v>
      </c>
      <c r="BC124" s="47">
        <v>0</v>
      </c>
      <c r="BD124" s="47">
        <v>0</v>
      </c>
      <c r="BE124" s="47">
        <v>0</v>
      </c>
      <c r="BF124" s="47">
        <v>0</v>
      </c>
      <c r="BG124" s="47">
        <v>0</v>
      </c>
      <c r="BH124" s="47">
        <v>0</v>
      </c>
      <c r="BI124" s="47">
        <v>0</v>
      </c>
      <c r="BJ124" s="47">
        <v>0</v>
      </c>
      <c r="BK124" s="47">
        <v>0</v>
      </c>
      <c r="BL124" s="47">
        <v>0</v>
      </c>
      <c r="BM124" s="47">
        <v>0</v>
      </c>
      <c r="BN124" s="47">
        <v>0</v>
      </c>
      <c r="BO124" s="47">
        <v>0</v>
      </c>
      <c r="BP124" s="47">
        <v>0</v>
      </c>
      <c r="BQ124" s="47">
        <v>0</v>
      </c>
      <c r="BR124" s="47">
        <v>0</v>
      </c>
      <c r="BS124" s="47">
        <v>0</v>
      </c>
      <c r="BT124" s="47">
        <v>0</v>
      </c>
      <c r="BU124" s="47">
        <v>0</v>
      </c>
      <c r="BV124" s="47">
        <v>0</v>
      </c>
      <c r="BW124" s="47">
        <v>0</v>
      </c>
      <c r="BX124" s="47">
        <v>0</v>
      </c>
      <c r="BY124" s="47">
        <v>0</v>
      </c>
      <c r="BZ124" s="47">
        <v>0</v>
      </c>
      <c r="CA124" s="47">
        <v>0</v>
      </c>
      <c r="CB124" s="47">
        <v>0</v>
      </c>
      <c r="CC124" s="47">
        <v>0</v>
      </c>
      <c r="CD124" s="47">
        <v>0</v>
      </c>
      <c r="CE124" s="47">
        <v>0</v>
      </c>
      <c r="CF124" s="47">
        <v>0</v>
      </c>
      <c r="CG124" s="47">
        <v>0</v>
      </c>
      <c r="CH124" s="47">
        <v>0</v>
      </c>
      <c r="CI124" s="47">
        <v>0</v>
      </c>
      <c r="CJ124" s="47">
        <v>0</v>
      </c>
      <c r="CK124" s="47">
        <v>0</v>
      </c>
      <c r="CL124" s="47">
        <v>0</v>
      </c>
      <c r="CM124" s="47">
        <v>0</v>
      </c>
      <c r="CN124" s="47">
        <v>0</v>
      </c>
      <c r="CO124" s="47">
        <v>0</v>
      </c>
      <c r="CP124" s="47">
        <v>0</v>
      </c>
      <c r="CQ124" s="47">
        <v>0</v>
      </c>
      <c r="CR124" s="47">
        <v>0</v>
      </c>
      <c r="CS124" s="47">
        <v>0</v>
      </c>
      <c r="CT124" s="47">
        <v>0</v>
      </c>
      <c r="CU124" s="47">
        <v>0</v>
      </c>
      <c r="CV124" s="47">
        <v>0</v>
      </c>
      <c r="CW124" s="47">
        <v>0</v>
      </c>
      <c r="CX124" s="47">
        <v>0</v>
      </c>
      <c r="CY124" s="47">
        <v>0</v>
      </c>
      <c r="CZ124" s="47">
        <v>0</v>
      </c>
      <c r="DA124" s="47">
        <v>0</v>
      </c>
      <c r="DB124" s="47">
        <v>0</v>
      </c>
      <c r="DC124" s="47">
        <v>0</v>
      </c>
      <c r="DD124" s="47">
        <v>0</v>
      </c>
      <c r="DE124" s="47">
        <v>0</v>
      </c>
      <c r="DF124" s="47">
        <v>0</v>
      </c>
      <c r="DG124" s="47">
        <v>0</v>
      </c>
      <c r="DH124" s="47">
        <v>0</v>
      </c>
      <c r="DI124" s="47">
        <v>0</v>
      </c>
      <c r="DJ124" s="47">
        <v>0</v>
      </c>
      <c r="DK124" s="47">
        <v>0</v>
      </c>
      <c r="DL124" s="47">
        <v>0</v>
      </c>
      <c r="DM124" s="47">
        <v>0</v>
      </c>
      <c r="DN124" s="47">
        <v>0</v>
      </c>
      <c r="DO124" s="47">
        <v>0</v>
      </c>
      <c r="DP124" s="47">
        <v>0</v>
      </c>
      <c r="DQ124" s="47">
        <v>0</v>
      </c>
      <c r="DR124" s="47">
        <v>0</v>
      </c>
      <c r="DS124" s="47">
        <v>0</v>
      </c>
      <c r="DT124" s="47">
        <v>0</v>
      </c>
      <c r="DU124" s="47">
        <v>0</v>
      </c>
      <c r="DV124" s="47">
        <v>0</v>
      </c>
      <c r="DW124" s="47">
        <v>0</v>
      </c>
      <c r="DX124" s="47">
        <v>0</v>
      </c>
      <c r="DY124" s="47">
        <v>0</v>
      </c>
      <c r="DZ124" s="47"/>
      <c r="EA124" s="47">
        <v>1</v>
      </c>
      <c r="ZZ124" t="s">
        <v>1084</v>
      </c>
    </row>
    <row r="125" spans="1:702" x14ac:dyDescent="0.25">
      <c r="A125" s="47" t="s">
        <v>724</v>
      </c>
      <c r="B125" s="47" t="s">
        <v>151</v>
      </c>
      <c r="C125" s="47" t="s">
        <v>155</v>
      </c>
      <c r="D125" s="47" t="s">
        <v>1203</v>
      </c>
      <c r="E125" s="47" t="s">
        <v>725</v>
      </c>
      <c r="F125" s="47" t="s">
        <v>726</v>
      </c>
      <c r="G125" s="47" t="s">
        <v>727</v>
      </c>
      <c r="H125" s="47" t="s">
        <v>380</v>
      </c>
      <c r="I125" s="47" t="s">
        <v>381</v>
      </c>
      <c r="J125" s="47" t="str">
        <f>=IFERROR(VLOOKUP(H125&amp;I125,Table_Fonctions!A:G,6,FALSE),"")</f>
        <v>0</v>
      </c>
      <c r="K125" s="47" t="s">
        <v>1132</v>
      </c>
      <c r="L125" s="47" t="str">
        <f>=IFERROR(VLOOKUP(H125&amp;I125,Table_Fonctions!A:G,7,FALSE),K125)</f>
        <v/>
      </c>
      <c r="M125" s="47" t="str">
        <f>=IF(OR(LEFT(D125, 3)="TJ ", LEFT(D125, 4)="CPH "), "OUI", "NON")</f>
        <v/>
      </c>
      <c r="N125" s="47" t="s">
        <v>581</v>
      </c>
      <c r="O125" s="47"/>
      <c r="P125" s="47">
        <v>1</v>
      </c>
      <c r="Q125" s="47">
        <v>0</v>
      </c>
      <c r="R125" s="47">
        <v>1</v>
      </c>
      <c r="S125" s="47">
        <f>=ROUND(BQ125-(BR125+BS125),3)</f>
      </c>
      <c r="T125" s="47">
        <f>=ROUND(CK125-(CL125+CM125+CN125+CO125+CP125),3)</f>
      </c>
      <c r="U125" s="47">
        <v>0</v>
      </c>
      <c r="V125" s="47">
        <v>0</v>
      </c>
      <c r="W125" s="47">
        <v>0</v>
      </c>
      <c r="X125" s="47">
        <v>0</v>
      </c>
      <c r="Y125" s="47">
        <v>0</v>
      </c>
      <c r="Z125" s="47">
        <v>0</v>
      </c>
      <c r="AA125" s="47">
        <v>0</v>
      </c>
      <c r="AB125" s="47">
        <v>0</v>
      </c>
      <c r="AC125" s="47">
        <v>0</v>
      </c>
      <c r="AD125" s="47">
        <v>0</v>
      </c>
      <c r="AE125" s="47">
        <v>0</v>
      </c>
      <c r="AF125" s="47">
        <v>0</v>
      </c>
      <c r="AG125" s="47">
        <v>0</v>
      </c>
      <c r="AH125" s="47">
        <v>0</v>
      </c>
      <c r="AI125" s="47">
        <v>0</v>
      </c>
      <c r="AJ125" s="47">
        <v>0</v>
      </c>
      <c r="AK125" s="47">
        <v>0</v>
      </c>
      <c r="AL125" s="47">
        <v>0</v>
      </c>
      <c r="AM125" s="47">
        <v>0</v>
      </c>
      <c r="AN125" s="47">
        <v>0</v>
      </c>
      <c r="AO125" s="47">
        <v>0</v>
      </c>
      <c r="AP125" s="47">
        <v>0</v>
      </c>
      <c r="AQ125" s="47">
        <v>0</v>
      </c>
      <c r="AR125" s="47">
        <v>0</v>
      </c>
      <c r="AS125" s="47">
        <v>0</v>
      </c>
      <c r="AT125" s="47">
        <v>0</v>
      </c>
      <c r="AU125" s="47">
        <v>0</v>
      </c>
      <c r="AV125" s="47">
        <v>0</v>
      </c>
      <c r="AW125" s="47">
        <v>0</v>
      </c>
      <c r="AX125" s="47">
        <v>0</v>
      </c>
      <c r="AY125" s="47">
        <v>0</v>
      </c>
      <c r="AZ125" s="47">
        <v>0</v>
      </c>
      <c r="BA125" s="47">
        <v>0</v>
      </c>
      <c r="BB125" s="47">
        <v>0</v>
      </c>
      <c r="BC125" s="47">
        <v>0</v>
      </c>
      <c r="BD125" s="47">
        <v>0</v>
      </c>
      <c r="BE125" s="47">
        <v>0</v>
      </c>
      <c r="BF125" s="47">
        <v>0</v>
      </c>
      <c r="BG125" s="47">
        <v>0</v>
      </c>
      <c r="BH125" s="47">
        <v>0</v>
      </c>
      <c r="BI125" s="47">
        <v>0</v>
      </c>
      <c r="BJ125" s="47">
        <v>0</v>
      </c>
      <c r="BK125" s="47">
        <v>0</v>
      </c>
      <c r="BL125" s="47">
        <v>0</v>
      </c>
      <c r="BM125" s="47">
        <v>0</v>
      </c>
      <c r="BN125" s="47">
        <v>0</v>
      </c>
      <c r="BO125" s="47">
        <v>0</v>
      </c>
      <c r="BP125" s="47">
        <v>0</v>
      </c>
      <c r="BQ125" s="47">
        <v>0</v>
      </c>
      <c r="BR125" s="47">
        <v>0</v>
      </c>
      <c r="BS125" s="47">
        <v>0</v>
      </c>
      <c r="BT125" s="47">
        <v>0</v>
      </c>
      <c r="BU125" s="47">
        <v>0</v>
      </c>
      <c r="BV125" s="47">
        <v>0</v>
      </c>
      <c r="BW125" s="47">
        <v>0</v>
      </c>
      <c r="BX125" s="47">
        <v>0</v>
      </c>
      <c r="BY125" s="47">
        <v>0</v>
      </c>
      <c r="BZ125" s="47">
        <v>0</v>
      </c>
      <c r="CA125" s="47">
        <v>0</v>
      </c>
      <c r="CB125" s="47">
        <v>0</v>
      </c>
      <c r="CC125" s="47">
        <v>0</v>
      </c>
      <c r="CD125" s="47">
        <v>0</v>
      </c>
      <c r="CE125" s="47">
        <v>0</v>
      </c>
      <c r="CF125" s="47">
        <v>0</v>
      </c>
      <c r="CG125" s="47">
        <v>0</v>
      </c>
      <c r="CH125" s="47">
        <v>0</v>
      </c>
      <c r="CI125" s="47">
        <v>0</v>
      </c>
      <c r="CJ125" s="47">
        <v>0</v>
      </c>
      <c r="CK125" s="47">
        <v>0</v>
      </c>
      <c r="CL125" s="47">
        <v>0</v>
      </c>
      <c r="CM125" s="47">
        <v>0</v>
      </c>
      <c r="CN125" s="47">
        <v>0</v>
      </c>
      <c r="CO125" s="47">
        <v>0</v>
      </c>
      <c r="CP125" s="47">
        <v>0</v>
      </c>
      <c r="CQ125" s="47">
        <v>0</v>
      </c>
      <c r="CR125" s="47">
        <v>0</v>
      </c>
      <c r="CS125" s="47">
        <v>0</v>
      </c>
      <c r="CT125" s="47">
        <v>0</v>
      </c>
      <c r="CU125" s="47">
        <v>0</v>
      </c>
      <c r="CV125" s="47">
        <v>0</v>
      </c>
      <c r="CW125" s="47">
        <v>0</v>
      </c>
      <c r="CX125" s="47">
        <v>0</v>
      </c>
      <c r="CY125" s="47">
        <v>0</v>
      </c>
      <c r="CZ125" s="47">
        <v>0</v>
      </c>
      <c r="DA125" s="47">
        <v>0</v>
      </c>
      <c r="DB125" s="47">
        <v>0</v>
      </c>
      <c r="DC125" s="47">
        <v>0</v>
      </c>
      <c r="DD125" s="47">
        <v>0</v>
      </c>
      <c r="DE125" s="47">
        <v>0</v>
      </c>
      <c r="DF125" s="47">
        <v>0</v>
      </c>
      <c r="DG125" s="47">
        <v>0</v>
      </c>
      <c r="DH125" s="47">
        <v>0</v>
      </c>
      <c r="DI125" s="47">
        <v>0</v>
      </c>
      <c r="DJ125" s="47">
        <v>0</v>
      </c>
      <c r="DK125" s="47">
        <v>0</v>
      </c>
      <c r="DL125" s="47">
        <v>0</v>
      </c>
      <c r="DM125" s="47">
        <v>0</v>
      </c>
      <c r="DN125" s="47">
        <v>0</v>
      </c>
      <c r="DO125" s="47">
        <v>0</v>
      </c>
      <c r="DP125" s="47">
        <v>0</v>
      </c>
      <c r="DQ125" s="47">
        <v>0</v>
      </c>
      <c r="DR125" s="47">
        <v>0</v>
      </c>
      <c r="DS125" s="47">
        <v>0</v>
      </c>
      <c r="DT125" s="47">
        <v>0</v>
      </c>
      <c r="DU125" s="47">
        <v>0</v>
      </c>
      <c r="DV125" s="47">
        <v>0</v>
      </c>
      <c r="DW125" s="47">
        <v>0</v>
      </c>
      <c r="DX125" s="47">
        <v>0</v>
      </c>
      <c r="DY125" s="47">
        <v>0</v>
      </c>
      <c r="DZ125" s="47"/>
      <c r="EA125" s="47">
        <v>1</v>
      </c>
      <c r="ZZ125" t="s">
        <v>1084</v>
      </c>
    </row>
    <row r="126" spans="1:702" x14ac:dyDescent="0.25">
      <c r="A126" s="47" t="s">
        <v>728</v>
      </c>
      <c r="B126" s="47" t="s">
        <v>151</v>
      </c>
      <c r="C126" s="47" t="s">
        <v>155</v>
      </c>
      <c r="D126" s="47" t="s">
        <v>1204</v>
      </c>
      <c r="E126" s="47" t="s">
        <v>729</v>
      </c>
      <c r="F126" s="47" t="s">
        <v>730</v>
      </c>
      <c r="G126" s="47" t="s">
        <v>731</v>
      </c>
      <c r="H126" s="47" t="s">
        <v>380</v>
      </c>
      <c r="I126" s="47" t="s">
        <v>421</v>
      </c>
      <c r="J126" s="47" t="str">
        <f>=IFERROR(VLOOKUP(H126&amp;I126,Table_Fonctions!A:G,6,FALSE),"")</f>
        <v>0</v>
      </c>
      <c r="K126" s="47" t="s">
        <v>1132</v>
      </c>
      <c r="L126" s="47" t="str">
        <f>=IFERROR(VLOOKUP(H126&amp;I126,Table_Fonctions!A:G,7,FALSE),K126)</f>
        <v/>
      </c>
      <c r="M126" s="47" t="str">
        <f>=IF(OR(LEFT(D126, 3)="TJ ", LEFT(D126, 4)="CPH "), "OUI", "NON")</f>
        <v/>
      </c>
      <c r="N126" s="47" t="s">
        <v>176</v>
      </c>
      <c r="O126" s="47"/>
      <c r="P126" s="47">
        <v>1</v>
      </c>
      <c r="Q126" s="47">
        <v>0</v>
      </c>
      <c r="R126" s="47">
        <v>1</v>
      </c>
      <c r="S126" s="47">
        <f>=ROUND(BQ126-(BR126+BS126),3)</f>
      </c>
      <c r="T126" s="47">
        <f>=ROUND(CK126-(CL126+CM126+CN126+CO126+CP126),3)</f>
      </c>
      <c r="U126" s="47">
        <v>0</v>
      </c>
      <c r="V126" s="47">
        <v>0</v>
      </c>
      <c r="W126" s="47">
        <v>0</v>
      </c>
      <c r="X126" s="47">
        <v>0</v>
      </c>
      <c r="Y126" s="47">
        <v>0</v>
      </c>
      <c r="Z126" s="47">
        <v>0</v>
      </c>
      <c r="AA126" s="47">
        <v>0</v>
      </c>
      <c r="AB126" s="47">
        <v>0</v>
      </c>
      <c r="AC126" s="47">
        <v>0</v>
      </c>
      <c r="AD126" s="47">
        <v>0</v>
      </c>
      <c r="AE126" s="47">
        <v>0</v>
      </c>
      <c r="AF126" s="47">
        <v>0</v>
      </c>
      <c r="AG126" s="47">
        <v>0</v>
      </c>
      <c r="AH126" s="47">
        <v>0</v>
      </c>
      <c r="AI126" s="47">
        <v>0</v>
      </c>
      <c r="AJ126" s="47">
        <v>0</v>
      </c>
      <c r="AK126" s="47">
        <v>0</v>
      </c>
      <c r="AL126" s="47">
        <v>0</v>
      </c>
      <c r="AM126" s="47">
        <v>0</v>
      </c>
      <c r="AN126" s="47">
        <v>0</v>
      </c>
      <c r="AO126" s="47">
        <v>0</v>
      </c>
      <c r="AP126" s="47">
        <v>0</v>
      </c>
      <c r="AQ126" s="47">
        <v>0</v>
      </c>
      <c r="AR126" s="47">
        <v>0</v>
      </c>
      <c r="AS126" s="47">
        <v>0</v>
      </c>
      <c r="AT126" s="47">
        <v>0</v>
      </c>
      <c r="AU126" s="47">
        <v>0</v>
      </c>
      <c r="AV126" s="47">
        <v>0</v>
      </c>
      <c r="AW126" s="47">
        <v>0</v>
      </c>
      <c r="AX126" s="47">
        <v>0</v>
      </c>
      <c r="AY126" s="47">
        <v>0</v>
      </c>
      <c r="AZ126" s="47">
        <v>0</v>
      </c>
      <c r="BA126" s="47">
        <v>0</v>
      </c>
      <c r="BB126" s="47">
        <v>0</v>
      </c>
      <c r="BC126" s="47">
        <v>0</v>
      </c>
      <c r="BD126" s="47">
        <v>0</v>
      </c>
      <c r="BE126" s="47">
        <v>0</v>
      </c>
      <c r="BF126" s="47">
        <v>0</v>
      </c>
      <c r="BG126" s="47">
        <v>0</v>
      </c>
      <c r="BH126" s="47">
        <v>0</v>
      </c>
      <c r="BI126" s="47">
        <v>0</v>
      </c>
      <c r="BJ126" s="47">
        <v>0</v>
      </c>
      <c r="BK126" s="47">
        <v>0</v>
      </c>
      <c r="BL126" s="47">
        <v>0</v>
      </c>
      <c r="BM126" s="47">
        <v>0</v>
      </c>
      <c r="BN126" s="47">
        <v>0</v>
      </c>
      <c r="BO126" s="47">
        <v>0</v>
      </c>
      <c r="BP126" s="47">
        <v>0</v>
      </c>
      <c r="BQ126" s="47">
        <v>0</v>
      </c>
      <c r="BR126" s="47">
        <v>0</v>
      </c>
      <c r="BS126" s="47">
        <v>0</v>
      </c>
      <c r="BT126" s="47">
        <v>0</v>
      </c>
      <c r="BU126" s="47">
        <v>0</v>
      </c>
      <c r="BV126" s="47">
        <v>0</v>
      </c>
      <c r="BW126" s="47">
        <v>0</v>
      </c>
      <c r="BX126" s="47">
        <v>0</v>
      </c>
      <c r="BY126" s="47">
        <v>0</v>
      </c>
      <c r="BZ126" s="47">
        <v>0</v>
      </c>
      <c r="CA126" s="47">
        <v>0</v>
      </c>
      <c r="CB126" s="47">
        <v>0</v>
      </c>
      <c r="CC126" s="47">
        <v>0</v>
      </c>
      <c r="CD126" s="47">
        <v>0</v>
      </c>
      <c r="CE126" s="47">
        <v>0</v>
      </c>
      <c r="CF126" s="47">
        <v>0</v>
      </c>
      <c r="CG126" s="47">
        <v>0</v>
      </c>
      <c r="CH126" s="47">
        <v>0</v>
      </c>
      <c r="CI126" s="47">
        <v>0</v>
      </c>
      <c r="CJ126" s="47">
        <v>0</v>
      </c>
      <c r="CK126" s="47">
        <v>0</v>
      </c>
      <c r="CL126" s="47">
        <v>0</v>
      </c>
      <c r="CM126" s="47">
        <v>0</v>
      </c>
      <c r="CN126" s="47">
        <v>0</v>
      </c>
      <c r="CO126" s="47">
        <v>0</v>
      </c>
      <c r="CP126" s="47">
        <v>0</v>
      </c>
      <c r="CQ126" s="47">
        <v>0</v>
      </c>
      <c r="CR126" s="47">
        <v>0</v>
      </c>
      <c r="CS126" s="47">
        <v>0</v>
      </c>
      <c r="CT126" s="47">
        <v>0</v>
      </c>
      <c r="CU126" s="47">
        <v>0</v>
      </c>
      <c r="CV126" s="47">
        <v>0</v>
      </c>
      <c r="CW126" s="47">
        <v>0</v>
      </c>
      <c r="CX126" s="47">
        <v>0</v>
      </c>
      <c r="CY126" s="47">
        <v>0</v>
      </c>
      <c r="CZ126" s="47">
        <v>0</v>
      </c>
      <c r="DA126" s="47">
        <v>0</v>
      </c>
      <c r="DB126" s="47">
        <v>0</v>
      </c>
      <c r="DC126" s="47">
        <v>0</v>
      </c>
      <c r="DD126" s="47">
        <v>0</v>
      </c>
      <c r="DE126" s="47">
        <v>0</v>
      </c>
      <c r="DF126" s="47">
        <v>0</v>
      </c>
      <c r="DG126" s="47">
        <v>0</v>
      </c>
      <c r="DH126" s="47">
        <v>0</v>
      </c>
      <c r="DI126" s="47">
        <v>0</v>
      </c>
      <c r="DJ126" s="47">
        <v>0</v>
      </c>
      <c r="DK126" s="47">
        <v>0</v>
      </c>
      <c r="DL126" s="47">
        <v>0</v>
      </c>
      <c r="DM126" s="47">
        <v>0</v>
      </c>
      <c r="DN126" s="47">
        <v>0</v>
      </c>
      <c r="DO126" s="47">
        <v>0</v>
      </c>
      <c r="DP126" s="47">
        <v>0</v>
      </c>
      <c r="DQ126" s="47">
        <v>0</v>
      </c>
      <c r="DR126" s="47">
        <v>0</v>
      </c>
      <c r="DS126" s="47">
        <v>0</v>
      </c>
      <c r="DT126" s="47">
        <v>0</v>
      </c>
      <c r="DU126" s="47">
        <v>0</v>
      </c>
      <c r="DV126" s="47">
        <v>0</v>
      </c>
      <c r="DW126" s="47">
        <v>0</v>
      </c>
      <c r="DX126" s="47">
        <v>0</v>
      </c>
      <c r="DY126" s="47">
        <v>0</v>
      </c>
      <c r="DZ126" s="47"/>
      <c r="EA126" s="47">
        <v>1</v>
      </c>
      <c r="ZZ126" t="s">
        <v>1084</v>
      </c>
    </row>
    <row r="127" spans="1:702" x14ac:dyDescent="0.25">
      <c r="A127" s="47" t="s">
        <v>732</v>
      </c>
      <c r="B127" s="47" t="s">
        <v>151</v>
      </c>
      <c r="C127" s="47" t="s">
        <v>155</v>
      </c>
      <c r="D127" s="47" t="s">
        <v>1205</v>
      </c>
      <c r="E127" s="47" t="s">
        <v>733</v>
      </c>
      <c r="F127" s="47" t="s">
        <v>734</v>
      </c>
      <c r="G127" s="47" t="s">
        <v>735</v>
      </c>
      <c r="H127" s="47" t="s">
        <v>380</v>
      </c>
      <c r="I127" s="47" t="s">
        <v>381</v>
      </c>
      <c r="J127" s="47" t="str">
        <f>=IFERROR(VLOOKUP(H127&amp;I127,Table_Fonctions!A:G,6,FALSE),"")</f>
        <v>0</v>
      </c>
      <c r="K127" s="47" t="s">
        <v>1132</v>
      </c>
      <c r="L127" s="47" t="str">
        <f>=IFERROR(VLOOKUP(H127&amp;I127,Table_Fonctions!A:G,7,FALSE),K127)</f>
        <v/>
      </c>
      <c r="M127" s="47" t="str">
        <f>=IF(OR(LEFT(D127, 3)="TJ ", LEFT(D127, 4)="CPH "), "OUI", "NON")</f>
        <v/>
      </c>
      <c r="N127" s="47" t="s">
        <v>736</v>
      </c>
      <c r="O127" s="47"/>
      <c r="P127" s="47">
        <v>1</v>
      </c>
      <c r="Q127" s="47">
        <v>0</v>
      </c>
      <c r="R127" s="47">
        <v>1</v>
      </c>
      <c r="S127" s="47">
        <f>=ROUND(BQ127-(BR127+BS127),3)</f>
      </c>
      <c r="T127" s="47">
        <f>=ROUND(CK127-(CL127+CM127+CN127+CO127+CP127),3)</f>
      </c>
      <c r="U127" s="47">
        <v>0</v>
      </c>
      <c r="V127" s="47">
        <v>0</v>
      </c>
      <c r="W127" s="47">
        <v>0</v>
      </c>
      <c r="X127" s="47">
        <v>0</v>
      </c>
      <c r="Y127" s="47">
        <v>0</v>
      </c>
      <c r="Z127" s="47">
        <v>0</v>
      </c>
      <c r="AA127" s="47">
        <v>0</v>
      </c>
      <c r="AB127" s="47">
        <v>0</v>
      </c>
      <c r="AC127" s="47">
        <v>0</v>
      </c>
      <c r="AD127" s="47">
        <v>0</v>
      </c>
      <c r="AE127" s="47">
        <v>0</v>
      </c>
      <c r="AF127" s="47">
        <v>0</v>
      </c>
      <c r="AG127" s="47">
        <v>0</v>
      </c>
      <c r="AH127" s="47">
        <v>0</v>
      </c>
      <c r="AI127" s="47">
        <v>0</v>
      </c>
      <c r="AJ127" s="47">
        <v>0</v>
      </c>
      <c r="AK127" s="47">
        <v>0</v>
      </c>
      <c r="AL127" s="47">
        <v>0</v>
      </c>
      <c r="AM127" s="47">
        <v>0</v>
      </c>
      <c r="AN127" s="47">
        <v>0</v>
      </c>
      <c r="AO127" s="47">
        <v>0</v>
      </c>
      <c r="AP127" s="47">
        <v>0</v>
      </c>
      <c r="AQ127" s="47">
        <v>0</v>
      </c>
      <c r="AR127" s="47">
        <v>0</v>
      </c>
      <c r="AS127" s="47">
        <v>0</v>
      </c>
      <c r="AT127" s="47">
        <v>0</v>
      </c>
      <c r="AU127" s="47">
        <v>0</v>
      </c>
      <c r="AV127" s="47">
        <v>0</v>
      </c>
      <c r="AW127" s="47">
        <v>0</v>
      </c>
      <c r="AX127" s="47">
        <v>0</v>
      </c>
      <c r="AY127" s="47">
        <v>0</v>
      </c>
      <c r="AZ127" s="47">
        <v>0</v>
      </c>
      <c r="BA127" s="47">
        <v>0</v>
      </c>
      <c r="BB127" s="47">
        <v>0</v>
      </c>
      <c r="BC127" s="47">
        <v>0</v>
      </c>
      <c r="BD127" s="47">
        <v>0</v>
      </c>
      <c r="BE127" s="47">
        <v>0</v>
      </c>
      <c r="BF127" s="47">
        <v>0</v>
      </c>
      <c r="BG127" s="47">
        <v>0</v>
      </c>
      <c r="BH127" s="47">
        <v>0</v>
      </c>
      <c r="BI127" s="47">
        <v>0</v>
      </c>
      <c r="BJ127" s="47">
        <v>0</v>
      </c>
      <c r="BK127" s="47">
        <v>0</v>
      </c>
      <c r="BL127" s="47">
        <v>0</v>
      </c>
      <c r="BM127" s="47">
        <v>0</v>
      </c>
      <c r="BN127" s="47">
        <v>0</v>
      </c>
      <c r="BO127" s="47">
        <v>0</v>
      </c>
      <c r="BP127" s="47">
        <v>0</v>
      </c>
      <c r="BQ127" s="47">
        <v>0</v>
      </c>
      <c r="BR127" s="47">
        <v>0</v>
      </c>
      <c r="BS127" s="47">
        <v>0</v>
      </c>
      <c r="BT127" s="47">
        <v>0</v>
      </c>
      <c r="BU127" s="47">
        <v>0</v>
      </c>
      <c r="BV127" s="47">
        <v>0</v>
      </c>
      <c r="BW127" s="47">
        <v>0</v>
      </c>
      <c r="BX127" s="47">
        <v>0</v>
      </c>
      <c r="BY127" s="47">
        <v>0</v>
      </c>
      <c r="BZ127" s="47">
        <v>0</v>
      </c>
      <c r="CA127" s="47">
        <v>0</v>
      </c>
      <c r="CB127" s="47">
        <v>0</v>
      </c>
      <c r="CC127" s="47">
        <v>0</v>
      </c>
      <c r="CD127" s="47">
        <v>0</v>
      </c>
      <c r="CE127" s="47">
        <v>0</v>
      </c>
      <c r="CF127" s="47">
        <v>0</v>
      </c>
      <c r="CG127" s="47">
        <v>0</v>
      </c>
      <c r="CH127" s="47">
        <v>0</v>
      </c>
      <c r="CI127" s="47">
        <v>0</v>
      </c>
      <c r="CJ127" s="47">
        <v>0</v>
      </c>
      <c r="CK127" s="47">
        <v>0</v>
      </c>
      <c r="CL127" s="47">
        <v>0</v>
      </c>
      <c r="CM127" s="47">
        <v>0</v>
      </c>
      <c r="CN127" s="47">
        <v>0</v>
      </c>
      <c r="CO127" s="47">
        <v>0</v>
      </c>
      <c r="CP127" s="47">
        <v>0</v>
      </c>
      <c r="CQ127" s="47">
        <v>0</v>
      </c>
      <c r="CR127" s="47">
        <v>0</v>
      </c>
      <c r="CS127" s="47">
        <v>0</v>
      </c>
      <c r="CT127" s="47">
        <v>0</v>
      </c>
      <c r="CU127" s="47">
        <v>0</v>
      </c>
      <c r="CV127" s="47">
        <v>0</v>
      </c>
      <c r="CW127" s="47">
        <v>0</v>
      </c>
      <c r="CX127" s="47">
        <v>0</v>
      </c>
      <c r="CY127" s="47">
        <v>0</v>
      </c>
      <c r="CZ127" s="47">
        <v>0</v>
      </c>
      <c r="DA127" s="47">
        <v>0</v>
      </c>
      <c r="DB127" s="47">
        <v>0</v>
      </c>
      <c r="DC127" s="47">
        <v>0</v>
      </c>
      <c r="DD127" s="47">
        <v>0</v>
      </c>
      <c r="DE127" s="47">
        <v>0</v>
      </c>
      <c r="DF127" s="47">
        <v>0</v>
      </c>
      <c r="DG127" s="47">
        <v>0</v>
      </c>
      <c r="DH127" s="47">
        <v>0</v>
      </c>
      <c r="DI127" s="47">
        <v>0</v>
      </c>
      <c r="DJ127" s="47">
        <v>0</v>
      </c>
      <c r="DK127" s="47">
        <v>0</v>
      </c>
      <c r="DL127" s="47">
        <v>0</v>
      </c>
      <c r="DM127" s="47">
        <v>0</v>
      </c>
      <c r="DN127" s="47">
        <v>0</v>
      </c>
      <c r="DO127" s="47">
        <v>0</v>
      </c>
      <c r="DP127" s="47">
        <v>0</v>
      </c>
      <c r="DQ127" s="47">
        <v>0</v>
      </c>
      <c r="DR127" s="47">
        <v>0</v>
      </c>
      <c r="DS127" s="47">
        <v>0</v>
      </c>
      <c r="DT127" s="47">
        <v>0</v>
      </c>
      <c r="DU127" s="47">
        <v>0</v>
      </c>
      <c r="DV127" s="47">
        <v>0</v>
      </c>
      <c r="DW127" s="47">
        <v>0</v>
      </c>
      <c r="DX127" s="47">
        <v>0</v>
      </c>
      <c r="DY127" s="47">
        <v>0</v>
      </c>
      <c r="DZ127" s="47"/>
      <c r="EA127" s="47">
        <v>1</v>
      </c>
      <c r="ZZ127" t="s">
        <v>1084</v>
      </c>
    </row>
    <row r="128" spans="1:702" x14ac:dyDescent="0.25">
      <c r="A128" s="47" t="s">
        <v>737</v>
      </c>
      <c r="B128" s="47" t="s">
        <v>151</v>
      </c>
      <c r="C128" s="47" t="s">
        <v>155</v>
      </c>
      <c r="D128" s="47" t="s">
        <v>1206</v>
      </c>
      <c r="E128" s="47" t="s">
        <v>738</v>
      </c>
      <c r="F128" s="47" t="s">
        <v>739</v>
      </c>
      <c r="G128" s="47" t="s">
        <v>740</v>
      </c>
      <c r="H128" s="47" t="s">
        <v>380</v>
      </c>
      <c r="I128" s="47" t="s">
        <v>381</v>
      </c>
      <c r="J128" s="47" t="str">
        <f>=IFERROR(VLOOKUP(H128&amp;I128,Table_Fonctions!A:G,6,FALSE),"")</f>
        <v>0</v>
      </c>
      <c r="K128" s="47" t="s">
        <v>1132</v>
      </c>
      <c r="L128" s="47" t="str">
        <f>=IFERROR(VLOOKUP(H128&amp;I128,Table_Fonctions!A:G,7,FALSE),K128)</f>
        <v/>
      </c>
      <c r="M128" s="47" t="str">
        <f>=IF(OR(LEFT(D128, 3)="TJ ", LEFT(D128, 4)="CPH "), "OUI", "NON")</f>
        <v/>
      </c>
      <c r="N128" s="47" t="s">
        <v>521</v>
      </c>
      <c r="O128" s="47"/>
      <c r="P128" s="47">
        <v>0.9</v>
      </c>
      <c r="Q128" s="47">
        <v>0.9</v>
      </c>
      <c r="R128" s="47">
        <v>0</v>
      </c>
      <c r="S128" s="47">
        <f>=ROUND(BQ128-(BR128+BS128),3)</f>
      </c>
      <c r="T128" s="47">
        <f>=ROUND(CK128-(CL128+CM128+CN128+CO128+CP128),3)</f>
      </c>
      <c r="U128" s="47">
        <v>0</v>
      </c>
      <c r="V128" s="47">
        <v>0</v>
      </c>
      <c r="W128" s="47">
        <v>0</v>
      </c>
      <c r="X128" s="47">
        <v>0</v>
      </c>
      <c r="Y128" s="47">
        <v>0</v>
      </c>
      <c r="Z128" s="47">
        <v>0</v>
      </c>
      <c r="AA128" s="47">
        <v>0</v>
      </c>
      <c r="AB128" s="47">
        <v>0</v>
      </c>
      <c r="AC128" s="47">
        <v>0</v>
      </c>
      <c r="AD128" s="47">
        <v>0</v>
      </c>
      <c r="AE128" s="47">
        <v>0</v>
      </c>
      <c r="AF128" s="47">
        <v>0</v>
      </c>
      <c r="AG128" s="47">
        <v>0</v>
      </c>
      <c r="AH128" s="47">
        <v>0</v>
      </c>
      <c r="AI128" s="47">
        <v>0</v>
      </c>
      <c r="AJ128" s="47">
        <v>0</v>
      </c>
      <c r="AK128" s="47">
        <v>0</v>
      </c>
      <c r="AL128" s="47">
        <v>0</v>
      </c>
      <c r="AM128" s="47">
        <v>0</v>
      </c>
      <c r="AN128" s="47">
        <v>0</v>
      </c>
      <c r="AO128" s="47">
        <v>0</v>
      </c>
      <c r="AP128" s="47">
        <v>0</v>
      </c>
      <c r="AQ128" s="47">
        <v>0</v>
      </c>
      <c r="AR128" s="47">
        <v>0</v>
      </c>
      <c r="AS128" s="47">
        <v>0</v>
      </c>
      <c r="AT128" s="47">
        <v>0</v>
      </c>
      <c r="AU128" s="47">
        <v>0</v>
      </c>
      <c r="AV128" s="47">
        <v>0</v>
      </c>
      <c r="AW128" s="47">
        <v>0</v>
      </c>
      <c r="AX128" s="47">
        <v>0</v>
      </c>
      <c r="AY128" s="47">
        <v>0</v>
      </c>
      <c r="AZ128" s="47">
        <v>0</v>
      </c>
      <c r="BA128" s="47">
        <v>0</v>
      </c>
      <c r="BB128" s="47">
        <v>0</v>
      </c>
      <c r="BC128" s="47">
        <v>0</v>
      </c>
      <c r="BD128" s="47">
        <v>0</v>
      </c>
      <c r="BE128" s="47">
        <v>0</v>
      </c>
      <c r="BF128" s="47">
        <v>0</v>
      </c>
      <c r="BG128" s="47">
        <v>0</v>
      </c>
      <c r="BH128" s="47">
        <v>0</v>
      </c>
      <c r="BI128" s="47">
        <v>0</v>
      </c>
      <c r="BJ128" s="47">
        <v>0</v>
      </c>
      <c r="BK128" s="47">
        <v>0</v>
      </c>
      <c r="BL128" s="47">
        <v>0</v>
      </c>
      <c r="BM128" s="47">
        <v>0</v>
      </c>
      <c r="BN128" s="47">
        <v>0</v>
      </c>
      <c r="BO128" s="47">
        <v>0</v>
      </c>
      <c r="BP128" s="47">
        <v>0</v>
      </c>
      <c r="BQ128" s="47">
        <v>0</v>
      </c>
      <c r="BR128" s="47">
        <v>0</v>
      </c>
      <c r="BS128" s="47">
        <v>0</v>
      </c>
      <c r="BT128" s="47">
        <v>0</v>
      </c>
      <c r="BU128" s="47">
        <v>0</v>
      </c>
      <c r="BV128" s="47">
        <v>0</v>
      </c>
      <c r="BW128" s="47">
        <v>0</v>
      </c>
      <c r="BX128" s="47">
        <v>0</v>
      </c>
      <c r="BY128" s="47">
        <v>0</v>
      </c>
      <c r="BZ128" s="47">
        <v>0</v>
      </c>
      <c r="CA128" s="47">
        <v>0</v>
      </c>
      <c r="CB128" s="47">
        <v>0</v>
      </c>
      <c r="CC128" s="47">
        <v>0</v>
      </c>
      <c r="CD128" s="47">
        <v>0</v>
      </c>
      <c r="CE128" s="47">
        <v>0</v>
      </c>
      <c r="CF128" s="47">
        <v>0</v>
      </c>
      <c r="CG128" s="47">
        <v>0</v>
      </c>
      <c r="CH128" s="47">
        <v>0</v>
      </c>
      <c r="CI128" s="47">
        <v>0</v>
      </c>
      <c r="CJ128" s="47">
        <v>0</v>
      </c>
      <c r="CK128" s="47">
        <v>0</v>
      </c>
      <c r="CL128" s="47">
        <v>0</v>
      </c>
      <c r="CM128" s="47">
        <v>0</v>
      </c>
      <c r="CN128" s="47">
        <v>0</v>
      </c>
      <c r="CO128" s="47">
        <v>0</v>
      </c>
      <c r="CP128" s="47">
        <v>0</v>
      </c>
      <c r="CQ128" s="47">
        <v>0.9</v>
      </c>
      <c r="CR128" s="47">
        <v>0</v>
      </c>
      <c r="CS128" s="47">
        <v>0</v>
      </c>
      <c r="CT128" s="47">
        <v>0</v>
      </c>
      <c r="CU128" s="47">
        <v>0</v>
      </c>
      <c r="CV128" s="47">
        <v>0</v>
      </c>
      <c r="CW128" s="47">
        <v>0</v>
      </c>
      <c r="CX128" s="47">
        <v>0</v>
      </c>
      <c r="CY128" s="47">
        <v>0</v>
      </c>
      <c r="CZ128" s="47">
        <v>0</v>
      </c>
      <c r="DA128" s="47">
        <v>0</v>
      </c>
      <c r="DB128" s="47">
        <v>0</v>
      </c>
      <c r="DC128" s="47">
        <v>0</v>
      </c>
      <c r="DD128" s="47">
        <v>0</v>
      </c>
      <c r="DE128" s="47">
        <v>0</v>
      </c>
      <c r="DF128" s="47">
        <v>0</v>
      </c>
      <c r="DG128" s="47">
        <v>0</v>
      </c>
      <c r="DH128" s="47">
        <v>0</v>
      </c>
      <c r="DI128" s="47">
        <v>0</v>
      </c>
      <c r="DJ128" s="47">
        <v>0</v>
      </c>
      <c r="DK128" s="47">
        <v>0</v>
      </c>
      <c r="DL128" s="47">
        <v>0</v>
      </c>
      <c r="DM128" s="47">
        <v>0</v>
      </c>
      <c r="DN128" s="47">
        <v>0</v>
      </c>
      <c r="DO128" s="47">
        <v>0</v>
      </c>
      <c r="DP128" s="47">
        <v>0</v>
      </c>
      <c r="DQ128" s="47">
        <v>0</v>
      </c>
      <c r="DR128" s="47">
        <v>0</v>
      </c>
      <c r="DS128" s="47">
        <v>0</v>
      </c>
      <c r="DT128" s="47">
        <v>0</v>
      </c>
      <c r="DU128" s="47">
        <v>0</v>
      </c>
      <c r="DV128" s="47">
        <v>0</v>
      </c>
      <c r="DW128" s="47">
        <v>0</v>
      </c>
      <c r="DX128" s="47">
        <v>0</v>
      </c>
      <c r="DY128" s="47">
        <v>0</v>
      </c>
      <c r="DZ128" s="47"/>
      <c r="EA128" s="47">
        <v>0.9</v>
      </c>
      <c r="ZZ128" t="s">
        <v>1084</v>
      </c>
    </row>
    <row r="129" spans="1:702" x14ac:dyDescent="0.25">
      <c r="A129" s="47" t="s">
        <v>741</v>
      </c>
      <c r="B129" s="47" t="s">
        <v>151</v>
      </c>
      <c r="C129" s="47" t="s">
        <v>155</v>
      </c>
      <c r="D129" s="47" t="s">
        <v>1207</v>
      </c>
      <c r="E129" s="47" t="s">
        <v>742</v>
      </c>
      <c r="F129" s="47" t="s">
        <v>743</v>
      </c>
      <c r="G129" s="47" t="s">
        <v>744</v>
      </c>
      <c r="H129" s="47" t="s">
        <v>380</v>
      </c>
      <c r="I129" s="47" t="s">
        <v>586</v>
      </c>
      <c r="J129" s="47" t="str">
        <f>=IFERROR(VLOOKUP(H129&amp;I129,Table_Fonctions!A:G,6,FALSE),"")</f>
        <v>0</v>
      </c>
      <c r="K129" s="47" t="s">
        <v>1132</v>
      </c>
      <c r="L129" s="47" t="str">
        <f>=IFERROR(VLOOKUP(H129&amp;I129,Table_Fonctions!A:G,7,FALSE),K129)</f>
        <v/>
      </c>
      <c r="M129" s="47" t="str">
        <f>=IF(OR(LEFT(D129, 3)="TJ ", LEFT(D129, 4)="CPH "), "OUI", "NON")</f>
        <v/>
      </c>
      <c r="N129" s="47" t="s">
        <v>681</v>
      </c>
      <c r="O129" s="47"/>
      <c r="P129" s="47">
        <v>0.6605</v>
      </c>
      <c r="Q129" s="47">
        <v>0.6605</v>
      </c>
      <c r="R129" s="47">
        <v>0</v>
      </c>
      <c r="S129" s="47">
        <f>=ROUND(BQ129-(BR129+BS129),3)</f>
      </c>
      <c r="T129" s="47">
        <f>=ROUND(CK129-(CL129+CM129+CN129+CO129+CP129),3)</f>
      </c>
      <c r="U129" s="47">
        <v>0</v>
      </c>
      <c r="V129" s="47">
        <v>0</v>
      </c>
      <c r="W129" s="47">
        <v>0</v>
      </c>
      <c r="X129" s="47">
        <v>0</v>
      </c>
      <c r="Y129" s="47">
        <v>0</v>
      </c>
      <c r="Z129" s="47">
        <v>0</v>
      </c>
      <c r="AA129" s="47">
        <v>0</v>
      </c>
      <c r="AB129" s="47">
        <v>0</v>
      </c>
      <c r="AC129" s="47">
        <v>0</v>
      </c>
      <c r="AD129" s="47">
        <v>0</v>
      </c>
      <c r="AE129" s="47">
        <v>0</v>
      </c>
      <c r="AF129" s="47">
        <v>0</v>
      </c>
      <c r="AG129" s="47">
        <v>0</v>
      </c>
      <c r="AH129" s="47">
        <v>0</v>
      </c>
      <c r="AI129" s="47">
        <v>0</v>
      </c>
      <c r="AJ129" s="47">
        <v>0.6605</v>
      </c>
      <c r="AK129" s="47">
        <v>0.6605</v>
      </c>
      <c r="AL129" s="47">
        <v>0</v>
      </c>
      <c r="AM129" s="47">
        <v>0</v>
      </c>
      <c r="AN129" s="47">
        <v>0</v>
      </c>
      <c r="AO129" s="47">
        <v>0</v>
      </c>
      <c r="AP129" s="47">
        <v>0</v>
      </c>
      <c r="AQ129" s="47">
        <v>0</v>
      </c>
      <c r="AR129" s="47">
        <v>0</v>
      </c>
      <c r="AS129" s="47">
        <v>0</v>
      </c>
      <c r="AT129" s="47">
        <v>0</v>
      </c>
      <c r="AU129" s="47">
        <v>0</v>
      </c>
      <c r="AV129" s="47">
        <v>0</v>
      </c>
      <c r="AW129" s="47">
        <v>0</v>
      </c>
      <c r="AX129" s="47">
        <v>0</v>
      </c>
      <c r="AY129" s="47">
        <v>0</v>
      </c>
      <c r="AZ129" s="47">
        <v>0</v>
      </c>
      <c r="BA129" s="47">
        <v>0</v>
      </c>
      <c r="BB129" s="47">
        <v>0</v>
      </c>
      <c r="BC129" s="47">
        <v>0</v>
      </c>
      <c r="BD129" s="47">
        <v>0</v>
      </c>
      <c r="BE129" s="47">
        <v>0</v>
      </c>
      <c r="BF129" s="47">
        <v>0</v>
      </c>
      <c r="BG129" s="47">
        <v>0</v>
      </c>
      <c r="BH129" s="47">
        <v>0</v>
      </c>
      <c r="BI129" s="47">
        <v>0</v>
      </c>
      <c r="BJ129" s="47">
        <v>0</v>
      </c>
      <c r="BK129" s="47">
        <v>0</v>
      </c>
      <c r="BL129" s="47">
        <v>0</v>
      </c>
      <c r="BM129" s="47">
        <v>0</v>
      </c>
      <c r="BN129" s="47">
        <v>0</v>
      </c>
      <c r="BO129" s="47">
        <v>0</v>
      </c>
      <c r="BP129" s="47">
        <v>0</v>
      </c>
      <c r="BQ129" s="47">
        <v>0</v>
      </c>
      <c r="BR129" s="47">
        <v>0</v>
      </c>
      <c r="BS129" s="47">
        <v>0</v>
      </c>
      <c r="BT129" s="47">
        <v>0</v>
      </c>
      <c r="BU129" s="47">
        <v>0</v>
      </c>
      <c r="BV129" s="47">
        <v>0</v>
      </c>
      <c r="BW129" s="47">
        <v>0</v>
      </c>
      <c r="BX129" s="47">
        <v>0</v>
      </c>
      <c r="BY129" s="47">
        <v>0</v>
      </c>
      <c r="BZ129" s="47">
        <v>0</v>
      </c>
      <c r="CA129" s="47">
        <v>0</v>
      </c>
      <c r="CB129" s="47">
        <v>0</v>
      </c>
      <c r="CC129" s="47">
        <v>0</v>
      </c>
      <c r="CD129" s="47">
        <v>0</v>
      </c>
      <c r="CE129" s="47">
        <v>0</v>
      </c>
      <c r="CF129" s="47">
        <v>0</v>
      </c>
      <c r="CG129" s="47">
        <v>0</v>
      </c>
      <c r="CH129" s="47">
        <v>0</v>
      </c>
      <c r="CI129" s="47">
        <v>0</v>
      </c>
      <c r="CJ129" s="47">
        <v>0</v>
      </c>
      <c r="CK129" s="47">
        <v>0</v>
      </c>
      <c r="CL129" s="47">
        <v>0</v>
      </c>
      <c r="CM129" s="47">
        <v>0</v>
      </c>
      <c r="CN129" s="47">
        <v>0</v>
      </c>
      <c r="CO129" s="47">
        <v>0</v>
      </c>
      <c r="CP129" s="47">
        <v>0</v>
      </c>
      <c r="CQ129" s="47">
        <v>0</v>
      </c>
      <c r="CR129" s="47">
        <v>0</v>
      </c>
      <c r="CS129" s="47">
        <v>0</v>
      </c>
      <c r="CT129" s="47">
        <v>0</v>
      </c>
      <c r="CU129" s="47">
        <v>0</v>
      </c>
      <c r="CV129" s="47">
        <v>0</v>
      </c>
      <c r="CW129" s="47">
        <v>0</v>
      </c>
      <c r="CX129" s="47">
        <v>0</v>
      </c>
      <c r="CY129" s="47">
        <v>0</v>
      </c>
      <c r="CZ129" s="47">
        <v>0</v>
      </c>
      <c r="DA129" s="47">
        <v>0</v>
      </c>
      <c r="DB129" s="47">
        <v>0</v>
      </c>
      <c r="DC129" s="47">
        <v>0</v>
      </c>
      <c r="DD129" s="47">
        <v>0</v>
      </c>
      <c r="DE129" s="47">
        <v>0</v>
      </c>
      <c r="DF129" s="47">
        <v>0</v>
      </c>
      <c r="DG129" s="47">
        <v>0</v>
      </c>
      <c r="DH129" s="47">
        <v>0</v>
      </c>
      <c r="DI129" s="47">
        <v>0</v>
      </c>
      <c r="DJ129" s="47">
        <v>0</v>
      </c>
      <c r="DK129" s="47">
        <v>0</v>
      </c>
      <c r="DL129" s="47">
        <v>0</v>
      </c>
      <c r="DM129" s="47">
        <v>0</v>
      </c>
      <c r="DN129" s="47">
        <v>0</v>
      </c>
      <c r="DO129" s="47">
        <v>0</v>
      </c>
      <c r="DP129" s="47">
        <v>0</v>
      </c>
      <c r="DQ129" s="47">
        <v>0</v>
      </c>
      <c r="DR129" s="47">
        <v>0</v>
      </c>
      <c r="DS129" s="47">
        <v>0</v>
      </c>
      <c r="DT129" s="47">
        <v>0</v>
      </c>
      <c r="DU129" s="47">
        <v>0</v>
      </c>
      <c r="DV129" s="47">
        <v>0</v>
      </c>
      <c r="DW129" s="47">
        <v>0</v>
      </c>
      <c r="DX129" s="47">
        <v>0</v>
      </c>
      <c r="DY129" s="47">
        <v>0</v>
      </c>
      <c r="DZ129" s="47"/>
      <c r="EA129" s="47">
        <v>0.6605</v>
      </c>
      <c r="ZZ129" t="s">
        <v>1084</v>
      </c>
    </row>
    <row r="130" spans="1:702" x14ac:dyDescent="0.25">
      <c r="A130" s="47" t="s">
        <v>745</v>
      </c>
      <c r="B130" s="47" t="s">
        <v>151</v>
      </c>
      <c r="C130" s="47" t="s">
        <v>155</v>
      </c>
      <c r="D130" s="47" t="s">
        <v>1208</v>
      </c>
      <c r="E130" s="47" t="s">
        <v>746</v>
      </c>
      <c r="F130" s="47" t="s">
        <v>747</v>
      </c>
      <c r="G130" s="47" t="s">
        <v>748</v>
      </c>
      <c r="H130" s="47" t="s">
        <v>380</v>
      </c>
      <c r="I130" s="47" t="s">
        <v>381</v>
      </c>
      <c r="J130" s="47" t="str">
        <f>=IFERROR(VLOOKUP(H130&amp;I130,Table_Fonctions!A:G,6,FALSE),"")</f>
        <v>0</v>
      </c>
      <c r="K130" s="47" t="s">
        <v>1132</v>
      </c>
      <c r="L130" s="47" t="str">
        <f>=IFERROR(VLOOKUP(H130&amp;I130,Table_Fonctions!A:G,7,FALSE),K130)</f>
        <v/>
      </c>
      <c r="M130" s="47" t="str">
        <f>=IF(OR(LEFT(D130, 3)="TJ ", LEFT(D130, 4)="CPH "), "OUI", "NON")</f>
        <v/>
      </c>
      <c r="N130" s="47" t="s">
        <v>455</v>
      </c>
      <c r="O130" s="47"/>
      <c r="P130" s="47">
        <v>0.8</v>
      </c>
      <c r="Q130" s="47">
        <v>0.8</v>
      </c>
      <c r="R130" s="47">
        <v>0</v>
      </c>
      <c r="S130" s="47">
        <f>=ROUND(BQ130-(BR130+BS130),3)</f>
      </c>
      <c r="T130" s="47">
        <f>=ROUND(CK130-(CL130+CM130+CN130+CO130+CP130),3)</f>
      </c>
      <c r="U130" s="47">
        <v>0</v>
      </c>
      <c r="V130" s="47">
        <v>0</v>
      </c>
      <c r="W130" s="47">
        <v>0</v>
      </c>
      <c r="X130" s="47">
        <v>0</v>
      </c>
      <c r="Y130" s="47">
        <v>0</v>
      </c>
      <c r="Z130" s="47">
        <v>0</v>
      </c>
      <c r="AA130" s="47">
        <v>0</v>
      </c>
      <c r="AB130" s="47">
        <v>0</v>
      </c>
      <c r="AC130" s="47">
        <v>0</v>
      </c>
      <c r="AD130" s="47">
        <v>0</v>
      </c>
      <c r="AE130" s="47">
        <v>0</v>
      </c>
      <c r="AF130" s="47">
        <v>0</v>
      </c>
      <c r="AG130" s="47">
        <v>0</v>
      </c>
      <c r="AH130" s="47">
        <v>0</v>
      </c>
      <c r="AI130" s="47">
        <v>0</v>
      </c>
      <c r="AJ130" s="47">
        <v>0</v>
      </c>
      <c r="AK130" s="47">
        <v>0</v>
      </c>
      <c r="AL130" s="47">
        <v>0</v>
      </c>
      <c r="AM130" s="47">
        <v>0</v>
      </c>
      <c r="AN130" s="47">
        <v>0</v>
      </c>
      <c r="AO130" s="47">
        <v>0</v>
      </c>
      <c r="AP130" s="47">
        <v>0</v>
      </c>
      <c r="AQ130" s="47">
        <v>0</v>
      </c>
      <c r="AR130" s="47">
        <v>0</v>
      </c>
      <c r="AS130" s="47">
        <v>0</v>
      </c>
      <c r="AT130" s="47">
        <v>0</v>
      </c>
      <c r="AU130" s="47">
        <v>0</v>
      </c>
      <c r="AV130" s="47">
        <v>0</v>
      </c>
      <c r="AW130" s="47">
        <v>0</v>
      </c>
      <c r="AX130" s="47">
        <v>0</v>
      </c>
      <c r="AY130" s="47">
        <v>0</v>
      </c>
      <c r="AZ130" s="47">
        <v>0</v>
      </c>
      <c r="BA130" s="47">
        <v>0</v>
      </c>
      <c r="BB130" s="47">
        <v>0</v>
      </c>
      <c r="BC130" s="47">
        <v>0</v>
      </c>
      <c r="BD130" s="47">
        <v>0</v>
      </c>
      <c r="BE130" s="47">
        <v>0</v>
      </c>
      <c r="BF130" s="47">
        <v>0</v>
      </c>
      <c r="BG130" s="47">
        <v>0</v>
      </c>
      <c r="BH130" s="47">
        <v>0</v>
      </c>
      <c r="BI130" s="47">
        <v>0</v>
      </c>
      <c r="BJ130" s="47">
        <v>0</v>
      </c>
      <c r="BK130" s="47">
        <v>0</v>
      </c>
      <c r="BL130" s="47">
        <v>0</v>
      </c>
      <c r="BM130" s="47">
        <v>0</v>
      </c>
      <c r="BN130" s="47">
        <v>0</v>
      </c>
      <c r="BO130" s="47">
        <v>0</v>
      </c>
      <c r="BP130" s="47">
        <v>0</v>
      </c>
      <c r="BQ130" s="47">
        <v>0</v>
      </c>
      <c r="BR130" s="47">
        <v>0</v>
      </c>
      <c r="BS130" s="47">
        <v>0</v>
      </c>
      <c r="BT130" s="47">
        <v>0.8</v>
      </c>
      <c r="BU130" s="47">
        <v>0</v>
      </c>
      <c r="BV130" s="47">
        <v>0</v>
      </c>
      <c r="BW130" s="47">
        <v>0</v>
      </c>
      <c r="BX130" s="47">
        <v>0</v>
      </c>
      <c r="BY130" s="47">
        <v>0</v>
      </c>
      <c r="BZ130" s="47">
        <v>0</v>
      </c>
      <c r="CA130" s="47">
        <v>0</v>
      </c>
      <c r="CB130" s="47">
        <v>0</v>
      </c>
      <c r="CC130" s="47">
        <v>0</v>
      </c>
      <c r="CD130" s="47">
        <v>0</v>
      </c>
      <c r="CE130" s="47">
        <v>0</v>
      </c>
      <c r="CF130" s="47">
        <v>0</v>
      </c>
      <c r="CG130" s="47">
        <v>0</v>
      </c>
      <c r="CH130" s="47">
        <v>0</v>
      </c>
      <c r="CI130" s="47">
        <v>0</v>
      </c>
      <c r="CJ130" s="47">
        <v>0</v>
      </c>
      <c r="CK130" s="47">
        <v>0</v>
      </c>
      <c r="CL130" s="47">
        <v>0</v>
      </c>
      <c r="CM130" s="47">
        <v>0</v>
      </c>
      <c r="CN130" s="47">
        <v>0</v>
      </c>
      <c r="CO130" s="47">
        <v>0</v>
      </c>
      <c r="CP130" s="47">
        <v>0</v>
      </c>
      <c r="CQ130" s="47">
        <v>0</v>
      </c>
      <c r="CR130" s="47">
        <v>0</v>
      </c>
      <c r="CS130" s="47">
        <v>0</v>
      </c>
      <c r="CT130" s="47">
        <v>0</v>
      </c>
      <c r="CU130" s="47">
        <v>0</v>
      </c>
      <c r="CV130" s="47">
        <v>0</v>
      </c>
      <c r="CW130" s="47">
        <v>0</v>
      </c>
      <c r="CX130" s="47">
        <v>0</v>
      </c>
      <c r="CY130" s="47">
        <v>0</v>
      </c>
      <c r="CZ130" s="47">
        <v>0</v>
      </c>
      <c r="DA130" s="47">
        <v>0</v>
      </c>
      <c r="DB130" s="47">
        <v>0</v>
      </c>
      <c r="DC130" s="47">
        <v>0</v>
      </c>
      <c r="DD130" s="47">
        <v>0</v>
      </c>
      <c r="DE130" s="47">
        <v>0</v>
      </c>
      <c r="DF130" s="47">
        <v>0</v>
      </c>
      <c r="DG130" s="47">
        <v>0</v>
      </c>
      <c r="DH130" s="47">
        <v>0</v>
      </c>
      <c r="DI130" s="47">
        <v>0</v>
      </c>
      <c r="DJ130" s="47">
        <v>0</v>
      </c>
      <c r="DK130" s="47">
        <v>0</v>
      </c>
      <c r="DL130" s="47">
        <v>0</v>
      </c>
      <c r="DM130" s="47">
        <v>0</v>
      </c>
      <c r="DN130" s="47">
        <v>0</v>
      </c>
      <c r="DO130" s="47">
        <v>0</v>
      </c>
      <c r="DP130" s="47">
        <v>0</v>
      </c>
      <c r="DQ130" s="47">
        <v>0</v>
      </c>
      <c r="DR130" s="47">
        <v>0</v>
      </c>
      <c r="DS130" s="47">
        <v>0</v>
      </c>
      <c r="DT130" s="47">
        <v>0</v>
      </c>
      <c r="DU130" s="47">
        <v>0</v>
      </c>
      <c r="DV130" s="47">
        <v>0</v>
      </c>
      <c r="DW130" s="47">
        <v>0</v>
      </c>
      <c r="DX130" s="47">
        <v>0</v>
      </c>
      <c r="DY130" s="47">
        <v>0</v>
      </c>
      <c r="DZ130" s="47"/>
      <c r="EA130" s="47">
        <v>0.8</v>
      </c>
      <c r="ZZ130" t="s">
        <v>1084</v>
      </c>
    </row>
    <row r="131" spans="1:702" x14ac:dyDescent="0.25">
      <c r="A131" s="47" t="s">
        <v>749</v>
      </c>
      <c r="B131" s="47" t="s">
        <v>151</v>
      </c>
      <c r="C131" s="47" t="s">
        <v>155</v>
      </c>
      <c r="D131" s="47" t="s">
        <v>1209</v>
      </c>
      <c r="E131" s="47" t="s">
        <v>750</v>
      </c>
      <c r="F131" s="47" t="s">
        <v>751</v>
      </c>
      <c r="G131" s="47" t="s">
        <v>752</v>
      </c>
      <c r="H131" s="47" t="s">
        <v>380</v>
      </c>
      <c r="I131" s="47" t="s">
        <v>411</v>
      </c>
      <c r="J131" s="47" t="str">
        <f>=IFERROR(VLOOKUP(H131&amp;I131,Table_Fonctions!A:G,6,FALSE),"")</f>
        <v>0</v>
      </c>
      <c r="K131" s="47" t="s">
        <v>1132</v>
      </c>
      <c r="L131" s="47" t="str">
        <f>=IFERROR(VLOOKUP(H131&amp;I131,Table_Fonctions!A:G,7,FALSE),K131)</f>
        <v/>
      </c>
      <c r="M131" s="47" t="str">
        <f>=IF(OR(LEFT(D131, 3)="TJ ", LEFT(D131, 4)="CPH "), "OUI", "NON")</f>
        <v/>
      </c>
      <c r="N131" s="47" t="s">
        <v>753</v>
      </c>
      <c r="O131" s="47"/>
      <c r="P131" s="47">
        <v>1</v>
      </c>
      <c r="Q131" s="47">
        <v>1</v>
      </c>
      <c r="R131" s="47">
        <v>0</v>
      </c>
      <c r="S131" s="47">
        <f>=ROUND(BQ131-(BR131+BS131),3)</f>
      </c>
      <c r="T131" s="47">
        <f>=ROUND(CK131-(CL131+CM131+CN131+CO131+CP131),3)</f>
      </c>
      <c r="U131" s="47">
        <v>0</v>
      </c>
      <c r="V131" s="47">
        <v>0</v>
      </c>
      <c r="W131" s="47">
        <v>0</v>
      </c>
      <c r="X131" s="47">
        <v>0</v>
      </c>
      <c r="Y131" s="47">
        <v>0</v>
      </c>
      <c r="Z131" s="47">
        <v>0</v>
      </c>
      <c r="AA131" s="47">
        <v>0</v>
      </c>
      <c r="AB131" s="47">
        <v>0</v>
      </c>
      <c r="AC131" s="47">
        <v>0</v>
      </c>
      <c r="AD131" s="47">
        <v>0</v>
      </c>
      <c r="AE131" s="47">
        <v>0</v>
      </c>
      <c r="AF131" s="47">
        <v>0</v>
      </c>
      <c r="AG131" s="47">
        <v>0</v>
      </c>
      <c r="AH131" s="47">
        <v>0</v>
      </c>
      <c r="AI131" s="47">
        <v>0</v>
      </c>
      <c r="AJ131" s="47">
        <v>0</v>
      </c>
      <c r="AK131" s="47">
        <v>0</v>
      </c>
      <c r="AL131" s="47">
        <v>0</v>
      </c>
      <c r="AM131" s="47">
        <v>0</v>
      </c>
      <c r="AN131" s="47">
        <v>0</v>
      </c>
      <c r="AO131" s="47">
        <v>0</v>
      </c>
      <c r="AP131" s="47">
        <v>0</v>
      </c>
      <c r="AQ131" s="47">
        <v>0</v>
      </c>
      <c r="AR131" s="47">
        <v>0</v>
      </c>
      <c r="AS131" s="47">
        <v>0</v>
      </c>
      <c r="AT131" s="47">
        <v>0</v>
      </c>
      <c r="AU131" s="47">
        <v>0</v>
      </c>
      <c r="AV131" s="47">
        <v>0</v>
      </c>
      <c r="AW131" s="47">
        <v>0</v>
      </c>
      <c r="AX131" s="47">
        <v>0</v>
      </c>
      <c r="AY131" s="47">
        <v>0</v>
      </c>
      <c r="AZ131" s="47">
        <v>0</v>
      </c>
      <c r="BA131" s="47">
        <v>0</v>
      </c>
      <c r="BB131" s="47">
        <v>0</v>
      </c>
      <c r="BC131" s="47">
        <v>0</v>
      </c>
      <c r="BD131" s="47">
        <v>0</v>
      </c>
      <c r="BE131" s="47">
        <v>0</v>
      </c>
      <c r="BF131" s="47">
        <v>0</v>
      </c>
      <c r="BG131" s="47">
        <v>0</v>
      </c>
      <c r="BH131" s="47">
        <v>0</v>
      </c>
      <c r="BI131" s="47">
        <v>0</v>
      </c>
      <c r="BJ131" s="47">
        <v>0</v>
      </c>
      <c r="BK131" s="47">
        <v>0</v>
      </c>
      <c r="BL131" s="47">
        <v>0</v>
      </c>
      <c r="BM131" s="47">
        <v>0</v>
      </c>
      <c r="BN131" s="47">
        <v>0</v>
      </c>
      <c r="BO131" s="47">
        <v>0</v>
      </c>
      <c r="BP131" s="47">
        <v>0</v>
      </c>
      <c r="BQ131" s="47">
        <v>0</v>
      </c>
      <c r="BR131" s="47">
        <v>0</v>
      </c>
      <c r="BS131" s="47">
        <v>0</v>
      </c>
      <c r="BT131" s="47">
        <v>0</v>
      </c>
      <c r="BU131" s="47">
        <v>0</v>
      </c>
      <c r="BV131" s="47">
        <v>0</v>
      </c>
      <c r="BW131" s="47">
        <v>0</v>
      </c>
      <c r="BX131" s="47">
        <v>0</v>
      </c>
      <c r="BY131" s="47">
        <v>0</v>
      </c>
      <c r="BZ131" s="47">
        <v>0</v>
      </c>
      <c r="CA131" s="47">
        <v>0</v>
      </c>
      <c r="CB131" s="47">
        <v>0</v>
      </c>
      <c r="CC131" s="47">
        <v>0</v>
      </c>
      <c r="CD131" s="47">
        <v>0</v>
      </c>
      <c r="CE131" s="47">
        <v>0</v>
      </c>
      <c r="CF131" s="47">
        <v>0</v>
      </c>
      <c r="CG131" s="47">
        <v>0</v>
      </c>
      <c r="CH131" s="47">
        <v>0</v>
      </c>
      <c r="CI131" s="47">
        <v>0</v>
      </c>
      <c r="CJ131" s="47">
        <v>0</v>
      </c>
      <c r="CK131" s="47">
        <v>0</v>
      </c>
      <c r="CL131" s="47">
        <v>0</v>
      </c>
      <c r="CM131" s="47">
        <v>0</v>
      </c>
      <c r="CN131" s="47">
        <v>0</v>
      </c>
      <c r="CO131" s="47">
        <v>0</v>
      </c>
      <c r="CP131" s="47">
        <v>0</v>
      </c>
      <c r="CQ131" s="47">
        <v>0</v>
      </c>
      <c r="CR131" s="47">
        <v>0</v>
      </c>
      <c r="CS131" s="47">
        <v>0</v>
      </c>
      <c r="CT131" s="47">
        <v>0</v>
      </c>
      <c r="CU131" s="47">
        <v>0</v>
      </c>
      <c r="CV131" s="47">
        <v>0</v>
      </c>
      <c r="CW131" s="47">
        <v>0</v>
      </c>
      <c r="CX131" s="47">
        <v>0</v>
      </c>
      <c r="CY131" s="47">
        <v>1</v>
      </c>
      <c r="CZ131" s="47">
        <v>1</v>
      </c>
      <c r="DA131" s="47">
        <v>0</v>
      </c>
      <c r="DB131" s="47">
        <v>0</v>
      </c>
      <c r="DC131" s="47">
        <v>0</v>
      </c>
      <c r="DD131" s="47">
        <v>0</v>
      </c>
      <c r="DE131" s="47">
        <v>0</v>
      </c>
      <c r="DF131" s="47">
        <v>0</v>
      </c>
      <c r="DG131" s="47">
        <v>0</v>
      </c>
      <c r="DH131" s="47">
        <v>0</v>
      </c>
      <c r="DI131" s="47">
        <v>0</v>
      </c>
      <c r="DJ131" s="47">
        <v>0</v>
      </c>
      <c r="DK131" s="47">
        <v>0</v>
      </c>
      <c r="DL131" s="47">
        <v>0</v>
      </c>
      <c r="DM131" s="47">
        <v>0</v>
      </c>
      <c r="DN131" s="47">
        <v>0</v>
      </c>
      <c r="DO131" s="47">
        <v>0</v>
      </c>
      <c r="DP131" s="47">
        <v>0</v>
      </c>
      <c r="DQ131" s="47">
        <v>0</v>
      </c>
      <c r="DR131" s="47">
        <v>0</v>
      </c>
      <c r="DS131" s="47">
        <v>0</v>
      </c>
      <c r="DT131" s="47">
        <v>0</v>
      </c>
      <c r="DU131" s="47">
        <v>1</v>
      </c>
      <c r="DV131" s="47">
        <v>0</v>
      </c>
      <c r="DW131" s="47">
        <v>0</v>
      </c>
      <c r="DX131" s="47">
        <v>0</v>
      </c>
      <c r="DY131" s="47">
        <v>1</v>
      </c>
      <c r="DZ131" s="47"/>
      <c r="EA131" s="47">
        <v>1</v>
      </c>
      <c r="ZZ131" t="s">
        <v>1084</v>
      </c>
    </row>
    <row r="132" spans="1:702" x14ac:dyDescent="0.25">
      <c r="A132" s="47" t="s">
        <v>754</v>
      </c>
      <c r="B132" s="47" t="s">
        <v>151</v>
      </c>
      <c r="C132" s="47" t="s">
        <v>155</v>
      </c>
      <c r="D132" s="47" t="s">
        <v>1210</v>
      </c>
      <c r="E132" s="47" t="s">
        <v>755</v>
      </c>
      <c r="F132" s="47" t="s">
        <v>756</v>
      </c>
      <c r="G132" s="47" t="s">
        <v>757</v>
      </c>
      <c r="H132" s="47" t="s">
        <v>380</v>
      </c>
      <c r="I132" s="47" t="s">
        <v>381</v>
      </c>
      <c r="J132" s="47" t="str">
        <f>=IFERROR(VLOOKUP(H132&amp;I132,Table_Fonctions!A:G,6,FALSE),"")</f>
        <v>0</v>
      </c>
      <c r="K132" s="47" t="s">
        <v>1132</v>
      </c>
      <c r="L132" s="47" t="str">
        <f>=IFERROR(VLOOKUP(H132&amp;I132,Table_Fonctions!A:G,7,FALSE),K132)</f>
        <v/>
      </c>
      <c r="M132" s="47" t="str">
        <f>=IF(OR(LEFT(D132, 3)="TJ ", LEFT(D132, 4)="CPH "), "OUI", "NON")</f>
        <v/>
      </c>
      <c r="N132" s="47" t="s">
        <v>386</v>
      </c>
      <c r="O132" s="47"/>
      <c r="P132" s="47">
        <v>1</v>
      </c>
      <c r="Q132" s="47">
        <v>0</v>
      </c>
      <c r="R132" s="47">
        <v>1</v>
      </c>
      <c r="S132" s="47">
        <f>=ROUND(BQ132-(BR132+BS132),3)</f>
      </c>
      <c r="T132" s="47">
        <f>=ROUND(CK132-(CL132+CM132+CN132+CO132+CP132),3)</f>
      </c>
      <c r="U132" s="47">
        <v>0</v>
      </c>
      <c r="V132" s="47">
        <v>0</v>
      </c>
      <c r="W132" s="47">
        <v>0</v>
      </c>
      <c r="X132" s="47">
        <v>0</v>
      </c>
      <c r="Y132" s="47">
        <v>0</v>
      </c>
      <c r="Z132" s="47">
        <v>0</v>
      </c>
      <c r="AA132" s="47">
        <v>0</v>
      </c>
      <c r="AB132" s="47">
        <v>0</v>
      </c>
      <c r="AC132" s="47">
        <v>0</v>
      </c>
      <c r="AD132" s="47">
        <v>0</v>
      </c>
      <c r="AE132" s="47">
        <v>0</v>
      </c>
      <c r="AF132" s="47">
        <v>0</v>
      </c>
      <c r="AG132" s="47">
        <v>0</v>
      </c>
      <c r="AH132" s="47">
        <v>0</v>
      </c>
      <c r="AI132" s="47">
        <v>0</v>
      </c>
      <c r="AJ132" s="47">
        <v>0</v>
      </c>
      <c r="AK132" s="47">
        <v>0</v>
      </c>
      <c r="AL132" s="47">
        <v>0</v>
      </c>
      <c r="AM132" s="47">
        <v>0</v>
      </c>
      <c r="AN132" s="47">
        <v>0</v>
      </c>
      <c r="AO132" s="47">
        <v>0</v>
      </c>
      <c r="AP132" s="47">
        <v>0</v>
      </c>
      <c r="AQ132" s="47">
        <v>0</v>
      </c>
      <c r="AR132" s="47">
        <v>0</v>
      </c>
      <c r="AS132" s="47">
        <v>0</v>
      </c>
      <c r="AT132" s="47">
        <v>0</v>
      </c>
      <c r="AU132" s="47">
        <v>0</v>
      </c>
      <c r="AV132" s="47">
        <v>0</v>
      </c>
      <c r="AW132" s="47">
        <v>0</v>
      </c>
      <c r="AX132" s="47">
        <v>0</v>
      </c>
      <c r="AY132" s="47">
        <v>0</v>
      </c>
      <c r="AZ132" s="47">
        <v>0</v>
      </c>
      <c r="BA132" s="47">
        <v>0</v>
      </c>
      <c r="BB132" s="47">
        <v>0</v>
      </c>
      <c r="BC132" s="47">
        <v>0</v>
      </c>
      <c r="BD132" s="47">
        <v>0</v>
      </c>
      <c r="BE132" s="47">
        <v>0</v>
      </c>
      <c r="BF132" s="47">
        <v>0</v>
      </c>
      <c r="BG132" s="47">
        <v>0</v>
      </c>
      <c r="BH132" s="47">
        <v>0</v>
      </c>
      <c r="BI132" s="47">
        <v>0</v>
      </c>
      <c r="BJ132" s="47">
        <v>0</v>
      </c>
      <c r="BK132" s="47">
        <v>0</v>
      </c>
      <c r="BL132" s="47">
        <v>0</v>
      </c>
      <c r="BM132" s="47">
        <v>0</v>
      </c>
      <c r="BN132" s="47">
        <v>0</v>
      </c>
      <c r="BO132" s="47">
        <v>0</v>
      </c>
      <c r="BP132" s="47">
        <v>0</v>
      </c>
      <c r="BQ132" s="47">
        <v>0</v>
      </c>
      <c r="BR132" s="47">
        <v>0</v>
      </c>
      <c r="BS132" s="47">
        <v>0</v>
      </c>
      <c r="BT132" s="47">
        <v>0</v>
      </c>
      <c r="BU132" s="47">
        <v>0</v>
      </c>
      <c r="BV132" s="47">
        <v>0</v>
      </c>
      <c r="BW132" s="47">
        <v>0</v>
      </c>
      <c r="BX132" s="47">
        <v>0</v>
      </c>
      <c r="BY132" s="47">
        <v>0</v>
      </c>
      <c r="BZ132" s="47">
        <v>0</v>
      </c>
      <c r="CA132" s="47">
        <v>0</v>
      </c>
      <c r="CB132" s="47">
        <v>0</v>
      </c>
      <c r="CC132" s="47">
        <v>0</v>
      </c>
      <c r="CD132" s="47">
        <v>0</v>
      </c>
      <c r="CE132" s="47">
        <v>0</v>
      </c>
      <c r="CF132" s="47">
        <v>0</v>
      </c>
      <c r="CG132" s="47">
        <v>0</v>
      </c>
      <c r="CH132" s="47">
        <v>0</v>
      </c>
      <c r="CI132" s="47">
        <v>0</v>
      </c>
      <c r="CJ132" s="47">
        <v>0</v>
      </c>
      <c r="CK132" s="47">
        <v>0</v>
      </c>
      <c r="CL132" s="47">
        <v>0</v>
      </c>
      <c r="CM132" s="47">
        <v>0</v>
      </c>
      <c r="CN132" s="47">
        <v>0</v>
      </c>
      <c r="CO132" s="47">
        <v>0</v>
      </c>
      <c r="CP132" s="47">
        <v>0</v>
      </c>
      <c r="CQ132" s="47">
        <v>0</v>
      </c>
      <c r="CR132" s="47">
        <v>0</v>
      </c>
      <c r="CS132" s="47">
        <v>0</v>
      </c>
      <c r="CT132" s="47">
        <v>0</v>
      </c>
      <c r="CU132" s="47">
        <v>0</v>
      </c>
      <c r="CV132" s="47">
        <v>0</v>
      </c>
      <c r="CW132" s="47">
        <v>0</v>
      </c>
      <c r="CX132" s="47">
        <v>0</v>
      </c>
      <c r="CY132" s="47">
        <v>0</v>
      </c>
      <c r="CZ132" s="47">
        <v>0</v>
      </c>
      <c r="DA132" s="47">
        <v>0</v>
      </c>
      <c r="DB132" s="47">
        <v>0</v>
      </c>
      <c r="DC132" s="47">
        <v>0</v>
      </c>
      <c r="DD132" s="47">
        <v>0</v>
      </c>
      <c r="DE132" s="47">
        <v>0</v>
      </c>
      <c r="DF132" s="47">
        <v>0</v>
      </c>
      <c r="DG132" s="47">
        <v>0</v>
      </c>
      <c r="DH132" s="47">
        <v>0</v>
      </c>
      <c r="DI132" s="47">
        <v>0</v>
      </c>
      <c r="DJ132" s="47">
        <v>0</v>
      </c>
      <c r="DK132" s="47">
        <v>0</v>
      </c>
      <c r="DL132" s="47">
        <v>0</v>
      </c>
      <c r="DM132" s="47">
        <v>0</v>
      </c>
      <c r="DN132" s="47">
        <v>0</v>
      </c>
      <c r="DO132" s="47">
        <v>0</v>
      </c>
      <c r="DP132" s="47">
        <v>0</v>
      </c>
      <c r="DQ132" s="47">
        <v>0</v>
      </c>
      <c r="DR132" s="47">
        <v>0</v>
      </c>
      <c r="DS132" s="47">
        <v>0</v>
      </c>
      <c r="DT132" s="47">
        <v>0</v>
      </c>
      <c r="DU132" s="47">
        <v>0</v>
      </c>
      <c r="DV132" s="47">
        <v>0</v>
      </c>
      <c r="DW132" s="47">
        <v>0</v>
      </c>
      <c r="DX132" s="47">
        <v>0</v>
      </c>
      <c r="DY132" s="47">
        <v>0</v>
      </c>
      <c r="DZ132" s="47"/>
      <c r="EA132" s="47">
        <v>1</v>
      </c>
      <c r="ZZ132" t="s">
        <v>1084</v>
      </c>
    </row>
    <row r="133" spans="1:702" x14ac:dyDescent="0.25">
      <c r="A133" s="47" t="s">
        <v>758</v>
      </c>
      <c r="B133" s="47" t="s">
        <v>151</v>
      </c>
      <c r="C133" s="47" t="s">
        <v>155</v>
      </c>
      <c r="D133" s="47" t="s">
        <v>1211</v>
      </c>
      <c r="E133" s="47" t="s">
        <v>759</v>
      </c>
      <c r="F133" s="47" t="s">
        <v>760</v>
      </c>
      <c r="G133" s="47" t="s">
        <v>761</v>
      </c>
      <c r="H133" s="47" t="s">
        <v>380</v>
      </c>
      <c r="I133" s="47" t="s">
        <v>381</v>
      </c>
      <c r="J133" s="47" t="str">
        <f>=IFERROR(VLOOKUP(H133&amp;I133,Table_Fonctions!A:G,6,FALSE),"")</f>
        <v>0</v>
      </c>
      <c r="K133" s="47" t="s">
        <v>1132</v>
      </c>
      <c r="L133" s="47" t="str">
        <f>=IFERROR(VLOOKUP(H133&amp;I133,Table_Fonctions!A:G,7,FALSE),K133)</f>
        <v/>
      </c>
      <c r="M133" s="47" t="str">
        <f>=IF(OR(LEFT(D133, 3)="TJ ", LEFT(D133, 4)="CPH "), "OUI", "NON")</f>
        <v/>
      </c>
      <c r="N133" s="47" t="s">
        <v>208</v>
      </c>
      <c r="O133" s="47"/>
      <c r="P133" s="47">
        <v>0.8</v>
      </c>
      <c r="Q133" s="47">
        <v>0.0832</v>
      </c>
      <c r="R133" s="47">
        <v>0.7168</v>
      </c>
      <c r="S133" s="47">
        <f>=ROUND(BQ133-(BR133+BS133),3)</f>
      </c>
      <c r="T133" s="47">
        <f>=ROUND(CK133-(CL133+CM133+CN133+CO133+CP133),3)</f>
      </c>
      <c r="U133" s="47">
        <v>0</v>
      </c>
      <c r="V133" s="47">
        <v>0</v>
      </c>
      <c r="W133" s="47">
        <v>0</v>
      </c>
      <c r="X133" s="47">
        <v>0</v>
      </c>
      <c r="Y133" s="47">
        <v>0</v>
      </c>
      <c r="Z133" s="47">
        <v>0</v>
      </c>
      <c r="AA133" s="47">
        <v>0</v>
      </c>
      <c r="AB133" s="47">
        <v>0</v>
      </c>
      <c r="AC133" s="47">
        <v>0</v>
      </c>
      <c r="AD133" s="47">
        <v>0</v>
      </c>
      <c r="AE133" s="47">
        <v>0</v>
      </c>
      <c r="AF133" s="47">
        <v>0</v>
      </c>
      <c r="AG133" s="47">
        <v>0</v>
      </c>
      <c r="AH133" s="47">
        <v>0</v>
      </c>
      <c r="AI133" s="47">
        <v>0</v>
      </c>
      <c r="AJ133" s="47">
        <v>0</v>
      </c>
      <c r="AK133" s="47">
        <v>0</v>
      </c>
      <c r="AL133" s="47">
        <v>0</v>
      </c>
      <c r="AM133" s="47">
        <v>0</v>
      </c>
      <c r="AN133" s="47">
        <v>0</v>
      </c>
      <c r="AO133" s="47">
        <v>0</v>
      </c>
      <c r="AP133" s="47">
        <v>0</v>
      </c>
      <c r="AQ133" s="47">
        <v>0</v>
      </c>
      <c r="AR133" s="47">
        <v>0</v>
      </c>
      <c r="AS133" s="47">
        <v>0</v>
      </c>
      <c r="AT133" s="47">
        <v>0</v>
      </c>
      <c r="AU133" s="47">
        <v>0</v>
      </c>
      <c r="AV133" s="47">
        <v>0</v>
      </c>
      <c r="AW133" s="47">
        <v>0</v>
      </c>
      <c r="AX133" s="47">
        <v>0</v>
      </c>
      <c r="AY133" s="47">
        <v>0</v>
      </c>
      <c r="AZ133" s="47">
        <v>0</v>
      </c>
      <c r="BA133" s="47">
        <v>0</v>
      </c>
      <c r="BB133" s="47">
        <v>0</v>
      </c>
      <c r="BC133" s="47">
        <v>0</v>
      </c>
      <c r="BD133" s="47">
        <v>0</v>
      </c>
      <c r="BE133" s="47">
        <v>0</v>
      </c>
      <c r="BF133" s="47">
        <v>0</v>
      </c>
      <c r="BG133" s="47">
        <v>0</v>
      </c>
      <c r="BH133" s="47">
        <v>0</v>
      </c>
      <c r="BI133" s="47">
        <v>0</v>
      </c>
      <c r="BJ133" s="47">
        <v>0</v>
      </c>
      <c r="BK133" s="47">
        <v>0</v>
      </c>
      <c r="BL133" s="47">
        <v>0</v>
      </c>
      <c r="BM133" s="47">
        <v>0</v>
      </c>
      <c r="BN133" s="47">
        <v>0</v>
      </c>
      <c r="BO133" s="47">
        <v>0</v>
      </c>
      <c r="BP133" s="47">
        <v>0</v>
      </c>
      <c r="BQ133" s="47">
        <v>0</v>
      </c>
      <c r="BR133" s="47">
        <v>0</v>
      </c>
      <c r="BS133" s="47">
        <v>0</v>
      </c>
      <c r="BT133" s="47">
        <v>0</v>
      </c>
      <c r="BU133" s="47">
        <v>0</v>
      </c>
      <c r="BV133" s="47">
        <v>0</v>
      </c>
      <c r="BW133" s="47">
        <v>0</v>
      </c>
      <c r="BX133" s="47">
        <v>0</v>
      </c>
      <c r="BY133" s="47">
        <v>0</v>
      </c>
      <c r="BZ133" s="47">
        <v>0</v>
      </c>
      <c r="CA133" s="47">
        <v>0</v>
      </c>
      <c r="CB133" s="47">
        <v>0</v>
      </c>
      <c r="CC133" s="47">
        <v>0</v>
      </c>
      <c r="CD133" s="47">
        <v>0</v>
      </c>
      <c r="CE133" s="47">
        <v>0</v>
      </c>
      <c r="CF133" s="47">
        <v>0</v>
      </c>
      <c r="CG133" s="47">
        <v>0</v>
      </c>
      <c r="CH133" s="47">
        <v>0</v>
      </c>
      <c r="CI133" s="47">
        <v>0</v>
      </c>
      <c r="CJ133" s="47">
        <v>0</v>
      </c>
      <c r="CK133" s="47">
        <v>0</v>
      </c>
      <c r="CL133" s="47">
        <v>0</v>
      </c>
      <c r="CM133" s="47">
        <v>0</v>
      </c>
      <c r="CN133" s="47">
        <v>0</v>
      </c>
      <c r="CO133" s="47">
        <v>0</v>
      </c>
      <c r="CP133" s="47">
        <v>0</v>
      </c>
      <c r="CQ133" s="47">
        <v>0</v>
      </c>
      <c r="CR133" s="47">
        <v>0</v>
      </c>
      <c r="CS133" s="47">
        <v>0</v>
      </c>
      <c r="CT133" s="47">
        <v>0</v>
      </c>
      <c r="CU133" s="47">
        <v>0</v>
      </c>
      <c r="CV133" s="47">
        <v>0</v>
      </c>
      <c r="CW133" s="47">
        <v>0</v>
      </c>
      <c r="CX133" s="47">
        <v>0</v>
      </c>
      <c r="CY133" s="47">
        <v>0.0832</v>
      </c>
      <c r="CZ133" s="47">
        <v>0</v>
      </c>
      <c r="DA133" s="47">
        <v>0.0032</v>
      </c>
      <c r="DB133" s="47">
        <v>0</v>
      </c>
      <c r="DC133" s="47">
        <v>0</v>
      </c>
      <c r="DD133" s="47">
        <v>0</v>
      </c>
      <c r="DE133" s="47">
        <v>0.08</v>
      </c>
      <c r="DF133" s="47">
        <v>0</v>
      </c>
      <c r="DG133" s="47">
        <v>0</v>
      </c>
      <c r="DH133" s="47">
        <v>0</v>
      </c>
      <c r="DI133" s="47">
        <v>0</v>
      </c>
      <c r="DJ133" s="47">
        <v>0</v>
      </c>
      <c r="DK133" s="47">
        <v>0</v>
      </c>
      <c r="DL133" s="47">
        <v>0</v>
      </c>
      <c r="DM133" s="47">
        <v>0</v>
      </c>
      <c r="DN133" s="47">
        <v>0</v>
      </c>
      <c r="DO133" s="47">
        <v>0</v>
      </c>
      <c r="DP133" s="47">
        <v>0</v>
      </c>
      <c r="DQ133" s="47">
        <v>0</v>
      </c>
      <c r="DR133" s="47">
        <v>0</v>
      </c>
      <c r="DS133" s="47">
        <v>0</v>
      </c>
      <c r="DT133" s="47">
        <v>0</v>
      </c>
      <c r="DU133" s="47">
        <v>0</v>
      </c>
      <c r="DV133" s="47">
        <v>0</v>
      </c>
      <c r="DW133" s="47">
        <v>0</v>
      </c>
      <c r="DX133" s="47">
        <v>0</v>
      </c>
      <c r="DY133" s="47">
        <v>0</v>
      </c>
      <c r="DZ133" s="47"/>
      <c r="EA133" s="47">
        <v>0.8</v>
      </c>
      <c r="ZZ133" t="s">
        <v>1084</v>
      </c>
    </row>
    <row r="134" spans="1:702" x14ac:dyDescent="0.25">
      <c r="A134" s="47" t="s">
        <v>762</v>
      </c>
      <c r="B134" s="47" t="s">
        <v>151</v>
      </c>
      <c r="C134" s="47" t="s">
        <v>155</v>
      </c>
      <c r="D134" s="47" t="s">
        <v>1212</v>
      </c>
      <c r="E134" s="47" t="s">
        <v>763</v>
      </c>
      <c r="F134" s="47" t="s">
        <v>764</v>
      </c>
      <c r="G134" s="47" t="s">
        <v>765</v>
      </c>
      <c r="H134" s="47" t="s">
        <v>380</v>
      </c>
      <c r="I134" s="47" t="s">
        <v>381</v>
      </c>
      <c r="J134" s="47" t="str">
        <f>=IFERROR(VLOOKUP(H134&amp;I134,Table_Fonctions!A:G,6,FALSE),"")</f>
        <v>0</v>
      </c>
      <c r="K134" s="47" t="s">
        <v>1132</v>
      </c>
      <c r="L134" s="47" t="str">
        <f>=IFERROR(VLOOKUP(H134&amp;I134,Table_Fonctions!A:G,7,FALSE),K134)</f>
        <v/>
      </c>
      <c r="M134" s="47" t="str">
        <f>=IF(OR(LEFT(D134, 3)="TJ ", LEFT(D134, 4)="CPH "), "OUI", "NON")</f>
        <v/>
      </c>
      <c r="N134" s="47" t="s">
        <v>766</v>
      </c>
      <c r="O134" s="47"/>
      <c r="P134" s="47">
        <v>1</v>
      </c>
      <c r="Q134" s="47">
        <v>0</v>
      </c>
      <c r="R134" s="47">
        <v>1</v>
      </c>
      <c r="S134" s="47">
        <f>=ROUND(BQ134-(BR134+BS134),3)</f>
      </c>
      <c r="T134" s="47">
        <f>=ROUND(CK134-(CL134+CM134+CN134+CO134+CP134),3)</f>
      </c>
      <c r="U134" s="47">
        <v>0</v>
      </c>
      <c r="V134" s="47">
        <v>0</v>
      </c>
      <c r="W134" s="47">
        <v>0</v>
      </c>
      <c r="X134" s="47">
        <v>0</v>
      </c>
      <c r="Y134" s="47">
        <v>0</v>
      </c>
      <c r="Z134" s="47">
        <v>0</v>
      </c>
      <c r="AA134" s="47">
        <v>0</v>
      </c>
      <c r="AB134" s="47">
        <v>0</v>
      </c>
      <c r="AC134" s="47">
        <v>0</v>
      </c>
      <c r="AD134" s="47">
        <v>0</v>
      </c>
      <c r="AE134" s="47">
        <v>0</v>
      </c>
      <c r="AF134" s="47">
        <v>0</v>
      </c>
      <c r="AG134" s="47">
        <v>0</v>
      </c>
      <c r="AH134" s="47">
        <v>0</v>
      </c>
      <c r="AI134" s="47">
        <v>0</v>
      </c>
      <c r="AJ134" s="47">
        <v>0</v>
      </c>
      <c r="AK134" s="47">
        <v>0</v>
      </c>
      <c r="AL134" s="47">
        <v>0</v>
      </c>
      <c r="AM134" s="47">
        <v>0</v>
      </c>
      <c r="AN134" s="47">
        <v>0</v>
      </c>
      <c r="AO134" s="47">
        <v>0</v>
      </c>
      <c r="AP134" s="47">
        <v>0</v>
      </c>
      <c r="AQ134" s="47">
        <v>0</v>
      </c>
      <c r="AR134" s="47">
        <v>0</v>
      </c>
      <c r="AS134" s="47">
        <v>0</v>
      </c>
      <c r="AT134" s="47">
        <v>0</v>
      </c>
      <c r="AU134" s="47">
        <v>0</v>
      </c>
      <c r="AV134" s="47">
        <v>0</v>
      </c>
      <c r="AW134" s="47">
        <v>0</v>
      </c>
      <c r="AX134" s="47">
        <v>0</v>
      </c>
      <c r="AY134" s="47">
        <v>0</v>
      </c>
      <c r="AZ134" s="47">
        <v>0</v>
      </c>
      <c r="BA134" s="47">
        <v>0</v>
      </c>
      <c r="BB134" s="47">
        <v>0</v>
      </c>
      <c r="BC134" s="47">
        <v>0</v>
      </c>
      <c r="BD134" s="47">
        <v>0</v>
      </c>
      <c r="BE134" s="47">
        <v>0</v>
      </c>
      <c r="BF134" s="47">
        <v>0</v>
      </c>
      <c r="BG134" s="47">
        <v>0</v>
      </c>
      <c r="BH134" s="47">
        <v>0</v>
      </c>
      <c r="BI134" s="47">
        <v>0</v>
      </c>
      <c r="BJ134" s="47">
        <v>0</v>
      </c>
      <c r="BK134" s="47">
        <v>0</v>
      </c>
      <c r="BL134" s="47">
        <v>0</v>
      </c>
      <c r="BM134" s="47">
        <v>0</v>
      </c>
      <c r="BN134" s="47">
        <v>0</v>
      </c>
      <c r="BO134" s="47">
        <v>0</v>
      </c>
      <c r="BP134" s="47">
        <v>0</v>
      </c>
      <c r="BQ134" s="47">
        <v>0</v>
      </c>
      <c r="BR134" s="47">
        <v>0</v>
      </c>
      <c r="BS134" s="47">
        <v>0</v>
      </c>
      <c r="BT134" s="47">
        <v>0</v>
      </c>
      <c r="BU134" s="47">
        <v>0</v>
      </c>
      <c r="BV134" s="47">
        <v>0</v>
      </c>
      <c r="BW134" s="47">
        <v>0</v>
      </c>
      <c r="BX134" s="47">
        <v>0</v>
      </c>
      <c r="BY134" s="47">
        <v>0</v>
      </c>
      <c r="BZ134" s="47">
        <v>0</v>
      </c>
      <c r="CA134" s="47">
        <v>0</v>
      </c>
      <c r="CB134" s="47">
        <v>0</v>
      </c>
      <c r="CC134" s="47">
        <v>0</v>
      </c>
      <c r="CD134" s="47">
        <v>0</v>
      </c>
      <c r="CE134" s="47">
        <v>0</v>
      </c>
      <c r="CF134" s="47">
        <v>0</v>
      </c>
      <c r="CG134" s="47">
        <v>0</v>
      </c>
      <c r="CH134" s="47">
        <v>0</v>
      </c>
      <c r="CI134" s="47">
        <v>0</v>
      </c>
      <c r="CJ134" s="47">
        <v>0</v>
      </c>
      <c r="CK134" s="47">
        <v>0</v>
      </c>
      <c r="CL134" s="47">
        <v>0</v>
      </c>
      <c r="CM134" s="47">
        <v>0</v>
      </c>
      <c r="CN134" s="47">
        <v>0</v>
      </c>
      <c r="CO134" s="47">
        <v>0</v>
      </c>
      <c r="CP134" s="47">
        <v>0</v>
      </c>
      <c r="CQ134" s="47">
        <v>0</v>
      </c>
      <c r="CR134" s="47">
        <v>0</v>
      </c>
      <c r="CS134" s="47">
        <v>0</v>
      </c>
      <c r="CT134" s="47">
        <v>0</v>
      </c>
      <c r="CU134" s="47">
        <v>0</v>
      </c>
      <c r="CV134" s="47">
        <v>0</v>
      </c>
      <c r="CW134" s="47">
        <v>0</v>
      </c>
      <c r="CX134" s="47">
        <v>0</v>
      </c>
      <c r="CY134" s="47">
        <v>0</v>
      </c>
      <c r="CZ134" s="47">
        <v>0</v>
      </c>
      <c r="DA134" s="47">
        <v>0</v>
      </c>
      <c r="DB134" s="47">
        <v>0</v>
      </c>
      <c r="DC134" s="47">
        <v>0</v>
      </c>
      <c r="DD134" s="47">
        <v>0</v>
      </c>
      <c r="DE134" s="47">
        <v>0</v>
      </c>
      <c r="DF134" s="47">
        <v>0</v>
      </c>
      <c r="DG134" s="47">
        <v>0</v>
      </c>
      <c r="DH134" s="47">
        <v>0</v>
      </c>
      <c r="DI134" s="47">
        <v>0</v>
      </c>
      <c r="DJ134" s="47">
        <v>0</v>
      </c>
      <c r="DK134" s="47">
        <v>0</v>
      </c>
      <c r="DL134" s="47">
        <v>0</v>
      </c>
      <c r="DM134" s="47">
        <v>0</v>
      </c>
      <c r="DN134" s="47">
        <v>0</v>
      </c>
      <c r="DO134" s="47">
        <v>0</v>
      </c>
      <c r="DP134" s="47">
        <v>0</v>
      </c>
      <c r="DQ134" s="47">
        <v>0</v>
      </c>
      <c r="DR134" s="47">
        <v>0</v>
      </c>
      <c r="DS134" s="47">
        <v>0</v>
      </c>
      <c r="DT134" s="47">
        <v>0</v>
      </c>
      <c r="DU134" s="47">
        <v>0</v>
      </c>
      <c r="DV134" s="47">
        <v>0</v>
      </c>
      <c r="DW134" s="47">
        <v>0</v>
      </c>
      <c r="DX134" s="47">
        <v>0</v>
      </c>
      <c r="DY134" s="47">
        <v>0</v>
      </c>
      <c r="DZ134" s="47"/>
      <c r="EA134" s="47">
        <v>1</v>
      </c>
      <c r="ZZ134" t="s">
        <v>1084</v>
      </c>
    </row>
    <row r="135" spans="1:702" x14ac:dyDescent="0.25">
      <c r="A135" s="47" t="s">
        <v>767</v>
      </c>
      <c r="B135" s="47" t="s">
        <v>151</v>
      </c>
      <c r="C135" s="47" t="s">
        <v>155</v>
      </c>
      <c r="D135" s="47" t="s">
        <v>1213</v>
      </c>
      <c r="E135" s="47" t="s">
        <v>768</v>
      </c>
      <c r="F135" s="47" t="s">
        <v>769</v>
      </c>
      <c r="G135" s="47" t="s">
        <v>770</v>
      </c>
      <c r="H135" s="47" t="s">
        <v>380</v>
      </c>
      <c r="I135" s="47" t="s">
        <v>381</v>
      </c>
      <c r="J135" s="47" t="str">
        <f>=IFERROR(VLOOKUP(H135&amp;I135,Table_Fonctions!A:G,6,FALSE),"")</f>
        <v>0</v>
      </c>
      <c r="K135" s="47" t="s">
        <v>1132</v>
      </c>
      <c r="L135" s="47" t="str">
        <f>=IFERROR(VLOOKUP(H135&amp;I135,Table_Fonctions!A:G,7,FALSE),K135)</f>
        <v/>
      </c>
      <c r="M135" s="47" t="str">
        <f>=IF(OR(LEFT(D135, 3)="TJ ", LEFT(D135, 4)="CPH "), "OUI", "NON")</f>
        <v/>
      </c>
      <c r="N135" s="47" t="s">
        <v>601</v>
      </c>
      <c r="O135" s="47"/>
      <c r="P135" s="47">
        <v>1</v>
      </c>
      <c r="Q135" s="47">
        <v>1</v>
      </c>
      <c r="R135" s="47">
        <v>0</v>
      </c>
      <c r="S135" s="47">
        <f>=ROUND(BQ135-(BR135+BS135),3)</f>
      </c>
      <c r="T135" s="47">
        <f>=ROUND(CK135-(CL135+CM135+CN135+CO135+CP135),3)</f>
      </c>
      <c r="U135" s="47">
        <v>0</v>
      </c>
      <c r="V135" s="47">
        <v>0</v>
      </c>
      <c r="W135" s="47">
        <v>0</v>
      </c>
      <c r="X135" s="47">
        <v>0</v>
      </c>
      <c r="Y135" s="47">
        <v>0</v>
      </c>
      <c r="Z135" s="47">
        <v>0</v>
      </c>
      <c r="AA135" s="47">
        <v>0</v>
      </c>
      <c r="AB135" s="47">
        <v>0</v>
      </c>
      <c r="AC135" s="47">
        <v>0</v>
      </c>
      <c r="AD135" s="47">
        <v>0</v>
      </c>
      <c r="AE135" s="47">
        <v>0</v>
      </c>
      <c r="AF135" s="47">
        <v>0</v>
      </c>
      <c r="AG135" s="47">
        <v>0</v>
      </c>
      <c r="AH135" s="47">
        <v>0</v>
      </c>
      <c r="AI135" s="47">
        <v>0</v>
      </c>
      <c r="AJ135" s="47">
        <v>0.6278</v>
      </c>
      <c r="AK135" s="47">
        <v>0</v>
      </c>
      <c r="AL135" s="47">
        <v>0.1744</v>
      </c>
      <c r="AM135" s="47">
        <v>0</v>
      </c>
      <c r="AN135" s="47">
        <v>0</v>
      </c>
      <c r="AO135" s="47">
        <v>0</v>
      </c>
      <c r="AP135" s="47">
        <v>0.1046</v>
      </c>
      <c r="AQ135" s="47">
        <v>0</v>
      </c>
      <c r="AR135" s="47">
        <v>0.3488</v>
      </c>
      <c r="AS135" s="47">
        <v>0</v>
      </c>
      <c r="AT135" s="47">
        <v>0</v>
      </c>
      <c r="AU135" s="47">
        <v>0</v>
      </c>
      <c r="AV135" s="47">
        <v>0</v>
      </c>
      <c r="AW135" s="47">
        <v>0</v>
      </c>
      <c r="AX135" s="47">
        <v>0</v>
      </c>
      <c r="AY135" s="47">
        <v>0</v>
      </c>
      <c r="AZ135" s="47">
        <v>0</v>
      </c>
      <c r="BA135" s="47">
        <v>0</v>
      </c>
      <c r="BB135" s="47">
        <v>0</v>
      </c>
      <c r="BC135" s="47">
        <v>0</v>
      </c>
      <c r="BD135" s="47">
        <v>0</v>
      </c>
      <c r="BE135" s="47">
        <v>0</v>
      </c>
      <c r="BF135" s="47">
        <v>0</v>
      </c>
      <c r="BG135" s="47">
        <v>0</v>
      </c>
      <c r="BH135" s="47">
        <v>0</v>
      </c>
      <c r="BI135" s="47">
        <v>0</v>
      </c>
      <c r="BJ135" s="47">
        <v>0</v>
      </c>
      <c r="BK135" s="47">
        <v>0</v>
      </c>
      <c r="BL135" s="47">
        <v>0</v>
      </c>
      <c r="BM135" s="47">
        <v>0</v>
      </c>
      <c r="BN135" s="47">
        <v>0</v>
      </c>
      <c r="BO135" s="47">
        <v>0</v>
      </c>
      <c r="BP135" s="47">
        <v>0</v>
      </c>
      <c r="BQ135" s="47">
        <v>0</v>
      </c>
      <c r="BR135" s="47">
        <v>0</v>
      </c>
      <c r="BS135" s="47">
        <v>0</v>
      </c>
      <c r="BT135" s="47">
        <v>0</v>
      </c>
      <c r="BU135" s="47">
        <v>0</v>
      </c>
      <c r="BV135" s="47">
        <v>0</v>
      </c>
      <c r="BW135" s="47">
        <v>0</v>
      </c>
      <c r="BX135" s="47">
        <v>0</v>
      </c>
      <c r="BY135" s="47">
        <v>0</v>
      </c>
      <c r="BZ135" s="47">
        <v>0</v>
      </c>
      <c r="CA135" s="47">
        <v>0</v>
      </c>
      <c r="CB135" s="47">
        <v>0</v>
      </c>
      <c r="CC135" s="47">
        <v>0</v>
      </c>
      <c r="CD135" s="47">
        <v>0</v>
      </c>
      <c r="CE135" s="47">
        <v>0</v>
      </c>
      <c r="CF135" s="47">
        <v>0</v>
      </c>
      <c r="CG135" s="47">
        <v>0</v>
      </c>
      <c r="CH135" s="47">
        <v>0</v>
      </c>
      <c r="CI135" s="47">
        <v>0</v>
      </c>
      <c r="CJ135" s="47">
        <v>0</v>
      </c>
      <c r="CK135" s="47">
        <v>0</v>
      </c>
      <c r="CL135" s="47">
        <v>0</v>
      </c>
      <c r="CM135" s="47">
        <v>0</v>
      </c>
      <c r="CN135" s="47">
        <v>0</v>
      </c>
      <c r="CO135" s="47">
        <v>0</v>
      </c>
      <c r="CP135" s="47">
        <v>0</v>
      </c>
      <c r="CQ135" s="47">
        <v>0.2722</v>
      </c>
      <c r="CR135" s="47">
        <v>0</v>
      </c>
      <c r="CS135" s="47">
        <v>0</v>
      </c>
      <c r="CT135" s="47">
        <v>0</v>
      </c>
      <c r="CU135" s="47">
        <v>0</v>
      </c>
      <c r="CV135" s="47">
        <v>0</v>
      </c>
      <c r="CW135" s="47">
        <v>0</v>
      </c>
      <c r="CX135" s="47">
        <v>0</v>
      </c>
      <c r="CY135" s="47">
        <v>0.1</v>
      </c>
      <c r="CZ135" s="47">
        <v>0.1</v>
      </c>
      <c r="DA135" s="47">
        <v>0</v>
      </c>
      <c r="DB135" s="47">
        <v>0</v>
      </c>
      <c r="DC135" s="47">
        <v>0</v>
      </c>
      <c r="DD135" s="47">
        <v>0</v>
      </c>
      <c r="DE135" s="47">
        <v>0</v>
      </c>
      <c r="DF135" s="47">
        <v>0</v>
      </c>
      <c r="DG135" s="47">
        <v>0</v>
      </c>
      <c r="DH135" s="47">
        <v>0</v>
      </c>
      <c r="DI135" s="47">
        <v>0</v>
      </c>
      <c r="DJ135" s="47">
        <v>0</v>
      </c>
      <c r="DK135" s="47">
        <v>0</v>
      </c>
      <c r="DL135" s="47">
        <v>0</v>
      </c>
      <c r="DM135" s="47">
        <v>0</v>
      </c>
      <c r="DN135" s="47">
        <v>0</v>
      </c>
      <c r="DO135" s="47">
        <v>0</v>
      </c>
      <c r="DP135" s="47">
        <v>0</v>
      </c>
      <c r="DQ135" s="47">
        <v>0</v>
      </c>
      <c r="DR135" s="47">
        <v>0</v>
      </c>
      <c r="DS135" s="47">
        <v>0</v>
      </c>
      <c r="DT135" s="47">
        <v>0</v>
      </c>
      <c r="DU135" s="47">
        <v>0</v>
      </c>
      <c r="DV135" s="47">
        <v>0</v>
      </c>
      <c r="DW135" s="47">
        <v>0</v>
      </c>
      <c r="DX135" s="47">
        <v>0</v>
      </c>
      <c r="DY135" s="47">
        <v>0</v>
      </c>
      <c r="DZ135" s="47"/>
      <c r="EA135" s="47">
        <v>1</v>
      </c>
      <c r="ZZ135" t="s">
        <v>1084</v>
      </c>
    </row>
    <row r="136" spans="1:702" x14ac:dyDescent="0.25">
      <c r="A136" s="47" t="s">
        <v>771</v>
      </c>
      <c r="B136" s="47" t="s">
        <v>151</v>
      </c>
      <c r="C136" s="47" t="s">
        <v>155</v>
      </c>
      <c r="D136" s="47" t="s">
        <v>1126</v>
      </c>
      <c r="E136" s="47" t="s">
        <v>772</v>
      </c>
      <c r="F136" s="47" t="s">
        <v>773</v>
      </c>
      <c r="G136" s="47" t="s">
        <v>774</v>
      </c>
      <c r="H136" s="47" t="s">
        <v>380</v>
      </c>
      <c r="I136" s="47" t="s">
        <v>381</v>
      </c>
      <c r="J136" s="47" t="str">
        <f>=IFERROR(VLOOKUP(H136&amp;I136,Table_Fonctions!A:G,6,FALSE),"")</f>
        <v>0</v>
      </c>
      <c r="K136" s="47" t="s">
        <v>1132</v>
      </c>
      <c r="L136" s="47" t="str">
        <f>=IFERROR(VLOOKUP(H136&amp;I136,Table_Fonctions!A:G,7,FALSE),K136)</f>
        <v/>
      </c>
      <c r="M136" s="47" t="str">
        <f>=IF(OR(LEFT(D136, 3)="TJ ", LEFT(D136, 4)="CPH "), "OUI", "NON")</f>
        <v/>
      </c>
      <c r="N136" s="47" t="s">
        <v>775</v>
      </c>
      <c r="O136" s="47"/>
      <c r="P136" s="47">
        <v>0.125</v>
      </c>
      <c r="Q136" s="47">
        <v>0.125</v>
      </c>
      <c r="R136" s="47">
        <v>0</v>
      </c>
      <c r="S136" s="47">
        <f>=ROUND(BQ136-(BR136+BS136),3)</f>
      </c>
      <c r="T136" s="47">
        <f>=ROUND(CK136-(CL136+CM136+CN136+CO136+CP136),3)</f>
      </c>
      <c r="U136" s="47">
        <v>0</v>
      </c>
      <c r="V136" s="47">
        <v>0</v>
      </c>
      <c r="W136" s="47">
        <v>0</v>
      </c>
      <c r="X136" s="47">
        <v>0</v>
      </c>
      <c r="Y136" s="47">
        <v>0</v>
      </c>
      <c r="Z136" s="47">
        <v>0</v>
      </c>
      <c r="AA136" s="47">
        <v>0</v>
      </c>
      <c r="AB136" s="47">
        <v>0</v>
      </c>
      <c r="AC136" s="47">
        <v>0</v>
      </c>
      <c r="AD136" s="47">
        <v>0</v>
      </c>
      <c r="AE136" s="47">
        <v>0</v>
      </c>
      <c r="AF136" s="47">
        <v>0</v>
      </c>
      <c r="AG136" s="47">
        <v>0</v>
      </c>
      <c r="AH136" s="47">
        <v>0</v>
      </c>
      <c r="AI136" s="47">
        <v>0</v>
      </c>
      <c r="AJ136" s="47">
        <v>0.125</v>
      </c>
      <c r="AK136" s="47">
        <v>0</v>
      </c>
      <c r="AL136" s="47">
        <v>0</v>
      </c>
      <c r="AM136" s="47">
        <v>0</v>
      </c>
      <c r="AN136" s="47">
        <v>0</v>
      </c>
      <c r="AO136" s="47">
        <v>0</v>
      </c>
      <c r="AP136" s="47">
        <v>0</v>
      </c>
      <c r="AQ136" s="47">
        <v>0</v>
      </c>
      <c r="AR136" s="47">
        <v>0</v>
      </c>
      <c r="AS136" s="47">
        <v>0</v>
      </c>
      <c r="AT136" s="47">
        <v>0</v>
      </c>
      <c r="AU136" s="47">
        <v>0</v>
      </c>
      <c r="AV136" s="47">
        <v>0</v>
      </c>
      <c r="AW136" s="47">
        <v>0</v>
      </c>
      <c r="AX136" s="47">
        <v>0</v>
      </c>
      <c r="AY136" s="47">
        <v>0</v>
      </c>
      <c r="AZ136" s="47">
        <v>0</v>
      </c>
      <c r="BA136" s="47">
        <v>0</v>
      </c>
      <c r="BB136" s="47">
        <v>0</v>
      </c>
      <c r="BC136" s="47">
        <v>0</v>
      </c>
      <c r="BD136" s="47">
        <v>0</v>
      </c>
      <c r="BE136" s="47">
        <v>0</v>
      </c>
      <c r="BF136" s="47">
        <v>0</v>
      </c>
      <c r="BG136" s="47">
        <v>0</v>
      </c>
      <c r="BH136" s="47">
        <v>0</v>
      </c>
      <c r="BI136" s="47">
        <v>0</v>
      </c>
      <c r="BJ136" s="47">
        <v>0</v>
      </c>
      <c r="BK136" s="47">
        <v>0</v>
      </c>
      <c r="BL136" s="47">
        <v>0</v>
      </c>
      <c r="BM136" s="47">
        <v>0</v>
      </c>
      <c r="BN136" s="47">
        <v>0</v>
      </c>
      <c r="BO136" s="47">
        <v>0</v>
      </c>
      <c r="BP136" s="47">
        <v>0</v>
      </c>
      <c r="BQ136" s="47">
        <v>0</v>
      </c>
      <c r="BR136" s="47">
        <v>0</v>
      </c>
      <c r="BS136" s="47">
        <v>0</v>
      </c>
      <c r="BT136" s="47">
        <v>0</v>
      </c>
      <c r="BU136" s="47">
        <v>0</v>
      </c>
      <c r="BV136" s="47">
        <v>0</v>
      </c>
      <c r="BW136" s="47">
        <v>0</v>
      </c>
      <c r="BX136" s="47">
        <v>0</v>
      </c>
      <c r="BY136" s="47">
        <v>0</v>
      </c>
      <c r="BZ136" s="47">
        <v>0</v>
      </c>
      <c r="CA136" s="47">
        <v>0</v>
      </c>
      <c r="CB136" s="47">
        <v>0</v>
      </c>
      <c r="CC136" s="47">
        <v>0</v>
      </c>
      <c r="CD136" s="47">
        <v>0</v>
      </c>
      <c r="CE136" s="47">
        <v>0</v>
      </c>
      <c r="CF136" s="47">
        <v>0</v>
      </c>
      <c r="CG136" s="47">
        <v>0</v>
      </c>
      <c r="CH136" s="47">
        <v>0</v>
      </c>
      <c r="CI136" s="47">
        <v>0</v>
      </c>
      <c r="CJ136" s="47">
        <v>0</v>
      </c>
      <c r="CK136" s="47">
        <v>0</v>
      </c>
      <c r="CL136" s="47">
        <v>0</v>
      </c>
      <c r="CM136" s="47">
        <v>0</v>
      </c>
      <c r="CN136" s="47">
        <v>0</v>
      </c>
      <c r="CO136" s="47">
        <v>0</v>
      </c>
      <c r="CP136" s="47">
        <v>0</v>
      </c>
      <c r="CQ136" s="47">
        <v>0</v>
      </c>
      <c r="CR136" s="47">
        <v>0</v>
      </c>
      <c r="CS136" s="47">
        <v>0</v>
      </c>
      <c r="CT136" s="47">
        <v>0</v>
      </c>
      <c r="CU136" s="47">
        <v>0</v>
      </c>
      <c r="CV136" s="47">
        <v>0</v>
      </c>
      <c r="CW136" s="47">
        <v>0</v>
      </c>
      <c r="CX136" s="47">
        <v>0</v>
      </c>
      <c r="CY136" s="47">
        <v>0</v>
      </c>
      <c r="CZ136" s="47">
        <v>0</v>
      </c>
      <c r="DA136" s="47">
        <v>0</v>
      </c>
      <c r="DB136" s="47">
        <v>0</v>
      </c>
      <c r="DC136" s="47">
        <v>0</v>
      </c>
      <c r="DD136" s="47">
        <v>0</v>
      </c>
      <c r="DE136" s="47">
        <v>0</v>
      </c>
      <c r="DF136" s="47">
        <v>0</v>
      </c>
      <c r="DG136" s="47">
        <v>0</v>
      </c>
      <c r="DH136" s="47">
        <v>0</v>
      </c>
      <c r="DI136" s="47">
        <v>0</v>
      </c>
      <c r="DJ136" s="47">
        <v>0</v>
      </c>
      <c r="DK136" s="47">
        <v>0</v>
      </c>
      <c r="DL136" s="47">
        <v>0</v>
      </c>
      <c r="DM136" s="47">
        <v>0</v>
      </c>
      <c r="DN136" s="47">
        <v>0</v>
      </c>
      <c r="DO136" s="47">
        <v>0</v>
      </c>
      <c r="DP136" s="47">
        <v>0</v>
      </c>
      <c r="DQ136" s="47">
        <v>0</v>
      </c>
      <c r="DR136" s="47">
        <v>0</v>
      </c>
      <c r="DS136" s="47">
        <v>0</v>
      </c>
      <c r="DT136" s="47">
        <v>0</v>
      </c>
      <c r="DU136" s="47">
        <v>0</v>
      </c>
      <c r="DV136" s="47">
        <v>0</v>
      </c>
      <c r="DW136" s="47">
        <v>0</v>
      </c>
      <c r="DX136" s="47">
        <v>0</v>
      </c>
      <c r="DY136" s="47">
        <v>0</v>
      </c>
      <c r="DZ136" s="47"/>
      <c r="EA136" s="47">
        <v>0.125</v>
      </c>
      <c r="ZZ136" t="s">
        <v>1084</v>
      </c>
    </row>
    <row r="137" spans="1:702" x14ac:dyDescent="0.25">
      <c r="A137" s="47" t="s">
        <v>776</v>
      </c>
      <c r="B137" s="47" t="s">
        <v>151</v>
      </c>
      <c r="C137" s="47" t="s">
        <v>155</v>
      </c>
      <c r="D137" s="47" t="s">
        <v>1214</v>
      </c>
      <c r="E137" s="47" t="s">
        <v>777</v>
      </c>
      <c r="F137" s="47" t="s">
        <v>778</v>
      </c>
      <c r="G137" s="47" t="s">
        <v>779</v>
      </c>
      <c r="H137" s="47" t="s">
        <v>380</v>
      </c>
      <c r="I137" s="47" t="s">
        <v>1215</v>
      </c>
      <c r="J137" s="47" t="str">
        <f>=IFERROR(VLOOKUP(H137&amp;I137,Table_Fonctions!A:G,6,FALSE),"")</f>
        <v>0</v>
      </c>
      <c r="K137" s="47" t="s">
        <v>1183</v>
      </c>
      <c r="L137" s="47" t="str">
        <f>=IFERROR(VLOOKUP(H137&amp;I137,Table_Fonctions!A:G,7,FALSE),K137)</f>
        <v/>
      </c>
      <c r="M137" s="47" t="str">
        <f>=IF(OR(LEFT(D137, 3)="TJ ", LEFT(D137, 4)="CPH "), "OUI", "NON")</f>
        <v/>
      </c>
      <c r="N137" s="47" t="s">
        <v>781</v>
      </c>
      <c r="O137" s="47" t="s">
        <v>782</v>
      </c>
      <c r="P137" s="47">
        <v>0.1734</v>
      </c>
      <c r="Q137" s="47">
        <v>0.1734</v>
      </c>
      <c r="R137" s="47">
        <v>0</v>
      </c>
      <c r="S137" s="47">
        <f>=ROUND(BQ137-(BR137+BS137),3)</f>
      </c>
      <c r="T137" s="47">
        <f>=ROUND(CK137-(CL137+CM137+CN137+CO137+CP137),3)</f>
      </c>
      <c r="U137" s="47">
        <v>0</v>
      </c>
      <c r="V137" s="47">
        <v>0</v>
      </c>
      <c r="W137" s="47">
        <v>0</v>
      </c>
      <c r="X137" s="47">
        <v>0</v>
      </c>
      <c r="Y137" s="47">
        <v>0</v>
      </c>
      <c r="Z137" s="47">
        <v>0</v>
      </c>
      <c r="AA137" s="47">
        <v>0</v>
      </c>
      <c r="AB137" s="47">
        <v>0</v>
      </c>
      <c r="AC137" s="47">
        <v>0</v>
      </c>
      <c r="AD137" s="47">
        <v>0</v>
      </c>
      <c r="AE137" s="47">
        <v>0</v>
      </c>
      <c r="AF137" s="47">
        <v>0</v>
      </c>
      <c r="AG137" s="47">
        <v>0</v>
      </c>
      <c r="AH137" s="47">
        <v>0</v>
      </c>
      <c r="AI137" s="47">
        <v>0</v>
      </c>
      <c r="AJ137" s="47">
        <v>0.1127</v>
      </c>
      <c r="AK137" s="47">
        <v>0</v>
      </c>
      <c r="AL137" s="47">
        <v>0.1127</v>
      </c>
      <c r="AM137" s="47">
        <v>0</v>
      </c>
      <c r="AN137" s="47">
        <v>0</v>
      </c>
      <c r="AO137" s="47">
        <v>0</v>
      </c>
      <c r="AP137" s="47">
        <v>0</v>
      </c>
      <c r="AQ137" s="47">
        <v>0</v>
      </c>
      <c r="AR137" s="47">
        <v>0</v>
      </c>
      <c r="AS137" s="47">
        <v>0.0607</v>
      </c>
      <c r="AT137" s="47">
        <v>0.0607</v>
      </c>
      <c r="AU137" s="47">
        <v>0</v>
      </c>
      <c r="AV137" s="47">
        <v>0</v>
      </c>
      <c r="AW137" s="47">
        <v>0</v>
      </c>
      <c r="AX137" s="47">
        <v>0</v>
      </c>
      <c r="AY137" s="47">
        <v>0</v>
      </c>
      <c r="AZ137" s="47">
        <v>0</v>
      </c>
      <c r="BA137" s="47">
        <v>0</v>
      </c>
      <c r="BB137" s="47">
        <v>0</v>
      </c>
      <c r="BC137" s="47">
        <v>0</v>
      </c>
      <c r="BD137" s="47">
        <v>0</v>
      </c>
      <c r="BE137" s="47">
        <v>0</v>
      </c>
      <c r="BF137" s="47">
        <v>0</v>
      </c>
      <c r="BG137" s="47">
        <v>0</v>
      </c>
      <c r="BH137" s="47">
        <v>0</v>
      </c>
      <c r="BI137" s="47">
        <v>0</v>
      </c>
      <c r="BJ137" s="47">
        <v>0</v>
      </c>
      <c r="BK137" s="47">
        <v>0</v>
      </c>
      <c r="BL137" s="47">
        <v>0</v>
      </c>
      <c r="BM137" s="47">
        <v>0</v>
      </c>
      <c r="BN137" s="47">
        <v>0</v>
      </c>
      <c r="BO137" s="47">
        <v>0</v>
      </c>
      <c r="BP137" s="47">
        <v>0</v>
      </c>
      <c r="BQ137" s="47">
        <v>0</v>
      </c>
      <c r="BR137" s="47">
        <v>0</v>
      </c>
      <c r="BS137" s="47">
        <v>0</v>
      </c>
      <c r="BT137" s="47">
        <v>0</v>
      </c>
      <c r="BU137" s="47">
        <v>0</v>
      </c>
      <c r="BV137" s="47">
        <v>0</v>
      </c>
      <c r="BW137" s="47">
        <v>0</v>
      </c>
      <c r="BX137" s="47">
        <v>0</v>
      </c>
      <c r="BY137" s="47">
        <v>0</v>
      </c>
      <c r="BZ137" s="47">
        <v>0</v>
      </c>
      <c r="CA137" s="47">
        <v>0</v>
      </c>
      <c r="CB137" s="47">
        <v>0</v>
      </c>
      <c r="CC137" s="47">
        <v>0</v>
      </c>
      <c r="CD137" s="47">
        <v>0</v>
      </c>
      <c r="CE137" s="47">
        <v>0</v>
      </c>
      <c r="CF137" s="47">
        <v>0</v>
      </c>
      <c r="CG137" s="47">
        <v>0</v>
      </c>
      <c r="CH137" s="47">
        <v>0</v>
      </c>
      <c r="CI137" s="47">
        <v>0</v>
      </c>
      <c r="CJ137" s="47">
        <v>0</v>
      </c>
      <c r="CK137" s="47">
        <v>0</v>
      </c>
      <c r="CL137" s="47">
        <v>0</v>
      </c>
      <c r="CM137" s="47">
        <v>0</v>
      </c>
      <c r="CN137" s="47">
        <v>0</v>
      </c>
      <c r="CO137" s="47">
        <v>0</v>
      </c>
      <c r="CP137" s="47">
        <v>0</v>
      </c>
      <c r="CQ137" s="47">
        <v>0</v>
      </c>
      <c r="CR137" s="47">
        <v>0</v>
      </c>
      <c r="CS137" s="47">
        <v>0</v>
      </c>
      <c r="CT137" s="47">
        <v>0</v>
      </c>
      <c r="CU137" s="47">
        <v>0</v>
      </c>
      <c r="CV137" s="47">
        <v>0</v>
      </c>
      <c r="CW137" s="47">
        <v>0</v>
      </c>
      <c r="CX137" s="47">
        <v>0</v>
      </c>
      <c r="CY137" s="47">
        <v>0</v>
      </c>
      <c r="CZ137" s="47">
        <v>0</v>
      </c>
      <c r="DA137" s="47">
        <v>0</v>
      </c>
      <c r="DB137" s="47">
        <v>0</v>
      </c>
      <c r="DC137" s="47">
        <v>0</v>
      </c>
      <c r="DD137" s="47">
        <v>0</v>
      </c>
      <c r="DE137" s="47">
        <v>0</v>
      </c>
      <c r="DF137" s="47">
        <v>0</v>
      </c>
      <c r="DG137" s="47">
        <v>0</v>
      </c>
      <c r="DH137" s="47">
        <v>0</v>
      </c>
      <c r="DI137" s="47">
        <v>0</v>
      </c>
      <c r="DJ137" s="47">
        <v>0</v>
      </c>
      <c r="DK137" s="47">
        <v>0</v>
      </c>
      <c r="DL137" s="47">
        <v>0</v>
      </c>
      <c r="DM137" s="47">
        <v>0</v>
      </c>
      <c r="DN137" s="47">
        <v>0</v>
      </c>
      <c r="DO137" s="47">
        <v>0</v>
      </c>
      <c r="DP137" s="47">
        <v>0</v>
      </c>
      <c r="DQ137" s="47">
        <v>0</v>
      </c>
      <c r="DR137" s="47">
        <v>0</v>
      </c>
      <c r="DS137" s="47">
        <v>0</v>
      </c>
      <c r="DT137" s="47">
        <v>0</v>
      </c>
      <c r="DU137" s="47">
        <v>0</v>
      </c>
      <c r="DV137" s="47">
        <v>0</v>
      </c>
      <c r="DW137" s="47">
        <v>0</v>
      </c>
      <c r="DX137" s="47">
        <v>0</v>
      </c>
      <c r="DY137" s="47">
        <v>0</v>
      </c>
      <c r="DZ137" s="47"/>
      <c r="EA137" s="47">
        <v>0.1734</v>
      </c>
      <c r="ZZ137" t="s">
        <v>1084</v>
      </c>
    </row>
    <row r="138" spans="1:702" x14ac:dyDescent="0.25">
      <c r="A138" s="47" t="s">
        <v>783</v>
      </c>
      <c r="B138" s="47" t="s">
        <v>151</v>
      </c>
      <c r="C138" s="47" t="s">
        <v>155</v>
      </c>
      <c r="D138" s="47" t="s">
        <v>1216</v>
      </c>
      <c r="E138" s="47" t="s">
        <v>784</v>
      </c>
      <c r="F138" s="47" t="s">
        <v>785</v>
      </c>
      <c r="G138" s="47" t="s">
        <v>786</v>
      </c>
      <c r="H138" s="47" t="s">
        <v>380</v>
      </c>
      <c r="I138" s="47" t="s">
        <v>787</v>
      </c>
      <c r="J138" s="47" t="str">
        <f>=IFERROR(VLOOKUP(H138&amp;I138,Table_Fonctions!A:G,6,FALSE),"")</f>
        <v>0</v>
      </c>
      <c r="K138" s="47" t="s">
        <v>1132</v>
      </c>
      <c r="L138" s="47" t="str">
        <f>=IFERROR(VLOOKUP(H138&amp;I138,Table_Fonctions!A:G,7,FALSE),K138)</f>
        <v/>
      </c>
      <c r="M138" s="47" t="str">
        <f>=IF(OR(LEFT(D138, 3)="TJ ", LEFT(D138, 4)="CPH "), "OUI", "NON")</f>
        <v/>
      </c>
      <c r="N138" s="47" t="s">
        <v>788</v>
      </c>
      <c r="O138" s="47"/>
      <c r="P138" s="47">
        <v>1</v>
      </c>
      <c r="Q138" s="47">
        <v>1</v>
      </c>
      <c r="R138" s="47">
        <v>0</v>
      </c>
      <c r="S138" s="47">
        <f>=ROUND(BQ138-(BR138+BS138),3)</f>
      </c>
      <c r="T138" s="47">
        <f>=ROUND(CK138-(CL138+CM138+CN138+CO138+CP138),3)</f>
      </c>
      <c r="U138" s="47">
        <v>0</v>
      </c>
      <c r="V138" s="47">
        <v>0</v>
      </c>
      <c r="W138" s="47">
        <v>0</v>
      </c>
      <c r="X138" s="47">
        <v>0</v>
      </c>
      <c r="Y138" s="47">
        <v>0</v>
      </c>
      <c r="Z138" s="47">
        <v>0</v>
      </c>
      <c r="AA138" s="47">
        <v>0</v>
      </c>
      <c r="AB138" s="47">
        <v>0</v>
      </c>
      <c r="AC138" s="47">
        <v>0</v>
      </c>
      <c r="AD138" s="47">
        <v>0</v>
      </c>
      <c r="AE138" s="47">
        <v>0</v>
      </c>
      <c r="AF138" s="47">
        <v>0</v>
      </c>
      <c r="AG138" s="47">
        <v>0</v>
      </c>
      <c r="AH138" s="47">
        <v>0</v>
      </c>
      <c r="AI138" s="47">
        <v>0</v>
      </c>
      <c r="AJ138" s="47">
        <v>0</v>
      </c>
      <c r="AK138" s="47">
        <v>0</v>
      </c>
      <c r="AL138" s="47">
        <v>0</v>
      </c>
      <c r="AM138" s="47">
        <v>0</v>
      </c>
      <c r="AN138" s="47">
        <v>0</v>
      </c>
      <c r="AO138" s="47">
        <v>0</v>
      </c>
      <c r="AP138" s="47">
        <v>0</v>
      </c>
      <c r="AQ138" s="47">
        <v>0</v>
      </c>
      <c r="AR138" s="47">
        <v>0</v>
      </c>
      <c r="AS138" s="47">
        <v>0</v>
      </c>
      <c r="AT138" s="47">
        <v>0</v>
      </c>
      <c r="AU138" s="47">
        <v>0</v>
      </c>
      <c r="AV138" s="47">
        <v>0</v>
      </c>
      <c r="AW138" s="47">
        <v>0</v>
      </c>
      <c r="AX138" s="47">
        <v>0</v>
      </c>
      <c r="AY138" s="47">
        <v>0</v>
      </c>
      <c r="AZ138" s="47">
        <v>0</v>
      </c>
      <c r="BA138" s="47">
        <v>0</v>
      </c>
      <c r="BB138" s="47">
        <v>0</v>
      </c>
      <c r="BC138" s="47">
        <v>0</v>
      </c>
      <c r="BD138" s="47">
        <v>0</v>
      </c>
      <c r="BE138" s="47">
        <v>0</v>
      </c>
      <c r="BF138" s="47">
        <v>0</v>
      </c>
      <c r="BG138" s="47">
        <v>0</v>
      </c>
      <c r="BH138" s="47">
        <v>0</v>
      </c>
      <c r="BI138" s="47">
        <v>0</v>
      </c>
      <c r="BJ138" s="47">
        <v>0</v>
      </c>
      <c r="BK138" s="47">
        <v>0</v>
      </c>
      <c r="BL138" s="47">
        <v>0</v>
      </c>
      <c r="BM138" s="47">
        <v>0</v>
      </c>
      <c r="BN138" s="47">
        <v>0</v>
      </c>
      <c r="BO138" s="47">
        <v>0</v>
      </c>
      <c r="BP138" s="47">
        <v>0</v>
      </c>
      <c r="BQ138" s="47">
        <v>0</v>
      </c>
      <c r="BR138" s="47">
        <v>0</v>
      </c>
      <c r="BS138" s="47">
        <v>0</v>
      </c>
      <c r="BT138" s="47">
        <v>0</v>
      </c>
      <c r="BU138" s="47">
        <v>0</v>
      </c>
      <c r="BV138" s="47">
        <v>0</v>
      </c>
      <c r="BW138" s="47">
        <v>0</v>
      </c>
      <c r="BX138" s="47">
        <v>0</v>
      </c>
      <c r="BY138" s="47">
        <v>0</v>
      </c>
      <c r="BZ138" s="47">
        <v>0</v>
      </c>
      <c r="CA138" s="47">
        <v>0</v>
      </c>
      <c r="CB138" s="47">
        <v>0</v>
      </c>
      <c r="CC138" s="47">
        <v>0</v>
      </c>
      <c r="CD138" s="47">
        <v>0</v>
      </c>
      <c r="CE138" s="47">
        <v>0</v>
      </c>
      <c r="CF138" s="47">
        <v>0</v>
      </c>
      <c r="CG138" s="47">
        <v>0</v>
      </c>
      <c r="CH138" s="47">
        <v>0</v>
      </c>
      <c r="CI138" s="47">
        <v>0</v>
      </c>
      <c r="CJ138" s="47">
        <v>0</v>
      </c>
      <c r="CK138" s="47">
        <v>0</v>
      </c>
      <c r="CL138" s="47">
        <v>0</v>
      </c>
      <c r="CM138" s="47">
        <v>0</v>
      </c>
      <c r="CN138" s="47">
        <v>0</v>
      </c>
      <c r="CO138" s="47">
        <v>0</v>
      </c>
      <c r="CP138" s="47">
        <v>0</v>
      </c>
      <c r="CQ138" s="47">
        <v>0</v>
      </c>
      <c r="CR138" s="47">
        <v>0</v>
      </c>
      <c r="CS138" s="47">
        <v>0</v>
      </c>
      <c r="CT138" s="47">
        <v>0</v>
      </c>
      <c r="CU138" s="47">
        <v>0</v>
      </c>
      <c r="CV138" s="47">
        <v>0</v>
      </c>
      <c r="CW138" s="47">
        <v>0</v>
      </c>
      <c r="CX138" s="47">
        <v>0</v>
      </c>
      <c r="CY138" s="47">
        <v>1</v>
      </c>
      <c r="CZ138" s="47">
        <v>0.9839</v>
      </c>
      <c r="DA138" s="47">
        <v>0.0161</v>
      </c>
      <c r="DB138" s="47">
        <v>0</v>
      </c>
      <c r="DC138" s="47">
        <v>0</v>
      </c>
      <c r="DD138" s="47">
        <v>0</v>
      </c>
      <c r="DE138" s="47">
        <v>0</v>
      </c>
      <c r="DF138" s="47">
        <v>0</v>
      </c>
      <c r="DG138" s="47">
        <v>0</v>
      </c>
      <c r="DH138" s="47">
        <v>0</v>
      </c>
      <c r="DI138" s="47">
        <v>0</v>
      </c>
      <c r="DJ138" s="47">
        <v>0</v>
      </c>
      <c r="DK138" s="47">
        <v>0</v>
      </c>
      <c r="DL138" s="47">
        <v>0</v>
      </c>
      <c r="DM138" s="47">
        <v>0</v>
      </c>
      <c r="DN138" s="47">
        <v>0</v>
      </c>
      <c r="DO138" s="47">
        <v>0</v>
      </c>
      <c r="DP138" s="47">
        <v>0</v>
      </c>
      <c r="DQ138" s="47">
        <v>0</v>
      </c>
      <c r="DR138" s="47">
        <v>0</v>
      </c>
      <c r="DS138" s="47">
        <v>0</v>
      </c>
      <c r="DT138" s="47">
        <v>0</v>
      </c>
      <c r="DU138" s="47">
        <v>0.0121</v>
      </c>
      <c r="DV138" s="47">
        <v>0</v>
      </c>
      <c r="DW138" s="47">
        <v>0</v>
      </c>
      <c r="DX138" s="47">
        <v>0</v>
      </c>
      <c r="DY138" s="47">
        <v>0.0121</v>
      </c>
      <c r="DZ138" s="47"/>
      <c r="EA138" s="47">
        <v>1</v>
      </c>
      <c r="ZZ138" t="s">
        <v>1084</v>
      </c>
    </row>
    <row r="139" spans="1:702" x14ac:dyDescent="0.25">
      <c r="A139" s="47" t="s">
        <v>789</v>
      </c>
      <c r="B139" s="47" t="s">
        <v>151</v>
      </c>
      <c r="C139" s="47" t="s">
        <v>155</v>
      </c>
      <c r="D139" s="47" t="s">
        <v>1217</v>
      </c>
      <c r="E139" s="47" t="s">
        <v>790</v>
      </c>
      <c r="F139" s="47" t="s">
        <v>791</v>
      </c>
      <c r="G139" s="47" t="s">
        <v>792</v>
      </c>
      <c r="H139" s="47" t="s">
        <v>380</v>
      </c>
      <c r="I139" s="47" t="s">
        <v>421</v>
      </c>
      <c r="J139" s="47" t="str">
        <f>=IFERROR(VLOOKUP(H139&amp;I139,Table_Fonctions!A:G,6,FALSE),"")</f>
        <v>0</v>
      </c>
      <c r="K139" s="47" t="s">
        <v>1132</v>
      </c>
      <c r="L139" s="47" t="str">
        <f>=IFERROR(VLOOKUP(H139&amp;I139,Table_Fonctions!A:G,7,FALSE),K139)</f>
        <v/>
      </c>
      <c r="M139" s="47" t="str">
        <f>=IF(OR(LEFT(D139, 3)="TJ ", LEFT(D139, 4)="CPH "), "OUI", "NON")</f>
        <v/>
      </c>
      <c r="N139" s="47" t="s">
        <v>793</v>
      </c>
      <c r="O139" s="47"/>
      <c r="P139" s="47">
        <v>1</v>
      </c>
      <c r="Q139" s="47">
        <v>1</v>
      </c>
      <c r="R139" s="47">
        <v>0</v>
      </c>
      <c r="S139" s="47">
        <f>=ROUND(BQ139-(BR139+BS139),3)</f>
      </c>
      <c r="T139" s="47">
        <f>=ROUND(CK139-(CL139+CM139+CN139+CO139+CP139),3)</f>
      </c>
      <c r="U139" s="47">
        <v>0</v>
      </c>
      <c r="V139" s="47">
        <v>0</v>
      </c>
      <c r="W139" s="47">
        <v>0</v>
      </c>
      <c r="X139" s="47">
        <v>0</v>
      </c>
      <c r="Y139" s="47">
        <v>0</v>
      </c>
      <c r="Z139" s="47">
        <v>0</v>
      </c>
      <c r="AA139" s="47">
        <v>0</v>
      </c>
      <c r="AB139" s="47">
        <v>0</v>
      </c>
      <c r="AC139" s="47">
        <v>0</v>
      </c>
      <c r="AD139" s="47">
        <v>0</v>
      </c>
      <c r="AE139" s="47">
        <v>0</v>
      </c>
      <c r="AF139" s="47">
        <v>0</v>
      </c>
      <c r="AG139" s="47">
        <v>0</v>
      </c>
      <c r="AH139" s="47">
        <v>0</v>
      </c>
      <c r="AI139" s="47">
        <v>0</v>
      </c>
      <c r="AJ139" s="47">
        <v>0</v>
      </c>
      <c r="AK139" s="47">
        <v>0</v>
      </c>
      <c r="AL139" s="47">
        <v>0</v>
      </c>
      <c r="AM139" s="47">
        <v>0</v>
      </c>
      <c r="AN139" s="47">
        <v>0</v>
      </c>
      <c r="AO139" s="47">
        <v>0</v>
      </c>
      <c r="AP139" s="47">
        <v>0</v>
      </c>
      <c r="AQ139" s="47">
        <v>0</v>
      </c>
      <c r="AR139" s="47">
        <v>0</v>
      </c>
      <c r="AS139" s="47">
        <v>0</v>
      </c>
      <c r="AT139" s="47">
        <v>0</v>
      </c>
      <c r="AU139" s="47">
        <v>0</v>
      </c>
      <c r="AV139" s="47">
        <v>0</v>
      </c>
      <c r="AW139" s="47">
        <v>0</v>
      </c>
      <c r="AX139" s="47">
        <v>0</v>
      </c>
      <c r="AY139" s="47">
        <v>0</v>
      </c>
      <c r="AZ139" s="47">
        <v>0</v>
      </c>
      <c r="BA139" s="47">
        <v>0</v>
      </c>
      <c r="BB139" s="47">
        <v>0</v>
      </c>
      <c r="BC139" s="47">
        <v>0</v>
      </c>
      <c r="BD139" s="47">
        <v>0</v>
      </c>
      <c r="BE139" s="47">
        <v>0</v>
      </c>
      <c r="BF139" s="47">
        <v>0</v>
      </c>
      <c r="BG139" s="47">
        <v>0</v>
      </c>
      <c r="BH139" s="47">
        <v>0</v>
      </c>
      <c r="BI139" s="47">
        <v>0</v>
      </c>
      <c r="BJ139" s="47">
        <v>0</v>
      </c>
      <c r="BK139" s="47">
        <v>0</v>
      </c>
      <c r="BL139" s="47">
        <v>0</v>
      </c>
      <c r="BM139" s="47">
        <v>0</v>
      </c>
      <c r="BN139" s="47">
        <v>0</v>
      </c>
      <c r="BO139" s="47">
        <v>0</v>
      </c>
      <c r="BP139" s="47">
        <v>0</v>
      </c>
      <c r="BQ139" s="47">
        <v>0</v>
      </c>
      <c r="BR139" s="47">
        <v>0</v>
      </c>
      <c r="BS139" s="47">
        <v>0</v>
      </c>
      <c r="BT139" s="47">
        <v>0</v>
      </c>
      <c r="BU139" s="47">
        <v>0</v>
      </c>
      <c r="BV139" s="47">
        <v>0</v>
      </c>
      <c r="BW139" s="47">
        <v>0</v>
      </c>
      <c r="BX139" s="47">
        <v>0</v>
      </c>
      <c r="BY139" s="47">
        <v>0</v>
      </c>
      <c r="BZ139" s="47">
        <v>0</v>
      </c>
      <c r="CA139" s="47">
        <v>0</v>
      </c>
      <c r="CB139" s="47">
        <v>0</v>
      </c>
      <c r="CC139" s="47">
        <v>0</v>
      </c>
      <c r="CD139" s="47">
        <v>0</v>
      </c>
      <c r="CE139" s="47">
        <v>0</v>
      </c>
      <c r="CF139" s="47">
        <v>0</v>
      </c>
      <c r="CG139" s="47">
        <v>0</v>
      </c>
      <c r="CH139" s="47">
        <v>0</v>
      </c>
      <c r="CI139" s="47">
        <v>0</v>
      </c>
      <c r="CJ139" s="47">
        <v>0</v>
      </c>
      <c r="CK139" s="47">
        <v>0</v>
      </c>
      <c r="CL139" s="47">
        <v>0</v>
      </c>
      <c r="CM139" s="47">
        <v>0</v>
      </c>
      <c r="CN139" s="47">
        <v>0</v>
      </c>
      <c r="CO139" s="47">
        <v>0</v>
      </c>
      <c r="CP139" s="47">
        <v>0</v>
      </c>
      <c r="CQ139" s="47">
        <v>0</v>
      </c>
      <c r="CR139" s="47">
        <v>0</v>
      </c>
      <c r="CS139" s="47">
        <v>0</v>
      </c>
      <c r="CT139" s="47">
        <v>0</v>
      </c>
      <c r="CU139" s="47">
        <v>0</v>
      </c>
      <c r="CV139" s="47">
        <v>0</v>
      </c>
      <c r="CW139" s="47">
        <v>0</v>
      </c>
      <c r="CX139" s="47">
        <v>0</v>
      </c>
      <c r="CY139" s="47">
        <v>1</v>
      </c>
      <c r="CZ139" s="47">
        <v>1</v>
      </c>
      <c r="DA139" s="47">
        <v>0</v>
      </c>
      <c r="DB139" s="47">
        <v>0</v>
      </c>
      <c r="DC139" s="47">
        <v>0</v>
      </c>
      <c r="DD139" s="47">
        <v>0</v>
      </c>
      <c r="DE139" s="47">
        <v>0</v>
      </c>
      <c r="DF139" s="47">
        <v>0</v>
      </c>
      <c r="DG139" s="47">
        <v>0</v>
      </c>
      <c r="DH139" s="47">
        <v>0</v>
      </c>
      <c r="DI139" s="47">
        <v>0</v>
      </c>
      <c r="DJ139" s="47">
        <v>0</v>
      </c>
      <c r="DK139" s="47">
        <v>0</v>
      </c>
      <c r="DL139" s="47">
        <v>0</v>
      </c>
      <c r="DM139" s="47">
        <v>0</v>
      </c>
      <c r="DN139" s="47">
        <v>0</v>
      </c>
      <c r="DO139" s="47">
        <v>0</v>
      </c>
      <c r="DP139" s="47">
        <v>0</v>
      </c>
      <c r="DQ139" s="47">
        <v>0</v>
      </c>
      <c r="DR139" s="47">
        <v>0</v>
      </c>
      <c r="DS139" s="47">
        <v>0</v>
      </c>
      <c r="DT139" s="47">
        <v>0</v>
      </c>
      <c r="DU139" s="47">
        <v>0</v>
      </c>
      <c r="DV139" s="47">
        <v>0</v>
      </c>
      <c r="DW139" s="47">
        <v>0</v>
      </c>
      <c r="DX139" s="47">
        <v>0</v>
      </c>
      <c r="DY139" s="47">
        <v>0</v>
      </c>
      <c r="DZ139" s="47"/>
      <c r="EA139" s="47">
        <v>1</v>
      </c>
      <c r="ZZ139" t="s">
        <v>1084</v>
      </c>
    </row>
    <row r="140" spans="1:702" x14ac:dyDescent="0.25">
      <c r="A140" s="47" t="s">
        <v>794</v>
      </c>
      <c r="B140" s="47" t="s">
        <v>151</v>
      </c>
      <c r="C140" s="47" t="s">
        <v>155</v>
      </c>
      <c r="D140" s="47" t="s">
        <v>1218</v>
      </c>
      <c r="E140" s="47" t="s">
        <v>795</v>
      </c>
      <c r="F140" s="47" t="s">
        <v>796</v>
      </c>
      <c r="G140" s="47" t="s">
        <v>797</v>
      </c>
      <c r="H140" s="47" t="s">
        <v>380</v>
      </c>
      <c r="I140" s="47" t="s">
        <v>411</v>
      </c>
      <c r="J140" s="47" t="str">
        <f>=IFERROR(VLOOKUP(H140&amp;I140,Table_Fonctions!A:G,6,FALSE),"")</f>
        <v>0</v>
      </c>
      <c r="K140" s="47" t="s">
        <v>1132</v>
      </c>
      <c r="L140" s="47" t="str">
        <f>=IFERROR(VLOOKUP(H140&amp;I140,Table_Fonctions!A:G,7,FALSE),K140)</f>
        <v/>
      </c>
      <c r="M140" s="47" t="str">
        <f>=IF(OR(LEFT(D140, 3)="TJ ", LEFT(D140, 4)="CPH "), "OUI", "NON")</f>
        <v/>
      </c>
      <c r="N140" s="47" t="s">
        <v>798</v>
      </c>
      <c r="O140" s="47"/>
      <c r="P140" s="47">
        <v>1</v>
      </c>
      <c r="Q140" s="47">
        <v>0</v>
      </c>
      <c r="R140" s="47">
        <v>1</v>
      </c>
      <c r="S140" s="47">
        <f>=ROUND(BQ140-(BR140+BS140),3)</f>
      </c>
      <c r="T140" s="47">
        <f>=ROUND(CK140-(CL140+CM140+CN140+CO140+CP140),3)</f>
      </c>
      <c r="U140" s="47">
        <v>0</v>
      </c>
      <c r="V140" s="47">
        <v>0</v>
      </c>
      <c r="W140" s="47">
        <v>0</v>
      </c>
      <c r="X140" s="47">
        <v>0</v>
      </c>
      <c r="Y140" s="47">
        <v>0</v>
      </c>
      <c r="Z140" s="47">
        <v>0</v>
      </c>
      <c r="AA140" s="47">
        <v>0</v>
      </c>
      <c r="AB140" s="47">
        <v>0</v>
      </c>
      <c r="AC140" s="47">
        <v>0</v>
      </c>
      <c r="AD140" s="47">
        <v>0</v>
      </c>
      <c r="AE140" s="47">
        <v>0</v>
      </c>
      <c r="AF140" s="47">
        <v>0</v>
      </c>
      <c r="AG140" s="47">
        <v>0</v>
      </c>
      <c r="AH140" s="47">
        <v>0</v>
      </c>
      <c r="AI140" s="47">
        <v>0</v>
      </c>
      <c r="AJ140" s="47">
        <v>0</v>
      </c>
      <c r="AK140" s="47">
        <v>0</v>
      </c>
      <c r="AL140" s="47">
        <v>0</v>
      </c>
      <c r="AM140" s="47">
        <v>0</v>
      </c>
      <c r="AN140" s="47">
        <v>0</v>
      </c>
      <c r="AO140" s="47">
        <v>0</v>
      </c>
      <c r="AP140" s="47">
        <v>0</v>
      </c>
      <c r="AQ140" s="47">
        <v>0</v>
      </c>
      <c r="AR140" s="47">
        <v>0</v>
      </c>
      <c r="AS140" s="47">
        <v>0</v>
      </c>
      <c r="AT140" s="47">
        <v>0</v>
      </c>
      <c r="AU140" s="47">
        <v>0</v>
      </c>
      <c r="AV140" s="47">
        <v>0</v>
      </c>
      <c r="AW140" s="47">
        <v>0</v>
      </c>
      <c r="AX140" s="47">
        <v>0</v>
      </c>
      <c r="AY140" s="47">
        <v>0</v>
      </c>
      <c r="AZ140" s="47">
        <v>0</v>
      </c>
      <c r="BA140" s="47">
        <v>0</v>
      </c>
      <c r="BB140" s="47">
        <v>0</v>
      </c>
      <c r="BC140" s="47">
        <v>0</v>
      </c>
      <c r="BD140" s="47">
        <v>0</v>
      </c>
      <c r="BE140" s="47">
        <v>0</v>
      </c>
      <c r="BF140" s="47">
        <v>0</v>
      </c>
      <c r="BG140" s="47">
        <v>0</v>
      </c>
      <c r="BH140" s="47">
        <v>0</v>
      </c>
      <c r="BI140" s="47">
        <v>0</v>
      </c>
      <c r="BJ140" s="47">
        <v>0</v>
      </c>
      <c r="BK140" s="47">
        <v>0</v>
      </c>
      <c r="BL140" s="47">
        <v>0</v>
      </c>
      <c r="BM140" s="47">
        <v>0</v>
      </c>
      <c r="BN140" s="47">
        <v>0</v>
      </c>
      <c r="BO140" s="47">
        <v>0</v>
      </c>
      <c r="BP140" s="47">
        <v>0</v>
      </c>
      <c r="BQ140" s="47">
        <v>0</v>
      </c>
      <c r="BR140" s="47">
        <v>0</v>
      </c>
      <c r="BS140" s="47">
        <v>0</v>
      </c>
      <c r="BT140" s="47">
        <v>0</v>
      </c>
      <c r="BU140" s="47">
        <v>0</v>
      </c>
      <c r="BV140" s="47">
        <v>0</v>
      </c>
      <c r="BW140" s="47">
        <v>0</v>
      </c>
      <c r="BX140" s="47">
        <v>0</v>
      </c>
      <c r="BY140" s="47">
        <v>0</v>
      </c>
      <c r="BZ140" s="47">
        <v>0</v>
      </c>
      <c r="CA140" s="47">
        <v>0</v>
      </c>
      <c r="CB140" s="47">
        <v>0</v>
      </c>
      <c r="CC140" s="47">
        <v>0</v>
      </c>
      <c r="CD140" s="47">
        <v>0</v>
      </c>
      <c r="CE140" s="47">
        <v>0</v>
      </c>
      <c r="CF140" s="47">
        <v>0</v>
      </c>
      <c r="CG140" s="47">
        <v>0</v>
      </c>
      <c r="CH140" s="47">
        <v>0</v>
      </c>
      <c r="CI140" s="47">
        <v>0</v>
      </c>
      <c r="CJ140" s="47">
        <v>0</v>
      </c>
      <c r="CK140" s="47">
        <v>0</v>
      </c>
      <c r="CL140" s="47">
        <v>0</v>
      </c>
      <c r="CM140" s="47">
        <v>0</v>
      </c>
      <c r="CN140" s="47">
        <v>0</v>
      </c>
      <c r="CO140" s="47">
        <v>0</v>
      </c>
      <c r="CP140" s="47">
        <v>0</v>
      </c>
      <c r="CQ140" s="47">
        <v>0</v>
      </c>
      <c r="CR140" s="47">
        <v>0</v>
      </c>
      <c r="CS140" s="47">
        <v>0</v>
      </c>
      <c r="CT140" s="47">
        <v>0</v>
      </c>
      <c r="CU140" s="47">
        <v>0</v>
      </c>
      <c r="CV140" s="47">
        <v>0</v>
      </c>
      <c r="CW140" s="47">
        <v>0</v>
      </c>
      <c r="CX140" s="47">
        <v>0</v>
      </c>
      <c r="CY140" s="47">
        <v>0</v>
      </c>
      <c r="CZ140" s="47">
        <v>0</v>
      </c>
      <c r="DA140" s="47">
        <v>0</v>
      </c>
      <c r="DB140" s="47">
        <v>0</v>
      </c>
      <c r="DC140" s="47">
        <v>0</v>
      </c>
      <c r="DD140" s="47">
        <v>0</v>
      </c>
      <c r="DE140" s="47">
        <v>0</v>
      </c>
      <c r="DF140" s="47">
        <v>0</v>
      </c>
      <c r="DG140" s="47">
        <v>0</v>
      </c>
      <c r="DH140" s="47">
        <v>0</v>
      </c>
      <c r="DI140" s="47">
        <v>0</v>
      </c>
      <c r="DJ140" s="47">
        <v>0</v>
      </c>
      <c r="DK140" s="47">
        <v>0</v>
      </c>
      <c r="DL140" s="47">
        <v>0</v>
      </c>
      <c r="DM140" s="47">
        <v>0</v>
      </c>
      <c r="DN140" s="47">
        <v>0</v>
      </c>
      <c r="DO140" s="47">
        <v>0</v>
      </c>
      <c r="DP140" s="47">
        <v>0</v>
      </c>
      <c r="DQ140" s="47">
        <v>0</v>
      </c>
      <c r="DR140" s="47">
        <v>0</v>
      </c>
      <c r="DS140" s="47">
        <v>0</v>
      </c>
      <c r="DT140" s="47">
        <v>0</v>
      </c>
      <c r="DU140" s="47">
        <v>0</v>
      </c>
      <c r="DV140" s="47">
        <v>0</v>
      </c>
      <c r="DW140" s="47">
        <v>0</v>
      </c>
      <c r="DX140" s="47">
        <v>0</v>
      </c>
      <c r="DY140" s="47">
        <v>0</v>
      </c>
      <c r="DZ140" s="47"/>
      <c r="EA140" s="47">
        <v>1</v>
      </c>
      <c r="ZZ140" t="s">
        <v>1084</v>
      </c>
    </row>
    <row r="141" spans="1:702" x14ac:dyDescent="0.25">
      <c r="A141" s="47" t="s">
        <v>799</v>
      </c>
      <c r="B141" s="47" t="s">
        <v>151</v>
      </c>
      <c r="C141" s="47" t="s">
        <v>155</v>
      </c>
      <c r="D141" s="47" t="s">
        <v>1219</v>
      </c>
      <c r="E141" s="47" t="s">
        <v>800</v>
      </c>
      <c r="F141" s="47" t="s">
        <v>801</v>
      </c>
      <c r="G141" s="47" t="s">
        <v>802</v>
      </c>
      <c r="H141" s="47" t="s">
        <v>380</v>
      </c>
      <c r="I141" s="47" t="s">
        <v>381</v>
      </c>
      <c r="J141" s="47" t="str">
        <f>=IFERROR(VLOOKUP(H141&amp;I141,Table_Fonctions!A:G,6,FALSE),"")</f>
        <v>0</v>
      </c>
      <c r="K141" s="47" t="s">
        <v>1132</v>
      </c>
      <c r="L141" s="47" t="str">
        <f>=IFERROR(VLOOKUP(H141&amp;I141,Table_Fonctions!A:G,7,FALSE),K141)</f>
        <v/>
      </c>
      <c r="M141" s="47" t="str">
        <f>=IF(OR(LEFT(D141, 3)="TJ ", LEFT(D141, 4)="CPH "), "OUI", "NON")</f>
        <v/>
      </c>
      <c r="N141" s="47" t="s">
        <v>803</v>
      </c>
      <c r="O141" s="47"/>
      <c r="P141" s="47">
        <v>1</v>
      </c>
      <c r="Q141" s="47">
        <v>0</v>
      </c>
      <c r="R141" s="47">
        <v>1</v>
      </c>
      <c r="S141" s="47">
        <f>=ROUND(BQ141-(BR141+BS141),3)</f>
      </c>
      <c r="T141" s="47">
        <f>=ROUND(CK141-(CL141+CM141+CN141+CO141+CP141),3)</f>
      </c>
      <c r="U141" s="47">
        <v>0</v>
      </c>
      <c r="V141" s="47">
        <v>0</v>
      </c>
      <c r="W141" s="47">
        <v>0</v>
      </c>
      <c r="X141" s="47">
        <v>0</v>
      </c>
      <c r="Y141" s="47">
        <v>0</v>
      </c>
      <c r="Z141" s="47">
        <v>0</v>
      </c>
      <c r="AA141" s="47">
        <v>0</v>
      </c>
      <c r="AB141" s="47">
        <v>0</v>
      </c>
      <c r="AC141" s="47">
        <v>0</v>
      </c>
      <c r="AD141" s="47">
        <v>0</v>
      </c>
      <c r="AE141" s="47">
        <v>0</v>
      </c>
      <c r="AF141" s="47">
        <v>0</v>
      </c>
      <c r="AG141" s="47">
        <v>0</v>
      </c>
      <c r="AH141" s="47">
        <v>0</v>
      </c>
      <c r="AI141" s="47">
        <v>0</v>
      </c>
      <c r="AJ141" s="47">
        <v>0</v>
      </c>
      <c r="AK141" s="47">
        <v>0</v>
      </c>
      <c r="AL141" s="47">
        <v>0</v>
      </c>
      <c r="AM141" s="47">
        <v>0</v>
      </c>
      <c r="AN141" s="47">
        <v>0</v>
      </c>
      <c r="AO141" s="47">
        <v>0</v>
      </c>
      <c r="AP141" s="47">
        <v>0</v>
      </c>
      <c r="AQ141" s="47">
        <v>0</v>
      </c>
      <c r="AR141" s="47">
        <v>0</v>
      </c>
      <c r="AS141" s="47">
        <v>0</v>
      </c>
      <c r="AT141" s="47">
        <v>0</v>
      </c>
      <c r="AU141" s="47">
        <v>0</v>
      </c>
      <c r="AV141" s="47">
        <v>0</v>
      </c>
      <c r="AW141" s="47">
        <v>0</v>
      </c>
      <c r="AX141" s="47">
        <v>0</v>
      </c>
      <c r="AY141" s="47">
        <v>0</v>
      </c>
      <c r="AZ141" s="47">
        <v>0</v>
      </c>
      <c r="BA141" s="47">
        <v>0</v>
      </c>
      <c r="BB141" s="47">
        <v>0</v>
      </c>
      <c r="BC141" s="47">
        <v>0</v>
      </c>
      <c r="BD141" s="47">
        <v>0</v>
      </c>
      <c r="BE141" s="47">
        <v>0</v>
      </c>
      <c r="BF141" s="47">
        <v>0</v>
      </c>
      <c r="BG141" s="47">
        <v>0</v>
      </c>
      <c r="BH141" s="47">
        <v>0</v>
      </c>
      <c r="BI141" s="47">
        <v>0</v>
      </c>
      <c r="BJ141" s="47">
        <v>0</v>
      </c>
      <c r="BK141" s="47">
        <v>0</v>
      </c>
      <c r="BL141" s="47">
        <v>0</v>
      </c>
      <c r="BM141" s="47">
        <v>0</v>
      </c>
      <c r="BN141" s="47">
        <v>0</v>
      </c>
      <c r="BO141" s="47">
        <v>0</v>
      </c>
      <c r="BP141" s="47">
        <v>0</v>
      </c>
      <c r="BQ141" s="47">
        <v>0</v>
      </c>
      <c r="BR141" s="47">
        <v>0</v>
      </c>
      <c r="BS141" s="47">
        <v>0</v>
      </c>
      <c r="BT141" s="47">
        <v>0</v>
      </c>
      <c r="BU141" s="47">
        <v>0</v>
      </c>
      <c r="BV141" s="47">
        <v>0</v>
      </c>
      <c r="BW141" s="47">
        <v>0</v>
      </c>
      <c r="BX141" s="47">
        <v>0</v>
      </c>
      <c r="BY141" s="47">
        <v>0</v>
      </c>
      <c r="BZ141" s="47">
        <v>0</v>
      </c>
      <c r="CA141" s="47">
        <v>0</v>
      </c>
      <c r="CB141" s="47">
        <v>0</v>
      </c>
      <c r="CC141" s="47">
        <v>0</v>
      </c>
      <c r="CD141" s="47">
        <v>0</v>
      </c>
      <c r="CE141" s="47">
        <v>0</v>
      </c>
      <c r="CF141" s="47">
        <v>0</v>
      </c>
      <c r="CG141" s="47">
        <v>0</v>
      </c>
      <c r="CH141" s="47">
        <v>0</v>
      </c>
      <c r="CI141" s="47">
        <v>0</v>
      </c>
      <c r="CJ141" s="47">
        <v>0</v>
      </c>
      <c r="CK141" s="47">
        <v>0</v>
      </c>
      <c r="CL141" s="47">
        <v>0</v>
      </c>
      <c r="CM141" s="47">
        <v>0</v>
      </c>
      <c r="CN141" s="47">
        <v>0</v>
      </c>
      <c r="CO141" s="47">
        <v>0</v>
      </c>
      <c r="CP141" s="47">
        <v>0</v>
      </c>
      <c r="CQ141" s="47">
        <v>0</v>
      </c>
      <c r="CR141" s="47">
        <v>0</v>
      </c>
      <c r="CS141" s="47">
        <v>0</v>
      </c>
      <c r="CT141" s="47">
        <v>0</v>
      </c>
      <c r="CU141" s="47">
        <v>0</v>
      </c>
      <c r="CV141" s="47">
        <v>0</v>
      </c>
      <c r="CW141" s="47">
        <v>0</v>
      </c>
      <c r="CX141" s="47">
        <v>0</v>
      </c>
      <c r="CY141" s="47">
        <v>0</v>
      </c>
      <c r="CZ141" s="47">
        <v>0</v>
      </c>
      <c r="DA141" s="47">
        <v>0</v>
      </c>
      <c r="DB141" s="47">
        <v>0</v>
      </c>
      <c r="DC141" s="47">
        <v>0</v>
      </c>
      <c r="DD141" s="47">
        <v>0</v>
      </c>
      <c r="DE141" s="47">
        <v>0</v>
      </c>
      <c r="DF141" s="47">
        <v>0</v>
      </c>
      <c r="DG141" s="47">
        <v>0</v>
      </c>
      <c r="DH141" s="47">
        <v>0</v>
      </c>
      <c r="DI141" s="47">
        <v>0</v>
      </c>
      <c r="DJ141" s="47">
        <v>0</v>
      </c>
      <c r="DK141" s="47">
        <v>0</v>
      </c>
      <c r="DL141" s="47">
        <v>0</v>
      </c>
      <c r="DM141" s="47">
        <v>0</v>
      </c>
      <c r="DN141" s="47">
        <v>0</v>
      </c>
      <c r="DO141" s="47">
        <v>0</v>
      </c>
      <c r="DP141" s="47">
        <v>0</v>
      </c>
      <c r="DQ141" s="47">
        <v>0</v>
      </c>
      <c r="DR141" s="47">
        <v>0</v>
      </c>
      <c r="DS141" s="47">
        <v>0</v>
      </c>
      <c r="DT141" s="47">
        <v>0</v>
      </c>
      <c r="DU141" s="47">
        <v>0</v>
      </c>
      <c r="DV141" s="47">
        <v>0</v>
      </c>
      <c r="DW141" s="47">
        <v>0</v>
      </c>
      <c r="DX141" s="47">
        <v>0</v>
      </c>
      <c r="DY141" s="47">
        <v>0</v>
      </c>
      <c r="DZ141" s="47"/>
      <c r="EA141" s="47">
        <v>1</v>
      </c>
      <c r="ZZ141" t="s">
        <v>1084</v>
      </c>
    </row>
    <row r="142" spans="1:702" x14ac:dyDescent="0.25">
      <c r="A142" s="47" t="s">
        <v>804</v>
      </c>
      <c r="B142" s="47" t="s">
        <v>151</v>
      </c>
      <c r="C142" s="47" t="s">
        <v>155</v>
      </c>
      <c r="D142" s="47" t="s">
        <v>1220</v>
      </c>
      <c r="E142" s="47" t="s">
        <v>805</v>
      </c>
      <c r="F142" s="47" t="s">
        <v>806</v>
      </c>
      <c r="G142" s="47" t="s">
        <v>807</v>
      </c>
      <c r="H142" s="47" t="s">
        <v>380</v>
      </c>
      <c r="I142" s="47" t="s">
        <v>411</v>
      </c>
      <c r="J142" s="47" t="str">
        <f>=IFERROR(VLOOKUP(H142&amp;I142,Table_Fonctions!A:G,6,FALSE),"")</f>
        <v>0</v>
      </c>
      <c r="K142" s="47" t="s">
        <v>1132</v>
      </c>
      <c r="L142" s="47" t="str">
        <f>=IFERROR(VLOOKUP(H142&amp;I142,Table_Fonctions!A:G,7,FALSE),K142)</f>
        <v/>
      </c>
      <c r="M142" s="47" t="str">
        <f>=IF(OR(LEFT(D142, 3)="TJ ", LEFT(D142, 4)="CPH "), "OUI", "NON")</f>
        <v/>
      </c>
      <c r="N142" s="47" t="s">
        <v>808</v>
      </c>
      <c r="O142" s="47"/>
      <c r="P142" s="47">
        <v>1</v>
      </c>
      <c r="Q142" s="47">
        <v>0</v>
      </c>
      <c r="R142" s="47">
        <v>1</v>
      </c>
      <c r="S142" s="47">
        <f>=ROUND(BQ142-(BR142+BS142),3)</f>
      </c>
      <c r="T142" s="47">
        <f>=ROUND(CK142-(CL142+CM142+CN142+CO142+CP142),3)</f>
      </c>
      <c r="U142" s="47">
        <v>0</v>
      </c>
      <c r="V142" s="47">
        <v>0</v>
      </c>
      <c r="W142" s="47">
        <v>0</v>
      </c>
      <c r="X142" s="47">
        <v>0</v>
      </c>
      <c r="Y142" s="47">
        <v>0</v>
      </c>
      <c r="Z142" s="47">
        <v>0</v>
      </c>
      <c r="AA142" s="47">
        <v>0</v>
      </c>
      <c r="AB142" s="47">
        <v>0</v>
      </c>
      <c r="AC142" s="47">
        <v>0</v>
      </c>
      <c r="AD142" s="47">
        <v>0</v>
      </c>
      <c r="AE142" s="47">
        <v>0</v>
      </c>
      <c r="AF142" s="47">
        <v>0</v>
      </c>
      <c r="AG142" s="47">
        <v>0</v>
      </c>
      <c r="AH142" s="47">
        <v>0</v>
      </c>
      <c r="AI142" s="47">
        <v>0</v>
      </c>
      <c r="AJ142" s="47">
        <v>0</v>
      </c>
      <c r="AK142" s="47">
        <v>0</v>
      </c>
      <c r="AL142" s="47">
        <v>0</v>
      </c>
      <c r="AM142" s="47">
        <v>0</v>
      </c>
      <c r="AN142" s="47">
        <v>0</v>
      </c>
      <c r="AO142" s="47">
        <v>0</v>
      </c>
      <c r="AP142" s="47">
        <v>0</v>
      </c>
      <c r="AQ142" s="47">
        <v>0</v>
      </c>
      <c r="AR142" s="47">
        <v>0</v>
      </c>
      <c r="AS142" s="47">
        <v>0</v>
      </c>
      <c r="AT142" s="47">
        <v>0</v>
      </c>
      <c r="AU142" s="47">
        <v>0</v>
      </c>
      <c r="AV142" s="47">
        <v>0</v>
      </c>
      <c r="AW142" s="47">
        <v>0</v>
      </c>
      <c r="AX142" s="47">
        <v>0</v>
      </c>
      <c r="AY142" s="47">
        <v>0</v>
      </c>
      <c r="AZ142" s="47">
        <v>0</v>
      </c>
      <c r="BA142" s="47">
        <v>0</v>
      </c>
      <c r="BB142" s="47">
        <v>0</v>
      </c>
      <c r="BC142" s="47">
        <v>0</v>
      </c>
      <c r="BD142" s="47">
        <v>0</v>
      </c>
      <c r="BE142" s="47">
        <v>0</v>
      </c>
      <c r="BF142" s="47">
        <v>0</v>
      </c>
      <c r="BG142" s="47">
        <v>0</v>
      </c>
      <c r="BH142" s="47">
        <v>0</v>
      </c>
      <c r="BI142" s="47">
        <v>0</v>
      </c>
      <c r="BJ142" s="47">
        <v>0</v>
      </c>
      <c r="BK142" s="47">
        <v>0</v>
      </c>
      <c r="BL142" s="47">
        <v>0</v>
      </c>
      <c r="BM142" s="47">
        <v>0</v>
      </c>
      <c r="BN142" s="47">
        <v>0</v>
      </c>
      <c r="BO142" s="47">
        <v>0</v>
      </c>
      <c r="BP142" s="47">
        <v>0</v>
      </c>
      <c r="BQ142" s="47">
        <v>0</v>
      </c>
      <c r="BR142" s="47">
        <v>0</v>
      </c>
      <c r="BS142" s="47">
        <v>0</v>
      </c>
      <c r="BT142" s="47">
        <v>0</v>
      </c>
      <c r="BU142" s="47">
        <v>0</v>
      </c>
      <c r="BV142" s="47">
        <v>0</v>
      </c>
      <c r="BW142" s="47">
        <v>0</v>
      </c>
      <c r="BX142" s="47">
        <v>0</v>
      </c>
      <c r="BY142" s="47">
        <v>0</v>
      </c>
      <c r="BZ142" s="47">
        <v>0</v>
      </c>
      <c r="CA142" s="47">
        <v>0</v>
      </c>
      <c r="CB142" s="47">
        <v>0</v>
      </c>
      <c r="CC142" s="47">
        <v>0</v>
      </c>
      <c r="CD142" s="47">
        <v>0</v>
      </c>
      <c r="CE142" s="47">
        <v>0</v>
      </c>
      <c r="CF142" s="47">
        <v>0</v>
      </c>
      <c r="CG142" s="47">
        <v>0</v>
      </c>
      <c r="CH142" s="47">
        <v>0</v>
      </c>
      <c r="CI142" s="47">
        <v>0</v>
      </c>
      <c r="CJ142" s="47">
        <v>0</v>
      </c>
      <c r="CK142" s="47">
        <v>0</v>
      </c>
      <c r="CL142" s="47">
        <v>0</v>
      </c>
      <c r="CM142" s="47">
        <v>0</v>
      </c>
      <c r="CN142" s="47">
        <v>0</v>
      </c>
      <c r="CO142" s="47">
        <v>0</v>
      </c>
      <c r="CP142" s="47">
        <v>0</v>
      </c>
      <c r="CQ142" s="47">
        <v>0</v>
      </c>
      <c r="CR142" s="47">
        <v>0</v>
      </c>
      <c r="CS142" s="47">
        <v>0</v>
      </c>
      <c r="CT142" s="47">
        <v>0</v>
      </c>
      <c r="CU142" s="47">
        <v>0</v>
      </c>
      <c r="CV142" s="47">
        <v>0</v>
      </c>
      <c r="CW142" s="47">
        <v>0</v>
      </c>
      <c r="CX142" s="47">
        <v>0</v>
      </c>
      <c r="CY142" s="47">
        <v>0</v>
      </c>
      <c r="CZ142" s="47">
        <v>0</v>
      </c>
      <c r="DA142" s="47">
        <v>0</v>
      </c>
      <c r="DB142" s="47">
        <v>0</v>
      </c>
      <c r="DC142" s="47">
        <v>0</v>
      </c>
      <c r="DD142" s="47">
        <v>0</v>
      </c>
      <c r="DE142" s="47">
        <v>0</v>
      </c>
      <c r="DF142" s="47">
        <v>0</v>
      </c>
      <c r="DG142" s="47">
        <v>0</v>
      </c>
      <c r="DH142" s="47">
        <v>0</v>
      </c>
      <c r="DI142" s="47">
        <v>0</v>
      </c>
      <c r="DJ142" s="47">
        <v>0</v>
      </c>
      <c r="DK142" s="47">
        <v>0</v>
      </c>
      <c r="DL142" s="47">
        <v>0</v>
      </c>
      <c r="DM142" s="47">
        <v>0</v>
      </c>
      <c r="DN142" s="47">
        <v>0</v>
      </c>
      <c r="DO142" s="47">
        <v>0</v>
      </c>
      <c r="DP142" s="47">
        <v>0</v>
      </c>
      <c r="DQ142" s="47">
        <v>0</v>
      </c>
      <c r="DR142" s="47">
        <v>0</v>
      </c>
      <c r="DS142" s="47">
        <v>0</v>
      </c>
      <c r="DT142" s="47">
        <v>0</v>
      </c>
      <c r="DU142" s="47">
        <v>0</v>
      </c>
      <c r="DV142" s="47">
        <v>0</v>
      </c>
      <c r="DW142" s="47">
        <v>0</v>
      </c>
      <c r="DX142" s="47">
        <v>0</v>
      </c>
      <c r="DY142" s="47">
        <v>0</v>
      </c>
      <c r="DZ142" s="47"/>
      <c r="EA142" s="47">
        <v>1</v>
      </c>
      <c r="ZZ142" t="s">
        <v>1084</v>
      </c>
    </row>
    <row r="143" spans="1:702" x14ac:dyDescent="0.25">
      <c r="A143" s="47" t="s">
        <v>809</v>
      </c>
      <c r="B143" s="47" t="s">
        <v>151</v>
      </c>
      <c r="C143" s="47" t="s">
        <v>155</v>
      </c>
      <c r="D143" s="47" t="s">
        <v>1221</v>
      </c>
      <c r="E143" s="47" t="s">
        <v>810</v>
      </c>
      <c r="F143" s="47" t="s">
        <v>811</v>
      </c>
      <c r="G143" s="47" t="s">
        <v>812</v>
      </c>
      <c r="H143" s="47" t="s">
        <v>380</v>
      </c>
      <c r="I143" s="47" t="s">
        <v>381</v>
      </c>
      <c r="J143" s="47" t="str">
        <f>=IFERROR(VLOOKUP(H143&amp;I143,Table_Fonctions!A:G,6,FALSE),"")</f>
        <v>0</v>
      </c>
      <c r="K143" s="47" t="s">
        <v>1132</v>
      </c>
      <c r="L143" s="47" t="str">
        <f>=IFERROR(VLOOKUP(H143&amp;I143,Table_Fonctions!A:G,7,FALSE),K143)</f>
        <v/>
      </c>
      <c r="M143" s="47" t="str">
        <f>=IF(OR(LEFT(D143, 3)="TJ ", LEFT(D143, 4)="CPH "), "OUI", "NON")</f>
        <v/>
      </c>
      <c r="N143" s="47" t="s">
        <v>533</v>
      </c>
      <c r="O143" s="47"/>
      <c r="P143" s="47">
        <v>1</v>
      </c>
      <c r="Q143" s="47">
        <v>0</v>
      </c>
      <c r="R143" s="47">
        <v>1</v>
      </c>
      <c r="S143" s="47">
        <f>=ROUND(BQ143-(BR143+BS143),3)</f>
      </c>
      <c r="T143" s="47">
        <f>=ROUND(CK143-(CL143+CM143+CN143+CO143+CP143),3)</f>
      </c>
      <c r="U143" s="47">
        <v>0</v>
      </c>
      <c r="V143" s="47">
        <v>0</v>
      </c>
      <c r="W143" s="47">
        <v>0</v>
      </c>
      <c r="X143" s="47">
        <v>0</v>
      </c>
      <c r="Y143" s="47">
        <v>0</v>
      </c>
      <c r="Z143" s="47">
        <v>0</v>
      </c>
      <c r="AA143" s="47">
        <v>0</v>
      </c>
      <c r="AB143" s="47">
        <v>0</v>
      </c>
      <c r="AC143" s="47">
        <v>0</v>
      </c>
      <c r="AD143" s="47">
        <v>0</v>
      </c>
      <c r="AE143" s="47">
        <v>0</v>
      </c>
      <c r="AF143" s="47">
        <v>0</v>
      </c>
      <c r="AG143" s="47">
        <v>0</v>
      </c>
      <c r="AH143" s="47">
        <v>0</v>
      </c>
      <c r="AI143" s="47">
        <v>0</v>
      </c>
      <c r="AJ143" s="47">
        <v>0</v>
      </c>
      <c r="AK143" s="47">
        <v>0</v>
      </c>
      <c r="AL143" s="47">
        <v>0</v>
      </c>
      <c r="AM143" s="47">
        <v>0</v>
      </c>
      <c r="AN143" s="47">
        <v>0</v>
      </c>
      <c r="AO143" s="47">
        <v>0</v>
      </c>
      <c r="AP143" s="47">
        <v>0</v>
      </c>
      <c r="AQ143" s="47">
        <v>0</v>
      </c>
      <c r="AR143" s="47">
        <v>0</v>
      </c>
      <c r="AS143" s="47">
        <v>0</v>
      </c>
      <c r="AT143" s="47">
        <v>0</v>
      </c>
      <c r="AU143" s="47">
        <v>0</v>
      </c>
      <c r="AV143" s="47">
        <v>0</v>
      </c>
      <c r="AW143" s="47">
        <v>0</v>
      </c>
      <c r="AX143" s="47">
        <v>0</v>
      </c>
      <c r="AY143" s="47">
        <v>0</v>
      </c>
      <c r="AZ143" s="47">
        <v>0</v>
      </c>
      <c r="BA143" s="47">
        <v>0</v>
      </c>
      <c r="BB143" s="47">
        <v>0</v>
      </c>
      <c r="BC143" s="47">
        <v>0</v>
      </c>
      <c r="BD143" s="47">
        <v>0</v>
      </c>
      <c r="BE143" s="47">
        <v>0</v>
      </c>
      <c r="BF143" s="47">
        <v>0</v>
      </c>
      <c r="BG143" s="47">
        <v>0</v>
      </c>
      <c r="BH143" s="47">
        <v>0</v>
      </c>
      <c r="BI143" s="47">
        <v>0</v>
      </c>
      <c r="BJ143" s="47">
        <v>0</v>
      </c>
      <c r="BK143" s="47">
        <v>0</v>
      </c>
      <c r="BL143" s="47">
        <v>0</v>
      </c>
      <c r="BM143" s="47">
        <v>0</v>
      </c>
      <c r="BN143" s="47">
        <v>0</v>
      </c>
      <c r="BO143" s="47">
        <v>0</v>
      </c>
      <c r="BP143" s="47">
        <v>0</v>
      </c>
      <c r="BQ143" s="47">
        <v>0</v>
      </c>
      <c r="BR143" s="47">
        <v>0</v>
      </c>
      <c r="BS143" s="47">
        <v>0</v>
      </c>
      <c r="BT143" s="47">
        <v>0</v>
      </c>
      <c r="BU143" s="47">
        <v>0</v>
      </c>
      <c r="BV143" s="47">
        <v>0</v>
      </c>
      <c r="BW143" s="47">
        <v>0</v>
      </c>
      <c r="BX143" s="47">
        <v>0</v>
      </c>
      <c r="BY143" s="47">
        <v>0</v>
      </c>
      <c r="BZ143" s="47">
        <v>0</v>
      </c>
      <c r="CA143" s="47">
        <v>0</v>
      </c>
      <c r="CB143" s="47">
        <v>0</v>
      </c>
      <c r="CC143" s="47">
        <v>0</v>
      </c>
      <c r="CD143" s="47">
        <v>0</v>
      </c>
      <c r="CE143" s="47">
        <v>0</v>
      </c>
      <c r="CF143" s="47">
        <v>0</v>
      </c>
      <c r="CG143" s="47">
        <v>0</v>
      </c>
      <c r="CH143" s="47">
        <v>0</v>
      </c>
      <c r="CI143" s="47">
        <v>0</v>
      </c>
      <c r="CJ143" s="47">
        <v>0</v>
      </c>
      <c r="CK143" s="47">
        <v>0</v>
      </c>
      <c r="CL143" s="47">
        <v>0</v>
      </c>
      <c r="CM143" s="47">
        <v>0</v>
      </c>
      <c r="CN143" s="47">
        <v>0</v>
      </c>
      <c r="CO143" s="47">
        <v>0</v>
      </c>
      <c r="CP143" s="47">
        <v>0</v>
      </c>
      <c r="CQ143" s="47">
        <v>0</v>
      </c>
      <c r="CR143" s="47">
        <v>0</v>
      </c>
      <c r="CS143" s="47">
        <v>0</v>
      </c>
      <c r="CT143" s="47">
        <v>0</v>
      </c>
      <c r="CU143" s="47">
        <v>0</v>
      </c>
      <c r="CV143" s="47">
        <v>0</v>
      </c>
      <c r="CW143" s="47">
        <v>0</v>
      </c>
      <c r="CX143" s="47">
        <v>0</v>
      </c>
      <c r="CY143" s="47">
        <v>0</v>
      </c>
      <c r="CZ143" s="47">
        <v>0</v>
      </c>
      <c r="DA143" s="47">
        <v>0</v>
      </c>
      <c r="DB143" s="47">
        <v>0</v>
      </c>
      <c r="DC143" s="47">
        <v>0</v>
      </c>
      <c r="DD143" s="47">
        <v>0</v>
      </c>
      <c r="DE143" s="47">
        <v>0</v>
      </c>
      <c r="DF143" s="47">
        <v>0</v>
      </c>
      <c r="DG143" s="47">
        <v>0</v>
      </c>
      <c r="DH143" s="47">
        <v>0</v>
      </c>
      <c r="DI143" s="47">
        <v>0</v>
      </c>
      <c r="DJ143" s="47">
        <v>0</v>
      </c>
      <c r="DK143" s="47">
        <v>0</v>
      </c>
      <c r="DL143" s="47">
        <v>0</v>
      </c>
      <c r="DM143" s="47">
        <v>0</v>
      </c>
      <c r="DN143" s="47">
        <v>0</v>
      </c>
      <c r="DO143" s="47">
        <v>0</v>
      </c>
      <c r="DP143" s="47">
        <v>0</v>
      </c>
      <c r="DQ143" s="47">
        <v>0</v>
      </c>
      <c r="DR143" s="47">
        <v>0</v>
      </c>
      <c r="DS143" s="47">
        <v>0</v>
      </c>
      <c r="DT143" s="47">
        <v>0</v>
      </c>
      <c r="DU143" s="47">
        <v>0</v>
      </c>
      <c r="DV143" s="47">
        <v>0</v>
      </c>
      <c r="DW143" s="47">
        <v>0</v>
      </c>
      <c r="DX143" s="47">
        <v>0</v>
      </c>
      <c r="DY143" s="47">
        <v>0</v>
      </c>
      <c r="DZ143" s="47"/>
      <c r="EA143" s="47">
        <v>1</v>
      </c>
      <c r="ZZ143" t="s">
        <v>1084</v>
      </c>
    </row>
    <row r="144" spans="1:702" x14ac:dyDescent="0.25">
      <c r="A144" s="47" t="s">
        <v>813</v>
      </c>
      <c r="B144" s="47" t="s">
        <v>151</v>
      </c>
      <c r="C144" s="47" t="s">
        <v>155</v>
      </c>
      <c r="D144" s="47" t="s">
        <v>1139</v>
      </c>
      <c r="E144" s="47" t="s">
        <v>814</v>
      </c>
      <c r="F144" s="47" t="s">
        <v>815</v>
      </c>
      <c r="G144" s="47" t="s">
        <v>816</v>
      </c>
      <c r="H144" s="47" t="s">
        <v>380</v>
      </c>
      <c r="I144" s="47" t="s">
        <v>714</v>
      </c>
      <c r="J144" s="47" t="str">
        <f>=IFERROR(VLOOKUP(H144&amp;I144,Table_Fonctions!A:G,6,FALSE),"")</f>
        <v>0</v>
      </c>
      <c r="K144" s="47" t="s">
        <v>1132</v>
      </c>
      <c r="L144" s="47" t="str">
        <f>=IFERROR(VLOOKUP(H144&amp;I144,Table_Fonctions!A:G,7,FALSE),K144)</f>
        <v/>
      </c>
      <c r="M144" s="47" t="str">
        <f>=IF(OR(LEFT(D144, 3)="TJ ", LEFT(D144, 4)="CPH "), "OUI", "NON")</f>
        <v/>
      </c>
      <c r="N144" s="47" t="s">
        <v>766</v>
      </c>
      <c r="O144" s="47"/>
      <c r="P144" s="47">
        <v>1</v>
      </c>
      <c r="Q144" s="47">
        <v>1</v>
      </c>
      <c r="R144" s="47">
        <v>0</v>
      </c>
      <c r="S144" s="47">
        <f>=ROUND(BQ144-(BR144+BS144),3)</f>
      </c>
      <c r="T144" s="47">
        <f>=ROUND(CK144-(CL144+CM144+CN144+CO144+CP144),3)</f>
      </c>
      <c r="U144" s="47">
        <v>0</v>
      </c>
      <c r="V144" s="47">
        <v>0</v>
      </c>
      <c r="W144" s="47">
        <v>0</v>
      </c>
      <c r="X144" s="47">
        <v>0</v>
      </c>
      <c r="Y144" s="47">
        <v>0</v>
      </c>
      <c r="Z144" s="47">
        <v>0</v>
      </c>
      <c r="AA144" s="47">
        <v>0</v>
      </c>
      <c r="AB144" s="47">
        <v>0</v>
      </c>
      <c r="AC144" s="47">
        <v>0</v>
      </c>
      <c r="AD144" s="47">
        <v>0</v>
      </c>
      <c r="AE144" s="47">
        <v>0</v>
      </c>
      <c r="AF144" s="47">
        <v>0</v>
      </c>
      <c r="AG144" s="47">
        <v>0</v>
      </c>
      <c r="AH144" s="47">
        <v>0</v>
      </c>
      <c r="AI144" s="47">
        <v>0</v>
      </c>
      <c r="AJ144" s="47">
        <v>0</v>
      </c>
      <c r="AK144" s="47">
        <v>0</v>
      </c>
      <c r="AL144" s="47">
        <v>0</v>
      </c>
      <c r="AM144" s="47">
        <v>0</v>
      </c>
      <c r="AN144" s="47">
        <v>0</v>
      </c>
      <c r="AO144" s="47">
        <v>0</v>
      </c>
      <c r="AP144" s="47">
        <v>0</v>
      </c>
      <c r="AQ144" s="47">
        <v>0</v>
      </c>
      <c r="AR144" s="47">
        <v>0</v>
      </c>
      <c r="AS144" s="47">
        <v>0</v>
      </c>
      <c r="AT144" s="47">
        <v>0</v>
      </c>
      <c r="AU144" s="47">
        <v>0</v>
      </c>
      <c r="AV144" s="47">
        <v>0</v>
      </c>
      <c r="AW144" s="47">
        <v>0</v>
      </c>
      <c r="AX144" s="47">
        <v>0</v>
      </c>
      <c r="AY144" s="47">
        <v>0</v>
      </c>
      <c r="AZ144" s="47">
        <v>0</v>
      </c>
      <c r="BA144" s="47">
        <v>0</v>
      </c>
      <c r="BB144" s="47">
        <v>0</v>
      </c>
      <c r="BC144" s="47">
        <v>0</v>
      </c>
      <c r="BD144" s="47">
        <v>0</v>
      </c>
      <c r="BE144" s="47">
        <v>0</v>
      </c>
      <c r="BF144" s="47">
        <v>0</v>
      </c>
      <c r="BG144" s="47">
        <v>0</v>
      </c>
      <c r="BH144" s="47">
        <v>0</v>
      </c>
      <c r="BI144" s="47">
        <v>0</v>
      </c>
      <c r="BJ144" s="47">
        <v>0</v>
      </c>
      <c r="BK144" s="47">
        <v>0</v>
      </c>
      <c r="BL144" s="47">
        <v>0</v>
      </c>
      <c r="BM144" s="47">
        <v>0</v>
      </c>
      <c r="BN144" s="47">
        <v>0</v>
      </c>
      <c r="BO144" s="47">
        <v>0</v>
      </c>
      <c r="BP144" s="47">
        <v>0</v>
      </c>
      <c r="BQ144" s="47">
        <v>0</v>
      </c>
      <c r="BR144" s="47">
        <v>0</v>
      </c>
      <c r="BS144" s="47">
        <v>0</v>
      </c>
      <c r="BT144" s="47">
        <v>0</v>
      </c>
      <c r="BU144" s="47">
        <v>0</v>
      </c>
      <c r="BV144" s="47">
        <v>0</v>
      </c>
      <c r="BW144" s="47">
        <v>0</v>
      </c>
      <c r="BX144" s="47">
        <v>0</v>
      </c>
      <c r="BY144" s="47">
        <v>0</v>
      </c>
      <c r="BZ144" s="47">
        <v>0</v>
      </c>
      <c r="CA144" s="47">
        <v>0</v>
      </c>
      <c r="CB144" s="47">
        <v>0</v>
      </c>
      <c r="CC144" s="47">
        <v>0</v>
      </c>
      <c r="CD144" s="47">
        <v>0</v>
      </c>
      <c r="CE144" s="47">
        <v>0</v>
      </c>
      <c r="CF144" s="47">
        <v>0</v>
      </c>
      <c r="CG144" s="47">
        <v>0</v>
      </c>
      <c r="CH144" s="47">
        <v>0</v>
      </c>
      <c r="CI144" s="47">
        <v>0</v>
      </c>
      <c r="CJ144" s="47">
        <v>0</v>
      </c>
      <c r="CK144" s="47">
        <v>0</v>
      </c>
      <c r="CL144" s="47">
        <v>0</v>
      </c>
      <c r="CM144" s="47">
        <v>0</v>
      </c>
      <c r="CN144" s="47">
        <v>0</v>
      </c>
      <c r="CO144" s="47">
        <v>0</v>
      </c>
      <c r="CP144" s="47">
        <v>0</v>
      </c>
      <c r="CQ144" s="47">
        <v>0</v>
      </c>
      <c r="CR144" s="47">
        <v>0</v>
      </c>
      <c r="CS144" s="47">
        <v>0</v>
      </c>
      <c r="CT144" s="47">
        <v>0</v>
      </c>
      <c r="CU144" s="47">
        <v>0</v>
      </c>
      <c r="CV144" s="47">
        <v>0</v>
      </c>
      <c r="CW144" s="47">
        <v>0</v>
      </c>
      <c r="CX144" s="47">
        <v>0</v>
      </c>
      <c r="CY144" s="47">
        <v>1</v>
      </c>
      <c r="CZ144" s="47">
        <v>1</v>
      </c>
      <c r="DA144" s="47">
        <v>0</v>
      </c>
      <c r="DB144" s="47">
        <v>0</v>
      </c>
      <c r="DC144" s="47">
        <v>0</v>
      </c>
      <c r="DD144" s="47">
        <v>0</v>
      </c>
      <c r="DE144" s="47">
        <v>0</v>
      </c>
      <c r="DF144" s="47">
        <v>0</v>
      </c>
      <c r="DG144" s="47">
        <v>0</v>
      </c>
      <c r="DH144" s="47">
        <v>0</v>
      </c>
      <c r="DI144" s="47">
        <v>0</v>
      </c>
      <c r="DJ144" s="47">
        <v>0</v>
      </c>
      <c r="DK144" s="47">
        <v>0</v>
      </c>
      <c r="DL144" s="47">
        <v>0</v>
      </c>
      <c r="DM144" s="47">
        <v>0</v>
      </c>
      <c r="DN144" s="47">
        <v>0</v>
      </c>
      <c r="DO144" s="47">
        <v>0</v>
      </c>
      <c r="DP144" s="47">
        <v>0</v>
      </c>
      <c r="DQ144" s="47">
        <v>0</v>
      </c>
      <c r="DR144" s="47">
        <v>0</v>
      </c>
      <c r="DS144" s="47">
        <v>0</v>
      </c>
      <c r="DT144" s="47">
        <v>0</v>
      </c>
      <c r="DU144" s="47">
        <v>0</v>
      </c>
      <c r="DV144" s="47">
        <v>0</v>
      </c>
      <c r="DW144" s="47">
        <v>0</v>
      </c>
      <c r="DX144" s="47">
        <v>0.0202</v>
      </c>
      <c r="DY144" s="47">
        <v>0.0202</v>
      </c>
      <c r="DZ144" s="47"/>
      <c r="EA144" s="47">
        <v>1</v>
      </c>
      <c r="ZZ144" t="s">
        <v>1084</v>
      </c>
    </row>
    <row r="145" spans="1:702" x14ac:dyDescent="0.25">
      <c r="A145" s="47" t="s">
        <v>817</v>
      </c>
      <c r="B145" s="47" t="s">
        <v>151</v>
      </c>
      <c r="C145" s="47" t="s">
        <v>155</v>
      </c>
      <c r="D145" s="47" t="s">
        <v>1222</v>
      </c>
      <c r="E145" s="47" t="s">
        <v>818</v>
      </c>
      <c r="F145" s="47" t="s">
        <v>819</v>
      </c>
      <c r="G145" s="47" t="s">
        <v>820</v>
      </c>
      <c r="H145" s="47" t="s">
        <v>380</v>
      </c>
      <c r="I145" s="47" t="s">
        <v>411</v>
      </c>
      <c r="J145" s="47" t="str">
        <f>=IFERROR(VLOOKUP(H145&amp;I145,Table_Fonctions!A:G,6,FALSE),"")</f>
        <v>0</v>
      </c>
      <c r="K145" s="47" t="s">
        <v>1132</v>
      </c>
      <c r="L145" s="47" t="str">
        <f>=IFERROR(VLOOKUP(H145&amp;I145,Table_Fonctions!A:G,7,FALSE),K145)</f>
        <v/>
      </c>
      <c r="M145" s="47" t="str">
        <f>=IF(OR(LEFT(D145, 3)="TJ ", LEFT(D145, 4)="CPH "), "OUI", "NON")</f>
        <v/>
      </c>
      <c r="N145" s="47" t="s">
        <v>821</v>
      </c>
      <c r="O145" s="47"/>
      <c r="P145" s="47">
        <v>1</v>
      </c>
      <c r="Q145" s="47">
        <v>0</v>
      </c>
      <c r="R145" s="47">
        <v>1</v>
      </c>
      <c r="S145" s="47">
        <f>=ROUND(BQ145-(BR145+BS145),3)</f>
      </c>
      <c r="T145" s="47">
        <f>=ROUND(CK145-(CL145+CM145+CN145+CO145+CP145),3)</f>
      </c>
      <c r="U145" s="47">
        <v>0</v>
      </c>
      <c r="V145" s="47">
        <v>0</v>
      </c>
      <c r="W145" s="47">
        <v>0</v>
      </c>
      <c r="X145" s="47">
        <v>0</v>
      </c>
      <c r="Y145" s="47">
        <v>0</v>
      </c>
      <c r="Z145" s="47">
        <v>0</v>
      </c>
      <c r="AA145" s="47">
        <v>0</v>
      </c>
      <c r="AB145" s="47">
        <v>0</v>
      </c>
      <c r="AC145" s="47">
        <v>0</v>
      </c>
      <c r="AD145" s="47">
        <v>0</v>
      </c>
      <c r="AE145" s="47">
        <v>0</v>
      </c>
      <c r="AF145" s="47">
        <v>0</v>
      </c>
      <c r="AG145" s="47">
        <v>0</v>
      </c>
      <c r="AH145" s="47">
        <v>0</v>
      </c>
      <c r="AI145" s="47">
        <v>0</v>
      </c>
      <c r="AJ145" s="47">
        <v>0</v>
      </c>
      <c r="AK145" s="47">
        <v>0</v>
      </c>
      <c r="AL145" s="47">
        <v>0</v>
      </c>
      <c r="AM145" s="47">
        <v>0</v>
      </c>
      <c r="AN145" s="47">
        <v>0</v>
      </c>
      <c r="AO145" s="47">
        <v>0</v>
      </c>
      <c r="AP145" s="47">
        <v>0</v>
      </c>
      <c r="AQ145" s="47">
        <v>0</v>
      </c>
      <c r="AR145" s="47">
        <v>0</v>
      </c>
      <c r="AS145" s="47">
        <v>0</v>
      </c>
      <c r="AT145" s="47">
        <v>0</v>
      </c>
      <c r="AU145" s="47">
        <v>0</v>
      </c>
      <c r="AV145" s="47">
        <v>0</v>
      </c>
      <c r="AW145" s="47">
        <v>0</v>
      </c>
      <c r="AX145" s="47">
        <v>0</v>
      </c>
      <c r="AY145" s="47">
        <v>0</v>
      </c>
      <c r="AZ145" s="47">
        <v>0</v>
      </c>
      <c r="BA145" s="47">
        <v>0</v>
      </c>
      <c r="BB145" s="47">
        <v>0</v>
      </c>
      <c r="BC145" s="47">
        <v>0</v>
      </c>
      <c r="BD145" s="47">
        <v>0</v>
      </c>
      <c r="BE145" s="47">
        <v>0</v>
      </c>
      <c r="BF145" s="47">
        <v>0</v>
      </c>
      <c r="BG145" s="47">
        <v>0</v>
      </c>
      <c r="BH145" s="47">
        <v>0</v>
      </c>
      <c r="BI145" s="47">
        <v>0</v>
      </c>
      <c r="BJ145" s="47">
        <v>0</v>
      </c>
      <c r="BK145" s="47">
        <v>0</v>
      </c>
      <c r="BL145" s="47">
        <v>0</v>
      </c>
      <c r="BM145" s="47">
        <v>0</v>
      </c>
      <c r="BN145" s="47">
        <v>0</v>
      </c>
      <c r="BO145" s="47">
        <v>0</v>
      </c>
      <c r="BP145" s="47">
        <v>0</v>
      </c>
      <c r="BQ145" s="47">
        <v>0</v>
      </c>
      <c r="BR145" s="47">
        <v>0</v>
      </c>
      <c r="BS145" s="47">
        <v>0</v>
      </c>
      <c r="BT145" s="47">
        <v>0</v>
      </c>
      <c r="BU145" s="47">
        <v>0</v>
      </c>
      <c r="BV145" s="47">
        <v>0</v>
      </c>
      <c r="BW145" s="47">
        <v>0</v>
      </c>
      <c r="BX145" s="47">
        <v>0</v>
      </c>
      <c r="BY145" s="47">
        <v>0</v>
      </c>
      <c r="BZ145" s="47">
        <v>0</v>
      </c>
      <c r="CA145" s="47">
        <v>0</v>
      </c>
      <c r="CB145" s="47">
        <v>0</v>
      </c>
      <c r="CC145" s="47">
        <v>0</v>
      </c>
      <c r="CD145" s="47">
        <v>0</v>
      </c>
      <c r="CE145" s="47">
        <v>0</v>
      </c>
      <c r="CF145" s="47">
        <v>0</v>
      </c>
      <c r="CG145" s="47">
        <v>0</v>
      </c>
      <c r="CH145" s="47">
        <v>0</v>
      </c>
      <c r="CI145" s="47">
        <v>0</v>
      </c>
      <c r="CJ145" s="47">
        <v>0</v>
      </c>
      <c r="CK145" s="47">
        <v>0</v>
      </c>
      <c r="CL145" s="47">
        <v>0</v>
      </c>
      <c r="CM145" s="47">
        <v>0</v>
      </c>
      <c r="CN145" s="47">
        <v>0</v>
      </c>
      <c r="CO145" s="47">
        <v>0</v>
      </c>
      <c r="CP145" s="47">
        <v>0</v>
      </c>
      <c r="CQ145" s="47">
        <v>0</v>
      </c>
      <c r="CR145" s="47">
        <v>0</v>
      </c>
      <c r="CS145" s="47">
        <v>0</v>
      </c>
      <c r="CT145" s="47">
        <v>0</v>
      </c>
      <c r="CU145" s="47">
        <v>0</v>
      </c>
      <c r="CV145" s="47">
        <v>0</v>
      </c>
      <c r="CW145" s="47">
        <v>0</v>
      </c>
      <c r="CX145" s="47">
        <v>0</v>
      </c>
      <c r="CY145" s="47">
        <v>0</v>
      </c>
      <c r="CZ145" s="47">
        <v>0</v>
      </c>
      <c r="DA145" s="47">
        <v>0</v>
      </c>
      <c r="DB145" s="47">
        <v>0</v>
      </c>
      <c r="DC145" s="47">
        <v>0</v>
      </c>
      <c r="DD145" s="47">
        <v>0</v>
      </c>
      <c r="DE145" s="47">
        <v>0</v>
      </c>
      <c r="DF145" s="47">
        <v>0</v>
      </c>
      <c r="DG145" s="47">
        <v>0</v>
      </c>
      <c r="DH145" s="47">
        <v>0</v>
      </c>
      <c r="DI145" s="47">
        <v>0</v>
      </c>
      <c r="DJ145" s="47">
        <v>0</v>
      </c>
      <c r="DK145" s="47">
        <v>0</v>
      </c>
      <c r="DL145" s="47">
        <v>0</v>
      </c>
      <c r="DM145" s="47">
        <v>0</v>
      </c>
      <c r="DN145" s="47">
        <v>0</v>
      </c>
      <c r="DO145" s="47">
        <v>0</v>
      </c>
      <c r="DP145" s="47">
        <v>0</v>
      </c>
      <c r="DQ145" s="47">
        <v>0</v>
      </c>
      <c r="DR145" s="47">
        <v>0</v>
      </c>
      <c r="DS145" s="47">
        <v>0</v>
      </c>
      <c r="DT145" s="47">
        <v>0</v>
      </c>
      <c r="DU145" s="47">
        <v>0</v>
      </c>
      <c r="DV145" s="47">
        <v>0</v>
      </c>
      <c r="DW145" s="47">
        <v>0</v>
      </c>
      <c r="DX145" s="47">
        <v>0</v>
      </c>
      <c r="DY145" s="47">
        <v>0</v>
      </c>
      <c r="DZ145" s="47"/>
      <c r="EA145" s="47">
        <v>1</v>
      </c>
      <c r="ZZ145" t="s">
        <v>1084</v>
      </c>
    </row>
    <row r="146" spans="1:702" x14ac:dyDescent="0.25">
      <c r="A146" s="47" t="s">
        <v>822</v>
      </c>
      <c r="B146" s="47" t="s">
        <v>151</v>
      </c>
      <c r="C146" s="47" t="s">
        <v>155</v>
      </c>
      <c r="D146" s="47" t="s">
        <v>1209</v>
      </c>
      <c r="E146" s="47" t="s">
        <v>823</v>
      </c>
      <c r="F146" s="47" t="s">
        <v>824</v>
      </c>
      <c r="G146" s="47" t="s">
        <v>825</v>
      </c>
      <c r="H146" s="47" t="s">
        <v>380</v>
      </c>
      <c r="I146" s="47" t="s">
        <v>714</v>
      </c>
      <c r="J146" s="47" t="str">
        <f>=IFERROR(VLOOKUP(H146&amp;I146,Table_Fonctions!A:G,6,FALSE),"")</f>
        <v>0</v>
      </c>
      <c r="K146" s="47" t="s">
        <v>1132</v>
      </c>
      <c r="L146" s="47" t="str">
        <f>=IFERROR(VLOOKUP(H146&amp;I146,Table_Fonctions!A:G,7,FALSE),K146)</f>
        <v/>
      </c>
      <c r="M146" s="47" t="str">
        <f>=IF(OR(LEFT(D146, 3)="TJ ", LEFT(D146, 4)="CPH "), "OUI", "NON")</f>
        <v/>
      </c>
      <c r="N146" s="47" t="s">
        <v>826</v>
      </c>
      <c r="O146" s="47"/>
      <c r="P146" s="47">
        <v>1</v>
      </c>
      <c r="Q146" s="47">
        <v>1</v>
      </c>
      <c r="R146" s="47">
        <v>0</v>
      </c>
      <c r="S146" s="47">
        <f>=ROUND(BQ146-(BR146+BS146),3)</f>
      </c>
      <c r="T146" s="47">
        <f>=ROUND(CK146-(CL146+CM146+CN146+CO146+CP146),3)</f>
      </c>
      <c r="U146" s="47">
        <v>0</v>
      </c>
      <c r="V146" s="47">
        <v>0</v>
      </c>
      <c r="W146" s="47">
        <v>0</v>
      </c>
      <c r="X146" s="47">
        <v>0</v>
      </c>
      <c r="Y146" s="47">
        <v>0</v>
      </c>
      <c r="Z146" s="47">
        <v>0</v>
      </c>
      <c r="AA146" s="47">
        <v>0</v>
      </c>
      <c r="AB146" s="47">
        <v>0</v>
      </c>
      <c r="AC146" s="47">
        <v>0</v>
      </c>
      <c r="AD146" s="47">
        <v>0</v>
      </c>
      <c r="AE146" s="47">
        <v>0</v>
      </c>
      <c r="AF146" s="47">
        <v>0</v>
      </c>
      <c r="AG146" s="47">
        <v>0</v>
      </c>
      <c r="AH146" s="47">
        <v>0</v>
      </c>
      <c r="AI146" s="47">
        <v>0</v>
      </c>
      <c r="AJ146" s="47">
        <v>0</v>
      </c>
      <c r="AK146" s="47">
        <v>0</v>
      </c>
      <c r="AL146" s="47">
        <v>0</v>
      </c>
      <c r="AM146" s="47">
        <v>0</v>
      </c>
      <c r="AN146" s="47">
        <v>0</v>
      </c>
      <c r="AO146" s="47">
        <v>0</v>
      </c>
      <c r="AP146" s="47">
        <v>0</v>
      </c>
      <c r="AQ146" s="47">
        <v>0</v>
      </c>
      <c r="AR146" s="47">
        <v>0</v>
      </c>
      <c r="AS146" s="47">
        <v>1</v>
      </c>
      <c r="AT146" s="47">
        <v>0</v>
      </c>
      <c r="AU146" s="47">
        <v>0</v>
      </c>
      <c r="AV146" s="47">
        <v>0</v>
      </c>
      <c r="AW146" s="47">
        <v>0</v>
      </c>
      <c r="AX146" s="47">
        <v>0</v>
      </c>
      <c r="AY146" s="47">
        <v>0</v>
      </c>
      <c r="AZ146" s="47">
        <v>0</v>
      </c>
      <c r="BA146" s="47">
        <v>0</v>
      </c>
      <c r="BB146" s="47">
        <v>0</v>
      </c>
      <c r="BC146" s="47">
        <v>0</v>
      </c>
      <c r="BD146" s="47">
        <v>0</v>
      </c>
      <c r="BE146" s="47">
        <v>0</v>
      </c>
      <c r="BF146" s="47">
        <v>0</v>
      </c>
      <c r="BG146" s="47">
        <v>0</v>
      </c>
      <c r="BH146" s="47">
        <v>0</v>
      </c>
      <c r="BI146" s="47">
        <v>0</v>
      </c>
      <c r="BJ146" s="47">
        <v>0</v>
      </c>
      <c r="BK146" s="47">
        <v>0</v>
      </c>
      <c r="BL146" s="47">
        <v>0</v>
      </c>
      <c r="BM146" s="47">
        <v>0</v>
      </c>
      <c r="BN146" s="47">
        <v>0</v>
      </c>
      <c r="BO146" s="47">
        <v>0</v>
      </c>
      <c r="BP146" s="47">
        <v>0</v>
      </c>
      <c r="BQ146" s="47">
        <v>0</v>
      </c>
      <c r="BR146" s="47">
        <v>0</v>
      </c>
      <c r="BS146" s="47">
        <v>0</v>
      </c>
      <c r="BT146" s="47">
        <v>0</v>
      </c>
      <c r="BU146" s="47">
        <v>0</v>
      </c>
      <c r="BV146" s="47">
        <v>0</v>
      </c>
      <c r="BW146" s="47">
        <v>0</v>
      </c>
      <c r="BX146" s="47">
        <v>0</v>
      </c>
      <c r="BY146" s="47">
        <v>0</v>
      </c>
      <c r="BZ146" s="47">
        <v>0</v>
      </c>
      <c r="CA146" s="47">
        <v>0</v>
      </c>
      <c r="CB146" s="47">
        <v>0</v>
      </c>
      <c r="CC146" s="47">
        <v>0</v>
      </c>
      <c r="CD146" s="47">
        <v>0</v>
      </c>
      <c r="CE146" s="47">
        <v>0</v>
      </c>
      <c r="CF146" s="47">
        <v>0</v>
      </c>
      <c r="CG146" s="47">
        <v>0</v>
      </c>
      <c r="CH146" s="47">
        <v>0</v>
      </c>
      <c r="CI146" s="47">
        <v>0</v>
      </c>
      <c r="CJ146" s="47">
        <v>0</v>
      </c>
      <c r="CK146" s="47">
        <v>0</v>
      </c>
      <c r="CL146" s="47">
        <v>0</v>
      </c>
      <c r="CM146" s="47">
        <v>0</v>
      </c>
      <c r="CN146" s="47">
        <v>0</v>
      </c>
      <c r="CO146" s="47">
        <v>0</v>
      </c>
      <c r="CP146" s="47">
        <v>0</v>
      </c>
      <c r="CQ146" s="47">
        <v>0</v>
      </c>
      <c r="CR146" s="47">
        <v>0</v>
      </c>
      <c r="CS146" s="47">
        <v>0</v>
      </c>
      <c r="CT146" s="47">
        <v>0</v>
      </c>
      <c r="CU146" s="47">
        <v>0</v>
      </c>
      <c r="CV146" s="47">
        <v>0</v>
      </c>
      <c r="CW146" s="47">
        <v>0</v>
      </c>
      <c r="CX146" s="47">
        <v>0</v>
      </c>
      <c r="CY146" s="47">
        <v>0</v>
      </c>
      <c r="CZ146" s="47">
        <v>0</v>
      </c>
      <c r="DA146" s="47">
        <v>0</v>
      </c>
      <c r="DB146" s="47">
        <v>0</v>
      </c>
      <c r="DC146" s="47">
        <v>0</v>
      </c>
      <c r="DD146" s="47">
        <v>0</v>
      </c>
      <c r="DE146" s="47">
        <v>0</v>
      </c>
      <c r="DF146" s="47">
        <v>0</v>
      </c>
      <c r="DG146" s="47">
        <v>0</v>
      </c>
      <c r="DH146" s="47">
        <v>0</v>
      </c>
      <c r="DI146" s="47">
        <v>0</v>
      </c>
      <c r="DJ146" s="47">
        <v>0</v>
      </c>
      <c r="DK146" s="47">
        <v>0</v>
      </c>
      <c r="DL146" s="47">
        <v>0</v>
      </c>
      <c r="DM146" s="47">
        <v>0</v>
      </c>
      <c r="DN146" s="47">
        <v>0</v>
      </c>
      <c r="DO146" s="47">
        <v>0</v>
      </c>
      <c r="DP146" s="47">
        <v>0</v>
      </c>
      <c r="DQ146" s="47">
        <v>0</v>
      </c>
      <c r="DR146" s="47">
        <v>0</v>
      </c>
      <c r="DS146" s="47">
        <v>0</v>
      </c>
      <c r="DT146" s="47">
        <v>0</v>
      </c>
      <c r="DU146" s="47">
        <v>0</v>
      </c>
      <c r="DV146" s="47">
        <v>0</v>
      </c>
      <c r="DW146" s="47">
        <v>0</v>
      </c>
      <c r="DX146" s="47">
        <v>0</v>
      </c>
      <c r="DY146" s="47">
        <v>0</v>
      </c>
      <c r="DZ146" s="47"/>
      <c r="EA146" s="47">
        <v>1</v>
      </c>
      <c r="ZZ146" t="s">
        <v>1084</v>
      </c>
    </row>
    <row r="147" spans="1:702" x14ac:dyDescent="0.25">
      <c r="A147" s="47" t="s">
        <v>827</v>
      </c>
      <c r="B147" s="47" t="s">
        <v>151</v>
      </c>
      <c r="C147" s="47" t="s">
        <v>155</v>
      </c>
      <c r="D147" s="47" t="s">
        <v>1223</v>
      </c>
      <c r="E147" s="47" t="s">
        <v>828</v>
      </c>
      <c r="F147" s="47" t="s">
        <v>829</v>
      </c>
      <c r="G147" s="47" t="s">
        <v>830</v>
      </c>
      <c r="H147" s="47" t="s">
        <v>380</v>
      </c>
      <c r="I147" s="47" t="s">
        <v>381</v>
      </c>
      <c r="J147" s="47" t="str">
        <f>=IFERROR(VLOOKUP(H147&amp;I147,Table_Fonctions!A:G,6,FALSE),"")</f>
        <v>0</v>
      </c>
      <c r="K147" s="47" t="s">
        <v>1132</v>
      </c>
      <c r="L147" s="47" t="str">
        <f>=IFERROR(VLOOKUP(H147&amp;I147,Table_Fonctions!A:G,7,FALSE),K147)</f>
        <v/>
      </c>
      <c r="M147" s="47" t="str">
        <f>=IF(OR(LEFT(D147, 3)="TJ ", LEFT(D147, 4)="CPH "), "OUI", "NON")</f>
        <v/>
      </c>
      <c r="N147" s="47" t="s">
        <v>831</v>
      </c>
      <c r="O147" s="47"/>
      <c r="P147" s="47">
        <v>0</v>
      </c>
      <c r="Q147" s="47">
        <v>0</v>
      </c>
      <c r="R147" s="47">
        <v>0</v>
      </c>
      <c r="S147" s="47">
        <f>=ROUND(BQ147-(BR147+BS147),3)</f>
      </c>
      <c r="T147" s="47">
        <f>=ROUND(CK147-(CL147+CM147+CN147+CO147+CP147),3)</f>
      </c>
      <c r="U147" s="47">
        <v>0</v>
      </c>
      <c r="V147" s="47">
        <v>0</v>
      </c>
      <c r="W147" s="47">
        <v>0</v>
      </c>
      <c r="X147" s="47">
        <v>0</v>
      </c>
      <c r="Y147" s="47">
        <v>0</v>
      </c>
      <c r="Z147" s="47">
        <v>0</v>
      </c>
      <c r="AA147" s="47">
        <v>0</v>
      </c>
      <c r="AB147" s="47">
        <v>0</v>
      </c>
      <c r="AC147" s="47">
        <v>0</v>
      </c>
      <c r="AD147" s="47">
        <v>0</v>
      </c>
      <c r="AE147" s="47">
        <v>0</v>
      </c>
      <c r="AF147" s="47">
        <v>0</v>
      </c>
      <c r="AG147" s="47">
        <v>0</v>
      </c>
      <c r="AH147" s="47">
        <v>0</v>
      </c>
      <c r="AI147" s="47">
        <v>0</v>
      </c>
      <c r="AJ147" s="47">
        <v>0</v>
      </c>
      <c r="AK147" s="47">
        <v>0</v>
      </c>
      <c r="AL147" s="47">
        <v>0</v>
      </c>
      <c r="AM147" s="47">
        <v>0</v>
      </c>
      <c r="AN147" s="47">
        <v>0</v>
      </c>
      <c r="AO147" s="47">
        <v>0</v>
      </c>
      <c r="AP147" s="47">
        <v>0</v>
      </c>
      <c r="AQ147" s="47">
        <v>0</v>
      </c>
      <c r="AR147" s="47">
        <v>0</v>
      </c>
      <c r="AS147" s="47">
        <v>0</v>
      </c>
      <c r="AT147" s="47">
        <v>0</v>
      </c>
      <c r="AU147" s="47">
        <v>0</v>
      </c>
      <c r="AV147" s="47">
        <v>0</v>
      </c>
      <c r="AW147" s="47">
        <v>0</v>
      </c>
      <c r="AX147" s="47">
        <v>0</v>
      </c>
      <c r="AY147" s="47">
        <v>0</v>
      </c>
      <c r="AZ147" s="47">
        <v>0</v>
      </c>
      <c r="BA147" s="47">
        <v>0</v>
      </c>
      <c r="BB147" s="47">
        <v>0</v>
      </c>
      <c r="BC147" s="47">
        <v>0</v>
      </c>
      <c r="BD147" s="47">
        <v>0</v>
      </c>
      <c r="BE147" s="47">
        <v>0</v>
      </c>
      <c r="BF147" s="47">
        <v>0</v>
      </c>
      <c r="BG147" s="47">
        <v>0</v>
      </c>
      <c r="BH147" s="47">
        <v>0</v>
      </c>
      <c r="BI147" s="47">
        <v>0</v>
      </c>
      <c r="BJ147" s="47">
        <v>0</v>
      </c>
      <c r="BK147" s="47">
        <v>0</v>
      </c>
      <c r="BL147" s="47">
        <v>0</v>
      </c>
      <c r="BM147" s="47">
        <v>0</v>
      </c>
      <c r="BN147" s="47">
        <v>0</v>
      </c>
      <c r="BO147" s="47">
        <v>0</v>
      </c>
      <c r="BP147" s="47">
        <v>0</v>
      </c>
      <c r="BQ147" s="47">
        <v>0</v>
      </c>
      <c r="BR147" s="47">
        <v>0</v>
      </c>
      <c r="BS147" s="47">
        <v>0</v>
      </c>
      <c r="BT147" s="47">
        <v>0</v>
      </c>
      <c r="BU147" s="47">
        <v>0</v>
      </c>
      <c r="BV147" s="47">
        <v>0</v>
      </c>
      <c r="BW147" s="47">
        <v>0</v>
      </c>
      <c r="BX147" s="47">
        <v>0</v>
      </c>
      <c r="BY147" s="47">
        <v>0</v>
      </c>
      <c r="BZ147" s="47">
        <v>0</v>
      </c>
      <c r="CA147" s="47">
        <v>0</v>
      </c>
      <c r="CB147" s="47">
        <v>0</v>
      </c>
      <c r="CC147" s="47">
        <v>0</v>
      </c>
      <c r="CD147" s="47">
        <v>0</v>
      </c>
      <c r="CE147" s="47">
        <v>0</v>
      </c>
      <c r="CF147" s="47">
        <v>0</v>
      </c>
      <c r="CG147" s="47">
        <v>0</v>
      </c>
      <c r="CH147" s="47">
        <v>0</v>
      </c>
      <c r="CI147" s="47">
        <v>0</v>
      </c>
      <c r="CJ147" s="47">
        <v>0</v>
      </c>
      <c r="CK147" s="47">
        <v>0</v>
      </c>
      <c r="CL147" s="47">
        <v>0</v>
      </c>
      <c r="CM147" s="47">
        <v>0</v>
      </c>
      <c r="CN147" s="47">
        <v>0</v>
      </c>
      <c r="CO147" s="47">
        <v>0</v>
      </c>
      <c r="CP147" s="47">
        <v>0</v>
      </c>
      <c r="CQ147" s="47">
        <v>0</v>
      </c>
      <c r="CR147" s="47">
        <v>0</v>
      </c>
      <c r="CS147" s="47">
        <v>0</v>
      </c>
      <c r="CT147" s="47">
        <v>0</v>
      </c>
      <c r="CU147" s="47">
        <v>0</v>
      </c>
      <c r="CV147" s="47">
        <v>0</v>
      </c>
      <c r="CW147" s="47">
        <v>0</v>
      </c>
      <c r="CX147" s="47">
        <v>0</v>
      </c>
      <c r="CY147" s="47">
        <v>0</v>
      </c>
      <c r="CZ147" s="47">
        <v>0</v>
      </c>
      <c r="DA147" s="47">
        <v>0</v>
      </c>
      <c r="DB147" s="47">
        <v>0</v>
      </c>
      <c r="DC147" s="47">
        <v>0</v>
      </c>
      <c r="DD147" s="47">
        <v>0</v>
      </c>
      <c r="DE147" s="47">
        <v>0</v>
      </c>
      <c r="DF147" s="47">
        <v>0</v>
      </c>
      <c r="DG147" s="47">
        <v>0</v>
      </c>
      <c r="DH147" s="47">
        <v>0</v>
      </c>
      <c r="DI147" s="47">
        <v>0</v>
      </c>
      <c r="DJ147" s="47">
        <v>0</v>
      </c>
      <c r="DK147" s="47">
        <v>0.5</v>
      </c>
      <c r="DL147" s="47">
        <v>0</v>
      </c>
      <c r="DM147" s="47">
        <v>0</v>
      </c>
      <c r="DN147" s="47">
        <v>0</v>
      </c>
      <c r="DO147" s="47">
        <v>0</v>
      </c>
      <c r="DP147" s="47">
        <v>0</v>
      </c>
      <c r="DQ147" s="47">
        <v>0</v>
      </c>
      <c r="DR147" s="47">
        <v>0.5</v>
      </c>
      <c r="DS147" s="47">
        <v>0</v>
      </c>
      <c r="DT147" s="47">
        <v>0</v>
      </c>
      <c r="DU147" s="47">
        <v>0</v>
      </c>
      <c r="DV147" s="47">
        <v>0</v>
      </c>
      <c r="DW147" s="47">
        <v>0</v>
      </c>
      <c r="DX147" s="47">
        <v>0</v>
      </c>
      <c r="DY147" s="47">
        <v>0</v>
      </c>
      <c r="DZ147" s="47"/>
      <c r="EA147" s="47">
        <v>0.5</v>
      </c>
      <c r="ZZ147" t="s">
        <v>1084</v>
      </c>
    </row>
    <row r="148" spans="1:702" x14ac:dyDescent="0.25">
      <c r="A148" s="47" t="s">
        <v>832</v>
      </c>
      <c r="B148" s="47" t="s">
        <v>151</v>
      </c>
      <c r="C148" s="47" t="s">
        <v>155</v>
      </c>
      <c r="D148" s="47" t="s">
        <v>1224</v>
      </c>
      <c r="E148" s="47" t="s">
        <v>833</v>
      </c>
      <c r="F148" s="47" t="s">
        <v>834</v>
      </c>
      <c r="G148" s="47" t="s">
        <v>835</v>
      </c>
      <c r="H148" s="47" t="s">
        <v>380</v>
      </c>
      <c r="I148" s="47" t="s">
        <v>381</v>
      </c>
      <c r="J148" s="47" t="str">
        <f>=IFERROR(VLOOKUP(H148&amp;I148,Table_Fonctions!A:G,6,FALSE),"")</f>
        <v>0</v>
      </c>
      <c r="K148" s="47" t="s">
        <v>1132</v>
      </c>
      <c r="L148" s="47" t="str">
        <f>=IFERROR(VLOOKUP(H148&amp;I148,Table_Fonctions!A:G,7,FALSE),K148)</f>
        <v/>
      </c>
      <c r="M148" s="47" t="str">
        <f>=IF(OR(LEFT(D148, 3)="TJ ", LEFT(D148, 4)="CPH "), "OUI", "NON")</f>
        <v/>
      </c>
      <c r="N148" s="47" t="s">
        <v>836</v>
      </c>
      <c r="O148" s="47"/>
      <c r="P148" s="47">
        <v>1</v>
      </c>
      <c r="Q148" s="47">
        <v>1</v>
      </c>
      <c r="R148" s="47">
        <v>0</v>
      </c>
      <c r="S148" s="47">
        <f>=ROUND(BQ148-(BR148+BS148),3)</f>
      </c>
      <c r="T148" s="47">
        <f>=ROUND(CK148-(CL148+CM148+CN148+CO148+CP148),3)</f>
      </c>
      <c r="U148" s="47">
        <v>0</v>
      </c>
      <c r="V148" s="47">
        <v>0</v>
      </c>
      <c r="W148" s="47">
        <v>0</v>
      </c>
      <c r="X148" s="47">
        <v>0</v>
      </c>
      <c r="Y148" s="47">
        <v>0</v>
      </c>
      <c r="Z148" s="47">
        <v>0</v>
      </c>
      <c r="AA148" s="47">
        <v>0</v>
      </c>
      <c r="AB148" s="47">
        <v>0</v>
      </c>
      <c r="AC148" s="47">
        <v>0</v>
      </c>
      <c r="AD148" s="47">
        <v>0</v>
      </c>
      <c r="AE148" s="47">
        <v>0</v>
      </c>
      <c r="AF148" s="47">
        <v>0</v>
      </c>
      <c r="AG148" s="47">
        <v>0</v>
      </c>
      <c r="AH148" s="47">
        <v>0</v>
      </c>
      <c r="AI148" s="47">
        <v>0</v>
      </c>
      <c r="AJ148" s="47">
        <v>0</v>
      </c>
      <c r="AK148" s="47">
        <v>0</v>
      </c>
      <c r="AL148" s="47">
        <v>0</v>
      </c>
      <c r="AM148" s="47">
        <v>0</v>
      </c>
      <c r="AN148" s="47">
        <v>0</v>
      </c>
      <c r="AO148" s="47">
        <v>0</v>
      </c>
      <c r="AP148" s="47">
        <v>0</v>
      </c>
      <c r="AQ148" s="47">
        <v>0</v>
      </c>
      <c r="AR148" s="47">
        <v>0</v>
      </c>
      <c r="AS148" s="47">
        <v>0</v>
      </c>
      <c r="AT148" s="47">
        <v>0</v>
      </c>
      <c r="AU148" s="47">
        <v>0</v>
      </c>
      <c r="AV148" s="47">
        <v>0</v>
      </c>
      <c r="AW148" s="47">
        <v>0</v>
      </c>
      <c r="AX148" s="47">
        <v>0</v>
      </c>
      <c r="AY148" s="47">
        <v>0</v>
      </c>
      <c r="AZ148" s="47">
        <v>0</v>
      </c>
      <c r="BA148" s="47">
        <v>0</v>
      </c>
      <c r="BB148" s="47">
        <v>0</v>
      </c>
      <c r="BC148" s="47">
        <v>0</v>
      </c>
      <c r="BD148" s="47">
        <v>0</v>
      </c>
      <c r="BE148" s="47">
        <v>0</v>
      </c>
      <c r="BF148" s="47">
        <v>0</v>
      </c>
      <c r="BG148" s="47">
        <v>0</v>
      </c>
      <c r="BH148" s="47">
        <v>0</v>
      </c>
      <c r="BI148" s="47">
        <v>0</v>
      </c>
      <c r="BJ148" s="47">
        <v>0</v>
      </c>
      <c r="BK148" s="47">
        <v>0</v>
      </c>
      <c r="BL148" s="47">
        <v>0</v>
      </c>
      <c r="BM148" s="47">
        <v>0</v>
      </c>
      <c r="BN148" s="47">
        <v>0</v>
      </c>
      <c r="BO148" s="47">
        <v>0</v>
      </c>
      <c r="BP148" s="47">
        <v>0</v>
      </c>
      <c r="BQ148" s="47">
        <v>0</v>
      </c>
      <c r="BR148" s="47">
        <v>0</v>
      </c>
      <c r="BS148" s="47">
        <v>0</v>
      </c>
      <c r="BT148" s="47">
        <v>0</v>
      </c>
      <c r="BU148" s="47">
        <v>0</v>
      </c>
      <c r="BV148" s="47">
        <v>0</v>
      </c>
      <c r="BW148" s="47">
        <v>0</v>
      </c>
      <c r="BX148" s="47">
        <v>0</v>
      </c>
      <c r="BY148" s="47">
        <v>0</v>
      </c>
      <c r="BZ148" s="47">
        <v>0</v>
      </c>
      <c r="CA148" s="47">
        <v>0</v>
      </c>
      <c r="CB148" s="47">
        <v>0</v>
      </c>
      <c r="CC148" s="47">
        <v>0</v>
      </c>
      <c r="CD148" s="47">
        <v>0</v>
      </c>
      <c r="CE148" s="47">
        <v>0</v>
      </c>
      <c r="CF148" s="47">
        <v>0</v>
      </c>
      <c r="CG148" s="47">
        <v>0</v>
      </c>
      <c r="CH148" s="47">
        <v>0</v>
      </c>
      <c r="CI148" s="47">
        <v>0</v>
      </c>
      <c r="CJ148" s="47">
        <v>0</v>
      </c>
      <c r="CK148" s="47">
        <v>0</v>
      </c>
      <c r="CL148" s="47">
        <v>0</v>
      </c>
      <c r="CM148" s="47">
        <v>0</v>
      </c>
      <c r="CN148" s="47">
        <v>0</v>
      </c>
      <c r="CO148" s="47">
        <v>0</v>
      </c>
      <c r="CP148" s="47">
        <v>0</v>
      </c>
      <c r="CQ148" s="47">
        <v>0</v>
      </c>
      <c r="CR148" s="47">
        <v>0</v>
      </c>
      <c r="CS148" s="47">
        <v>0</v>
      </c>
      <c r="CT148" s="47">
        <v>0</v>
      </c>
      <c r="CU148" s="47">
        <v>0</v>
      </c>
      <c r="CV148" s="47">
        <v>0</v>
      </c>
      <c r="CW148" s="47">
        <v>0</v>
      </c>
      <c r="CX148" s="47">
        <v>0</v>
      </c>
      <c r="CY148" s="47">
        <v>1</v>
      </c>
      <c r="CZ148" s="47">
        <v>0</v>
      </c>
      <c r="DA148" s="47">
        <v>0</v>
      </c>
      <c r="DB148" s="47">
        <v>0</v>
      </c>
      <c r="DC148" s="47">
        <v>0</v>
      </c>
      <c r="DD148" s="47">
        <v>0</v>
      </c>
      <c r="DE148" s="47">
        <v>1</v>
      </c>
      <c r="DF148" s="47">
        <v>0</v>
      </c>
      <c r="DG148" s="47">
        <v>0</v>
      </c>
      <c r="DH148" s="47">
        <v>0</v>
      </c>
      <c r="DI148" s="47">
        <v>0</v>
      </c>
      <c r="DJ148" s="47">
        <v>0</v>
      </c>
      <c r="DK148" s="47">
        <v>0</v>
      </c>
      <c r="DL148" s="47">
        <v>0</v>
      </c>
      <c r="DM148" s="47">
        <v>0</v>
      </c>
      <c r="DN148" s="47">
        <v>0</v>
      </c>
      <c r="DO148" s="47">
        <v>0</v>
      </c>
      <c r="DP148" s="47">
        <v>0</v>
      </c>
      <c r="DQ148" s="47">
        <v>0</v>
      </c>
      <c r="DR148" s="47">
        <v>0</v>
      </c>
      <c r="DS148" s="47">
        <v>0</v>
      </c>
      <c r="DT148" s="47">
        <v>0</v>
      </c>
      <c r="DU148" s="47">
        <v>0</v>
      </c>
      <c r="DV148" s="47">
        <v>0</v>
      </c>
      <c r="DW148" s="47">
        <v>0</v>
      </c>
      <c r="DX148" s="47">
        <v>0</v>
      </c>
      <c r="DY148" s="47">
        <v>0</v>
      </c>
      <c r="DZ148" s="47"/>
      <c r="EA148" s="47">
        <v>1</v>
      </c>
      <c r="ZZ148" t="s">
        <v>1084</v>
      </c>
    </row>
    <row r="149" spans="1:702" x14ac:dyDescent="0.25">
      <c r="A149" s="47" t="s">
        <v>837</v>
      </c>
      <c r="B149" s="47" t="s">
        <v>151</v>
      </c>
      <c r="C149" s="47" t="s">
        <v>155</v>
      </c>
      <c r="D149" s="47" t="s">
        <v>1225</v>
      </c>
      <c r="E149" s="47" t="s">
        <v>838</v>
      </c>
      <c r="F149" s="47" t="s">
        <v>839</v>
      </c>
      <c r="G149" s="47" t="s">
        <v>840</v>
      </c>
      <c r="H149" s="47" t="s">
        <v>380</v>
      </c>
      <c r="I149" s="47" t="s">
        <v>411</v>
      </c>
      <c r="J149" s="47" t="str">
        <f>=IFERROR(VLOOKUP(H149&amp;I149,Table_Fonctions!A:G,6,FALSE),"")</f>
        <v>0</v>
      </c>
      <c r="K149" s="47" t="s">
        <v>1132</v>
      </c>
      <c r="L149" s="47" t="str">
        <f>=IFERROR(VLOOKUP(H149&amp;I149,Table_Fonctions!A:G,7,FALSE),K149)</f>
        <v/>
      </c>
      <c r="M149" s="47" t="str">
        <f>=IF(OR(LEFT(D149, 3)="TJ ", LEFT(D149, 4)="CPH "), "OUI", "NON")</f>
        <v/>
      </c>
      <c r="N149" s="47" t="s">
        <v>841</v>
      </c>
      <c r="O149" s="47"/>
      <c r="P149" s="47">
        <v>1</v>
      </c>
      <c r="Q149" s="47">
        <v>1</v>
      </c>
      <c r="R149" s="47">
        <v>0</v>
      </c>
      <c r="S149" s="47">
        <f>=ROUND(BQ149-(BR149+BS149),3)</f>
      </c>
      <c r="T149" s="47">
        <f>=ROUND(CK149-(CL149+CM149+CN149+CO149+CP149),3)</f>
      </c>
      <c r="U149" s="47">
        <v>0</v>
      </c>
      <c r="V149" s="47">
        <v>0</v>
      </c>
      <c r="W149" s="47">
        <v>0</v>
      </c>
      <c r="X149" s="47">
        <v>0</v>
      </c>
      <c r="Y149" s="47">
        <v>0</v>
      </c>
      <c r="Z149" s="47">
        <v>0</v>
      </c>
      <c r="AA149" s="47">
        <v>0</v>
      </c>
      <c r="AB149" s="47">
        <v>0</v>
      </c>
      <c r="AC149" s="47">
        <v>0</v>
      </c>
      <c r="AD149" s="47">
        <v>0</v>
      </c>
      <c r="AE149" s="47">
        <v>0</v>
      </c>
      <c r="AF149" s="47">
        <v>0</v>
      </c>
      <c r="AG149" s="47">
        <v>0</v>
      </c>
      <c r="AH149" s="47">
        <v>0</v>
      </c>
      <c r="AI149" s="47">
        <v>0</v>
      </c>
      <c r="AJ149" s="47">
        <v>0</v>
      </c>
      <c r="AK149" s="47">
        <v>0</v>
      </c>
      <c r="AL149" s="47">
        <v>0</v>
      </c>
      <c r="AM149" s="47">
        <v>0</v>
      </c>
      <c r="AN149" s="47">
        <v>0</v>
      </c>
      <c r="AO149" s="47">
        <v>0</v>
      </c>
      <c r="AP149" s="47">
        <v>0</v>
      </c>
      <c r="AQ149" s="47">
        <v>0</v>
      </c>
      <c r="AR149" s="47">
        <v>0</v>
      </c>
      <c r="AS149" s="47">
        <v>0</v>
      </c>
      <c r="AT149" s="47">
        <v>0</v>
      </c>
      <c r="AU149" s="47">
        <v>0</v>
      </c>
      <c r="AV149" s="47">
        <v>0</v>
      </c>
      <c r="AW149" s="47">
        <v>0</v>
      </c>
      <c r="AX149" s="47">
        <v>0</v>
      </c>
      <c r="AY149" s="47">
        <v>0</v>
      </c>
      <c r="AZ149" s="47">
        <v>0</v>
      </c>
      <c r="BA149" s="47">
        <v>0</v>
      </c>
      <c r="BB149" s="47">
        <v>0</v>
      </c>
      <c r="BC149" s="47">
        <v>0</v>
      </c>
      <c r="BD149" s="47">
        <v>0</v>
      </c>
      <c r="BE149" s="47">
        <v>0</v>
      </c>
      <c r="BF149" s="47">
        <v>0</v>
      </c>
      <c r="BG149" s="47">
        <v>0</v>
      </c>
      <c r="BH149" s="47">
        <v>0</v>
      </c>
      <c r="BI149" s="47">
        <v>0</v>
      </c>
      <c r="BJ149" s="47">
        <v>0</v>
      </c>
      <c r="BK149" s="47">
        <v>0</v>
      </c>
      <c r="BL149" s="47">
        <v>0</v>
      </c>
      <c r="BM149" s="47">
        <v>0</v>
      </c>
      <c r="BN149" s="47">
        <v>0</v>
      </c>
      <c r="BO149" s="47">
        <v>0</v>
      </c>
      <c r="BP149" s="47">
        <v>0</v>
      </c>
      <c r="BQ149" s="47">
        <v>0</v>
      </c>
      <c r="BR149" s="47">
        <v>0</v>
      </c>
      <c r="BS149" s="47">
        <v>0</v>
      </c>
      <c r="BT149" s="47">
        <v>0</v>
      </c>
      <c r="BU149" s="47">
        <v>0</v>
      </c>
      <c r="BV149" s="47">
        <v>0</v>
      </c>
      <c r="BW149" s="47">
        <v>0</v>
      </c>
      <c r="BX149" s="47">
        <v>0</v>
      </c>
      <c r="BY149" s="47">
        <v>0</v>
      </c>
      <c r="BZ149" s="47">
        <v>0</v>
      </c>
      <c r="CA149" s="47">
        <v>0</v>
      </c>
      <c r="CB149" s="47">
        <v>0</v>
      </c>
      <c r="CC149" s="47">
        <v>0</v>
      </c>
      <c r="CD149" s="47">
        <v>0</v>
      </c>
      <c r="CE149" s="47">
        <v>0</v>
      </c>
      <c r="CF149" s="47">
        <v>0</v>
      </c>
      <c r="CG149" s="47">
        <v>0</v>
      </c>
      <c r="CH149" s="47">
        <v>0</v>
      </c>
      <c r="CI149" s="47">
        <v>0</v>
      </c>
      <c r="CJ149" s="47">
        <v>0</v>
      </c>
      <c r="CK149" s="47">
        <v>0</v>
      </c>
      <c r="CL149" s="47">
        <v>0</v>
      </c>
      <c r="CM149" s="47">
        <v>0</v>
      </c>
      <c r="CN149" s="47">
        <v>0</v>
      </c>
      <c r="CO149" s="47">
        <v>0</v>
      </c>
      <c r="CP149" s="47">
        <v>0</v>
      </c>
      <c r="CQ149" s="47">
        <v>0</v>
      </c>
      <c r="CR149" s="47">
        <v>0</v>
      </c>
      <c r="CS149" s="47">
        <v>0</v>
      </c>
      <c r="CT149" s="47">
        <v>0</v>
      </c>
      <c r="CU149" s="47">
        <v>0</v>
      </c>
      <c r="CV149" s="47">
        <v>0</v>
      </c>
      <c r="CW149" s="47">
        <v>0</v>
      </c>
      <c r="CX149" s="47">
        <v>0</v>
      </c>
      <c r="CY149" s="47">
        <v>1</v>
      </c>
      <c r="CZ149" s="47">
        <v>0</v>
      </c>
      <c r="DA149" s="47">
        <v>0</v>
      </c>
      <c r="DB149" s="47">
        <v>0</v>
      </c>
      <c r="DC149" s="47">
        <v>0</v>
      </c>
      <c r="DD149" s="47">
        <v>0</v>
      </c>
      <c r="DE149" s="47">
        <v>0</v>
      </c>
      <c r="DF149" s="47">
        <v>0</v>
      </c>
      <c r="DG149" s="47">
        <v>0</v>
      </c>
      <c r="DH149" s="47">
        <v>0</v>
      </c>
      <c r="DI149" s="47">
        <v>0</v>
      </c>
      <c r="DJ149" s="47">
        <v>1</v>
      </c>
      <c r="DK149" s="47">
        <v>0</v>
      </c>
      <c r="DL149" s="47">
        <v>0</v>
      </c>
      <c r="DM149" s="47">
        <v>0</v>
      </c>
      <c r="DN149" s="47">
        <v>0</v>
      </c>
      <c r="DO149" s="47">
        <v>0</v>
      </c>
      <c r="DP149" s="47">
        <v>0</v>
      </c>
      <c r="DQ149" s="47">
        <v>0</v>
      </c>
      <c r="DR149" s="47">
        <v>0</v>
      </c>
      <c r="DS149" s="47">
        <v>0</v>
      </c>
      <c r="DT149" s="47">
        <v>0</v>
      </c>
      <c r="DU149" s="47">
        <v>0</v>
      </c>
      <c r="DV149" s="47">
        <v>0</v>
      </c>
      <c r="DW149" s="47">
        <v>0</v>
      </c>
      <c r="DX149" s="47">
        <v>0</v>
      </c>
      <c r="DY149" s="47">
        <v>0</v>
      </c>
      <c r="DZ149" s="47"/>
      <c r="EA149" s="47">
        <v>1</v>
      </c>
      <c r="ZZ149" t="s">
        <v>1084</v>
      </c>
    </row>
    <row r="150" spans="1:702" x14ac:dyDescent="0.25">
      <c r="A150" s="47" t="s">
        <v>842</v>
      </c>
      <c r="B150" s="47" t="s">
        <v>151</v>
      </c>
      <c r="C150" s="47" t="s">
        <v>155</v>
      </c>
      <c r="D150" s="47" t="s">
        <v>1226</v>
      </c>
      <c r="E150" s="47" t="s">
        <v>843</v>
      </c>
      <c r="F150" s="47" t="s">
        <v>844</v>
      </c>
      <c r="G150" s="47" t="s">
        <v>845</v>
      </c>
      <c r="H150" s="47" t="s">
        <v>380</v>
      </c>
      <c r="I150" s="47" t="s">
        <v>381</v>
      </c>
      <c r="J150" s="47" t="str">
        <f>=IFERROR(VLOOKUP(H150&amp;I150,Table_Fonctions!A:G,6,FALSE),"")</f>
        <v>0</v>
      </c>
      <c r="K150" s="47" t="s">
        <v>1132</v>
      </c>
      <c r="L150" s="47" t="str">
        <f>=IFERROR(VLOOKUP(H150&amp;I150,Table_Fonctions!A:G,7,FALSE),K150)</f>
        <v/>
      </c>
      <c r="M150" s="47" t="str">
        <f>=IF(OR(LEFT(D150, 3)="TJ ", LEFT(D150, 4)="CPH "), "OUI", "NON")</f>
        <v/>
      </c>
      <c r="N150" s="47" t="s">
        <v>846</v>
      </c>
      <c r="O150" s="47"/>
      <c r="P150" s="47">
        <v>1</v>
      </c>
      <c r="Q150" s="47">
        <v>0</v>
      </c>
      <c r="R150" s="47">
        <v>1</v>
      </c>
      <c r="S150" s="47">
        <f>=ROUND(BQ150-(BR150+BS150),3)</f>
      </c>
      <c r="T150" s="47">
        <f>=ROUND(CK150-(CL150+CM150+CN150+CO150+CP150),3)</f>
      </c>
      <c r="U150" s="47">
        <v>0</v>
      </c>
      <c r="V150" s="47">
        <v>0</v>
      </c>
      <c r="W150" s="47">
        <v>0</v>
      </c>
      <c r="X150" s="47">
        <v>0</v>
      </c>
      <c r="Y150" s="47">
        <v>0</v>
      </c>
      <c r="Z150" s="47">
        <v>0</v>
      </c>
      <c r="AA150" s="47">
        <v>0</v>
      </c>
      <c r="AB150" s="47">
        <v>0</v>
      </c>
      <c r="AC150" s="47">
        <v>0</v>
      </c>
      <c r="AD150" s="47">
        <v>0</v>
      </c>
      <c r="AE150" s="47">
        <v>0</v>
      </c>
      <c r="AF150" s="47">
        <v>0</v>
      </c>
      <c r="AG150" s="47">
        <v>0</v>
      </c>
      <c r="AH150" s="47">
        <v>0</v>
      </c>
      <c r="AI150" s="47">
        <v>0</v>
      </c>
      <c r="AJ150" s="47">
        <v>0</v>
      </c>
      <c r="AK150" s="47">
        <v>0</v>
      </c>
      <c r="AL150" s="47">
        <v>0</v>
      </c>
      <c r="AM150" s="47">
        <v>0</v>
      </c>
      <c r="AN150" s="47">
        <v>0</v>
      </c>
      <c r="AO150" s="47">
        <v>0</v>
      </c>
      <c r="AP150" s="47">
        <v>0</v>
      </c>
      <c r="AQ150" s="47">
        <v>0</v>
      </c>
      <c r="AR150" s="47">
        <v>0</v>
      </c>
      <c r="AS150" s="47">
        <v>0</v>
      </c>
      <c r="AT150" s="47">
        <v>0</v>
      </c>
      <c r="AU150" s="47">
        <v>0</v>
      </c>
      <c r="AV150" s="47">
        <v>0</v>
      </c>
      <c r="AW150" s="47">
        <v>0</v>
      </c>
      <c r="AX150" s="47">
        <v>0</v>
      </c>
      <c r="AY150" s="47">
        <v>0</v>
      </c>
      <c r="AZ150" s="47">
        <v>0</v>
      </c>
      <c r="BA150" s="47">
        <v>0</v>
      </c>
      <c r="BB150" s="47">
        <v>0</v>
      </c>
      <c r="BC150" s="47">
        <v>0</v>
      </c>
      <c r="BD150" s="47">
        <v>0</v>
      </c>
      <c r="BE150" s="47">
        <v>0</v>
      </c>
      <c r="BF150" s="47">
        <v>0</v>
      </c>
      <c r="BG150" s="47">
        <v>0</v>
      </c>
      <c r="BH150" s="47">
        <v>0</v>
      </c>
      <c r="BI150" s="47">
        <v>0</v>
      </c>
      <c r="BJ150" s="47">
        <v>0</v>
      </c>
      <c r="BK150" s="47">
        <v>0</v>
      </c>
      <c r="BL150" s="47">
        <v>0</v>
      </c>
      <c r="BM150" s="47">
        <v>0</v>
      </c>
      <c r="BN150" s="47">
        <v>0</v>
      </c>
      <c r="BO150" s="47">
        <v>0</v>
      </c>
      <c r="BP150" s="47">
        <v>0</v>
      </c>
      <c r="BQ150" s="47">
        <v>0</v>
      </c>
      <c r="BR150" s="47">
        <v>0</v>
      </c>
      <c r="BS150" s="47">
        <v>0</v>
      </c>
      <c r="BT150" s="47">
        <v>0</v>
      </c>
      <c r="BU150" s="47">
        <v>0</v>
      </c>
      <c r="BV150" s="47">
        <v>0</v>
      </c>
      <c r="BW150" s="47">
        <v>0</v>
      </c>
      <c r="BX150" s="47">
        <v>0</v>
      </c>
      <c r="BY150" s="47">
        <v>0</v>
      </c>
      <c r="BZ150" s="47">
        <v>0</v>
      </c>
      <c r="CA150" s="47">
        <v>0</v>
      </c>
      <c r="CB150" s="47">
        <v>0</v>
      </c>
      <c r="CC150" s="47">
        <v>0</v>
      </c>
      <c r="CD150" s="47">
        <v>0</v>
      </c>
      <c r="CE150" s="47">
        <v>0</v>
      </c>
      <c r="CF150" s="47">
        <v>0</v>
      </c>
      <c r="CG150" s="47">
        <v>0</v>
      </c>
      <c r="CH150" s="47">
        <v>0</v>
      </c>
      <c r="CI150" s="47">
        <v>0</v>
      </c>
      <c r="CJ150" s="47">
        <v>0</v>
      </c>
      <c r="CK150" s="47">
        <v>0</v>
      </c>
      <c r="CL150" s="47">
        <v>0</v>
      </c>
      <c r="CM150" s="47">
        <v>0</v>
      </c>
      <c r="CN150" s="47">
        <v>0</v>
      </c>
      <c r="CO150" s="47">
        <v>0</v>
      </c>
      <c r="CP150" s="47">
        <v>0</v>
      </c>
      <c r="CQ150" s="47">
        <v>0</v>
      </c>
      <c r="CR150" s="47">
        <v>0</v>
      </c>
      <c r="CS150" s="47">
        <v>0</v>
      </c>
      <c r="CT150" s="47">
        <v>0</v>
      </c>
      <c r="CU150" s="47">
        <v>0</v>
      </c>
      <c r="CV150" s="47">
        <v>0</v>
      </c>
      <c r="CW150" s="47">
        <v>0</v>
      </c>
      <c r="CX150" s="47">
        <v>0</v>
      </c>
      <c r="CY150" s="47">
        <v>0</v>
      </c>
      <c r="CZ150" s="47">
        <v>0</v>
      </c>
      <c r="DA150" s="47">
        <v>0</v>
      </c>
      <c r="DB150" s="47">
        <v>0</v>
      </c>
      <c r="DC150" s="47">
        <v>0</v>
      </c>
      <c r="DD150" s="47">
        <v>0</v>
      </c>
      <c r="DE150" s="47">
        <v>0</v>
      </c>
      <c r="DF150" s="47">
        <v>0</v>
      </c>
      <c r="DG150" s="47">
        <v>0</v>
      </c>
      <c r="DH150" s="47">
        <v>0</v>
      </c>
      <c r="DI150" s="47">
        <v>0</v>
      </c>
      <c r="DJ150" s="47">
        <v>0</v>
      </c>
      <c r="DK150" s="47">
        <v>0</v>
      </c>
      <c r="DL150" s="47">
        <v>0</v>
      </c>
      <c r="DM150" s="47">
        <v>0</v>
      </c>
      <c r="DN150" s="47">
        <v>0</v>
      </c>
      <c r="DO150" s="47">
        <v>0</v>
      </c>
      <c r="DP150" s="47">
        <v>0</v>
      </c>
      <c r="DQ150" s="47">
        <v>0</v>
      </c>
      <c r="DR150" s="47">
        <v>0</v>
      </c>
      <c r="DS150" s="47">
        <v>0</v>
      </c>
      <c r="DT150" s="47">
        <v>0</v>
      </c>
      <c r="DU150" s="47">
        <v>0</v>
      </c>
      <c r="DV150" s="47">
        <v>0</v>
      </c>
      <c r="DW150" s="47">
        <v>0</v>
      </c>
      <c r="DX150" s="47">
        <v>0</v>
      </c>
      <c r="DY150" s="47">
        <v>0</v>
      </c>
      <c r="DZ150" s="47"/>
      <c r="EA150" s="47">
        <v>1</v>
      </c>
      <c r="ZZ150" t="s">
        <v>1084</v>
      </c>
    </row>
    <row r="151" spans="1:702" x14ac:dyDescent="0.25">
      <c r="A151" s="47" t="s">
        <v>847</v>
      </c>
      <c r="B151" s="47" t="s">
        <v>151</v>
      </c>
      <c r="C151" s="47" t="s">
        <v>155</v>
      </c>
      <c r="D151" s="47" t="s">
        <v>1227</v>
      </c>
      <c r="E151" s="47" t="s">
        <v>848</v>
      </c>
      <c r="F151" s="47" t="s">
        <v>849</v>
      </c>
      <c r="G151" s="47" t="s">
        <v>850</v>
      </c>
      <c r="H151" s="47" t="s">
        <v>380</v>
      </c>
      <c r="I151" s="47" t="s">
        <v>421</v>
      </c>
      <c r="J151" s="47" t="str">
        <f>=IFERROR(VLOOKUP(H151&amp;I151,Table_Fonctions!A:G,6,FALSE),"")</f>
        <v>0</v>
      </c>
      <c r="K151" s="47" t="s">
        <v>1132</v>
      </c>
      <c r="L151" s="47" t="str">
        <f>=IFERROR(VLOOKUP(H151&amp;I151,Table_Fonctions!A:G,7,FALSE),K151)</f>
        <v/>
      </c>
      <c r="M151" s="47" t="str">
        <f>=IF(OR(LEFT(D151, 3)="TJ ", LEFT(D151, 4)="CPH "), "OUI", "NON")</f>
        <v/>
      </c>
      <c r="N151" s="47" t="s">
        <v>176</v>
      </c>
      <c r="O151" s="47"/>
      <c r="P151" s="47">
        <v>1</v>
      </c>
      <c r="Q151" s="47">
        <v>0</v>
      </c>
      <c r="R151" s="47">
        <v>1</v>
      </c>
      <c r="S151" s="47">
        <f>=ROUND(BQ151-(BR151+BS151),3)</f>
      </c>
      <c r="T151" s="47">
        <f>=ROUND(CK151-(CL151+CM151+CN151+CO151+CP151),3)</f>
      </c>
      <c r="U151" s="47">
        <v>0</v>
      </c>
      <c r="V151" s="47">
        <v>0</v>
      </c>
      <c r="W151" s="47">
        <v>0</v>
      </c>
      <c r="X151" s="47">
        <v>0</v>
      </c>
      <c r="Y151" s="47">
        <v>0</v>
      </c>
      <c r="Z151" s="47">
        <v>0</v>
      </c>
      <c r="AA151" s="47">
        <v>0</v>
      </c>
      <c r="AB151" s="47">
        <v>0</v>
      </c>
      <c r="AC151" s="47">
        <v>0</v>
      </c>
      <c r="AD151" s="47">
        <v>0</v>
      </c>
      <c r="AE151" s="47">
        <v>0</v>
      </c>
      <c r="AF151" s="47">
        <v>0</v>
      </c>
      <c r="AG151" s="47">
        <v>0</v>
      </c>
      <c r="AH151" s="47">
        <v>0</v>
      </c>
      <c r="AI151" s="47">
        <v>0</v>
      </c>
      <c r="AJ151" s="47">
        <v>0</v>
      </c>
      <c r="AK151" s="47">
        <v>0</v>
      </c>
      <c r="AL151" s="47">
        <v>0</v>
      </c>
      <c r="AM151" s="47">
        <v>0</v>
      </c>
      <c r="AN151" s="47">
        <v>0</v>
      </c>
      <c r="AO151" s="47">
        <v>0</v>
      </c>
      <c r="AP151" s="47">
        <v>0</v>
      </c>
      <c r="AQ151" s="47">
        <v>0</v>
      </c>
      <c r="AR151" s="47">
        <v>0</v>
      </c>
      <c r="AS151" s="47">
        <v>0</v>
      </c>
      <c r="AT151" s="47">
        <v>0</v>
      </c>
      <c r="AU151" s="47">
        <v>0</v>
      </c>
      <c r="AV151" s="47">
        <v>0</v>
      </c>
      <c r="AW151" s="47">
        <v>0</v>
      </c>
      <c r="AX151" s="47">
        <v>0</v>
      </c>
      <c r="AY151" s="47">
        <v>0</v>
      </c>
      <c r="AZ151" s="47">
        <v>0</v>
      </c>
      <c r="BA151" s="47">
        <v>0</v>
      </c>
      <c r="BB151" s="47">
        <v>0</v>
      </c>
      <c r="BC151" s="47">
        <v>0</v>
      </c>
      <c r="BD151" s="47">
        <v>0</v>
      </c>
      <c r="BE151" s="47">
        <v>0</v>
      </c>
      <c r="BF151" s="47">
        <v>0</v>
      </c>
      <c r="BG151" s="47">
        <v>0</v>
      </c>
      <c r="BH151" s="47">
        <v>0</v>
      </c>
      <c r="BI151" s="47">
        <v>0</v>
      </c>
      <c r="BJ151" s="47">
        <v>0</v>
      </c>
      <c r="BK151" s="47">
        <v>0</v>
      </c>
      <c r="BL151" s="47">
        <v>0</v>
      </c>
      <c r="BM151" s="47">
        <v>0</v>
      </c>
      <c r="BN151" s="47">
        <v>0</v>
      </c>
      <c r="BO151" s="47">
        <v>0</v>
      </c>
      <c r="BP151" s="47">
        <v>0</v>
      </c>
      <c r="BQ151" s="47">
        <v>0</v>
      </c>
      <c r="BR151" s="47">
        <v>0</v>
      </c>
      <c r="BS151" s="47">
        <v>0</v>
      </c>
      <c r="BT151" s="47">
        <v>0</v>
      </c>
      <c r="BU151" s="47">
        <v>0</v>
      </c>
      <c r="BV151" s="47">
        <v>0</v>
      </c>
      <c r="BW151" s="47">
        <v>0</v>
      </c>
      <c r="BX151" s="47">
        <v>0</v>
      </c>
      <c r="BY151" s="47">
        <v>0</v>
      </c>
      <c r="BZ151" s="47">
        <v>0</v>
      </c>
      <c r="CA151" s="47">
        <v>0</v>
      </c>
      <c r="CB151" s="47">
        <v>0</v>
      </c>
      <c r="CC151" s="47">
        <v>0</v>
      </c>
      <c r="CD151" s="47">
        <v>0</v>
      </c>
      <c r="CE151" s="47">
        <v>0</v>
      </c>
      <c r="CF151" s="47">
        <v>0</v>
      </c>
      <c r="CG151" s="47">
        <v>0</v>
      </c>
      <c r="CH151" s="47">
        <v>0</v>
      </c>
      <c r="CI151" s="47">
        <v>0</v>
      </c>
      <c r="CJ151" s="47">
        <v>0</v>
      </c>
      <c r="CK151" s="47">
        <v>0</v>
      </c>
      <c r="CL151" s="47">
        <v>0</v>
      </c>
      <c r="CM151" s="47">
        <v>0</v>
      </c>
      <c r="CN151" s="47">
        <v>0</v>
      </c>
      <c r="CO151" s="47">
        <v>0</v>
      </c>
      <c r="CP151" s="47">
        <v>0</v>
      </c>
      <c r="CQ151" s="47">
        <v>0</v>
      </c>
      <c r="CR151" s="47">
        <v>0</v>
      </c>
      <c r="CS151" s="47">
        <v>0</v>
      </c>
      <c r="CT151" s="47">
        <v>0</v>
      </c>
      <c r="CU151" s="47">
        <v>0</v>
      </c>
      <c r="CV151" s="47">
        <v>0</v>
      </c>
      <c r="CW151" s="47">
        <v>0</v>
      </c>
      <c r="CX151" s="47">
        <v>0</v>
      </c>
      <c r="CY151" s="47">
        <v>0</v>
      </c>
      <c r="CZ151" s="47">
        <v>0</v>
      </c>
      <c r="DA151" s="47">
        <v>0</v>
      </c>
      <c r="DB151" s="47">
        <v>0</v>
      </c>
      <c r="DC151" s="47">
        <v>0</v>
      </c>
      <c r="DD151" s="47">
        <v>0</v>
      </c>
      <c r="DE151" s="47">
        <v>0</v>
      </c>
      <c r="DF151" s="47">
        <v>0</v>
      </c>
      <c r="DG151" s="47">
        <v>0</v>
      </c>
      <c r="DH151" s="47">
        <v>0</v>
      </c>
      <c r="DI151" s="47">
        <v>0</v>
      </c>
      <c r="DJ151" s="47">
        <v>0</v>
      </c>
      <c r="DK151" s="47">
        <v>0</v>
      </c>
      <c r="DL151" s="47">
        <v>0</v>
      </c>
      <c r="DM151" s="47">
        <v>0</v>
      </c>
      <c r="DN151" s="47">
        <v>0</v>
      </c>
      <c r="DO151" s="47">
        <v>0</v>
      </c>
      <c r="DP151" s="47">
        <v>0</v>
      </c>
      <c r="DQ151" s="47">
        <v>0</v>
      </c>
      <c r="DR151" s="47">
        <v>0</v>
      </c>
      <c r="DS151" s="47">
        <v>0</v>
      </c>
      <c r="DT151" s="47">
        <v>0</v>
      </c>
      <c r="DU151" s="47">
        <v>0</v>
      </c>
      <c r="DV151" s="47">
        <v>0</v>
      </c>
      <c r="DW151" s="47">
        <v>0</v>
      </c>
      <c r="DX151" s="47">
        <v>0</v>
      </c>
      <c r="DY151" s="47">
        <v>0</v>
      </c>
      <c r="DZ151" s="47"/>
      <c r="EA151" s="47">
        <v>1</v>
      </c>
      <c r="ZZ151" t="s">
        <v>1084</v>
      </c>
    </row>
    <row r="152" spans="1:702" x14ac:dyDescent="0.25">
      <c r="A152" s="47" t="s">
        <v>851</v>
      </c>
      <c r="B152" s="47" t="s">
        <v>151</v>
      </c>
      <c r="C152" s="47" t="s">
        <v>155</v>
      </c>
      <c r="D152" s="47" t="s">
        <v>1214</v>
      </c>
      <c r="E152" s="47" t="s">
        <v>852</v>
      </c>
      <c r="F152" s="47" t="s">
        <v>853</v>
      </c>
      <c r="G152" s="47" t="s">
        <v>779</v>
      </c>
      <c r="H152" s="47" t="s">
        <v>380</v>
      </c>
      <c r="I152" s="47" t="s">
        <v>411</v>
      </c>
      <c r="J152" s="47" t="str">
        <f>=IFERROR(VLOOKUP(H152&amp;I152,Table_Fonctions!A:G,6,FALSE),"")</f>
        <v>0</v>
      </c>
      <c r="K152" s="47" t="s">
        <v>1132</v>
      </c>
      <c r="L152" s="47" t="str">
        <f>=IFERROR(VLOOKUP(H152&amp;I152,Table_Fonctions!A:G,7,FALSE),K152)</f>
        <v/>
      </c>
      <c r="M152" s="47" t="str">
        <f>=IF(OR(LEFT(D152, 3)="TJ ", LEFT(D152, 4)="CPH "), "OUI", "NON")</f>
        <v/>
      </c>
      <c r="N152" s="47" t="s">
        <v>208</v>
      </c>
      <c r="O152" s="47"/>
      <c r="P152" s="47">
        <v>1</v>
      </c>
      <c r="Q152" s="47">
        <v>1</v>
      </c>
      <c r="R152" s="47">
        <v>0</v>
      </c>
      <c r="S152" s="47">
        <f>=ROUND(BQ152-(BR152+BS152),3)</f>
      </c>
      <c r="T152" s="47">
        <f>=ROUND(CK152-(CL152+CM152+CN152+CO152+CP152),3)</f>
      </c>
      <c r="U152" s="47">
        <v>0</v>
      </c>
      <c r="V152" s="47">
        <v>0</v>
      </c>
      <c r="W152" s="47">
        <v>0</v>
      </c>
      <c r="X152" s="47">
        <v>0</v>
      </c>
      <c r="Y152" s="47">
        <v>0</v>
      </c>
      <c r="Z152" s="47">
        <v>0</v>
      </c>
      <c r="AA152" s="47">
        <v>0</v>
      </c>
      <c r="AB152" s="47">
        <v>0</v>
      </c>
      <c r="AC152" s="47">
        <v>0</v>
      </c>
      <c r="AD152" s="47">
        <v>0</v>
      </c>
      <c r="AE152" s="47">
        <v>0</v>
      </c>
      <c r="AF152" s="47">
        <v>0</v>
      </c>
      <c r="AG152" s="47">
        <v>0</v>
      </c>
      <c r="AH152" s="47">
        <v>0</v>
      </c>
      <c r="AI152" s="47">
        <v>0</v>
      </c>
      <c r="AJ152" s="47">
        <v>0</v>
      </c>
      <c r="AK152" s="47">
        <v>0</v>
      </c>
      <c r="AL152" s="47">
        <v>0</v>
      </c>
      <c r="AM152" s="47">
        <v>0</v>
      </c>
      <c r="AN152" s="47">
        <v>0</v>
      </c>
      <c r="AO152" s="47">
        <v>0</v>
      </c>
      <c r="AP152" s="47">
        <v>0</v>
      </c>
      <c r="AQ152" s="47">
        <v>0</v>
      </c>
      <c r="AR152" s="47">
        <v>0</v>
      </c>
      <c r="AS152" s="47">
        <v>0</v>
      </c>
      <c r="AT152" s="47">
        <v>0</v>
      </c>
      <c r="AU152" s="47">
        <v>0</v>
      </c>
      <c r="AV152" s="47">
        <v>0</v>
      </c>
      <c r="AW152" s="47">
        <v>0</v>
      </c>
      <c r="AX152" s="47">
        <v>0</v>
      </c>
      <c r="AY152" s="47">
        <v>0</v>
      </c>
      <c r="AZ152" s="47">
        <v>0</v>
      </c>
      <c r="BA152" s="47">
        <v>0</v>
      </c>
      <c r="BB152" s="47">
        <v>0</v>
      </c>
      <c r="BC152" s="47">
        <v>0</v>
      </c>
      <c r="BD152" s="47">
        <v>0</v>
      </c>
      <c r="BE152" s="47">
        <v>0</v>
      </c>
      <c r="BF152" s="47">
        <v>0</v>
      </c>
      <c r="BG152" s="47">
        <v>0</v>
      </c>
      <c r="BH152" s="47">
        <v>0</v>
      </c>
      <c r="BI152" s="47">
        <v>0</v>
      </c>
      <c r="BJ152" s="47">
        <v>0</v>
      </c>
      <c r="BK152" s="47">
        <v>0</v>
      </c>
      <c r="BL152" s="47">
        <v>0</v>
      </c>
      <c r="BM152" s="47">
        <v>0</v>
      </c>
      <c r="BN152" s="47">
        <v>0</v>
      </c>
      <c r="BO152" s="47">
        <v>0</v>
      </c>
      <c r="BP152" s="47">
        <v>0</v>
      </c>
      <c r="BQ152" s="47">
        <v>0</v>
      </c>
      <c r="BR152" s="47">
        <v>0</v>
      </c>
      <c r="BS152" s="47">
        <v>0</v>
      </c>
      <c r="BT152" s="47">
        <v>0</v>
      </c>
      <c r="BU152" s="47">
        <v>0</v>
      </c>
      <c r="BV152" s="47">
        <v>0</v>
      </c>
      <c r="BW152" s="47">
        <v>0</v>
      </c>
      <c r="BX152" s="47">
        <v>0</v>
      </c>
      <c r="BY152" s="47">
        <v>0</v>
      </c>
      <c r="BZ152" s="47">
        <v>0</v>
      </c>
      <c r="CA152" s="47">
        <v>0</v>
      </c>
      <c r="CB152" s="47">
        <v>0</v>
      </c>
      <c r="CC152" s="47">
        <v>0</v>
      </c>
      <c r="CD152" s="47">
        <v>0</v>
      </c>
      <c r="CE152" s="47">
        <v>0</v>
      </c>
      <c r="CF152" s="47">
        <v>0</v>
      </c>
      <c r="CG152" s="47">
        <v>0</v>
      </c>
      <c r="CH152" s="47">
        <v>0</v>
      </c>
      <c r="CI152" s="47">
        <v>0</v>
      </c>
      <c r="CJ152" s="47">
        <v>0</v>
      </c>
      <c r="CK152" s="47">
        <v>0</v>
      </c>
      <c r="CL152" s="47">
        <v>0</v>
      </c>
      <c r="CM152" s="47">
        <v>0</v>
      </c>
      <c r="CN152" s="47">
        <v>0</v>
      </c>
      <c r="CO152" s="47">
        <v>0</v>
      </c>
      <c r="CP152" s="47">
        <v>0</v>
      </c>
      <c r="CQ152" s="47">
        <v>0</v>
      </c>
      <c r="CR152" s="47">
        <v>0</v>
      </c>
      <c r="CS152" s="47">
        <v>0</v>
      </c>
      <c r="CT152" s="47">
        <v>0</v>
      </c>
      <c r="CU152" s="47">
        <v>0</v>
      </c>
      <c r="CV152" s="47">
        <v>0</v>
      </c>
      <c r="CW152" s="47">
        <v>0</v>
      </c>
      <c r="CX152" s="47">
        <v>0</v>
      </c>
      <c r="CY152" s="47">
        <v>1</v>
      </c>
      <c r="CZ152" s="47">
        <v>0</v>
      </c>
      <c r="DA152" s="47">
        <v>0</v>
      </c>
      <c r="DB152" s="47">
        <v>0</v>
      </c>
      <c r="DC152" s="47">
        <v>0</v>
      </c>
      <c r="DD152" s="47">
        <v>0</v>
      </c>
      <c r="DE152" s="47">
        <v>1</v>
      </c>
      <c r="DF152" s="47">
        <v>0</v>
      </c>
      <c r="DG152" s="47">
        <v>0</v>
      </c>
      <c r="DH152" s="47">
        <v>0</v>
      </c>
      <c r="DI152" s="47">
        <v>0</v>
      </c>
      <c r="DJ152" s="47">
        <v>0</v>
      </c>
      <c r="DK152" s="47">
        <v>0</v>
      </c>
      <c r="DL152" s="47">
        <v>0</v>
      </c>
      <c r="DM152" s="47">
        <v>0</v>
      </c>
      <c r="DN152" s="47">
        <v>0</v>
      </c>
      <c r="DO152" s="47">
        <v>0</v>
      </c>
      <c r="DP152" s="47">
        <v>0</v>
      </c>
      <c r="DQ152" s="47">
        <v>0</v>
      </c>
      <c r="DR152" s="47">
        <v>0</v>
      </c>
      <c r="DS152" s="47">
        <v>0</v>
      </c>
      <c r="DT152" s="47">
        <v>0</v>
      </c>
      <c r="DU152" s="47">
        <v>0</v>
      </c>
      <c r="DV152" s="47">
        <v>0</v>
      </c>
      <c r="DW152" s="47">
        <v>0</v>
      </c>
      <c r="DX152" s="47">
        <v>0</v>
      </c>
      <c r="DY152" s="47">
        <v>0</v>
      </c>
      <c r="DZ152" s="47"/>
      <c r="EA152" s="47">
        <v>1</v>
      </c>
      <c r="ZZ152" t="s">
        <v>1084</v>
      </c>
    </row>
    <row r="153" spans="1:702" x14ac:dyDescent="0.25">
      <c r="A153" s="47" t="s">
        <v>854</v>
      </c>
      <c r="B153" s="47" t="s">
        <v>151</v>
      </c>
      <c r="C153" s="47" t="s">
        <v>155</v>
      </c>
      <c r="D153" s="47" t="s">
        <v>1228</v>
      </c>
      <c r="E153" s="47" t="s">
        <v>855</v>
      </c>
      <c r="F153" s="47" t="s">
        <v>856</v>
      </c>
      <c r="G153" s="47" t="s">
        <v>857</v>
      </c>
      <c r="H153" s="47" t="s">
        <v>380</v>
      </c>
      <c r="I153" s="47" t="s">
        <v>381</v>
      </c>
      <c r="J153" s="47" t="str">
        <f>=IFERROR(VLOOKUP(H153&amp;I153,Table_Fonctions!A:G,6,FALSE),"")</f>
        <v>0</v>
      </c>
      <c r="K153" s="47" t="s">
        <v>1132</v>
      </c>
      <c r="L153" s="47" t="str">
        <f>=IFERROR(VLOOKUP(H153&amp;I153,Table_Fonctions!A:G,7,FALSE),K153)</f>
        <v/>
      </c>
      <c r="M153" s="47" t="str">
        <f>=IF(OR(LEFT(D153, 3)="TJ ", LEFT(D153, 4)="CPH "), "OUI", "NON")</f>
        <v/>
      </c>
      <c r="N153" s="47" t="s">
        <v>475</v>
      </c>
      <c r="O153" s="47"/>
      <c r="P153" s="47">
        <v>1</v>
      </c>
      <c r="Q153" s="47">
        <v>0</v>
      </c>
      <c r="R153" s="47">
        <v>1</v>
      </c>
      <c r="S153" s="47">
        <f>=ROUND(BQ153-(BR153+BS153),3)</f>
      </c>
      <c r="T153" s="47">
        <f>=ROUND(CK153-(CL153+CM153+CN153+CO153+CP153),3)</f>
      </c>
      <c r="U153" s="47">
        <v>0</v>
      </c>
      <c r="V153" s="47">
        <v>0</v>
      </c>
      <c r="W153" s="47">
        <v>0</v>
      </c>
      <c r="X153" s="47">
        <v>0</v>
      </c>
      <c r="Y153" s="47">
        <v>0</v>
      </c>
      <c r="Z153" s="47">
        <v>0</v>
      </c>
      <c r="AA153" s="47">
        <v>0</v>
      </c>
      <c r="AB153" s="47">
        <v>0</v>
      </c>
      <c r="AC153" s="47">
        <v>0</v>
      </c>
      <c r="AD153" s="47">
        <v>0</v>
      </c>
      <c r="AE153" s="47">
        <v>0</v>
      </c>
      <c r="AF153" s="47">
        <v>0</v>
      </c>
      <c r="AG153" s="47">
        <v>0</v>
      </c>
      <c r="AH153" s="47">
        <v>0</v>
      </c>
      <c r="AI153" s="47">
        <v>0</v>
      </c>
      <c r="AJ153" s="47">
        <v>0</v>
      </c>
      <c r="AK153" s="47">
        <v>0</v>
      </c>
      <c r="AL153" s="47">
        <v>0</v>
      </c>
      <c r="AM153" s="47">
        <v>0</v>
      </c>
      <c r="AN153" s="47">
        <v>0</v>
      </c>
      <c r="AO153" s="47">
        <v>0</v>
      </c>
      <c r="AP153" s="47">
        <v>0</v>
      </c>
      <c r="AQ153" s="47">
        <v>0</v>
      </c>
      <c r="AR153" s="47">
        <v>0</v>
      </c>
      <c r="AS153" s="47">
        <v>0</v>
      </c>
      <c r="AT153" s="47">
        <v>0</v>
      </c>
      <c r="AU153" s="47">
        <v>0</v>
      </c>
      <c r="AV153" s="47">
        <v>0</v>
      </c>
      <c r="AW153" s="47">
        <v>0</v>
      </c>
      <c r="AX153" s="47">
        <v>0</v>
      </c>
      <c r="AY153" s="47">
        <v>0</v>
      </c>
      <c r="AZ153" s="47">
        <v>0</v>
      </c>
      <c r="BA153" s="47">
        <v>0</v>
      </c>
      <c r="BB153" s="47">
        <v>0</v>
      </c>
      <c r="BC153" s="47">
        <v>0</v>
      </c>
      <c r="BD153" s="47">
        <v>0</v>
      </c>
      <c r="BE153" s="47">
        <v>0</v>
      </c>
      <c r="BF153" s="47">
        <v>0</v>
      </c>
      <c r="BG153" s="47">
        <v>0</v>
      </c>
      <c r="BH153" s="47">
        <v>0</v>
      </c>
      <c r="BI153" s="47">
        <v>0</v>
      </c>
      <c r="BJ153" s="47">
        <v>0</v>
      </c>
      <c r="BK153" s="47">
        <v>0</v>
      </c>
      <c r="BL153" s="47">
        <v>0</v>
      </c>
      <c r="BM153" s="47">
        <v>0</v>
      </c>
      <c r="BN153" s="47">
        <v>0</v>
      </c>
      <c r="BO153" s="47">
        <v>0</v>
      </c>
      <c r="BP153" s="47">
        <v>0</v>
      </c>
      <c r="BQ153" s="47">
        <v>0</v>
      </c>
      <c r="BR153" s="47">
        <v>0</v>
      </c>
      <c r="BS153" s="47">
        <v>0</v>
      </c>
      <c r="BT153" s="47">
        <v>0</v>
      </c>
      <c r="BU153" s="47">
        <v>0</v>
      </c>
      <c r="BV153" s="47">
        <v>0</v>
      </c>
      <c r="BW153" s="47">
        <v>0</v>
      </c>
      <c r="BX153" s="47">
        <v>0</v>
      </c>
      <c r="BY153" s="47">
        <v>0</v>
      </c>
      <c r="BZ153" s="47">
        <v>0</v>
      </c>
      <c r="CA153" s="47">
        <v>0</v>
      </c>
      <c r="CB153" s="47">
        <v>0</v>
      </c>
      <c r="CC153" s="47">
        <v>0</v>
      </c>
      <c r="CD153" s="47">
        <v>0</v>
      </c>
      <c r="CE153" s="47">
        <v>0</v>
      </c>
      <c r="CF153" s="47">
        <v>0</v>
      </c>
      <c r="CG153" s="47">
        <v>0</v>
      </c>
      <c r="CH153" s="47">
        <v>0</v>
      </c>
      <c r="CI153" s="47">
        <v>0</v>
      </c>
      <c r="CJ153" s="47">
        <v>0</v>
      </c>
      <c r="CK153" s="47">
        <v>0</v>
      </c>
      <c r="CL153" s="47">
        <v>0</v>
      </c>
      <c r="CM153" s="47">
        <v>0</v>
      </c>
      <c r="CN153" s="47">
        <v>0</v>
      </c>
      <c r="CO153" s="47">
        <v>0</v>
      </c>
      <c r="CP153" s="47">
        <v>0</v>
      </c>
      <c r="CQ153" s="47">
        <v>0</v>
      </c>
      <c r="CR153" s="47">
        <v>0</v>
      </c>
      <c r="CS153" s="47">
        <v>0</v>
      </c>
      <c r="CT153" s="47">
        <v>0</v>
      </c>
      <c r="CU153" s="47">
        <v>0</v>
      </c>
      <c r="CV153" s="47">
        <v>0</v>
      </c>
      <c r="CW153" s="47">
        <v>0</v>
      </c>
      <c r="CX153" s="47">
        <v>0</v>
      </c>
      <c r="CY153" s="47">
        <v>0</v>
      </c>
      <c r="CZ153" s="47">
        <v>0</v>
      </c>
      <c r="DA153" s="47">
        <v>0</v>
      </c>
      <c r="DB153" s="47">
        <v>0</v>
      </c>
      <c r="DC153" s="47">
        <v>0</v>
      </c>
      <c r="DD153" s="47">
        <v>0</v>
      </c>
      <c r="DE153" s="47">
        <v>0</v>
      </c>
      <c r="DF153" s="47">
        <v>0</v>
      </c>
      <c r="DG153" s="47">
        <v>0</v>
      </c>
      <c r="DH153" s="47">
        <v>0</v>
      </c>
      <c r="DI153" s="47">
        <v>0</v>
      </c>
      <c r="DJ153" s="47">
        <v>0</v>
      </c>
      <c r="DK153" s="47">
        <v>0</v>
      </c>
      <c r="DL153" s="47">
        <v>0</v>
      </c>
      <c r="DM153" s="47">
        <v>0</v>
      </c>
      <c r="DN153" s="47">
        <v>0</v>
      </c>
      <c r="DO153" s="47">
        <v>0</v>
      </c>
      <c r="DP153" s="47">
        <v>0</v>
      </c>
      <c r="DQ153" s="47">
        <v>0</v>
      </c>
      <c r="DR153" s="47">
        <v>0</v>
      </c>
      <c r="DS153" s="47">
        <v>0</v>
      </c>
      <c r="DT153" s="47">
        <v>0</v>
      </c>
      <c r="DU153" s="47">
        <v>0</v>
      </c>
      <c r="DV153" s="47">
        <v>0</v>
      </c>
      <c r="DW153" s="47">
        <v>0</v>
      </c>
      <c r="DX153" s="47">
        <v>0</v>
      </c>
      <c r="DY153" s="47">
        <v>0</v>
      </c>
      <c r="DZ153" s="47"/>
      <c r="EA153" s="47">
        <v>1</v>
      </c>
      <c r="ZZ153" t="s">
        <v>1084</v>
      </c>
    </row>
    <row r="154" spans="1:702" x14ac:dyDescent="0.25">
      <c r="A154" s="47" t="s">
        <v>858</v>
      </c>
      <c r="B154" s="47" t="s">
        <v>151</v>
      </c>
      <c r="C154" s="47" t="s">
        <v>155</v>
      </c>
      <c r="D154" s="47" t="s">
        <v>1105</v>
      </c>
      <c r="E154" s="47" t="s">
        <v>859</v>
      </c>
      <c r="F154" s="47" t="s">
        <v>860</v>
      </c>
      <c r="G154" s="47" t="s">
        <v>241</v>
      </c>
      <c r="H154" s="47" t="s">
        <v>380</v>
      </c>
      <c r="I154" s="47" t="s">
        <v>421</v>
      </c>
      <c r="J154" s="47" t="str">
        <f>=IFERROR(VLOOKUP(H154&amp;I154,Table_Fonctions!A:G,6,FALSE),"")</f>
        <v>0</v>
      </c>
      <c r="K154" s="47" t="s">
        <v>1132</v>
      </c>
      <c r="L154" s="47" t="str">
        <f>=IFERROR(VLOOKUP(H154&amp;I154,Table_Fonctions!A:G,7,FALSE),K154)</f>
        <v/>
      </c>
      <c r="M154" s="47" t="str">
        <f>=IF(OR(LEFT(D154, 3)="TJ ", LEFT(D154, 4)="CPH "), "OUI", "NON")</f>
        <v/>
      </c>
      <c r="N154" s="47" t="s">
        <v>861</v>
      </c>
      <c r="O154" s="47"/>
      <c r="P154" s="47">
        <v>1</v>
      </c>
      <c r="Q154" s="47">
        <v>1</v>
      </c>
      <c r="R154" s="47">
        <v>0</v>
      </c>
      <c r="S154" s="47">
        <f>=ROUND(BQ154-(BR154+BS154),3)</f>
      </c>
      <c r="T154" s="47">
        <f>=ROUND(CK154-(CL154+CM154+CN154+CO154+CP154),3)</f>
      </c>
      <c r="U154" s="47">
        <v>0</v>
      </c>
      <c r="V154" s="47">
        <v>0</v>
      </c>
      <c r="W154" s="47">
        <v>0</v>
      </c>
      <c r="X154" s="47">
        <v>0</v>
      </c>
      <c r="Y154" s="47">
        <v>0</v>
      </c>
      <c r="Z154" s="47">
        <v>0</v>
      </c>
      <c r="AA154" s="47">
        <v>0</v>
      </c>
      <c r="AB154" s="47">
        <v>0</v>
      </c>
      <c r="AC154" s="47">
        <v>0</v>
      </c>
      <c r="AD154" s="47">
        <v>0</v>
      </c>
      <c r="AE154" s="47">
        <v>0</v>
      </c>
      <c r="AF154" s="47">
        <v>0</v>
      </c>
      <c r="AG154" s="47">
        <v>0</v>
      </c>
      <c r="AH154" s="47">
        <v>0</v>
      </c>
      <c r="AI154" s="47">
        <v>0</v>
      </c>
      <c r="AJ154" s="47">
        <v>0</v>
      </c>
      <c r="AK154" s="47">
        <v>0</v>
      </c>
      <c r="AL154" s="47">
        <v>0</v>
      </c>
      <c r="AM154" s="47">
        <v>0</v>
      </c>
      <c r="AN154" s="47">
        <v>0</v>
      </c>
      <c r="AO154" s="47">
        <v>0</v>
      </c>
      <c r="AP154" s="47">
        <v>0</v>
      </c>
      <c r="AQ154" s="47">
        <v>0</v>
      </c>
      <c r="AR154" s="47">
        <v>0</v>
      </c>
      <c r="AS154" s="47">
        <v>0</v>
      </c>
      <c r="AT154" s="47">
        <v>0</v>
      </c>
      <c r="AU154" s="47">
        <v>0</v>
      </c>
      <c r="AV154" s="47">
        <v>0</v>
      </c>
      <c r="AW154" s="47">
        <v>0</v>
      </c>
      <c r="AX154" s="47">
        <v>0</v>
      </c>
      <c r="AY154" s="47">
        <v>0</v>
      </c>
      <c r="AZ154" s="47">
        <v>0</v>
      </c>
      <c r="BA154" s="47">
        <v>0</v>
      </c>
      <c r="BB154" s="47">
        <v>0</v>
      </c>
      <c r="BC154" s="47">
        <v>0</v>
      </c>
      <c r="BD154" s="47">
        <v>0</v>
      </c>
      <c r="BE154" s="47">
        <v>0</v>
      </c>
      <c r="BF154" s="47">
        <v>0</v>
      </c>
      <c r="BG154" s="47">
        <v>0</v>
      </c>
      <c r="BH154" s="47">
        <v>0</v>
      </c>
      <c r="BI154" s="47">
        <v>0</v>
      </c>
      <c r="BJ154" s="47">
        <v>0</v>
      </c>
      <c r="BK154" s="47">
        <v>0</v>
      </c>
      <c r="BL154" s="47">
        <v>0</v>
      </c>
      <c r="BM154" s="47">
        <v>0</v>
      </c>
      <c r="BN154" s="47">
        <v>0</v>
      </c>
      <c r="BO154" s="47">
        <v>0</v>
      </c>
      <c r="BP154" s="47">
        <v>0</v>
      </c>
      <c r="BQ154" s="47">
        <v>0</v>
      </c>
      <c r="BR154" s="47">
        <v>0</v>
      </c>
      <c r="BS154" s="47">
        <v>0</v>
      </c>
      <c r="BT154" s="47">
        <v>0</v>
      </c>
      <c r="BU154" s="47">
        <v>0</v>
      </c>
      <c r="BV154" s="47">
        <v>0</v>
      </c>
      <c r="BW154" s="47">
        <v>0</v>
      </c>
      <c r="BX154" s="47">
        <v>0</v>
      </c>
      <c r="BY154" s="47">
        <v>0</v>
      </c>
      <c r="BZ154" s="47">
        <v>0</v>
      </c>
      <c r="CA154" s="47">
        <v>0</v>
      </c>
      <c r="CB154" s="47">
        <v>0</v>
      </c>
      <c r="CC154" s="47">
        <v>0</v>
      </c>
      <c r="CD154" s="47">
        <v>0</v>
      </c>
      <c r="CE154" s="47">
        <v>0</v>
      </c>
      <c r="CF154" s="47">
        <v>0</v>
      </c>
      <c r="CG154" s="47">
        <v>0</v>
      </c>
      <c r="CH154" s="47">
        <v>0</v>
      </c>
      <c r="CI154" s="47">
        <v>0</v>
      </c>
      <c r="CJ154" s="47">
        <v>0</v>
      </c>
      <c r="CK154" s="47">
        <v>0</v>
      </c>
      <c r="CL154" s="47">
        <v>0</v>
      </c>
      <c r="CM154" s="47">
        <v>0</v>
      </c>
      <c r="CN154" s="47">
        <v>0</v>
      </c>
      <c r="CO154" s="47">
        <v>0</v>
      </c>
      <c r="CP154" s="47">
        <v>0</v>
      </c>
      <c r="CQ154" s="47">
        <v>0</v>
      </c>
      <c r="CR154" s="47">
        <v>0</v>
      </c>
      <c r="CS154" s="47">
        <v>0</v>
      </c>
      <c r="CT154" s="47">
        <v>0</v>
      </c>
      <c r="CU154" s="47">
        <v>0</v>
      </c>
      <c r="CV154" s="47">
        <v>0</v>
      </c>
      <c r="CW154" s="47">
        <v>0</v>
      </c>
      <c r="CX154" s="47">
        <v>0</v>
      </c>
      <c r="CY154" s="47">
        <v>1</v>
      </c>
      <c r="CZ154" s="47">
        <v>1</v>
      </c>
      <c r="DA154" s="47">
        <v>0</v>
      </c>
      <c r="DB154" s="47">
        <v>0</v>
      </c>
      <c r="DC154" s="47">
        <v>0</v>
      </c>
      <c r="DD154" s="47">
        <v>0</v>
      </c>
      <c r="DE154" s="47">
        <v>0</v>
      </c>
      <c r="DF154" s="47">
        <v>0</v>
      </c>
      <c r="DG154" s="47">
        <v>0</v>
      </c>
      <c r="DH154" s="47">
        <v>0</v>
      </c>
      <c r="DI154" s="47">
        <v>0</v>
      </c>
      <c r="DJ154" s="47">
        <v>0</v>
      </c>
      <c r="DK154" s="47">
        <v>0</v>
      </c>
      <c r="DL154" s="47">
        <v>0</v>
      </c>
      <c r="DM154" s="47">
        <v>0</v>
      </c>
      <c r="DN154" s="47">
        <v>0</v>
      </c>
      <c r="DO154" s="47">
        <v>0</v>
      </c>
      <c r="DP154" s="47">
        <v>0</v>
      </c>
      <c r="DQ154" s="47">
        <v>0</v>
      </c>
      <c r="DR154" s="47">
        <v>0</v>
      </c>
      <c r="DS154" s="47">
        <v>0</v>
      </c>
      <c r="DT154" s="47">
        <v>0</v>
      </c>
      <c r="DU154" s="47">
        <v>0</v>
      </c>
      <c r="DV154" s="47">
        <v>0</v>
      </c>
      <c r="DW154" s="47">
        <v>0</v>
      </c>
      <c r="DX154" s="47">
        <v>0</v>
      </c>
      <c r="DY154" s="47">
        <v>0</v>
      </c>
      <c r="DZ154" s="47"/>
      <c r="EA154" s="47">
        <v>1</v>
      </c>
      <c r="ZZ154" t="s">
        <v>1084</v>
      </c>
    </row>
    <row r="155" spans="1:702" x14ac:dyDescent="0.25">
      <c r="A155" s="47" t="s">
        <v>862</v>
      </c>
      <c r="B155" s="47" t="s">
        <v>151</v>
      </c>
      <c r="C155" s="47" t="s">
        <v>155</v>
      </c>
      <c r="D155" s="47" t="s">
        <v>1229</v>
      </c>
      <c r="E155" s="47" t="s">
        <v>863</v>
      </c>
      <c r="F155" s="47" t="s">
        <v>864</v>
      </c>
      <c r="G155" s="47" t="s">
        <v>865</v>
      </c>
      <c r="H155" s="47" t="s">
        <v>380</v>
      </c>
      <c r="I155" s="47" t="s">
        <v>411</v>
      </c>
      <c r="J155" s="47" t="str">
        <f>=IFERROR(VLOOKUP(H155&amp;I155,Table_Fonctions!A:G,6,FALSE),"")</f>
        <v>0</v>
      </c>
      <c r="K155" s="47" t="s">
        <v>1132</v>
      </c>
      <c r="L155" s="47" t="str">
        <f>=IFERROR(VLOOKUP(H155&amp;I155,Table_Fonctions!A:G,7,FALSE),K155)</f>
        <v/>
      </c>
      <c r="M155" s="47" t="str">
        <f>=IF(OR(LEFT(D155, 3)="TJ ", LEFT(D155, 4)="CPH "), "OUI", "NON")</f>
        <v/>
      </c>
      <c r="N155" s="47" t="s">
        <v>866</v>
      </c>
      <c r="O155" s="47"/>
      <c r="P155" s="47">
        <v>0.8569</v>
      </c>
      <c r="Q155" s="47">
        <v>0.8569</v>
      </c>
      <c r="R155" s="47">
        <v>0</v>
      </c>
      <c r="S155" s="47">
        <f>=ROUND(BQ155-(BR155+BS155),3)</f>
      </c>
      <c r="T155" s="47">
        <f>=ROUND(CK155-(CL155+CM155+CN155+CO155+CP155),3)</f>
      </c>
      <c r="U155" s="47">
        <v>0</v>
      </c>
      <c r="V155" s="47">
        <v>0</v>
      </c>
      <c r="W155" s="47">
        <v>0</v>
      </c>
      <c r="X155" s="47">
        <v>0</v>
      </c>
      <c r="Y155" s="47">
        <v>0</v>
      </c>
      <c r="Z155" s="47">
        <v>0</v>
      </c>
      <c r="AA155" s="47">
        <v>0</v>
      </c>
      <c r="AB155" s="47">
        <v>0</v>
      </c>
      <c r="AC155" s="47">
        <v>0</v>
      </c>
      <c r="AD155" s="47">
        <v>0</v>
      </c>
      <c r="AE155" s="47">
        <v>0</v>
      </c>
      <c r="AF155" s="47">
        <v>0</v>
      </c>
      <c r="AG155" s="47">
        <v>0</v>
      </c>
      <c r="AH155" s="47">
        <v>0</v>
      </c>
      <c r="AI155" s="47">
        <v>0</v>
      </c>
      <c r="AJ155" s="47">
        <v>0</v>
      </c>
      <c r="AK155" s="47">
        <v>0</v>
      </c>
      <c r="AL155" s="47">
        <v>0</v>
      </c>
      <c r="AM155" s="47">
        <v>0</v>
      </c>
      <c r="AN155" s="47">
        <v>0</v>
      </c>
      <c r="AO155" s="47">
        <v>0</v>
      </c>
      <c r="AP155" s="47">
        <v>0</v>
      </c>
      <c r="AQ155" s="47">
        <v>0</v>
      </c>
      <c r="AR155" s="47">
        <v>0</v>
      </c>
      <c r="AS155" s="47">
        <v>0</v>
      </c>
      <c r="AT155" s="47">
        <v>0</v>
      </c>
      <c r="AU155" s="47">
        <v>0</v>
      </c>
      <c r="AV155" s="47">
        <v>0</v>
      </c>
      <c r="AW155" s="47">
        <v>0</v>
      </c>
      <c r="AX155" s="47">
        <v>0</v>
      </c>
      <c r="AY155" s="47">
        <v>0</v>
      </c>
      <c r="AZ155" s="47">
        <v>0</v>
      </c>
      <c r="BA155" s="47">
        <v>0</v>
      </c>
      <c r="BB155" s="47">
        <v>0</v>
      </c>
      <c r="BC155" s="47">
        <v>0</v>
      </c>
      <c r="BD155" s="47">
        <v>0</v>
      </c>
      <c r="BE155" s="47">
        <v>0</v>
      </c>
      <c r="BF155" s="47">
        <v>0</v>
      </c>
      <c r="BG155" s="47">
        <v>0</v>
      </c>
      <c r="BH155" s="47">
        <v>0</v>
      </c>
      <c r="BI155" s="47">
        <v>0</v>
      </c>
      <c r="BJ155" s="47">
        <v>0</v>
      </c>
      <c r="BK155" s="47">
        <v>0</v>
      </c>
      <c r="BL155" s="47">
        <v>0</v>
      </c>
      <c r="BM155" s="47">
        <v>0</v>
      </c>
      <c r="BN155" s="47">
        <v>0</v>
      </c>
      <c r="BO155" s="47">
        <v>0</v>
      </c>
      <c r="BP155" s="47">
        <v>0</v>
      </c>
      <c r="BQ155" s="47">
        <v>0</v>
      </c>
      <c r="BR155" s="47">
        <v>0</v>
      </c>
      <c r="BS155" s="47">
        <v>0</v>
      </c>
      <c r="BT155" s="47">
        <v>0</v>
      </c>
      <c r="BU155" s="47">
        <v>0</v>
      </c>
      <c r="BV155" s="47">
        <v>0</v>
      </c>
      <c r="BW155" s="47">
        <v>0</v>
      </c>
      <c r="BX155" s="47">
        <v>0</v>
      </c>
      <c r="BY155" s="47">
        <v>0</v>
      </c>
      <c r="BZ155" s="47">
        <v>0</v>
      </c>
      <c r="CA155" s="47">
        <v>0</v>
      </c>
      <c r="CB155" s="47">
        <v>0</v>
      </c>
      <c r="CC155" s="47">
        <v>0</v>
      </c>
      <c r="CD155" s="47">
        <v>0</v>
      </c>
      <c r="CE155" s="47">
        <v>0</v>
      </c>
      <c r="CF155" s="47">
        <v>0</v>
      </c>
      <c r="CG155" s="47">
        <v>0</v>
      </c>
      <c r="CH155" s="47">
        <v>0</v>
      </c>
      <c r="CI155" s="47">
        <v>0</v>
      </c>
      <c r="CJ155" s="47">
        <v>0</v>
      </c>
      <c r="CK155" s="47">
        <v>0</v>
      </c>
      <c r="CL155" s="47">
        <v>0</v>
      </c>
      <c r="CM155" s="47">
        <v>0</v>
      </c>
      <c r="CN155" s="47">
        <v>0</v>
      </c>
      <c r="CO155" s="47">
        <v>0</v>
      </c>
      <c r="CP155" s="47">
        <v>0</v>
      </c>
      <c r="CQ155" s="47">
        <v>0</v>
      </c>
      <c r="CR155" s="47">
        <v>0</v>
      </c>
      <c r="CS155" s="47">
        <v>0</v>
      </c>
      <c r="CT155" s="47">
        <v>0</v>
      </c>
      <c r="CU155" s="47">
        <v>0</v>
      </c>
      <c r="CV155" s="47">
        <v>0</v>
      </c>
      <c r="CW155" s="47">
        <v>0</v>
      </c>
      <c r="CX155" s="47">
        <v>0</v>
      </c>
      <c r="CY155" s="47">
        <v>0.8569</v>
      </c>
      <c r="CZ155" s="47">
        <v>0.8569</v>
      </c>
      <c r="DA155" s="47">
        <v>0</v>
      </c>
      <c r="DB155" s="47">
        <v>0</v>
      </c>
      <c r="DC155" s="47">
        <v>0</v>
      </c>
      <c r="DD155" s="47">
        <v>0</v>
      </c>
      <c r="DE155" s="47">
        <v>0</v>
      </c>
      <c r="DF155" s="47">
        <v>0</v>
      </c>
      <c r="DG155" s="47">
        <v>0</v>
      </c>
      <c r="DH155" s="47">
        <v>0</v>
      </c>
      <c r="DI155" s="47">
        <v>0</v>
      </c>
      <c r="DJ155" s="47">
        <v>0</v>
      </c>
      <c r="DK155" s="47">
        <v>0.121</v>
      </c>
      <c r="DL155" s="47">
        <v>0</v>
      </c>
      <c r="DM155" s="47">
        <v>0</v>
      </c>
      <c r="DN155" s="47">
        <v>0.121</v>
      </c>
      <c r="DO155" s="47">
        <v>0</v>
      </c>
      <c r="DP155" s="47">
        <v>0</v>
      </c>
      <c r="DQ155" s="47">
        <v>0</v>
      </c>
      <c r="DR155" s="47">
        <v>0</v>
      </c>
      <c r="DS155" s="47">
        <v>0</v>
      </c>
      <c r="DT155" s="47">
        <v>0</v>
      </c>
      <c r="DU155" s="47">
        <v>0.7359</v>
      </c>
      <c r="DV155" s="47">
        <v>0</v>
      </c>
      <c r="DW155" s="47">
        <v>0</v>
      </c>
      <c r="DX155" s="47">
        <v>0</v>
      </c>
      <c r="DY155" s="47">
        <v>0.7359</v>
      </c>
      <c r="DZ155" s="47"/>
      <c r="EA155" s="47">
        <v>0.9778</v>
      </c>
      <c r="ZZ155" t="s">
        <v>1084</v>
      </c>
    </row>
    <row r="156" spans="1:702" x14ac:dyDescent="0.25">
      <c r="A156" s="47" t="s">
        <v>867</v>
      </c>
      <c r="B156" s="47" t="s">
        <v>151</v>
      </c>
      <c r="C156" s="47" t="s">
        <v>155</v>
      </c>
      <c r="D156" s="47" t="s">
        <v>1230</v>
      </c>
      <c r="E156" s="47" t="s">
        <v>868</v>
      </c>
      <c r="F156" s="47" t="s">
        <v>869</v>
      </c>
      <c r="G156" s="47" t="s">
        <v>870</v>
      </c>
      <c r="H156" s="47" t="s">
        <v>380</v>
      </c>
      <c r="I156" s="47" t="s">
        <v>510</v>
      </c>
      <c r="J156" s="47" t="str">
        <f>=IFERROR(VLOOKUP(H156&amp;I156,Table_Fonctions!A:G,6,FALSE),"")</f>
        <v>0</v>
      </c>
      <c r="K156" s="47" t="s">
        <v>1136</v>
      </c>
      <c r="L156" s="47" t="str">
        <f>=IFERROR(VLOOKUP(H156&amp;I156,Table_Fonctions!A:G,7,FALSE),K156)</f>
        <v/>
      </c>
      <c r="M156" s="47" t="str">
        <f>=IF(OR(LEFT(D156, 3)="TJ ", LEFT(D156, 4)="CPH "), "OUI", "NON")</f>
        <v/>
      </c>
      <c r="N156" s="47" t="s">
        <v>871</v>
      </c>
      <c r="O156" s="47"/>
      <c r="P156" s="47">
        <v>0.8266</v>
      </c>
      <c r="Q156" s="47">
        <v>0</v>
      </c>
      <c r="R156" s="47">
        <v>0.8266</v>
      </c>
      <c r="S156" s="47">
        <f>=ROUND(BQ156-(BR156+BS156),3)</f>
      </c>
      <c r="T156" s="47">
        <f>=ROUND(CK156-(CL156+CM156+CN156+CO156+CP156),3)</f>
      </c>
      <c r="U156" s="47">
        <v>0</v>
      </c>
      <c r="V156" s="47">
        <v>0</v>
      </c>
      <c r="W156" s="47">
        <v>0</v>
      </c>
      <c r="X156" s="47">
        <v>0</v>
      </c>
      <c r="Y156" s="47">
        <v>0</v>
      </c>
      <c r="Z156" s="47">
        <v>0</v>
      </c>
      <c r="AA156" s="47">
        <v>0</v>
      </c>
      <c r="AB156" s="47">
        <v>0</v>
      </c>
      <c r="AC156" s="47">
        <v>0</v>
      </c>
      <c r="AD156" s="47">
        <v>0</v>
      </c>
      <c r="AE156" s="47">
        <v>0</v>
      </c>
      <c r="AF156" s="47">
        <v>0</v>
      </c>
      <c r="AG156" s="47">
        <v>0</v>
      </c>
      <c r="AH156" s="47">
        <v>0</v>
      </c>
      <c r="AI156" s="47">
        <v>0</v>
      </c>
      <c r="AJ156" s="47">
        <v>0</v>
      </c>
      <c r="AK156" s="47">
        <v>0</v>
      </c>
      <c r="AL156" s="47">
        <v>0</v>
      </c>
      <c r="AM156" s="47">
        <v>0</v>
      </c>
      <c r="AN156" s="47">
        <v>0</v>
      </c>
      <c r="AO156" s="47">
        <v>0</v>
      </c>
      <c r="AP156" s="47">
        <v>0</v>
      </c>
      <c r="AQ156" s="47">
        <v>0</v>
      </c>
      <c r="AR156" s="47">
        <v>0</v>
      </c>
      <c r="AS156" s="47">
        <v>0</v>
      </c>
      <c r="AT156" s="47">
        <v>0</v>
      </c>
      <c r="AU156" s="47">
        <v>0</v>
      </c>
      <c r="AV156" s="47">
        <v>0</v>
      </c>
      <c r="AW156" s="47">
        <v>0</v>
      </c>
      <c r="AX156" s="47">
        <v>0</v>
      </c>
      <c r="AY156" s="47">
        <v>0</v>
      </c>
      <c r="AZ156" s="47">
        <v>0</v>
      </c>
      <c r="BA156" s="47">
        <v>0</v>
      </c>
      <c r="BB156" s="47">
        <v>0</v>
      </c>
      <c r="BC156" s="47">
        <v>0</v>
      </c>
      <c r="BD156" s="47">
        <v>0</v>
      </c>
      <c r="BE156" s="47">
        <v>0</v>
      </c>
      <c r="BF156" s="47">
        <v>0</v>
      </c>
      <c r="BG156" s="47">
        <v>0</v>
      </c>
      <c r="BH156" s="47">
        <v>0</v>
      </c>
      <c r="BI156" s="47">
        <v>0</v>
      </c>
      <c r="BJ156" s="47">
        <v>0</v>
      </c>
      <c r="BK156" s="47">
        <v>0</v>
      </c>
      <c r="BL156" s="47">
        <v>0</v>
      </c>
      <c r="BM156" s="47">
        <v>0</v>
      </c>
      <c r="BN156" s="47">
        <v>0</v>
      </c>
      <c r="BO156" s="47">
        <v>0</v>
      </c>
      <c r="BP156" s="47">
        <v>0</v>
      </c>
      <c r="BQ156" s="47">
        <v>0</v>
      </c>
      <c r="BR156" s="47">
        <v>0</v>
      </c>
      <c r="BS156" s="47">
        <v>0</v>
      </c>
      <c r="BT156" s="47">
        <v>0</v>
      </c>
      <c r="BU156" s="47">
        <v>0</v>
      </c>
      <c r="BV156" s="47">
        <v>0</v>
      </c>
      <c r="BW156" s="47">
        <v>0</v>
      </c>
      <c r="BX156" s="47">
        <v>0</v>
      </c>
      <c r="BY156" s="47">
        <v>0</v>
      </c>
      <c r="BZ156" s="47">
        <v>0</v>
      </c>
      <c r="CA156" s="47">
        <v>0</v>
      </c>
      <c r="CB156" s="47">
        <v>0</v>
      </c>
      <c r="CC156" s="47">
        <v>0</v>
      </c>
      <c r="CD156" s="47">
        <v>0</v>
      </c>
      <c r="CE156" s="47">
        <v>0</v>
      </c>
      <c r="CF156" s="47">
        <v>0</v>
      </c>
      <c r="CG156" s="47">
        <v>0</v>
      </c>
      <c r="CH156" s="47">
        <v>0</v>
      </c>
      <c r="CI156" s="47">
        <v>0</v>
      </c>
      <c r="CJ156" s="47">
        <v>0</v>
      </c>
      <c r="CK156" s="47">
        <v>0</v>
      </c>
      <c r="CL156" s="47">
        <v>0</v>
      </c>
      <c r="CM156" s="47">
        <v>0</v>
      </c>
      <c r="CN156" s="47">
        <v>0</v>
      </c>
      <c r="CO156" s="47">
        <v>0</v>
      </c>
      <c r="CP156" s="47">
        <v>0</v>
      </c>
      <c r="CQ156" s="47">
        <v>0</v>
      </c>
      <c r="CR156" s="47">
        <v>0</v>
      </c>
      <c r="CS156" s="47">
        <v>0</v>
      </c>
      <c r="CT156" s="47">
        <v>0</v>
      </c>
      <c r="CU156" s="47">
        <v>0</v>
      </c>
      <c r="CV156" s="47">
        <v>0</v>
      </c>
      <c r="CW156" s="47">
        <v>0</v>
      </c>
      <c r="CX156" s="47">
        <v>0</v>
      </c>
      <c r="CY156" s="47">
        <v>0</v>
      </c>
      <c r="CZ156" s="47">
        <v>0</v>
      </c>
      <c r="DA156" s="47">
        <v>0</v>
      </c>
      <c r="DB156" s="47">
        <v>0</v>
      </c>
      <c r="DC156" s="47">
        <v>0</v>
      </c>
      <c r="DD156" s="47">
        <v>0</v>
      </c>
      <c r="DE156" s="47">
        <v>0</v>
      </c>
      <c r="DF156" s="47">
        <v>0</v>
      </c>
      <c r="DG156" s="47">
        <v>0</v>
      </c>
      <c r="DH156" s="47">
        <v>0</v>
      </c>
      <c r="DI156" s="47">
        <v>0</v>
      </c>
      <c r="DJ156" s="47">
        <v>0</v>
      </c>
      <c r="DK156" s="47">
        <v>0</v>
      </c>
      <c r="DL156" s="47">
        <v>0</v>
      </c>
      <c r="DM156" s="47">
        <v>0</v>
      </c>
      <c r="DN156" s="47">
        <v>0</v>
      </c>
      <c r="DO156" s="47">
        <v>0</v>
      </c>
      <c r="DP156" s="47">
        <v>0</v>
      </c>
      <c r="DQ156" s="47">
        <v>0</v>
      </c>
      <c r="DR156" s="47">
        <v>0</v>
      </c>
      <c r="DS156" s="47">
        <v>0</v>
      </c>
      <c r="DT156" s="47">
        <v>0</v>
      </c>
      <c r="DU156" s="47">
        <v>0</v>
      </c>
      <c r="DV156" s="47">
        <v>0</v>
      </c>
      <c r="DW156" s="47">
        <v>0</v>
      </c>
      <c r="DX156" s="47">
        <v>0</v>
      </c>
      <c r="DY156" s="47">
        <v>0</v>
      </c>
      <c r="DZ156" s="47"/>
      <c r="EA156" s="47">
        <v>0.8266</v>
      </c>
      <c r="ZZ156" t="s">
        <v>1084</v>
      </c>
    </row>
    <row r="157" spans="1:702" x14ac:dyDescent="0.25">
      <c r="A157" s="47" t="s">
        <v>872</v>
      </c>
      <c r="B157" s="47" t="s">
        <v>151</v>
      </c>
      <c r="C157" s="47" t="s">
        <v>155</v>
      </c>
      <c r="D157" s="47" t="s">
        <v>1231</v>
      </c>
      <c r="E157" s="47" t="s">
        <v>873</v>
      </c>
      <c r="F157" s="47" t="s">
        <v>874</v>
      </c>
      <c r="G157" s="47" t="s">
        <v>875</v>
      </c>
      <c r="H157" s="47" t="s">
        <v>380</v>
      </c>
      <c r="I157" s="47" t="s">
        <v>381</v>
      </c>
      <c r="J157" s="47" t="str">
        <f>=IFERROR(VLOOKUP(H157&amp;I157,Table_Fonctions!A:G,6,FALSE),"")</f>
        <v>0</v>
      </c>
      <c r="K157" s="47" t="s">
        <v>1132</v>
      </c>
      <c r="L157" s="47" t="str">
        <f>=IFERROR(VLOOKUP(H157&amp;I157,Table_Fonctions!A:G,7,FALSE),K157)</f>
        <v/>
      </c>
      <c r="M157" s="47" t="str">
        <f>=IF(OR(LEFT(D157, 3)="TJ ", LEFT(D157, 4)="CPH "), "OUI", "NON")</f>
        <v/>
      </c>
      <c r="N157" s="47" t="s">
        <v>601</v>
      </c>
      <c r="O157" s="47"/>
      <c r="P157" s="47">
        <v>1</v>
      </c>
      <c r="Q157" s="47">
        <v>0</v>
      </c>
      <c r="R157" s="47">
        <v>1</v>
      </c>
      <c r="S157" s="47">
        <f>=ROUND(BQ157-(BR157+BS157),3)</f>
      </c>
      <c r="T157" s="47">
        <f>=ROUND(CK157-(CL157+CM157+CN157+CO157+CP157),3)</f>
      </c>
      <c r="U157" s="47">
        <v>0</v>
      </c>
      <c r="V157" s="47">
        <v>0</v>
      </c>
      <c r="W157" s="47">
        <v>0</v>
      </c>
      <c r="X157" s="47">
        <v>0</v>
      </c>
      <c r="Y157" s="47">
        <v>0</v>
      </c>
      <c r="Z157" s="47">
        <v>0</v>
      </c>
      <c r="AA157" s="47">
        <v>0</v>
      </c>
      <c r="AB157" s="47">
        <v>0</v>
      </c>
      <c r="AC157" s="47">
        <v>0</v>
      </c>
      <c r="AD157" s="47">
        <v>0</v>
      </c>
      <c r="AE157" s="47">
        <v>0</v>
      </c>
      <c r="AF157" s="47">
        <v>0</v>
      </c>
      <c r="AG157" s="47">
        <v>0</v>
      </c>
      <c r="AH157" s="47">
        <v>0</v>
      </c>
      <c r="AI157" s="47">
        <v>0</v>
      </c>
      <c r="AJ157" s="47">
        <v>0</v>
      </c>
      <c r="AK157" s="47">
        <v>0</v>
      </c>
      <c r="AL157" s="47">
        <v>0</v>
      </c>
      <c r="AM157" s="47">
        <v>0</v>
      </c>
      <c r="AN157" s="47">
        <v>0</v>
      </c>
      <c r="AO157" s="47">
        <v>0</v>
      </c>
      <c r="AP157" s="47">
        <v>0</v>
      </c>
      <c r="AQ157" s="47">
        <v>0</v>
      </c>
      <c r="AR157" s="47">
        <v>0</v>
      </c>
      <c r="AS157" s="47">
        <v>0</v>
      </c>
      <c r="AT157" s="47">
        <v>0</v>
      </c>
      <c r="AU157" s="47">
        <v>0</v>
      </c>
      <c r="AV157" s="47">
        <v>0</v>
      </c>
      <c r="AW157" s="47">
        <v>0</v>
      </c>
      <c r="AX157" s="47">
        <v>0</v>
      </c>
      <c r="AY157" s="47">
        <v>0</v>
      </c>
      <c r="AZ157" s="47">
        <v>0</v>
      </c>
      <c r="BA157" s="47">
        <v>0</v>
      </c>
      <c r="BB157" s="47">
        <v>0</v>
      </c>
      <c r="BC157" s="47">
        <v>0</v>
      </c>
      <c r="BD157" s="47">
        <v>0</v>
      </c>
      <c r="BE157" s="47">
        <v>0</v>
      </c>
      <c r="BF157" s="47">
        <v>0</v>
      </c>
      <c r="BG157" s="47">
        <v>0</v>
      </c>
      <c r="BH157" s="47">
        <v>0</v>
      </c>
      <c r="BI157" s="47">
        <v>0</v>
      </c>
      <c r="BJ157" s="47">
        <v>0</v>
      </c>
      <c r="BK157" s="47">
        <v>0</v>
      </c>
      <c r="BL157" s="47">
        <v>0</v>
      </c>
      <c r="BM157" s="47">
        <v>0</v>
      </c>
      <c r="BN157" s="47">
        <v>0</v>
      </c>
      <c r="BO157" s="47">
        <v>0</v>
      </c>
      <c r="BP157" s="47">
        <v>0</v>
      </c>
      <c r="BQ157" s="47">
        <v>0</v>
      </c>
      <c r="BR157" s="47">
        <v>0</v>
      </c>
      <c r="BS157" s="47">
        <v>0</v>
      </c>
      <c r="BT157" s="47">
        <v>0</v>
      </c>
      <c r="BU157" s="47">
        <v>0</v>
      </c>
      <c r="BV157" s="47">
        <v>0</v>
      </c>
      <c r="BW157" s="47">
        <v>0</v>
      </c>
      <c r="BX157" s="47">
        <v>0</v>
      </c>
      <c r="BY157" s="47">
        <v>0</v>
      </c>
      <c r="BZ157" s="47">
        <v>0</v>
      </c>
      <c r="CA157" s="47">
        <v>0</v>
      </c>
      <c r="CB157" s="47">
        <v>0</v>
      </c>
      <c r="CC157" s="47">
        <v>0</v>
      </c>
      <c r="CD157" s="47">
        <v>0</v>
      </c>
      <c r="CE157" s="47">
        <v>0</v>
      </c>
      <c r="CF157" s="47">
        <v>0</v>
      </c>
      <c r="CG157" s="47">
        <v>0</v>
      </c>
      <c r="CH157" s="47">
        <v>0</v>
      </c>
      <c r="CI157" s="47">
        <v>0</v>
      </c>
      <c r="CJ157" s="47">
        <v>0</v>
      </c>
      <c r="CK157" s="47">
        <v>0</v>
      </c>
      <c r="CL157" s="47">
        <v>0</v>
      </c>
      <c r="CM157" s="47">
        <v>0</v>
      </c>
      <c r="CN157" s="47">
        <v>0</v>
      </c>
      <c r="CO157" s="47">
        <v>0</v>
      </c>
      <c r="CP157" s="47">
        <v>0</v>
      </c>
      <c r="CQ157" s="47">
        <v>0</v>
      </c>
      <c r="CR157" s="47">
        <v>0</v>
      </c>
      <c r="CS157" s="47">
        <v>0</v>
      </c>
      <c r="CT157" s="47">
        <v>0</v>
      </c>
      <c r="CU157" s="47">
        <v>0</v>
      </c>
      <c r="CV157" s="47">
        <v>0</v>
      </c>
      <c r="CW157" s="47">
        <v>0</v>
      </c>
      <c r="CX157" s="47">
        <v>0</v>
      </c>
      <c r="CY157" s="47">
        <v>0</v>
      </c>
      <c r="CZ157" s="47">
        <v>0</v>
      </c>
      <c r="DA157" s="47">
        <v>0</v>
      </c>
      <c r="DB157" s="47">
        <v>0</v>
      </c>
      <c r="DC157" s="47">
        <v>0</v>
      </c>
      <c r="DD157" s="47">
        <v>0</v>
      </c>
      <c r="DE157" s="47">
        <v>0</v>
      </c>
      <c r="DF157" s="47">
        <v>0</v>
      </c>
      <c r="DG157" s="47">
        <v>0</v>
      </c>
      <c r="DH157" s="47">
        <v>0</v>
      </c>
      <c r="DI157" s="47">
        <v>0</v>
      </c>
      <c r="DJ157" s="47">
        <v>0</v>
      </c>
      <c r="DK157" s="47">
        <v>0</v>
      </c>
      <c r="DL157" s="47">
        <v>0</v>
      </c>
      <c r="DM157" s="47">
        <v>0</v>
      </c>
      <c r="DN157" s="47">
        <v>0</v>
      </c>
      <c r="DO157" s="47">
        <v>0</v>
      </c>
      <c r="DP157" s="47">
        <v>0</v>
      </c>
      <c r="DQ157" s="47">
        <v>0</v>
      </c>
      <c r="DR157" s="47">
        <v>0</v>
      </c>
      <c r="DS157" s="47">
        <v>0</v>
      </c>
      <c r="DT157" s="47">
        <v>0</v>
      </c>
      <c r="DU157" s="47">
        <v>0</v>
      </c>
      <c r="DV157" s="47">
        <v>0</v>
      </c>
      <c r="DW157" s="47">
        <v>0</v>
      </c>
      <c r="DX157" s="47">
        <v>0</v>
      </c>
      <c r="DY157" s="47">
        <v>0</v>
      </c>
      <c r="DZ157" s="47"/>
      <c r="EA157" s="47">
        <v>1</v>
      </c>
      <c r="ZZ157" t="s">
        <v>1084</v>
      </c>
    </row>
    <row r="158" spans="1:702" x14ac:dyDescent="0.25">
      <c r="A158" s="47" t="s">
        <v>876</v>
      </c>
      <c r="B158" s="47" t="s">
        <v>151</v>
      </c>
      <c r="C158" s="47" t="s">
        <v>155</v>
      </c>
      <c r="D158" s="47" t="s">
        <v>1232</v>
      </c>
      <c r="E158" s="47" t="s">
        <v>877</v>
      </c>
      <c r="F158" s="47" t="s">
        <v>878</v>
      </c>
      <c r="G158" s="47" t="s">
        <v>879</v>
      </c>
      <c r="H158" s="47" t="s">
        <v>380</v>
      </c>
      <c r="I158" s="47" t="s">
        <v>381</v>
      </c>
      <c r="J158" s="47" t="str">
        <f>=IFERROR(VLOOKUP(H158&amp;I158,Table_Fonctions!A:G,6,FALSE),"")</f>
        <v>0</v>
      </c>
      <c r="K158" s="47" t="s">
        <v>1132</v>
      </c>
      <c r="L158" s="47" t="str">
        <f>=IFERROR(VLOOKUP(H158&amp;I158,Table_Fonctions!A:G,7,FALSE),K158)</f>
        <v/>
      </c>
      <c r="M158" s="47" t="str">
        <f>=IF(OR(LEFT(D158, 3)="TJ ", LEFT(D158, 4)="CPH "), "OUI", "NON")</f>
        <v/>
      </c>
      <c r="N158" s="47" t="s">
        <v>400</v>
      </c>
      <c r="O158" s="47"/>
      <c r="P158" s="47">
        <v>1</v>
      </c>
      <c r="Q158" s="47">
        <v>0</v>
      </c>
      <c r="R158" s="47">
        <v>1</v>
      </c>
      <c r="S158" s="47">
        <f>=ROUND(BQ158-(BR158+BS158),3)</f>
      </c>
      <c r="T158" s="47">
        <f>=ROUND(CK158-(CL158+CM158+CN158+CO158+CP158),3)</f>
      </c>
      <c r="U158" s="47">
        <v>0</v>
      </c>
      <c r="V158" s="47">
        <v>0</v>
      </c>
      <c r="W158" s="47">
        <v>0</v>
      </c>
      <c r="X158" s="47">
        <v>0</v>
      </c>
      <c r="Y158" s="47">
        <v>0</v>
      </c>
      <c r="Z158" s="47">
        <v>0</v>
      </c>
      <c r="AA158" s="47">
        <v>0</v>
      </c>
      <c r="AB158" s="47">
        <v>0</v>
      </c>
      <c r="AC158" s="47">
        <v>0</v>
      </c>
      <c r="AD158" s="47">
        <v>0</v>
      </c>
      <c r="AE158" s="47">
        <v>0</v>
      </c>
      <c r="AF158" s="47">
        <v>0</v>
      </c>
      <c r="AG158" s="47">
        <v>0</v>
      </c>
      <c r="AH158" s="47">
        <v>0</v>
      </c>
      <c r="AI158" s="47">
        <v>0</v>
      </c>
      <c r="AJ158" s="47">
        <v>0</v>
      </c>
      <c r="AK158" s="47">
        <v>0</v>
      </c>
      <c r="AL158" s="47">
        <v>0</v>
      </c>
      <c r="AM158" s="47">
        <v>0</v>
      </c>
      <c r="AN158" s="47">
        <v>0</v>
      </c>
      <c r="AO158" s="47">
        <v>0</v>
      </c>
      <c r="AP158" s="47">
        <v>0</v>
      </c>
      <c r="AQ158" s="47">
        <v>0</v>
      </c>
      <c r="AR158" s="47">
        <v>0</v>
      </c>
      <c r="AS158" s="47">
        <v>0</v>
      </c>
      <c r="AT158" s="47">
        <v>0</v>
      </c>
      <c r="AU158" s="47">
        <v>0</v>
      </c>
      <c r="AV158" s="47">
        <v>0</v>
      </c>
      <c r="AW158" s="47">
        <v>0</v>
      </c>
      <c r="AX158" s="47">
        <v>0</v>
      </c>
      <c r="AY158" s="47">
        <v>0</v>
      </c>
      <c r="AZ158" s="47">
        <v>0</v>
      </c>
      <c r="BA158" s="47">
        <v>0</v>
      </c>
      <c r="BB158" s="47">
        <v>0</v>
      </c>
      <c r="BC158" s="47">
        <v>0</v>
      </c>
      <c r="BD158" s="47">
        <v>0</v>
      </c>
      <c r="BE158" s="47">
        <v>0</v>
      </c>
      <c r="BF158" s="47">
        <v>0</v>
      </c>
      <c r="BG158" s="47">
        <v>0</v>
      </c>
      <c r="BH158" s="47">
        <v>0</v>
      </c>
      <c r="BI158" s="47">
        <v>0</v>
      </c>
      <c r="BJ158" s="47">
        <v>0</v>
      </c>
      <c r="BK158" s="47">
        <v>0</v>
      </c>
      <c r="BL158" s="47">
        <v>0</v>
      </c>
      <c r="BM158" s="47">
        <v>0</v>
      </c>
      <c r="BN158" s="47">
        <v>0</v>
      </c>
      <c r="BO158" s="47">
        <v>0</v>
      </c>
      <c r="BP158" s="47">
        <v>0</v>
      </c>
      <c r="BQ158" s="47">
        <v>0</v>
      </c>
      <c r="BR158" s="47">
        <v>0</v>
      </c>
      <c r="BS158" s="47">
        <v>0</v>
      </c>
      <c r="BT158" s="47">
        <v>0</v>
      </c>
      <c r="BU158" s="47">
        <v>0</v>
      </c>
      <c r="BV158" s="47">
        <v>0</v>
      </c>
      <c r="BW158" s="47">
        <v>0</v>
      </c>
      <c r="BX158" s="47">
        <v>0</v>
      </c>
      <c r="BY158" s="47">
        <v>0</v>
      </c>
      <c r="BZ158" s="47">
        <v>0</v>
      </c>
      <c r="CA158" s="47">
        <v>0</v>
      </c>
      <c r="CB158" s="47">
        <v>0</v>
      </c>
      <c r="CC158" s="47">
        <v>0</v>
      </c>
      <c r="CD158" s="47">
        <v>0</v>
      </c>
      <c r="CE158" s="47">
        <v>0</v>
      </c>
      <c r="CF158" s="47">
        <v>0</v>
      </c>
      <c r="CG158" s="47">
        <v>0</v>
      </c>
      <c r="CH158" s="47">
        <v>0</v>
      </c>
      <c r="CI158" s="47">
        <v>0</v>
      </c>
      <c r="CJ158" s="47">
        <v>0</v>
      </c>
      <c r="CK158" s="47">
        <v>0</v>
      </c>
      <c r="CL158" s="47">
        <v>0</v>
      </c>
      <c r="CM158" s="47">
        <v>0</v>
      </c>
      <c r="CN158" s="47">
        <v>0</v>
      </c>
      <c r="CO158" s="47">
        <v>0</v>
      </c>
      <c r="CP158" s="47">
        <v>0</v>
      </c>
      <c r="CQ158" s="47">
        <v>0</v>
      </c>
      <c r="CR158" s="47">
        <v>0</v>
      </c>
      <c r="CS158" s="47">
        <v>0</v>
      </c>
      <c r="CT158" s="47">
        <v>0</v>
      </c>
      <c r="CU158" s="47">
        <v>0</v>
      </c>
      <c r="CV158" s="47">
        <v>0</v>
      </c>
      <c r="CW158" s="47">
        <v>0</v>
      </c>
      <c r="CX158" s="47">
        <v>0</v>
      </c>
      <c r="CY158" s="47">
        <v>0</v>
      </c>
      <c r="CZ158" s="47">
        <v>0</v>
      </c>
      <c r="DA158" s="47">
        <v>0</v>
      </c>
      <c r="DB158" s="47">
        <v>0</v>
      </c>
      <c r="DC158" s="47">
        <v>0</v>
      </c>
      <c r="DD158" s="47">
        <v>0</v>
      </c>
      <c r="DE158" s="47">
        <v>0</v>
      </c>
      <c r="DF158" s="47">
        <v>0</v>
      </c>
      <c r="DG158" s="47">
        <v>0</v>
      </c>
      <c r="DH158" s="47">
        <v>0</v>
      </c>
      <c r="DI158" s="47">
        <v>0</v>
      </c>
      <c r="DJ158" s="47">
        <v>0</v>
      </c>
      <c r="DK158" s="47">
        <v>0</v>
      </c>
      <c r="DL158" s="47">
        <v>0</v>
      </c>
      <c r="DM158" s="47">
        <v>0</v>
      </c>
      <c r="DN158" s="47">
        <v>0</v>
      </c>
      <c r="DO158" s="47">
        <v>0</v>
      </c>
      <c r="DP158" s="47">
        <v>0</v>
      </c>
      <c r="DQ158" s="47">
        <v>0</v>
      </c>
      <c r="DR158" s="47">
        <v>0</v>
      </c>
      <c r="DS158" s="47">
        <v>0</v>
      </c>
      <c r="DT158" s="47">
        <v>0</v>
      </c>
      <c r="DU158" s="47">
        <v>0</v>
      </c>
      <c r="DV158" s="47">
        <v>0</v>
      </c>
      <c r="DW158" s="47">
        <v>0</v>
      </c>
      <c r="DX158" s="47">
        <v>0</v>
      </c>
      <c r="DY158" s="47">
        <v>0</v>
      </c>
      <c r="DZ158" s="47"/>
      <c r="EA158" s="47">
        <v>1</v>
      </c>
      <c r="ZZ158" t="s">
        <v>1084</v>
      </c>
    </row>
    <row r="159" spans="1:702" x14ac:dyDescent="0.25">
      <c r="A159" s="47" t="s">
        <v>880</v>
      </c>
      <c r="B159" s="47" t="s">
        <v>151</v>
      </c>
      <c r="C159" s="47" t="s">
        <v>155</v>
      </c>
      <c r="D159" s="47" t="s">
        <v>1233</v>
      </c>
      <c r="E159" s="47" t="s">
        <v>881</v>
      </c>
      <c r="F159" s="47" t="s">
        <v>882</v>
      </c>
      <c r="G159" s="47" t="s">
        <v>883</v>
      </c>
      <c r="H159" s="47" t="s">
        <v>380</v>
      </c>
      <c r="I159" s="47" t="s">
        <v>381</v>
      </c>
      <c r="J159" s="47" t="str">
        <f>=IFERROR(VLOOKUP(H159&amp;I159,Table_Fonctions!A:G,6,FALSE),"")</f>
        <v>0</v>
      </c>
      <c r="K159" s="47" t="s">
        <v>1132</v>
      </c>
      <c r="L159" s="47" t="str">
        <f>=IFERROR(VLOOKUP(H159&amp;I159,Table_Fonctions!A:G,7,FALSE),K159)</f>
        <v/>
      </c>
      <c r="M159" s="47" t="str">
        <f>=IF(OR(LEFT(D159, 3)="TJ ", LEFT(D159, 4)="CPH "), "OUI", "NON")</f>
        <v/>
      </c>
      <c r="N159" s="47" t="s">
        <v>556</v>
      </c>
      <c r="O159" s="47"/>
      <c r="P159" s="47">
        <v>0.8</v>
      </c>
      <c r="Q159" s="47">
        <v>0.8</v>
      </c>
      <c r="R159" s="47">
        <v>0</v>
      </c>
      <c r="S159" s="47">
        <f>=ROUND(BQ159-(BR159+BS159),3)</f>
      </c>
      <c r="T159" s="47">
        <f>=ROUND(CK159-(CL159+CM159+CN159+CO159+CP159),3)</f>
      </c>
      <c r="U159" s="47">
        <v>0</v>
      </c>
      <c r="V159" s="47">
        <v>0</v>
      </c>
      <c r="W159" s="47">
        <v>0</v>
      </c>
      <c r="X159" s="47">
        <v>0</v>
      </c>
      <c r="Y159" s="47">
        <v>0</v>
      </c>
      <c r="Z159" s="47">
        <v>0</v>
      </c>
      <c r="AA159" s="47">
        <v>0</v>
      </c>
      <c r="AB159" s="47">
        <v>0</v>
      </c>
      <c r="AC159" s="47">
        <v>0</v>
      </c>
      <c r="AD159" s="47">
        <v>0</v>
      </c>
      <c r="AE159" s="47">
        <v>0</v>
      </c>
      <c r="AF159" s="47">
        <v>0</v>
      </c>
      <c r="AG159" s="47">
        <v>0</v>
      </c>
      <c r="AH159" s="47">
        <v>0</v>
      </c>
      <c r="AI159" s="47">
        <v>0</v>
      </c>
      <c r="AJ159" s="47">
        <v>0.8</v>
      </c>
      <c r="AK159" s="47">
        <v>0</v>
      </c>
      <c r="AL159" s="47">
        <v>0</v>
      </c>
      <c r="AM159" s="47">
        <v>0</v>
      </c>
      <c r="AN159" s="47">
        <v>0</v>
      </c>
      <c r="AO159" s="47">
        <v>0</v>
      </c>
      <c r="AP159" s="47">
        <v>0.8</v>
      </c>
      <c r="AQ159" s="47">
        <v>0</v>
      </c>
      <c r="AR159" s="47">
        <v>0</v>
      </c>
      <c r="AS159" s="47">
        <v>0</v>
      </c>
      <c r="AT159" s="47">
        <v>0</v>
      </c>
      <c r="AU159" s="47">
        <v>0</v>
      </c>
      <c r="AV159" s="47">
        <v>0</v>
      </c>
      <c r="AW159" s="47">
        <v>0</v>
      </c>
      <c r="AX159" s="47">
        <v>0</v>
      </c>
      <c r="AY159" s="47">
        <v>0</v>
      </c>
      <c r="AZ159" s="47">
        <v>0</v>
      </c>
      <c r="BA159" s="47">
        <v>0</v>
      </c>
      <c r="BB159" s="47">
        <v>0</v>
      </c>
      <c r="BC159" s="47">
        <v>0</v>
      </c>
      <c r="BD159" s="47">
        <v>0</v>
      </c>
      <c r="BE159" s="47">
        <v>0</v>
      </c>
      <c r="BF159" s="47">
        <v>0</v>
      </c>
      <c r="BG159" s="47">
        <v>0</v>
      </c>
      <c r="BH159" s="47">
        <v>0</v>
      </c>
      <c r="BI159" s="47">
        <v>0</v>
      </c>
      <c r="BJ159" s="47">
        <v>0</v>
      </c>
      <c r="BK159" s="47">
        <v>0</v>
      </c>
      <c r="BL159" s="47">
        <v>0</v>
      </c>
      <c r="BM159" s="47">
        <v>0</v>
      </c>
      <c r="BN159" s="47">
        <v>0</v>
      </c>
      <c r="BO159" s="47">
        <v>0</v>
      </c>
      <c r="BP159" s="47">
        <v>0</v>
      </c>
      <c r="BQ159" s="47">
        <v>0</v>
      </c>
      <c r="BR159" s="47">
        <v>0</v>
      </c>
      <c r="BS159" s="47">
        <v>0</v>
      </c>
      <c r="BT159" s="47">
        <v>0</v>
      </c>
      <c r="BU159" s="47">
        <v>0</v>
      </c>
      <c r="BV159" s="47">
        <v>0</v>
      </c>
      <c r="BW159" s="47">
        <v>0</v>
      </c>
      <c r="BX159" s="47">
        <v>0</v>
      </c>
      <c r="BY159" s="47">
        <v>0</v>
      </c>
      <c r="BZ159" s="47">
        <v>0</v>
      </c>
      <c r="CA159" s="47">
        <v>0</v>
      </c>
      <c r="CB159" s="47">
        <v>0</v>
      </c>
      <c r="CC159" s="47">
        <v>0</v>
      </c>
      <c r="CD159" s="47">
        <v>0</v>
      </c>
      <c r="CE159" s="47">
        <v>0</v>
      </c>
      <c r="CF159" s="47">
        <v>0</v>
      </c>
      <c r="CG159" s="47">
        <v>0</v>
      </c>
      <c r="CH159" s="47">
        <v>0</v>
      </c>
      <c r="CI159" s="47">
        <v>0</v>
      </c>
      <c r="CJ159" s="47">
        <v>0</v>
      </c>
      <c r="CK159" s="47">
        <v>0</v>
      </c>
      <c r="CL159" s="47">
        <v>0</v>
      </c>
      <c r="CM159" s="47">
        <v>0</v>
      </c>
      <c r="CN159" s="47">
        <v>0</v>
      </c>
      <c r="CO159" s="47">
        <v>0</v>
      </c>
      <c r="CP159" s="47">
        <v>0</v>
      </c>
      <c r="CQ159" s="47">
        <v>0</v>
      </c>
      <c r="CR159" s="47">
        <v>0</v>
      </c>
      <c r="CS159" s="47">
        <v>0</v>
      </c>
      <c r="CT159" s="47">
        <v>0</v>
      </c>
      <c r="CU159" s="47">
        <v>0</v>
      </c>
      <c r="CV159" s="47">
        <v>0</v>
      </c>
      <c r="CW159" s="47">
        <v>0</v>
      </c>
      <c r="CX159" s="47">
        <v>0</v>
      </c>
      <c r="CY159" s="47">
        <v>0</v>
      </c>
      <c r="CZ159" s="47">
        <v>0</v>
      </c>
      <c r="DA159" s="47">
        <v>0</v>
      </c>
      <c r="DB159" s="47">
        <v>0</v>
      </c>
      <c r="DC159" s="47">
        <v>0</v>
      </c>
      <c r="DD159" s="47">
        <v>0</v>
      </c>
      <c r="DE159" s="47">
        <v>0</v>
      </c>
      <c r="DF159" s="47">
        <v>0</v>
      </c>
      <c r="DG159" s="47">
        <v>0</v>
      </c>
      <c r="DH159" s="47">
        <v>0</v>
      </c>
      <c r="DI159" s="47">
        <v>0</v>
      </c>
      <c r="DJ159" s="47">
        <v>0</v>
      </c>
      <c r="DK159" s="47">
        <v>0</v>
      </c>
      <c r="DL159" s="47">
        <v>0</v>
      </c>
      <c r="DM159" s="47">
        <v>0</v>
      </c>
      <c r="DN159" s="47">
        <v>0</v>
      </c>
      <c r="DO159" s="47">
        <v>0</v>
      </c>
      <c r="DP159" s="47">
        <v>0</v>
      </c>
      <c r="DQ159" s="47">
        <v>0</v>
      </c>
      <c r="DR159" s="47">
        <v>0</v>
      </c>
      <c r="DS159" s="47">
        <v>0</v>
      </c>
      <c r="DT159" s="47">
        <v>0</v>
      </c>
      <c r="DU159" s="47">
        <v>0</v>
      </c>
      <c r="DV159" s="47">
        <v>0</v>
      </c>
      <c r="DW159" s="47">
        <v>0</v>
      </c>
      <c r="DX159" s="47">
        <v>0</v>
      </c>
      <c r="DY159" s="47">
        <v>0</v>
      </c>
      <c r="DZ159" s="47"/>
      <c r="EA159" s="47">
        <v>0.8</v>
      </c>
      <c r="ZZ159" t="s">
        <v>1084</v>
      </c>
    </row>
    <row r="160" spans="1:702" x14ac:dyDescent="0.25">
      <c r="A160" s="47" t="s">
        <v>884</v>
      </c>
      <c r="B160" s="47" t="s">
        <v>151</v>
      </c>
      <c r="C160" s="47" t="s">
        <v>155</v>
      </c>
      <c r="D160" s="47" t="s">
        <v>1234</v>
      </c>
      <c r="E160" s="47" t="s">
        <v>885</v>
      </c>
      <c r="F160" s="47" t="s">
        <v>886</v>
      </c>
      <c r="G160" s="47" t="s">
        <v>887</v>
      </c>
      <c r="H160" s="47" t="s">
        <v>380</v>
      </c>
      <c r="I160" s="47" t="s">
        <v>411</v>
      </c>
      <c r="J160" s="47" t="str">
        <f>=IFERROR(VLOOKUP(H160&amp;I160,Table_Fonctions!A:G,6,FALSE),"")</f>
        <v>0</v>
      </c>
      <c r="K160" s="47" t="s">
        <v>1132</v>
      </c>
      <c r="L160" s="47" t="str">
        <f>=IFERROR(VLOOKUP(H160&amp;I160,Table_Fonctions!A:G,7,FALSE),K160)</f>
        <v/>
      </c>
      <c r="M160" s="47" t="str">
        <f>=IF(OR(LEFT(D160, 3)="TJ ", LEFT(D160, 4)="CPH "), "OUI", "NON")</f>
        <v/>
      </c>
      <c r="N160" s="47" t="s">
        <v>888</v>
      </c>
      <c r="O160" s="47"/>
      <c r="P160" s="47">
        <v>1</v>
      </c>
      <c r="Q160" s="47">
        <v>1</v>
      </c>
      <c r="R160" s="47">
        <v>0</v>
      </c>
      <c r="S160" s="47">
        <f>=ROUND(BQ160-(BR160+BS160),3)</f>
      </c>
      <c r="T160" s="47">
        <f>=ROUND(CK160-(CL160+CM160+CN160+CO160+CP160),3)</f>
      </c>
      <c r="U160" s="47">
        <v>0</v>
      </c>
      <c r="V160" s="47">
        <v>0</v>
      </c>
      <c r="W160" s="47">
        <v>0</v>
      </c>
      <c r="X160" s="47">
        <v>0</v>
      </c>
      <c r="Y160" s="47">
        <v>0</v>
      </c>
      <c r="Z160" s="47">
        <v>0</v>
      </c>
      <c r="AA160" s="47">
        <v>0</v>
      </c>
      <c r="AB160" s="47">
        <v>0</v>
      </c>
      <c r="AC160" s="47">
        <v>0</v>
      </c>
      <c r="AD160" s="47">
        <v>0</v>
      </c>
      <c r="AE160" s="47">
        <v>0</v>
      </c>
      <c r="AF160" s="47">
        <v>0</v>
      </c>
      <c r="AG160" s="47">
        <v>0</v>
      </c>
      <c r="AH160" s="47">
        <v>0</v>
      </c>
      <c r="AI160" s="47">
        <v>0</v>
      </c>
      <c r="AJ160" s="47">
        <v>0</v>
      </c>
      <c r="AK160" s="47">
        <v>0</v>
      </c>
      <c r="AL160" s="47">
        <v>0</v>
      </c>
      <c r="AM160" s="47">
        <v>0</v>
      </c>
      <c r="AN160" s="47">
        <v>0</v>
      </c>
      <c r="AO160" s="47">
        <v>0</v>
      </c>
      <c r="AP160" s="47">
        <v>0</v>
      </c>
      <c r="AQ160" s="47">
        <v>0</v>
      </c>
      <c r="AR160" s="47">
        <v>0</v>
      </c>
      <c r="AS160" s="47">
        <v>0</v>
      </c>
      <c r="AT160" s="47">
        <v>0</v>
      </c>
      <c r="AU160" s="47">
        <v>0</v>
      </c>
      <c r="AV160" s="47">
        <v>0</v>
      </c>
      <c r="AW160" s="47">
        <v>0</v>
      </c>
      <c r="AX160" s="47">
        <v>0</v>
      </c>
      <c r="AY160" s="47">
        <v>0</v>
      </c>
      <c r="AZ160" s="47">
        <v>0</v>
      </c>
      <c r="BA160" s="47">
        <v>0</v>
      </c>
      <c r="BB160" s="47">
        <v>0</v>
      </c>
      <c r="BC160" s="47">
        <v>0</v>
      </c>
      <c r="BD160" s="47">
        <v>0</v>
      </c>
      <c r="BE160" s="47">
        <v>0</v>
      </c>
      <c r="BF160" s="47">
        <v>0</v>
      </c>
      <c r="BG160" s="47">
        <v>0</v>
      </c>
      <c r="BH160" s="47">
        <v>0</v>
      </c>
      <c r="BI160" s="47">
        <v>0</v>
      </c>
      <c r="BJ160" s="47">
        <v>0</v>
      </c>
      <c r="BK160" s="47">
        <v>0</v>
      </c>
      <c r="BL160" s="47">
        <v>0</v>
      </c>
      <c r="BM160" s="47">
        <v>0</v>
      </c>
      <c r="BN160" s="47">
        <v>0</v>
      </c>
      <c r="BO160" s="47">
        <v>0</v>
      </c>
      <c r="BP160" s="47">
        <v>0</v>
      </c>
      <c r="BQ160" s="47">
        <v>0</v>
      </c>
      <c r="BR160" s="47">
        <v>0</v>
      </c>
      <c r="BS160" s="47">
        <v>0</v>
      </c>
      <c r="BT160" s="47">
        <v>0</v>
      </c>
      <c r="BU160" s="47">
        <v>0</v>
      </c>
      <c r="BV160" s="47">
        <v>0</v>
      </c>
      <c r="BW160" s="47">
        <v>0</v>
      </c>
      <c r="BX160" s="47">
        <v>0</v>
      </c>
      <c r="BY160" s="47">
        <v>0</v>
      </c>
      <c r="BZ160" s="47">
        <v>0</v>
      </c>
      <c r="CA160" s="47">
        <v>0</v>
      </c>
      <c r="CB160" s="47">
        <v>0</v>
      </c>
      <c r="CC160" s="47">
        <v>0</v>
      </c>
      <c r="CD160" s="47">
        <v>0</v>
      </c>
      <c r="CE160" s="47">
        <v>0</v>
      </c>
      <c r="CF160" s="47">
        <v>0</v>
      </c>
      <c r="CG160" s="47">
        <v>0</v>
      </c>
      <c r="CH160" s="47">
        <v>0</v>
      </c>
      <c r="CI160" s="47">
        <v>0</v>
      </c>
      <c r="CJ160" s="47">
        <v>0</v>
      </c>
      <c r="CK160" s="47">
        <v>0</v>
      </c>
      <c r="CL160" s="47">
        <v>0</v>
      </c>
      <c r="CM160" s="47">
        <v>0</v>
      </c>
      <c r="CN160" s="47">
        <v>0</v>
      </c>
      <c r="CO160" s="47">
        <v>0</v>
      </c>
      <c r="CP160" s="47">
        <v>0</v>
      </c>
      <c r="CQ160" s="47">
        <v>0</v>
      </c>
      <c r="CR160" s="47">
        <v>0</v>
      </c>
      <c r="CS160" s="47">
        <v>0</v>
      </c>
      <c r="CT160" s="47">
        <v>0</v>
      </c>
      <c r="CU160" s="47">
        <v>0</v>
      </c>
      <c r="CV160" s="47">
        <v>0</v>
      </c>
      <c r="CW160" s="47">
        <v>0</v>
      </c>
      <c r="CX160" s="47">
        <v>0</v>
      </c>
      <c r="CY160" s="47">
        <v>1</v>
      </c>
      <c r="CZ160" s="47">
        <v>0</v>
      </c>
      <c r="DA160" s="47">
        <v>0</v>
      </c>
      <c r="DB160" s="47">
        <v>0</v>
      </c>
      <c r="DC160" s="47">
        <v>0</v>
      </c>
      <c r="DD160" s="47">
        <v>0</v>
      </c>
      <c r="DE160" s="47">
        <v>0</v>
      </c>
      <c r="DF160" s="47">
        <v>0</v>
      </c>
      <c r="DG160" s="47">
        <v>0</v>
      </c>
      <c r="DH160" s="47">
        <v>0</v>
      </c>
      <c r="DI160" s="47">
        <v>0</v>
      </c>
      <c r="DJ160" s="47">
        <v>1</v>
      </c>
      <c r="DK160" s="47">
        <v>0</v>
      </c>
      <c r="DL160" s="47">
        <v>0</v>
      </c>
      <c r="DM160" s="47">
        <v>0</v>
      </c>
      <c r="DN160" s="47">
        <v>0</v>
      </c>
      <c r="DO160" s="47">
        <v>0</v>
      </c>
      <c r="DP160" s="47">
        <v>0</v>
      </c>
      <c r="DQ160" s="47">
        <v>0</v>
      </c>
      <c r="DR160" s="47">
        <v>0</v>
      </c>
      <c r="DS160" s="47">
        <v>0</v>
      </c>
      <c r="DT160" s="47">
        <v>0</v>
      </c>
      <c r="DU160" s="47">
        <v>0</v>
      </c>
      <c r="DV160" s="47">
        <v>0</v>
      </c>
      <c r="DW160" s="47">
        <v>0</v>
      </c>
      <c r="DX160" s="47">
        <v>0</v>
      </c>
      <c r="DY160" s="47">
        <v>0</v>
      </c>
      <c r="DZ160" s="47"/>
      <c r="EA160" s="47">
        <v>1</v>
      </c>
      <c r="ZZ160" t="s">
        <v>1084</v>
      </c>
    </row>
    <row r="161" spans="1:702" x14ac:dyDescent="0.25">
      <c r="A161" s="47" t="s">
        <v>889</v>
      </c>
      <c r="B161" s="47" t="s">
        <v>151</v>
      </c>
      <c r="C161" s="47" t="s">
        <v>155</v>
      </c>
      <c r="D161" s="47" t="s">
        <v>1235</v>
      </c>
      <c r="E161" s="47" t="s">
        <v>890</v>
      </c>
      <c r="F161" s="47" t="s">
        <v>891</v>
      </c>
      <c r="G161" s="47" t="s">
        <v>892</v>
      </c>
      <c r="H161" s="47" t="s">
        <v>380</v>
      </c>
      <c r="I161" s="47" t="s">
        <v>381</v>
      </c>
      <c r="J161" s="47" t="str">
        <f>=IFERROR(VLOOKUP(H161&amp;I161,Table_Fonctions!A:G,6,FALSE),"")</f>
        <v>0</v>
      </c>
      <c r="K161" s="47" t="s">
        <v>1132</v>
      </c>
      <c r="L161" s="47" t="str">
        <f>=IFERROR(VLOOKUP(H161&amp;I161,Table_Fonctions!A:G,7,FALSE),K161)</f>
        <v/>
      </c>
      <c r="M161" s="47" t="str">
        <f>=IF(OR(LEFT(D161, 3)="TJ ", LEFT(D161, 4)="CPH "), "OUI", "NON")</f>
        <v/>
      </c>
      <c r="N161" s="47" t="s">
        <v>893</v>
      </c>
      <c r="O161" s="47"/>
      <c r="P161" s="47">
        <v>1</v>
      </c>
      <c r="Q161" s="47">
        <v>0</v>
      </c>
      <c r="R161" s="47">
        <v>1</v>
      </c>
      <c r="S161" s="47">
        <f>=ROUND(BQ161-(BR161+BS161),3)</f>
      </c>
      <c r="T161" s="47">
        <f>=ROUND(CK161-(CL161+CM161+CN161+CO161+CP161),3)</f>
      </c>
      <c r="U161" s="47">
        <v>0</v>
      </c>
      <c r="V161" s="47">
        <v>0</v>
      </c>
      <c r="W161" s="47">
        <v>0</v>
      </c>
      <c r="X161" s="47">
        <v>0</v>
      </c>
      <c r="Y161" s="47">
        <v>0</v>
      </c>
      <c r="Z161" s="47">
        <v>0</v>
      </c>
      <c r="AA161" s="47">
        <v>0</v>
      </c>
      <c r="AB161" s="47">
        <v>0</v>
      </c>
      <c r="AC161" s="47">
        <v>0</v>
      </c>
      <c r="AD161" s="47">
        <v>0</v>
      </c>
      <c r="AE161" s="47">
        <v>0</v>
      </c>
      <c r="AF161" s="47">
        <v>0</v>
      </c>
      <c r="AG161" s="47">
        <v>0</v>
      </c>
      <c r="AH161" s="47">
        <v>0</v>
      </c>
      <c r="AI161" s="47">
        <v>0</v>
      </c>
      <c r="AJ161" s="47">
        <v>0</v>
      </c>
      <c r="AK161" s="47">
        <v>0</v>
      </c>
      <c r="AL161" s="47">
        <v>0</v>
      </c>
      <c r="AM161" s="47">
        <v>0</v>
      </c>
      <c r="AN161" s="47">
        <v>0</v>
      </c>
      <c r="AO161" s="47">
        <v>0</v>
      </c>
      <c r="AP161" s="47">
        <v>0</v>
      </c>
      <c r="AQ161" s="47">
        <v>0</v>
      </c>
      <c r="AR161" s="47">
        <v>0</v>
      </c>
      <c r="AS161" s="47">
        <v>0</v>
      </c>
      <c r="AT161" s="47">
        <v>0</v>
      </c>
      <c r="AU161" s="47">
        <v>0</v>
      </c>
      <c r="AV161" s="47">
        <v>0</v>
      </c>
      <c r="AW161" s="47">
        <v>0</v>
      </c>
      <c r="AX161" s="47">
        <v>0</v>
      </c>
      <c r="AY161" s="47">
        <v>0</v>
      </c>
      <c r="AZ161" s="47">
        <v>0</v>
      </c>
      <c r="BA161" s="47">
        <v>0</v>
      </c>
      <c r="BB161" s="47">
        <v>0</v>
      </c>
      <c r="BC161" s="47">
        <v>0</v>
      </c>
      <c r="BD161" s="47">
        <v>0</v>
      </c>
      <c r="BE161" s="47">
        <v>0</v>
      </c>
      <c r="BF161" s="47">
        <v>0</v>
      </c>
      <c r="BG161" s="47">
        <v>0</v>
      </c>
      <c r="BH161" s="47">
        <v>0</v>
      </c>
      <c r="BI161" s="47">
        <v>0</v>
      </c>
      <c r="BJ161" s="47">
        <v>0</v>
      </c>
      <c r="BK161" s="47">
        <v>0</v>
      </c>
      <c r="BL161" s="47">
        <v>0</v>
      </c>
      <c r="BM161" s="47">
        <v>0</v>
      </c>
      <c r="BN161" s="47">
        <v>0</v>
      </c>
      <c r="BO161" s="47">
        <v>0</v>
      </c>
      <c r="BP161" s="47">
        <v>0</v>
      </c>
      <c r="BQ161" s="47">
        <v>0</v>
      </c>
      <c r="BR161" s="47">
        <v>0</v>
      </c>
      <c r="BS161" s="47">
        <v>0</v>
      </c>
      <c r="BT161" s="47">
        <v>0</v>
      </c>
      <c r="BU161" s="47">
        <v>0</v>
      </c>
      <c r="BV161" s="47">
        <v>0</v>
      </c>
      <c r="BW161" s="47">
        <v>0</v>
      </c>
      <c r="BX161" s="47">
        <v>0</v>
      </c>
      <c r="BY161" s="47">
        <v>0</v>
      </c>
      <c r="BZ161" s="47">
        <v>0</v>
      </c>
      <c r="CA161" s="47">
        <v>0</v>
      </c>
      <c r="CB161" s="47">
        <v>0</v>
      </c>
      <c r="CC161" s="47">
        <v>0</v>
      </c>
      <c r="CD161" s="47">
        <v>0</v>
      </c>
      <c r="CE161" s="47">
        <v>0</v>
      </c>
      <c r="CF161" s="47">
        <v>0</v>
      </c>
      <c r="CG161" s="47">
        <v>0</v>
      </c>
      <c r="CH161" s="47">
        <v>0</v>
      </c>
      <c r="CI161" s="47">
        <v>0</v>
      </c>
      <c r="CJ161" s="47">
        <v>0</v>
      </c>
      <c r="CK161" s="47">
        <v>0</v>
      </c>
      <c r="CL161" s="47">
        <v>0</v>
      </c>
      <c r="CM161" s="47">
        <v>0</v>
      </c>
      <c r="CN161" s="47">
        <v>0</v>
      </c>
      <c r="CO161" s="47">
        <v>0</v>
      </c>
      <c r="CP161" s="47">
        <v>0</v>
      </c>
      <c r="CQ161" s="47">
        <v>0</v>
      </c>
      <c r="CR161" s="47">
        <v>0</v>
      </c>
      <c r="CS161" s="47">
        <v>0</v>
      </c>
      <c r="CT161" s="47">
        <v>0</v>
      </c>
      <c r="CU161" s="47">
        <v>0</v>
      </c>
      <c r="CV161" s="47">
        <v>0</v>
      </c>
      <c r="CW161" s="47">
        <v>0</v>
      </c>
      <c r="CX161" s="47">
        <v>0</v>
      </c>
      <c r="CY161" s="47">
        <v>0</v>
      </c>
      <c r="CZ161" s="47">
        <v>0</v>
      </c>
      <c r="DA161" s="47">
        <v>0</v>
      </c>
      <c r="DB161" s="47">
        <v>0</v>
      </c>
      <c r="DC161" s="47">
        <v>0</v>
      </c>
      <c r="DD161" s="47">
        <v>0</v>
      </c>
      <c r="DE161" s="47">
        <v>0</v>
      </c>
      <c r="DF161" s="47">
        <v>0</v>
      </c>
      <c r="DG161" s="47">
        <v>0</v>
      </c>
      <c r="DH161" s="47">
        <v>0</v>
      </c>
      <c r="DI161" s="47">
        <v>0</v>
      </c>
      <c r="DJ161" s="47">
        <v>0</v>
      </c>
      <c r="DK161" s="47">
        <v>0</v>
      </c>
      <c r="DL161" s="47">
        <v>0</v>
      </c>
      <c r="DM161" s="47">
        <v>0</v>
      </c>
      <c r="DN161" s="47">
        <v>0</v>
      </c>
      <c r="DO161" s="47">
        <v>0</v>
      </c>
      <c r="DP161" s="47">
        <v>0</v>
      </c>
      <c r="DQ161" s="47">
        <v>0</v>
      </c>
      <c r="DR161" s="47">
        <v>0</v>
      </c>
      <c r="DS161" s="47">
        <v>0</v>
      </c>
      <c r="DT161" s="47">
        <v>0</v>
      </c>
      <c r="DU161" s="47">
        <v>0</v>
      </c>
      <c r="DV161" s="47">
        <v>0</v>
      </c>
      <c r="DW161" s="47">
        <v>0</v>
      </c>
      <c r="DX161" s="47">
        <v>0</v>
      </c>
      <c r="DY161" s="47">
        <v>0</v>
      </c>
      <c r="DZ161" s="47"/>
      <c r="EA161" s="47">
        <v>1</v>
      </c>
      <c r="ZZ161" t="s">
        <v>1084</v>
      </c>
    </row>
    <row r="162" spans="1:702" x14ac:dyDescent="0.25">
      <c r="A162" s="47" t="s">
        <v>894</v>
      </c>
      <c r="B162" s="47" t="s">
        <v>151</v>
      </c>
      <c r="C162" s="47" t="s">
        <v>155</v>
      </c>
      <c r="D162" s="47" t="s">
        <v>1236</v>
      </c>
      <c r="E162" s="47" t="s">
        <v>895</v>
      </c>
      <c r="F162" s="47" t="s">
        <v>896</v>
      </c>
      <c r="G162" s="47" t="s">
        <v>897</v>
      </c>
      <c r="H162" s="47" t="s">
        <v>380</v>
      </c>
      <c r="I162" s="47" t="s">
        <v>381</v>
      </c>
      <c r="J162" s="47" t="str">
        <f>=IFERROR(VLOOKUP(H162&amp;I162,Table_Fonctions!A:G,6,FALSE),"")</f>
        <v>0</v>
      </c>
      <c r="K162" s="47" t="s">
        <v>1132</v>
      </c>
      <c r="L162" s="47" t="str">
        <f>=IFERROR(VLOOKUP(H162&amp;I162,Table_Fonctions!A:G,7,FALSE),K162)</f>
        <v/>
      </c>
      <c r="M162" s="47" t="str">
        <f>=IF(OR(LEFT(D162, 3)="TJ ", LEFT(D162, 4)="CPH "), "OUI", "NON")</f>
        <v/>
      </c>
      <c r="N162" s="47" t="s">
        <v>898</v>
      </c>
      <c r="O162" s="47"/>
      <c r="P162" s="47">
        <v>1</v>
      </c>
      <c r="Q162" s="47">
        <v>1</v>
      </c>
      <c r="R162" s="47">
        <v>0</v>
      </c>
      <c r="S162" s="47">
        <f>=ROUND(BQ162-(BR162+BS162),3)</f>
      </c>
      <c r="T162" s="47">
        <f>=ROUND(CK162-(CL162+CM162+CN162+CO162+CP162),3)</f>
      </c>
      <c r="U162" s="47">
        <v>0</v>
      </c>
      <c r="V162" s="47">
        <v>0</v>
      </c>
      <c r="W162" s="47">
        <v>0</v>
      </c>
      <c r="X162" s="47">
        <v>0</v>
      </c>
      <c r="Y162" s="47">
        <v>0</v>
      </c>
      <c r="Z162" s="47">
        <v>0</v>
      </c>
      <c r="AA162" s="47">
        <v>0</v>
      </c>
      <c r="AB162" s="47">
        <v>0</v>
      </c>
      <c r="AC162" s="47">
        <v>0</v>
      </c>
      <c r="AD162" s="47">
        <v>0</v>
      </c>
      <c r="AE162" s="47">
        <v>0</v>
      </c>
      <c r="AF162" s="47">
        <v>0</v>
      </c>
      <c r="AG162" s="47">
        <v>0</v>
      </c>
      <c r="AH162" s="47">
        <v>0</v>
      </c>
      <c r="AI162" s="47">
        <v>0</v>
      </c>
      <c r="AJ162" s="47">
        <v>0</v>
      </c>
      <c r="AK162" s="47">
        <v>0</v>
      </c>
      <c r="AL162" s="47">
        <v>0</v>
      </c>
      <c r="AM162" s="47">
        <v>0</v>
      </c>
      <c r="AN162" s="47">
        <v>0</v>
      </c>
      <c r="AO162" s="47">
        <v>0</v>
      </c>
      <c r="AP162" s="47">
        <v>0</v>
      </c>
      <c r="AQ162" s="47">
        <v>0</v>
      </c>
      <c r="AR162" s="47">
        <v>0</v>
      </c>
      <c r="AS162" s="47">
        <v>0</v>
      </c>
      <c r="AT162" s="47">
        <v>0</v>
      </c>
      <c r="AU162" s="47">
        <v>0</v>
      </c>
      <c r="AV162" s="47">
        <v>0</v>
      </c>
      <c r="AW162" s="47">
        <v>0</v>
      </c>
      <c r="AX162" s="47">
        <v>0</v>
      </c>
      <c r="AY162" s="47">
        <v>0</v>
      </c>
      <c r="AZ162" s="47">
        <v>0</v>
      </c>
      <c r="BA162" s="47">
        <v>0</v>
      </c>
      <c r="BB162" s="47">
        <v>0</v>
      </c>
      <c r="BC162" s="47">
        <v>0</v>
      </c>
      <c r="BD162" s="47">
        <v>0</v>
      </c>
      <c r="BE162" s="47">
        <v>0</v>
      </c>
      <c r="BF162" s="47">
        <v>0</v>
      </c>
      <c r="BG162" s="47">
        <v>0</v>
      </c>
      <c r="BH162" s="47">
        <v>0</v>
      </c>
      <c r="BI162" s="47">
        <v>0</v>
      </c>
      <c r="BJ162" s="47">
        <v>0</v>
      </c>
      <c r="BK162" s="47">
        <v>0</v>
      </c>
      <c r="BL162" s="47">
        <v>0</v>
      </c>
      <c r="BM162" s="47">
        <v>0</v>
      </c>
      <c r="BN162" s="47">
        <v>0</v>
      </c>
      <c r="BO162" s="47">
        <v>0</v>
      </c>
      <c r="BP162" s="47">
        <v>0</v>
      </c>
      <c r="BQ162" s="47">
        <v>0</v>
      </c>
      <c r="BR162" s="47">
        <v>0</v>
      </c>
      <c r="BS162" s="47">
        <v>0</v>
      </c>
      <c r="BT162" s="47">
        <v>0</v>
      </c>
      <c r="BU162" s="47">
        <v>0</v>
      </c>
      <c r="BV162" s="47">
        <v>0</v>
      </c>
      <c r="BW162" s="47">
        <v>0</v>
      </c>
      <c r="BX162" s="47">
        <v>0</v>
      </c>
      <c r="BY162" s="47">
        <v>0</v>
      </c>
      <c r="BZ162" s="47">
        <v>0</v>
      </c>
      <c r="CA162" s="47">
        <v>0</v>
      </c>
      <c r="CB162" s="47">
        <v>0</v>
      </c>
      <c r="CC162" s="47">
        <v>0</v>
      </c>
      <c r="CD162" s="47">
        <v>0</v>
      </c>
      <c r="CE162" s="47">
        <v>0</v>
      </c>
      <c r="CF162" s="47">
        <v>0</v>
      </c>
      <c r="CG162" s="47">
        <v>0</v>
      </c>
      <c r="CH162" s="47">
        <v>0</v>
      </c>
      <c r="CI162" s="47">
        <v>0</v>
      </c>
      <c r="CJ162" s="47">
        <v>0</v>
      </c>
      <c r="CK162" s="47">
        <v>0</v>
      </c>
      <c r="CL162" s="47">
        <v>0</v>
      </c>
      <c r="CM162" s="47">
        <v>0</v>
      </c>
      <c r="CN162" s="47">
        <v>0</v>
      </c>
      <c r="CO162" s="47">
        <v>0</v>
      </c>
      <c r="CP162" s="47">
        <v>0</v>
      </c>
      <c r="CQ162" s="47">
        <v>0</v>
      </c>
      <c r="CR162" s="47">
        <v>0</v>
      </c>
      <c r="CS162" s="47">
        <v>0</v>
      </c>
      <c r="CT162" s="47">
        <v>0</v>
      </c>
      <c r="CU162" s="47">
        <v>0</v>
      </c>
      <c r="CV162" s="47">
        <v>0</v>
      </c>
      <c r="CW162" s="47">
        <v>0</v>
      </c>
      <c r="CX162" s="47">
        <v>0</v>
      </c>
      <c r="CY162" s="47">
        <v>1</v>
      </c>
      <c r="CZ162" s="47">
        <v>0.1</v>
      </c>
      <c r="DA162" s="47">
        <v>0</v>
      </c>
      <c r="DB162" s="47">
        <v>0</v>
      </c>
      <c r="DC162" s="47">
        <v>0</v>
      </c>
      <c r="DD162" s="47">
        <v>0</v>
      </c>
      <c r="DE162" s="47">
        <v>0</v>
      </c>
      <c r="DF162" s="47">
        <v>0</v>
      </c>
      <c r="DG162" s="47">
        <v>0.9</v>
      </c>
      <c r="DH162" s="47">
        <v>0</v>
      </c>
      <c r="DI162" s="47">
        <v>0</v>
      </c>
      <c r="DJ162" s="47">
        <v>0</v>
      </c>
      <c r="DK162" s="47">
        <v>0</v>
      </c>
      <c r="DL162" s="47">
        <v>0</v>
      </c>
      <c r="DM162" s="47">
        <v>0</v>
      </c>
      <c r="DN162" s="47">
        <v>0</v>
      </c>
      <c r="DO162" s="47">
        <v>0</v>
      </c>
      <c r="DP162" s="47">
        <v>0</v>
      </c>
      <c r="DQ162" s="47">
        <v>0</v>
      </c>
      <c r="DR162" s="47">
        <v>0</v>
      </c>
      <c r="DS162" s="47">
        <v>0</v>
      </c>
      <c r="DT162" s="47">
        <v>0</v>
      </c>
      <c r="DU162" s="47">
        <v>0</v>
      </c>
      <c r="DV162" s="47">
        <v>0</v>
      </c>
      <c r="DW162" s="47">
        <v>0</v>
      </c>
      <c r="DX162" s="47">
        <v>0</v>
      </c>
      <c r="DY162" s="47">
        <v>0</v>
      </c>
      <c r="DZ162" s="47"/>
      <c r="EA162" s="47">
        <v>1</v>
      </c>
      <c r="ZZ162" t="s">
        <v>1084</v>
      </c>
    </row>
    <row r="163" spans="1:702" x14ac:dyDescent="0.25">
      <c r="A163" s="47" t="s">
        <v>899</v>
      </c>
      <c r="B163" s="47" t="s">
        <v>151</v>
      </c>
      <c r="C163" s="47" t="s">
        <v>155</v>
      </c>
      <c r="D163" s="47" t="s">
        <v>1237</v>
      </c>
      <c r="E163" s="47" t="s">
        <v>900</v>
      </c>
      <c r="F163" s="47" t="s">
        <v>901</v>
      </c>
      <c r="G163" s="47" t="s">
        <v>902</v>
      </c>
      <c r="H163" s="47" t="s">
        <v>380</v>
      </c>
      <c r="I163" s="47" t="s">
        <v>411</v>
      </c>
      <c r="J163" s="47" t="str">
        <f>=IFERROR(VLOOKUP(H163&amp;I163,Table_Fonctions!A:G,6,FALSE),"")</f>
        <v>0</v>
      </c>
      <c r="K163" s="47" t="s">
        <v>1132</v>
      </c>
      <c r="L163" s="47" t="str">
        <f>=IFERROR(VLOOKUP(H163&amp;I163,Table_Fonctions!A:G,7,FALSE),K163)</f>
        <v/>
      </c>
      <c r="M163" s="47" t="str">
        <f>=IF(OR(LEFT(D163, 3)="TJ ", LEFT(D163, 4)="CPH "), "OUI", "NON")</f>
        <v/>
      </c>
      <c r="N163" s="47" t="s">
        <v>903</v>
      </c>
      <c r="O163" s="47"/>
      <c r="P163" s="47">
        <v>1</v>
      </c>
      <c r="Q163" s="47">
        <v>0</v>
      </c>
      <c r="R163" s="47">
        <v>1</v>
      </c>
      <c r="S163" s="47">
        <f>=ROUND(BQ163-(BR163+BS163),3)</f>
      </c>
      <c r="T163" s="47">
        <f>=ROUND(CK163-(CL163+CM163+CN163+CO163+CP163),3)</f>
      </c>
      <c r="U163" s="47">
        <v>0</v>
      </c>
      <c r="V163" s="47">
        <v>0</v>
      </c>
      <c r="W163" s="47">
        <v>0</v>
      </c>
      <c r="X163" s="47">
        <v>0</v>
      </c>
      <c r="Y163" s="47">
        <v>0</v>
      </c>
      <c r="Z163" s="47">
        <v>0</v>
      </c>
      <c r="AA163" s="47">
        <v>0</v>
      </c>
      <c r="AB163" s="47">
        <v>0</v>
      </c>
      <c r="AC163" s="47">
        <v>0</v>
      </c>
      <c r="AD163" s="47">
        <v>0</v>
      </c>
      <c r="AE163" s="47">
        <v>0</v>
      </c>
      <c r="AF163" s="47">
        <v>0</v>
      </c>
      <c r="AG163" s="47">
        <v>0</v>
      </c>
      <c r="AH163" s="47">
        <v>0</v>
      </c>
      <c r="AI163" s="47">
        <v>0</v>
      </c>
      <c r="AJ163" s="47">
        <v>0</v>
      </c>
      <c r="AK163" s="47">
        <v>0</v>
      </c>
      <c r="AL163" s="47">
        <v>0</v>
      </c>
      <c r="AM163" s="47">
        <v>0</v>
      </c>
      <c r="AN163" s="47">
        <v>0</v>
      </c>
      <c r="AO163" s="47">
        <v>0</v>
      </c>
      <c r="AP163" s="47">
        <v>0</v>
      </c>
      <c r="AQ163" s="47">
        <v>0</v>
      </c>
      <c r="AR163" s="47">
        <v>0</v>
      </c>
      <c r="AS163" s="47">
        <v>0</v>
      </c>
      <c r="AT163" s="47">
        <v>0</v>
      </c>
      <c r="AU163" s="47">
        <v>0</v>
      </c>
      <c r="AV163" s="47">
        <v>0</v>
      </c>
      <c r="AW163" s="47">
        <v>0</v>
      </c>
      <c r="AX163" s="47">
        <v>0</v>
      </c>
      <c r="AY163" s="47">
        <v>0</v>
      </c>
      <c r="AZ163" s="47">
        <v>0</v>
      </c>
      <c r="BA163" s="47">
        <v>0</v>
      </c>
      <c r="BB163" s="47">
        <v>0</v>
      </c>
      <c r="BC163" s="47">
        <v>0</v>
      </c>
      <c r="BD163" s="47">
        <v>0</v>
      </c>
      <c r="BE163" s="47">
        <v>0</v>
      </c>
      <c r="BF163" s="47">
        <v>0</v>
      </c>
      <c r="BG163" s="47">
        <v>0</v>
      </c>
      <c r="BH163" s="47">
        <v>0</v>
      </c>
      <c r="BI163" s="47">
        <v>0</v>
      </c>
      <c r="BJ163" s="47">
        <v>0</v>
      </c>
      <c r="BK163" s="47">
        <v>0</v>
      </c>
      <c r="BL163" s="47">
        <v>0</v>
      </c>
      <c r="BM163" s="47">
        <v>0</v>
      </c>
      <c r="BN163" s="47">
        <v>0</v>
      </c>
      <c r="BO163" s="47">
        <v>0</v>
      </c>
      <c r="BP163" s="47">
        <v>0</v>
      </c>
      <c r="BQ163" s="47">
        <v>0</v>
      </c>
      <c r="BR163" s="47">
        <v>0</v>
      </c>
      <c r="BS163" s="47">
        <v>0</v>
      </c>
      <c r="BT163" s="47">
        <v>0</v>
      </c>
      <c r="BU163" s="47">
        <v>0</v>
      </c>
      <c r="BV163" s="47">
        <v>0</v>
      </c>
      <c r="BW163" s="47">
        <v>0</v>
      </c>
      <c r="BX163" s="47">
        <v>0</v>
      </c>
      <c r="BY163" s="47">
        <v>0</v>
      </c>
      <c r="BZ163" s="47">
        <v>0</v>
      </c>
      <c r="CA163" s="47">
        <v>0</v>
      </c>
      <c r="CB163" s="47">
        <v>0</v>
      </c>
      <c r="CC163" s="47">
        <v>0</v>
      </c>
      <c r="CD163" s="47">
        <v>0</v>
      </c>
      <c r="CE163" s="47">
        <v>0</v>
      </c>
      <c r="CF163" s="47">
        <v>0</v>
      </c>
      <c r="CG163" s="47">
        <v>0</v>
      </c>
      <c r="CH163" s="47">
        <v>0</v>
      </c>
      <c r="CI163" s="47">
        <v>0</v>
      </c>
      <c r="CJ163" s="47">
        <v>0</v>
      </c>
      <c r="CK163" s="47">
        <v>0</v>
      </c>
      <c r="CL163" s="47">
        <v>0</v>
      </c>
      <c r="CM163" s="47">
        <v>0</v>
      </c>
      <c r="CN163" s="47">
        <v>0</v>
      </c>
      <c r="CO163" s="47">
        <v>0</v>
      </c>
      <c r="CP163" s="47">
        <v>0</v>
      </c>
      <c r="CQ163" s="47">
        <v>0</v>
      </c>
      <c r="CR163" s="47">
        <v>0</v>
      </c>
      <c r="CS163" s="47">
        <v>0</v>
      </c>
      <c r="CT163" s="47">
        <v>0</v>
      </c>
      <c r="CU163" s="47">
        <v>0</v>
      </c>
      <c r="CV163" s="47">
        <v>0</v>
      </c>
      <c r="CW163" s="47">
        <v>0</v>
      </c>
      <c r="CX163" s="47">
        <v>0</v>
      </c>
      <c r="CY163" s="47">
        <v>0</v>
      </c>
      <c r="CZ163" s="47">
        <v>0</v>
      </c>
      <c r="DA163" s="47">
        <v>0</v>
      </c>
      <c r="DB163" s="47">
        <v>0</v>
      </c>
      <c r="DC163" s="47">
        <v>0</v>
      </c>
      <c r="DD163" s="47">
        <v>0</v>
      </c>
      <c r="DE163" s="47">
        <v>0</v>
      </c>
      <c r="DF163" s="47">
        <v>0</v>
      </c>
      <c r="DG163" s="47">
        <v>0</v>
      </c>
      <c r="DH163" s="47">
        <v>0</v>
      </c>
      <c r="DI163" s="47">
        <v>0</v>
      </c>
      <c r="DJ163" s="47">
        <v>0</v>
      </c>
      <c r="DK163" s="47">
        <v>0</v>
      </c>
      <c r="DL163" s="47">
        <v>0</v>
      </c>
      <c r="DM163" s="47">
        <v>0</v>
      </c>
      <c r="DN163" s="47">
        <v>0</v>
      </c>
      <c r="DO163" s="47">
        <v>0</v>
      </c>
      <c r="DP163" s="47">
        <v>0</v>
      </c>
      <c r="DQ163" s="47">
        <v>0</v>
      </c>
      <c r="DR163" s="47">
        <v>0</v>
      </c>
      <c r="DS163" s="47">
        <v>0</v>
      </c>
      <c r="DT163" s="47">
        <v>0</v>
      </c>
      <c r="DU163" s="47">
        <v>0</v>
      </c>
      <c r="DV163" s="47">
        <v>0</v>
      </c>
      <c r="DW163" s="47">
        <v>0</v>
      </c>
      <c r="DX163" s="47">
        <v>0</v>
      </c>
      <c r="DY163" s="47">
        <v>0</v>
      </c>
      <c r="DZ163" s="47"/>
      <c r="EA163" s="47">
        <v>1</v>
      </c>
      <c r="ZZ163" t="s">
        <v>1084</v>
      </c>
    </row>
    <row r="164" spans="1:702" x14ac:dyDescent="0.25">
      <c r="A164" s="47" t="s">
        <v>904</v>
      </c>
      <c r="B164" s="47" t="s">
        <v>151</v>
      </c>
      <c r="C164" s="47" t="s">
        <v>155</v>
      </c>
      <c r="D164" s="47" t="s">
        <v>1238</v>
      </c>
      <c r="E164" s="47" t="s">
        <v>905</v>
      </c>
      <c r="F164" s="47" t="s">
        <v>906</v>
      </c>
      <c r="G164" s="47" t="s">
        <v>907</v>
      </c>
      <c r="H164" s="47" t="s">
        <v>380</v>
      </c>
      <c r="I164" s="47" t="s">
        <v>381</v>
      </c>
      <c r="J164" s="47" t="str">
        <f>=IFERROR(VLOOKUP(H164&amp;I164,Table_Fonctions!A:G,6,FALSE),"")</f>
        <v>0</v>
      </c>
      <c r="K164" s="47" t="s">
        <v>1132</v>
      </c>
      <c r="L164" s="47" t="str">
        <f>=IFERROR(VLOOKUP(H164&amp;I164,Table_Fonctions!A:G,7,FALSE),K164)</f>
        <v/>
      </c>
      <c r="M164" s="47" t="str">
        <f>=IF(OR(LEFT(D164, 3)="TJ ", LEFT(D164, 4)="CPH "), "OUI", "NON")</f>
        <v/>
      </c>
      <c r="N164" s="47" t="s">
        <v>596</v>
      </c>
      <c r="O164" s="47"/>
      <c r="P164" s="47">
        <v>1</v>
      </c>
      <c r="Q164" s="47">
        <v>0</v>
      </c>
      <c r="R164" s="47">
        <v>1</v>
      </c>
      <c r="S164" s="47">
        <f>=ROUND(BQ164-(BR164+BS164),3)</f>
      </c>
      <c r="T164" s="47">
        <f>=ROUND(CK164-(CL164+CM164+CN164+CO164+CP164),3)</f>
      </c>
      <c r="U164" s="47">
        <v>0</v>
      </c>
      <c r="V164" s="47">
        <v>0</v>
      </c>
      <c r="W164" s="47">
        <v>0</v>
      </c>
      <c r="X164" s="47">
        <v>0</v>
      </c>
      <c r="Y164" s="47">
        <v>0</v>
      </c>
      <c r="Z164" s="47">
        <v>0</v>
      </c>
      <c r="AA164" s="47">
        <v>0</v>
      </c>
      <c r="AB164" s="47">
        <v>0</v>
      </c>
      <c r="AC164" s="47">
        <v>0</v>
      </c>
      <c r="AD164" s="47">
        <v>0</v>
      </c>
      <c r="AE164" s="47">
        <v>0</v>
      </c>
      <c r="AF164" s="47">
        <v>0</v>
      </c>
      <c r="AG164" s="47">
        <v>0</v>
      </c>
      <c r="AH164" s="47">
        <v>0</v>
      </c>
      <c r="AI164" s="47">
        <v>0</v>
      </c>
      <c r="AJ164" s="47">
        <v>0</v>
      </c>
      <c r="AK164" s="47">
        <v>0</v>
      </c>
      <c r="AL164" s="47">
        <v>0</v>
      </c>
      <c r="AM164" s="47">
        <v>0</v>
      </c>
      <c r="AN164" s="47">
        <v>0</v>
      </c>
      <c r="AO164" s="47">
        <v>0</v>
      </c>
      <c r="AP164" s="47">
        <v>0</v>
      </c>
      <c r="AQ164" s="47">
        <v>0</v>
      </c>
      <c r="AR164" s="47">
        <v>0</v>
      </c>
      <c r="AS164" s="47">
        <v>0</v>
      </c>
      <c r="AT164" s="47">
        <v>0</v>
      </c>
      <c r="AU164" s="47">
        <v>0</v>
      </c>
      <c r="AV164" s="47">
        <v>0</v>
      </c>
      <c r="AW164" s="47">
        <v>0</v>
      </c>
      <c r="AX164" s="47">
        <v>0</v>
      </c>
      <c r="AY164" s="47">
        <v>0</v>
      </c>
      <c r="AZ164" s="47">
        <v>0</v>
      </c>
      <c r="BA164" s="47">
        <v>0</v>
      </c>
      <c r="BB164" s="47">
        <v>0</v>
      </c>
      <c r="BC164" s="47">
        <v>0</v>
      </c>
      <c r="BD164" s="47">
        <v>0</v>
      </c>
      <c r="BE164" s="47">
        <v>0</v>
      </c>
      <c r="BF164" s="47">
        <v>0</v>
      </c>
      <c r="BG164" s="47">
        <v>0</v>
      </c>
      <c r="BH164" s="47">
        <v>0</v>
      </c>
      <c r="BI164" s="47">
        <v>0</v>
      </c>
      <c r="BJ164" s="47">
        <v>0</v>
      </c>
      <c r="BK164" s="47">
        <v>0</v>
      </c>
      <c r="BL164" s="47">
        <v>0</v>
      </c>
      <c r="BM164" s="47">
        <v>0</v>
      </c>
      <c r="BN164" s="47">
        <v>0</v>
      </c>
      <c r="BO164" s="47">
        <v>0</v>
      </c>
      <c r="BP164" s="47">
        <v>0</v>
      </c>
      <c r="BQ164" s="47">
        <v>0</v>
      </c>
      <c r="BR164" s="47">
        <v>0</v>
      </c>
      <c r="BS164" s="47">
        <v>0</v>
      </c>
      <c r="BT164" s="47">
        <v>0</v>
      </c>
      <c r="BU164" s="47">
        <v>0</v>
      </c>
      <c r="BV164" s="47">
        <v>0</v>
      </c>
      <c r="BW164" s="47">
        <v>0</v>
      </c>
      <c r="BX164" s="47">
        <v>0</v>
      </c>
      <c r="BY164" s="47">
        <v>0</v>
      </c>
      <c r="BZ164" s="47">
        <v>0</v>
      </c>
      <c r="CA164" s="47">
        <v>0</v>
      </c>
      <c r="CB164" s="47">
        <v>0</v>
      </c>
      <c r="CC164" s="47">
        <v>0</v>
      </c>
      <c r="CD164" s="47">
        <v>0</v>
      </c>
      <c r="CE164" s="47">
        <v>0</v>
      </c>
      <c r="CF164" s="47">
        <v>0</v>
      </c>
      <c r="CG164" s="47">
        <v>0</v>
      </c>
      <c r="CH164" s="47">
        <v>0</v>
      </c>
      <c r="CI164" s="47">
        <v>0</v>
      </c>
      <c r="CJ164" s="47">
        <v>0</v>
      </c>
      <c r="CK164" s="47">
        <v>0</v>
      </c>
      <c r="CL164" s="47">
        <v>0</v>
      </c>
      <c r="CM164" s="47">
        <v>0</v>
      </c>
      <c r="CN164" s="47">
        <v>0</v>
      </c>
      <c r="CO164" s="47">
        <v>0</v>
      </c>
      <c r="CP164" s="47">
        <v>0</v>
      </c>
      <c r="CQ164" s="47">
        <v>0</v>
      </c>
      <c r="CR164" s="47">
        <v>0</v>
      </c>
      <c r="CS164" s="47">
        <v>0</v>
      </c>
      <c r="CT164" s="47">
        <v>0</v>
      </c>
      <c r="CU164" s="47">
        <v>0</v>
      </c>
      <c r="CV164" s="47">
        <v>0</v>
      </c>
      <c r="CW164" s="47">
        <v>0</v>
      </c>
      <c r="CX164" s="47">
        <v>0</v>
      </c>
      <c r="CY164" s="47">
        <v>0</v>
      </c>
      <c r="CZ164" s="47">
        <v>0</v>
      </c>
      <c r="DA164" s="47">
        <v>0</v>
      </c>
      <c r="DB164" s="47">
        <v>0</v>
      </c>
      <c r="DC164" s="47">
        <v>0</v>
      </c>
      <c r="DD164" s="47">
        <v>0</v>
      </c>
      <c r="DE164" s="47">
        <v>0</v>
      </c>
      <c r="DF164" s="47">
        <v>0</v>
      </c>
      <c r="DG164" s="47">
        <v>0</v>
      </c>
      <c r="DH164" s="47">
        <v>0</v>
      </c>
      <c r="DI164" s="47">
        <v>0</v>
      </c>
      <c r="DJ164" s="47">
        <v>0</v>
      </c>
      <c r="DK164" s="47">
        <v>0</v>
      </c>
      <c r="DL164" s="47">
        <v>0</v>
      </c>
      <c r="DM164" s="47">
        <v>0</v>
      </c>
      <c r="DN164" s="47">
        <v>0</v>
      </c>
      <c r="DO164" s="47">
        <v>0</v>
      </c>
      <c r="DP164" s="47">
        <v>0</v>
      </c>
      <c r="DQ164" s="47">
        <v>0</v>
      </c>
      <c r="DR164" s="47">
        <v>0</v>
      </c>
      <c r="DS164" s="47">
        <v>0</v>
      </c>
      <c r="DT164" s="47">
        <v>0</v>
      </c>
      <c r="DU164" s="47">
        <v>0</v>
      </c>
      <c r="DV164" s="47">
        <v>0</v>
      </c>
      <c r="DW164" s="47">
        <v>0</v>
      </c>
      <c r="DX164" s="47">
        <v>0</v>
      </c>
      <c r="DY164" s="47">
        <v>0</v>
      </c>
      <c r="DZ164" s="47"/>
      <c r="EA164" s="47">
        <v>1</v>
      </c>
      <c r="ZZ164" t="s">
        <v>1084</v>
      </c>
    </row>
    <row r="165" spans="1:702" x14ac:dyDescent="0.25">
      <c r="A165" s="47" t="s">
        <v>908</v>
      </c>
      <c r="B165" s="47" t="s">
        <v>151</v>
      </c>
      <c r="C165" s="47" t="s">
        <v>155</v>
      </c>
      <c r="D165" s="47" t="s">
        <v>1239</v>
      </c>
      <c r="E165" s="47" t="s">
        <v>909</v>
      </c>
      <c r="F165" s="47" t="s">
        <v>910</v>
      </c>
      <c r="G165" s="47" t="s">
        <v>911</v>
      </c>
      <c r="H165" s="47" t="s">
        <v>380</v>
      </c>
      <c r="I165" s="47" t="s">
        <v>411</v>
      </c>
      <c r="J165" s="47" t="str">
        <f>=IFERROR(VLOOKUP(H165&amp;I165,Table_Fonctions!A:G,6,FALSE),"")</f>
        <v>0</v>
      </c>
      <c r="K165" s="47" t="s">
        <v>1132</v>
      </c>
      <c r="L165" s="47" t="str">
        <f>=IFERROR(VLOOKUP(H165&amp;I165,Table_Fonctions!A:G,7,FALSE),K165)</f>
        <v/>
      </c>
      <c r="M165" s="47" t="str">
        <f>=IF(OR(LEFT(D165, 3)="TJ ", LEFT(D165, 4)="CPH "), "OUI", "NON")</f>
        <v/>
      </c>
      <c r="N165" s="47" t="s">
        <v>898</v>
      </c>
      <c r="O165" s="47"/>
      <c r="P165" s="47">
        <v>1</v>
      </c>
      <c r="Q165" s="47">
        <v>0</v>
      </c>
      <c r="R165" s="47">
        <v>1</v>
      </c>
      <c r="S165" s="47">
        <f>=ROUND(BQ165-(BR165+BS165),3)</f>
      </c>
      <c r="T165" s="47">
        <f>=ROUND(CK165-(CL165+CM165+CN165+CO165+CP165),3)</f>
      </c>
      <c r="U165" s="47">
        <v>0</v>
      </c>
      <c r="V165" s="47">
        <v>0</v>
      </c>
      <c r="W165" s="47">
        <v>0</v>
      </c>
      <c r="X165" s="47">
        <v>0</v>
      </c>
      <c r="Y165" s="47">
        <v>0</v>
      </c>
      <c r="Z165" s="47">
        <v>0</v>
      </c>
      <c r="AA165" s="47">
        <v>0</v>
      </c>
      <c r="AB165" s="47">
        <v>0</v>
      </c>
      <c r="AC165" s="47">
        <v>0</v>
      </c>
      <c r="AD165" s="47">
        <v>0</v>
      </c>
      <c r="AE165" s="47">
        <v>0</v>
      </c>
      <c r="AF165" s="47">
        <v>0</v>
      </c>
      <c r="AG165" s="47">
        <v>0</v>
      </c>
      <c r="AH165" s="47">
        <v>0</v>
      </c>
      <c r="AI165" s="47">
        <v>0</v>
      </c>
      <c r="AJ165" s="47">
        <v>0</v>
      </c>
      <c r="AK165" s="47">
        <v>0</v>
      </c>
      <c r="AL165" s="47">
        <v>0</v>
      </c>
      <c r="AM165" s="47">
        <v>0</v>
      </c>
      <c r="AN165" s="47">
        <v>0</v>
      </c>
      <c r="AO165" s="47">
        <v>0</v>
      </c>
      <c r="AP165" s="47">
        <v>0</v>
      </c>
      <c r="AQ165" s="47">
        <v>0</v>
      </c>
      <c r="AR165" s="47">
        <v>0</v>
      </c>
      <c r="AS165" s="47">
        <v>0</v>
      </c>
      <c r="AT165" s="47">
        <v>0</v>
      </c>
      <c r="AU165" s="47">
        <v>0</v>
      </c>
      <c r="AV165" s="47">
        <v>0</v>
      </c>
      <c r="AW165" s="47">
        <v>0</v>
      </c>
      <c r="AX165" s="47">
        <v>0</v>
      </c>
      <c r="AY165" s="47">
        <v>0</v>
      </c>
      <c r="AZ165" s="47">
        <v>0</v>
      </c>
      <c r="BA165" s="47">
        <v>0</v>
      </c>
      <c r="BB165" s="47">
        <v>0</v>
      </c>
      <c r="BC165" s="47">
        <v>0</v>
      </c>
      <c r="BD165" s="47">
        <v>0</v>
      </c>
      <c r="BE165" s="47">
        <v>0</v>
      </c>
      <c r="BF165" s="47">
        <v>0</v>
      </c>
      <c r="BG165" s="47">
        <v>0</v>
      </c>
      <c r="BH165" s="47">
        <v>0</v>
      </c>
      <c r="BI165" s="47">
        <v>0</v>
      </c>
      <c r="BJ165" s="47">
        <v>0</v>
      </c>
      <c r="BK165" s="47">
        <v>0</v>
      </c>
      <c r="BL165" s="47">
        <v>0</v>
      </c>
      <c r="BM165" s="47">
        <v>0</v>
      </c>
      <c r="BN165" s="47">
        <v>0</v>
      </c>
      <c r="BO165" s="47">
        <v>0</v>
      </c>
      <c r="BP165" s="47">
        <v>0</v>
      </c>
      <c r="BQ165" s="47">
        <v>0</v>
      </c>
      <c r="BR165" s="47">
        <v>0</v>
      </c>
      <c r="BS165" s="47">
        <v>0</v>
      </c>
      <c r="BT165" s="47">
        <v>0</v>
      </c>
      <c r="BU165" s="47">
        <v>0</v>
      </c>
      <c r="BV165" s="47">
        <v>0</v>
      </c>
      <c r="BW165" s="47">
        <v>0</v>
      </c>
      <c r="BX165" s="47">
        <v>0</v>
      </c>
      <c r="BY165" s="47">
        <v>0</v>
      </c>
      <c r="BZ165" s="47">
        <v>0</v>
      </c>
      <c r="CA165" s="47">
        <v>0</v>
      </c>
      <c r="CB165" s="47">
        <v>0</v>
      </c>
      <c r="CC165" s="47">
        <v>0</v>
      </c>
      <c r="CD165" s="47">
        <v>0</v>
      </c>
      <c r="CE165" s="47">
        <v>0</v>
      </c>
      <c r="CF165" s="47">
        <v>0</v>
      </c>
      <c r="CG165" s="47">
        <v>0</v>
      </c>
      <c r="CH165" s="47">
        <v>0</v>
      </c>
      <c r="CI165" s="47">
        <v>0</v>
      </c>
      <c r="CJ165" s="47">
        <v>0</v>
      </c>
      <c r="CK165" s="47">
        <v>0</v>
      </c>
      <c r="CL165" s="47">
        <v>0</v>
      </c>
      <c r="CM165" s="47">
        <v>0</v>
      </c>
      <c r="CN165" s="47">
        <v>0</v>
      </c>
      <c r="CO165" s="47">
        <v>0</v>
      </c>
      <c r="CP165" s="47">
        <v>0</v>
      </c>
      <c r="CQ165" s="47">
        <v>0</v>
      </c>
      <c r="CR165" s="47">
        <v>0</v>
      </c>
      <c r="CS165" s="47">
        <v>0</v>
      </c>
      <c r="CT165" s="47">
        <v>0</v>
      </c>
      <c r="CU165" s="47">
        <v>0</v>
      </c>
      <c r="CV165" s="47">
        <v>0</v>
      </c>
      <c r="CW165" s="47">
        <v>0</v>
      </c>
      <c r="CX165" s="47">
        <v>0</v>
      </c>
      <c r="CY165" s="47">
        <v>0</v>
      </c>
      <c r="CZ165" s="47">
        <v>0</v>
      </c>
      <c r="DA165" s="47">
        <v>0</v>
      </c>
      <c r="DB165" s="47">
        <v>0</v>
      </c>
      <c r="DC165" s="47">
        <v>0</v>
      </c>
      <c r="DD165" s="47">
        <v>0</v>
      </c>
      <c r="DE165" s="47">
        <v>0</v>
      </c>
      <c r="DF165" s="47">
        <v>0</v>
      </c>
      <c r="DG165" s="47">
        <v>0</v>
      </c>
      <c r="DH165" s="47">
        <v>0</v>
      </c>
      <c r="DI165" s="47">
        <v>0</v>
      </c>
      <c r="DJ165" s="47">
        <v>0</v>
      </c>
      <c r="DK165" s="47">
        <v>0</v>
      </c>
      <c r="DL165" s="47">
        <v>0</v>
      </c>
      <c r="DM165" s="47">
        <v>0</v>
      </c>
      <c r="DN165" s="47">
        <v>0</v>
      </c>
      <c r="DO165" s="47">
        <v>0</v>
      </c>
      <c r="DP165" s="47">
        <v>0</v>
      </c>
      <c r="DQ165" s="47">
        <v>0</v>
      </c>
      <c r="DR165" s="47">
        <v>0</v>
      </c>
      <c r="DS165" s="47">
        <v>0</v>
      </c>
      <c r="DT165" s="47">
        <v>0</v>
      </c>
      <c r="DU165" s="47">
        <v>0</v>
      </c>
      <c r="DV165" s="47">
        <v>0</v>
      </c>
      <c r="DW165" s="47">
        <v>0</v>
      </c>
      <c r="DX165" s="47">
        <v>0</v>
      </c>
      <c r="DY165" s="47">
        <v>0</v>
      </c>
      <c r="DZ165" s="47"/>
      <c r="EA165" s="47">
        <v>1</v>
      </c>
      <c r="ZZ165" t="s">
        <v>1084</v>
      </c>
    </row>
    <row r="166" spans="1:702" x14ac:dyDescent="0.25">
      <c r="A166" s="47" t="s">
        <v>912</v>
      </c>
      <c r="B166" s="47" t="s">
        <v>151</v>
      </c>
      <c r="C166" s="47" t="s">
        <v>155</v>
      </c>
      <c r="D166" s="47" t="s">
        <v>1240</v>
      </c>
      <c r="E166" s="47" t="s">
        <v>913</v>
      </c>
      <c r="F166" s="47" t="s">
        <v>914</v>
      </c>
      <c r="G166" s="47" t="s">
        <v>915</v>
      </c>
      <c r="H166" s="47" t="s">
        <v>380</v>
      </c>
      <c r="I166" s="47" t="s">
        <v>381</v>
      </c>
      <c r="J166" s="47" t="str">
        <f>=IFERROR(VLOOKUP(H166&amp;I166,Table_Fonctions!A:G,6,FALSE),"")</f>
        <v>0</v>
      </c>
      <c r="K166" s="47" t="s">
        <v>1132</v>
      </c>
      <c r="L166" s="47" t="str">
        <f>=IFERROR(VLOOKUP(H166&amp;I166,Table_Fonctions!A:G,7,FALSE),K166)</f>
        <v/>
      </c>
      <c r="M166" s="47" t="str">
        <f>=IF(OR(LEFT(D166, 3)="TJ ", LEFT(D166, 4)="CPH "), "OUI", "NON")</f>
        <v/>
      </c>
      <c r="N166" s="47" t="s">
        <v>916</v>
      </c>
      <c r="O166" s="47"/>
      <c r="P166" s="47">
        <v>1</v>
      </c>
      <c r="Q166" s="47">
        <v>1</v>
      </c>
      <c r="R166" s="47">
        <v>0</v>
      </c>
      <c r="S166" s="47">
        <f>=ROUND(BQ166-(BR166+BS166),3)</f>
      </c>
      <c r="T166" s="47">
        <f>=ROUND(CK166-(CL166+CM166+CN166+CO166+CP166),3)</f>
      </c>
      <c r="U166" s="47">
        <v>0</v>
      </c>
      <c r="V166" s="47">
        <v>0</v>
      </c>
      <c r="W166" s="47">
        <v>0</v>
      </c>
      <c r="X166" s="47">
        <v>0</v>
      </c>
      <c r="Y166" s="47">
        <v>0</v>
      </c>
      <c r="Z166" s="47">
        <v>0</v>
      </c>
      <c r="AA166" s="47">
        <v>0</v>
      </c>
      <c r="AB166" s="47">
        <v>0</v>
      </c>
      <c r="AC166" s="47">
        <v>0</v>
      </c>
      <c r="AD166" s="47">
        <v>0</v>
      </c>
      <c r="AE166" s="47">
        <v>0</v>
      </c>
      <c r="AF166" s="47">
        <v>0</v>
      </c>
      <c r="AG166" s="47">
        <v>0</v>
      </c>
      <c r="AH166" s="47">
        <v>0</v>
      </c>
      <c r="AI166" s="47">
        <v>0</v>
      </c>
      <c r="AJ166" s="47">
        <v>0</v>
      </c>
      <c r="AK166" s="47">
        <v>0</v>
      </c>
      <c r="AL166" s="47">
        <v>0</v>
      </c>
      <c r="AM166" s="47">
        <v>0</v>
      </c>
      <c r="AN166" s="47">
        <v>0</v>
      </c>
      <c r="AO166" s="47">
        <v>0</v>
      </c>
      <c r="AP166" s="47">
        <v>0</v>
      </c>
      <c r="AQ166" s="47">
        <v>0</v>
      </c>
      <c r="AR166" s="47">
        <v>0</v>
      </c>
      <c r="AS166" s="47">
        <v>0</v>
      </c>
      <c r="AT166" s="47">
        <v>0</v>
      </c>
      <c r="AU166" s="47">
        <v>0</v>
      </c>
      <c r="AV166" s="47">
        <v>0</v>
      </c>
      <c r="AW166" s="47">
        <v>0</v>
      </c>
      <c r="AX166" s="47">
        <v>0</v>
      </c>
      <c r="AY166" s="47">
        <v>0</v>
      </c>
      <c r="AZ166" s="47">
        <v>0</v>
      </c>
      <c r="BA166" s="47">
        <v>0</v>
      </c>
      <c r="BB166" s="47">
        <v>0</v>
      </c>
      <c r="BC166" s="47">
        <v>0</v>
      </c>
      <c r="BD166" s="47">
        <v>0</v>
      </c>
      <c r="BE166" s="47">
        <v>0</v>
      </c>
      <c r="BF166" s="47">
        <v>0</v>
      </c>
      <c r="BG166" s="47">
        <v>0</v>
      </c>
      <c r="BH166" s="47">
        <v>0</v>
      </c>
      <c r="BI166" s="47">
        <v>0</v>
      </c>
      <c r="BJ166" s="47">
        <v>0</v>
      </c>
      <c r="BK166" s="47">
        <v>0</v>
      </c>
      <c r="BL166" s="47">
        <v>0</v>
      </c>
      <c r="BM166" s="47">
        <v>0</v>
      </c>
      <c r="BN166" s="47">
        <v>0</v>
      </c>
      <c r="BO166" s="47">
        <v>0</v>
      </c>
      <c r="BP166" s="47">
        <v>0</v>
      </c>
      <c r="BQ166" s="47">
        <v>1</v>
      </c>
      <c r="BR166" s="47">
        <v>0.5</v>
      </c>
      <c r="BS166" s="47">
        <v>0.5</v>
      </c>
      <c r="BT166" s="47">
        <v>0</v>
      </c>
      <c r="BU166" s="47">
        <v>0</v>
      </c>
      <c r="BV166" s="47">
        <v>0</v>
      </c>
      <c r="BW166" s="47">
        <v>0</v>
      </c>
      <c r="BX166" s="47">
        <v>0</v>
      </c>
      <c r="BY166" s="47">
        <v>0</v>
      </c>
      <c r="BZ166" s="47">
        <v>0</v>
      </c>
      <c r="CA166" s="47">
        <v>0</v>
      </c>
      <c r="CB166" s="47">
        <v>0</v>
      </c>
      <c r="CC166" s="47">
        <v>0</v>
      </c>
      <c r="CD166" s="47">
        <v>0</v>
      </c>
      <c r="CE166" s="47">
        <v>0</v>
      </c>
      <c r="CF166" s="47">
        <v>0</v>
      </c>
      <c r="CG166" s="47">
        <v>0</v>
      </c>
      <c r="CH166" s="47">
        <v>0</v>
      </c>
      <c r="CI166" s="47">
        <v>0</v>
      </c>
      <c r="CJ166" s="47">
        <v>0</v>
      </c>
      <c r="CK166" s="47">
        <v>0</v>
      </c>
      <c r="CL166" s="47">
        <v>0</v>
      </c>
      <c r="CM166" s="47">
        <v>0</v>
      </c>
      <c r="CN166" s="47">
        <v>0</v>
      </c>
      <c r="CO166" s="47">
        <v>0</v>
      </c>
      <c r="CP166" s="47">
        <v>0</v>
      </c>
      <c r="CQ166" s="47">
        <v>0</v>
      </c>
      <c r="CR166" s="47">
        <v>0</v>
      </c>
      <c r="CS166" s="47">
        <v>0</v>
      </c>
      <c r="CT166" s="47">
        <v>0</v>
      </c>
      <c r="CU166" s="47">
        <v>0</v>
      </c>
      <c r="CV166" s="47">
        <v>0</v>
      </c>
      <c r="CW166" s="47">
        <v>0</v>
      </c>
      <c r="CX166" s="47">
        <v>0</v>
      </c>
      <c r="CY166" s="47">
        <v>0</v>
      </c>
      <c r="CZ166" s="47">
        <v>0</v>
      </c>
      <c r="DA166" s="47">
        <v>0</v>
      </c>
      <c r="DB166" s="47">
        <v>0</v>
      </c>
      <c r="DC166" s="47">
        <v>0</v>
      </c>
      <c r="DD166" s="47">
        <v>0</v>
      </c>
      <c r="DE166" s="47">
        <v>0</v>
      </c>
      <c r="DF166" s="47">
        <v>0</v>
      </c>
      <c r="DG166" s="47">
        <v>0</v>
      </c>
      <c r="DH166" s="47">
        <v>0</v>
      </c>
      <c r="DI166" s="47">
        <v>0</v>
      </c>
      <c r="DJ166" s="47">
        <v>0</v>
      </c>
      <c r="DK166" s="47">
        <v>0</v>
      </c>
      <c r="DL166" s="47">
        <v>0</v>
      </c>
      <c r="DM166" s="47">
        <v>0</v>
      </c>
      <c r="DN166" s="47">
        <v>0</v>
      </c>
      <c r="DO166" s="47">
        <v>0</v>
      </c>
      <c r="DP166" s="47">
        <v>0</v>
      </c>
      <c r="DQ166" s="47">
        <v>0</v>
      </c>
      <c r="DR166" s="47">
        <v>0</v>
      </c>
      <c r="DS166" s="47">
        <v>0</v>
      </c>
      <c r="DT166" s="47">
        <v>0</v>
      </c>
      <c r="DU166" s="47">
        <v>0</v>
      </c>
      <c r="DV166" s="47">
        <v>0</v>
      </c>
      <c r="DW166" s="47">
        <v>0</v>
      </c>
      <c r="DX166" s="47">
        <v>0</v>
      </c>
      <c r="DY166" s="47">
        <v>0</v>
      </c>
      <c r="DZ166" s="47"/>
      <c r="EA166" s="47">
        <v>1</v>
      </c>
      <c r="ZZ166" t="s">
        <v>1084</v>
      </c>
    </row>
    <row r="167" spans="1:702" x14ac:dyDescent="0.25">
      <c r="A167" s="47" t="s">
        <v>917</v>
      </c>
      <c r="B167" s="47" t="s">
        <v>151</v>
      </c>
      <c r="C167" s="47" t="s">
        <v>155</v>
      </c>
      <c r="D167" s="47" t="s">
        <v>1241</v>
      </c>
      <c r="E167" s="47" t="s">
        <v>918</v>
      </c>
      <c r="F167" s="47" t="s">
        <v>919</v>
      </c>
      <c r="G167" s="47" t="s">
        <v>920</v>
      </c>
      <c r="H167" s="47" t="s">
        <v>380</v>
      </c>
      <c r="I167" s="47" t="s">
        <v>381</v>
      </c>
      <c r="J167" s="47" t="str">
        <f>=IFERROR(VLOOKUP(H167&amp;I167,Table_Fonctions!A:G,6,FALSE),"")</f>
        <v>0</v>
      </c>
      <c r="K167" s="47" t="s">
        <v>1132</v>
      </c>
      <c r="L167" s="47" t="str">
        <f>=IFERROR(VLOOKUP(H167&amp;I167,Table_Fonctions!A:G,7,FALSE),K167)</f>
        <v/>
      </c>
      <c r="M167" s="47" t="str">
        <f>=IF(OR(LEFT(D167, 3)="TJ ", LEFT(D167, 4)="CPH "), "OUI", "NON")</f>
        <v/>
      </c>
      <c r="N167" s="47" t="s">
        <v>921</v>
      </c>
      <c r="O167" s="47"/>
      <c r="P167" s="47">
        <v>0.8</v>
      </c>
      <c r="Q167" s="47">
        <v>0.8</v>
      </c>
      <c r="R167" s="47">
        <v>0</v>
      </c>
      <c r="S167" s="47">
        <f>=ROUND(BQ167-(BR167+BS167),3)</f>
      </c>
      <c r="T167" s="47">
        <f>=ROUND(CK167-(CL167+CM167+CN167+CO167+CP167),3)</f>
      </c>
      <c r="U167" s="47">
        <v>0.4826</v>
      </c>
      <c r="V167" s="47">
        <v>0.4</v>
      </c>
      <c r="W167" s="47">
        <v>0</v>
      </c>
      <c r="X167" s="47">
        <v>0</v>
      </c>
      <c r="Y167" s="47">
        <v>0.0826</v>
      </c>
      <c r="Z167" s="47">
        <v>0</v>
      </c>
      <c r="AA167" s="47">
        <v>0</v>
      </c>
      <c r="AB167" s="47">
        <v>0</v>
      </c>
      <c r="AC167" s="47">
        <v>0</v>
      </c>
      <c r="AD167" s="47">
        <v>0</v>
      </c>
      <c r="AE167" s="47">
        <v>0</v>
      </c>
      <c r="AF167" s="47">
        <v>0</v>
      </c>
      <c r="AG167" s="47">
        <v>0</v>
      </c>
      <c r="AH167" s="47">
        <v>0</v>
      </c>
      <c r="AI167" s="47">
        <v>0</v>
      </c>
      <c r="AJ167" s="47">
        <v>0</v>
      </c>
      <c r="AK167" s="47">
        <v>0</v>
      </c>
      <c r="AL167" s="47">
        <v>0</v>
      </c>
      <c r="AM167" s="47">
        <v>0</v>
      </c>
      <c r="AN167" s="47">
        <v>0</v>
      </c>
      <c r="AO167" s="47">
        <v>0</v>
      </c>
      <c r="AP167" s="47">
        <v>0</v>
      </c>
      <c r="AQ167" s="47">
        <v>0</v>
      </c>
      <c r="AR167" s="47">
        <v>0</v>
      </c>
      <c r="AS167" s="47">
        <v>0</v>
      </c>
      <c r="AT167" s="47">
        <v>0</v>
      </c>
      <c r="AU167" s="47">
        <v>0</v>
      </c>
      <c r="AV167" s="47">
        <v>0</v>
      </c>
      <c r="AW167" s="47">
        <v>0</v>
      </c>
      <c r="AX167" s="47">
        <v>0</v>
      </c>
      <c r="AY167" s="47">
        <v>0</v>
      </c>
      <c r="AZ167" s="47">
        <v>0</v>
      </c>
      <c r="BA167" s="47">
        <v>0</v>
      </c>
      <c r="BB167" s="47">
        <v>0</v>
      </c>
      <c r="BC167" s="47">
        <v>0</v>
      </c>
      <c r="BD167" s="47">
        <v>0</v>
      </c>
      <c r="BE167" s="47">
        <v>0</v>
      </c>
      <c r="BF167" s="47">
        <v>0</v>
      </c>
      <c r="BG167" s="47">
        <v>0</v>
      </c>
      <c r="BH167" s="47">
        <v>0</v>
      </c>
      <c r="BI167" s="47">
        <v>0</v>
      </c>
      <c r="BJ167" s="47">
        <v>0</v>
      </c>
      <c r="BK167" s="47">
        <v>0</v>
      </c>
      <c r="BL167" s="47">
        <v>0</v>
      </c>
      <c r="BM167" s="47">
        <v>0</v>
      </c>
      <c r="BN167" s="47">
        <v>0</v>
      </c>
      <c r="BO167" s="47">
        <v>0</v>
      </c>
      <c r="BP167" s="47">
        <v>0</v>
      </c>
      <c r="BQ167" s="47">
        <v>0</v>
      </c>
      <c r="BR167" s="47">
        <v>0</v>
      </c>
      <c r="BS167" s="47">
        <v>0</v>
      </c>
      <c r="BT167" s="47">
        <v>0</v>
      </c>
      <c r="BU167" s="47">
        <v>0</v>
      </c>
      <c r="BV167" s="47">
        <v>0</v>
      </c>
      <c r="BW167" s="47">
        <v>0</v>
      </c>
      <c r="BX167" s="47">
        <v>0</v>
      </c>
      <c r="BY167" s="47">
        <v>0</v>
      </c>
      <c r="BZ167" s="47">
        <v>0</v>
      </c>
      <c r="CA167" s="47">
        <v>0</v>
      </c>
      <c r="CB167" s="47">
        <v>0</v>
      </c>
      <c r="CC167" s="47">
        <v>0</v>
      </c>
      <c r="CD167" s="47">
        <v>0</v>
      </c>
      <c r="CE167" s="47">
        <v>0</v>
      </c>
      <c r="CF167" s="47">
        <v>0</v>
      </c>
      <c r="CG167" s="47">
        <v>0</v>
      </c>
      <c r="CH167" s="47">
        <v>0</v>
      </c>
      <c r="CI167" s="47">
        <v>0</v>
      </c>
      <c r="CJ167" s="47">
        <v>0</v>
      </c>
      <c r="CK167" s="47">
        <v>0</v>
      </c>
      <c r="CL167" s="47">
        <v>0</v>
      </c>
      <c r="CM167" s="47">
        <v>0</v>
      </c>
      <c r="CN167" s="47">
        <v>0</v>
      </c>
      <c r="CO167" s="47">
        <v>0</v>
      </c>
      <c r="CP167" s="47">
        <v>0</v>
      </c>
      <c r="CQ167" s="47">
        <v>0</v>
      </c>
      <c r="CR167" s="47">
        <v>0</v>
      </c>
      <c r="CS167" s="47">
        <v>0</v>
      </c>
      <c r="CT167" s="47">
        <v>0</v>
      </c>
      <c r="CU167" s="47">
        <v>0</v>
      </c>
      <c r="CV167" s="47">
        <v>0</v>
      </c>
      <c r="CW167" s="47">
        <v>0</v>
      </c>
      <c r="CX167" s="47">
        <v>0</v>
      </c>
      <c r="CY167" s="47">
        <v>0.3174</v>
      </c>
      <c r="CZ167" s="47">
        <v>0.08</v>
      </c>
      <c r="DA167" s="47">
        <v>0</v>
      </c>
      <c r="DB167" s="47">
        <v>0</v>
      </c>
      <c r="DC167" s="47">
        <v>0</v>
      </c>
      <c r="DD167" s="47">
        <v>0</v>
      </c>
      <c r="DE167" s="47">
        <v>0.2374</v>
      </c>
      <c r="DF167" s="47">
        <v>0</v>
      </c>
      <c r="DG167" s="47">
        <v>0</v>
      </c>
      <c r="DH167" s="47">
        <v>0</v>
      </c>
      <c r="DI167" s="47">
        <v>0</v>
      </c>
      <c r="DJ167" s="47">
        <v>0</v>
      </c>
      <c r="DK167" s="47">
        <v>0</v>
      </c>
      <c r="DL167" s="47">
        <v>0</v>
      </c>
      <c r="DM167" s="47">
        <v>0</v>
      </c>
      <c r="DN167" s="47">
        <v>0</v>
      </c>
      <c r="DO167" s="47">
        <v>0</v>
      </c>
      <c r="DP167" s="47">
        <v>0</v>
      </c>
      <c r="DQ167" s="47">
        <v>0</v>
      </c>
      <c r="DR167" s="47">
        <v>0</v>
      </c>
      <c r="DS167" s="47">
        <v>0</v>
      </c>
      <c r="DT167" s="47">
        <v>0</v>
      </c>
      <c r="DU167" s="47">
        <v>0</v>
      </c>
      <c r="DV167" s="47">
        <v>0</v>
      </c>
      <c r="DW167" s="47">
        <v>0</v>
      </c>
      <c r="DX167" s="47">
        <v>0</v>
      </c>
      <c r="DY167" s="47">
        <v>0</v>
      </c>
      <c r="DZ167" s="47"/>
      <c r="EA167" s="47">
        <v>0.8</v>
      </c>
      <c r="ZZ167" t="s">
        <v>1084</v>
      </c>
    </row>
    <row r="168" spans="1:702" x14ac:dyDescent="0.25">
      <c r="A168" s="47" t="s">
        <v>922</v>
      </c>
      <c r="B168" s="47" t="s">
        <v>151</v>
      </c>
      <c r="C168" s="47" t="s">
        <v>155</v>
      </c>
      <c r="D168" s="47" t="s">
        <v>1165</v>
      </c>
      <c r="E168" s="47" t="s">
        <v>923</v>
      </c>
      <c r="F168" s="47" t="s">
        <v>924</v>
      </c>
      <c r="G168" s="47" t="s">
        <v>925</v>
      </c>
      <c r="H168" s="47" t="s">
        <v>380</v>
      </c>
      <c r="I168" s="47" t="s">
        <v>381</v>
      </c>
      <c r="J168" s="47" t="str">
        <f>=IFERROR(VLOOKUP(H168&amp;I168,Table_Fonctions!A:G,6,FALSE),"")</f>
        <v>0</v>
      </c>
      <c r="K168" s="47" t="s">
        <v>1132</v>
      </c>
      <c r="L168" s="47" t="str">
        <f>=IFERROR(VLOOKUP(H168&amp;I168,Table_Fonctions!A:G,7,FALSE),K168)</f>
        <v/>
      </c>
      <c r="M168" s="47" t="str">
        <f>=IF(OR(LEFT(D168, 3)="TJ ", LEFT(D168, 4)="CPH "), "OUI", "NON")</f>
        <v/>
      </c>
      <c r="N168" s="47" t="s">
        <v>556</v>
      </c>
      <c r="O168" s="47"/>
      <c r="P168" s="47">
        <v>1</v>
      </c>
      <c r="Q168" s="47">
        <v>1</v>
      </c>
      <c r="R168" s="47">
        <v>0</v>
      </c>
      <c r="S168" s="47">
        <f>=ROUND(BQ168-(BR168+BS168),3)</f>
      </c>
      <c r="T168" s="47">
        <f>=ROUND(CK168-(CL168+CM168+CN168+CO168+CP168),3)</f>
      </c>
      <c r="U168" s="47">
        <v>0</v>
      </c>
      <c r="V168" s="47">
        <v>0</v>
      </c>
      <c r="W168" s="47">
        <v>0</v>
      </c>
      <c r="X168" s="47">
        <v>0</v>
      </c>
      <c r="Y168" s="47">
        <v>0</v>
      </c>
      <c r="Z168" s="47">
        <v>0</v>
      </c>
      <c r="AA168" s="47">
        <v>0</v>
      </c>
      <c r="AB168" s="47">
        <v>0</v>
      </c>
      <c r="AC168" s="47">
        <v>0</v>
      </c>
      <c r="AD168" s="47">
        <v>0</v>
      </c>
      <c r="AE168" s="47">
        <v>0</v>
      </c>
      <c r="AF168" s="47">
        <v>0</v>
      </c>
      <c r="AG168" s="47">
        <v>0</v>
      </c>
      <c r="AH168" s="47">
        <v>0</v>
      </c>
      <c r="AI168" s="47">
        <v>0</v>
      </c>
      <c r="AJ168" s="47">
        <v>0</v>
      </c>
      <c r="AK168" s="47">
        <v>0</v>
      </c>
      <c r="AL168" s="47">
        <v>0</v>
      </c>
      <c r="AM168" s="47">
        <v>0</v>
      </c>
      <c r="AN168" s="47">
        <v>0</v>
      </c>
      <c r="AO168" s="47">
        <v>0</v>
      </c>
      <c r="AP168" s="47">
        <v>0</v>
      </c>
      <c r="AQ168" s="47">
        <v>0</v>
      </c>
      <c r="AR168" s="47">
        <v>0</v>
      </c>
      <c r="AS168" s="47">
        <v>0</v>
      </c>
      <c r="AT168" s="47">
        <v>0</v>
      </c>
      <c r="AU168" s="47">
        <v>0</v>
      </c>
      <c r="AV168" s="47">
        <v>0</v>
      </c>
      <c r="AW168" s="47">
        <v>0</v>
      </c>
      <c r="AX168" s="47">
        <v>0</v>
      </c>
      <c r="AY168" s="47">
        <v>0</v>
      </c>
      <c r="AZ168" s="47">
        <v>0</v>
      </c>
      <c r="BA168" s="47">
        <v>0</v>
      </c>
      <c r="BB168" s="47">
        <v>0</v>
      </c>
      <c r="BC168" s="47">
        <v>0</v>
      </c>
      <c r="BD168" s="47">
        <v>0</v>
      </c>
      <c r="BE168" s="47">
        <v>0</v>
      </c>
      <c r="BF168" s="47">
        <v>0</v>
      </c>
      <c r="BG168" s="47">
        <v>0</v>
      </c>
      <c r="BH168" s="47">
        <v>0</v>
      </c>
      <c r="BI168" s="47">
        <v>0</v>
      </c>
      <c r="BJ168" s="47">
        <v>0</v>
      </c>
      <c r="BK168" s="47">
        <v>0</v>
      </c>
      <c r="BL168" s="47">
        <v>0</v>
      </c>
      <c r="BM168" s="47">
        <v>0</v>
      </c>
      <c r="BN168" s="47">
        <v>0</v>
      </c>
      <c r="BO168" s="47">
        <v>0</v>
      </c>
      <c r="BP168" s="47">
        <v>0</v>
      </c>
      <c r="BQ168" s="47">
        <v>0</v>
      </c>
      <c r="BR168" s="47">
        <v>0</v>
      </c>
      <c r="BS168" s="47">
        <v>0</v>
      </c>
      <c r="BT168" s="47">
        <v>0</v>
      </c>
      <c r="BU168" s="47">
        <v>0</v>
      </c>
      <c r="BV168" s="47">
        <v>0</v>
      </c>
      <c r="BW168" s="47">
        <v>0</v>
      </c>
      <c r="BX168" s="47">
        <v>0</v>
      </c>
      <c r="BY168" s="47">
        <v>0</v>
      </c>
      <c r="BZ168" s="47">
        <v>0</v>
      </c>
      <c r="CA168" s="47">
        <v>0</v>
      </c>
      <c r="CB168" s="47">
        <v>0</v>
      </c>
      <c r="CC168" s="47">
        <v>0</v>
      </c>
      <c r="CD168" s="47">
        <v>0</v>
      </c>
      <c r="CE168" s="47">
        <v>0</v>
      </c>
      <c r="CF168" s="47">
        <v>0</v>
      </c>
      <c r="CG168" s="47">
        <v>0</v>
      </c>
      <c r="CH168" s="47">
        <v>0</v>
      </c>
      <c r="CI168" s="47">
        <v>0</v>
      </c>
      <c r="CJ168" s="47">
        <v>0</v>
      </c>
      <c r="CK168" s="47">
        <v>0</v>
      </c>
      <c r="CL168" s="47">
        <v>0</v>
      </c>
      <c r="CM168" s="47">
        <v>0</v>
      </c>
      <c r="CN168" s="47">
        <v>0</v>
      </c>
      <c r="CO168" s="47">
        <v>0</v>
      </c>
      <c r="CP168" s="47">
        <v>0</v>
      </c>
      <c r="CQ168" s="47">
        <v>0</v>
      </c>
      <c r="CR168" s="47">
        <v>0</v>
      </c>
      <c r="CS168" s="47">
        <v>0</v>
      </c>
      <c r="CT168" s="47">
        <v>0</v>
      </c>
      <c r="CU168" s="47">
        <v>0</v>
      </c>
      <c r="CV168" s="47">
        <v>0</v>
      </c>
      <c r="CW168" s="47">
        <v>0</v>
      </c>
      <c r="CX168" s="47">
        <v>0</v>
      </c>
      <c r="CY168" s="47">
        <v>1</v>
      </c>
      <c r="CZ168" s="47">
        <v>0</v>
      </c>
      <c r="DA168" s="47">
        <v>0</v>
      </c>
      <c r="DB168" s="47">
        <v>0</v>
      </c>
      <c r="DC168" s="47">
        <v>1</v>
      </c>
      <c r="DD168" s="47">
        <v>0</v>
      </c>
      <c r="DE168" s="47">
        <v>0</v>
      </c>
      <c r="DF168" s="47">
        <v>0</v>
      </c>
      <c r="DG168" s="47">
        <v>0</v>
      </c>
      <c r="DH168" s="47">
        <v>0</v>
      </c>
      <c r="DI168" s="47">
        <v>0</v>
      </c>
      <c r="DJ168" s="47">
        <v>0</v>
      </c>
      <c r="DK168" s="47">
        <v>0</v>
      </c>
      <c r="DL168" s="47">
        <v>0</v>
      </c>
      <c r="DM168" s="47">
        <v>0</v>
      </c>
      <c r="DN168" s="47">
        <v>0</v>
      </c>
      <c r="DO168" s="47">
        <v>0</v>
      </c>
      <c r="DP168" s="47">
        <v>0</v>
      </c>
      <c r="DQ168" s="47">
        <v>0</v>
      </c>
      <c r="DR168" s="47">
        <v>0</v>
      </c>
      <c r="DS168" s="47">
        <v>0</v>
      </c>
      <c r="DT168" s="47">
        <v>0</v>
      </c>
      <c r="DU168" s="47">
        <v>0</v>
      </c>
      <c r="DV168" s="47">
        <v>0</v>
      </c>
      <c r="DW168" s="47">
        <v>0</v>
      </c>
      <c r="DX168" s="47">
        <v>0</v>
      </c>
      <c r="DY168" s="47">
        <v>0</v>
      </c>
      <c r="DZ168" s="47"/>
      <c r="EA168" s="47">
        <v>1</v>
      </c>
      <c r="ZZ168" t="s">
        <v>1084</v>
      </c>
    </row>
    <row r="169" spans="1:702" x14ac:dyDescent="0.25">
      <c r="A169" s="47" t="s">
        <v>926</v>
      </c>
      <c r="B169" s="47" t="s">
        <v>151</v>
      </c>
      <c r="C169" s="47" t="s">
        <v>155</v>
      </c>
      <c r="D169" s="47" t="s">
        <v>1242</v>
      </c>
      <c r="E169" s="47" t="s">
        <v>927</v>
      </c>
      <c r="F169" s="47" t="s">
        <v>928</v>
      </c>
      <c r="G169" s="47" t="s">
        <v>929</v>
      </c>
      <c r="H169" s="47" t="s">
        <v>380</v>
      </c>
      <c r="I169" s="47" t="s">
        <v>1215</v>
      </c>
      <c r="J169" s="47" t="str">
        <f>=IFERROR(VLOOKUP(H169&amp;I169,Table_Fonctions!A:G,6,FALSE),"")</f>
        <v>0</v>
      </c>
      <c r="K169" s="47" t="s">
        <v>1183</v>
      </c>
      <c r="L169" s="47" t="str">
        <f>=IFERROR(VLOOKUP(H169&amp;I169,Table_Fonctions!A:G,7,FALSE),K169)</f>
        <v/>
      </c>
      <c r="M169" s="47" t="str">
        <f>=IF(OR(LEFT(D169, 3)="TJ ", LEFT(D169, 4)="CPH "), "OUI", "NON")</f>
        <v/>
      </c>
      <c r="N169" s="47" t="s">
        <v>657</v>
      </c>
      <c r="O169" s="47" t="s">
        <v>170</v>
      </c>
      <c r="P169" s="47">
        <v>0.1493</v>
      </c>
      <c r="Q169" s="47">
        <v>0.1493</v>
      </c>
      <c r="R169" s="47">
        <v>0</v>
      </c>
      <c r="S169" s="47">
        <f>=ROUND(BQ169-(BR169+BS169),3)</f>
      </c>
      <c r="T169" s="47">
        <f>=ROUND(CK169-(CL169+CM169+CN169+CO169+CP169),3)</f>
      </c>
      <c r="U169" s="47">
        <v>0</v>
      </c>
      <c r="V169" s="47">
        <v>0</v>
      </c>
      <c r="W169" s="47">
        <v>0</v>
      </c>
      <c r="X169" s="47">
        <v>0</v>
      </c>
      <c r="Y169" s="47">
        <v>0</v>
      </c>
      <c r="Z169" s="47">
        <v>0</v>
      </c>
      <c r="AA169" s="47">
        <v>0</v>
      </c>
      <c r="AB169" s="47">
        <v>0</v>
      </c>
      <c r="AC169" s="47">
        <v>0</v>
      </c>
      <c r="AD169" s="47">
        <v>0</v>
      </c>
      <c r="AE169" s="47">
        <v>0</v>
      </c>
      <c r="AF169" s="47">
        <v>0</v>
      </c>
      <c r="AG169" s="47">
        <v>0</v>
      </c>
      <c r="AH169" s="47">
        <v>0</v>
      </c>
      <c r="AI169" s="47">
        <v>0</v>
      </c>
      <c r="AJ169" s="47">
        <v>0</v>
      </c>
      <c r="AK169" s="47">
        <v>0</v>
      </c>
      <c r="AL169" s="47">
        <v>0</v>
      </c>
      <c r="AM169" s="47">
        <v>0</v>
      </c>
      <c r="AN169" s="47">
        <v>0</v>
      </c>
      <c r="AO169" s="47">
        <v>0</v>
      </c>
      <c r="AP169" s="47">
        <v>0</v>
      </c>
      <c r="AQ169" s="47">
        <v>0</v>
      </c>
      <c r="AR169" s="47">
        <v>0</v>
      </c>
      <c r="AS169" s="47">
        <v>0</v>
      </c>
      <c r="AT169" s="47">
        <v>0</v>
      </c>
      <c r="AU169" s="47">
        <v>0</v>
      </c>
      <c r="AV169" s="47">
        <v>0</v>
      </c>
      <c r="AW169" s="47">
        <v>0</v>
      </c>
      <c r="AX169" s="47">
        <v>0</v>
      </c>
      <c r="AY169" s="47">
        <v>0</v>
      </c>
      <c r="AZ169" s="47">
        <v>0</v>
      </c>
      <c r="BA169" s="47">
        <v>0</v>
      </c>
      <c r="BB169" s="47">
        <v>0</v>
      </c>
      <c r="BC169" s="47">
        <v>0</v>
      </c>
      <c r="BD169" s="47">
        <v>0</v>
      </c>
      <c r="BE169" s="47">
        <v>0</v>
      </c>
      <c r="BF169" s="47">
        <v>0</v>
      </c>
      <c r="BG169" s="47">
        <v>0</v>
      </c>
      <c r="BH169" s="47">
        <v>0</v>
      </c>
      <c r="BI169" s="47">
        <v>0</v>
      </c>
      <c r="BJ169" s="47">
        <v>0</v>
      </c>
      <c r="BK169" s="47">
        <v>0</v>
      </c>
      <c r="BL169" s="47">
        <v>0</v>
      </c>
      <c r="BM169" s="47">
        <v>0</v>
      </c>
      <c r="BN169" s="47">
        <v>0</v>
      </c>
      <c r="BO169" s="47">
        <v>0</v>
      </c>
      <c r="BP169" s="47">
        <v>0</v>
      </c>
      <c r="BQ169" s="47">
        <v>0</v>
      </c>
      <c r="BR169" s="47">
        <v>0</v>
      </c>
      <c r="BS169" s="47">
        <v>0</v>
      </c>
      <c r="BT169" s="47">
        <v>0</v>
      </c>
      <c r="BU169" s="47">
        <v>0</v>
      </c>
      <c r="BV169" s="47">
        <v>0</v>
      </c>
      <c r="BW169" s="47">
        <v>0</v>
      </c>
      <c r="BX169" s="47">
        <v>0</v>
      </c>
      <c r="BY169" s="47">
        <v>0</v>
      </c>
      <c r="BZ169" s="47">
        <v>0</v>
      </c>
      <c r="CA169" s="47">
        <v>0</v>
      </c>
      <c r="CB169" s="47">
        <v>0</v>
      </c>
      <c r="CC169" s="47">
        <v>0</v>
      </c>
      <c r="CD169" s="47">
        <v>0</v>
      </c>
      <c r="CE169" s="47">
        <v>0</v>
      </c>
      <c r="CF169" s="47">
        <v>0</v>
      </c>
      <c r="CG169" s="47">
        <v>0</v>
      </c>
      <c r="CH169" s="47">
        <v>0</v>
      </c>
      <c r="CI169" s="47">
        <v>0</v>
      </c>
      <c r="CJ169" s="47">
        <v>0</v>
      </c>
      <c r="CK169" s="47">
        <v>0</v>
      </c>
      <c r="CL169" s="47">
        <v>0</v>
      </c>
      <c r="CM169" s="47">
        <v>0</v>
      </c>
      <c r="CN169" s="47">
        <v>0</v>
      </c>
      <c r="CO169" s="47">
        <v>0</v>
      </c>
      <c r="CP169" s="47">
        <v>0</v>
      </c>
      <c r="CQ169" s="47">
        <v>0</v>
      </c>
      <c r="CR169" s="47">
        <v>0</v>
      </c>
      <c r="CS169" s="47">
        <v>0</v>
      </c>
      <c r="CT169" s="47">
        <v>0</v>
      </c>
      <c r="CU169" s="47">
        <v>0</v>
      </c>
      <c r="CV169" s="47">
        <v>0.1493</v>
      </c>
      <c r="CW169" s="47">
        <v>0</v>
      </c>
      <c r="CX169" s="47">
        <v>0</v>
      </c>
      <c r="CY169" s="47">
        <v>0</v>
      </c>
      <c r="CZ169" s="47">
        <v>0</v>
      </c>
      <c r="DA169" s="47">
        <v>0</v>
      </c>
      <c r="DB169" s="47">
        <v>0</v>
      </c>
      <c r="DC169" s="47">
        <v>0</v>
      </c>
      <c r="DD169" s="47">
        <v>0</v>
      </c>
      <c r="DE169" s="47">
        <v>0</v>
      </c>
      <c r="DF169" s="47">
        <v>0</v>
      </c>
      <c r="DG169" s="47">
        <v>0</v>
      </c>
      <c r="DH169" s="47">
        <v>0</v>
      </c>
      <c r="DI169" s="47">
        <v>0</v>
      </c>
      <c r="DJ169" s="47">
        <v>0</v>
      </c>
      <c r="DK169" s="47">
        <v>0.0003</v>
      </c>
      <c r="DL169" s="47">
        <v>0</v>
      </c>
      <c r="DM169" s="47">
        <v>0</v>
      </c>
      <c r="DN169" s="47">
        <v>0</v>
      </c>
      <c r="DO169" s="47">
        <v>0</v>
      </c>
      <c r="DP169" s="47">
        <v>0</v>
      </c>
      <c r="DQ169" s="47">
        <v>0</v>
      </c>
      <c r="DR169" s="47">
        <v>0.0003</v>
      </c>
      <c r="DS169" s="47">
        <v>0</v>
      </c>
      <c r="DT169" s="47">
        <v>0</v>
      </c>
      <c r="DU169" s="47">
        <v>0</v>
      </c>
      <c r="DV169" s="47">
        <v>0</v>
      </c>
      <c r="DW169" s="47">
        <v>0</v>
      </c>
      <c r="DX169" s="47">
        <v>0</v>
      </c>
      <c r="DY169" s="47">
        <v>0</v>
      </c>
      <c r="DZ169" s="47"/>
      <c r="EA169" s="47">
        <v>0.1496</v>
      </c>
      <c r="ZZ169" t="s">
        <v>1084</v>
      </c>
    </row>
    <row r="170" spans="1:702" x14ac:dyDescent="0.25">
      <c r="A170" s="47" t="s">
        <v>930</v>
      </c>
      <c r="B170" s="47" t="s">
        <v>151</v>
      </c>
      <c r="C170" s="47" t="s">
        <v>155</v>
      </c>
      <c r="D170" s="47" t="s">
        <v>1243</v>
      </c>
      <c r="E170" s="47" t="s">
        <v>931</v>
      </c>
      <c r="F170" s="47" t="s">
        <v>932</v>
      </c>
      <c r="G170" s="47" t="s">
        <v>933</v>
      </c>
      <c r="H170" s="47" t="s">
        <v>380</v>
      </c>
      <c r="I170" s="47" t="s">
        <v>526</v>
      </c>
      <c r="J170" s="47" t="str">
        <f>=IFERROR(VLOOKUP(H170&amp;I170,Table_Fonctions!A:G,6,FALSE),"")</f>
        <v>0</v>
      </c>
      <c r="K170" s="47" t="s">
        <v>1136</v>
      </c>
      <c r="L170" s="47" t="str">
        <f>=IFERROR(VLOOKUP(H170&amp;I170,Table_Fonctions!A:G,7,FALSE),K170)</f>
        <v/>
      </c>
      <c r="M170" s="47" t="str">
        <f>=IF(OR(LEFT(D170, 3)="TJ ", LEFT(D170, 4)="CPH "), "OUI", "NON")</f>
        <v/>
      </c>
      <c r="N170" s="47" t="s">
        <v>934</v>
      </c>
      <c r="O170" s="47" t="s">
        <v>935</v>
      </c>
      <c r="P170" s="47">
        <v>0.4395</v>
      </c>
      <c r="Q170" s="47">
        <v>0.4395</v>
      </c>
      <c r="R170" s="47">
        <v>0</v>
      </c>
      <c r="S170" s="47">
        <f>=ROUND(BQ170-(BR170+BS170),3)</f>
      </c>
      <c r="T170" s="47">
        <f>=ROUND(CK170-(CL170+CM170+CN170+CO170+CP170),3)</f>
      </c>
      <c r="U170" s="47">
        <v>0</v>
      </c>
      <c r="V170" s="47">
        <v>0</v>
      </c>
      <c r="W170" s="47">
        <v>0</v>
      </c>
      <c r="X170" s="47">
        <v>0</v>
      </c>
      <c r="Y170" s="47">
        <v>0</v>
      </c>
      <c r="Z170" s="47">
        <v>0</v>
      </c>
      <c r="AA170" s="47">
        <v>0</v>
      </c>
      <c r="AB170" s="47">
        <v>0</v>
      </c>
      <c r="AC170" s="47">
        <v>0</v>
      </c>
      <c r="AD170" s="47">
        <v>0</v>
      </c>
      <c r="AE170" s="47">
        <v>0</v>
      </c>
      <c r="AF170" s="47">
        <v>0</v>
      </c>
      <c r="AG170" s="47">
        <v>0</v>
      </c>
      <c r="AH170" s="47">
        <v>0</v>
      </c>
      <c r="AI170" s="47">
        <v>0</v>
      </c>
      <c r="AJ170" s="47">
        <v>0.4395</v>
      </c>
      <c r="AK170" s="47">
        <v>0</v>
      </c>
      <c r="AL170" s="47">
        <v>0</v>
      </c>
      <c r="AM170" s="47">
        <v>0</v>
      </c>
      <c r="AN170" s="47">
        <v>0</v>
      </c>
      <c r="AO170" s="47">
        <v>0</v>
      </c>
      <c r="AP170" s="47">
        <v>0.4395</v>
      </c>
      <c r="AQ170" s="47">
        <v>0</v>
      </c>
      <c r="AR170" s="47">
        <v>0</v>
      </c>
      <c r="AS170" s="47">
        <v>0</v>
      </c>
      <c r="AT170" s="47">
        <v>0</v>
      </c>
      <c r="AU170" s="47">
        <v>0</v>
      </c>
      <c r="AV170" s="47">
        <v>0</v>
      </c>
      <c r="AW170" s="47">
        <v>0</v>
      </c>
      <c r="AX170" s="47">
        <v>0</v>
      </c>
      <c r="AY170" s="47">
        <v>0</v>
      </c>
      <c r="AZ170" s="47">
        <v>0</v>
      </c>
      <c r="BA170" s="47">
        <v>0</v>
      </c>
      <c r="BB170" s="47">
        <v>0</v>
      </c>
      <c r="BC170" s="47">
        <v>0</v>
      </c>
      <c r="BD170" s="47">
        <v>0</v>
      </c>
      <c r="BE170" s="47">
        <v>0</v>
      </c>
      <c r="BF170" s="47">
        <v>0</v>
      </c>
      <c r="BG170" s="47">
        <v>0</v>
      </c>
      <c r="BH170" s="47">
        <v>0</v>
      </c>
      <c r="BI170" s="47">
        <v>0</v>
      </c>
      <c r="BJ170" s="47">
        <v>0</v>
      </c>
      <c r="BK170" s="47">
        <v>0</v>
      </c>
      <c r="BL170" s="47">
        <v>0</v>
      </c>
      <c r="BM170" s="47">
        <v>0</v>
      </c>
      <c r="BN170" s="47">
        <v>0</v>
      </c>
      <c r="BO170" s="47">
        <v>0</v>
      </c>
      <c r="BP170" s="47">
        <v>0</v>
      </c>
      <c r="BQ170" s="47">
        <v>0</v>
      </c>
      <c r="BR170" s="47">
        <v>0</v>
      </c>
      <c r="BS170" s="47">
        <v>0</v>
      </c>
      <c r="BT170" s="47">
        <v>0</v>
      </c>
      <c r="BU170" s="47">
        <v>0</v>
      </c>
      <c r="BV170" s="47">
        <v>0</v>
      </c>
      <c r="BW170" s="47">
        <v>0</v>
      </c>
      <c r="BX170" s="47">
        <v>0</v>
      </c>
      <c r="BY170" s="47">
        <v>0</v>
      </c>
      <c r="BZ170" s="47">
        <v>0</v>
      </c>
      <c r="CA170" s="47">
        <v>0</v>
      </c>
      <c r="CB170" s="47">
        <v>0</v>
      </c>
      <c r="CC170" s="47">
        <v>0</v>
      </c>
      <c r="CD170" s="47">
        <v>0</v>
      </c>
      <c r="CE170" s="47">
        <v>0</v>
      </c>
      <c r="CF170" s="47">
        <v>0</v>
      </c>
      <c r="CG170" s="47">
        <v>0</v>
      </c>
      <c r="CH170" s="47">
        <v>0</v>
      </c>
      <c r="CI170" s="47">
        <v>0</v>
      </c>
      <c r="CJ170" s="47">
        <v>0</v>
      </c>
      <c r="CK170" s="47">
        <v>0</v>
      </c>
      <c r="CL170" s="47">
        <v>0</v>
      </c>
      <c r="CM170" s="47">
        <v>0</v>
      </c>
      <c r="CN170" s="47">
        <v>0</v>
      </c>
      <c r="CO170" s="47">
        <v>0</v>
      </c>
      <c r="CP170" s="47">
        <v>0</v>
      </c>
      <c r="CQ170" s="47">
        <v>0</v>
      </c>
      <c r="CR170" s="47">
        <v>0</v>
      </c>
      <c r="CS170" s="47">
        <v>0</v>
      </c>
      <c r="CT170" s="47">
        <v>0</v>
      </c>
      <c r="CU170" s="47">
        <v>0</v>
      </c>
      <c r="CV170" s="47">
        <v>0</v>
      </c>
      <c r="CW170" s="47">
        <v>0</v>
      </c>
      <c r="CX170" s="47">
        <v>0</v>
      </c>
      <c r="CY170" s="47">
        <v>0</v>
      </c>
      <c r="CZ170" s="47">
        <v>0</v>
      </c>
      <c r="DA170" s="47">
        <v>0</v>
      </c>
      <c r="DB170" s="47">
        <v>0</v>
      </c>
      <c r="DC170" s="47">
        <v>0</v>
      </c>
      <c r="DD170" s="47">
        <v>0</v>
      </c>
      <c r="DE170" s="47">
        <v>0</v>
      </c>
      <c r="DF170" s="47">
        <v>0</v>
      </c>
      <c r="DG170" s="47">
        <v>0</v>
      </c>
      <c r="DH170" s="47">
        <v>0</v>
      </c>
      <c r="DI170" s="47">
        <v>0</v>
      </c>
      <c r="DJ170" s="47">
        <v>0</v>
      </c>
      <c r="DK170" s="47">
        <v>0</v>
      </c>
      <c r="DL170" s="47">
        <v>0</v>
      </c>
      <c r="DM170" s="47">
        <v>0</v>
      </c>
      <c r="DN170" s="47">
        <v>0</v>
      </c>
      <c r="DO170" s="47">
        <v>0</v>
      </c>
      <c r="DP170" s="47">
        <v>0</v>
      </c>
      <c r="DQ170" s="47">
        <v>0</v>
      </c>
      <c r="DR170" s="47">
        <v>0</v>
      </c>
      <c r="DS170" s="47">
        <v>0</v>
      </c>
      <c r="DT170" s="47">
        <v>0</v>
      </c>
      <c r="DU170" s="47">
        <v>0</v>
      </c>
      <c r="DV170" s="47">
        <v>0</v>
      </c>
      <c r="DW170" s="47">
        <v>0</v>
      </c>
      <c r="DX170" s="47">
        <v>0</v>
      </c>
      <c r="DY170" s="47">
        <v>0</v>
      </c>
      <c r="DZ170" s="47"/>
      <c r="EA170" s="47">
        <v>0.4395</v>
      </c>
      <c r="ZZ170" t="s">
        <v>1084</v>
      </c>
    </row>
    <row r="171" spans="1:702" x14ac:dyDescent="0.25">
      <c r="A171" s="47" t="s">
        <v>936</v>
      </c>
      <c r="B171" s="47" t="s">
        <v>151</v>
      </c>
      <c r="C171" s="47" t="s">
        <v>155</v>
      </c>
      <c r="D171" s="47" t="s">
        <v>1244</v>
      </c>
      <c r="E171" s="47" t="s">
        <v>937</v>
      </c>
      <c r="F171" s="47" t="s">
        <v>938</v>
      </c>
      <c r="G171" s="47" t="s">
        <v>939</v>
      </c>
      <c r="H171" s="47" t="s">
        <v>380</v>
      </c>
      <c r="I171" s="47" t="s">
        <v>381</v>
      </c>
      <c r="J171" s="47" t="str">
        <f>=IFERROR(VLOOKUP(H171&amp;I171,Table_Fonctions!A:G,6,FALSE),"")</f>
        <v>0</v>
      </c>
      <c r="K171" s="47" t="s">
        <v>1132</v>
      </c>
      <c r="L171" s="47" t="str">
        <f>=IFERROR(VLOOKUP(H171&amp;I171,Table_Fonctions!A:G,7,FALSE),K171)</f>
        <v/>
      </c>
      <c r="M171" s="47" t="str">
        <f>=IF(OR(LEFT(D171, 3)="TJ ", LEFT(D171, 4)="CPH "), "OUI", "NON")</f>
        <v/>
      </c>
      <c r="N171" s="47" t="s">
        <v>841</v>
      </c>
      <c r="O171" s="47"/>
      <c r="P171" s="47">
        <v>1</v>
      </c>
      <c r="Q171" s="47">
        <v>1</v>
      </c>
      <c r="R171" s="47">
        <v>0</v>
      </c>
      <c r="S171" s="47">
        <f>=ROUND(BQ171-(BR171+BS171),3)</f>
      </c>
      <c r="T171" s="47">
        <f>=ROUND(CK171-(CL171+CM171+CN171+CO171+CP171),3)</f>
      </c>
      <c r="U171" s="47">
        <v>0</v>
      </c>
      <c r="V171" s="47">
        <v>0</v>
      </c>
      <c r="W171" s="47">
        <v>0</v>
      </c>
      <c r="X171" s="47">
        <v>0</v>
      </c>
      <c r="Y171" s="47">
        <v>0</v>
      </c>
      <c r="Z171" s="47">
        <v>0</v>
      </c>
      <c r="AA171" s="47">
        <v>0</v>
      </c>
      <c r="AB171" s="47">
        <v>0</v>
      </c>
      <c r="AC171" s="47">
        <v>0</v>
      </c>
      <c r="AD171" s="47">
        <v>0</v>
      </c>
      <c r="AE171" s="47">
        <v>0</v>
      </c>
      <c r="AF171" s="47">
        <v>0</v>
      </c>
      <c r="AG171" s="47">
        <v>0</v>
      </c>
      <c r="AH171" s="47">
        <v>0</v>
      </c>
      <c r="AI171" s="47">
        <v>0</v>
      </c>
      <c r="AJ171" s="47">
        <v>0</v>
      </c>
      <c r="AK171" s="47">
        <v>0</v>
      </c>
      <c r="AL171" s="47">
        <v>0</v>
      </c>
      <c r="AM171" s="47">
        <v>0</v>
      </c>
      <c r="AN171" s="47">
        <v>0</v>
      </c>
      <c r="AO171" s="47">
        <v>0</v>
      </c>
      <c r="AP171" s="47">
        <v>0</v>
      </c>
      <c r="AQ171" s="47">
        <v>0</v>
      </c>
      <c r="AR171" s="47">
        <v>0</v>
      </c>
      <c r="AS171" s="47">
        <v>0</v>
      </c>
      <c r="AT171" s="47">
        <v>0</v>
      </c>
      <c r="AU171" s="47">
        <v>0</v>
      </c>
      <c r="AV171" s="47">
        <v>0</v>
      </c>
      <c r="AW171" s="47">
        <v>0</v>
      </c>
      <c r="AX171" s="47">
        <v>0</v>
      </c>
      <c r="AY171" s="47">
        <v>0</v>
      </c>
      <c r="AZ171" s="47">
        <v>0</v>
      </c>
      <c r="BA171" s="47">
        <v>0</v>
      </c>
      <c r="BB171" s="47">
        <v>0</v>
      </c>
      <c r="BC171" s="47">
        <v>0</v>
      </c>
      <c r="BD171" s="47">
        <v>0</v>
      </c>
      <c r="BE171" s="47">
        <v>0</v>
      </c>
      <c r="BF171" s="47">
        <v>0</v>
      </c>
      <c r="BG171" s="47">
        <v>0</v>
      </c>
      <c r="BH171" s="47">
        <v>0</v>
      </c>
      <c r="BI171" s="47">
        <v>0</v>
      </c>
      <c r="BJ171" s="47">
        <v>0</v>
      </c>
      <c r="BK171" s="47">
        <v>0</v>
      </c>
      <c r="BL171" s="47">
        <v>0</v>
      </c>
      <c r="BM171" s="47">
        <v>0</v>
      </c>
      <c r="BN171" s="47">
        <v>0</v>
      </c>
      <c r="BO171" s="47">
        <v>0</v>
      </c>
      <c r="BP171" s="47">
        <v>0</v>
      </c>
      <c r="BQ171" s="47">
        <v>0</v>
      </c>
      <c r="BR171" s="47">
        <v>0</v>
      </c>
      <c r="BS171" s="47">
        <v>0</v>
      </c>
      <c r="BT171" s="47">
        <v>0.3</v>
      </c>
      <c r="BU171" s="47">
        <v>0</v>
      </c>
      <c r="BV171" s="47">
        <v>0</v>
      </c>
      <c r="BW171" s="47">
        <v>0</v>
      </c>
      <c r="BX171" s="47">
        <v>0</v>
      </c>
      <c r="BY171" s="47">
        <v>0</v>
      </c>
      <c r="BZ171" s="47">
        <v>0.3</v>
      </c>
      <c r="CA171" s="47">
        <v>0</v>
      </c>
      <c r="CB171" s="47">
        <v>0</v>
      </c>
      <c r="CC171" s="47">
        <v>0</v>
      </c>
      <c r="CD171" s="47">
        <v>0</v>
      </c>
      <c r="CE171" s="47">
        <v>0</v>
      </c>
      <c r="CF171" s="47">
        <v>0</v>
      </c>
      <c r="CG171" s="47">
        <v>0</v>
      </c>
      <c r="CH171" s="47">
        <v>0</v>
      </c>
      <c r="CI171" s="47">
        <v>0</v>
      </c>
      <c r="CJ171" s="47">
        <v>0</v>
      </c>
      <c r="CK171" s="47">
        <v>0</v>
      </c>
      <c r="CL171" s="47">
        <v>0</v>
      </c>
      <c r="CM171" s="47">
        <v>0</v>
      </c>
      <c r="CN171" s="47">
        <v>0</v>
      </c>
      <c r="CO171" s="47">
        <v>0</v>
      </c>
      <c r="CP171" s="47">
        <v>0</v>
      </c>
      <c r="CQ171" s="47">
        <v>0</v>
      </c>
      <c r="CR171" s="47">
        <v>0</v>
      </c>
      <c r="CS171" s="47">
        <v>0</v>
      </c>
      <c r="CT171" s="47">
        <v>0</v>
      </c>
      <c r="CU171" s="47">
        <v>0</v>
      </c>
      <c r="CV171" s="47">
        <v>0</v>
      </c>
      <c r="CW171" s="47">
        <v>0</v>
      </c>
      <c r="CX171" s="47">
        <v>0</v>
      </c>
      <c r="CY171" s="47">
        <v>0.7</v>
      </c>
      <c r="CZ171" s="47">
        <v>0</v>
      </c>
      <c r="DA171" s="47">
        <v>0</v>
      </c>
      <c r="DB171" s="47">
        <v>0</v>
      </c>
      <c r="DC171" s="47">
        <v>0</v>
      </c>
      <c r="DD171" s="47">
        <v>0</v>
      </c>
      <c r="DE171" s="47">
        <v>0</v>
      </c>
      <c r="DF171" s="47">
        <v>0</v>
      </c>
      <c r="DG171" s="47">
        <v>0</v>
      </c>
      <c r="DH171" s="47">
        <v>0</v>
      </c>
      <c r="DI171" s="47">
        <v>0</v>
      </c>
      <c r="DJ171" s="47">
        <v>0.7</v>
      </c>
      <c r="DK171" s="47">
        <v>0</v>
      </c>
      <c r="DL171" s="47">
        <v>0</v>
      </c>
      <c r="DM171" s="47">
        <v>0</v>
      </c>
      <c r="DN171" s="47">
        <v>0</v>
      </c>
      <c r="DO171" s="47">
        <v>0</v>
      </c>
      <c r="DP171" s="47">
        <v>0</v>
      </c>
      <c r="DQ171" s="47">
        <v>0</v>
      </c>
      <c r="DR171" s="47">
        <v>0</v>
      </c>
      <c r="DS171" s="47">
        <v>0</v>
      </c>
      <c r="DT171" s="47">
        <v>0</v>
      </c>
      <c r="DU171" s="47">
        <v>0</v>
      </c>
      <c r="DV171" s="47">
        <v>0</v>
      </c>
      <c r="DW171" s="47">
        <v>0</v>
      </c>
      <c r="DX171" s="47">
        <v>0</v>
      </c>
      <c r="DY171" s="47">
        <v>0</v>
      </c>
      <c r="DZ171" s="47"/>
      <c r="EA171" s="47">
        <v>1</v>
      </c>
      <c r="ZZ171" t="s">
        <v>1084</v>
      </c>
    </row>
    <row r="172" spans="1:702" x14ac:dyDescent="0.25">
      <c r="A172" s="47" t="s">
        <v>940</v>
      </c>
      <c r="B172" s="47" t="s">
        <v>151</v>
      </c>
      <c r="C172" s="47" t="s">
        <v>155</v>
      </c>
      <c r="D172" s="47" t="s">
        <v>1245</v>
      </c>
      <c r="E172" s="47" t="s">
        <v>941</v>
      </c>
      <c r="F172" s="47" t="s">
        <v>942</v>
      </c>
      <c r="G172" s="47" t="s">
        <v>943</v>
      </c>
      <c r="H172" s="47" t="s">
        <v>380</v>
      </c>
      <c r="I172" s="47" t="s">
        <v>381</v>
      </c>
      <c r="J172" s="47" t="str">
        <f>=IFERROR(VLOOKUP(H172&amp;I172,Table_Fonctions!A:G,6,FALSE),"")</f>
        <v>0</v>
      </c>
      <c r="K172" s="47" t="s">
        <v>1132</v>
      </c>
      <c r="L172" s="47" t="str">
        <f>=IFERROR(VLOOKUP(H172&amp;I172,Table_Fonctions!A:G,7,FALSE),K172)</f>
        <v/>
      </c>
      <c r="M172" s="47" t="str">
        <f>=IF(OR(LEFT(D172, 3)="TJ ", LEFT(D172, 4)="CPH "), "OUI", "NON")</f>
        <v/>
      </c>
      <c r="N172" s="47" t="s">
        <v>400</v>
      </c>
      <c r="O172" s="47"/>
      <c r="P172" s="47">
        <v>1</v>
      </c>
      <c r="Q172" s="47">
        <v>0</v>
      </c>
      <c r="R172" s="47">
        <v>1</v>
      </c>
      <c r="S172" s="47">
        <f>=ROUND(BQ172-(BR172+BS172),3)</f>
      </c>
      <c r="T172" s="47">
        <f>=ROUND(CK172-(CL172+CM172+CN172+CO172+CP172),3)</f>
      </c>
      <c r="U172" s="47">
        <v>0</v>
      </c>
      <c r="V172" s="47">
        <v>0</v>
      </c>
      <c r="W172" s="47">
        <v>0</v>
      </c>
      <c r="X172" s="47">
        <v>0</v>
      </c>
      <c r="Y172" s="47">
        <v>0</v>
      </c>
      <c r="Z172" s="47">
        <v>0</v>
      </c>
      <c r="AA172" s="47">
        <v>0</v>
      </c>
      <c r="AB172" s="47">
        <v>0</v>
      </c>
      <c r="AC172" s="47">
        <v>0</v>
      </c>
      <c r="AD172" s="47">
        <v>0</v>
      </c>
      <c r="AE172" s="47">
        <v>0</v>
      </c>
      <c r="AF172" s="47">
        <v>0</v>
      </c>
      <c r="AG172" s="47">
        <v>0</v>
      </c>
      <c r="AH172" s="47">
        <v>0</v>
      </c>
      <c r="AI172" s="47">
        <v>0</v>
      </c>
      <c r="AJ172" s="47">
        <v>0</v>
      </c>
      <c r="AK172" s="47">
        <v>0</v>
      </c>
      <c r="AL172" s="47">
        <v>0</v>
      </c>
      <c r="AM172" s="47">
        <v>0</v>
      </c>
      <c r="AN172" s="47">
        <v>0</v>
      </c>
      <c r="AO172" s="47">
        <v>0</v>
      </c>
      <c r="AP172" s="47">
        <v>0</v>
      </c>
      <c r="AQ172" s="47">
        <v>0</v>
      </c>
      <c r="AR172" s="47">
        <v>0</v>
      </c>
      <c r="AS172" s="47">
        <v>0</v>
      </c>
      <c r="AT172" s="47">
        <v>0</v>
      </c>
      <c r="AU172" s="47">
        <v>0</v>
      </c>
      <c r="AV172" s="47">
        <v>0</v>
      </c>
      <c r="AW172" s="47">
        <v>0</v>
      </c>
      <c r="AX172" s="47">
        <v>0</v>
      </c>
      <c r="AY172" s="47">
        <v>0</v>
      </c>
      <c r="AZ172" s="47">
        <v>0</v>
      </c>
      <c r="BA172" s="47">
        <v>0</v>
      </c>
      <c r="BB172" s="47">
        <v>0</v>
      </c>
      <c r="BC172" s="47">
        <v>0</v>
      </c>
      <c r="BD172" s="47">
        <v>0</v>
      </c>
      <c r="BE172" s="47">
        <v>0</v>
      </c>
      <c r="BF172" s="47">
        <v>0</v>
      </c>
      <c r="BG172" s="47">
        <v>0</v>
      </c>
      <c r="BH172" s="47">
        <v>0</v>
      </c>
      <c r="BI172" s="47">
        <v>0</v>
      </c>
      <c r="BJ172" s="47">
        <v>0</v>
      </c>
      <c r="BK172" s="47">
        <v>0</v>
      </c>
      <c r="BL172" s="47">
        <v>0</v>
      </c>
      <c r="BM172" s="47">
        <v>0</v>
      </c>
      <c r="BN172" s="47">
        <v>0</v>
      </c>
      <c r="BO172" s="47">
        <v>0</v>
      </c>
      <c r="BP172" s="47">
        <v>0</v>
      </c>
      <c r="BQ172" s="47">
        <v>0</v>
      </c>
      <c r="BR172" s="47">
        <v>0</v>
      </c>
      <c r="BS172" s="47">
        <v>0</v>
      </c>
      <c r="BT172" s="47">
        <v>0</v>
      </c>
      <c r="BU172" s="47">
        <v>0</v>
      </c>
      <c r="BV172" s="47">
        <v>0</v>
      </c>
      <c r="BW172" s="47">
        <v>0</v>
      </c>
      <c r="BX172" s="47">
        <v>0</v>
      </c>
      <c r="BY172" s="47">
        <v>0</v>
      </c>
      <c r="BZ172" s="47">
        <v>0</v>
      </c>
      <c r="CA172" s="47">
        <v>0</v>
      </c>
      <c r="CB172" s="47">
        <v>0</v>
      </c>
      <c r="CC172" s="47">
        <v>0</v>
      </c>
      <c r="CD172" s="47">
        <v>0</v>
      </c>
      <c r="CE172" s="47">
        <v>0</v>
      </c>
      <c r="CF172" s="47">
        <v>0</v>
      </c>
      <c r="CG172" s="47">
        <v>0</v>
      </c>
      <c r="CH172" s="47">
        <v>0</v>
      </c>
      <c r="CI172" s="47">
        <v>0</v>
      </c>
      <c r="CJ172" s="47">
        <v>0</v>
      </c>
      <c r="CK172" s="47">
        <v>0</v>
      </c>
      <c r="CL172" s="47">
        <v>0</v>
      </c>
      <c r="CM172" s="47">
        <v>0</v>
      </c>
      <c r="CN172" s="47">
        <v>0</v>
      </c>
      <c r="CO172" s="47">
        <v>0</v>
      </c>
      <c r="CP172" s="47">
        <v>0</v>
      </c>
      <c r="CQ172" s="47">
        <v>0</v>
      </c>
      <c r="CR172" s="47">
        <v>0</v>
      </c>
      <c r="CS172" s="47">
        <v>0</v>
      </c>
      <c r="CT172" s="47">
        <v>0</v>
      </c>
      <c r="CU172" s="47">
        <v>0</v>
      </c>
      <c r="CV172" s="47">
        <v>0</v>
      </c>
      <c r="CW172" s="47">
        <v>0</v>
      </c>
      <c r="CX172" s="47">
        <v>0</v>
      </c>
      <c r="CY172" s="47">
        <v>0</v>
      </c>
      <c r="CZ172" s="47">
        <v>0</v>
      </c>
      <c r="DA172" s="47">
        <v>0</v>
      </c>
      <c r="DB172" s="47">
        <v>0</v>
      </c>
      <c r="DC172" s="47">
        <v>0</v>
      </c>
      <c r="DD172" s="47">
        <v>0</v>
      </c>
      <c r="DE172" s="47">
        <v>0</v>
      </c>
      <c r="DF172" s="47">
        <v>0</v>
      </c>
      <c r="DG172" s="47">
        <v>0</v>
      </c>
      <c r="DH172" s="47">
        <v>0</v>
      </c>
      <c r="DI172" s="47">
        <v>0</v>
      </c>
      <c r="DJ172" s="47">
        <v>0</v>
      </c>
      <c r="DK172" s="47">
        <v>0</v>
      </c>
      <c r="DL172" s="47">
        <v>0</v>
      </c>
      <c r="DM172" s="47">
        <v>0</v>
      </c>
      <c r="DN172" s="47">
        <v>0</v>
      </c>
      <c r="DO172" s="47">
        <v>0</v>
      </c>
      <c r="DP172" s="47">
        <v>0</v>
      </c>
      <c r="DQ172" s="47">
        <v>0</v>
      </c>
      <c r="DR172" s="47">
        <v>0</v>
      </c>
      <c r="DS172" s="47">
        <v>0</v>
      </c>
      <c r="DT172" s="47">
        <v>0</v>
      </c>
      <c r="DU172" s="47">
        <v>0</v>
      </c>
      <c r="DV172" s="47">
        <v>0</v>
      </c>
      <c r="DW172" s="47">
        <v>0</v>
      </c>
      <c r="DX172" s="47">
        <v>0</v>
      </c>
      <c r="DY172" s="47">
        <v>0</v>
      </c>
      <c r="DZ172" s="47"/>
      <c r="EA172" s="47">
        <v>1</v>
      </c>
      <c r="ZZ172" t="s">
        <v>1084</v>
      </c>
    </row>
    <row r="173" spans="1:702" x14ac:dyDescent="0.25">
      <c r="A173" s="47" t="s">
        <v>944</v>
      </c>
      <c r="B173" s="47" t="s">
        <v>151</v>
      </c>
      <c r="C173" s="47" t="s">
        <v>155</v>
      </c>
      <c r="D173" s="47" t="s">
        <v>1246</v>
      </c>
      <c r="E173" s="47" t="s">
        <v>945</v>
      </c>
      <c r="F173" s="47" t="s">
        <v>946</v>
      </c>
      <c r="G173" s="47" t="s">
        <v>947</v>
      </c>
      <c r="H173" s="47" t="s">
        <v>380</v>
      </c>
      <c r="I173" s="47" t="s">
        <v>411</v>
      </c>
      <c r="J173" s="47" t="str">
        <f>=IFERROR(VLOOKUP(H173&amp;I173,Table_Fonctions!A:G,6,FALSE),"")</f>
        <v>0</v>
      </c>
      <c r="K173" s="47" t="s">
        <v>1132</v>
      </c>
      <c r="L173" s="47" t="str">
        <f>=IFERROR(VLOOKUP(H173&amp;I173,Table_Fonctions!A:G,7,FALSE),K173)</f>
        <v/>
      </c>
      <c r="M173" s="47" t="str">
        <f>=IF(OR(LEFT(D173, 3)="TJ ", LEFT(D173, 4)="CPH "), "OUI", "NON")</f>
        <v/>
      </c>
      <c r="N173" s="47" t="s">
        <v>596</v>
      </c>
      <c r="O173" s="47"/>
      <c r="P173" s="47">
        <v>1</v>
      </c>
      <c r="Q173" s="47">
        <v>1</v>
      </c>
      <c r="R173" s="47">
        <v>0</v>
      </c>
      <c r="S173" s="47">
        <f>=ROUND(BQ173-(BR173+BS173),3)</f>
      </c>
      <c r="T173" s="47">
        <f>=ROUND(CK173-(CL173+CM173+CN173+CO173+CP173),3)</f>
      </c>
      <c r="U173" s="47">
        <v>0</v>
      </c>
      <c r="V173" s="47">
        <v>0</v>
      </c>
      <c r="W173" s="47">
        <v>0</v>
      </c>
      <c r="X173" s="47">
        <v>0</v>
      </c>
      <c r="Y173" s="47">
        <v>0</v>
      </c>
      <c r="Z173" s="47">
        <v>0</v>
      </c>
      <c r="AA173" s="47">
        <v>0</v>
      </c>
      <c r="AB173" s="47">
        <v>0</v>
      </c>
      <c r="AC173" s="47">
        <v>0</v>
      </c>
      <c r="AD173" s="47">
        <v>0</v>
      </c>
      <c r="AE173" s="47">
        <v>0</v>
      </c>
      <c r="AF173" s="47">
        <v>0</v>
      </c>
      <c r="AG173" s="47">
        <v>0</v>
      </c>
      <c r="AH173" s="47">
        <v>0</v>
      </c>
      <c r="AI173" s="47">
        <v>0</v>
      </c>
      <c r="AJ173" s="47">
        <v>0</v>
      </c>
      <c r="AK173" s="47">
        <v>0</v>
      </c>
      <c r="AL173" s="47">
        <v>0</v>
      </c>
      <c r="AM173" s="47">
        <v>0</v>
      </c>
      <c r="AN173" s="47">
        <v>0</v>
      </c>
      <c r="AO173" s="47">
        <v>0</v>
      </c>
      <c r="AP173" s="47">
        <v>0</v>
      </c>
      <c r="AQ173" s="47">
        <v>0</v>
      </c>
      <c r="AR173" s="47">
        <v>0</v>
      </c>
      <c r="AS173" s="47">
        <v>0</v>
      </c>
      <c r="AT173" s="47">
        <v>0</v>
      </c>
      <c r="AU173" s="47">
        <v>0</v>
      </c>
      <c r="AV173" s="47">
        <v>0</v>
      </c>
      <c r="AW173" s="47">
        <v>0</v>
      </c>
      <c r="AX173" s="47">
        <v>0</v>
      </c>
      <c r="AY173" s="47">
        <v>0</v>
      </c>
      <c r="AZ173" s="47">
        <v>0</v>
      </c>
      <c r="BA173" s="47">
        <v>0</v>
      </c>
      <c r="BB173" s="47">
        <v>0</v>
      </c>
      <c r="BC173" s="47">
        <v>0</v>
      </c>
      <c r="BD173" s="47">
        <v>0</v>
      </c>
      <c r="BE173" s="47">
        <v>0</v>
      </c>
      <c r="BF173" s="47">
        <v>0</v>
      </c>
      <c r="BG173" s="47">
        <v>0</v>
      </c>
      <c r="BH173" s="47">
        <v>0</v>
      </c>
      <c r="BI173" s="47">
        <v>0</v>
      </c>
      <c r="BJ173" s="47">
        <v>0</v>
      </c>
      <c r="BK173" s="47">
        <v>0</v>
      </c>
      <c r="BL173" s="47">
        <v>0</v>
      </c>
      <c r="BM173" s="47">
        <v>0</v>
      </c>
      <c r="BN173" s="47">
        <v>0</v>
      </c>
      <c r="BO173" s="47">
        <v>0</v>
      </c>
      <c r="BP173" s="47">
        <v>0</v>
      </c>
      <c r="BQ173" s="47">
        <v>1</v>
      </c>
      <c r="BR173" s="47">
        <v>1</v>
      </c>
      <c r="BS173" s="47">
        <v>0</v>
      </c>
      <c r="BT173" s="47">
        <v>0</v>
      </c>
      <c r="BU173" s="47">
        <v>0</v>
      </c>
      <c r="BV173" s="47">
        <v>0</v>
      </c>
      <c r="BW173" s="47">
        <v>0</v>
      </c>
      <c r="BX173" s="47">
        <v>0</v>
      </c>
      <c r="BY173" s="47">
        <v>0</v>
      </c>
      <c r="BZ173" s="47">
        <v>0</v>
      </c>
      <c r="CA173" s="47">
        <v>0</v>
      </c>
      <c r="CB173" s="47">
        <v>0</v>
      </c>
      <c r="CC173" s="47">
        <v>0</v>
      </c>
      <c r="CD173" s="47">
        <v>0</v>
      </c>
      <c r="CE173" s="47">
        <v>0</v>
      </c>
      <c r="CF173" s="47">
        <v>0</v>
      </c>
      <c r="CG173" s="47">
        <v>0</v>
      </c>
      <c r="CH173" s="47">
        <v>0</v>
      </c>
      <c r="CI173" s="47">
        <v>0</v>
      </c>
      <c r="CJ173" s="47">
        <v>0</v>
      </c>
      <c r="CK173" s="47">
        <v>0</v>
      </c>
      <c r="CL173" s="47">
        <v>0</v>
      </c>
      <c r="CM173" s="47">
        <v>0</v>
      </c>
      <c r="CN173" s="47">
        <v>0</v>
      </c>
      <c r="CO173" s="47">
        <v>0</v>
      </c>
      <c r="CP173" s="47">
        <v>0</v>
      </c>
      <c r="CQ173" s="47">
        <v>0</v>
      </c>
      <c r="CR173" s="47">
        <v>0</v>
      </c>
      <c r="CS173" s="47">
        <v>0</v>
      </c>
      <c r="CT173" s="47">
        <v>0</v>
      </c>
      <c r="CU173" s="47">
        <v>0</v>
      </c>
      <c r="CV173" s="47">
        <v>0</v>
      </c>
      <c r="CW173" s="47">
        <v>0</v>
      </c>
      <c r="CX173" s="47">
        <v>0</v>
      </c>
      <c r="CY173" s="47">
        <v>0</v>
      </c>
      <c r="CZ173" s="47">
        <v>0</v>
      </c>
      <c r="DA173" s="47">
        <v>0</v>
      </c>
      <c r="DB173" s="47">
        <v>0</v>
      </c>
      <c r="DC173" s="47">
        <v>0</v>
      </c>
      <c r="DD173" s="47">
        <v>0</v>
      </c>
      <c r="DE173" s="47">
        <v>0</v>
      </c>
      <c r="DF173" s="47">
        <v>0</v>
      </c>
      <c r="DG173" s="47">
        <v>0</v>
      </c>
      <c r="DH173" s="47">
        <v>0</v>
      </c>
      <c r="DI173" s="47">
        <v>0</v>
      </c>
      <c r="DJ173" s="47">
        <v>0</v>
      </c>
      <c r="DK173" s="47">
        <v>0</v>
      </c>
      <c r="DL173" s="47">
        <v>0</v>
      </c>
      <c r="DM173" s="47">
        <v>0</v>
      </c>
      <c r="DN173" s="47">
        <v>0</v>
      </c>
      <c r="DO173" s="47">
        <v>0</v>
      </c>
      <c r="DP173" s="47">
        <v>0</v>
      </c>
      <c r="DQ173" s="47">
        <v>0</v>
      </c>
      <c r="DR173" s="47">
        <v>0</v>
      </c>
      <c r="DS173" s="47">
        <v>0</v>
      </c>
      <c r="DT173" s="47">
        <v>0</v>
      </c>
      <c r="DU173" s="47">
        <v>0</v>
      </c>
      <c r="DV173" s="47">
        <v>0</v>
      </c>
      <c r="DW173" s="47">
        <v>0</v>
      </c>
      <c r="DX173" s="47">
        <v>0.0403</v>
      </c>
      <c r="DY173" s="47">
        <v>0.0403</v>
      </c>
      <c r="DZ173" s="47"/>
      <c r="EA173" s="47">
        <v>1</v>
      </c>
      <c r="ZZ173" t="s">
        <v>1084</v>
      </c>
    </row>
    <row r="174" spans="1:702" x14ac:dyDescent="0.25">
      <c r="A174" s="47" t="s">
        <v>948</v>
      </c>
      <c r="B174" s="47" t="s">
        <v>151</v>
      </c>
      <c r="C174" s="47" t="s">
        <v>155</v>
      </c>
      <c r="D174" s="47" t="s">
        <v>1247</v>
      </c>
      <c r="E174" s="47" t="s">
        <v>949</v>
      </c>
      <c r="F174" s="47" t="s">
        <v>950</v>
      </c>
      <c r="G174" s="47" t="s">
        <v>951</v>
      </c>
      <c r="H174" s="47" t="s">
        <v>380</v>
      </c>
      <c r="I174" s="47" t="s">
        <v>381</v>
      </c>
      <c r="J174" s="47" t="str">
        <f>=IFERROR(VLOOKUP(H174&amp;I174,Table_Fonctions!A:G,6,FALSE),"")</f>
        <v>0</v>
      </c>
      <c r="K174" s="47" t="s">
        <v>1132</v>
      </c>
      <c r="L174" s="47" t="str">
        <f>=IFERROR(VLOOKUP(H174&amp;I174,Table_Fonctions!A:G,7,FALSE),K174)</f>
        <v/>
      </c>
      <c r="M174" s="47" t="str">
        <f>=IF(OR(LEFT(D174, 3)="TJ ", LEFT(D174, 4)="CPH "), "OUI", "NON")</f>
        <v/>
      </c>
      <c r="N174" s="47" t="s">
        <v>495</v>
      </c>
      <c r="O174" s="47"/>
      <c r="P174" s="47">
        <v>1</v>
      </c>
      <c r="Q174" s="47">
        <v>0</v>
      </c>
      <c r="R174" s="47">
        <v>1</v>
      </c>
      <c r="S174" s="47">
        <f>=ROUND(BQ174-(BR174+BS174),3)</f>
      </c>
      <c r="T174" s="47">
        <f>=ROUND(CK174-(CL174+CM174+CN174+CO174+CP174),3)</f>
      </c>
      <c r="U174" s="47">
        <v>0</v>
      </c>
      <c r="V174" s="47">
        <v>0</v>
      </c>
      <c r="W174" s="47">
        <v>0</v>
      </c>
      <c r="X174" s="47">
        <v>0</v>
      </c>
      <c r="Y174" s="47">
        <v>0</v>
      </c>
      <c r="Z174" s="47">
        <v>0</v>
      </c>
      <c r="AA174" s="47">
        <v>0</v>
      </c>
      <c r="AB174" s="47">
        <v>0</v>
      </c>
      <c r="AC174" s="47">
        <v>0</v>
      </c>
      <c r="AD174" s="47">
        <v>0</v>
      </c>
      <c r="AE174" s="47">
        <v>0</v>
      </c>
      <c r="AF174" s="47">
        <v>0</v>
      </c>
      <c r="AG174" s="47">
        <v>0</v>
      </c>
      <c r="AH174" s="47">
        <v>0</v>
      </c>
      <c r="AI174" s="47">
        <v>0</v>
      </c>
      <c r="AJ174" s="47">
        <v>0</v>
      </c>
      <c r="AK174" s="47">
        <v>0</v>
      </c>
      <c r="AL174" s="47">
        <v>0</v>
      </c>
      <c r="AM174" s="47">
        <v>0</v>
      </c>
      <c r="AN174" s="47">
        <v>0</v>
      </c>
      <c r="AO174" s="47">
        <v>0</v>
      </c>
      <c r="AP174" s="47">
        <v>0</v>
      </c>
      <c r="AQ174" s="47">
        <v>0</v>
      </c>
      <c r="AR174" s="47">
        <v>0</v>
      </c>
      <c r="AS174" s="47">
        <v>0</v>
      </c>
      <c r="AT174" s="47">
        <v>0</v>
      </c>
      <c r="AU174" s="47">
        <v>0</v>
      </c>
      <c r="AV174" s="47">
        <v>0</v>
      </c>
      <c r="AW174" s="47">
        <v>0</v>
      </c>
      <c r="AX174" s="47">
        <v>0</v>
      </c>
      <c r="AY174" s="47">
        <v>0</v>
      </c>
      <c r="AZ174" s="47">
        <v>0</v>
      </c>
      <c r="BA174" s="47">
        <v>0</v>
      </c>
      <c r="BB174" s="47">
        <v>0</v>
      </c>
      <c r="BC174" s="47">
        <v>0</v>
      </c>
      <c r="BD174" s="47">
        <v>0</v>
      </c>
      <c r="BE174" s="47">
        <v>0</v>
      </c>
      <c r="BF174" s="47">
        <v>0</v>
      </c>
      <c r="BG174" s="47">
        <v>0</v>
      </c>
      <c r="BH174" s="47">
        <v>0</v>
      </c>
      <c r="BI174" s="47">
        <v>0</v>
      </c>
      <c r="BJ174" s="47">
        <v>0</v>
      </c>
      <c r="BK174" s="47">
        <v>0</v>
      </c>
      <c r="BL174" s="47">
        <v>0</v>
      </c>
      <c r="BM174" s="47">
        <v>0</v>
      </c>
      <c r="BN174" s="47">
        <v>0</v>
      </c>
      <c r="BO174" s="47">
        <v>0</v>
      </c>
      <c r="BP174" s="47">
        <v>0</v>
      </c>
      <c r="BQ174" s="47">
        <v>0</v>
      </c>
      <c r="BR174" s="47">
        <v>0</v>
      </c>
      <c r="BS174" s="47">
        <v>0</v>
      </c>
      <c r="BT174" s="47">
        <v>0</v>
      </c>
      <c r="BU174" s="47">
        <v>0</v>
      </c>
      <c r="BV174" s="47">
        <v>0</v>
      </c>
      <c r="BW174" s="47">
        <v>0</v>
      </c>
      <c r="BX174" s="47">
        <v>0</v>
      </c>
      <c r="BY174" s="47">
        <v>0</v>
      </c>
      <c r="BZ174" s="47">
        <v>0</v>
      </c>
      <c r="CA174" s="47">
        <v>0</v>
      </c>
      <c r="CB174" s="47">
        <v>0</v>
      </c>
      <c r="CC174" s="47">
        <v>0</v>
      </c>
      <c r="CD174" s="47">
        <v>0</v>
      </c>
      <c r="CE174" s="47">
        <v>0</v>
      </c>
      <c r="CF174" s="47">
        <v>0</v>
      </c>
      <c r="CG174" s="47">
        <v>0</v>
      </c>
      <c r="CH174" s="47">
        <v>0</v>
      </c>
      <c r="CI174" s="47">
        <v>0</v>
      </c>
      <c r="CJ174" s="47">
        <v>0</v>
      </c>
      <c r="CK174" s="47">
        <v>0</v>
      </c>
      <c r="CL174" s="47">
        <v>0</v>
      </c>
      <c r="CM174" s="47">
        <v>0</v>
      </c>
      <c r="CN174" s="47">
        <v>0</v>
      </c>
      <c r="CO174" s="47">
        <v>0</v>
      </c>
      <c r="CP174" s="47">
        <v>0</v>
      </c>
      <c r="CQ174" s="47">
        <v>0</v>
      </c>
      <c r="CR174" s="47">
        <v>0</v>
      </c>
      <c r="CS174" s="47">
        <v>0</v>
      </c>
      <c r="CT174" s="47">
        <v>0</v>
      </c>
      <c r="CU174" s="47">
        <v>0</v>
      </c>
      <c r="CV174" s="47">
        <v>0</v>
      </c>
      <c r="CW174" s="47">
        <v>0</v>
      </c>
      <c r="CX174" s="47">
        <v>0</v>
      </c>
      <c r="CY174" s="47">
        <v>0</v>
      </c>
      <c r="CZ174" s="47">
        <v>0</v>
      </c>
      <c r="DA174" s="47">
        <v>0</v>
      </c>
      <c r="DB174" s="47">
        <v>0</v>
      </c>
      <c r="DC174" s="47">
        <v>0</v>
      </c>
      <c r="DD174" s="47">
        <v>0</v>
      </c>
      <c r="DE174" s="47">
        <v>0</v>
      </c>
      <c r="DF174" s="47">
        <v>0</v>
      </c>
      <c r="DG174" s="47">
        <v>0</v>
      </c>
      <c r="DH174" s="47">
        <v>0</v>
      </c>
      <c r="DI174" s="47">
        <v>0</v>
      </c>
      <c r="DJ174" s="47">
        <v>0</v>
      </c>
      <c r="DK174" s="47">
        <v>0</v>
      </c>
      <c r="DL174" s="47">
        <v>0</v>
      </c>
      <c r="DM174" s="47">
        <v>0</v>
      </c>
      <c r="DN174" s="47">
        <v>0</v>
      </c>
      <c r="DO174" s="47">
        <v>0</v>
      </c>
      <c r="DP174" s="47">
        <v>0</v>
      </c>
      <c r="DQ174" s="47">
        <v>0</v>
      </c>
      <c r="DR174" s="47">
        <v>0</v>
      </c>
      <c r="DS174" s="47">
        <v>0</v>
      </c>
      <c r="DT174" s="47">
        <v>0</v>
      </c>
      <c r="DU174" s="47">
        <v>0</v>
      </c>
      <c r="DV174" s="47">
        <v>0</v>
      </c>
      <c r="DW174" s="47">
        <v>0</v>
      </c>
      <c r="DX174" s="47">
        <v>0</v>
      </c>
      <c r="DY174" s="47">
        <v>0</v>
      </c>
      <c r="DZ174" s="47"/>
      <c r="EA174" s="47">
        <v>1</v>
      </c>
      <c r="ZZ174" t="s">
        <v>1084</v>
      </c>
    </row>
    <row r="175" spans="1:702" x14ac:dyDescent="0.25">
      <c r="A175" s="47" t="s">
        <v>952</v>
      </c>
      <c r="B175" s="47" t="s">
        <v>151</v>
      </c>
      <c r="C175" s="47" t="s">
        <v>155</v>
      </c>
      <c r="D175" s="47" t="s">
        <v>1248</v>
      </c>
      <c r="E175" s="47" t="s">
        <v>953</v>
      </c>
      <c r="F175" s="47" t="s">
        <v>954</v>
      </c>
      <c r="G175" s="47" t="s">
        <v>955</v>
      </c>
      <c r="H175" s="47" t="s">
        <v>380</v>
      </c>
      <c r="I175" s="47" t="s">
        <v>411</v>
      </c>
      <c r="J175" s="47" t="str">
        <f>=IFERROR(VLOOKUP(H175&amp;I175,Table_Fonctions!A:G,6,FALSE),"")</f>
        <v>0</v>
      </c>
      <c r="K175" s="47" t="s">
        <v>1132</v>
      </c>
      <c r="L175" s="47" t="str">
        <f>=IFERROR(VLOOKUP(H175&amp;I175,Table_Fonctions!A:G,7,FALSE),K175)</f>
        <v/>
      </c>
      <c r="M175" s="47" t="str">
        <f>=IF(OR(LEFT(D175, 3)="TJ ", LEFT(D175, 4)="CPH "), "OUI", "NON")</f>
        <v/>
      </c>
      <c r="N175" s="47" t="s">
        <v>400</v>
      </c>
      <c r="O175" s="47"/>
      <c r="P175" s="47">
        <v>1</v>
      </c>
      <c r="Q175" s="47">
        <v>0</v>
      </c>
      <c r="R175" s="47">
        <v>1</v>
      </c>
      <c r="S175" s="47">
        <f>=ROUND(BQ175-(BR175+BS175),3)</f>
      </c>
      <c r="T175" s="47">
        <f>=ROUND(CK175-(CL175+CM175+CN175+CO175+CP175),3)</f>
      </c>
      <c r="U175" s="47">
        <v>0</v>
      </c>
      <c r="V175" s="47">
        <v>0</v>
      </c>
      <c r="W175" s="47">
        <v>0</v>
      </c>
      <c r="X175" s="47">
        <v>0</v>
      </c>
      <c r="Y175" s="47">
        <v>0</v>
      </c>
      <c r="Z175" s="47">
        <v>0</v>
      </c>
      <c r="AA175" s="47">
        <v>0</v>
      </c>
      <c r="AB175" s="47">
        <v>0</v>
      </c>
      <c r="AC175" s="47">
        <v>0</v>
      </c>
      <c r="AD175" s="47">
        <v>0</v>
      </c>
      <c r="AE175" s="47">
        <v>0</v>
      </c>
      <c r="AF175" s="47">
        <v>0</v>
      </c>
      <c r="AG175" s="47">
        <v>0</v>
      </c>
      <c r="AH175" s="47">
        <v>0</v>
      </c>
      <c r="AI175" s="47">
        <v>0</v>
      </c>
      <c r="AJ175" s="47">
        <v>0</v>
      </c>
      <c r="AK175" s="47">
        <v>0</v>
      </c>
      <c r="AL175" s="47">
        <v>0</v>
      </c>
      <c r="AM175" s="47">
        <v>0</v>
      </c>
      <c r="AN175" s="47">
        <v>0</v>
      </c>
      <c r="AO175" s="47">
        <v>0</v>
      </c>
      <c r="AP175" s="47">
        <v>0</v>
      </c>
      <c r="AQ175" s="47">
        <v>0</v>
      </c>
      <c r="AR175" s="47">
        <v>0</v>
      </c>
      <c r="AS175" s="47">
        <v>0</v>
      </c>
      <c r="AT175" s="47">
        <v>0</v>
      </c>
      <c r="AU175" s="47">
        <v>0</v>
      </c>
      <c r="AV175" s="47">
        <v>0</v>
      </c>
      <c r="AW175" s="47">
        <v>0</v>
      </c>
      <c r="AX175" s="47">
        <v>0</v>
      </c>
      <c r="AY175" s="47">
        <v>0</v>
      </c>
      <c r="AZ175" s="47">
        <v>0</v>
      </c>
      <c r="BA175" s="47">
        <v>0</v>
      </c>
      <c r="BB175" s="47">
        <v>0</v>
      </c>
      <c r="BC175" s="47">
        <v>0</v>
      </c>
      <c r="BD175" s="47">
        <v>0</v>
      </c>
      <c r="BE175" s="47">
        <v>0</v>
      </c>
      <c r="BF175" s="47">
        <v>0</v>
      </c>
      <c r="BG175" s="47">
        <v>0</v>
      </c>
      <c r="BH175" s="47">
        <v>0</v>
      </c>
      <c r="BI175" s="47">
        <v>0</v>
      </c>
      <c r="BJ175" s="47">
        <v>0</v>
      </c>
      <c r="BK175" s="47">
        <v>0</v>
      </c>
      <c r="BL175" s="47">
        <v>0</v>
      </c>
      <c r="BM175" s="47">
        <v>0</v>
      </c>
      <c r="BN175" s="47">
        <v>0</v>
      </c>
      <c r="BO175" s="47">
        <v>0</v>
      </c>
      <c r="BP175" s="47">
        <v>0</v>
      </c>
      <c r="BQ175" s="47">
        <v>0</v>
      </c>
      <c r="BR175" s="47">
        <v>0</v>
      </c>
      <c r="BS175" s="47">
        <v>0</v>
      </c>
      <c r="BT175" s="47">
        <v>0</v>
      </c>
      <c r="BU175" s="47">
        <v>0</v>
      </c>
      <c r="BV175" s="47">
        <v>0</v>
      </c>
      <c r="BW175" s="47">
        <v>0</v>
      </c>
      <c r="BX175" s="47">
        <v>0</v>
      </c>
      <c r="BY175" s="47">
        <v>0</v>
      </c>
      <c r="BZ175" s="47">
        <v>0</v>
      </c>
      <c r="CA175" s="47">
        <v>0</v>
      </c>
      <c r="CB175" s="47">
        <v>0</v>
      </c>
      <c r="CC175" s="47">
        <v>0</v>
      </c>
      <c r="CD175" s="47">
        <v>0</v>
      </c>
      <c r="CE175" s="47">
        <v>0</v>
      </c>
      <c r="CF175" s="47">
        <v>0</v>
      </c>
      <c r="CG175" s="47">
        <v>0</v>
      </c>
      <c r="CH175" s="47">
        <v>0</v>
      </c>
      <c r="CI175" s="47">
        <v>0</v>
      </c>
      <c r="CJ175" s="47">
        <v>0</v>
      </c>
      <c r="CK175" s="47">
        <v>0</v>
      </c>
      <c r="CL175" s="47">
        <v>0</v>
      </c>
      <c r="CM175" s="47">
        <v>0</v>
      </c>
      <c r="CN175" s="47">
        <v>0</v>
      </c>
      <c r="CO175" s="47">
        <v>0</v>
      </c>
      <c r="CP175" s="47">
        <v>0</v>
      </c>
      <c r="CQ175" s="47">
        <v>0</v>
      </c>
      <c r="CR175" s="47">
        <v>0</v>
      </c>
      <c r="CS175" s="47">
        <v>0</v>
      </c>
      <c r="CT175" s="47">
        <v>0</v>
      </c>
      <c r="CU175" s="47">
        <v>0</v>
      </c>
      <c r="CV175" s="47">
        <v>0</v>
      </c>
      <c r="CW175" s="47">
        <v>0</v>
      </c>
      <c r="CX175" s="47">
        <v>0</v>
      </c>
      <c r="CY175" s="47">
        <v>0</v>
      </c>
      <c r="CZ175" s="47">
        <v>0</v>
      </c>
      <c r="DA175" s="47">
        <v>0</v>
      </c>
      <c r="DB175" s="47">
        <v>0</v>
      </c>
      <c r="DC175" s="47">
        <v>0</v>
      </c>
      <c r="DD175" s="47">
        <v>0</v>
      </c>
      <c r="DE175" s="47">
        <v>0</v>
      </c>
      <c r="DF175" s="47">
        <v>0</v>
      </c>
      <c r="DG175" s="47">
        <v>0</v>
      </c>
      <c r="DH175" s="47">
        <v>0</v>
      </c>
      <c r="DI175" s="47">
        <v>0</v>
      </c>
      <c r="DJ175" s="47">
        <v>0</v>
      </c>
      <c r="DK175" s="47">
        <v>0</v>
      </c>
      <c r="DL175" s="47">
        <v>0</v>
      </c>
      <c r="DM175" s="47">
        <v>0</v>
      </c>
      <c r="DN175" s="47">
        <v>0</v>
      </c>
      <c r="DO175" s="47">
        <v>0</v>
      </c>
      <c r="DP175" s="47">
        <v>0</v>
      </c>
      <c r="DQ175" s="47">
        <v>0</v>
      </c>
      <c r="DR175" s="47">
        <v>0</v>
      </c>
      <c r="DS175" s="47">
        <v>0</v>
      </c>
      <c r="DT175" s="47">
        <v>0</v>
      </c>
      <c r="DU175" s="47">
        <v>0</v>
      </c>
      <c r="DV175" s="47">
        <v>0</v>
      </c>
      <c r="DW175" s="47">
        <v>0</v>
      </c>
      <c r="DX175" s="47">
        <v>0</v>
      </c>
      <c r="DY175" s="47">
        <v>0</v>
      </c>
      <c r="DZ175" s="47"/>
      <c r="EA175" s="47">
        <v>1</v>
      </c>
      <c r="ZZ175" t="s">
        <v>1084</v>
      </c>
    </row>
    <row r="176" spans="1:702" x14ac:dyDescent="0.25">
      <c r="A176" s="47" t="s">
        <v>956</v>
      </c>
      <c r="B176" s="47" t="s">
        <v>151</v>
      </c>
      <c r="C176" s="47" t="s">
        <v>155</v>
      </c>
      <c r="D176" s="47" t="s">
        <v>1139</v>
      </c>
      <c r="E176" s="47" t="s">
        <v>957</v>
      </c>
      <c r="F176" s="47" t="s">
        <v>958</v>
      </c>
      <c r="G176" s="47" t="s">
        <v>959</v>
      </c>
      <c r="H176" s="47" t="s">
        <v>380</v>
      </c>
      <c r="I176" s="47" t="s">
        <v>411</v>
      </c>
      <c r="J176" s="47" t="str">
        <f>=IFERROR(VLOOKUP(H176&amp;I176,Table_Fonctions!A:G,6,FALSE),"")</f>
        <v>0</v>
      </c>
      <c r="K176" s="47" t="s">
        <v>1132</v>
      </c>
      <c r="L176" s="47" t="str">
        <f>=IFERROR(VLOOKUP(H176&amp;I176,Table_Fonctions!A:G,7,FALSE),K176)</f>
        <v/>
      </c>
      <c r="M176" s="47" t="str">
        <f>=IF(OR(LEFT(D176, 3)="TJ ", LEFT(D176, 4)="CPH "), "OUI", "NON")</f>
        <v/>
      </c>
      <c r="N176" s="47" t="s">
        <v>960</v>
      </c>
      <c r="O176" s="47"/>
      <c r="P176" s="47">
        <v>0.9</v>
      </c>
      <c r="Q176" s="47">
        <v>0</v>
      </c>
      <c r="R176" s="47">
        <v>0.9</v>
      </c>
      <c r="S176" s="47">
        <f>=ROUND(BQ176-(BR176+BS176),3)</f>
      </c>
      <c r="T176" s="47">
        <f>=ROUND(CK176-(CL176+CM176+CN176+CO176+CP176),3)</f>
      </c>
      <c r="U176" s="47">
        <v>0</v>
      </c>
      <c r="V176" s="47">
        <v>0</v>
      </c>
      <c r="W176" s="47">
        <v>0</v>
      </c>
      <c r="X176" s="47">
        <v>0</v>
      </c>
      <c r="Y176" s="47">
        <v>0</v>
      </c>
      <c r="Z176" s="47">
        <v>0</v>
      </c>
      <c r="AA176" s="47">
        <v>0</v>
      </c>
      <c r="AB176" s="47">
        <v>0</v>
      </c>
      <c r="AC176" s="47">
        <v>0</v>
      </c>
      <c r="AD176" s="47">
        <v>0</v>
      </c>
      <c r="AE176" s="47">
        <v>0</v>
      </c>
      <c r="AF176" s="47">
        <v>0</v>
      </c>
      <c r="AG176" s="47">
        <v>0</v>
      </c>
      <c r="AH176" s="47">
        <v>0</v>
      </c>
      <c r="AI176" s="47">
        <v>0</v>
      </c>
      <c r="AJ176" s="47">
        <v>0</v>
      </c>
      <c r="AK176" s="47">
        <v>0</v>
      </c>
      <c r="AL176" s="47">
        <v>0</v>
      </c>
      <c r="AM176" s="47">
        <v>0</v>
      </c>
      <c r="AN176" s="47">
        <v>0</v>
      </c>
      <c r="AO176" s="47">
        <v>0</v>
      </c>
      <c r="AP176" s="47">
        <v>0</v>
      </c>
      <c r="AQ176" s="47">
        <v>0</v>
      </c>
      <c r="AR176" s="47">
        <v>0</v>
      </c>
      <c r="AS176" s="47">
        <v>0</v>
      </c>
      <c r="AT176" s="47">
        <v>0</v>
      </c>
      <c r="AU176" s="47">
        <v>0</v>
      </c>
      <c r="AV176" s="47">
        <v>0</v>
      </c>
      <c r="AW176" s="47">
        <v>0</v>
      </c>
      <c r="AX176" s="47">
        <v>0</v>
      </c>
      <c r="AY176" s="47">
        <v>0</v>
      </c>
      <c r="AZ176" s="47">
        <v>0</v>
      </c>
      <c r="BA176" s="47">
        <v>0</v>
      </c>
      <c r="BB176" s="47">
        <v>0</v>
      </c>
      <c r="BC176" s="47">
        <v>0</v>
      </c>
      <c r="BD176" s="47">
        <v>0</v>
      </c>
      <c r="BE176" s="47">
        <v>0</v>
      </c>
      <c r="BF176" s="47">
        <v>0</v>
      </c>
      <c r="BG176" s="47">
        <v>0</v>
      </c>
      <c r="BH176" s="47">
        <v>0</v>
      </c>
      <c r="BI176" s="47">
        <v>0</v>
      </c>
      <c r="BJ176" s="47">
        <v>0</v>
      </c>
      <c r="BK176" s="47">
        <v>0</v>
      </c>
      <c r="BL176" s="47">
        <v>0</v>
      </c>
      <c r="BM176" s="47">
        <v>0</v>
      </c>
      <c r="BN176" s="47">
        <v>0</v>
      </c>
      <c r="BO176" s="47">
        <v>0</v>
      </c>
      <c r="BP176" s="47">
        <v>0</v>
      </c>
      <c r="BQ176" s="47">
        <v>0</v>
      </c>
      <c r="BR176" s="47">
        <v>0</v>
      </c>
      <c r="BS176" s="47">
        <v>0</v>
      </c>
      <c r="BT176" s="47">
        <v>0</v>
      </c>
      <c r="BU176" s="47">
        <v>0</v>
      </c>
      <c r="BV176" s="47">
        <v>0</v>
      </c>
      <c r="BW176" s="47">
        <v>0</v>
      </c>
      <c r="BX176" s="47">
        <v>0</v>
      </c>
      <c r="BY176" s="47">
        <v>0</v>
      </c>
      <c r="BZ176" s="47">
        <v>0</v>
      </c>
      <c r="CA176" s="47">
        <v>0</v>
      </c>
      <c r="CB176" s="47">
        <v>0</v>
      </c>
      <c r="CC176" s="47">
        <v>0</v>
      </c>
      <c r="CD176" s="47">
        <v>0</v>
      </c>
      <c r="CE176" s="47">
        <v>0</v>
      </c>
      <c r="CF176" s="47">
        <v>0</v>
      </c>
      <c r="CG176" s="47">
        <v>0</v>
      </c>
      <c r="CH176" s="47">
        <v>0</v>
      </c>
      <c r="CI176" s="47">
        <v>0</v>
      </c>
      <c r="CJ176" s="47">
        <v>0</v>
      </c>
      <c r="CK176" s="47">
        <v>0</v>
      </c>
      <c r="CL176" s="47">
        <v>0</v>
      </c>
      <c r="CM176" s="47">
        <v>0</v>
      </c>
      <c r="CN176" s="47">
        <v>0</v>
      </c>
      <c r="CO176" s="47">
        <v>0</v>
      </c>
      <c r="CP176" s="47">
        <v>0</v>
      </c>
      <c r="CQ176" s="47">
        <v>0</v>
      </c>
      <c r="CR176" s="47">
        <v>0</v>
      </c>
      <c r="CS176" s="47">
        <v>0</v>
      </c>
      <c r="CT176" s="47">
        <v>0</v>
      </c>
      <c r="CU176" s="47">
        <v>0</v>
      </c>
      <c r="CV176" s="47">
        <v>0</v>
      </c>
      <c r="CW176" s="47">
        <v>0</v>
      </c>
      <c r="CX176" s="47">
        <v>0</v>
      </c>
      <c r="CY176" s="47">
        <v>0</v>
      </c>
      <c r="CZ176" s="47">
        <v>0</v>
      </c>
      <c r="DA176" s="47">
        <v>0</v>
      </c>
      <c r="DB176" s="47">
        <v>0</v>
      </c>
      <c r="DC176" s="47">
        <v>0</v>
      </c>
      <c r="DD176" s="47">
        <v>0</v>
      </c>
      <c r="DE176" s="47">
        <v>0</v>
      </c>
      <c r="DF176" s="47">
        <v>0</v>
      </c>
      <c r="DG176" s="47">
        <v>0</v>
      </c>
      <c r="DH176" s="47">
        <v>0</v>
      </c>
      <c r="DI176" s="47">
        <v>0</v>
      </c>
      <c r="DJ176" s="47">
        <v>0</v>
      </c>
      <c r="DK176" s="47">
        <v>0</v>
      </c>
      <c r="DL176" s="47">
        <v>0</v>
      </c>
      <c r="DM176" s="47">
        <v>0</v>
      </c>
      <c r="DN176" s="47">
        <v>0</v>
      </c>
      <c r="DO176" s="47">
        <v>0</v>
      </c>
      <c r="DP176" s="47">
        <v>0</v>
      </c>
      <c r="DQ176" s="47">
        <v>0</v>
      </c>
      <c r="DR176" s="47">
        <v>0</v>
      </c>
      <c r="DS176" s="47">
        <v>0</v>
      </c>
      <c r="DT176" s="47">
        <v>0</v>
      </c>
      <c r="DU176" s="47">
        <v>0</v>
      </c>
      <c r="DV176" s="47">
        <v>0</v>
      </c>
      <c r="DW176" s="47">
        <v>0</v>
      </c>
      <c r="DX176" s="47">
        <v>0</v>
      </c>
      <c r="DY176" s="47">
        <v>0</v>
      </c>
      <c r="DZ176" s="47"/>
      <c r="EA176" s="47">
        <v>0.9</v>
      </c>
      <c r="ZZ176" t="s">
        <v>1084</v>
      </c>
    </row>
    <row r="177" spans="1:702" x14ac:dyDescent="0.25">
      <c r="A177" s="47" t="s">
        <v>961</v>
      </c>
      <c r="B177" s="47" t="s">
        <v>151</v>
      </c>
      <c r="C177" s="47" t="s">
        <v>155</v>
      </c>
      <c r="D177" s="47" t="s">
        <v>1249</v>
      </c>
      <c r="E177" s="47" t="s">
        <v>962</v>
      </c>
      <c r="F177" s="47" t="s">
        <v>963</v>
      </c>
      <c r="G177" s="47" t="s">
        <v>964</v>
      </c>
      <c r="H177" s="47" t="s">
        <v>965</v>
      </c>
      <c r="I177" s="47" t="s">
        <v>1250</v>
      </c>
      <c r="J177" s="47" t="str">
        <f>=IFERROR(VLOOKUP(H177&amp;I177,Table_Fonctions!A:G,6,FALSE),"")</f>
        <v>0</v>
      </c>
      <c r="K177" s="47" t="s">
        <v>1136</v>
      </c>
      <c r="L177" s="47" t="str">
        <f>=IFERROR(VLOOKUP(H177&amp;I177,Table_Fonctions!A:G,7,FALSE),K177)</f>
        <v/>
      </c>
      <c r="M177" s="47" t="str">
        <f>=IF(OR(LEFT(D177, 3)="TJ ", LEFT(D177, 4)="CPH "), "OUI", "NON")</f>
        <v/>
      </c>
      <c r="N177" s="47" t="s">
        <v>967</v>
      </c>
      <c r="O177" s="47"/>
      <c r="P177" s="47">
        <v>0.3952</v>
      </c>
      <c r="Q177" s="47">
        <v>0.3952</v>
      </c>
      <c r="R177" s="47">
        <v>0</v>
      </c>
      <c r="S177" s="47">
        <f>=ROUND(BQ177-(BR177+BS177),3)</f>
      </c>
      <c r="T177" s="47">
        <f>=ROUND(CK177-(CL177+CM177+CN177+CO177+CP177),3)</f>
      </c>
      <c r="U177" s="47">
        <v>0</v>
      </c>
      <c r="V177" s="47">
        <v>0</v>
      </c>
      <c r="W177" s="47">
        <v>0</v>
      </c>
      <c r="X177" s="47">
        <v>0</v>
      </c>
      <c r="Y177" s="47">
        <v>0</v>
      </c>
      <c r="Z177" s="47">
        <v>0</v>
      </c>
      <c r="AA177" s="47">
        <v>0</v>
      </c>
      <c r="AB177" s="47">
        <v>0</v>
      </c>
      <c r="AC177" s="47">
        <v>0</v>
      </c>
      <c r="AD177" s="47">
        <v>0</v>
      </c>
      <c r="AE177" s="47">
        <v>0</v>
      </c>
      <c r="AF177" s="47">
        <v>0</v>
      </c>
      <c r="AG177" s="47">
        <v>0</v>
      </c>
      <c r="AH177" s="47">
        <v>0</v>
      </c>
      <c r="AI177" s="47">
        <v>0</v>
      </c>
      <c r="AJ177" s="47">
        <v>0</v>
      </c>
      <c r="AK177" s="47">
        <v>0</v>
      </c>
      <c r="AL177" s="47">
        <v>0</v>
      </c>
      <c r="AM177" s="47">
        <v>0</v>
      </c>
      <c r="AN177" s="47">
        <v>0</v>
      </c>
      <c r="AO177" s="47">
        <v>0</v>
      </c>
      <c r="AP177" s="47">
        <v>0</v>
      </c>
      <c r="AQ177" s="47">
        <v>0</v>
      </c>
      <c r="AR177" s="47">
        <v>0</v>
      </c>
      <c r="AS177" s="47">
        <v>0</v>
      </c>
      <c r="AT177" s="47">
        <v>0</v>
      </c>
      <c r="AU177" s="47">
        <v>0</v>
      </c>
      <c r="AV177" s="47">
        <v>0</v>
      </c>
      <c r="AW177" s="47">
        <v>0</v>
      </c>
      <c r="AX177" s="47">
        <v>0</v>
      </c>
      <c r="AY177" s="47">
        <v>0</v>
      </c>
      <c r="AZ177" s="47">
        <v>0</v>
      </c>
      <c r="BA177" s="47">
        <v>0</v>
      </c>
      <c r="BB177" s="47">
        <v>0</v>
      </c>
      <c r="BC177" s="47">
        <v>0</v>
      </c>
      <c r="BD177" s="47">
        <v>0</v>
      </c>
      <c r="BE177" s="47">
        <v>0</v>
      </c>
      <c r="BF177" s="47">
        <v>0</v>
      </c>
      <c r="BG177" s="47">
        <v>0</v>
      </c>
      <c r="BH177" s="47">
        <v>0</v>
      </c>
      <c r="BI177" s="47">
        <v>0</v>
      </c>
      <c r="BJ177" s="47">
        <v>0</v>
      </c>
      <c r="BK177" s="47">
        <v>0</v>
      </c>
      <c r="BL177" s="47">
        <v>0</v>
      </c>
      <c r="BM177" s="47">
        <v>0</v>
      </c>
      <c r="BN177" s="47">
        <v>0</v>
      </c>
      <c r="BO177" s="47">
        <v>0</v>
      </c>
      <c r="BP177" s="47">
        <v>0</v>
      </c>
      <c r="BQ177" s="47">
        <v>0</v>
      </c>
      <c r="BR177" s="47">
        <v>0</v>
      </c>
      <c r="BS177" s="47">
        <v>0</v>
      </c>
      <c r="BT177" s="47">
        <v>0.3359</v>
      </c>
      <c r="BU177" s="47">
        <v>0</v>
      </c>
      <c r="BV177" s="47">
        <v>0.1185</v>
      </c>
      <c r="BW177" s="47">
        <v>0</v>
      </c>
      <c r="BX177" s="47">
        <v>0</v>
      </c>
      <c r="BY177" s="47">
        <v>0</v>
      </c>
      <c r="BZ177" s="47">
        <v>0</v>
      </c>
      <c r="CA177" s="47">
        <v>0</v>
      </c>
      <c r="CB177" s="47">
        <v>0.0395</v>
      </c>
      <c r="CC177" s="47">
        <v>0.1581</v>
      </c>
      <c r="CD177" s="47">
        <v>0</v>
      </c>
      <c r="CE177" s="47">
        <v>0</v>
      </c>
      <c r="CF177" s="47">
        <v>0.0198</v>
      </c>
      <c r="CG177" s="47">
        <v>0</v>
      </c>
      <c r="CH177" s="47">
        <v>0</v>
      </c>
      <c r="CI177" s="47">
        <v>0</v>
      </c>
      <c r="CJ177" s="47">
        <v>0</v>
      </c>
      <c r="CK177" s="47">
        <v>0</v>
      </c>
      <c r="CL177" s="47">
        <v>0</v>
      </c>
      <c r="CM177" s="47">
        <v>0</v>
      </c>
      <c r="CN177" s="47">
        <v>0</v>
      </c>
      <c r="CO177" s="47">
        <v>0</v>
      </c>
      <c r="CP177" s="47">
        <v>0</v>
      </c>
      <c r="CQ177" s="47">
        <v>0</v>
      </c>
      <c r="CR177" s="47">
        <v>0</v>
      </c>
      <c r="CS177" s="47">
        <v>0</v>
      </c>
      <c r="CT177" s="47">
        <v>0</v>
      </c>
      <c r="CU177" s="47">
        <v>0</v>
      </c>
      <c r="CV177" s="47">
        <v>0</v>
      </c>
      <c r="CW177" s="47">
        <v>0</v>
      </c>
      <c r="CX177" s="47">
        <v>0</v>
      </c>
      <c r="CY177" s="47">
        <v>0.0593</v>
      </c>
      <c r="CZ177" s="47">
        <v>0.0593</v>
      </c>
      <c r="DA177" s="47">
        <v>0</v>
      </c>
      <c r="DB177" s="47">
        <v>0</v>
      </c>
      <c r="DC177" s="47">
        <v>0</v>
      </c>
      <c r="DD177" s="47">
        <v>0</v>
      </c>
      <c r="DE177" s="47">
        <v>0</v>
      </c>
      <c r="DF177" s="47">
        <v>0</v>
      </c>
      <c r="DG177" s="47">
        <v>0</v>
      </c>
      <c r="DH177" s="47">
        <v>0</v>
      </c>
      <c r="DI177" s="47">
        <v>0</v>
      </c>
      <c r="DJ177" s="47">
        <v>0</v>
      </c>
      <c r="DK177" s="47">
        <v>0</v>
      </c>
      <c r="DL177" s="47">
        <v>0</v>
      </c>
      <c r="DM177" s="47">
        <v>0</v>
      </c>
      <c r="DN177" s="47">
        <v>0</v>
      </c>
      <c r="DO177" s="47">
        <v>0</v>
      </c>
      <c r="DP177" s="47">
        <v>0</v>
      </c>
      <c r="DQ177" s="47">
        <v>0</v>
      </c>
      <c r="DR177" s="47">
        <v>0</v>
      </c>
      <c r="DS177" s="47">
        <v>0</v>
      </c>
      <c r="DT177" s="47">
        <v>0</v>
      </c>
      <c r="DU177" s="47">
        <v>0</v>
      </c>
      <c r="DV177" s="47">
        <v>0</v>
      </c>
      <c r="DW177" s="47">
        <v>0</v>
      </c>
      <c r="DX177" s="47">
        <v>0</v>
      </c>
      <c r="DY177" s="47">
        <v>0</v>
      </c>
      <c r="DZ177" s="47"/>
      <c r="EA177" s="47">
        <v>0.3952</v>
      </c>
      <c r="ZZ177" t="s">
        <v>1084</v>
      </c>
    </row>
    <row r="178" spans="1:702" x14ac:dyDescent="0.25">
      <c r="A178" s="47" t="s">
        <v>968</v>
      </c>
      <c r="B178" s="47" t="s">
        <v>151</v>
      </c>
      <c r="C178" s="47" t="s">
        <v>155</v>
      </c>
      <c r="D178" s="47" t="s">
        <v>1251</v>
      </c>
      <c r="E178" s="47" t="s">
        <v>969</v>
      </c>
      <c r="F178" s="47" t="s">
        <v>970</v>
      </c>
      <c r="G178" s="47" t="s">
        <v>971</v>
      </c>
      <c r="H178" s="47" t="s">
        <v>965</v>
      </c>
      <c r="I178" s="47" t="s">
        <v>1250</v>
      </c>
      <c r="J178" s="47" t="str">
        <f>=IFERROR(VLOOKUP(H178&amp;I178,Table_Fonctions!A:G,6,FALSE),"")</f>
        <v>0</v>
      </c>
      <c r="K178" s="47" t="s">
        <v>1136</v>
      </c>
      <c r="L178" s="47" t="str">
        <f>=IFERROR(VLOOKUP(H178&amp;I178,Table_Fonctions!A:G,7,FALSE),K178)</f>
        <v/>
      </c>
      <c r="M178" s="47" t="str">
        <f>=IF(OR(LEFT(D178, 3)="TJ ", LEFT(D178, 4)="CPH "), "OUI", "NON")</f>
        <v/>
      </c>
      <c r="N178" s="47" t="s">
        <v>176</v>
      </c>
      <c r="O178" s="47"/>
      <c r="P178" s="47">
        <v>1</v>
      </c>
      <c r="Q178" s="47">
        <v>0</v>
      </c>
      <c r="R178" s="47">
        <v>1</v>
      </c>
      <c r="S178" s="47">
        <f>=ROUND(BQ178-(BR178+BS178),3)</f>
      </c>
      <c r="T178" s="47">
        <f>=ROUND(CK178-(CL178+CM178+CN178+CO178+CP178),3)</f>
      </c>
      <c r="U178" s="47">
        <v>0</v>
      </c>
      <c r="V178" s="47">
        <v>0</v>
      </c>
      <c r="W178" s="47">
        <v>0</v>
      </c>
      <c r="X178" s="47">
        <v>0</v>
      </c>
      <c r="Y178" s="47">
        <v>0</v>
      </c>
      <c r="Z178" s="47">
        <v>0</v>
      </c>
      <c r="AA178" s="47">
        <v>0</v>
      </c>
      <c r="AB178" s="47">
        <v>0</v>
      </c>
      <c r="AC178" s="47">
        <v>0</v>
      </c>
      <c r="AD178" s="47">
        <v>0</v>
      </c>
      <c r="AE178" s="47">
        <v>0</v>
      </c>
      <c r="AF178" s="47">
        <v>0</v>
      </c>
      <c r="AG178" s="47">
        <v>0</v>
      </c>
      <c r="AH178" s="47">
        <v>0</v>
      </c>
      <c r="AI178" s="47">
        <v>0</v>
      </c>
      <c r="AJ178" s="47">
        <v>0</v>
      </c>
      <c r="AK178" s="47">
        <v>0</v>
      </c>
      <c r="AL178" s="47">
        <v>0</v>
      </c>
      <c r="AM178" s="47">
        <v>0</v>
      </c>
      <c r="AN178" s="47">
        <v>0</v>
      </c>
      <c r="AO178" s="47">
        <v>0</v>
      </c>
      <c r="AP178" s="47">
        <v>0</v>
      </c>
      <c r="AQ178" s="47">
        <v>0</v>
      </c>
      <c r="AR178" s="47">
        <v>0</v>
      </c>
      <c r="AS178" s="47">
        <v>0</v>
      </c>
      <c r="AT178" s="47">
        <v>0</v>
      </c>
      <c r="AU178" s="47">
        <v>0</v>
      </c>
      <c r="AV178" s="47">
        <v>0</v>
      </c>
      <c r="AW178" s="47">
        <v>0</v>
      </c>
      <c r="AX178" s="47">
        <v>0</v>
      </c>
      <c r="AY178" s="47">
        <v>0</v>
      </c>
      <c r="AZ178" s="47">
        <v>0</v>
      </c>
      <c r="BA178" s="47">
        <v>0</v>
      </c>
      <c r="BB178" s="47">
        <v>0</v>
      </c>
      <c r="BC178" s="47">
        <v>0</v>
      </c>
      <c r="BD178" s="47">
        <v>0</v>
      </c>
      <c r="BE178" s="47">
        <v>0</v>
      </c>
      <c r="BF178" s="47">
        <v>0</v>
      </c>
      <c r="BG178" s="47">
        <v>0</v>
      </c>
      <c r="BH178" s="47">
        <v>0</v>
      </c>
      <c r="BI178" s="47">
        <v>0</v>
      </c>
      <c r="BJ178" s="47">
        <v>0</v>
      </c>
      <c r="BK178" s="47">
        <v>0</v>
      </c>
      <c r="BL178" s="47">
        <v>0</v>
      </c>
      <c r="BM178" s="47">
        <v>0</v>
      </c>
      <c r="BN178" s="47">
        <v>0</v>
      </c>
      <c r="BO178" s="47">
        <v>0</v>
      </c>
      <c r="BP178" s="47">
        <v>0</v>
      </c>
      <c r="BQ178" s="47">
        <v>0</v>
      </c>
      <c r="BR178" s="47">
        <v>0</v>
      </c>
      <c r="BS178" s="47">
        <v>0</v>
      </c>
      <c r="BT178" s="47">
        <v>0</v>
      </c>
      <c r="BU178" s="47">
        <v>0</v>
      </c>
      <c r="BV178" s="47">
        <v>0</v>
      </c>
      <c r="BW178" s="47">
        <v>0</v>
      </c>
      <c r="BX178" s="47">
        <v>0</v>
      </c>
      <c r="BY178" s="47">
        <v>0</v>
      </c>
      <c r="BZ178" s="47">
        <v>0</v>
      </c>
      <c r="CA178" s="47">
        <v>0</v>
      </c>
      <c r="CB178" s="47">
        <v>0</v>
      </c>
      <c r="CC178" s="47">
        <v>0</v>
      </c>
      <c r="CD178" s="47">
        <v>0</v>
      </c>
      <c r="CE178" s="47">
        <v>0</v>
      </c>
      <c r="CF178" s="47">
        <v>0</v>
      </c>
      <c r="CG178" s="47">
        <v>0</v>
      </c>
      <c r="CH178" s="47">
        <v>0</v>
      </c>
      <c r="CI178" s="47">
        <v>0</v>
      </c>
      <c r="CJ178" s="47">
        <v>0</v>
      </c>
      <c r="CK178" s="47">
        <v>0</v>
      </c>
      <c r="CL178" s="47">
        <v>0</v>
      </c>
      <c r="CM178" s="47">
        <v>0</v>
      </c>
      <c r="CN178" s="47">
        <v>0</v>
      </c>
      <c r="CO178" s="47">
        <v>0</v>
      </c>
      <c r="CP178" s="47">
        <v>0</v>
      </c>
      <c r="CQ178" s="47">
        <v>0</v>
      </c>
      <c r="CR178" s="47">
        <v>0</v>
      </c>
      <c r="CS178" s="47">
        <v>0</v>
      </c>
      <c r="CT178" s="47">
        <v>0</v>
      </c>
      <c r="CU178" s="47">
        <v>0</v>
      </c>
      <c r="CV178" s="47">
        <v>0</v>
      </c>
      <c r="CW178" s="47">
        <v>0</v>
      </c>
      <c r="CX178" s="47">
        <v>0</v>
      </c>
      <c r="CY178" s="47">
        <v>0</v>
      </c>
      <c r="CZ178" s="47">
        <v>0</v>
      </c>
      <c r="DA178" s="47">
        <v>0</v>
      </c>
      <c r="DB178" s="47">
        <v>0</v>
      </c>
      <c r="DC178" s="47">
        <v>0</v>
      </c>
      <c r="DD178" s="47">
        <v>0</v>
      </c>
      <c r="DE178" s="47">
        <v>0</v>
      </c>
      <c r="DF178" s="47">
        <v>0</v>
      </c>
      <c r="DG178" s="47">
        <v>0</v>
      </c>
      <c r="DH178" s="47">
        <v>0</v>
      </c>
      <c r="DI178" s="47">
        <v>0</v>
      </c>
      <c r="DJ178" s="47">
        <v>0</v>
      </c>
      <c r="DK178" s="47">
        <v>0</v>
      </c>
      <c r="DL178" s="47">
        <v>0</v>
      </c>
      <c r="DM178" s="47">
        <v>0</v>
      </c>
      <c r="DN178" s="47">
        <v>0</v>
      </c>
      <c r="DO178" s="47">
        <v>0</v>
      </c>
      <c r="DP178" s="47">
        <v>0</v>
      </c>
      <c r="DQ178" s="47">
        <v>0</v>
      </c>
      <c r="DR178" s="47">
        <v>0</v>
      </c>
      <c r="DS178" s="47">
        <v>0</v>
      </c>
      <c r="DT178" s="47">
        <v>0</v>
      </c>
      <c r="DU178" s="47">
        <v>0</v>
      </c>
      <c r="DV178" s="47">
        <v>0</v>
      </c>
      <c r="DW178" s="47">
        <v>0</v>
      </c>
      <c r="DX178" s="47">
        <v>0</v>
      </c>
      <c r="DY178" s="47">
        <v>0</v>
      </c>
      <c r="DZ178" s="47"/>
      <c r="EA178" s="47">
        <v>1</v>
      </c>
      <c r="ZZ178" t="s">
        <v>1084</v>
      </c>
    </row>
    <row r="179" spans="1:702" x14ac:dyDescent="0.25">
      <c r="A179" s="47" t="s">
        <v>972</v>
      </c>
      <c r="B179" s="47" t="s">
        <v>151</v>
      </c>
      <c r="C179" s="47" t="s">
        <v>155</v>
      </c>
      <c r="D179" s="47" t="s">
        <v>1252</v>
      </c>
      <c r="E179" s="47" t="s">
        <v>973</v>
      </c>
      <c r="F179" s="47" t="s">
        <v>974</v>
      </c>
      <c r="G179" s="47" t="s">
        <v>975</v>
      </c>
      <c r="H179" s="47" t="s">
        <v>965</v>
      </c>
      <c r="I179" s="47" t="s">
        <v>1250</v>
      </c>
      <c r="J179" s="47" t="str">
        <f>=IFERROR(VLOOKUP(H179&amp;I179,Table_Fonctions!A:G,6,FALSE),"")</f>
        <v>0</v>
      </c>
      <c r="K179" s="47" t="s">
        <v>1136</v>
      </c>
      <c r="L179" s="47" t="str">
        <f>=IFERROR(VLOOKUP(H179&amp;I179,Table_Fonctions!A:G,7,FALSE),K179)</f>
        <v/>
      </c>
      <c r="M179" s="47" t="str">
        <f>=IF(OR(LEFT(D179, 3)="TJ ", LEFT(D179, 4)="CPH "), "OUI", "NON")</f>
        <v/>
      </c>
      <c r="N179" s="47" t="s">
        <v>976</v>
      </c>
      <c r="O179" s="47"/>
      <c r="P179" s="47">
        <v>1</v>
      </c>
      <c r="Q179" s="47">
        <v>1</v>
      </c>
      <c r="R179" s="47">
        <v>0</v>
      </c>
      <c r="S179" s="47">
        <f>=ROUND(BQ179-(BR179+BS179),3)</f>
      </c>
      <c r="T179" s="47">
        <f>=ROUND(CK179-(CL179+CM179+CN179+CO179+CP179),3)</f>
      </c>
      <c r="U179" s="47">
        <v>0</v>
      </c>
      <c r="V179" s="47">
        <v>0</v>
      </c>
      <c r="W179" s="47">
        <v>0</v>
      </c>
      <c r="X179" s="47">
        <v>0</v>
      </c>
      <c r="Y179" s="47">
        <v>0</v>
      </c>
      <c r="Z179" s="47">
        <v>0</v>
      </c>
      <c r="AA179" s="47">
        <v>0</v>
      </c>
      <c r="AB179" s="47">
        <v>0</v>
      </c>
      <c r="AC179" s="47">
        <v>0</v>
      </c>
      <c r="AD179" s="47">
        <v>0</v>
      </c>
      <c r="AE179" s="47">
        <v>0</v>
      </c>
      <c r="AF179" s="47">
        <v>0</v>
      </c>
      <c r="AG179" s="47">
        <v>0</v>
      </c>
      <c r="AH179" s="47">
        <v>0</v>
      </c>
      <c r="AI179" s="47">
        <v>0</v>
      </c>
      <c r="AJ179" s="47">
        <v>0</v>
      </c>
      <c r="AK179" s="47">
        <v>0</v>
      </c>
      <c r="AL179" s="47">
        <v>0</v>
      </c>
      <c r="AM179" s="47">
        <v>0</v>
      </c>
      <c r="AN179" s="47">
        <v>0</v>
      </c>
      <c r="AO179" s="47">
        <v>0</v>
      </c>
      <c r="AP179" s="47">
        <v>0</v>
      </c>
      <c r="AQ179" s="47">
        <v>0</v>
      </c>
      <c r="AR179" s="47">
        <v>0</v>
      </c>
      <c r="AS179" s="47">
        <v>1</v>
      </c>
      <c r="AT179" s="47">
        <v>0</v>
      </c>
      <c r="AU179" s="47">
        <v>0</v>
      </c>
      <c r="AV179" s="47">
        <v>0</v>
      </c>
      <c r="AW179" s="47">
        <v>0</v>
      </c>
      <c r="AX179" s="47">
        <v>0</v>
      </c>
      <c r="AY179" s="47">
        <v>0</v>
      </c>
      <c r="AZ179" s="47">
        <v>0</v>
      </c>
      <c r="BA179" s="47">
        <v>0</v>
      </c>
      <c r="BB179" s="47">
        <v>0</v>
      </c>
      <c r="BC179" s="47">
        <v>0</v>
      </c>
      <c r="BD179" s="47">
        <v>0</v>
      </c>
      <c r="BE179" s="47">
        <v>0</v>
      </c>
      <c r="BF179" s="47">
        <v>0</v>
      </c>
      <c r="BG179" s="47">
        <v>0</v>
      </c>
      <c r="BH179" s="47">
        <v>0</v>
      </c>
      <c r="BI179" s="47">
        <v>0.65</v>
      </c>
      <c r="BJ179" s="47">
        <v>0.25</v>
      </c>
      <c r="BK179" s="47">
        <v>0</v>
      </c>
      <c r="BL179" s="47">
        <v>0.1</v>
      </c>
      <c r="BM179" s="47">
        <v>0</v>
      </c>
      <c r="BN179" s="47">
        <v>0</v>
      </c>
      <c r="BO179" s="47">
        <v>0</v>
      </c>
      <c r="BP179" s="47">
        <v>0</v>
      </c>
      <c r="BQ179" s="47">
        <v>0</v>
      </c>
      <c r="BR179" s="47">
        <v>0</v>
      </c>
      <c r="BS179" s="47">
        <v>0</v>
      </c>
      <c r="BT179" s="47">
        <v>0</v>
      </c>
      <c r="BU179" s="47">
        <v>0</v>
      </c>
      <c r="BV179" s="47">
        <v>0</v>
      </c>
      <c r="BW179" s="47">
        <v>0</v>
      </c>
      <c r="BX179" s="47">
        <v>0</v>
      </c>
      <c r="BY179" s="47">
        <v>0</v>
      </c>
      <c r="BZ179" s="47">
        <v>0</v>
      </c>
      <c r="CA179" s="47">
        <v>0</v>
      </c>
      <c r="CB179" s="47">
        <v>0</v>
      </c>
      <c r="CC179" s="47">
        <v>0</v>
      </c>
      <c r="CD179" s="47">
        <v>0</v>
      </c>
      <c r="CE179" s="47">
        <v>0</v>
      </c>
      <c r="CF179" s="47">
        <v>0</v>
      </c>
      <c r="CG179" s="47">
        <v>0</v>
      </c>
      <c r="CH179" s="47">
        <v>0</v>
      </c>
      <c r="CI179" s="47">
        <v>0</v>
      </c>
      <c r="CJ179" s="47">
        <v>0</v>
      </c>
      <c r="CK179" s="47">
        <v>0</v>
      </c>
      <c r="CL179" s="47">
        <v>0</v>
      </c>
      <c r="CM179" s="47">
        <v>0</v>
      </c>
      <c r="CN179" s="47">
        <v>0</v>
      </c>
      <c r="CO179" s="47">
        <v>0</v>
      </c>
      <c r="CP179" s="47">
        <v>0</v>
      </c>
      <c r="CQ179" s="47">
        <v>0</v>
      </c>
      <c r="CR179" s="47">
        <v>0</v>
      </c>
      <c r="CS179" s="47">
        <v>0</v>
      </c>
      <c r="CT179" s="47">
        <v>0</v>
      </c>
      <c r="CU179" s="47">
        <v>0</v>
      </c>
      <c r="CV179" s="47">
        <v>0</v>
      </c>
      <c r="CW179" s="47">
        <v>0</v>
      </c>
      <c r="CX179" s="47">
        <v>0</v>
      </c>
      <c r="CY179" s="47">
        <v>0</v>
      </c>
      <c r="CZ179" s="47">
        <v>0</v>
      </c>
      <c r="DA179" s="47">
        <v>0</v>
      </c>
      <c r="DB179" s="47">
        <v>0</v>
      </c>
      <c r="DC179" s="47">
        <v>0</v>
      </c>
      <c r="DD179" s="47">
        <v>0</v>
      </c>
      <c r="DE179" s="47">
        <v>0</v>
      </c>
      <c r="DF179" s="47">
        <v>0</v>
      </c>
      <c r="DG179" s="47">
        <v>0</v>
      </c>
      <c r="DH179" s="47">
        <v>0</v>
      </c>
      <c r="DI179" s="47">
        <v>0</v>
      </c>
      <c r="DJ179" s="47">
        <v>0</v>
      </c>
      <c r="DK179" s="47">
        <v>0</v>
      </c>
      <c r="DL179" s="47">
        <v>0</v>
      </c>
      <c r="DM179" s="47">
        <v>0</v>
      </c>
      <c r="DN179" s="47">
        <v>0</v>
      </c>
      <c r="DO179" s="47">
        <v>0</v>
      </c>
      <c r="DP179" s="47">
        <v>0</v>
      </c>
      <c r="DQ179" s="47">
        <v>0</v>
      </c>
      <c r="DR179" s="47">
        <v>0</v>
      </c>
      <c r="DS179" s="47">
        <v>0</v>
      </c>
      <c r="DT179" s="47">
        <v>0</v>
      </c>
      <c r="DU179" s="47">
        <v>0</v>
      </c>
      <c r="DV179" s="47">
        <v>0</v>
      </c>
      <c r="DW179" s="47">
        <v>0</v>
      </c>
      <c r="DX179" s="47">
        <v>0</v>
      </c>
      <c r="DY179" s="47">
        <v>0</v>
      </c>
      <c r="DZ179" s="47"/>
      <c r="EA179" s="47">
        <v>1</v>
      </c>
      <c r="ZZ179" t="s">
        <v>1084</v>
      </c>
    </row>
    <row r="180" spans="1:702" x14ac:dyDescent="0.25">
      <c r="A180" s="47" t="s">
        <v>977</v>
      </c>
      <c r="B180" s="47" t="s">
        <v>151</v>
      </c>
      <c r="C180" s="47" t="s">
        <v>155</v>
      </c>
      <c r="D180" s="47" t="s">
        <v>1189</v>
      </c>
      <c r="E180" s="47" t="s">
        <v>978</v>
      </c>
      <c r="F180" s="47" t="s">
        <v>979</v>
      </c>
      <c r="G180" s="47" t="s">
        <v>656</v>
      </c>
      <c r="H180" s="47" t="s">
        <v>965</v>
      </c>
      <c r="I180" s="47" t="s">
        <v>980</v>
      </c>
      <c r="J180" s="47" t="str">
        <f>=IFERROR(VLOOKUP(H180&amp;I180,Table_Fonctions!A:G,6,FALSE),"")</f>
        <v>0</v>
      </c>
      <c r="K180" s="47" t="s">
        <v>1136</v>
      </c>
      <c r="L180" s="47" t="str">
        <f>=IFERROR(VLOOKUP(H180&amp;I180,Table_Fonctions!A:G,7,FALSE),K180)</f>
        <v/>
      </c>
      <c r="M180" s="47" t="str">
        <f>=IF(OR(LEFT(D180, 3)="TJ ", LEFT(D180, 4)="CPH "), "OUI", "NON")</f>
        <v/>
      </c>
      <c r="N180" s="47" t="s">
        <v>619</v>
      </c>
      <c r="O180" s="47" t="s">
        <v>170</v>
      </c>
      <c r="P180" s="47">
        <v>0.4</v>
      </c>
      <c r="Q180" s="47">
        <v>0.4</v>
      </c>
      <c r="R180" s="47">
        <v>0</v>
      </c>
      <c r="S180" s="47">
        <f>=ROUND(BQ180-(BR180+BS180),3)</f>
      </c>
      <c r="T180" s="47">
        <f>=ROUND(CK180-(CL180+CM180+CN180+CO180+CP180),3)</f>
      </c>
      <c r="U180" s="47">
        <v>0</v>
      </c>
      <c r="V180" s="47">
        <v>0</v>
      </c>
      <c r="W180" s="47">
        <v>0</v>
      </c>
      <c r="X180" s="47">
        <v>0</v>
      </c>
      <c r="Y180" s="47">
        <v>0</v>
      </c>
      <c r="Z180" s="47">
        <v>0.4</v>
      </c>
      <c r="AA180" s="47">
        <v>0</v>
      </c>
      <c r="AB180" s="47">
        <v>0.2</v>
      </c>
      <c r="AC180" s="47">
        <v>0</v>
      </c>
      <c r="AD180" s="47">
        <v>0</v>
      </c>
      <c r="AE180" s="47">
        <v>0.2</v>
      </c>
      <c r="AF180" s="47">
        <v>0</v>
      </c>
      <c r="AG180" s="47">
        <v>0</v>
      </c>
      <c r="AH180" s="47">
        <v>0</v>
      </c>
      <c r="AI180" s="47">
        <v>0</v>
      </c>
      <c r="AJ180" s="47">
        <v>0</v>
      </c>
      <c r="AK180" s="47">
        <v>0</v>
      </c>
      <c r="AL180" s="47">
        <v>0</v>
      </c>
      <c r="AM180" s="47">
        <v>0</v>
      </c>
      <c r="AN180" s="47">
        <v>0</v>
      </c>
      <c r="AO180" s="47">
        <v>0</v>
      </c>
      <c r="AP180" s="47">
        <v>0</v>
      </c>
      <c r="AQ180" s="47">
        <v>0</v>
      </c>
      <c r="AR180" s="47">
        <v>0</v>
      </c>
      <c r="AS180" s="47">
        <v>0</v>
      </c>
      <c r="AT180" s="47">
        <v>0</v>
      </c>
      <c r="AU180" s="47">
        <v>0</v>
      </c>
      <c r="AV180" s="47">
        <v>0</v>
      </c>
      <c r="AW180" s="47">
        <v>0</v>
      </c>
      <c r="AX180" s="47">
        <v>0</v>
      </c>
      <c r="AY180" s="47">
        <v>0</v>
      </c>
      <c r="AZ180" s="47">
        <v>0</v>
      </c>
      <c r="BA180" s="47">
        <v>0</v>
      </c>
      <c r="BB180" s="47">
        <v>0</v>
      </c>
      <c r="BC180" s="47">
        <v>0</v>
      </c>
      <c r="BD180" s="47">
        <v>0</v>
      </c>
      <c r="BE180" s="47">
        <v>0</v>
      </c>
      <c r="BF180" s="47">
        <v>0</v>
      </c>
      <c r="BG180" s="47">
        <v>0</v>
      </c>
      <c r="BH180" s="47">
        <v>0</v>
      </c>
      <c r="BI180" s="47">
        <v>0</v>
      </c>
      <c r="BJ180" s="47">
        <v>0</v>
      </c>
      <c r="BK180" s="47">
        <v>0</v>
      </c>
      <c r="BL180" s="47">
        <v>0</v>
      </c>
      <c r="BM180" s="47">
        <v>0</v>
      </c>
      <c r="BN180" s="47">
        <v>0</v>
      </c>
      <c r="BO180" s="47">
        <v>0</v>
      </c>
      <c r="BP180" s="47">
        <v>0</v>
      </c>
      <c r="BQ180" s="47">
        <v>0</v>
      </c>
      <c r="BR180" s="47">
        <v>0</v>
      </c>
      <c r="BS180" s="47">
        <v>0</v>
      </c>
      <c r="BT180" s="47">
        <v>0</v>
      </c>
      <c r="BU180" s="47">
        <v>0</v>
      </c>
      <c r="BV180" s="47">
        <v>0</v>
      </c>
      <c r="BW180" s="47">
        <v>0</v>
      </c>
      <c r="BX180" s="47">
        <v>0</v>
      </c>
      <c r="BY180" s="47">
        <v>0</v>
      </c>
      <c r="BZ180" s="47">
        <v>0</v>
      </c>
      <c r="CA180" s="47">
        <v>0</v>
      </c>
      <c r="CB180" s="47">
        <v>0</v>
      </c>
      <c r="CC180" s="47">
        <v>0</v>
      </c>
      <c r="CD180" s="47">
        <v>0</v>
      </c>
      <c r="CE180" s="47">
        <v>0</v>
      </c>
      <c r="CF180" s="47">
        <v>0</v>
      </c>
      <c r="CG180" s="47">
        <v>0</v>
      </c>
      <c r="CH180" s="47">
        <v>0</v>
      </c>
      <c r="CI180" s="47">
        <v>0</v>
      </c>
      <c r="CJ180" s="47">
        <v>0</v>
      </c>
      <c r="CK180" s="47">
        <v>0</v>
      </c>
      <c r="CL180" s="47">
        <v>0</v>
      </c>
      <c r="CM180" s="47">
        <v>0</v>
      </c>
      <c r="CN180" s="47">
        <v>0</v>
      </c>
      <c r="CO180" s="47">
        <v>0</v>
      </c>
      <c r="CP180" s="47">
        <v>0</v>
      </c>
      <c r="CQ180" s="47">
        <v>0</v>
      </c>
      <c r="CR180" s="47">
        <v>0</v>
      </c>
      <c r="CS180" s="47">
        <v>0</v>
      </c>
      <c r="CT180" s="47">
        <v>0</v>
      </c>
      <c r="CU180" s="47">
        <v>0</v>
      </c>
      <c r="CV180" s="47">
        <v>0</v>
      </c>
      <c r="CW180" s="47">
        <v>0</v>
      </c>
      <c r="CX180" s="47">
        <v>0</v>
      </c>
      <c r="CY180" s="47">
        <v>0</v>
      </c>
      <c r="CZ180" s="47">
        <v>0</v>
      </c>
      <c r="DA180" s="47">
        <v>0</v>
      </c>
      <c r="DB180" s="47">
        <v>0</v>
      </c>
      <c r="DC180" s="47">
        <v>0</v>
      </c>
      <c r="DD180" s="47">
        <v>0</v>
      </c>
      <c r="DE180" s="47">
        <v>0</v>
      </c>
      <c r="DF180" s="47">
        <v>0</v>
      </c>
      <c r="DG180" s="47">
        <v>0</v>
      </c>
      <c r="DH180" s="47">
        <v>0</v>
      </c>
      <c r="DI180" s="47">
        <v>0</v>
      </c>
      <c r="DJ180" s="47">
        <v>0</v>
      </c>
      <c r="DK180" s="47">
        <v>0</v>
      </c>
      <c r="DL180" s="47">
        <v>0</v>
      </c>
      <c r="DM180" s="47">
        <v>0</v>
      </c>
      <c r="DN180" s="47">
        <v>0</v>
      </c>
      <c r="DO180" s="47">
        <v>0</v>
      </c>
      <c r="DP180" s="47">
        <v>0</v>
      </c>
      <c r="DQ180" s="47">
        <v>0</v>
      </c>
      <c r="DR180" s="47">
        <v>0</v>
      </c>
      <c r="DS180" s="47">
        <v>0</v>
      </c>
      <c r="DT180" s="47">
        <v>0</v>
      </c>
      <c r="DU180" s="47">
        <v>0</v>
      </c>
      <c r="DV180" s="47">
        <v>0</v>
      </c>
      <c r="DW180" s="47">
        <v>0</v>
      </c>
      <c r="DX180" s="47">
        <v>0</v>
      </c>
      <c r="DY180" s="47">
        <v>0</v>
      </c>
      <c r="DZ180" s="47"/>
      <c r="EA180" s="47">
        <v>0.4</v>
      </c>
      <c r="ZZ180" t="s">
        <v>1084</v>
      </c>
    </row>
    <row r="181" spans="1:702" x14ac:dyDescent="0.25">
      <c r="A181" s="47" t="s">
        <v>981</v>
      </c>
      <c r="B181" s="47" t="s">
        <v>151</v>
      </c>
      <c r="C181" s="47" t="s">
        <v>155</v>
      </c>
      <c r="D181" s="47" t="s">
        <v>1253</v>
      </c>
      <c r="E181" s="47" t="s">
        <v>982</v>
      </c>
      <c r="F181" s="47" t="s">
        <v>983</v>
      </c>
      <c r="G181" s="47" t="s">
        <v>984</v>
      </c>
      <c r="H181" s="47" t="s">
        <v>965</v>
      </c>
      <c r="I181" s="47" t="s">
        <v>1250</v>
      </c>
      <c r="J181" s="47" t="str">
        <f>=IFERROR(VLOOKUP(H181&amp;I181,Table_Fonctions!A:G,6,FALSE),"")</f>
        <v>0</v>
      </c>
      <c r="K181" s="47" t="s">
        <v>1136</v>
      </c>
      <c r="L181" s="47" t="str">
        <f>=IFERROR(VLOOKUP(H181&amp;I181,Table_Fonctions!A:G,7,FALSE),K181)</f>
        <v/>
      </c>
      <c r="M181" s="47" t="str">
        <f>=IF(OR(LEFT(D181, 3)="TJ ", LEFT(D181, 4)="CPH "), "OUI", "NON")</f>
        <v/>
      </c>
      <c r="N181" s="47" t="s">
        <v>985</v>
      </c>
      <c r="O181" s="47" t="s">
        <v>986</v>
      </c>
      <c r="P181" s="47">
        <v>0.3605</v>
      </c>
      <c r="Q181" s="47">
        <v>0.3605</v>
      </c>
      <c r="R181" s="47">
        <v>0</v>
      </c>
      <c r="S181" s="47">
        <f>=ROUND(BQ181-(BR181+BS181),3)</f>
      </c>
      <c r="T181" s="47">
        <f>=ROUND(CK181-(CL181+CM181+CN181+CO181+CP181),3)</f>
      </c>
      <c r="U181" s="47">
        <v>0</v>
      </c>
      <c r="V181" s="47">
        <v>0</v>
      </c>
      <c r="W181" s="47">
        <v>0</v>
      </c>
      <c r="X181" s="47">
        <v>0</v>
      </c>
      <c r="Y181" s="47">
        <v>0</v>
      </c>
      <c r="Z181" s="47">
        <v>0</v>
      </c>
      <c r="AA181" s="47">
        <v>0</v>
      </c>
      <c r="AB181" s="47">
        <v>0</v>
      </c>
      <c r="AC181" s="47">
        <v>0</v>
      </c>
      <c r="AD181" s="47">
        <v>0</v>
      </c>
      <c r="AE181" s="47">
        <v>0</v>
      </c>
      <c r="AF181" s="47">
        <v>0</v>
      </c>
      <c r="AG181" s="47">
        <v>0</v>
      </c>
      <c r="AH181" s="47">
        <v>0</v>
      </c>
      <c r="AI181" s="47">
        <v>0</v>
      </c>
      <c r="AJ181" s="47">
        <v>0</v>
      </c>
      <c r="AK181" s="47">
        <v>0</v>
      </c>
      <c r="AL181" s="47">
        <v>0</v>
      </c>
      <c r="AM181" s="47">
        <v>0</v>
      </c>
      <c r="AN181" s="47">
        <v>0</v>
      </c>
      <c r="AO181" s="47">
        <v>0</v>
      </c>
      <c r="AP181" s="47">
        <v>0</v>
      </c>
      <c r="AQ181" s="47">
        <v>0</v>
      </c>
      <c r="AR181" s="47">
        <v>0</v>
      </c>
      <c r="AS181" s="47">
        <v>0</v>
      </c>
      <c r="AT181" s="47">
        <v>0</v>
      </c>
      <c r="AU181" s="47">
        <v>0</v>
      </c>
      <c r="AV181" s="47">
        <v>0</v>
      </c>
      <c r="AW181" s="47">
        <v>0</v>
      </c>
      <c r="AX181" s="47">
        <v>0</v>
      </c>
      <c r="AY181" s="47">
        <v>0</v>
      </c>
      <c r="AZ181" s="47">
        <v>0</v>
      </c>
      <c r="BA181" s="47">
        <v>0</v>
      </c>
      <c r="BB181" s="47">
        <v>0</v>
      </c>
      <c r="BC181" s="47">
        <v>0</v>
      </c>
      <c r="BD181" s="47">
        <v>0</v>
      </c>
      <c r="BE181" s="47">
        <v>0</v>
      </c>
      <c r="BF181" s="47">
        <v>0</v>
      </c>
      <c r="BG181" s="47">
        <v>0</v>
      </c>
      <c r="BH181" s="47">
        <v>0</v>
      </c>
      <c r="BI181" s="47">
        <v>0</v>
      </c>
      <c r="BJ181" s="47">
        <v>0</v>
      </c>
      <c r="BK181" s="47">
        <v>0</v>
      </c>
      <c r="BL181" s="47">
        <v>0</v>
      </c>
      <c r="BM181" s="47">
        <v>0</v>
      </c>
      <c r="BN181" s="47">
        <v>0</v>
      </c>
      <c r="BO181" s="47">
        <v>0</v>
      </c>
      <c r="BP181" s="47">
        <v>0</v>
      </c>
      <c r="BQ181" s="47">
        <v>0</v>
      </c>
      <c r="BR181" s="47">
        <v>0</v>
      </c>
      <c r="BS181" s="47">
        <v>0</v>
      </c>
      <c r="BT181" s="47">
        <v>0.3605</v>
      </c>
      <c r="BU181" s="47">
        <v>0.2019</v>
      </c>
      <c r="BV181" s="47">
        <v>0</v>
      </c>
      <c r="BW181" s="47">
        <v>0</v>
      </c>
      <c r="BX181" s="47">
        <v>0</v>
      </c>
      <c r="BY181" s="47">
        <v>0</v>
      </c>
      <c r="BZ181" s="47">
        <v>0</v>
      </c>
      <c r="CA181" s="47">
        <v>0</v>
      </c>
      <c r="CB181" s="47">
        <v>0.0721</v>
      </c>
      <c r="CC181" s="47">
        <v>0.0144</v>
      </c>
      <c r="CD181" s="47">
        <v>0</v>
      </c>
      <c r="CE181" s="47">
        <v>0</v>
      </c>
      <c r="CF181" s="47">
        <v>0.0721</v>
      </c>
      <c r="CG181" s="47">
        <v>0</v>
      </c>
      <c r="CH181" s="47">
        <v>0</v>
      </c>
      <c r="CI181" s="47">
        <v>0</v>
      </c>
      <c r="CJ181" s="47">
        <v>0</v>
      </c>
      <c r="CK181" s="47">
        <v>0</v>
      </c>
      <c r="CL181" s="47">
        <v>0</v>
      </c>
      <c r="CM181" s="47">
        <v>0</v>
      </c>
      <c r="CN181" s="47">
        <v>0</v>
      </c>
      <c r="CO181" s="47">
        <v>0</v>
      </c>
      <c r="CP181" s="47">
        <v>0</v>
      </c>
      <c r="CQ181" s="47">
        <v>0</v>
      </c>
      <c r="CR181" s="47">
        <v>0</v>
      </c>
      <c r="CS181" s="47">
        <v>0</v>
      </c>
      <c r="CT181" s="47">
        <v>0</v>
      </c>
      <c r="CU181" s="47">
        <v>0</v>
      </c>
      <c r="CV181" s="47">
        <v>0</v>
      </c>
      <c r="CW181" s="47">
        <v>0</v>
      </c>
      <c r="CX181" s="47">
        <v>0</v>
      </c>
      <c r="CY181" s="47">
        <v>0</v>
      </c>
      <c r="CZ181" s="47">
        <v>0</v>
      </c>
      <c r="DA181" s="47">
        <v>0</v>
      </c>
      <c r="DB181" s="47">
        <v>0</v>
      </c>
      <c r="DC181" s="47">
        <v>0</v>
      </c>
      <c r="DD181" s="47">
        <v>0</v>
      </c>
      <c r="DE181" s="47">
        <v>0</v>
      </c>
      <c r="DF181" s="47">
        <v>0</v>
      </c>
      <c r="DG181" s="47">
        <v>0</v>
      </c>
      <c r="DH181" s="47">
        <v>0</v>
      </c>
      <c r="DI181" s="47">
        <v>0</v>
      </c>
      <c r="DJ181" s="47">
        <v>0</v>
      </c>
      <c r="DK181" s="47">
        <v>0.2661</v>
      </c>
      <c r="DL181" s="47">
        <v>0</v>
      </c>
      <c r="DM181" s="47">
        <v>0.2661</v>
      </c>
      <c r="DN181" s="47">
        <v>0</v>
      </c>
      <c r="DO181" s="47">
        <v>0</v>
      </c>
      <c r="DP181" s="47">
        <v>0</v>
      </c>
      <c r="DQ181" s="47">
        <v>0</v>
      </c>
      <c r="DR181" s="47">
        <v>0</v>
      </c>
      <c r="DS181" s="47">
        <v>0</v>
      </c>
      <c r="DT181" s="47">
        <v>0</v>
      </c>
      <c r="DU181" s="47">
        <v>0</v>
      </c>
      <c r="DV181" s="47">
        <v>0</v>
      </c>
      <c r="DW181" s="47">
        <v>0</v>
      </c>
      <c r="DX181" s="47">
        <v>0</v>
      </c>
      <c r="DY181" s="47">
        <v>0</v>
      </c>
      <c r="DZ181" s="47"/>
      <c r="EA181" s="47">
        <v>0.6266</v>
      </c>
      <c r="ZZ181" t="s">
        <v>1084</v>
      </c>
    </row>
    <row r="182" spans="1:702" x14ac:dyDescent="0.25">
      <c r="A182" s="47" t="s">
        <v>987</v>
      </c>
      <c r="B182" s="47" t="s">
        <v>151</v>
      </c>
      <c r="C182" s="47" t="s">
        <v>155</v>
      </c>
      <c r="D182" s="47" t="s">
        <v>1254</v>
      </c>
      <c r="E182" s="47" t="s">
        <v>988</v>
      </c>
      <c r="F182" s="47" t="s">
        <v>989</v>
      </c>
      <c r="G182" s="47" t="s">
        <v>990</v>
      </c>
      <c r="H182" s="47" t="s">
        <v>965</v>
      </c>
      <c r="I182" s="47" t="s">
        <v>1250</v>
      </c>
      <c r="J182" s="47" t="str">
        <f>=IFERROR(VLOOKUP(H182&amp;I182,Table_Fonctions!A:G,6,FALSE),"")</f>
        <v>0</v>
      </c>
      <c r="K182" s="47" t="s">
        <v>1136</v>
      </c>
      <c r="L182" s="47" t="str">
        <f>=IFERROR(VLOOKUP(H182&amp;I182,Table_Fonctions!A:G,7,FALSE),K182)</f>
        <v/>
      </c>
      <c r="M182" s="47" t="str">
        <f>=IF(OR(LEFT(D182, 3)="TJ ", LEFT(D182, 4)="CPH "), "OUI", "NON")</f>
        <v/>
      </c>
      <c r="N182" s="47" t="s">
        <v>208</v>
      </c>
      <c r="O182" s="47" t="s">
        <v>935</v>
      </c>
      <c r="P182" s="47">
        <v>0.6976</v>
      </c>
      <c r="Q182" s="47">
        <v>0.6976</v>
      </c>
      <c r="R182" s="47">
        <v>0</v>
      </c>
      <c r="S182" s="47">
        <f>=ROUND(BQ182-(BR182+BS182),3)</f>
      </c>
      <c r="T182" s="47">
        <f>=ROUND(CK182-(CL182+CM182+CN182+CO182+CP182),3)</f>
      </c>
      <c r="U182" s="47">
        <v>0</v>
      </c>
      <c r="V182" s="47">
        <v>0</v>
      </c>
      <c r="W182" s="47">
        <v>0</v>
      </c>
      <c r="X182" s="47">
        <v>0</v>
      </c>
      <c r="Y182" s="47">
        <v>0</v>
      </c>
      <c r="Z182" s="47">
        <v>0</v>
      </c>
      <c r="AA182" s="47">
        <v>0</v>
      </c>
      <c r="AB182" s="47">
        <v>0</v>
      </c>
      <c r="AC182" s="47">
        <v>0</v>
      </c>
      <c r="AD182" s="47">
        <v>0</v>
      </c>
      <c r="AE182" s="47">
        <v>0</v>
      </c>
      <c r="AF182" s="47">
        <v>0</v>
      </c>
      <c r="AG182" s="47">
        <v>0</v>
      </c>
      <c r="AH182" s="47">
        <v>0</v>
      </c>
      <c r="AI182" s="47">
        <v>0</v>
      </c>
      <c r="AJ182" s="47">
        <v>0</v>
      </c>
      <c r="AK182" s="47">
        <v>0</v>
      </c>
      <c r="AL182" s="47">
        <v>0</v>
      </c>
      <c r="AM182" s="47">
        <v>0</v>
      </c>
      <c r="AN182" s="47">
        <v>0</v>
      </c>
      <c r="AO182" s="47">
        <v>0</v>
      </c>
      <c r="AP182" s="47">
        <v>0</v>
      </c>
      <c r="AQ182" s="47">
        <v>0</v>
      </c>
      <c r="AR182" s="47">
        <v>0</v>
      </c>
      <c r="AS182" s="47">
        <v>0</v>
      </c>
      <c r="AT182" s="47">
        <v>0</v>
      </c>
      <c r="AU182" s="47">
        <v>0</v>
      </c>
      <c r="AV182" s="47">
        <v>0</v>
      </c>
      <c r="AW182" s="47">
        <v>0</v>
      </c>
      <c r="AX182" s="47">
        <v>0</v>
      </c>
      <c r="AY182" s="47">
        <v>0</v>
      </c>
      <c r="AZ182" s="47">
        <v>0</v>
      </c>
      <c r="BA182" s="47">
        <v>0</v>
      </c>
      <c r="BB182" s="47">
        <v>0</v>
      </c>
      <c r="BC182" s="47">
        <v>0</v>
      </c>
      <c r="BD182" s="47">
        <v>0</v>
      </c>
      <c r="BE182" s="47">
        <v>0</v>
      </c>
      <c r="BF182" s="47">
        <v>0</v>
      </c>
      <c r="BG182" s="47">
        <v>0</v>
      </c>
      <c r="BH182" s="47">
        <v>0</v>
      </c>
      <c r="BI182" s="47">
        <v>0</v>
      </c>
      <c r="BJ182" s="47">
        <v>0</v>
      </c>
      <c r="BK182" s="47">
        <v>0</v>
      </c>
      <c r="BL182" s="47">
        <v>0</v>
      </c>
      <c r="BM182" s="47">
        <v>0</v>
      </c>
      <c r="BN182" s="47">
        <v>0</v>
      </c>
      <c r="BO182" s="47">
        <v>0</v>
      </c>
      <c r="BP182" s="47">
        <v>0</v>
      </c>
      <c r="BQ182" s="47">
        <v>0</v>
      </c>
      <c r="BR182" s="47">
        <v>0</v>
      </c>
      <c r="BS182" s="47">
        <v>0</v>
      </c>
      <c r="BT182" s="47">
        <v>0</v>
      </c>
      <c r="BU182" s="47">
        <v>0</v>
      </c>
      <c r="BV182" s="47">
        <v>0</v>
      </c>
      <c r="BW182" s="47">
        <v>0</v>
      </c>
      <c r="BX182" s="47">
        <v>0</v>
      </c>
      <c r="BY182" s="47">
        <v>0</v>
      </c>
      <c r="BZ182" s="47">
        <v>0</v>
      </c>
      <c r="CA182" s="47">
        <v>0</v>
      </c>
      <c r="CB182" s="47">
        <v>0</v>
      </c>
      <c r="CC182" s="47">
        <v>0</v>
      </c>
      <c r="CD182" s="47">
        <v>0</v>
      </c>
      <c r="CE182" s="47">
        <v>0</v>
      </c>
      <c r="CF182" s="47">
        <v>0</v>
      </c>
      <c r="CG182" s="47">
        <v>0</v>
      </c>
      <c r="CH182" s="47">
        <v>0</v>
      </c>
      <c r="CI182" s="47">
        <v>0</v>
      </c>
      <c r="CJ182" s="47">
        <v>0</v>
      </c>
      <c r="CK182" s="47">
        <v>0</v>
      </c>
      <c r="CL182" s="47">
        <v>0</v>
      </c>
      <c r="CM182" s="47">
        <v>0</v>
      </c>
      <c r="CN182" s="47">
        <v>0</v>
      </c>
      <c r="CO182" s="47">
        <v>0</v>
      </c>
      <c r="CP182" s="47">
        <v>0</v>
      </c>
      <c r="CQ182" s="47">
        <v>0</v>
      </c>
      <c r="CR182" s="47">
        <v>0</v>
      </c>
      <c r="CS182" s="47">
        <v>0</v>
      </c>
      <c r="CT182" s="47">
        <v>0</v>
      </c>
      <c r="CU182" s="47">
        <v>0</v>
      </c>
      <c r="CV182" s="47">
        <v>0</v>
      </c>
      <c r="CW182" s="47">
        <v>0</v>
      </c>
      <c r="CX182" s="47">
        <v>0</v>
      </c>
      <c r="CY182" s="47">
        <v>0.6976</v>
      </c>
      <c r="CZ182" s="47">
        <v>0.6976</v>
      </c>
      <c r="DA182" s="47">
        <v>0</v>
      </c>
      <c r="DB182" s="47">
        <v>0</v>
      </c>
      <c r="DC182" s="47">
        <v>0</v>
      </c>
      <c r="DD182" s="47">
        <v>0</v>
      </c>
      <c r="DE182" s="47">
        <v>0</v>
      </c>
      <c r="DF182" s="47">
        <v>0</v>
      </c>
      <c r="DG182" s="47">
        <v>0</v>
      </c>
      <c r="DH182" s="47">
        <v>0</v>
      </c>
      <c r="DI182" s="47">
        <v>0</v>
      </c>
      <c r="DJ182" s="47">
        <v>0</v>
      </c>
      <c r="DK182" s="47">
        <v>0</v>
      </c>
      <c r="DL182" s="47">
        <v>0</v>
      </c>
      <c r="DM182" s="47">
        <v>0</v>
      </c>
      <c r="DN182" s="47">
        <v>0</v>
      </c>
      <c r="DO182" s="47">
        <v>0</v>
      </c>
      <c r="DP182" s="47">
        <v>0</v>
      </c>
      <c r="DQ182" s="47">
        <v>0</v>
      </c>
      <c r="DR182" s="47">
        <v>0</v>
      </c>
      <c r="DS182" s="47">
        <v>0</v>
      </c>
      <c r="DT182" s="47">
        <v>0</v>
      </c>
      <c r="DU182" s="47">
        <v>0</v>
      </c>
      <c r="DV182" s="47">
        <v>0</v>
      </c>
      <c r="DW182" s="47">
        <v>0</v>
      </c>
      <c r="DX182" s="47">
        <v>0</v>
      </c>
      <c r="DY182" s="47">
        <v>0</v>
      </c>
      <c r="DZ182" s="47"/>
      <c r="EA182" s="47">
        <v>0.6976</v>
      </c>
      <c r="ZZ182" t="s">
        <v>1084</v>
      </c>
    </row>
    <row r="183" spans="1:702" x14ac:dyDescent="0.25">
      <c r="A183" s="47" t="s">
        <v>991</v>
      </c>
      <c r="B183" s="47" t="s">
        <v>151</v>
      </c>
      <c r="C183" s="47" t="s">
        <v>155</v>
      </c>
      <c r="D183" s="47" t="s">
        <v>1255</v>
      </c>
      <c r="E183" s="47" t="s">
        <v>992</v>
      </c>
      <c r="F183" s="47" t="s">
        <v>993</v>
      </c>
      <c r="G183" s="47" t="s">
        <v>994</v>
      </c>
      <c r="H183" s="47" t="s">
        <v>965</v>
      </c>
      <c r="I183" s="47" t="s">
        <v>1256</v>
      </c>
      <c r="J183" s="47" t="str">
        <f>=IFERROR(VLOOKUP(H183&amp;I183,Table_Fonctions!A:G,6,FALSE),"")</f>
        <v>0</v>
      </c>
      <c r="K183" s="47" t="s">
        <v>1136</v>
      </c>
      <c r="L183" s="47" t="str">
        <f>=IFERROR(VLOOKUP(H183&amp;I183,Table_Fonctions!A:G,7,FALSE),K183)</f>
        <v/>
      </c>
      <c r="M183" s="47" t="str">
        <f>=IF(OR(LEFT(D183, 3)="TJ ", LEFT(D183, 4)="CPH "), "OUI", "NON")</f>
        <v/>
      </c>
      <c r="N183" s="47" t="s">
        <v>400</v>
      </c>
      <c r="O183" s="47"/>
      <c r="P183" s="47">
        <v>1</v>
      </c>
      <c r="Q183" s="47">
        <v>1</v>
      </c>
      <c r="R183" s="47">
        <v>0</v>
      </c>
      <c r="S183" s="47">
        <f>=ROUND(BQ183-(BR183+BS183),3)</f>
      </c>
      <c r="T183" s="47">
        <f>=ROUND(CK183-(CL183+CM183+CN183+CO183+CP183),3)</f>
      </c>
      <c r="U183" s="47">
        <v>0</v>
      </c>
      <c r="V183" s="47">
        <v>0</v>
      </c>
      <c r="W183" s="47">
        <v>0</v>
      </c>
      <c r="X183" s="47">
        <v>0</v>
      </c>
      <c r="Y183" s="47">
        <v>0</v>
      </c>
      <c r="Z183" s="47">
        <v>0</v>
      </c>
      <c r="AA183" s="47">
        <v>0</v>
      </c>
      <c r="AB183" s="47">
        <v>0</v>
      </c>
      <c r="AC183" s="47">
        <v>0</v>
      </c>
      <c r="AD183" s="47">
        <v>0</v>
      </c>
      <c r="AE183" s="47">
        <v>0</v>
      </c>
      <c r="AF183" s="47">
        <v>0</v>
      </c>
      <c r="AG183" s="47">
        <v>0</v>
      </c>
      <c r="AH183" s="47">
        <v>0</v>
      </c>
      <c r="AI183" s="47">
        <v>0</v>
      </c>
      <c r="AJ183" s="47">
        <v>0</v>
      </c>
      <c r="AK183" s="47">
        <v>0</v>
      </c>
      <c r="AL183" s="47">
        <v>0</v>
      </c>
      <c r="AM183" s="47">
        <v>0</v>
      </c>
      <c r="AN183" s="47">
        <v>0</v>
      </c>
      <c r="AO183" s="47">
        <v>0</v>
      </c>
      <c r="AP183" s="47">
        <v>0</v>
      </c>
      <c r="AQ183" s="47">
        <v>0</v>
      </c>
      <c r="AR183" s="47">
        <v>0</v>
      </c>
      <c r="AS183" s="47">
        <v>0</v>
      </c>
      <c r="AT183" s="47">
        <v>0</v>
      </c>
      <c r="AU183" s="47">
        <v>0</v>
      </c>
      <c r="AV183" s="47">
        <v>0</v>
      </c>
      <c r="AW183" s="47">
        <v>0</v>
      </c>
      <c r="AX183" s="47">
        <v>0</v>
      </c>
      <c r="AY183" s="47">
        <v>0</v>
      </c>
      <c r="AZ183" s="47">
        <v>0</v>
      </c>
      <c r="BA183" s="47">
        <v>0</v>
      </c>
      <c r="BB183" s="47">
        <v>0</v>
      </c>
      <c r="BC183" s="47">
        <v>0</v>
      </c>
      <c r="BD183" s="47">
        <v>0</v>
      </c>
      <c r="BE183" s="47">
        <v>0</v>
      </c>
      <c r="BF183" s="47">
        <v>0</v>
      </c>
      <c r="BG183" s="47">
        <v>0</v>
      </c>
      <c r="BH183" s="47">
        <v>0</v>
      </c>
      <c r="BI183" s="47">
        <v>0</v>
      </c>
      <c r="BJ183" s="47">
        <v>0</v>
      </c>
      <c r="BK183" s="47">
        <v>0</v>
      </c>
      <c r="BL183" s="47">
        <v>0</v>
      </c>
      <c r="BM183" s="47">
        <v>0</v>
      </c>
      <c r="BN183" s="47">
        <v>0</v>
      </c>
      <c r="BO183" s="47">
        <v>0</v>
      </c>
      <c r="BP183" s="47">
        <v>0</v>
      </c>
      <c r="BQ183" s="47">
        <v>0</v>
      </c>
      <c r="BR183" s="47">
        <v>0</v>
      </c>
      <c r="BS183" s="47">
        <v>0</v>
      </c>
      <c r="BT183" s="47">
        <v>0</v>
      </c>
      <c r="BU183" s="47">
        <v>0</v>
      </c>
      <c r="BV183" s="47">
        <v>0</v>
      </c>
      <c r="BW183" s="47">
        <v>0</v>
      </c>
      <c r="BX183" s="47">
        <v>0</v>
      </c>
      <c r="BY183" s="47">
        <v>0</v>
      </c>
      <c r="BZ183" s="47">
        <v>0</v>
      </c>
      <c r="CA183" s="47">
        <v>0</v>
      </c>
      <c r="CB183" s="47">
        <v>0</v>
      </c>
      <c r="CC183" s="47">
        <v>0</v>
      </c>
      <c r="CD183" s="47">
        <v>0</v>
      </c>
      <c r="CE183" s="47">
        <v>0</v>
      </c>
      <c r="CF183" s="47">
        <v>0</v>
      </c>
      <c r="CG183" s="47">
        <v>0</v>
      </c>
      <c r="CH183" s="47">
        <v>0</v>
      </c>
      <c r="CI183" s="47">
        <v>0</v>
      </c>
      <c r="CJ183" s="47">
        <v>0</v>
      </c>
      <c r="CK183" s="47">
        <v>0.98</v>
      </c>
      <c r="CL183" s="47">
        <v>0</v>
      </c>
      <c r="CM183" s="47">
        <v>0</v>
      </c>
      <c r="CN183" s="47">
        <v>0</v>
      </c>
      <c r="CO183" s="47">
        <v>0.98</v>
      </c>
      <c r="CP183" s="47">
        <v>0</v>
      </c>
      <c r="CQ183" s="47">
        <v>0</v>
      </c>
      <c r="CR183" s="47">
        <v>0</v>
      </c>
      <c r="CS183" s="47">
        <v>0</v>
      </c>
      <c r="CT183" s="47">
        <v>0</v>
      </c>
      <c r="CU183" s="47">
        <v>0</v>
      </c>
      <c r="CV183" s="47">
        <v>0</v>
      </c>
      <c r="CW183" s="47">
        <v>0</v>
      </c>
      <c r="CX183" s="47">
        <v>0</v>
      </c>
      <c r="CY183" s="47">
        <v>0.02</v>
      </c>
      <c r="CZ183" s="47">
        <v>0.02</v>
      </c>
      <c r="DA183" s="47">
        <v>0</v>
      </c>
      <c r="DB183" s="47">
        <v>0</v>
      </c>
      <c r="DC183" s="47">
        <v>0</v>
      </c>
      <c r="DD183" s="47">
        <v>0</v>
      </c>
      <c r="DE183" s="47">
        <v>0</v>
      </c>
      <c r="DF183" s="47">
        <v>0</v>
      </c>
      <c r="DG183" s="47">
        <v>0</v>
      </c>
      <c r="DH183" s="47">
        <v>0</v>
      </c>
      <c r="DI183" s="47">
        <v>0</v>
      </c>
      <c r="DJ183" s="47">
        <v>0</v>
      </c>
      <c r="DK183" s="47">
        <v>0</v>
      </c>
      <c r="DL183" s="47">
        <v>0</v>
      </c>
      <c r="DM183" s="47">
        <v>0</v>
      </c>
      <c r="DN183" s="47">
        <v>0</v>
      </c>
      <c r="DO183" s="47">
        <v>0</v>
      </c>
      <c r="DP183" s="47">
        <v>0</v>
      </c>
      <c r="DQ183" s="47">
        <v>0</v>
      </c>
      <c r="DR183" s="47">
        <v>0</v>
      </c>
      <c r="DS183" s="47">
        <v>0</v>
      </c>
      <c r="DT183" s="47">
        <v>0</v>
      </c>
      <c r="DU183" s="47">
        <v>0</v>
      </c>
      <c r="DV183" s="47">
        <v>0</v>
      </c>
      <c r="DW183" s="47">
        <v>0</v>
      </c>
      <c r="DX183" s="47">
        <v>0</v>
      </c>
      <c r="DY183" s="47">
        <v>0</v>
      </c>
      <c r="DZ183" s="47"/>
      <c r="EA183" s="47">
        <v>1</v>
      </c>
      <c r="ZZ183" t="s">
        <v>1084</v>
      </c>
    </row>
    <row r="184" spans="1:702" x14ac:dyDescent="0.25">
      <c r="A184" s="47" t="s">
        <v>996</v>
      </c>
      <c r="B184" s="47" t="s">
        <v>151</v>
      </c>
      <c r="C184" s="47" t="s">
        <v>155</v>
      </c>
      <c r="D184" s="47" t="s">
        <v>1257</v>
      </c>
      <c r="E184" s="47" t="s">
        <v>997</v>
      </c>
      <c r="F184" s="47" t="s">
        <v>998</v>
      </c>
      <c r="G184" s="47" t="s">
        <v>999</v>
      </c>
      <c r="H184" s="47" t="s">
        <v>965</v>
      </c>
      <c r="I184" s="47" t="s">
        <v>1256</v>
      </c>
      <c r="J184" s="47" t="str">
        <f>=IFERROR(VLOOKUP(H184&amp;I184,Table_Fonctions!A:G,6,FALSE),"")</f>
        <v>0</v>
      </c>
      <c r="K184" s="47" t="s">
        <v>1136</v>
      </c>
      <c r="L184" s="47" t="str">
        <f>=IFERROR(VLOOKUP(H184&amp;I184,Table_Fonctions!A:G,7,FALSE),K184)</f>
        <v/>
      </c>
      <c r="M184" s="47" t="str">
        <f>=IF(OR(LEFT(D184, 3)="TJ ", LEFT(D184, 4)="CPH "), "OUI", "NON")</f>
        <v/>
      </c>
      <c r="N184" s="47" t="s">
        <v>400</v>
      </c>
      <c r="O184" s="47"/>
      <c r="P184" s="47">
        <v>1</v>
      </c>
      <c r="Q184" s="47">
        <v>1</v>
      </c>
      <c r="R184" s="47">
        <v>0</v>
      </c>
      <c r="S184" s="47">
        <f>=ROUND(BQ184-(BR184+BS184),3)</f>
      </c>
      <c r="T184" s="47">
        <f>=ROUND(CK184-(CL184+CM184+CN184+CO184+CP184),3)</f>
      </c>
      <c r="U184" s="47">
        <v>0.3</v>
      </c>
      <c r="V184" s="47">
        <v>0</v>
      </c>
      <c r="W184" s="47">
        <v>0</v>
      </c>
      <c r="X184" s="47">
        <v>0</v>
      </c>
      <c r="Y184" s="47">
        <v>0</v>
      </c>
      <c r="Z184" s="47">
        <v>0</v>
      </c>
      <c r="AA184" s="47">
        <v>0</v>
      </c>
      <c r="AB184" s="47">
        <v>0</v>
      </c>
      <c r="AC184" s="47">
        <v>0</v>
      </c>
      <c r="AD184" s="47">
        <v>0</v>
      </c>
      <c r="AE184" s="47">
        <v>0</v>
      </c>
      <c r="AF184" s="47">
        <v>0</v>
      </c>
      <c r="AG184" s="47">
        <v>0</v>
      </c>
      <c r="AH184" s="47">
        <v>0</v>
      </c>
      <c r="AI184" s="47">
        <v>0</v>
      </c>
      <c r="AJ184" s="47">
        <v>0</v>
      </c>
      <c r="AK184" s="47">
        <v>0</v>
      </c>
      <c r="AL184" s="47">
        <v>0</v>
      </c>
      <c r="AM184" s="47">
        <v>0</v>
      </c>
      <c r="AN184" s="47">
        <v>0</v>
      </c>
      <c r="AO184" s="47">
        <v>0</v>
      </c>
      <c r="AP184" s="47">
        <v>0</v>
      </c>
      <c r="AQ184" s="47">
        <v>0</v>
      </c>
      <c r="AR184" s="47">
        <v>0</v>
      </c>
      <c r="AS184" s="47">
        <v>0.7</v>
      </c>
      <c r="AT184" s="47">
        <v>0</v>
      </c>
      <c r="AU184" s="47">
        <v>0</v>
      </c>
      <c r="AV184" s="47">
        <v>0</v>
      </c>
      <c r="AW184" s="47">
        <v>0.3</v>
      </c>
      <c r="AX184" s="47">
        <v>0</v>
      </c>
      <c r="AY184" s="47">
        <v>0</v>
      </c>
      <c r="AZ184" s="47">
        <v>0</v>
      </c>
      <c r="BA184" s="47">
        <v>0</v>
      </c>
      <c r="BB184" s="47">
        <v>0</v>
      </c>
      <c r="BC184" s="47">
        <v>0</v>
      </c>
      <c r="BD184" s="47">
        <v>0</v>
      </c>
      <c r="BE184" s="47">
        <v>0</v>
      </c>
      <c r="BF184" s="47">
        <v>0</v>
      </c>
      <c r="BG184" s="47">
        <v>0</v>
      </c>
      <c r="BH184" s="47">
        <v>0</v>
      </c>
      <c r="BI184" s="47">
        <v>0</v>
      </c>
      <c r="BJ184" s="47">
        <v>0</v>
      </c>
      <c r="BK184" s="47">
        <v>0.4</v>
      </c>
      <c r="BL184" s="47">
        <v>0</v>
      </c>
      <c r="BM184" s="47">
        <v>0</v>
      </c>
      <c r="BN184" s="47">
        <v>0</v>
      </c>
      <c r="BO184" s="47">
        <v>0</v>
      </c>
      <c r="BP184" s="47">
        <v>0</v>
      </c>
      <c r="BQ184" s="47">
        <v>0</v>
      </c>
      <c r="BR184" s="47">
        <v>0</v>
      </c>
      <c r="BS184" s="47">
        <v>0</v>
      </c>
      <c r="BT184" s="47">
        <v>0</v>
      </c>
      <c r="BU184" s="47">
        <v>0</v>
      </c>
      <c r="BV184" s="47">
        <v>0</v>
      </c>
      <c r="BW184" s="47">
        <v>0</v>
      </c>
      <c r="BX184" s="47">
        <v>0</v>
      </c>
      <c r="BY184" s="47">
        <v>0</v>
      </c>
      <c r="BZ184" s="47">
        <v>0</v>
      </c>
      <c r="CA184" s="47">
        <v>0</v>
      </c>
      <c r="CB184" s="47">
        <v>0</v>
      </c>
      <c r="CC184" s="47">
        <v>0</v>
      </c>
      <c r="CD184" s="47">
        <v>0</v>
      </c>
      <c r="CE184" s="47">
        <v>0</v>
      </c>
      <c r="CF184" s="47">
        <v>0</v>
      </c>
      <c r="CG184" s="47">
        <v>0</v>
      </c>
      <c r="CH184" s="47">
        <v>0</v>
      </c>
      <c r="CI184" s="47">
        <v>0</v>
      </c>
      <c r="CJ184" s="47">
        <v>0</v>
      </c>
      <c r="CK184" s="47">
        <v>0</v>
      </c>
      <c r="CL184" s="47">
        <v>0</v>
      </c>
      <c r="CM184" s="47">
        <v>0</v>
      </c>
      <c r="CN184" s="47">
        <v>0</v>
      </c>
      <c r="CO184" s="47">
        <v>0</v>
      </c>
      <c r="CP184" s="47">
        <v>0</v>
      </c>
      <c r="CQ184" s="47">
        <v>0</v>
      </c>
      <c r="CR184" s="47">
        <v>0</v>
      </c>
      <c r="CS184" s="47">
        <v>0</v>
      </c>
      <c r="CT184" s="47">
        <v>0</v>
      </c>
      <c r="CU184" s="47">
        <v>0</v>
      </c>
      <c r="CV184" s="47">
        <v>0</v>
      </c>
      <c r="CW184" s="47">
        <v>0</v>
      </c>
      <c r="CX184" s="47">
        <v>0</v>
      </c>
      <c r="CY184" s="47">
        <v>0</v>
      </c>
      <c r="CZ184" s="47">
        <v>0</v>
      </c>
      <c r="DA184" s="47">
        <v>0</v>
      </c>
      <c r="DB184" s="47">
        <v>0</v>
      </c>
      <c r="DC184" s="47">
        <v>0</v>
      </c>
      <c r="DD184" s="47">
        <v>0</v>
      </c>
      <c r="DE184" s="47">
        <v>0</v>
      </c>
      <c r="DF184" s="47">
        <v>0</v>
      </c>
      <c r="DG184" s="47">
        <v>0</v>
      </c>
      <c r="DH184" s="47">
        <v>0</v>
      </c>
      <c r="DI184" s="47">
        <v>0</v>
      </c>
      <c r="DJ184" s="47">
        <v>0</v>
      </c>
      <c r="DK184" s="47">
        <v>0</v>
      </c>
      <c r="DL184" s="47">
        <v>0</v>
      </c>
      <c r="DM184" s="47">
        <v>0</v>
      </c>
      <c r="DN184" s="47">
        <v>0</v>
      </c>
      <c r="DO184" s="47">
        <v>0</v>
      </c>
      <c r="DP184" s="47">
        <v>0</v>
      </c>
      <c r="DQ184" s="47">
        <v>0</v>
      </c>
      <c r="DR184" s="47">
        <v>0</v>
      </c>
      <c r="DS184" s="47">
        <v>0</v>
      </c>
      <c r="DT184" s="47">
        <v>0</v>
      </c>
      <c r="DU184" s="47">
        <v>0.0605</v>
      </c>
      <c r="DV184" s="47">
        <v>0</v>
      </c>
      <c r="DW184" s="47">
        <v>0</v>
      </c>
      <c r="DX184" s="47">
        <v>0</v>
      </c>
      <c r="DY184" s="47">
        <v>0.0605</v>
      </c>
      <c r="DZ184" s="47"/>
      <c r="EA184" s="47">
        <v>1</v>
      </c>
      <c r="ZZ184" t="s">
        <v>1084</v>
      </c>
    </row>
    <row r="185" spans="1:702" x14ac:dyDescent="0.25">
      <c r="A185" s="47" t="s">
        <v>1000</v>
      </c>
      <c r="B185" s="47" t="s">
        <v>151</v>
      </c>
      <c r="C185" s="47" t="s">
        <v>155</v>
      </c>
      <c r="D185" s="47" t="s">
        <v>1258</v>
      </c>
      <c r="E185" s="47" t="s">
        <v>1001</v>
      </c>
      <c r="F185" s="47" t="s">
        <v>1002</v>
      </c>
      <c r="G185" s="47" t="s">
        <v>1003</v>
      </c>
      <c r="H185" s="47" t="s">
        <v>965</v>
      </c>
      <c r="I185" s="47" t="s">
        <v>1250</v>
      </c>
      <c r="J185" s="47" t="str">
        <f>=IFERROR(VLOOKUP(H185&amp;I185,Table_Fonctions!A:G,6,FALSE),"")</f>
        <v>0</v>
      </c>
      <c r="K185" s="47" t="s">
        <v>1136</v>
      </c>
      <c r="L185" s="47" t="str">
        <f>=IFERROR(VLOOKUP(H185&amp;I185,Table_Fonctions!A:G,7,FALSE),K185)</f>
        <v/>
      </c>
      <c r="M185" s="47" t="str">
        <f>=IF(OR(LEFT(D185, 3)="TJ ", LEFT(D185, 4)="CPH "), "OUI", "NON")</f>
        <v/>
      </c>
      <c r="N185" s="47" t="s">
        <v>871</v>
      </c>
      <c r="O185" s="47"/>
      <c r="P185" s="47">
        <v>0.8266</v>
      </c>
      <c r="Q185" s="47">
        <v>0.8266</v>
      </c>
      <c r="R185" s="47">
        <v>0</v>
      </c>
      <c r="S185" s="47">
        <f>=ROUND(BQ185-(BR185+BS185),3)</f>
      </c>
      <c r="T185" s="47">
        <f>=ROUND(CK185-(CL185+CM185+CN185+CO185+CP185),3)</f>
      </c>
      <c r="U185" s="47">
        <v>0</v>
      </c>
      <c r="V185" s="47">
        <v>0</v>
      </c>
      <c r="W185" s="47">
        <v>0</v>
      </c>
      <c r="X185" s="47">
        <v>0</v>
      </c>
      <c r="Y185" s="47">
        <v>0</v>
      </c>
      <c r="Z185" s="47">
        <v>0</v>
      </c>
      <c r="AA185" s="47">
        <v>0</v>
      </c>
      <c r="AB185" s="47">
        <v>0</v>
      </c>
      <c r="AC185" s="47">
        <v>0</v>
      </c>
      <c r="AD185" s="47">
        <v>0</v>
      </c>
      <c r="AE185" s="47">
        <v>0</v>
      </c>
      <c r="AF185" s="47">
        <v>0</v>
      </c>
      <c r="AG185" s="47">
        <v>0</v>
      </c>
      <c r="AH185" s="47">
        <v>0</v>
      </c>
      <c r="AI185" s="47">
        <v>0</v>
      </c>
      <c r="AJ185" s="47">
        <v>0</v>
      </c>
      <c r="AK185" s="47">
        <v>0</v>
      </c>
      <c r="AL185" s="47">
        <v>0</v>
      </c>
      <c r="AM185" s="47">
        <v>0</v>
      </c>
      <c r="AN185" s="47">
        <v>0</v>
      </c>
      <c r="AO185" s="47">
        <v>0</v>
      </c>
      <c r="AP185" s="47">
        <v>0</v>
      </c>
      <c r="AQ185" s="47">
        <v>0</v>
      </c>
      <c r="AR185" s="47">
        <v>0</v>
      </c>
      <c r="AS185" s="47">
        <v>0.7853</v>
      </c>
      <c r="AT185" s="47">
        <v>0</v>
      </c>
      <c r="AU185" s="47">
        <v>0</v>
      </c>
      <c r="AV185" s="47">
        <v>0</v>
      </c>
      <c r="AW185" s="47">
        <v>0</v>
      </c>
      <c r="AX185" s="47">
        <v>0</v>
      </c>
      <c r="AY185" s="47">
        <v>0</v>
      </c>
      <c r="AZ185" s="47">
        <v>0</v>
      </c>
      <c r="BA185" s="47">
        <v>0</v>
      </c>
      <c r="BB185" s="47">
        <v>0</v>
      </c>
      <c r="BC185" s="47">
        <v>0</v>
      </c>
      <c r="BD185" s="47">
        <v>0</v>
      </c>
      <c r="BE185" s="47">
        <v>0</v>
      </c>
      <c r="BF185" s="47">
        <v>0</v>
      </c>
      <c r="BG185" s="47">
        <v>0</v>
      </c>
      <c r="BH185" s="47">
        <v>0</v>
      </c>
      <c r="BI185" s="47">
        <v>0</v>
      </c>
      <c r="BJ185" s="47">
        <v>0</v>
      </c>
      <c r="BK185" s="47">
        <v>0.7853</v>
      </c>
      <c r="BL185" s="47">
        <v>0</v>
      </c>
      <c r="BM185" s="47">
        <v>0</v>
      </c>
      <c r="BN185" s="47">
        <v>0</v>
      </c>
      <c r="BO185" s="47">
        <v>0</v>
      </c>
      <c r="BP185" s="47">
        <v>0</v>
      </c>
      <c r="BQ185" s="47">
        <v>0</v>
      </c>
      <c r="BR185" s="47">
        <v>0</v>
      </c>
      <c r="BS185" s="47">
        <v>0</v>
      </c>
      <c r="BT185" s="47">
        <v>0</v>
      </c>
      <c r="BU185" s="47">
        <v>0</v>
      </c>
      <c r="BV185" s="47">
        <v>0</v>
      </c>
      <c r="BW185" s="47">
        <v>0</v>
      </c>
      <c r="BX185" s="47">
        <v>0</v>
      </c>
      <c r="BY185" s="47">
        <v>0</v>
      </c>
      <c r="BZ185" s="47">
        <v>0</v>
      </c>
      <c r="CA185" s="47">
        <v>0</v>
      </c>
      <c r="CB185" s="47">
        <v>0</v>
      </c>
      <c r="CC185" s="47">
        <v>0</v>
      </c>
      <c r="CD185" s="47">
        <v>0</v>
      </c>
      <c r="CE185" s="47">
        <v>0</v>
      </c>
      <c r="CF185" s="47">
        <v>0</v>
      </c>
      <c r="CG185" s="47">
        <v>0</v>
      </c>
      <c r="CH185" s="47">
        <v>0</v>
      </c>
      <c r="CI185" s="47">
        <v>0</v>
      </c>
      <c r="CJ185" s="47">
        <v>0</v>
      </c>
      <c r="CK185" s="47">
        <v>0</v>
      </c>
      <c r="CL185" s="47">
        <v>0</v>
      </c>
      <c r="CM185" s="47">
        <v>0</v>
      </c>
      <c r="CN185" s="47">
        <v>0</v>
      </c>
      <c r="CO185" s="47">
        <v>0</v>
      </c>
      <c r="CP185" s="47">
        <v>0</v>
      </c>
      <c r="CQ185" s="47">
        <v>0</v>
      </c>
      <c r="CR185" s="47">
        <v>0</v>
      </c>
      <c r="CS185" s="47">
        <v>0</v>
      </c>
      <c r="CT185" s="47">
        <v>0</v>
      </c>
      <c r="CU185" s="47">
        <v>0</v>
      </c>
      <c r="CV185" s="47">
        <v>0</v>
      </c>
      <c r="CW185" s="47">
        <v>0</v>
      </c>
      <c r="CX185" s="47">
        <v>0</v>
      </c>
      <c r="CY185" s="47">
        <v>0.0413</v>
      </c>
      <c r="CZ185" s="47">
        <v>0.0413</v>
      </c>
      <c r="DA185" s="47">
        <v>0</v>
      </c>
      <c r="DB185" s="47">
        <v>0</v>
      </c>
      <c r="DC185" s="47">
        <v>0</v>
      </c>
      <c r="DD185" s="47">
        <v>0</v>
      </c>
      <c r="DE185" s="47">
        <v>0</v>
      </c>
      <c r="DF185" s="47">
        <v>0</v>
      </c>
      <c r="DG185" s="47">
        <v>0</v>
      </c>
      <c r="DH185" s="47">
        <v>0</v>
      </c>
      <c r="DI185" s="47">
        <v>0</v>
      </c>
      <c r="DJ185" s="47">
        <v>0</v>
      </c>
      <c r="DK185" s="47">
        <v>0</v>
      </c>
      <c r="DL185" s="47">
        <v>0</v>
      </c>
      <c r="DM185" s="47">
        <v>0</v>
      </c>
      <c r="DN185" s="47">
        <v>0</v>
      </c>
      <c r="DO185" s="47">
        <v>0</v>
      </c>
      <c r="DP185" s="47">
        <v>0</v>
      </c>
      <c r="DQ185" s="47">
        <v>0</v>
      </c>
      <c r="DR185" s="47">
        <v>0</v>
      </c>
      <c r="DS185" s="47">
        <v>0</v>
      </c>
      <c r="DT185" s="47">
        <v>0</v>
      </c>
      <c r="DU185" s="47">
        <v>0</v>
      </c>
      <c r="DV185" s="47">
        <v>0</v>
      </c>
      <c r="DW185" s="47">
        <v>0</v>
      </c>
      <c r="DX185" s="47">
        <v>0</v>
      </c>
      <c r="DY185" s="47">
        <v>0</v>
      </c>
      <c r="DZ185" s="47"/>
      <c r="EA185" s="47">
        <v>0.8266</v>
      </c>
      <c r="ZZ185" t="s">
        <v>1084</v>
      </c>
    </row>
    <row r="186" spans="1:702" x14ac:dyDescent="0.25">
      <c r="A186" s="47" t="s">
        <v>1004</v>
      </c>
      <c r="B186" s="47" t="s">
        <v>151</v>
      </c>
      <c r="C186" s="47" t="s">
        <v>155</v>
      </c>
      <c r="D186" s="47" t="s">
        <v>1259</v>
      </c>
      <c r="E186" s="47" t="s">
        <v>1005</v>
      </c>
      <c r="F186" s="47" t="s">
        <v>1006</v>
      </c>
      <c r="G186" s="47" t="s">
        <v>1007</v>
      </c>
      <c r="H186" s="47" t="s">
        <v>965</v>
      </c>
      <c r="I186" s="47" t="s">
        <v>1256</v>
      </c>
      <c r="J186" s="47" t="str">
        <f>=IFERROR(VLOOKUP(H186&amp;I186,Table_Fonctions!A:G,6,FALSE),"")</f>
        <v>0</v>
      </c>
      <c r="K186" s="47" t="s">
        <v>1136</v>
      </c>
      <c r="L186" s="47" t="str">
        <f>=IFERROR(VLOOKUP(H186&amp;I186,Table_Fonctions!A:G,7,FALSE),K186)</f>
        <v/>
      </c>
      <c r="M186" s="47" t="str">
        <f>=IF(OR(LEFT(D186, 3)="TJ ", LEFT(D186, 4)="CPH "), "OUI", "NON")</f>
        <v/>
      </c>
      <c r="N186" s="47" t="s">
        <v>581</v>
      </c>
      <c r="O186" s="47"/>
      <c r="P186" s="47">
        <v>1</v>
      </c>
      <c r="Q186" s="47">
        <v>1</v>
      </c>
      <c r="R186" s="47">
        <v>0</v>
      </c>
      <c r="S186" s="47">
        <f>=ROUND(BQ186-(BR186+BS186),3)</f>
      </c>
      <c r="T186" s="47">
        <f>=ROUND(CK186-(CL186+CM186+CN186+CO186+CP186),3)</f>
      </c>
      <c r="U186" s="47">
        <v>0</v>
      </c>
      <c r="V186" s="47">
        <v>0</v>
      </c>
      <c r="W186" s="47">
        <v>0</v>
      </c>
      <c r="X186" s="47">
        <v>0</v>
      </c>
      <c r="Y186" s="47">
        <v>0</v>
      </c>
      <c r="Z186" s="47">
        <v>0</v>
      </c>
      <c r="AA186" s="47">
        <v>0</v>
      </c>
      <c r="AB186" s="47">
        <v>0</v>
      </c>
      <c r="AC186" s="47">
        <v>0</v>
      </c>
      <c r="AD186" s="47">
        <v>0</v>
      </c>
      <c r="AE186" s="47">
        <v>0</v>
      </c>
      <c r="AF186" s="47">
        <v>0</v>
      </c>
      <c r="AG186" s="47">
        <v>0</v>
      </c>
      <c r="AH186" s="47">
        <v>0</v>
      </c>
      <c r="AI186" s="47">
        <v>0</v>
      </c>
      <c r="AJ186" s="47">
        <v>0</v>
      </c>
      <c r="AK186" s="47">
        <v>0</v>
      </c>
      <c r="AL186" s="47">
        <v>0</v>
      </c>
      <c r="AM186" s="47">
        <v>0</v>
      </c>
      <c r="AN186" s="47">
        <v>0</v>
      </c>
      <c r="AO186" s="47">
        <v>0</v>
      </c>
      <c r="AP186" s="47">
        <v>0</v>
      </c>
      <c r="AQ186" s="47">
        <v>0</v>
      </c>
      <c r="AR186" s="47">
        <v>0</v>
      </c>
      <c r="AS186" s="47">
        <v>0</v>
      </c>
      <c r="AT186" s="47">
        <v>0</v>
      </c>
      <c r="AU186" s="47">
        <v>0</v>
      </c>
      <c r="AV186" s="47">
        <v>0</v>
      </c>
      <c r="AW186" s="47">
        <v>0</v>
      </c>
      <c r="AX186" s="47">
        <v>0</v>
      </c>
      <c r="AY186" s="47">
        <v>0</v>
      </c>
      <c r="AZ186" s="47">
        <v>0</v>
      </c>
      <c r="BA186" s="47">
        <v>0</v>
      </c>
      <c r="BB186" s="47">
        <v>0</v>
      </c>
      <c r="BC186" s="47">
        <v>0</v>
      </c>
      <c r="BD186" s="47">
        <v>0</v>
      </c>
      <c r="BE186" s="47">
        <v>0</v>
      </c>
      <c r="BF186" s="47">
        <v>0</v>
      </c>
      <c r="BG186" s="47">
        <v>0</v>
      </c>
      <c r="BH186" s="47">
        <v>0</v>
      </c>
      <c r="BI186" s="47">
        <v>0</v>
      </c>
      <c r="BJ186" s="47">
        <v>0</v>
      </c>
      <c r="BK186" s="47">
        <v>0</v>
      </c>
      <c r="BL186" s="47">
        <v>0</v>
      </c>
      <c r="BM186" s="47">
        <v>0</v>
      </c>
      <c r="BN186" s="47">
        <v>0</v>
      </c>
      <c r="BO186" s="47">
        <v>0</v>
      </c>
      <c r="BP186" s="47">
        <v>0</v>
      </c>
      <c r="BQ186" s="47">
        <v>0</v>
      </c>
      <c r="BR186" s="47">
        <v>0</v>
      </c>
      <c r="BS186" s="47">
        <v>0</v>
      </c>
      <c r="BT186" s="47">
        <v>0</v>
      </c>
      <c r="BU186" s="47">
        <v>0</v>
      </c>
      <c r="BV186" s="47">
        <v>0</v>
      </c>
      <c r="BW186" s="47">
        <v>0</v>
      </c>
      <c r="BX186" s="47">
        <v>0</v>
      </c>
      <c r="BY186" s="47">
        <v>0</v>
      </c>
      <c r="BZ186" s="47">
        <v>0</v>
      </c>
      <c r="CA186" s="47">
        <v>0</v>
      </c>
      <c r="CB186" s="47">
        <v>0</v>
      </c>
      <c r="CC186" s="47">
        <v>0</v>
      </c>
      <c r="CD186" s="47">
        <v>0</v>
      </c>
      <c r="CE186" s="47">
        <v>0</v>
      </c>
      <c r="CF186" s="47">
        <v>0</v>
      </c>
      <c r="CG186" s="47">
        <v>0</v>
      </c>
      <c r="CH186" s="47">
        <v>0</v>
      </c>
      <c r="CI186" s="47">
        <v>0</v>
      </c>
      <c r="CJ186" s="47">
        <v>0</v>
      </c>
      <c r="CK186" s="47">
        <v>0</v>
      </c>
      <c r="CL186" s="47">
        <v>0</v>
      </c>
      <c r="CM186" s="47">
        <v>0</v>
      </c>
      <c r="CN186" s="47">
        <v>0</v>
      </c>
      <c r="CO186" s="47">
        <v>0</v>
      </c>
      <c r="CP186" s="47">
        <v>0</v>
      </c>
      <c r="CQ186" s="47">
        <v>0</v>
      </c>
      <c r="CR186" s="47">
        <v>0</v>
      </c>
      <c r="CS186" s="47">
        <v>0</v>
      </c>
      <c r="CT186" s="47">
        <v>0</v>
      </c>
      <c r="CU186" s="47">
        <v>0</v>
      </c>
      <c r="CV186" s="47">
        <v>0</v>
      </c>
      <c r="CW186" s="47">
        <v>0</v>
      </c>
      <c r="CX186" s="47">
        <v>0</v>
      </c>
      <c r="CY186" s="47">
        <v>1</v>
      </c>
      <c r="CZ186" s="47">
        <v>0</v>
      </c>
      <c r="DA186" s="47">
        <v>0</v>
      </c>
      <c r="DB186" s="47">
        <v>0</v>
      </c>
      <c r="DC186" s="47">
        <v>0</v>
      </c>
      <c r="DD186" s="47">
        <v>0</v>
      </c>
      <c r="DE186" s="47">
        <v>0</v>
      </c>
      <c r="DF186" s="47">
        <v>0</v>
      </c>
      <c r="DG186" s="47">
        <v>0</v>
      </c>
      <c r="DH186" s="47">
        <v>0</v>
      </c>
      <c r="DI186" s="47">
        <v>0</v>
      </c>
      <c r="DJ186" s="47">
        <v>1</v>
      </c>
      <c r="DK186" s="47">
        <v>0</v>
      </c>
      <c r="DL186" s="47">
        <v>0</v>
      </c>
      <c r="DM186" s="47">
        <v>0</v>
      </c>
      <c r="DN186" s="47">
        <v>0</v>
      </c>
      <c r="DO186" s="47">
        <v>0</v>
      </c>
      <c r="DP186" s="47">
        <v>0</v>
      </c>
      <c r="DQ186" s="47">
        <v>0</v>
      </c>
      <c r="DR186" s="47">
        <v>0</v>
      </c>
      <c r="DS186" s="47">
        <v>0</v>
      </c>
      <c r="DT186" s="47">
        <v>0</v>
      </c>
      <c r="DU186" s="47">
        <v>0</v>
      </c>
      <c r="DV186" s="47">
        <v>0</v>
      </c>
      <c r="DW186" s="47">
        <v>0</v>
      </c>
      <c r="DX186" s="47">
        <v>0</v>
      </c>
      <c r="DY186" s="47">
        <v>0</v>
      </c>
      <c r="DZ186" s="47"/>
      <c r="EA186" s="47">
        <v>1</v>
      </c>
      <c r="ZZ186" t="s">
        <v>1084</v>
      </c>
    </row>
    <row r="187" spans="1:702" x14ac:dyDescent="0.25">
      <c r="A187" s="47" t="s">
        <v>1008</v>
      </c>
      <c r="B187" s="47" t="s">
        <v>151</v>
      </c>
      <c r="C187" s="47" t="s">
        <v>155</v>
      </c>
      <c r="D187" s="47" t="s">
        <v>1260</v>
      </c>
      <c r="E187" s="47" t="s">
        <v>1009</v>
      </c>
      <c r="F187" s="47" t="s">
        <v>1010</v>
      </c>
      <c r="G187" s="47" t="s">
        <v>1011</v>
      </c>
      <c r="H187" s="47" t="s">
        <v>965</v>
      </c>
      <c r="I187" s="47" t="s">
        <v>1250</v>
      </c>
      <c r="J187" s="47" t="str">
        <f>=IFERROR(VLOOKUP(H187&amp;I187,Table_Fonctions!A:G,6,FALSE),"")</f>
        <v>0</v>
      </c>
      <c r="K187" s="47" t="s">
        <v>1136</v>
      </c>
      <c r="L187" s="47" t="str">
        <f>=IFERROR(VLOOKUP(H187&amp;I187,Table_Fonctions!A:G,7,FALSE),K187)</f>
        <v/>
      </c>
      <c r="M187" s="47" t="str">
        <f>=IF(OR(LEFT(D187, 3)="TJ ", LEFT(D187, 4)="CPH "), "OUI", "NON")</f>
        <v/>
      </c>
      <c r="N187" s="47" t="s">
        <v>176</v>
      </c>
      <c r="O187" s="47"/>
      <c r="P187" s="47">
        <v>1</v>
      </c>
      <c r="Q187" s="47">
        <v>1</v>
      </c>
      <c r="R187" s="47">
        <v>0</v>
      </c>
      <c r="S187" s="47">
        <f>=ROUND(BQ187-(BR187+BS187),3)</f>
      </c>
      <c r="T187" s="47">
        <f>=ROUND(CK187-(CL187+CM187+CN187+CO187+CP187),3)</f>
      </c>
      <c r="U187" s="47">
        <v>0.5</v>
      </c>
      <c r="V187" s="47">
        <v>0</v>
      </c>
      <c r="W187" s="47">
        <v>0.5</v>
      </c>
      <c r="X187" s="47">
        <v>0</v>
      </c>
      <c r="Y187" s="47">
        <v>0</v>
      </c>
      <c r="Z187" s="47">
        <v>0</v>
      </c>
      <c r="AA187" s="47">
        <v>0</v>
      </c>
      <c r="AB187" s="47">
        <v>0</v>
      </c>
      <c r="AC187" s="47">
        <v>0</v>
      </c>
      <c r="AD187" s="47">
        <v>0</v>
      </c>
      <c r="AE187" s="47">
        <v>0</v>
      </c>
      <c r="AF187" s="47">
        <v>0</v>
      </c>
      <c r="AG187" s="47">
        <v>0</v>
      </c>
      <c r="AH187" s="47">
        <v>0</v>
      </c>
      <c r="AI187" s="47">
        <v>0</v>
      </c>
      <c r="AJ187" s="47">
        <v>0.5</v>
      </c>
      <c r="AK187" s="47">
        <v>0</v>
      </c>
      <c r="AL187" s="47">
        <v>0</v>
      </c>
      <c r="AM187" s="47">
        <v>0</v>
      </c>
      <c r="AN187" s="47">
        <v>0</v>
      </c>
      <c r="AO187" s="47">
        <v>0</v>
      </c>
      <c r="AP187" s="47">
        <v>0</v>
      </c>
      <c r="AQ187" s="47">
        <v>0</v>
      </c>
      <c r="AR187" s="47">
        <v>0</v>
      </c>
      <c r="AS187" s="47">
        <v>0</v>
      </c>
      <c r="AT187" s="47">
        <v>0</v>
      </c>
      <c r="AU187" s="47">
        <v>0</v>
      </c>
      <c r="AV187" s="47">
        <v>0</v>
      </c>
      <c r="AW187" s="47">
        <v>0</v>
      </c>
      <c r="AX187" s="47">
        <v>0</v>
      </c>
      <c r="AY187" s="47">
        <v>0</v>
      </c>
      <c r="AZ187" s="47">
        <v>0</v>
      </c>
      <c r="BA187" s="47">
        <v>0</v>
      </c>
      <c r="BB187" s="47">
        <v>0</v>
      </c>
      <c r="BC187" s="47">
        <v>0</v>
      </c>
      <c r="BD187" s="47">
        <v>0</v>
      </c>
      <c r="BE187" s="47">
        <v>0</v>
      </c>
      <c r="BF187" s="47">
        <v>0</v>
      </c>
      <c r="BG187" s="47">
        <v>0</v>
      </c>
      <c r="BH187" s="47">
        <v>0</v>
      </c>
      <c r="BI187" s="47">
        <v>0</v>
      </c>
      <c r="BJ187" s="47">
        <v>0</v>
      </c>
      <c r="BK187" s="47">
        <v>0</v>
      </c>
      <c r="BL187" s="47">
        <v>0</v>
      </c>
      <c r="BM187" s="47">
        <v>0</v>
      </c>
      <c r="BN187" s="47">
        <v>0</v>
      </c>
      <c r="BO187" s="47">
        <v>0</v>
      </c>
      <c r="BP187" s="47">
        <v>0</v>
      </c>
      <c r="BQ187" s="47">
        <v>0</v>
      </c>
      <c r="BR187" s="47">
        <v>0</v>
      </c>
      <c r="BS187" s="47">
        <v>0</v>
      </c>
      <c r="BT187" s="47">
        <v>0</v>
      </c>
      <c r="BU187" s="47">
        <v>0</v>
      </c>
      <c r="BV187" s="47">
        <v>0</v>
      </c>
      <c r="BW187" s="47">
        <v>0</v>
      </c>
      <c r="BX187" s="47">
        <v>0</v>
      </c>
      <c r="BY187" s="47">
        <v>0</v>
      </c>
      <c r="BZ187" s="47">
        <v>0</v>
      </c>
      <c r="CA187" s="47">
        <v>0</v>
      </c>
      <c r="CB187" s="47">
        <v>0</v>
      </c>
      <c r="CC187" s="47">
        <v>0</v>
      </c>
      <c r="CD187" s="47">
        <v>0</v>
      </c>
      <c r="CE187" s="47">
        <v>0</v>
      </c>
      <c r="CF187" s="47">
        <v>0</v>
      </c>
      <c r="CG187" s="47">
        <v>0</v>
      </c>
      <c r="CH187" s="47">
        <v>0</v>
      </c>
      <c r="CI187" s="47">
        <v>0</v>
      </c>
      <c r="CJ187" s="47">
        <v>0</v>
      </c>
      <c r="CK187" s="47">
        <v>0</v>
      </c>
      <c r="CL187" s="47">
        <v>0</v>
      </c>
      <c r="CM187" s="47">
        <v>0</v>
      </c>
      <c r="CN187" s="47">
        <v>0</v>
      </c>
      <c r="CO187" s="47">
        <v>0</v>
      </c>
      <c r="CP187" s="47">
        <v>0</v>
      </c>
      <c r="CQ187" s="47">
        <v>0</v>
      </c>
      <c r="CR187" s="47">
        <v>0</v>
      </c>
      <c r="CS187" s="47">
        <v>0</v>
      </c>
      <c r="CT187" s="47">
        <v>0</v>
      </c>
      <c r="CU187" s="47">
        <v>0</v>
      </c>
      <c r="CV187" s="47">
        <v>0</v>
      </c>
      <c r="CW187" s="47">
        <v>0</v>
      </c>
      <c r="CX187" s="47">
        <v>0</v>
      </c>
      <c r="CY187" s="47">
        <v>0</v>
      </c>
      <c r="CZ187" s="47">
        <v>0</v>
      </c>
      <c r="DA187" s="47">
        <v>0</v>
      </c>
      <c r="DB187" s="47">
        <v>0</v>
      </c>
      <c r="DC187" s="47">
        <v>0</v>
      </c>
      <c r="DD187" s="47">
        <v>0</v>
      </c>
      <c r="DE187" s="47">
        <v>0</v>
      </c>
      <c r="DF187" s="47">
        <v>0</v>
      </c>
      <c r="DG187" s="47">
        <v>0</v>
      </c>
      <c r="DH187" s="47">
        <v>0</v>
      </c>
      <c r="DI187" s="47">
        <v>0</v>
      </c>
      <c r="DJ187" s="47">
        <v>0</v>
      </c>
      <c r="DK187" s="47">
        <v>0</v>
      </c>
      <c r="DL187" s="47">
        <v>0</v>
      </c>
      <c r="DM187" s="47">
        <v>0</v>
      </c>
      <c r="DN187" s="47">
        <v>0</v>
      </c>
      <c r="DO187" s="47">
        <v>0</v>
      </c>
      <c r="DP187" s="47">
        <v>0</v>
      </c>
      <c r="DQ187" s="47">
        <v>0</v>
      </c>
      <c r="DR187" s="47">
        <v>0</v>
      </c>
      <c r="DS187" s="47">
        <v>0</v>
      </c>
      <c r="DT187" s="47">
        <v>0</v>
      </c>
      <c r="DU187" s="47">
        <v>0</v>
      </c>
      <c r="DV187" s="47">
        <v>0</v>
      </c>
      <c r="DW187" s="47">
        <v>0</v>
      </c>
      <c r="DX187" s="47">
        <v>0</v>
      </c>
      <c r="DY187" s="47">
        <v>0</v>
      </c>
      <c r="DZ187" s="47"/>
      <c r="EA187" s="47">
        <v>1</v>
      </c>
      <c r="ZZ187" t="s">
        <v>1084</v>
      </c>
    </row>
    <row r="188" spans="1:702" x14ac:dyDescent="0.25">
      <c r="A188" s="47" t="s">
        <v>1012</v>
      </c>
      <c r="B188" s="47" t="s">
        <v>151</v>
      </c>
      <c r="C188" s="47" t="s">
        <v>155</v>
      </c>
      <c r="D188" s="47" t="s">
        <v>1261</v>
      </c>
      <c r="E188" s="47" t="s">
        <v>1013</v>
      </c>
      <c r="F188" s="47" t="s">
        <v>1014</v>
      </c>
      <c r="G188" s="47" t="s">
        <v>1015</v>
      </c>
      <c r="H188" s="47" t="s">
        <v>965</v>
      </c>
      <c r="I188" s="47" t="s">
        <v>1250</v>
      </c>
      <c r="J188" s="47" t="str">
        <f>=IFERROR(VLOOKUP(H188&amp;I188,Table_Fonctions!A:G,6,FALSE),"")</f>
        <v>0</v>
      </c>
      <c r="K188" s="47" t="s">
        <v>1136</v>
      </c>
      <c r="L188" s="47" t="str">
        <f>=IFERROR(VLOOKUP(H188&amp;I188,Table_Fonctions!A:G,7,FALSE),K188)</f>
        <v/>
      </c>
      <c r="M188" s="47" t="str">
        <f>=IF(OR(LEFT(D188, 3)="TJ ", LEFT(D188, 4)="CPH "), "OUI", "NON")</f>
        <v/>
      </c>
      <c r="N188" s="47" t="s">
        <v>1016</v>
      </c>
      <c r="O188" s="47"/>
      <c r="P188" s="47">
        <v>1</v>
      </c>
      <c r="Q188" s="47">
        <v>1</v>
      </c>
      <c r="R188" s="47">
        <v>0</v>
      </c>
      <c r="S188" s="47">
        <f>=ROUND(BQ188-(BR188+BS188),3)</f>
      </c>
      <c r="T188" s="47">
        <f>=ROUND(CK188-(CL188+CM188+CN188+CO188+CP188),3)</f>
      </c>
      <c r="U188" s="47">
        <v>0</v>
      </c>
      <c r="V188" s="47">
        <v>0</v>
      </c>
      <c r="W188" s="47">
        <v>0</v>
      </c>
      <c r="X188" s="47">
        <v>0</v>
      </c>
      <c r="Y188" s="47">
        <v>0</v>
      </c>
      <c r="Z188" s="47">
        <v>0</v>
      </c>
      <c r="AA188" s="47">
        <v>0</v>
      </c>
      <c r="AB188" s="47">
        <v>0</v>
      </c>
      <c r="AC188" s="47">
        <v>0</v>
      </c>
      <c r="AD188" s="47">
        <v>0</v>
      </c>
      <c r="AE188" s="47">
        <v>0</v>
      </c>
      <c r="AF188" s="47">
        <v>0</v>
      </c>
      <c r="AG188" s="47">
        <v>0</v>
      </c>
      <c r="AH188" s="47">
        <v>0</v>
      </c>
      <c r="AI188" s="47">
        <v>0</v>
      </c>
      <c r="AJ188" s="47">
        <v>0</v>
      </c>
      <c r="AK188" s="47">
        <v>0</v>
      </c>
      <c r="AL188" s="47">
        <v>0</v>
      </c>
      <c r="AM188" s="47">
        <v>0</v>
      </c>
      <c r="AN188" s="47">
        <v>0</v>
      </c>
      <c r="AO188" s="47">
        <v>0</v>
      </c>
      <c r="AP188" s="47">
        <v>0</v>
      </c>
      <c r="AQ188" s="47">
        <v>0</v>
      </c>
      <c r="AR188" s="47">
        <v>0</v>
      </c>
      <c r="AS188" s="47">
        <v>0</v>
      </c>
      <c r="AT188" s="47">
        <v>0</v>
      </c>
      <c r="AU188" s="47">
        <v>0</v>
      </c>
      <c r="AV188" s="47">
        <v>0</v>
      </c>
      <c r="AW188" s="47">
        <v>0</v>
      </c>
      <c r="AX188" s="47">
        <v>0</v>
      </c>
      <c r="AY188" s="47">
        <v>0</v>
      </c>
      <c r="AZ188" s="47">
        <v>0</v>
      </c>
      <c r="BA188" s="47">
        <v>0</v>
      </c>
      <c r="BB188" s="47">
        <v>0</v>
      </c>
      <c r="BC188" s="47">
        <v>0</v>
      </c>
      <c r="BD188" s="47">
        <v>0</v>
      </c>
      <c r="BE188" s="47">
        <v>0</v>
      </c>
      <c r="BF188" s="47">
        <v>0</v>
      </c>
      <c r="BG188" s="47">
        <v>0</v>
      </c>
      <c r="BH188" s="47">
        <v>0</v>
      </c>
      <c r="BI188" s="47">
        <v>0</v>
      </c>
      <c r="BJ188" s="47">
        <v>0</v>
      </c>
      <c r="BK188" s="47">
        <v>0</v>
      </c>
      <c r="BL188" s="47">
        <v>0</v>
      </c>
      <c r="BM188" s="47">
        <v>0</v>
      </c>
      <c r="BN188" s="47">
        <v>0</v>
      </c>
      <c r="BO188" s="47">
        <v>0</v>
      </c>
      <c r="BP188" s="47">
        <v>0</v>
      </c>
      <c r="BQ188" s="47">
        <v>0</v>
      </c>
      <c r="BR188" s="47">
        <v>0</v>
      </c>
      <c r="BS188" s="47">
        <v>0</v>
      </c>
      <c r="BT188" s="47">
        <v>0</v>
      </c>
      <c r="BU188" s="47">
        <v>0</v>
      </c>
      <c r="BV188" s="47">
        <v>0</v>
      </c>
      <c r="BW188" s="47">
        <v>0</v>
      </c>
      <c r="BX188" s="47">
        <v>0</v>
      </c>
      <c r="BY188" s="47">
        <v>0</v>
      </c>
      <c r="BZ188" s="47">
        <v>0</v>
      </c>
      <c r="CA188" s="47">
        <v>0</v>
      </c>
      <c r="CB188" s="47">
        <v>0</v>
      </c>
      <c r="CC188" s="47">
        <v>0</v>
      </c>
      <c r="CD188" s="47">
        <v>0</v>
      </c>
      <c r="CE188" s="47">
        <v>0</v>
      </c>
      <c r="CF188" s="47">
        <v>0</v>
      </c>
      <c r="CG188" s="47">
        <v>0</v>
      </c>
      <c r="CH188" s="47">
        <v>0</v>
      </c>
      <c r="CI188" s="47">
        <v>0</v>
      </c>
      <c r="CJ188" s="47">
        <v>0</v>
      </c>
      <c r="CK188" s="47">
        <v>0</v>
      </c>
      <c r="CL188" s="47">
        <v>0</v>
      </c>
      <c r="CM188" s="47">
        <v>0</v>
      </c>
      <c r="CN188" s="47">
        <v>0</v>
      </c>
      <c r="CO188" s="47">
        <v>0</v>
      </c>
      <c r="CP188" s="47">
        <v>0</v>
      </c>
      <c r="CQ188" s="47">
        <v>0</v>
      </c>
      <c r="CR188" s="47">
        <v>0</v>
      </c>
      <c r="CS188" s="47">
        <v>0</v>
      </c>
      <c r="CT188" s="47">
        <v>0</v>
      </c>
      <c r="CU188" s="47">
        <v>0</v>
      </c>
      <c r="CV188" s="47">
        <v>0</v>
      </c>
      <c r="CW188" s="47">
        <v>0</v>
      </c>
      <c r="CX188" s="47">
        <v>0</v>
      </c>
      <c r="CY188" s="47">
        <v>1</v>
      </c>
      <c r="CZ188" s="47">
        <v>0</v>
      </c>
      <c r="DA188" s="47">
        <v>0</v>
      </c>
      <c r="DB188" s="47">
        <v>0</v>
      </c>
      <c r="DC188" s="47">
        <v>0</v>
      </c>
      <c r="DD188" s="47">
        <v>0</v>
      </c>
      <c r="DE188" s="47">
        <v>0</v>
      </c>
      <c r="DF188" s="47">
        <v>0</v>
      </c>
      <c r="DG188" s="47">
        <v>0</v>
      </c>
      <c r="DH188" s="47">
        <v>0</v>
      </c>
      <c r="DI188" s="47">
        <v>0</v>
      </c>
      <c r="DJ188" s="47">
        <v>1</v>
      </c>
      <c r="DK188" s="47">
        <v>0</v>
      </c>
      <c r="DL188" s="47">
        <v>0</v>
      </c>
      <c r="DM188" s="47">
        <v>0</v>
      </c>
      <c r="DN188" s="47">
        <v>0</v>
      </c>
      <c r="DO188" s="47">
        <v>0</v>
      </c>
      <c r="DP188" s="47">
        <v>0</v>
      </c>
      <c r="DQ188" s="47">
        <v>0</v>
      </c>
      <c r="DR188" s="47">
        <v>0</v>
      </c>
      <c r="DS188" s="47">
        <v>0</v>
      </c>
      <c r="DT188" s="47">
        <v>0</v>
      </c>
      <c r="DU188" s="47">
        <v>0</v>
      </c>
      <c r="DV188" s="47">
        <v>0</v>
      </c>
      <c r="DW188" s="47">
        <v>0</v>
      </c>
      <c r="DX188" s="47">
        <v>0</v>
      </c>
      <c r="DY188" s="47">
        <v>0</v>
      </c>
      <c r="DZ188" s="47"/>
      <c r="EA188" s="47">
        <v>1</v>
      </c>
      <c r="ZZ188" t="s">
        <v>1084</v>
      </c>
    </row>
    <row r="189" spans="1:702" x14ac:dyDescent="0.25">
      <c r="A189" s="47" t="s">
        <v>1017</v>
      </c>
      <c r="B189" s="47" t="s">
        <v>151</v>
      </c>
      <c r="C189" s="47" t="s">
        <v>155</v>
      </c>
      <c r="D189" s="47" t="s">
        <v>1104</v>
      </c>
      <c r="E189" s="47" t="s">
        <v>1018</v>
      </c>
      <c r="F189" s="47" t="s">
        <v>1019</v>
      </c>
      <c r="G189" s="47" t="s">
        <v>237</v>
      </c>
      <c r="H189" s="47" t="s">
        <v>965</v>
      </c>
      <c r="I189" s="47" t="s">
        <v>1256</v>
      </c>
      <c r="J189" s="47" t="str">
        <f>=IFERROR(VLOOKUP(H189&amp;I189,Table_Fonctions!A:G,6,FALSE),"")</f>
        <v>0</v>
      </c>
      <c r="K189" s="47" t="s">
        <v>1136</v>
      </c>
      <c r="L189" s="47" t="str">
        <f>=IFERROR(VLOOKUP(H189&amp;I189,Table_Fonctions!A:G,7,FALSE),K189)</f>
        <v/>
      </c>
      <c r="M189" s="47" t="str">
        <f>=IF(OR(LEFT(D189, 3)="TJ ", LEFT(D189, 4)="CPH "), "OUI", "NON")</f>
        <v/>
      </c>
      <c r="N189" s="47" t="s">
        <v>176</v>
      </c>
      <c r="O189" s="47" t="s">
        <v>1020</v>
      </c>
      <c r="P189" s="47">
        <v>0.1048</v>
      </c>
      <c r="Q189" s="47">
        <v>0.1048</v>
      </c>
      <c r="R189" s="47">
        <v>0</v>
      </c>
      <c r="S189" s="47">
        <f>=ROUND(BQ189-(BR189+BS189),3)</f>
      </c>
      <c r="T189" s="47">
        <f>=ROUND(CK189-(CL189+CM189+CN189+CO189+CP189),3)</f>
      </c>
      <c r="U189" s="47">
        <v>0</v>
      </c>
      <c r="V189" s="47">
        <v>0</v>
      </c>
      <c r="W189" s="47">
        <v>0</v>
      </c>
      <c r="X189" s="47">
        <v>0</v>
      </c>
      <c r="Y189" s="47">
        <v>0</v>
      </c>
      <c r="Z189" s="47">
        <v>0</v>
      </c>
      <c r="AA189" s="47">
        <v>0</v>
      </c>
      <c r="AB189" s="47">
        <v>0</v>
      </c>
      <c r="AC189" s="47">
        <v>0</v>
      </c>
      <c r="AD189" s="47">
        <v>0</v>
      </c>
      <c r="AE189" s="47">
        <v>0</v>
      </c>
      <c r="AF189" s="47">
        <v>0</v>
      </c>
      <c r="AG189" s="47">
        <v>0</v>
      </c>
      <c r="AH189" s="47">
        <v>0</v>
      </c>
      <c r="AI189" s="47">
        <v>0</v>
      </c>
      <c r="AJ189" s="47">
        <v>0</v>
      </c>
      <c r="AK189" s="47">
        <v>0</v>
      </c>
      <c r="AL189" s="47">
        <v>0</v>
      </c>
      <c r="AM189" s="47">
        <v>0</v>
      </c>
      <c r="AN189" s="47">
        <v>0</v>
      </c>
      <c r="AO189" s="47">
        <v>0</v>
      </c>
      <c r="AP189" s="47">
        <v>0</v>
      </c>
      <c r="AQ189" s="47">
        <v>0</v>
      </c>
      <c r="AR189" s="47">
        <v>0</v>
      </c>
      <c r="AS189" s="47">
        <v>0.1048</v>
      </c>
      <c r="AT189" s="47">
        <v>0</v>
      </c>
      <c r="AU189" s="47">
        <v>0</v>
      </c>
      <c r="AV189" s="47">
        <v>0</v>
      </c>
      <c r="AW189" s="47">
        <v>0</v>
      </c>
      <c r="AX189" s="47">
        <v>0</v>
      </c>
      <c r="AY189" s="47">
        <v>0</v>
      </c>
      <c r="AZ189" s="47">
        <v>0</v>
      </c>
      <c r="BA189" s="47">
        <v>0</v>
      </c>
      <c r="BB189" s="47">
        <v>0</v>
      </c>
      <c r="BC189" s="47">
        <v>0</v>
      </c>
      <c r="BD189" s="47">
        <v>0</v>
      </c>
      <c r="BE189" s="47">
        <v>0</v>
      </c>
      <c r="BF189" s="47">
        <v>0</v>
      </c>
      <c r="BG189" s="47">
        <v>0</v>
      </c>
      <c r="BH189" s="47">
        <v>0</v>
      </c>
      <c r="BI189" s="47">
        <v>0</v>
      </c>
      <c r="BJ189" s="47">
        <v>0</v>
      </c>
      <c r="BK189" s="47">
        <v>0</v>
      </c>
      <c r="BL189" s="47">
        <v>0</v>
      </c>
      <c r="BM189" s="47">
        <v>0</v>
      </c>
      <c r="BN189" s="47">
        <v>0</v>
      </c>
      <c r="BO189" s="47">
        <v>0</v>
      </c>
      <c r="BP189" s="47">
        <v>0</v>
      </c>
      <c r="BQ189" s="47">
        <v>0</v>
      </c>
      <c r="BR189" s="47">
        <v>0</v>
      </c>
      <c r="BS189" s="47">
        <v>0</v>
      </c>
      <c r="BT189" s="47">
        <v>0</v>
      </c>
      <c r="BU189" s="47">
        <v>0</v>
      </c>
      <c r="BV189" s="47">
        <v>0</v>
      </c>
      <c r="BW189" s="47">
        <v>0</v>
      </c>
      <c r="BX189" s="47">
        <v>0</v>
      </c>
      <c r="BY189" s="47">
        <v>0</v>
      </c>
      <c r="BZ189" s="47">
        <v>0</v>
      </c>
      <c r="CA189" s="47">
        <v>0</v>
      </c>
      <c r="CB189" s="47">
        <v>0</v>
      </c>
      <c r="CC189" s="47">
        <v>0</v>
      </c>
      <c r="CD189" s="47">
        <v>0</v>
      </c>
      <c r="CE189" s="47">
        <v>0</v>
      </c>
      <c r="CF189" s="47">
        <v>0</v>
      </c>
      <c r="CG189" s="47">
        <v>0</v>
      </c>
      <c r="CH189" s="47">
        <v>0</v>
      </c>
      <c r="CI189" s="47">
        <v>0</v>
      </c>
      <c r="CJ189" s="47">
        <v>0</v>
      </c>
      <c r="CK189" s="47">
        <v>0</v>
      </c>
      <c r="CL189" s="47">
        <v>0</v>
      </c>
      <c r="CM189" s="47">
        <v>0</v>
      </c>
      <c r="CN189" s="47">
        <v>0</v>
      </c>
      <c r="CO189" s="47">
        <v>0</v>
      </c>
      <c r="CP189" s="47">
        <v>0</v>
      </c>
      <c r="CQ189" s="47">
        <v>0</v>
      </c>
      <c r="CR189" s="47">
        <v>0</v>
      </c>
      <c r="CS189" s="47">
        <v>0</v>
      </c>
      <c r="CT189" s="47">
        <v>0</v>
      </c>
      <c r="CU189" s="47">
        <v>0</v>
      </c>
      <c r="CV189" s="47">
        <v>0</v>
      </c>
      <c r="CW189" s="47">
        <v>0</v>
      </c>
      <c r="CX189" s="47">
        <v>0</v>
      </c>
      <c r="CY189" s="47">
        <v>0</v>
      </c>
      <c r="CZ189" s="47">
        <v>0</v>
      </c>
      <c r="DA189" s="47">
        <v>0</v>
      </c>
      <c r="DB189" s="47">
        <v>0</v>
      </c>
      <c r="DC189" s="47">
        <v>0</v>
      </c>
      <c r="DD189" s="47">
        <v>0</v>
      </c>
      <c r="DE189" s="47">
        <v>0</v>
      </c>
      <c r="DF189" s="47">
        <v>0</v>
      </c>
      <c r="DG189" s="47">
        <v>0</v>
      </c>
      <c r="DH189" s="47">
        <v>0</v>
      </c>
      <c r="DI189" s="47">
        <v>0</v>
      </c>
      <c r="DJ189" s="47">
        <v>0</v>
      </c>
      <c r="DK189" s="47">
        <v>0</v>
      </c>
      <c r="DL189" s="47">
        <v>0</v>
      </c>
      <c r="DM189" s="47">
        <v>0</v>
      </c>
      <c r="DN189" s="47">
        <v>0</v>
      </c>
      <c r="DO189" s="47">
        <v>0</v>
      </c>
      <c r="DP189" s="47">
        <v>0</v>
      </c>
      <c r="DQ189" s="47">
        <v>0</v>
      </c>
      <c r="DR189" s="47">
        <v>0</v>
      </c>
      <c r="DS189" s="47">
        <v>0</v>
      </c>
      <c r="DT189" s="47">
        <v>0</v>
      </c>
      <c r="DU189" s="47">
        <v>0</v>
      </c>
      <c r="DV189" s="47">
        <v>0</v>
      </c>
      <c r="DW189" s="47">
        <v>0</v>
      </c>
      <c r="DX189" s="47">
        <v>0</v>
      </c>
      <c r="DY189" s="47">
        <v>0</v>
      </c>
      <c r="DZ189" s="47"/>
      <c r="EA189" s="47">
        <v>0.1048</v>
      </c>
      <c r="ZZ189" t="s">
        <v>1084</v>
      </c>
    </row>
    <row r="190" spans="1:702" x14ac:dyDescent="0.25">
      <c r="A190" s="47" t="s">
        <v>1021</v>
      </c>
      <c r="B190" s="47" t="s">
        <v>151</v>
      </c>
      <c r="C190" s="47" t="s">
        <v>155</v>
      </c>
      <c r="D190" s="47" t="s">
        <v>1262</v>
      </c>
      <c r="E190" s="47" t="s">
        <v>1022</v>
      </c>
      <c r="F190" s="47" t="s">
        <v>1023</v>
      </c>
      <c r="G190" s="47" t="s">
        <v>1024</v>
      </c>
      <c r="H190" s="47" t="s">
        <v>965</v>
      </c>
      <c r="I190" s="47" t="s">
        <v>1250</v>
      </c>
      <c r="J190" s="47" t="str">
        <f>=IFERROR(VLOOKUP(H190&amp;I190,Table_Fonctions!A:G,6,FALSE),"")</f>
        <v>0</v>
      </c>
      <c r="K190" s="47" t="s">
        <v>1136</v>
      </c>
      <c r="L190" s="47" t="str">
        <f>=IFERROR(VLOOKUP(H190&amp;I190,Table_Fonctions!A:G,7,FALSE),K190)</f>
        <v/>
      </c>
      <c r="M190" s="47" t="str">
        <f>=IF(OR(LEFT(D190, 3)="TJ ", LEFT(D190, 4)="CPH "), "OUI", "NON")</f>
        <v/>
      </c>
      <c r="N190" s="47" t="s">
        <v>1025</v>
      </c>
      <c r="O190" s="47"/>
      <c r="P190" s="47">
        <v>1</v>
      </c>
      <c r="Q190" s="47">
        <v>1</v>
      </c>
      <c r="R190" s="47">
        <v>0</v>
      </c>
      <c r="S190" s="47">
        <f>=ROUND(BQ190-(BR190+BS190),3)</f>
      </c>
      <c r="T190" s="47">
        <f>=ROUND(CK190-(CL190+CM190+CN190+CO190+CP190),3)</f>
      </c>
      <c r="U190" s="47">
        <v>0</v>
      </c>
      <c r="V190" s="47">
        <v>0</v>
      </c>
      <c r="W190" s="47">
        <v>0</v>
      </c>
      <c r="X190" s="47">
        <v>0</v>
      </c>
      <c r="Y190" s="47">
        <v>0</v>
      </c>
      <c r="Z190" s="47">
        <v>0</v>
      </c>
      <c r="AA190" s="47">
        <v>0</v>
      </c>
      <c r="AB190" s="47">
        <v>0</v>
      </c>
      <c r="AC190" s="47">
        <v>0</v>
      </c>
      <c r="AD190" s="47">
        <v>0</v>
      </c>
      <c r="AE190" s="47">
        <v>0</v>
      </c>
      <c r="AF190" s="47">
        <v>0</v>
      </c>
      <c r="AG190" s="47">
        <v>0</v>
      </c>
      <c r="AH190" s="47">
        <v>0</v>
      </c>
      <c r="AI190" s="47">
        <v>0</v>
      </c>
      <c r="AJ190" s="47">
        <v>0</v>
      </c>
      <c r="AK190" s="47">
        <v>0</v>
      </c>
      <c r="AL190" s="47">
        <v>0</v>
      </c>
      <c r="AM190" s="47">
        <v>0</v>
      </c>
      <c r="AN190" s="47">
        <v>0</v>
      </c>
      <c r="AO190" s="47">
        <v>0</v>
      </c>
      <c r="AP190" s="47">
        <v>0</v>
      </c>
      <c r="AQ190" s="47">
        <v>0</v>
      </c>
      <c r="AR190" s="47">
        <v>0</v>
      </c>
      <c r="AS190" s="47">
        <v>0</v>
      </c>
      <c r="AT190" s="47">
        <v>0</v>
      </c>
      <c r="AU190" s="47">
        <v>0</v>
      </c>
      <c r="AV190" s="47">
        <v>0</v>
      </c>
      <c r="AW190" s="47">
        <v>0</v>
      </c>
      <c r="AX190" s="47">
        <v>0</v>
      </c>
      <c r="AY190" s="47">
        <v>0</v>
      </c>
      <c r="AZ190" s="47">
        <v>0</v>
      </c>
      <c r="BA190" s="47">
        <v>0</v>
      </c>
      <c r="BB190" s="47">
        <v>0</v>
      </c>
      <c r="BC190" s="47">
        <v>0</v>
      </c>
      <c r="BD190" s="47">
        <v>0</v>
      </c>
      <c r="BE190" s="47">
        <v>0</v>
      </c>
      <c r="BF190" s="47">
        <v>0</v>
      </c>
      <c r="BG190" s="47">
        <v>0</v>
      </c>
      <c r="BH190" s="47">
        <v>0</v>
      </c>
      <c r="BI190" s="47">
        <v>0</v>
      </c>
      <c r="BJ190" s="47">
        <v>0</v>
      </c>
      <c r="BK190" s="47">
        <v>0</v>
      </c>
      <c r="BL190" s="47">
        <v>0</v>
      </c>
      <c r="BM190" s="47">
        <v>0</v>
      </c>
      <c r="BN190" s="47">
        <v>0</v>
      </c>
      <c r="BO190" s="47">
        <v>0</v>
      </c>
      <c r="BP190" s="47">
        <v>0</v>
      </c>
      <c r="BQ190" s="47">
        <v>0</v>
      </c>
      <c r="BR190" s="47">
        <v>0</v>
      </c>
      <c r="BS190" s="47">
        <v>0</v>
      </c>
      <c r="BT190" s="47">
        <v>0</v>
      </c>
      <c r="BU190" s="47">
        <v>0</v>
      </c>
      <c r="BV190" s="47">
        <v>0</v>
      </c>
      <c r="BW190" s="47">
        <v>0</v>
      </c>
      <c r="BX190" s="47">
        <v>0</v>
      </c>
      <c r="BY190" s="47">
        <v>0</v>
      </c>
      <c r="BZ190" s="47">
        <v>0</v>
      </c>
      <c r="CA190" s="47">
        <v>0</v>
      </c>
      <c r="CB190" s="47">
        <v>0</v>
      </c>
      <c r="CC190" s="47">
        <v>0</v>
      </c>
      <c r="CD190" s="47">
        <v>0</v>
      </c>
      <c r="CE190" s="47">
        <v>0</v>
      </c>
      <c r="CF190" s="47">
        <v>0</v>
      </c>
      <c r="CG190" s="47">
        <v>0</v>
      </c>
      <c r="CH190" s="47">
        <v>0</v>
      </c>
      <c r="CI190" s="47">
        <v>0</v>
      </c>
      <c r="CJ190" s="47">
        <v>0</v>
      </c>
      <c r="CK190" s="47">
        <v>0</v>
      </c>
      <c r="CL190" s="47">
        <v>0</v>
      </c>
      <c r="CM190" s="47">
        <v>0</v>
      </c>
      <c r="CN190" s="47">
        <v>0</v>
      </c>
      <c r="CO190" s="47">
        <v>0</v>
      </c>
      <c r="CP190" s="47">
        <v>0</v>
      </c>
      <c r="CQ190" s="47">
        <v>0</v>
      </c>
      <c r="CR190" s="47">
        <v>0</v>
      </c>
      <c r="CS190" s="47">
        <v>0</v>
      </c>
      <c r="CT190" s="47">
        <v>0</v>
      </c>
      <c r="CU190" s="47">
        <v>0</v>
      </c>
      <c r="CV190" s="47">
        <v>0</v>
      </c>
      <c r="CW190" s="47">
        <v>0</v>
      </c>
      <c r="CX190" s="47">
        <v>0</v>
      </c>
      <c r="CY190" s="47">
        <v>1</v>
      </c>
      <c r="CZ190" s="47">
        <v>0.346</v>
      </c>
      <c r="DA190" s="47">
        <v>0.024</v>
      </c>
      <c r="DB190" s="47">
        <v>0</v>
      </c>
      <c r="DC190" s="47">
        <v>0</v>
      </c>
      <c r="DD190" s="47">
        <v>0</v>
      </c>
      <c r="DE190" s="47">
        <v>0</v>
      </c>
      <c r="DF190" s="47">
        <v>0</v>
      </c>
      <c r="DG190" s="47">
        <v>0</v>
      </c>
      <c r="DH190" s="47">
        <v>0</v>
      </c>
      <c r="DI190" s="47">
        <v>0</v>
      </c>
      <c r="DJ190" s="47">
        <v>0.63</v>
      </c>
      <c r="DK190" s="47">
        <v>0</v>
      </c>
      <c r="DL190" s="47">
        <v>0</v>
      </c>
      <c r="DM190" s="47">
        <v>0</v>
      </c>
      <c r="DN190" s="47">
        <v>0</v>
      </c>
      <c r="DO190" s="47">
        <v>0</v>
      </c>
      <c r="DP190" s="47">
        <v>0</v>
      </c>
      <c r="DQ190" s="47">
        <v>0</v>
      </c>
      <c r="DR190" s="47">
        <v>0</v>
      </c>
      <c r="DS190" s="47">
        <v>0</v>
      </c>
      <c r="DT190" s="47">
        <v>0</v>
      </c>
      <c r="DU190" s="47">
        <v>0</v>
      </c>
      <c r="DV190" s="47">
        <v>0</v>
      </c>
      <c r="DW190" s="47">
        <v>0</v>
      </c>
      <c r="DX190" s="47">
        <v>0</v>
      </c>
      <c r="DY190" s="47">
        <v>0</v>
      </c>
      <c r="DZ190" s="47"/>
      <c r="EA190" s="47">
        <v>1</v>
      </c>
      <c r="ZZ190" t="s">
        <v>1084</v>
      </c>
    </row>
    <row r="191" spans="1:702" x14ac:dyDescent="0.25">
      <c r="A191" s="47" t="s">
        <v>1026</v>
      </c>
      <c r="B191" s="47" t="s">
        <v>151</v>
      </c>
      <c r="C191" s="47" t="s">
        <v>155</v>
      </c>
      <c r="D191" s="47" t="s">
        <v>1263</v>
      </c>
      <c r="E191" s="47" t="s">
        <v>1027</v>
      </c>
      <c r="F191" s="47" t="s">
        <v>1028</v>
      </c>
      <c r="G191" s="47" t="s">
        <v>1029</v>
      </c>
      <c r="H191" s="47" t="s">
        <v>965</v>
      </c>
      <c r="I191" s="47" t="s">
        <v>1250</v>
      </c>
      <c r="J191" s="47" t="str">
        <f>=IFERROR(VLOOKUP(H191&amp;I191,Table_Fonctions!A:G,6,FALSE),"")</f>
        <v>0</v>
      </c>
      <c r="K191" s="47" t="s">
        <v>1136</v>
      </c>
      <c r="L191" s="47" t="str">
        <f>=IFERROR(VLOOKUP(H191&amp;I191,Table_Fonctions!A:G,7,FALSE),K191)</f>
        <v/>
      </c>
      <c r="M191" s="47" t="str">
        <f>=IF(OR(LEFT(D191, 3)="TJ ", LEFT(D191, 4)="CPH "), "OUI", "NON")</f>
        <v/>
      </c>
      <c r="N191" s="47" t="s">
        <v>1030</v>
      </c>
      <c r="O191" s="47"/>
      <c r="P191" s="47">
        <v>1</v>
      </c>
      <c r="Q191" s="47">
        <v>1</v>
      </c>
      <c r="R191" s="47">
        <v>0</v>
      </c>
      <c r="S191" s="47">
        <f>=ROUND(BQ191-(BR191+BS191),3)</f>
      </c>
      <c r="T191" s="47">
        <f>=ROUND(CK191-(CL191+CM191+CN191+CO191+CP191),3)</f>
      </c>
      <c r="U191" s="47">
        <v>0</v>
      </c>
      <c r="V191" s="47">
        <v>0</v>
      </c>
      <c r="W191" s="47">
        <v>0</v>
      </c>
      <c r="X191" s="47">
        <v>0</v>
      </c>
      <c r="Y191" s="47">
        <v>0</v>
      </c>
      <c r="Z191" s="47">
        <v>0</v>
      </c>
      <c r="AA191" s="47">
        <v>0</v>
      </c>
      <c r="AB191" s="47">
        <v>0</v>
      </c>
      <c r="AC191" s="47">
        <v>0</v>
      </c>
      <c r="AD191" s="47">
        <v>0</v>
      </c>
      <c r="AE191" s="47">
        <v>0</v>
      </c>
      <c r="AF191" s="47">
        <v>0</v>
      </c>
      <c r="AG191" s="47">
        <v>0</v>
      </c>
      <c r="AH191" s="47">
        <v>0</v>
      </c>
      <c r="AI191" s="47">
        <v>0</v>
      </c>
      <c r="AJ191" s="47">
        <v>0.2878</v>
      </c>
      <c r="AK191" s="47">
        <v>0</v>
      </c>
      <c r="AL191" s="47">
        <v>0</v>
      </c>
      <c r="AM191" s="47">
        <v>0.0629</v>
      </c>
      <c r="AN191" s="47">
        <v>0</v>
      </c>
      <c r="AO191" s="47">
        <v>0.2092</v>
      </c>
      <c r="AP191" s="47">
        <v>0</v>
      </c>
      <c r="AQ191" s="47">
        <v>0</v>
      </c>
      <c r="AR191" s="47">
        <v>0.0157</v>
      </c>
      <c r="AS191" s="47">
        <v>0.3626</v>
      </c>
      <c r="AT191" s="47">
        <v>0</v>
      </c>
      <c r="AU191" s="47">
        <v>0</v>
      </c>
      <c r="AV191" s="47">
        <v>0</v>
      </c>
      <c r="AW191" s="47">
        <v>0</v>
      </c>
      <c r="AX191" s="47">
        <v>0</v>
      </c>
      <c r="AY191" s="47">
        <v>0</v>
      </c>
      <c r="AZ191" s="47">
        <v>0</v>
      </c>
      <c r="BA191" s="47">
        <v>0</v>
      </c>
      <c r="BB191" s="47">
        <v>0</v>
      </c>
      <c r="BC191" s="47">
        <v>0</v>
      </c>
      <c r="BD191" s="47">
        <v>0</v>
      </c>
      <c r="BE191" s="47">
        <v>0</v>
      </c>
      <c r="BF191" s="47">
        <v>0</v>
      </c>
      <c r="BG191" s="47">
        <v>0</v>
      </c>
      <c r="BH191" s="47">
        <v>0.2013</v>
      </c>
      <c r="BI191" s="47">
        <v>0</v>
      </c>
      <c r="BJ191" s="47">
        <v>0</v>
      </c>
      <c r="BK191" s="47">
        <v>0.1451</v>
      </c>
      <c r="BL191" s="47">
        <v>0.0162</v>
      </c>
      <c r="BM191" s="47">
        <v>0</v>
      </c>
      <c r="BN191" s="47">
        <v>0</v>
      </c>
      <c r="BO191" s="47">
        <v>0</v>
      </c>
      <c r="BP191" s="47">
        <v>0</v>
      </c>
      <c r="BQ191" s="47">
        <v>0</v>
      </c>
      <c r="BR191" s="47">
        <v>0</v>
      </c>
      <c r="BS191" s="47">
        <v>0</v>
      </c>
      <c r="BT191" s="47">
        <v>0</v>
      </c>
      <c r="BU191" s="47">
        <v>0</v>
      </c>
      <c r="BV191" s="47">
        <v>0</v>
      </c>
      <c r="BW191" s="47">
        <v>0</v>
      </c>
      <c r="BX191" s="47">
        <v>0</v>
      </c>
      <c r="BY191" s="47">
        <v>0</v>
      </c>
      <c r="BZ191" s="47">
        <v>0</v>
      </c>
      <c r="CA191" s="47">
        <v>0</v>
      </c>
      <c r="CB191" s="47">
        <v>0</v>
      </c>
      <c r="CC191" s="47">
        <v>0</v>
      </c>
      <c r="CD191" s="47">
        <v>0</v>
      </c>
      <c r="CE191" s="47">
        <v>0</v>
      </c>
      <c r="CF191" s="47">
        <v>0</v>
      </c>
      <c r="CG191" s="47">
        <v>0</v>
      </c>
      <c r="CH191" s="47">
        <v>0</v>
      </c>
      <c r="CI191" s="47">
        <v>0</v>
      </c>
      <c r="CJ191" s="47">
        <v>0</v>
      </c>
      <c r="CK191" s="47">
        <v>0</v>
      </c>
      <c r="CL191" s="47">
        <v>0</v>
      </c>
      <c r="CM191" s="47">
        <v>0</v>
      </c>
      <c r="CN191" s="47">
        <v>0</v>
      </c>
      <c r="CO191" s="47">
        <v>0</v>
      </c>
      <c r="CP191" s="47">
        <v>0</v>
      </c>
      <c r="CQ191" s="47">
        <v>0</v>
      </c>
      <c r="CR191" s="47">
        <v>0</v>
      </c>
      <c r="CS191" s="47">
        <v>0</v>
      </c>
      <c r="CT191" s="47">
        <v>0</v>
      </c>
      <c r="CU191" s="47">
        <v>0</v>
      </c>
      <c r="CV191" s="47">
        <v>0</v>
      </c>
      <c r="CW191" s="47">
        <v>0</v>
      </c>
      <c r="CX191" s="47">
        <v>0</v>
      </c>
      <c r="CY191" s="47">
        <v>0.3496</v>
      </c>
      <c r="CZ191" s="47">
        <v>0.3496</v>
      </c>
      <c r="DA191" s="47">
        <v>0</v>
      </c>
      <c r="DB191" s="47">
        <v>0</v>
      </c>
      <c r="DC191" s="47">
        <v>0</v>
      </c>
      <c r="DD191" s="47">
        <v>0</v>
      </c>
      <c r="DE191" s="47">
        <v>0</v>
      </c>
      <c r="DF191" s="47">
        <v>0</v>
      </c>
      <c r="DG191" s="47">
        <v>0</v>
      </c>
      <c r="DH191" s="47">
        <v>0</v>
      </c>
      <c r="DI191" s="47">
        <v>0</v>
      </c>
      <c r="DJ191" s="47">
        <v>0</v>
      </c>
      <c r="DK191" s="47">
        <v>0</v>
      </c>
      <c r="DL191" s="47">
        <v>0</v>
      </c>
      <c r="DM191" s="47">
        <v>0</v>
      </c>
      <c r="DN191" s="47">
        <v>0</v>
      </c>
      <c r="DO191" s="47">
        <v>0</v>
      </c>
      <c r="DP191" s="47">
        <v>0</v>
      </c>
      <c r="DQ191" s="47">
        <v>0</v>
      </c>
      <c r="DR191" s="47">
        <v>0</v>
      </c>
      <c r="DS191" s="47">
        <v>0</v>
      </c>
      <c r="DT191" s="47">
        <v>0</v>
      </c>
      <c r="DU191" s="47">
        <v>0</v>
      </c>
      <c r="DV191" s="47">
        <v>0.0008</v>
      </c>
      <c r="DW191" s="47">
        <v>0</v>
      </c>
      <c r="DX191" s="47">
        <v>0</v>
      </c>
      <c r="DY191" s="47">
        <v>0.0008</v>
      </c>
      <c r="DZ191" s="47"/>
      <c r="EA191" s="47">
        <v>1</v>
      </c>
      <c r="ZZ191" t="s">
        <v>1084</v>
      </c>
    </row>
    <row r="192" spans="1:702" x14ac:dyDescent="0.25">
      <c r="A192" s="47" t="s">
        <v>1031</v>
      </c>
      <c r="B192" s="47" t="s">
        <v>151</v>
      </c>
      <c r="C192" s="47" t="s">
        <v>155</v>
      </c>
      <c r="D192" s="47" t="s">
        <v>1264</v>
      </c>
      <c r="E192" s="47" t="s">
        <v>1032</v>
      </c>
      <c r="F192" s="47" t="s">
        <v>1033</v>
      </c>
      <c r="G192" s="47" t="s">
        <v>1034</v>
      </c>
      <c r="H192" s="47" t="s">
        <v>965</v>
      </c>
      <c r="I192" s="47" t="s">
        <v>1250</v>
      </c>
      <c r="J192" s="47" t="str">
        <f>=IFERROR(VLOOKUP(H192&amp;I192,Table_Fonctions!A:G,6,FALSE),"")</f>
        <v>0</v>
      </c>
      <c r="K192" s="47" t="s">
        <v>1136</v>
      </c>
      <c r="L192" s="47" t="str">
        <f>=IFERROR(VLOOKUP(H192&amp;I192,Table_Fonctions!A:G,7,FALSE),K192)</f>
        <v/>
      </c>
      <c r="M192" s="47" t="str">
        <f>=IF(OR(LEFT(D192, 3)="TJ ", LEFT(D192, 4)="CPH "), "OUI", "NON")</f>
        <v/>
      </c>
      <c r="N192" s="47" t="s">
        <v>1035</v>
      </c>
      <c r="O192" s="47"/>
      <c r="P192" s="47">
        <v>0.5645</v>
      </c>
      <c r="Q192" s="47">
        <v>0.5645</v>
      </c>
      <c r="R192" s="47">
        <v>0</v>
      </c>
      <c r="S192" s="47">
        <f>=ROUND(BQ192-(BR192+BS192),3)</f>
      </c>
      <c r="T192" s="47">
        <f>=ROUND(CK192-(CL192+CM192+CN192+CO192+CP192),3)</f>
      </c>
      <c r="U192" s="47">
        <v>0</v>
      </c>
      <c r="V192" s="47">
        <v>0</v>
      </c>
      <c r="W192" s="47">
        <v>0</v>
      </c>
      <c r="X192" s="47">
        <v>0</v>
      </c>
      <c r="Y192" s="47">
        <v>0</v>
      </c>
      <c r="Z192" s="47">
        <v>0</v>
      </c>
      <c r="AA192" s="47">
        <v>0</v>
      </c>
      <c r="AB192" s="47">
        <v>0</v>
      </c>
      <c r="AC192" s="47">
        <v>0</v>
      </c>
      <c r="AD192" s="47">
        <v>0</v>
      </c>
      <c r="AE192" s="47">
        <v>0</v>
      </c>
      <c r="AF192" s="47">
        <v>0</v>
      </c>
      <c r="AG192" s="47">
        <v>0</v>
      </c>
      <c r="AH192" s="47">
        <v>0</v>
      </c>
      <c r="AI192" s="47">
        <v>0</v>
      </c>
      <c r="AJ192" s="47">
        <v>0</v>
      </c>
      <c r="AK192" s="47">
        <v>0</v>
      </c>
      <c r="AL192" s="47">
        <v>0</v>
      </c>
      <c r="AM192" s="47">
        <v>0</v>
      </c>
      <c r="AN192" s="47">
        <v>0</v>
      </c>
      <c r="AO192" s="47">
        <v>0</v>
      </c>
      <c r="AP192" s="47">
        <v>0</v>
      </c>
      <c r="AQ192" s="47">
        <v>0</v>
      </c>
      <c r="AR192" s="47">
        <v>0</v>
      </c>
      <c r="AS192" s="47">
        <v>0</v>
      </c>
      <c r="AT192" s="47">
        <v>0</v>
      </c>
      <c r="AU192" s="47">
        <v>0</v>
      </c>
      <c r="AV192" s="47">
        <v>0</v>
      </c>
      <c r="AW192" s="47">
        <v>0</v>
      </c>
      <c r="AX192" s="47">
        <v>0</v>
      </c>
      <c r="AY192" s="47">
        <v>0</v>
      </c>
      <c r="AZ192" s="47">
        <v>0</v>
      </c>
      <c r="BA192" s="47">
        <v>0</v>
      </c>
      <c r="BB192" s="47">
        <v>0</v>
      </c>
      <c r="BC192" s="47">
        <v>0</v>
      </c>
      <c r="BD192" s="47">
        <v>0</v>
      </c>
      <c r="BE192" s="47">
        <v>0</v>
      </c>
      <c r="BF192" s="47">
        <v>0</v>
      </c>
      <c r="BG192" s="47">
        <v>0</v>
      </c>
      <c r="BH192" s="47">
        <v>0</v>
      </c>
      <c r="BI192" s="47">
        <v>0</v>
      </c>
      <c r="BJ192" s="47">
        <v>0</v>
      </c>
      <c r="BK192" s="47">
        <v>0</v>
      </c>
      <c r="BL192" s="47">
        <v>0</v>
      </c>
      <c r="BM192" s="47">
        <v>0</v>
      </c>
      <c r="BN192" s="47">
        <v>0</v>
      </c>
      <c r="BO192" s="47">
        <v>0</v>
      </c>
      <c r="BP192" s="47">
        <v>0</v>
      </c>
      <c r="BQ192" s="47">
        <v>0</v>
      </c>
      <c r="BR192" s="47">
        <v>0</v>
      </c>
      <c r="BS192" s="47">
        <v>0</v>
      </c>
      <c r="BT192" s="47">
        <v>0</v>
      </c>
      <c r="BU192" s="47">
        <v>0</v>
      </c>
      <c r="BV192" s="47">
        <v>0</v>
      </c>
      <c r="BW192" s="47">
        <v>0</v>
      </c>
      <c r="BX192" s="47">
        <v>0</v>
      </c>
      <c r="BY192" s="47">
        <v>0</v>
      </c>
      <c r="BZ192" s="47">
        <v>0</v>
      </c>
      <c r="CA192" s="47">
        <v>0</v>
      </c>
      <c r="CB192" s="47">
        <v>0</v>
      </c>
      <c r="CC192" s="47">
        <v>0</v>
      </c>
      <c r="CD192" s="47">
        <v>0</v>
      </c>
      <c r="CE192" s="47">
        <v>0</v>
      </c>
      <c r="CF192" s="47">
        <v>0</v>
      </c>
      <c r="CG192" s="47">
        <v>0</v>
      </c>
      <c r="CH192" s="47">
        <v>0</v>
      </c>
      <c r="CI192" s="47">
        <v>0</v>
      </c>
      <c r="CJ192" s="47">
        <v>0</v>
      </c>
      <c r="CK192" s="47">
        <v>0.1581</v>
      </c>
      <c r="CL192" s="47">
        <v>0.1581</v>
      </c>
      <c r="CM192" s="47">
        <v>0</v>
      </c>
      <c r="CN192" s="47">
        <v>0</v>
      </c>
      <c r="CO192" s="47">
        <v>0</v>
      </c>
      <c r="CP192" s="47">
        <v>0</v>
      </c>
      <c r="CQ192" s="47">
        <v>0</v>
      </c>
      <c r="CR192" s="47">
        <v>0</v>
      </c>
      <c r="CS192" s="47">
        <v>0</v>
      </c>
      <c r="CT192" s="47">
        <v>0</v>
      </c>
      <c r="CU192" s="47">
        <v>0</v>
      </c>
      <c r="CV192" s="47">
        <v>0.35</v>
      </c>
      <c r="CW192" s="47">
        <v>0</v>
      </c>
      <c r="CX192" s="47">
        <v>0</v>
      </c>
      <c r="CY192" s="47">
        <v>0.0565</v>
      </c>
      <c r="CZ192" s="47">
        <v>0.0565</v>
      </c>
      <c r="DA192" s="47">
        <v>0</v>
      </c>
      <c r="DB192" s="47">
        <v>0</v>
      </c>
      <c r="DC192" s="47">
        <v>0</v>
      </c>
      <c r="DD192" s="47">
        <v>0</v>
      </c>
      <c r="DE192" s="47">
        <v>0</v>
      </c>
      <c r="DF192" s="47">
        <v>0</v>
      </c>
      <c r="DG192" s="47">
        <v>0</v>
      </c>
      <c r="DH192" s="47">
        <v>0</v>
      </c>
      <c r="DI192" s="47">
        <v>0</v>
      </c>
      <c r="DJ192" s="47">
        <v>0</v>
      </c>
      <c r="DK192" s="47">
        <v>0</v>
      </c>
      <c r="DL192" s="47">
        <v>0</v>
      </c>
      <c r="DM192" s="47">
        <v>0</v>
      </c>
      <c r="DN192" s="47">
        <v>0</v>
      </c>
      <c r="DO192" s="47">
        <v>0</v>
      </c>
      <c r="DP192" s="47">
        <v>0</v>
      </c>
      <c r="DQ192" s="47">
        <v>0</v>
      </c>
      <c r="DR192" s="47">
        <v>0</v>
      </c>
      <c r="DS192" s="47">
        <v>0</v>
      </c>
      <c r="DT192" s="47">
        <v>0</v>
      </c>
      <c r="DU192" s="47">
        <v>0</v>
      </c>
      <c r="DV192" s="47">
        <v>0</v>
      </c>
      <c r="DW192" s="47">
        <v>0</v>
      </c>
      <c r="DX192" s="47">
        <v>0</v>
      </c>
      <c r="DY192" s="47">
        <v>0</v>
      </c>
      <c r="DZ192" s="47"/>
      <c r="EA192" s="47">
        <v>0.5645</v>
      </c>
      <c r="ZZ192" t="s">
        <v>1084</v>
      </c>
    </row>
    <row r="193" spans="1:702" x14ac:dyDescent="0.25">
      <c r="A193" s="47" t="s">
        <v>1036</v>
      </c>
      <c r="B193" s="47" t="s">
        <v>151</v>
      </c>
      <c r="C193" s="47" t="s">
        <v>155</v>
      </c>
      <c r="D193" s="47" t="s">
        <v>1196</v>
      </c>
      <c r="E193" s="47" t="s">
        <v>1037</v>
      </c>
      <c r="F193" s="47" t="s">
        <v>1038</v>
      </c>
      <c r="G193" s="47" t="s">
        <v>690</v>
      </c>
      <c r="H193" s="47" t="s">
        <v>965</v>
      </c>
      <c r="I193" s="47" t="s">
        <v>1250</v>
      </c>
      <c r="J193" s="47" t="str">
        <f>=IFERROR(VLOOKUP(H193&amp;I193,Table_Fonctions!A:G,6,FALSE),"")</f>
        <v>0</v>
      </c>
      <c r="K193" s="47" t="s">
        <v>1136</v>
      </c>
      <c r="L193" s="47" t="str">
        <f>=IFERROR(VLOOKUP(H193&amp;I193,Table_Fonctions!A:G,7,FALSE),K193)</f>
        <v/>
      </c>
      <c r="M193" s="47" t="str">
        <f>=IF(OR(LEFT(D193, 3)="TJ ", LEFT(D193, 4)="CPH "), "OUI", "NON")</f>
        <v/>
      </c>
      <c r="N193" s="47" t="s">
        <v>283</v>
      </c>
      <c r="O193" s="47"/>
      <c r="P193" s="47">
        <v>1</v>
      </c>
      <c r="Q193" s="47">
        <v>1</v>
      </c>
      <c r="R193" s="47">
        <v>0</v>
      </c>
      <c r="S193" s="47">
        <f>=ROUND(BQ193-(BR193+BS193),3)</f>
      </c>
      <c r="T193" s="47">
        <f>=ROUND(CK193-(CL193+CM193+CN193+CO193+CP193),3)</f>
      </c>
      <c r="U193" s="47">
        <v>0</v>
      </c>
      <c r="V193" s="47">
        <v>0</v>
      </c>
      <c r="W193" s="47">
        <v>0</v>
      </c>
      <c r="X193" s="47">
        <v>0</v>
      </c>
      <c r="Y193" s="47">
        <v>0</v>
      </c>
      <c r="Z193" s="47">
        <v>0</v>
      </c>
      <c r="AA193" s="47">
        <v>0</v>
      </c>
      <c r="AB193" s="47">
        <v>0</v>
      </c>
      <c r="AC193" s="47">
        <v>0</v>
      </c>
      <c r="AD193" s="47">
        <v>0</v>
      </c>
      <c r="AE193" s="47">
        <v>0</v>
      </c>
      <c r="AF193" s="47">
        <v>0</v>
      </c>
      <c r="AG193" s="47">
        <v>0</v>
      </c>
      <c r="AH193" s="47">
        <v>0</v>
      </c>
      <c r="AI193" s="47">
        <v>0</v>
      </c>
      <c r="AJ193" s="47">
        <v>0.5</v>
      </c>
      <c r="AK193" s="47">
        <v>0</v>
      </c>
      <c r="AL193" s="47">
        <v>0</v>
      </c>
      <c r="AM193" s="47">
        <v>0</v>
      </c>
      <c r="AN193" s="47">
        <v>0</v>
      </c>
      <c r="AO193" s="47">
        <v>0</v>
      </c>
      <c r="AP193" s="47">
        <v>0</v>
      </c>
      <c r="AQ193" s="47">
        <v>0</v>
      </c>
      <c r="AR193" s="47">
        <v>0</v>
      </c>
      <c r="AS193" s="47">
        <v>0.5</v>
      </c>
      <c r="AT193" s="47">
        <v>0</v>
      </c>
      <c r="AU193" s="47">
        <v>0</v>
      </c>
      <c r="AV193" s="47">
        <v>0</v>
      </c>
      <c r="AW193" s="47">
        <v>0</v>
      </c>
      <c r="AX193" s="47">
        <v>0</v>
      </c>
      <c r="AY193" s="47">
        <v>0</v>
      </c>
      <c r="AZ193" s="47">
        <v>0</v>
      </c>
      <c r="BA193" s="47">
        <v>0.5</v>
      </c>
      <c r="BB193" s="47">
        <v>0</v>
      </c>
      <c r="BC193" s="47">
        <v>0</v>
      </c>
      <c r="BD193" s="47">
        <v>0</v>
      </c>
      <c r="BE193" s="47">
        <v>0</v>
      </c>
      <c r="BF193" s="47">
        <v>0</v>
      </c>
      <c r="BG193" s="47">
        <v>0</v>
      </c>
      <c r="BH193" s="47">
        <v>0</v>
      </c>
      <c r="BI193" s="47">
        <v>0</v>
      </c>
      <c r="BJ193" s="47">
        <v>0</v>
      </c>
      <c r="BK193" s="47">
        <v>0</v>
      </c>
      <c r="BL193" s="47">
        <v>0</v>
      </c>
      <c r="BM193" s="47">
        <v>0</v>
      </c>
      <c r="BN193" s="47">
        <v>0</v>
      </c>
      <c r="BO193" s="47">
        <v>0</v>
      </c>
      <c r="BP193" s="47">
        <v>0</v>
      </c>
      <c r="BQ193" s="47">
        <v>0</v>
      </c>
      <c r="BR193" s="47">
        <v>0</v>
      </c>
      <c r="BS193" s="47">
        <v>0</v>
      </c>
      <c r="BT193" s="47">
        <v>0</v>
      </c>
      <c r="BU193" s="47">
        <v>0</v>
      </c>
      <c r="BV193" s="47">
        <v>0</v>
      </c>
      <c r="BW193" s="47">
        <v>0</v>
      </c>
      <c r="BX193" s="47">
        <v>0</v>
      </c>
      <c r="BY193" s="47">
        <v>0</v>
      </c>
      <c r="BZ193" s="47">
        <v>0</v>
      </c>
      <c r="CA193" s="47">
        <v>0</v>
      </c>
      <c r="CB193" s="47">
        <v>0</v>
      </c>
      <c r="CC193" s="47">
        <v>0</v>
      </c>
      <c r="CD193" s="47">
        <v>0</v>
      </c>
      <c r="CE193" s="47">
        <v>0</v>
      </c>
      <c r="CF193" s="47">
        <v>0</v>
      </c>
      <c r="CG193" s="47">
        <v>0</v>
      </c>
      <c r="CH193" s="47">
        <v>0</v>
      </c>
      <c r="CI193" s="47">
        <v>0</v>
      </c>
      <c r="CJ193" s="47">
        <v>0</v>
      </c>
      <c r="CK193" s="47">
        <v>0</v>
      </c>
      <c r="CL193" s="47">
        <v>0</v>
      </c>
      <c r="CM193" s="47">
        <v>0</v>
      </c>
      <c r="CN193" s="47">
        <v>0</v>
      </c>
      <c r="CO193" s="47">
        <v>0</v>
      </c>
      <c r="CP193" s="47">
        <v>0</v>
      </c>
      <c r="CQ193" s="47">
        <v>0</v>
      </c>
      <c r="CR193" s="47">
        <v>0</v>
      </c>
      <c r="CS193" s="47">
        <v>0</v>
      </c>
      <c r="CT193" s="47">
        <v>0</v>
      </c>
      <c r="CU193" s="47">
        <v>0</v>
      </c>
      <c r="CV193" s="47">
        <v>0</v>
      </c>
      <c r="CW193" s="47">
        <v>0</v>
      </c>
      <c r="CX193" s="47">
        <v>0</v>
      </c>
      <c r="CY193" s="47">
        <v>0</v>
      </c>
      <c r="CZ193" s="47">
        <v>0</v>
      </c>
      <c r="DA193" s="47">
        <v>0</v>
      </c>
      <c r="DB193" s="47">
        <v>0</v>
      </c>
      <c r="DC193" s="47">
        <v>0</v>
      </c>
      <c r="DD193" s="47">
        <v>0</v>
      </c>
      <c r="DE193" s="47">
        <v>0</v>
      </c>
      <c r="DF193" s="47">
        <v>0</v>
      </c>
      <c r="DG193" s="47">
        <v>0</v>
      </c>
      <c r="DH193" s="47">
        <v>0</v>
      </c>
      <c r="DI193" s="47">
        <v>0</v>
      </c>
      <c r="DJ193" s="47">
        <v>0</v>
      </c>
      <c r="DK193" s="47">
        <v>0</v>
      </c>
      <c r="DL193" s="47">
        <v>0</v>
      </c>
      <c r="DM193" s="47">
        <v>0</v>
      </c>
      <c r="DN193" s="47">
        <v>0</v>
      </c>
      <c r="DO193" s="47">
        <v>0</v>
      </c>
      <c r="DP193" s="47">
        <v>0</v>
      </c>
      <c r="DQ193" s="47">
        <v>0</v>
      </c>
      <c r="DR193" s="47">
        <v>0</v>
      </c>
      <c r="DS193" s="47">
        <v>0</v>
      </c>
      <c r="DT193" s="47">
        <v>0</v>
      </c>
      <c r="DU193" s="47">
        <v>0</v>
      </c>
      <c r="DV193" s="47">
        <v>0</v>
      </c>
      <c r="DW193" s="47">
        <v>0</v>
      </c>
      <c r="DX193" s="47">
        <v>0</v>
      </c>
      <c r="DY193" s="47">
        <v>0</v>
      </c>
      <c r="DZ193" s="47"/>
      <c r="EA193" s="47">
        <v>1</v>
      </c>
      <c r="ZZ193" t="s">
        <v>1084</v>
      </c>
    </row>
    <row r="194" spans="1:702" x14ac:dyDescent="0.25">
      <c r="A194" s="47" t="s">
        <v>1039</v>
      </c>
      <c r="B194" s="47" t="s">
        <v>151</v>
      </c>
      <c r="C194" s="47" t="s">
        <v>155</v>
      </c>
      <c r="D194" s="47" t="s">
        <v>1265</v>
      </c>
      <c r="E194" s="47" t="s">
        <v>1040</v>
      </c>
      <c r="F194" s="47" t="s">
        <v>1041</v>
      </c>
      <c r="G194" s="47" t="s">
        <v>1042</v>
      </c>
      <c r="H194" s="47" t="s">
        <v>965</v>
      </c>
      <c r="I194" s="47" t="s">
        <v>1250</v>
      </c>
      <c r="J194" s="47" t="str">
        <f>=IFERROR(VLOOKUP(H194&amp;I194,Table_Fonctions!A:G,6,FALSE),"")</f>
        <v>0</v>
      </c>
      <c r="K194" s="47" t="s">
        <v>1136</v>
      </c>
      <c r="L194" s="47" t="str">
        <f>=IFERROR(VLOOKUP(H194&amp;I194,Table_Fonctions!A:G,7,FALSE),K194)</f>
        <v/>
      </c>
      <c r="M194" s="47" t="str">
        <f>=IF(OR(LEFT(D194, 3)="TJ ", LEFT(D194, 4)="CPH "), "OUI", "NON")</f>
        <v/>
      </c>
      <c r="N194" s="47" t="s">
        <v>1043</v>
      </c>
      <c r="O194" s="47"/>
      <c r="P194" s="47">
        <v>1</v>
      </c>
      <c r="Q194" s="47">
        <v>1</v>
      </c>
      <c r="R194" s="47">
        <v>0</v>
      </c>
      <c r="S194" s="47">
        <f>=ROUND(BQ194-(BR194+BS194),3)</f>
      </c>
      <c r="T194" s="47">
        <f>=ROUND(CK194-(CL194+CM194+CN194+CO194+CP194),3)</f>
      </c>
      <c r="U194" s="47">
        <v>0</v>
      </c>
      <c r="V194" s="47">
        <v>0</v>
      </c>
      <c r="W194" s="47">
        <v>0</v>
      </c>
      <c r="X194" s="47">
        <v>0</v>
      </c>
      <c r="Y194" s="47">
        <v>0</v>
      </c>
      <c r="Z194" s="47">
        <v>0</v>
      </c>
      <c r="AA194" s="47">
        <v>0</v>
      </c>
      <c r="AB194" s="47">
        <v>0</v>
      </c>
      <c r="AC194" s="47">
        <v>0</v>
      </c>
      <c r="AD194" s="47">
        <v>0</v>
      </c>
      <c r="AE194" s="47">
        <v>0</v>
      </c>
      <c r="AF194" s="47">
        <v>0</v>
      </c>
      <c r="AG194" s="47">
        <v>0</v>
      </c>
      <c r="AH194" s="47">
        <v>0</v>
      </c>
      <c r="AI194" s="47">
        <v>0</v>
      </c>
      <c r="AJ194" s="47">
        <v>0</v>
      </c>
      <c r="AK194" s="47">
        <v>0</v>
      </c>
      <c r="AL194" s="47">
        <v>0</v>
      </c>
      <c r="AM194" s="47">
        <v>0</v>
      </c>
      <c r="AN194" s="47">
        <v>0</v>
      </c>
      <c r="AO194" s="47">
        <v>0</v>
      </c>
      <c r="AP194" s="47">
        <v>0</v>
      </c>
      <c r="AQ194" s="47">
        <v>0</v>
      </c>
      <c r="AR194" s="47">
        <v>0</v>
      </c>
      <c r="AS194" s="47">
        <v>0.99</v>
      </c>
      <c r="AT194" s="47">
        <v>0</v>
      </c>
      <c r="AU194" s="47">
        <v>0</v>
      </c>
      <c r="AV194" s="47">
        <v>0</v>
      </c>
      <c r="AW194" s="47">
        <v>0</v>
      </c>
      <c r="AX194" s="47">
        <v>0</v>
      </c>
      <c r="AY194" s="47">
        <v>0</v>
      </c>
      <c r="AZ194" s="47">
        <v>0</v>
      </c>
      <c r="BA194" s="47">
        <v>0</v>
      </c>
      <c r="BB194" s="47">
        <v>0</v>
      </c>
      <c r="BC194" s="47">
        <v>0</v>
      </c>
      <c r="BD194" s="47">
        <v>0</v>
      </c>
      <c r="BE194" s="47">
        <v>0.99</v>
      </c>
      <c r="BF194" s="47">
        <v>0</v>
      </c>
      <c r="BG194" s="47">
        <v>0</v>
      </c>
      <c r="BH194" s="47">
        <v>0</v>
      </c>
      <c r="BI194" s="47">
        <v>0</v>
      </c>
      <c r="BJ194" s="47">
        <v>0</v>
      </c>
      <c r="BK194" s="47">
        <v>0</v>
      </c>
      <c r="BL194" s="47">
        <v>0</v>
      </c>
      <c r="BM194" s="47">
        <v>0</v>
      </c>
      <c r="BN194" s="47">
        <v>0</v>
      </c>
      <c r="BO194" s="47">
        <v>0</v>
      </c>
      <c r="BP194" s="47">
        <v>0</v>
      </c>
      <c r="BQ194" s="47">
        <v>0</v>
      </c>
      <c r="BR194" s="47">
        <v>0</v>
      </c>
      <c r="BS194" s="47">
        <v>0</v>
      </c>
      <c r="BT194" s="47">
        <v>0</v>
      </c>
      <c r="BU194" s="47">
        <v>0</v>
      </c>
      <c r="BV194" s="47">
        <v>0</v>
      </c>
      <c r="BW194" s="47">
        <v>0</v>
      </c>
      <c r="BX194" s="47">
        <v>0</v>
      </c>
      <c r="BY194" s="47">
        <v>0</v>
      </c>
      <c r="BZ194" s="47">
        <v>0</v>
      </c>
      <c r="CA194" s="47">
        <v>0</v>
      </c>
      <c r="CB194" s="47">
        <v>0</v>
      </c>
      <c r="CC194" s="47">
        <v>0</v>
      </c>
      <c r="CD194" s="47">
        <v>0</v>
      </c>
      <c r="CE194" s="47">
        <v>0</v>
      </c>
      <c r="CF194" s="47">
        <v>0</v>
      </c>
      <c r="CG194" s="47">
        <v>0</v>
      </c>
      <c r="CH194" s="47">
        <v>0</v>
      </c>
      <c r="CI194" s="47">
        <v>0</v>
      </c>
      <c r="CJ194" s="47">
        <v>0</v>
      </c>
      <c r="CK194" s="47">
        <v>0</v>
      </c>
      <c r="CL194" s="47">
        <v>0</v>
      </c>
      <c r="CM194" s="47">
        <v>0</v>
      </c>
      <c r="CN194" s="47">
        <v>0</v>
      </c>
      <c r="CO194" s="47">
        <v>0</v>
      </c>
      <c r="CP194" s="47">
        <v>0</v>
      </c>
      <c r="CQ194" s="47">
        <v>0</v>
      </c>
      <c r="CR194" s="47">
        <v>0</v>
      </c>
      <c r="CS194" s="47">
        <v>0</v>
      </c>
      <c r="CT194" s="47">
        <v>0</v>
      </c>
      <c r="CU194" s="47">
        <v>0</v>
      </c>
      <c r="CV194" s="47">
        <v>0</v>
      </c>
      <c r="CW194" s="47">
        <v>0</v>
      </c>
      <c r="CX194" s="47">
        <v>0</v>
      </c>
      <c r="CY194" s="47">
        <v>0.01</v>
      </c>
      <c r="CZ194" s="47">
        <v>0.01</v>
      </c>
      <c r="DA194" s="47">
        <v>0</v>
      </c>
      <c r="DB194" s="47">
        <v>0</v>
      </c>
      <c r="DC194" s="47">
        <v>0</v>
      </c>
      <c r="DD194" s="47">
        <v>0</v>
      </c>
      <c r="DE194" s="47">
        <v>0</v>
      </c>
      <c r="DF194" s="47">
        <v>0</v>
      </c>
      <c r="DG194" s="47">
        <v>0</v>
      </c>
      <c r="DH194" s="47">
        <v>0</v>
      </c>
      <c r="DI194" s="47">
        <v>0</v>
      </c>
      <c r="DJ194" s="47">
        <v>0</v>
      </c>
      <c r="DK194" s="47">
        <v>0</v>
      </c>
      <c r="DL194" s="47">
        <v>0</v>
      </c>
      <c r="DM194" s="47">
        <v>0</v>
      </c>
      <c r="DN194" s="47">
        <v>0</v>
      </c>
      <c r="DO194" s="47">
        <v>0</v>
      </c>
      <c r="DP194" s="47">
        <v>0</v>
      </c>
      <c r="DQ194" s="47">
        <v>0</v>
      </c>
      <c r="DR194" s="47">
        <v>0</v>
      </c>
      <c r="DS194" s="47">
        <v>0</v>
      </c>
      <c r="DT194" s="47">
        <v>0</v>
      </c>
      <c r="DU194" s="47">
        <v>0</v>
      </c>
      <c r="DV194" s="47">
        <v>0</v>
      </c>
      <c r="DW194" s="47">
        <v>0</v>
      </c>
      <c r="DX194" s="47">
        <v>0</v>
      </c>
      <c r="DY194" s="47">
        <v>0</v>
      </c>
      <c r="DZ194" s="47"/>
      <c r="EA194" s="47">
        <v>1</v>
      </c>
      <c r="ZZ194" t="s">
        <v>1084</v>
      </c>
    </row>
    <row r="195" spans="1:702" x14ac:dyDescent="0.25">
      <c r="A195" s="47" t="s">
        <v>1044</v>
      </c>
      <c r="B195" s="47" t="s">
        <v>151</v>
      </c>
      <c r="C195" s="47" t="s">
        <v>155</v>
      </c>
      <c r="D195" s="47" t="s">
        <v>1089</v>
      </c>
      <c r="E195" s="47" t="s">
        <v>1045</v>
      </c>
      <c r="F195" s="47" t="s">
        <v>1046</v>
      </c>
      <c r="G195" s="47" t="s">
        <v>167</v>
      </c>
      <c r="H195" s="47" t="s">
        <v>965</v>
      </c>
      <c r="I195" s="47" t="s">
        <v>1256</v>
      </c>
      <c r="J195" s="47" t="str">
        <f>=IFERROR(VLOOKUP(H195&amp;I195,Table_Fonctions!A:G,6,FALSE),"")</f>
        <v>0</v>
      </c>
      <c r="K195" s="47" t="s">
        <v>1136</v>
      </c>
      <c r="L195" s="47" t="str">
        <f>=IFERROR(VLOOKUP(H195&amp;I195,Table_Fonctions!A:G,7,FALSE),K195)</f>
        <v/>
      </c>
      <c r="M195" s="47" t="str">
        <f>=IF(OR(LEFT(D195, 3)="TJ ", LEFT(D195, 4)="CPH "), "OUI", "NON")</f>
        <v/>
      </c>
      <c r="N195" s="47" t="s">
        <v>1030</v>
      </c>
      <c r="O195" s="47" t="s">
        <v>1047</v>
      </c>
      <c r="P195" s="47">
        <v>0.2581</v>
      </c>
      <c r="Q195" s="47">
        <v>0</v>
      </c>
      <c r="R195" s="47">
        <v>0.2581</v>
      </c>
      <c r="S195" s="47">
        <f>=ROUND(BQ195-(BR195+BS195),3)</f>
      </c>
      <c r="T195" s="47">
        <f>=ROUND(CK195-(CL195+CM195+CN195+CO195+CP195),3)</f>
      </c>
      <c r="U195" s="47">
        <v>0</v>
      </c>
      <c r="V195" s="47">
        <v>0</v>
      </c>
      <c r="W195" s="47">
        <v>0</v>
      </c>
      <c r="X195" s="47">
        <v>0</v>
      </c>
      <c r="Y195" s="47">
        <v>0</v>
      </c>
      <c r="Z195" s="47">
        <v>0</v>
      </c>
      <c r="AA195" s="47">
        <v>0</v>
      </c>
      <c r="AB195" s="47">
        <v>0</v>
      </c>
      <c r="AC195" s="47">
        <v>0</v>
      </c>
      <c r="AD195" s="47">
        <v>0</v>
      </c>
      <c r="AE195" s="47">
        <v>0</v>
      </c>
      <c r="AF195" s="47">
        <v>0</v>
      </c>
      <c r="AG195" s="47">
        <v>0</v>
      </c>
      <c r="AH195" s="47">
        <v>0</v>
      </c>
      <c r="AI195" s="47">
        <v>0</v>
      </c>
      <c r="AJ195" s="47">
        <v>0</v>
      </c>
      <c r="AK195" s="47">
        <v>0</v>
      </c>
      <c r="AL195" s="47">
        <v>0</v>
      </c>
      <c r="AM195" s="47">
        <v>0</v>
      </c>
      <c r="AN195" s="47">
        <v>0</v>
      </c>
      <c r="AO195" s="47">
        <v>0</v>
      </c>
      <c r="AP195" s="47">
        <v>0</v>
      </c>
      <c r="AQ195" s="47">
        <v>0</v>
      </c>
      <c r="AR195" s="47">
        <v>0</v>
      </c>
      <c r="AS195" s="47">
        <v>0</v>
      </c>
      <c r="AT195" s="47">
        <v>0</v>
      </c>
      <c r="AU195" s="47">
        <v>0</v>
      </c>
      <c r="AV195" s="47">
        <v>0</v>
      </c>
      <c r="AW195" s="47">
        <v>0</v>
      </c>
      <c r="AX195" s="47">
        <v>0</v>
      </c>
      <c r="AY195" s="47">
        <v>0</v>
      </c>
      <c r="AZ195" s="47">
        <v>0</v>
      </c>
      <c r="BA195" s="47">
        <v>0</v>
      </c>
      <c r="BB195" s="47">
        <v>0</v>
      </c>
      <c r="BC195" s="47">
        <v>0</v>
      </c>
      <c r="BD195" s="47">
        <v>0</v>
      </c>
      <c r="BE195" s="47">
        <v>0</v>
      </c>
      <c r="BF195" s="47">
        <v>0</v>
      </c>
      <c r="BG195" s="47">
        <v>0</v>
      </c>
      <c r="BH195" s="47">
        <v>0</v>
      </c>
      <c r="BI195" s="47">
        <v>0</v>
      </c>
      <c r="BJ195" s="47">
        <v>0</v>
      </c>
      <c r="BK195" s="47">
        <v>0</v>
      </c>
      <c r="BL195" s="47">
        <v>0</v>
      </c>
      <c r="BM195" s="47">
        <v>0</v>
      </c>
      <c r="BN195" s="47">
        <v>0</v>
      </c>
      <c r="BO195" s="47">
        <v>0</v>
      </c>
      <c r="BP195" s="47">
        <v>0</v>
      </c>
      <c r="BQ195" s="47">
        <v>0</v>
      </c>
      <c r="BR195" s="47">
        <v>0</v>
      </c>
      <c r="BS195" s="47">
        <v>0</v>
      </c>
      <c r="BT195" s="47">
        <v>0</v>
      </c>
      <c r="BU195" s="47">
        <v>0</v>
      </c>
      <c r="BV195" s="47">
        <v>0</v>
      </c>
      <c r="BW195" s="47">
        <v>0</v>
      </c>
      <c r="BX195" s="47">
        <v>0</v>
      </c>
      <c r="BY195" s="47">
        <v>0</v>
      </c>
      <c r="BZ195" s="47">
        <v>0</v>
      </c>
      <c r="CA195" s="47">
        <v>0</v>
      </c>
      <c r="CB195" s="47">
        <v>0</v>
      </c>
      <c r="CC195" s="47">
        <v>0</v>
      </c>
      <c r="CD195" s="47">
        <v>0</v>
      </c>
      <c r="CE195" s="47">
        <v>0</v>
      </c>
      <c r="CF195" s="47">
        <v>0</v>
      </c>
      <c r="CG195" s="47">
        <v>0</v>
      </c>
      <c r="CH195" s="47">
        <v>0</v>
      </c>
      <c r="CI195" s="47">
        <v>0</v>
      </c>
      <c r="CJ195" s="47">
        <v>0</v>
      </c>
      <c r="CK195" s="47">
        <v>0</v>
      </c>
      <c r="CL195" s="47">
        <v>0</v>
      </c>
      <c r="CM195" s="47">
        <v>0</v>
      </c>
      <c r="CN195" s="47">
        <v>0</v>
      </c>
      <c r="CO195" s="47">
        <v>0</v>
      </c>
      <c r="CP195" s="47">
        <v>0</v>
      </c>
      <c r="CQ195" s="47">
        <v>0</v>
      </c>
      <c r="CR195" s="47">
        <v>0</v>
      </c>
      <c r="CS195" s="47">
        <v>0</v>
      </c>
      <c r="CT195" s="47">
        <v>0</v>
      </c>
      <c r="CU195" s="47">
        <v>0</v>
      </c>
      <c r="CV195" s="47">
        <v>0</v>
      </c>
      <c r="CW195" s="47">
        <v>0</v>
      </c>
      <c r="CX195" s="47">
        <v>0</v>
      </c>
      <c r="CY195" s="47">
        <v>0</v>
      </c>
      <c r="CZ195" s="47">
        <v>0</v>
      </c>
      <c r="DA195" s="47">
        <v>0</v>
      </c>
      <c r="DB195" s="47">
        <v>0</v>
      </c>
      <c r="DC195" s="47">
        <v>0</v>
      </c>
      <c r="DD195" s="47">
        <v>0</v>
      </c>
      <c r="DE195" s="47">
        <v>0</v>
      </c>
      <c r="DF195" s="47">
        <v>0</v>
      </c>
      <c r="DG195" s="47">
        <v>0</v>
      </c>
      <c r="DH195" s="47">
        <v>0</v>
      </c>
      <c r="DI195" s="47">
        <v>0</v>
      </c>
      <c r="DJ195" s="47">
        <v>0</v>
      </c>
      <c r="DK195" s="47">
        <v>0</v>
      </c>
      <c r="DL195" s="47">
        <v>0</v>
      </c>
      <c r="DM195" s="47">
        <v>0</v>
      </c>
      <c r="DN195" s="47">
        <v>0</v>
      </c>
      <c r="DO195" s="47">
        <v>0</v>
      </c>
      <c r="DP195" s="47">
        <v>0</v>
      </c>
      <c r="DQ195" s="47">
        <v>0</v>
      </c>
      <c r="DR195" s="47">
        <v>0</v>
      </c>
      <c r="DS195" s="47">
        <v>0</v>
      </c>
      <c r="DT195" s="47">
        <v>0</v>
      </c>
      <c r="DU195" s="47">
        <v>0</v>
      </c>
      <c r="DV195" s="47">
        <v>0</v>
      </c>
      <c r="DW195" s="47">
        <v>0</v>
      </c>
      <c r="DX195" s="47">
        <v>0</v>
      </c>
      <c r="DY195" s="47">
        <v>0</v>
      </c>
      <c r="DZ195" s="47"/>
      <c r="EA195" s="47">
        <v>0.2581</v>
      </c>
      <c r="ZZ195" t="s">
        <v>1084</v>
      </c>
    </row>
    <row r="196" spans="1:702" x14ac:dyDescent="0.25">
      <c r="A196" s="47" t="s">
        <v>1048</v>
      </c>
      <c r="B196" s="47" t="s">
        <v>151</v>
      </c>
      <c r="C196" s="47" t="s">
        <v>155</v>
      </c>
      <c r="D196" s="47" t="s">
        <v>1266</v>
      </c>
      <c r="E196" s="47" t="s">
        <v>1049</v>
      </c>
      <c r="F196" s="47" t="s">
        <v>1050</v>
      </c>
      <c r="G196" s="47" t="s">
        <v>1051</v>
      </c>
      <c r="H196" s="47" t="s">
        <v>965</v>
      </c>
      <c r="I196" s="47" t="s">
        <v>1250</v>
      </c>
      <c r="J196" s="47" t="str">
        <f>=IFERROR(VLOOKUP(H196&amp;I196,Table_Fonctions!A:G,6,FALSE),"")</f>
        <v>0</v>
      </c>
      <c r="K196" s="47" t="s">
        <v>1136</v>
      </c>
      <c r="L196" s="47" t="str">
        <f>=IFERROR(VLOOKUP(H196&amp;I196,Table_Fonctions!A:G,7,FALSE),K196)</f>
        <v/>
      </c>
      <c r="M196" s="47" t="str">
        <f>=IF(OR(LEFT(D196, 3)="TJ ", LEFT(D196, 4)="CPH "), "OUI", "NON")</f>
        <v/>
      </c>
      <c r="N196" s="47" t="s">
        <v>1052</v>
      </c>
      <c r="O196" s="47"/>
      <c r="P196" s="47">
        <v>1</v>
      </c>
      <c r="Q196" s="47">
        <v>1</v>
      </c>
      <c r="R196" s="47">
        <v>0</v>
      </c>
      <c r="S196" s="47">
        <f>=ROUND(BQ196-(BR196+BS196),3)</f>
      </c>
      <c r="T196" s="47">
        <f>=ROUND(CK196-(CL196+CM196+CN196+CO196+CP196),3)</f>
      </c>
      <c r="U196" s="47">
        <v>0</v>
      </c>
      <c r="V196" s="47">
        <v>0</v>
      </c>
      <c r="W196" s="47">
        <v>0</v>
      </c>
      <c r="X196" s="47">
        <v>0</v>
      </c>
      <c r="Y196" s="47">
        <v>0</v>
      </c>
      <c r="Z196" s="47">
        <v>0.25</v>
      </c>
      <c r="AA196" s="47">
        <v>0.25</v>
      </c>
      <c r="AB196" s="47">
        <v>0</v>
      </c>
      <c r="AC196" s="47">
        <v>0</v>
      </c>
      <c r="AD196" s="47">
        <v>0</v>
      </c>
      <c r="AE196" s="47">
        <v>0</v>
      </c>
      <c r="AF196" s="47">
        <v>0</v>
      </c>
      <c r="AG196" s="47">
        <v>0</v>
      </c>
      <c r="AH196" s="47">
        <v>0</v>
      </c>
      <c r="AI196" s="47">
        <v>0</v>
      </c>
      <c r="AJ196" s="47">
        <v>0</v>
      </c>
      <c r="AK196" s="47">
        <v>0</v>
      </c>
      <c r="AL196" s="47">
        <v>0</v>
      </c>
      <c r="AM196" s="47">
        <v>0</v>
      </c>
      <c r="AN196" s="47">
        <v>0</v>
      </c>
      <c r="AO196" s="47">
        <v>0</v>
      </c>
      <c r="AP196" s="47">
        <v>0</v>
      </c>
      <c r="AQ196" s="47">
        <v>0</v>
      </c>
      <c r="AR196" s="47">
        <v>0</v>
      </c>
      <c r="AS196" s="47">
        <v>0.75</v>
      </c>
      <c r="AT196" s="47">
        <v>0</v>
      </c>
      <c r="AU196" s="47">
        <v>0</v>
      </c>
      <c r="AV196" s="47">
        <v>0</v>
      </c>
      <c r="AW196" s="47">
        <v>0</v>
      </c>
      <c r="AX196" s="47">
        <v>0</v>
      </c>
      <c r="AY196" s="47">
        <v>0</v>
      </c>
      <c r="AZ196" s="47">
        <v>0</v>
      </c>
      <c r="BA196" s="47">
        <v>0.5</v>
      </c>
      <c r="BB196" s="47">
        <v>0</v>
      </c>
      <c r="BC196" s="47">
        <v>0</v>
      </c>
      <c r="BD196" s="47">
        <v>0</v>
      </c>
      <c r="BE196" s="47">
        <v>0</v>
      </c>
      <c r="BF196" s="47">
        <v>0</v>
      </c>
      <c r="BG196" s="47">
        <v>0</v>
      </c>
      <c r="BH196" s="47">
        <v>0</v>
      </c>
      <c r="BI196" s="47">
        <v>0</v>
      </c>
      <c r="BJ196" s="47">
        <v>0</v>
      </c>
      <c r="BK196" s="47">
        <v>0.25</v>
      </c>
      <c r="BL196" s="47">
        <v>0</v>
      </c>
      <c r="BM196" s="47">
        <v>0</v>
      </c>
      <c r="BN196" s="47">
        <v>0</v>
      </c>
      <c r="BO196" s="47">
        <v>0</v>
      </c>
      <c r="BP196" s="47">
        <v>0</v>
      </c>
      <c r="BQ196" s="47">
        <v>0</v>
      </c>
      <c r="BR196" s="47">
        <v>0</v>
      </c>
      <c r="BS196" s="47">
        <v>0</v>
      </c>
      <c r="BT196" s="47">
        <v>0</v>
      </c>
      <c r="BU196" s="47">
        <v>0</v>
      </c>
      <c r="BV196" s="47">
        <v>0</v>
      </c>
      <c r="BW196" s="47">
        <v>0</v>
      </c>
      <c r="BX196" s="47">
        <v>0</v>
      </c>
      <c r="BY196" s="47">
        <v>0</v>
      </c>
      <c r="BZ196" s="47">
        <v>0</v>
      </c>
      <c r="CA196" s="47">
        <v>0</v>
      </c>
      <c r="CB196" s="47">
        <v>0</v>
      </c>
      <c r="CC196" s="47">
        <v>0</v>
      </c>
      <c r="CD196" s="47">
        <v>0</v>
      </c>
      <c r="CE196" s="47">
        <v>0</v>
      </c>
      <c r="CF196" s="47">
        <v>0</v>
      </c>
      <c r="CG196" s="47">
        <v>0</v>
      </c>
      <c r="CH196" s="47">
        <v>0</v>
      </c>
      <c r="CI196" s="47">
        <v>0</v>
      </c>
      <c r="CJ196" s="47">
        <v>0</v>
      </c>
      <c r="CK196" s="47">
        <v>0</v>
      </c>
      <c r="CL196" s="47">
        <v>0</v>
      </c>
      <c r="CM196" s="47">
        <v>0</v>
      </c>
      <c r="CN196" s="47">
        <v>0</v>
      </c>
      <c r="CO196" s="47">
        <v>0</v>
      </c>
      <c r="CP196" s="47">
        <v>0</v>
      </c>
      <c r="CQ196" s="47">
        <v>0</v>
      </c>
      <c r="CR196" s="47">
        <v>0</v>
      </c>
      <c r="CS196" s="47">
        <v>0</v>
      </c>
      <c r="CT196" s="47">
        <v>0</v>
      </c>
      <c r="CU196" s="47">
        <v>0</v>
      </c>
      <c r="CV196" s="47">
        <v>0</v>
      </c>
      <c r="CW196" s="47">
        <v>0</v>
      </c>
      <c r="CX196" s="47">
        <v>0</v>
      </c>
      <c r="CY196" s="47">
        <v>0</v>
      </c>
      <c r="CZ196" s="47">
        <v>0</v>
      </c>
      <c r="DA196" s="47">
        <v>0</v>
      </c>
      <c r="DB196" s="47">
        <v>0</v>
      </c>
      <c r="DC196" s="47">
        <v>0</v>
      </c>
      <c r="DD196" s="47">
        <v>0</v>
      </c>
      <c r="DE196" s="47">
        <v>0</v>
      </c>
      <c r="DF196" s="47">
        <v>0</v>
      </c>
      <c r="DG196" s="47">
        <v>0</v>
      </c>
      <c r="DH196" s="47">
        <v>0</v>
      </c>
      <c r="DI196" s="47">
        <v>0</v>
      </c>
      <c r="DJ196" s="47">
        <v>0</v>
      </c>
      <c r="DK196" s="47">
        <v>0</v>
      </c>
      <c r="DL196" s="47">
        <v>0</v>
      </c>
      <c r="DM196" s="47">
        <v>0</v>
      </c>
      <c r="DN196" s="47">
        <v>0</v>
      </c>
      <c r="DO196" s="47">
        <v>0</v>
      </c>
      <c r="DP196" s="47">
        <v>0</v>
      </c>
      <c r="DQ196" s="47">
        <v>0</v>
      </c>
      <c r="DR196" s="47">
        <v>0</v>
      </c>
      <c r="DS196" s="47">
        <v>0</v>
      </c>
      <c r="DT196" s="47">
        <v>0</v>
      </c>
      <c r="DU196" s="47">
        <v>0</v>
      </c>
      <c r="DV196" s="47">
        <v>0</v>
      </c>
      <c r="DW196" s="47">
        <v>0</v>
      </c>
      <c r="DX196" s="47">
        <v>0</v>
      </c>
      <c r="DY196" s="47">
        <v>0</v>
      </c>
      <c r="DZ196" s="47"/>
      <c r="EA196" s="47">
        <v>1</v>
      </c>
      <c r="ZZ196" t="s">
        <v>1084</v>
      </c>
    </row>
    <row r="197" spans="1:702" x14ac:dyDescent="0.25">
      <c r="A197" s="47" t="s">
        <v>1053</v>
      </c>
      <c r="B197" s="47" t="s">
        <v>151</v>
      </c>
      <c r="C197" s="47" t="s">
        <v>155</v>
      </c>
      <c r="D197" s="47" t="s">
        <v>1267</v>
      </c>
      <c r="E197" s="47" t="s">
        <v>1054</v>
      </c>
      <c r="F197" s="47" t="s">
        <v>1055</v>
      </c>
      <c r="G197" s="47" t="s">
        <v>1056</v>
      </c>
      <c r="H197" s="47" t="s">
        <v>965</v>
      </c>
      <c r="I197" s="47" t="s">
        <v>1057</v>
      </c>
      <c r="J197" s="47" t="str">
        <f>=IFERROR(VLOOKUP(H197&amp;I197,Table_Fonctions!A:G,6,FALSE),"")</f>
        <v>0</v>
      </c>
      <c r="K197" s="47" t="s">
        <v>1136</v>
      </c>
      <c r="L197" s="47" t="str">
        <f>=IFERROR(VLOOKUP(H197&amp;I197,Table_Fonctions!A:G,7,FALSE),K197)</f>
        <v/>
      </c>
      <c r="M197" s="47" t="str">
        <f>=IF(OR(LEFT(D197, 3)="TJ ", LEFT(D197, 4)="CPH "), "OUI", "NON")</f>
        <v/>
      </c>
      <c r="N197" s="47" t="s">
        <v>1058</v>
      </c>
      <c r="O197" s="47"/>
      <c r="P197" s="47">
        <v>1</v>
      </c>
      <c r="Q197" s="47">
        <v>0</v>
      </c>
      <c r="R197" s="47">
        <v>1</v>
      </c>
      <c r="S197" s="47">
        <f>=ROUND(BQ197-(BR197+BS197),3)</f>
      </c>
      <c r="T197" s="47">
        <f>=ROUND(CK197-(CL197+CM197+CN197+CO197+CP197),3)</f>
      </c>
      <c r="U197" s="47">
        <v>0</v>
      </c>
      <c r="V197" s="47">
        <v>0</v>
      </c>
      <c r="W197" s="47">
        <v>0</v>
      </c>
      <c r="X197" s="47">
        <v>0</v>
      </c>
      <c r="Y197" s="47">
        <v>0</v>
      </c>
      <c r="Z197" s="47">
        <v>0</v>
      </c>
      <c r="AA197" s="47">
        <v>0</v>
      </c>
      <c r="AB197" s="47">
        <v>0</v>
      </c>
      <c r="AC197" s="47">
        <v>0</v>
      </c>
      <c r="AD197" s="47">
        <v>0</v>
      </c>
      <c r="AE197" s="47">
        <v>0</v>
      </c>
      <c r="AF197" s="47">
        <v>0</v>
      </c>
      <c r="AG197" s="47">
        <v>0</v>
      </c>
      <c r="AH197" s="47">
        <v>0</v>
      </c>
      <c r="AI197" s="47">
        <v>0</v>
      </c>
      <c r="AJ197" s="47">
        <v>0</v>
      </c>
      <c r="AK197" s="47">
        <v>0</v>
      </c>
      <c r="AL197" s="47">
        <v>0</v>
      </c>
      <c r="AM197" s="47">
        <v>0</v>
      </c>
      <c r="AN197" s="47">
        <v>0</v>
      </c>
      <c r="AO197" s="47">
        <v>0</v>
      </c>
      <c r="AP197" s="47">
        <v>0</v>
      </c>
      <c r="AQ197" s="47">
        <v>0</v>
      </c>
      <c r="AR197" s="47">
        <v>0</v>
      </c>
      <c r="AS197" s="47">
        <v>0</v>
      </c>
      <c r="AT197" s="47">
        <v>0</v>
      </c>
      <c r="AU197" s="47">
        <v>0</v>
      </c>
      <c r="AV197" s="47">
        <v>0</v>
      </c>
      <c r="AW197" s="47">
        <v>0</v>
      </c>
      <c r="AX197" s="47">
        <v>0</v>
      </c>
      <c r="AY197" s="47">
        <v>0</v>
      </c>
      <c r="AZ197" s="47">
        <v>0</v>
      </c>
      <c r="BA197" s="47">
        <v>0</v>
      </c>
      <c r="BB197" s="47">
        <v>0</v>
      </c>
      <c r="BC197" s="47">
        <v>0</v>
      </c>
      <c r="BD197" s="47">
        <v>0</v>
      </c>
      <c r="BE197" s="47">
        <v>0</v>
      </c>
      <c r="BF197" s="47">
        <v>0</v>
      </c>
      <c r="BG197" s="47">
        <v>0</v>
      </c>
      <c r="BH197" s="47">
        <v>0</v>
      </c>
      <c r="BI197" s="47">
        <v>0</v>
      </c>
      <c r="BJ197" s="47">
        <v>0</v>
      </c>
      <c r="BK197" s="47">
        <v>0</v>
      </c>
      <c r="BL197" s="47">
        <v>0</v>
      </c>
      <c r="BM197" s="47">
        <v>0</v>
      </c>
      <c r="BN197" s="47">
        <v>0</v>
      </c>
      <c r="BO197" s="47">
        <v>0</v>
      </c>
      <c r="BP197" s="47">
        <v>0</v>
      </c>
      <c r="BQ197" s="47">
        <v>0</v>
      </c>
      <c r="BR197" s="47">
        <v>0</v>
      </c>
      <c r="BS197" s="47">
        <v>0</v>
      </c>
      <c r="BT197" s="47">
        <v>0</v>
      </c>
      <c r="BU197" s="47">
        <v>0</v>
      </c>
      <c r="BV197" s="47">
        <v>0</v>
      </c>
      <c r="BW197" s="47">
        <v>0</v>
      </c>
      <c r="BX197" s="47">
        <v>0</v>
      </c>
      <c r="BY197" s="47">
        <v>0</v>
      </c>
      <c r="BZ197" s="47">
        <v>0</v>
      </c>
      <c r="CA197" s="47">
        <v>0</v>
      </c>
      <c r="CB197" s="47">
        <v>0</v>
      </c>
      <c r="CC197" s="47">
        <v>0</v>
      </c>
      <c r="CD197" s="47">
        <v>0</v>
      </c>
      <c r="CE197" s="47">
        <v>0</v>
      </c>
      <c r="CF197" s="47">
        <v>0</v>
      </c>
      <c r="CG197" s="47">
        <v>0</v>
      </c>
      <c r="CH197" s="47">
        <v>0</v>
      </c>
      <c r="CI197" s="47">
        <v>0</v>
      </c>
      <c r="CJ197" s="47">
        <v>0</v>
      </c>
      <c r="CK197" s="47">
        <v>0</v>
      </c>
      <c r="CL197" s="47">
        <v>0</v>
      </c>
      <c r="CM197" s="47">
        <v>0</v>
      </c>
      <c r="CN197" s="47">
        <v>0</v>
      </c>
      <c r="CO197" s="47">
        <v>0</v>
      </c>
      <c r="CP197" s="47">
        <v>0</v>
      </c>
      <c r="CQ197" s="47">
        <v>0</v>
      </c>
      <c r="CR197" s="47">
        <v>0</v>
      </c>
      <c r="CS197" s="47">
        <v>0</v>
      </c>
      <c r="CT197" s="47">
        <v>0</v>
      </c>
      <c r="CU197" s="47">
        <v>0</v>
      </c>
      <c r="CV197" s="47">
        <v>0</v>
      </c>
      <c r="CW197" s="47">
        <v>0</v>
      </c>
      <c r="CX197" s="47">
        <v>0</v>
      </c>
      <c r="CY197" s="47">
        <v>0</v>
      </c>
      <c r="CZ197" s="47">
        <v>0</v>
      </c>
      <c r="DA197" s="47">
        <v>0</v>
      </c>
      <c r="DB197" s="47">
        <v>0</v>
      </c>
      <c r="DC197" s="47">
        <v>0</v>
      </c>
      <c r="DD197" s="47">
        <v>0</v>
      </c>
      <c r="DE197" s="47">
        <v>0</v>
      </c>
      <c r="DF197" s="47">
        <v>0</v>
      </c>
      <c r="DG197" s="47">
        <v>0</v>
      </c>
      <c r="DH197" s="47">
        <v>0</v>
      </c>
      <c r="DI197" s="47">
        <v>0</v>
      </c>
      <c r="DJ197" s="47">
        <v>0</v>
      </c>
      <c r="DK197" s="47">
        <v>0</v>
      </c>
      <c r="DL197" s="47">
        <v>0</v>
      </c>
      <c r="DM197" s="47">
        <v>0</v>
      </c>
      <c r="DN197" s="47">
        <v>0</v>
      </c>
      <c r="DO197" s="47">
        <v>0</v>
      </c>
      <c r="DP197" s="47">
        <v>0</v>
      </c>
      <c r="DQ197" s="47">
        <v>0</v>
      </c>
      <c r="DR197" s="47">
        <v>0</v>
      </c>
      <c r="DS197" s="47">
        <v>0</v>
      </c>
      <c r="DT197" s="47">
        <v>0</v>
      </c>
      <c r="DU197" s="47">
        <v>0</v>
      </c>
      <c r="DV197" s="47">
        <v>0</v>
      </c>
      <c r="DW197" s="47">
        <v>0</v>
      </c>
      <c r="DX197" s="47">
        <v>0</v>
      </c>
      <c r="DY197" s="47">
        <v>0</v>
      </c>
      <c r="DZ197" s="47"/>
      <c r="EA197" s="47">
        <v>1</v>
      </c>
      <c r="ZZ197" t="s">
        <v>1084</v>
      </c>
    </row>
    <row r="198" spans="1:702" x14ac:dyDescent="0.25">
      <c r="A198" s="47" t="s">
        <v>1059</v>
      </c>
      <c r="B198" s="47" t="s">
        <v>151</v>
      </c>
      <c r="C198" s="47" t="s">
        <v>155</v>
      </c>
      <c r="D198" s="47" t="s">
        <v>1268</v>
      </c>
      <c r="E198" s="47" t="s">
        <v>1060</v>
      </c>
      <c r="F198" s="47" t="s">
        <v>1061</v>
      </c>
      <c r="G198" s="47" t="s">
        <v>1062</v>
      </c>
      <c r="H198" s="47" t="s">
        <v>965</v>
      </c>
      <c r="I198" s="47" t="s">
        <v>980</v>
      </c>
      <c r="J198" s="47" t="str">
        <f>=IFERROR(VLOOKUP(H198&amp;I198,Table_Fonctions!A:G,6,FALSE),"")</f>
        <v>0</v>
      </c>
      <c r="K198" s="47" t="s">
        <v>1136</v>
      </c>
      <c r="L198" s="47" t="str">
        <f>=IFERROR(VLOOKUP(H198&amp;I198,Table_Fonctions!A:G,7,FALSE),K198)</f>
        <v/>
      </c>
      <c r="M198" s="47" t="str">
        <f>=IF(OR(LEFT(D198, 3)="TJ ", LEFT(D198, 4)="CPH "), "OUI", "NON")</f>
        <v/>
      </c>
      <c r="N198" s="47" t="s">
        <v>871</v>
      </c>
      <c r="O198" s="47"/>
      <c r="P198" s="47">
        <v>0.8266</v>
      </c>
      <c r="Q198" s="47">
        <v>0.8266</v>
      </c>
      <c r="R198" s="47">
        <v>0</v>
      </c>
      <c r="S198" s="47">
        <f>=ROUND(BQ198-(BR198+BS198),3)</f>
      </c>
      <c r="T198" s="47">
        <f>=ROUND(CK198-(CL198+CM198+CN198+CO198+CP198),3)</f>
      </c>
      <c r="U198" s="47">
        <v>0</v>
      </c>
      <c r="V198" s="47">
        <v>0</v>
      </c>
      <c r="W198" s="47">
        <v>0</v>
      </c>
      <c r="X198" s="47">
        <v>0</v>
      </c>
      <c r="Y198" s="47">
        <v>0</v>
      </c>
      <c r="Z198" s="47">
        <v>0</v>
      </c>
      <c r="AA198" s="47">
        <v>0</v>
      </c>
      <c r="AB198" s="47">
        <v>0</v>
      </c>
      <c r="AC198" s="47">
        <v>0</v>
      </c>
      <c r="AD198" s="47">
        <v>0</v>
      </c>
      <c r="AE198" s="47">
        <v>0</v>
      </c>
      <c r="AF198" s="47">
        <v>0</v>
      </c>
      <c r="AG198" s="47">
        <v>0</v>
      </c>
      <c r="AH198" s="47">
        <v>0</v>
      </c>
      <c r="AI198" s="47">
        <v>0</v>
      </c>
      <c r="AJ198" s="47">
        <v>0</v>
      </c>
      <c r="AK198" s="47">
        <v>0</v>
      </c>
      <c r="AL198" s="47">
        <v>0</v>
      </c>
      <c r="AM198" s="47">
        <v>0</v>
      </c>
      <c r="AN198" s="47">
        <v>0</v>
      </c>
      <c r="AO198" s="47">
        <v>0</v>
      </c>
      <c r="AP198" s="47">
        <v>0</v>
      </c>
      <c r="AQ198" s="47">
        <v>0</v>
      </c>
      <c r="AR198" s="47">
        <v>0</v>
      </c>
      <c r="AS198" s="47">
        <v>0</v>
      </c>
      <c r="AT198" s="47">
        <v>0</v>
      </c>
      <c r="AU198" s="47">
        <v>0</v>
      </c>
      <c r="AV198" s="47">
        <v>0</v>
      </c>
      <c r="AW198" s="47">
        <v>0</v>
      </c>
      <c r="AX198" s="47">
        <v>0</v>
      </c>
      <c r="AY198" s="47">
        <v>0</v>
      </c>
      <c r="AZ198" s="47">
        <v>0</v>
      </c>
      <c r="BA198" s="47">
        <v>0</v>
      </c>
      <c r="BB198" s="47">
        <v>0</v>
      </c>
      <c r="BC198" s="47">
        <v>0</v>
      </c>
      <c r="BD198" s="47">
        <v>0</v>
      </c>
      <c r="BE198" s="47">
        <v>0</v>
      </c>
      <c r="BF198" s="47">
        <v>0</v>
      </c>
      <c r="BG198" s="47">
        <v>0</v>
      </c>
      <c r="BH198" s="47">
        <v>0</v>
      </c>
      <c r="BI198" s="47">
        <v>0</v>
      </c>
      <c r="BJ198" s="47">
        <v>0</v>
      </c>
      <c r="BK198" s="47">
        <v>0</v>
      </c>
      <c r="BL198" s="47">
        <v>0</v>
      </c>
      <c r="BM198" s="47">
        <v>0</v>
      </c>
      <c r="BN198" s="47">
        <v>0</v>
      </c>
      <c r="BO198" s="47">
        <v>0</v>
      </c>
      <c r="BP198" s="47">
        <v>0</v>
      </c>
      <c r="BQ198" s="47">
        <v>0</v>
      </c>
      <c r="BR198" s="47">
        <v>0</v>
      </c>
      <c r="BS198" s="47">
        <v>0</v>
      </c>
      <c r="BT198" s="47">
        <v>0</v>
      </c>
      <c r="BU198" s="47">
        <v>0</v>
      </c>
      <c r="BV198" s="47">
        <v>0</v>
      </c>
      <c r="BW198" s="47">
        <v>0</v>
      </c>
      <c r="BX198" s="47">
        <v>0</v>
      </c>
      <c r="BY198" s="47">
        <v>0</v>
      </c>
      <c r="BZ198" s="47">
        <v>0</v>
      </c>
      <c r="CA198" s="47">
        <v>0</v>
      </c>
      <c r="CB198" s="47">
        <v>0</v>
      </c>
      <c r="CC198" s="47">
        <v>0</v>
      </c>
      <c r="CD198" s="47">
        <v>0</v>
      </c>
      <c r="CE198" s="47">
        <v>0</v>
      </c>
      <c r="CF198" s="47">
        <v>0</v>
      </c>
      <c r="CG198" s="47">
        <v>0</v>
      </c>
      <c r="CH198" s="47">
        <v>0</v>
      </c>
      <c r="CI198" s="47">
        <v>0</v>
      </c>
      <c r="CJ198" s="47">
        <v>0</v>
      </c>
      <c r="CK198" s="47">
        <v>0</v>
      </c>
      <c r="CL198" s="47">
        <v>0</v>
      </c>
      <c r="CM198" s="47">
        <v>0</v>
      </c>
      <c r="CN198" s="47">
        <v>0</v>
      </c>
      <c r="CO198" s="47">
        <v>0</v>
      </c>
      <c r="CP198" s="47">
        <v>0</v>
      </c>
      <c r="CQ198" s="47">
        <v>0</v>
      </c>
      <c r="CR198" s="47">
        <v>0</v>
      </c>
      <c r="CS198" s="47">
        <v>0</v>
      </c>
      <c r="CT198" s="47">
        <v>0</v>
      </c>
      <c r="CU198" s="47">
        <v>0</v>
      </c>
      <c r="CV198" s="47">
        <v>0.8266</v>
      </c>
      <c r="CW198" s="47">
        <v>0</v>
      </c>
      <c r="CX198" s="47">
        <v>0</v>
      </c>
      <c r="CY198" s="47">
        <v>0</v>
      </c>
      <c r="CZ198" s="47">
        <v>0</v>
      </c>
      <c r="DA198" s="47">
        <v>0</v>
      </c>
      <c r="DB198" s="47">
        <v>0</v>
      </c>
      <c r="DC198" s="47">
        <v>0</v>
      </c>
      <c r="DD198" s="47">
        <v>0</v>
      </c>
      <c r="DE198" s="47">
        <v>0</v>
      </c>
      <c r="DF198" s="47">
        <v>0</v>
      </c>
      <c r="DG198" s="47">
        <v>0</v>
      </c>
      <c r="DH198" s="47">
        <v>0</v>
      </c>
      <c r="DI198" s="47">
        <v>0</v>
      </c>
      <c r="DJ198" s="47">
        <v>0</v>
      </c>
      <c r="DK198" s="47">
        <v>0</v>
      </c>
      <c r="DL198" s="47">
        <v>0</v>
      </c>
      <c r="DM198" s="47">
        <v>0</v>
      </c>
      <c r="DN198" s="47">
        <v>0</v>
      </c>
      <c r="DO198" s="47">
        <v>0</v>
      </c>
      <c r="DP198" s="47">
        <v>0</v>
      </c>
      <c r="DQ198" s="47">
        <v>0</v>
      </c>
      <c r="DR198" s="47">
        <v>0</v>
      </c>
      <c r="DS198" s="47">
        <v>0</v>
      </c>
      <c r="DT198" s="47">
        <v>0</v>
      </c>
      <c r="DU198" s="47">
        <v>0</v>
      </c>
      <c r="DV198" s="47">
        <v>0</v>
      </c>
      <c r="DW198" s="47">
        <v>0</v>
      </c>
      <c r="DX198" s="47">
        <v>0</v>
      </c>
      <c r="DY198" s="47">
        <v>0</v>
      </c>
      <c r="DZ198" s="47"/>
      <c r="EA198" s="47">
        <v>0.8266</v>
      </c>
      <c r="ZZ198" t="s">
        <v>1084</v>
      </c>
    </row>
    <row r="199" spans="1:702" x14ac:dyDescent="0.25">
      <c r="A199" s="47" t="s">
        <v>1063</v>
      </c>
      <c r="B199" s="47" t="s">
        <v>151</v>
      </c>
      <c r="C199" s="47" t="s">
        <v>155</v>
      </c>
      <c r="D199" s="47" t="s">
        <v>1269</v>
      </c>
      <c r="E199" s="47" t="s">
        <v>1064</v>
      </c>
      <c r="F199" s="47" t="s">
        <v>1065</v>
      </c>
      <c r="G199" s="47" t="s">
        <v>1066</v>
      </c>
      <c r="H199" s="47" t="s">
        <v>965</v>
      </c>
      <c r="I199" s="47" t="s">
        <v>1250</v>
      </c>
      <c r="J199" s="47" t="str">
        <f>=IFERROR(VLOOKUP(H199&amp;I199,Table_Fonctions!A:G,6,FALSE),"")</f>
        <v>0</v>
      </c>
      <c r="K199" s="47" t="s">
        <v>1136</v>
      </c>
      <c r="L199" s="47" t="str">
        <f>=IFERROR(VLOOKUP(H199&amp;I199,Table_Fonctions!A:G,7,FALSE),K199)</f>
        <v/>
      </c>
      <c r="M199" s="47" t="str">
        <f>=IF(OR(LEFT(D199, 3)="TJ ", LEFT(D199, 4)="CPH "), "OUI", "NON")</f>
        <v/>
      </c>
      <c r="N199" s="47" t="s">
        <v>1067</v>
      </c>
      <c r="O199" s="47"/>
      <c r="P199" s="47">
        <v>1</v>
      </c>
      <c r="Q199" s="47">
        <v>1</v>
      </c>
      <c r="R199" s="47">
        <v>0</v>
      </c>
      <c r="S199" s="47">
        <f>=ROUND(BQ199-(BR199+BS199),3)</f>
      </c>
      <c r="T199" s="47">
        <f>=ROUND(CK199-(CL199+CM199+CN199+CO199+CP199),3)</f>
      </c>
      <c r="U199" s="47">
        <v>0</v>
      </c>
      <c r="V199" s="47">
        <v>0</v>
      </c>
      <c r="W199" s="47">
        <v>0</v>
      </c>
      <c r="X199" s="47">
        <v>0</v>
      </c>
      <c r="Y199" s="47">
        <v>0</v>
      </c>
      <c r="Z199" s="47">
        <v>1</v>
      </c>
      <c r="AA199" s="47">
        <v>0</v>
      </c>
      <c r="AB199" s="47">
        <v>0</v>
      </c>
      <c r="AC199" s="47">
        <v>0</v>
      </c>
      <c r="AD199" s="47">
        <v>0</v>
      </c>
      <c r="AE199" s="47">
        <v>0</v>
      </c>
      <c r="AF199" s="47">
        <v>0</v>
      </c>
      <c r="AG199" s="47">
        <v>0</v>
      </c>
      <c r="AH199" s="47">
        <v>0</v>
      </c>
      <c r="AI199" s="47">
        <v>0</v>
      </c>
      <c r="AJ199" s="47">
        <v>0</v>
      </c>
      <c r="AK199" s="47">
        <v>0</v>
      </c>
      <c r="AL199" s="47">
        <v>0</v>
      </c>
      <c r="AM199" s="47">
        <v>0</v>
      </c>
      <c r="AN199" s="47">
        <v>0</v>
      </c>
      <c r="AO199" s="47">
        <v>0</v>
      </c>
      <c r="AP199" s="47">
        <v>0</v>
      </c>
      <c r="AQ199" s="47">
        <v>0</v>
      </c>
      <c r="AR199" s="47">
        <v>0</v>
      </c>
      <c r="AS199" s="47">
        <v>0</v>
      </c>
      <c r="AT199" s="47">
        <v>0</v>
      </c>
      <c r="AU199" s="47">
        <v>0</v>
      </c>
      <c r="AV199" s="47">
        <v>0</v>
      </c>
      <c r="AW199" s="47">
        <v>0</v>
      </c>
      <c r="AX199" s="47">
        <v>0</v>
      </c>
      <c r="AY199" s="47">
        <v>0</v>
      </c>
      <c r="AZ199" s="47">
        <v>0</v>
      </c>
      <c r="BA199" s="47">
        <v>0</v>
      </c>
      <c r="BB199" s="47">
        <v>0</v>
      </c>
      <c r="BC199" s="47">
        <v>0</v>
      </c>
      <c r="BD199" s="47">
        <v>0</v>
      </c>
      <c r="BE199" s="47">
        <v>0</v>
      </c>
      <c r="BF199" s="47">
        <v>0</v>
      </c>
      <c r="BG199" s="47">
        <v>0</v>
      </c>
      <c r="BH199" s="47">
        <v>0</v>
      </c>
      <c r="BI199" s="47">
        <v>0</v>
      </c>
      <c r="BJ199" s="47">
        <v>0</v>
      </c>
      <c r="BK199" s="47">
        <v>0</v>
      </c>
      <c r="BL199" s="47">
        <v>0</v>
      </c>
      <c r="BM199" s="47">
        <v>0</v>
      </c>
      <c r="BN199" s="47">
        <v>0</v>
      </c>
      <c r="BO199" s="47">
        <v>0</v>
      </c>
      <c r="BP199" s="47">
        <v>0</v>
      </c>
      <c r="BQ199" s="47">
        <v>0</v>
      </c>
      <c r="BR199" s="47">
        <v>0</v>
      </c>
      <c r="BS199" s="47">
        <v>0</v>
      </c>
      <c r="BT199" s="47">
        <v>0</v>
      </c>
      <c r="BU199" s="47">
        <v>0</v>
      </c>
      <c r="BV199" s="47">
        <v>0</v>
      </c>
      <c r="BW199" s="47">
        <v>0</v>
      </c>
      <c r="BX199" s="47">
        <v>0</v>
      </c>
      <c r="BY199" s="47">
        <v>0</v>
      </c>
      <c r="BZ199" s="47">
        <v>0</v>
      </c>
      <c r="CA199" s="47">
        <v>0</v>
      </c>
      <c r="CB199" s="47">
        <v>0</v>
      </c>
      <c r="CC199" s="47">
        <v>0</v>
      </c>
      <c r="CD199" s="47">
        <v>0</v>
      </c>
      <c r="CE199" s="47">
        <v>0</v>
      </c>
      <c r="CF199" s="47">
        <v>0</v>
      </c>
      <c r="CG199" s="47">
        <v>0</v>
      </c>
      <c r="CH199" s="47">
        <v>0</v>
      </c>
      <c r="CI199" s="47">
        <v>0</v>
      </c>
      <c r="CJ199" s="47">
        <v>0</v>
      </c>
      <c r="CK199" s="47">
        <v>0</v>
      </c>
      <c r="CL199" s="47">
        <v>0</v>
      </c>
      <c r="CM199" s="47">
        <v>0</v>
      </c>
      <c r="CN199" s="47">
        <v>0</v>
      </c>
      <c r="CO199" s="47">
        <v>0</v>
      </c>
      <c r="CP199" s="47">
        <v>0</v>
      </c>
      <c r="CQ199" s="47">
        <v>0</v>
      </c>
      <c r="CR199" s="47">
        <v>0</v>
      </c>
      <c r="CS199" s="47">
        <v>0</v>
      </c>
      <c r="CT199" s="47">
        <v>0</v>
      </c>
      <c r="CU199" s="47">
        <v>0</v>
      </c>
      <c r="CV199" s="47">
        <v>0</v>
      </c>
      <c r="CW199" s="47">
        <v>0</v>
      </c>
      <c r="CX199" s="47">
        <v>0</v>
      </c>
      <c r="CY199" s="47">
        <v>0</v>
      </c>
      <c r="CZ199" s="47">
        <v>0</v>
      </c>
      <c r="DA199" s="47">
        <v>0</v>
      </c>
      <c r="DB199" s="47">
        <v>0</v>
      </c>
      <c r="DC199" s="47">
        <v>0</v>
      </c>
      <c r="DD199" s="47">
        <v>0</v>
      </c>
      <c r="DE199" s="47">
        <v>0</v>
      </c>
      <c r="DF199" s="47">
        <v>0</v>
      </c>
      <c r="DG199" s="47">
        <v>0</v>
      </c>
      <c r="DH199" s="47">
        <v>0</v>
      </c>
      <c r="DI199" s="47">
        <v>0</v>
      </c>
      <c r="DJ199" s="47">
        <v>0</v>
      </c>
      <c r="DK199" s="47">
        <v>0</v>
      </c>
      <c r="DL199" s="47">
        <v>0</v>
      </c>
      <c r="DM199" s="47">
        <v>0</v>
      </c>
      <c r="DN199" s="47">
        <v>0</v>
      </c>
      <c r="DO199" s="47">
        <v>0</v>
      </c>
      <c r="DP199" s="47">
        <v>0</v>
      </c>
      <c r="DQ199" s="47">
        <v>0</v>
      </c>
      <c r="DR199" s="47">
        <v>0</v>
      </c>
      <c r="DS199" s="47">
        <v>0</v>
      </c>
      <c r="DT199" s="47">
        <v>0</v>
      </c>
      <c r="DU199" s="47">
        <v>0.0766</v>
      </c>
      <c r="DV199" s="47">
        <v>0.3226</v>
      </c>
      <c r="DW199" s="47">
        <v>0</v>
      </c>
      <c r="DX199" s="47">
        <v>0.0605</v>
      </c>
      <c r="DY199" s="47">
        <v>0.4597</v>
      </c>
      <c r="DZ199" s="47"/>
      <c r="EA199" s="47">
        <v>1</v>
      </c>
      <c r="ZZ199" t="s">
        <v>1084</v>
      </c>
    </row>
    <row r="200" spans="1:702" x14ac:dyDescent="0.25">
      <c r="A200" s="47" t="s">
        <v>1068</v>
      </c>
      <c r="B200" s="47" t="s">
        <v>151</v>
      </c>
      <c r="C200" s="47" t="s">
        <v>155</v>
      </c>
      <c r="D200" s="47" t="s">
        <v>1128</v>
      </c>
      <c r="E200" s="47" t="s">
        <v>1069</v>
      </c>
      <c r="F200" s="47" t="s">
        <v>1070</v>
      </c>
      <c r="G200" s="47" t="s">
        <v>366</v>
      </c>
      <c r="H200" s="47" t="s">
        <v>965</v>
      </c>
      <c r="I200" s="47" t="s">
        <v>1250</v>
      </c>
      <c r="J200" s="47" t="str">
        <f>=IFERROR(VLOOKUP(H200&amp;I200,Table_Fonctions!A:G,6,FALSE),"")</f>
        <v>0</v>
      </c>
      <c r="K200" s="47" t="s">
        <v>1136</v>
      </c>
      <c r="L200" s="47" t="str">
        <f>=IFERROR(VLOOKUP(H200&amp;I200,Table_Fonctions!A:G,7,FALSE),K200)</f>
        <v/>
      </c>
      <c r="M200" s="47" t="str">
        <f>=IF(OR(LEFT(D200, 3)="TJ ", LEFT(D200, 4)="CPH "), "OUI", "NON")</f>
        <v/>
      </c>
      <c r="N200" s="47" t="s">
        <v>1071</v>
      </c>
      <c r="O200" s="47"/>
      <c r="P200" s="47">
        <v>0.0403</v>
      </c>
      <c r="Q200" s="47">
        <v>0.0403</v>
      </c>
      <c r="R200" s="47">
        <v>0</v>
      </c>
      <c r="S200" s="47">
        <f>=ROUND(BQ200-(BR200+BS200),3)</f>
      </c>
      <c r="T200" s="47">
        <f>=ROUND(CK200-(CL200+CM200+CN200+CO200+CP200),3)</f>
      </c>
      <c r="U200" s="47">
        <v>0</v>
      </c>
      <c r="V200" s="47">
        <v>0</v>
      </c>
      <c r="W200" s="47">
        <v>0</v>
      </c>
      <c r="X200" s="47">
        <v>0</v>
      </c>
      <c r="Y200" s="47">
        <v>0</v>
      </c>
      <c r="Z200" s="47">
        <v>0</v>
      </c>
      <c r="AA200" s="47">
        <v>0</v>
      </c>
      <c r="AB200" s="47">
        <v>0</v>
      </c>
      <c r="AC200" s="47">
        <v>0</v>
      </c>
      <c r="AD200" s="47">
        <v>0</v>
      </c>
      <c r="AE200" s="47">
        <v>0</v>
      </c>
      <c r="AF200" s="47">
        <v>0</v>
      </c>
      <c r="AG200" s="47">
        <v>0</v>
      </c>
      <c r="AH200" s="47">
        <v>0</v>
      </c>
      <c r="AI200" s="47">
        <v>0</v>
      </c>
      <c r="AJ200" s="47">
        <v>0</v>
      </c>
      <c r="AK200" s="47">
        <v>0</v>
      </c>
      <c r="AL200" s="47">
        <v>0</v>
      </c>
      <c r="AM200" s="47">
        <v>0</v>
      </c>
      <c r="AN200" s="47">
        <v>0</v>
      </c>
      <c r="AO200" s="47">
        <v>0</v>
      </c>
      <c r="AP200" s="47">
        <v>0</v>
      </c>
      <c r="AQ200" s="47">
        <v>0</v>
      </c>
      <c r="AR200" s="47">
        <v>0</v>
      </c>
      <c r="AS200" s="47">
        <v>0</v>
      </c>
      <c r="AT200" s="47">
        <v>0</v>
      </c>
      <c r="AU200" s="47">
        <v>0</v>
      </c>
      <c r="AV200" s="47">
        <v>0</v>
      </c>
      <c r="AW200" s="47">
        <v>0</v>
      </c>
      <c r="AX200" s="47">
        <v>0</v>
      </c>
      <c r="AY200" s="47">
        <v>0</v>
      </c>
      <c r="AZ200" s="47">
        <v>0</v>
      </c>
      <c r="BA200" s="47">
        <v>0</v>
      </c>
      <c r="BB200" s="47">
        <v>0</v>
      </c>
      <c r="BC200" s="47">
        <v>0</v>
      </c>
      <c r="BD200" s="47">
        <v>0</v>
      </c>
      <c r="BE200" s="47">
        <v>0</v>
      </c>
      <c r="BF200" s="47">
        <v>0</v>
      </c>
      <c r="BG200" s="47">
        <v>0</v>
      </c>
      <c r="BH200" s="47">
        <v>0</v>
      </c>
      <c r="BI200" s="47">
        <v>0</v>
      </c>
      <c r="BJ200" s="47">
        <v>0</v>
      </c>
      <c r="BK200" s="47">
        <v>0</v>
      </c>
      <c r="BL200" s="47">
        <v>0</v>
      </c>
      <c r="BM200" s="47">
        <v>0</v>
      </c>
      <c r="BN200" s="47">
        <v>0</v>
      </c>
      <c r="BO200" s="47">
        <v>0</v>
      </c>
      <c r="BP200" s="47">
        <v>0</v>
      </c>
      <c r="BQ200" s="47">
        <v>0</v>
      </c>
      <c r="BR200" s="47">
        <v>0</v>
      </c>
      <c r="BS200" s="47">
        <v>0</v>
      </c>
      <c r="BT200" s="47">
        <v>0.0403</v>
      </c>
      <c r="BU200" s="47">
        <v>0</v>
      </c>
      <c r="BV200" s="47">
        <v>0</v>
      </c>
      <c r="BW200" s="47">
        <v>0</v>
      </c>
      <c r="BX200" s="47">
        <v>0</v>
      </c>
      <c r="BY200" s="47">
        <v>0</v>
      </c>
      <c r="BZ200" s="47">
        <v>0</v>
      </c>
      <c r="CA200" s="47">
        <v>0</v>
      </c>
      <c r="CB200" s="47">
        <v>0</v>
      </c>
      <c r="CC200" s="47">
        <v>0</v>
      </c>
      <c r="CD200" s="47">
        <v>0</v>
      </c>
      <c r="CE200" s="47">
        <v>0</v>
      </c>
      <c r="CF200" s="47">
        <v>0</v>
      </c>
      <c r="CG200" s="47">
        <v>0</v>
      </c>
      <c r="CH200" s="47">
        <v>0</v>
      </c>
      <c r="CI200" s="47">
        <v>0</v>
      </c>
      <c r="CJ200" s="47">
        <v>0</v>
      </c>
      <c r="CK200" s="47">
        <v>0</v>
      </c>
      <c r="CL200" s="47">
        <v>0</v>
      </c>
      <c r="CM200" s="47">
        <v>0</v>
      </c>
      <c r="CN200" s="47">
        <v>0</v>
      </c>
      <c r="CO200" s="47">
        <v>0</v>
      </c>
      <c r="CP200" s="47">
        <v>0</v>
      </c>
      <c r="CQ200" s="47">
        <v>0</v>
      </c>
      <c r="CR200" s="47">
        <v>0</v>
      </c>
      <c r="CS200" s="47">
        <v>0</v>
      </c>
      <c r="CT200" s="47">
        <v>0</v>
      </c>
      <c r="CU200" s="47">
        <v>0</v>
      </c>
      <c r="CV200" s="47">
        <v>0</v>
      </c>
      <c r="CW200" s="47">
        <v>0</v>
      </c>
      <c r="CX200" s="47">
        <v>0</v>
      </c>
      <c r="CY200" s="47">
        <v>0</v>
      </c>
      <c r="CZ200" s="47">
        <v>0</v>
      </c>
      <c r="DA200" s="47">
        <v>0</v>
      </c>
      <c r="DB200" s="47">
        <v>0</v>
      </c>
      <c r="DC200" s="47">
        <v>0</v>
      </c>
      <c r="DD200" s="47">
        <v>0</v>
      </c>
      <c r="DE200" s="47">
        <v>0</v>
      </c>
      <c r="DF200" s="47">
        <v>0</v>
      </c>
      <c r="DG200" s="47">
        <v>0</v>
      </c>
      <c r="DH200" s="47">
        <v>0</v>
      </c>
      <c r="DI200" s="47">
        <v>0</v>
      </c>
      <c r="DJ200" s="47">
        <v>0</v>
      </c>
      <c r="DK200" s="47">
        <v>0</v>
      </c>
      <c r="DL200" s="47">
        <v>0</v>
      </c>
      <c r="DM200" s="47">
        <v>0</v>
      </c>
      <c r="DN200" s="47">
        <v>0</v>
      </c>
      <c r="DO200" s="47">
        <v>0</v>
      </c>
      <c r="DP200" s="47">
        <v>0</v>
      </c>
      <c r="DQ200" s="47">
        <v>0</v>
      </c>
      <c r="DR200" s="47">
        <v>0</v>
      </c>
      <c r="DS200" s="47">
        <v>0</v>
      </c>
      <c r="DT200" s="47">
        <v>0</v>
      </c>
      <c r="DU200" s="47">
        <v>0</v>
      </c>
      <c r="DV200" s="47">
        <v>0</v>
      </c>
      <c r="DW200" s="47">
        <v>0</v>
      </c>
      <c r="DX200" s="47">
        <v>0</v>
      </c>
      <c r="DY200" s="47">
        <v>0</v>
      </c>
      <c r="DZ200" s="47"/>
      <c r="EA200" s="47">
        <v>0.0403</v>
      </c>
      <c r="ZZ200" t="s">
        <v>1084</v>
      </c>
    </row>
    <row r="201" spans="1:157" x14ac:dyDescent="0.25">
      <c r="B201" s="48"/>
      <c r="D201" s="52"/>
      <c r="I201" s="52"/>
      <c r="FA201" s="1"/>
    </row>
  </sheetData>
  <sheetProtection sheet="1" autoFilter="0"/>
  <autoFilter ref="A2:EA2"/>
  <mergeCells count="1">
    <mergeCell ref="D1:Q1"/>
  </mergeCells>
  <conditionalFormatting sqref="A3:EA201 A2:EA2 A1:G1 I1:EY1">
    <cfRule type="expression" dxfId="0" priority="1">
      <formula>OR(AND(OR($R1&lt;&gt;0,$S1&lt;&gt;0,$T1&lt;&gt;0,ISBLANK($P1)),ROW()&gt;2,$A1&lt;&gt;""),LEFT($I1,3)="JA ")</formula>
    </cfRule>
  </conditionalFormatting>
  <dataValidations count="22">
    <dataValidation type="list" allowBlank="1" showInputMessage="1" showErrorMessage="1" error="Veuillez selectionner une valeur dans le menu déroulant" sqref="D10:D200">
      <formula1>""</formula1>
    </dataValidation>
    <dataValidation type="list" allowBlank="1" showInputMessage="1" showErrorMessage="1" error="Veuillez selectionner une valeur dans le menu déroulant" sqref="D3:D200">
      <formula1>""</formula1>
    </dataValidation>
    <dataValidation type="list" allowBlank="1" sqref="I103">
      <formula1>"A PLACÉ ADDITIONNEL,A PLACÉ SUBSTITUTION"</formula1>
    </dataValidation>
    <dataValidation type="list" allowBlank="1" sqref="I118">
      <formula1>"A PLACÉ ADDITIONNEL,A PLACÉ SUBSTITUTION"</formula1>
    </dataValidation>
    <dataValidation type="list" allowBlank="1" sqref="I137">
      <formula1>"B PLACÉ ADDITIONNEL,B PLACÉ SUBSTITUTION"</formula1>
    </dataValidation>
    <dataValidation type="list" allowBlank="1" sqref="I169">
      <formula1>"B PLACÉ ADDITIONNEL,B PLACÉ SUBSTITUTION"</formula1>
    </dataValidation>
    <dataValidation type="list" allowBlank="1" sqref="I177:I179">
      <formula1>"Att. J Siège autres,Att. J Siege Assises,Att. J Siege CCD,Att. J Parquet,Att. J JAP,Att. J JE,Att. J JI,Att. J JLD PÉNAL"</formula1>
    </dataValidation>
    <dataValidation type="list" allowBlank="1" sqref="I181:I182">
      <formula1>"Att. J Siège autres,Att. J Siege Assises,Att. J Siege CCD,Att. J Parquet,Att. J JAP,Att. J JE,Att. J JI,Att. J JLD PÉNAL"</formula1>
    </dataValidation>
    <dataValidation type="list" allowBlank="1" sqref="I183:I184">
      <formula1>"JA Siège autres,JA Social,JA Parquet,JA JAP,JA JE,JA JI,JA JLD"</formula1>
    </dataValidation>
    <dataValidation type="list" allowBlank="1" sqref="I185">
      <formula1>"Att. J Siège autres,Att. J Siege Assises,Att. J Siege CCD,Att. J Parquet,Att. J JAP,Att. J JE,Att. J JI,Att. J JLD PÉNAL"</formula1>
    </dataValidation>
    <dataValidation type="list" allowBlank="1" sqref="I186">
      <formula1>"JA Siège autres,JA Social,JA Parquet,JA JAP,JA JE,JA JI,JA JLD"</formula1>
    </dataValidation>
    <dataValidation type="list" allowBlank="1" sqref="I187:I188">
      <formula1>"Att. J Siège autres,Att. J Siege Assises,Att. J Siege CCD,Att. J Parquet,Att. J JAP,Att. J JE,Att. J JI,Att. J JLD PÉNAL"</formula1>
    </dataValidation>
    <dataValidation type="list" allowBlank="1" sqref="I189">
      <formula1>"JA Siège autres,JA Social,JA Parquet,JA JAP,JA JE,JA JI,JA JLD"</formula1>
    </dataValidation>
    <dataValidation type="list" allowBlank="1" sqref="I190:I194">
      <formula1>"Att. J Siège autres,Att. J Siege Assises,Att. J Siege CCD,Att. J Parquet,Att. J JAP,Att. J JE,Att. J JI,Att. J JLD PÉNAL"</formula1>
    </dataValidation>
    <dataValidation type="list" allowBlank="1" sqref="I195">
      <formula1>"JA Siège autres,JA Social,JA Parquet,JA JAP,JA JE,JA JI,JA JLD"</formula1>
    </dataValidation>
    <dataValidation type="list" allowBlank="1" sqref="I196">
      <formula1>"Att. J Siège autres,Att. J Siege Assises,Att. J Siege CCD,Att. J Parquet,Att. J JAP,Att. J JE,Att. J JI,Att. J JLD PÉNAL"</formula1>
    </dataValidation>
    <dataValidation type="list" allowBlank="1" sqref="I199:I200">
      <formula1>"Att. J Siège autres,Att. J Siege Assises,Att. J Siege CCD,Att. J Parquet,Att. J JAP,Att. J JE,Att. J JI,Att. J JLD PÉNAL"</formula1>
    </dataValidation>
    <dataValidation type="list" allowBlank="1" sqref="I39">
      <formula1>"J. PLACÉ ADDITIONNEL,J. PLACÉ SUBSTITUTION"</formula1>
    </dataValidation>
    <dataValidation type="list" allowBlank="1" sqref="I42">
      <formula1>"VP PLACÉ ADDITIONNEL,VP PLACÉ SUBSTITUTION"</formula1>
    </dataValidation>
    <dataValidation type="list" allowBlank="1" sqref="I44">
      <formula1>"J. PLACÉ ADDITIONNEL,J. PLACÉ SUBSTITUTION"</formula1>
    </dataValidation>
    <dataValidation type="list" allowBlank="1" sqref="I5">
      <formula1>"J. PLACÉ ADDITIONNEL,J. PLACÉ SUBSTITUTION"</formula1>
    </dataValidation>
    <dataValidation type="list" allowBlank="1" sqref="I56">
      <formula1>"CONT A JP Siège,CONT A JP Parquet"</formula1>
    </dataValidation>
  </dataValidations>
  <pageMargins left="0.7" right="0.7" top="0.75" bottom="0.75" header="0.3" footer="0.3"/>
  <pageSetup paperSize="9" orientation="portrait" horizontalDpi="0" verticalDpi="0" scale="100" fitToWidth="1" fitToHeight="1" firstPageNumber="1" useFirstPageNumber="1" copies="1"/>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B0B97"/>
  </sheetPr>
  <dimension ref="A1:X117"/>
  <sheetViews>
    <sheetView workbookViewId="0" zoomScale="100" zoomScaleNormal="90">
      <selection activeCell="A3" sqref="A3"/>
    </sheetView>
  </sheetViews>
  <sheetFormatPr defaultRowHeight="15" outlineLevelRow="0" outlineLevelCol="0" x14ac:dyDescent="0.2"/>
  <cols>
    <col min="1" max="1" width="20" customWidth="1"/>
    <col min="2" max="2" width="4.6640625" hidden="1" customWidth="1"/>
    <col min="3" max="3" width="38.33203125" hidden="1" customWidth="1"/>
    <col min="4" max="4" width="51.83203125" customWidth="1"/>
    <col min="5" max="5" width="34.6640625" hidden="1" customWidth="1"/>
    <col min="6" max="6" width="70.83203125" customWidth="1"/>
    <col min="7" max="8" width="19" customWidth="1"/>
    <col min="9" max="9" width="17.6640625" customWidth="1"/>
    <col min="10" max="11" width="16.83203125" customWidth="1"/>
    <col min="12" max="13" width="18.33203125" customWidth="1"/>
    <col min="14" max="15" width="20.5" customWidth="1"/>
    <col min="16" max="18" width="16.6640625" customWidth="1"/>
    <col min="21" max="22" width="18.1640625" customWidth="1"/>
  </cols>
  <sheetData>
    <row r="1" ht="80" customHeight="1" spans="1:23" s="40" customFormat="1" x14ac:dyDescent="0.25">
      <c r="A1" s="41" t="s">
        <v>1270</v>
      </c>
      <c r="B1" s="42"/>
      <c r="C1" s="53" t="s">
        <v>1271</v>
      </c>
      <c r="D1" s="53"/>
      <c r="E1" s="43"/>
      <c r="F1" s="43"/>
      <c r="G1" s="43"/>
      <c r="H1" s="43"/>
      <c r="I1" s="44"/>
      <c r="J1" s="44"/>
      <c r="K1" s="43"/>
      <c r="L1" s="43"/>
      <c r="M1" s="43"/>
      <c r="N1" s="43"/>
      <c r="O1" s="43"/>
      <c r="P1" s="43"/>
      <c r="Q1" s="43"/>
      <c r="R1" s="43"/>
      <c r="S1" s="43"/>
      <c r="T1" s="43"/>
      <c r="U1" s="43"/>
      <c r="V1" s="43"/>
      <c r="W1" s="40"/>
    </row>
    <row r="2" ht="42" customHeight="1" spans="1:3" x14ac:dyDescent="0.25">
      <c r="A2" s="54" t="s">
        <v>1272</v>
      </c>
      <c r="B2" s="55" t="s">
        <v>1273</v>
      </c>
    </row>
    <row r="3" ht="30" customHeight="1" spans="1:4" x14ac:dyDescent="0.25">
      <c r="A3" s="56" t="s">
        <v>1084</v>
      </c>
      <c r="B3" s="57">
        <f>VLOOKUP(A3,#REF!,2,FALSE)</f>
      </c>
      <c r="D3" s="58" t="s">
        <v>1274</v>
      </c>
    </row>
    <row r="4" ht="19" customHeight="1" spans="1:24" x14ac:dyDescent="0.25">
      <c r="B4" s="59"/>
      <c r="C4" s="60"/>
      <c r="D4" s="60"/>
      <c r="E4" s="60"/>
      <c r="F4" s="60"/>
      <c r="G4" s="61" t="s">
        <v>1275</v>
      </c>
      <c r="H4" s="61"/>
      <c r="I4" s="61"/>
      <c r="J4" s="61"/>
      <c r="K4" s="61"/>
      <c r="L4" s="61"/>
      <c r="M4" s="61"/>
      <c r="N4" s="62" t="s">
        <v>1276</v>
      </c>
      <c r="O4" s="62"/>
      <c r="P4" s="62"/>
      <c r="Q4" s="62"/>
      <c r="R4" s="62"/>
      <c r="S4" s="62"/>
      <c r="T4" s="62"/>
      <c r="U4" s="61" t="s">
        <v>1277</v>
      </c>
      <c r="V4" s="61"/>
      <c r="W4" s="63"/>
    </row>
    <row r="5" ht="48" customHeight="1" spans="1:23" x14ac:dyDescent="0.25">
      <c r="C5" s="3"/>
      <c r="D5" s="3"/>
      <c r="E5" s="2"/>
      <c r="F5" s="2"/>
      <c r="G5" s="64" t="s">
        <v>1278</v>
      </c>
      <c r="H5" s="65" t="s">
        <v>1279</v>
      </c>
      <c r="I5" s="66" t="s">
        <v>1280</v>
      </c>
      <c r="J5" s="66" t="s">
        <v>1281</v>
      </c>
      <c r="K5" s="66" t="s">
        <v>1282</v>
      </c>
      <c r="L5" s="64" t="s">
        <v>1283</v>
      </c>
      <c r="M5" s="67" t="s">
        <v>1279</v>
      </c>
      <c r="N5" s="66" t="s">
        <v>1284</v>
      </c>
      <c r="O5" s="65" t="s">
        <v>1279</v>
      </c>
      <c r="P5" s="66" t="s">
        <v>1285</v>
      </c>
      <c r="Q5" s="66" t="s">
        <v>1286</v>
      </c>
      <c r="R5" s="66" t="s">
        <v>1282</v>
      </c>
      <c r="S5" s="64" t="s">
        <v>1287</v>
      </c>
      <c r="T5" s="65" t="s">
        <v>1279</v>
      </c>
      <c r="U5" s="64" t="s">
        <v>1282</v>
      </c>
      <c r="V5" s="67" t="s">
        <v>1279</v>
      </c>
    </row>
    <row r="6" ht="16" customHeight="1" spans="1:23" x14ac:dyDescent="0.25">
      <c r="A6" s="40"/>
      <c r="C6" s="68"/>
      <c r="D6" s="68"/>
      <c r="E6" s="69" t="s">
        <v>1075</v>
      </c>
      <c r="F6" s="70" t="s">
        <v>1075</v>
      </c>
      <c r="G6" s="71">
        <f>SUMIFS(
INDEX('ETPT Format DDG'!$A:$ZZ,,IFERROR(MATCH(E6,'ETPT Format DDG'!$2:$2,0),MATCH(C6,'ETPT Format DDG'!$2:$2,0))),
INDEX( 'ETPT Format DDG'!$A:$ZZ,,MATCH("Fonction agrégat",'ETPT Format DDG'!2:2,0)),"M-TIT",
INDEX( 'ETPT Format DDG'!$A:$ZZ,,MATCH("Juridiction",'ETPT Format DDG'!2:2,0)),$A$3)</f>
      </c>
      <c r="H6" s="72">
        <f>IF(AND(OR(LEFT(C6,3)="12.",LEFT(E6,3)="12.",LEFT(E6,5)="CET &gt;",IFERROR(G6/$G$6,"")=0),NOT(AND(LEFT(E6,4)="12.8",IFERROR(G6/$G$6,"")&lt;&gt;0)),NOT(AND(LEFT(E6,5)="12.31",IFERROR(G6/$G$6,"")&lt;&gt;0)),NOT(AND(LEFT(E6,5)="12.32",IFERROR(G6/$G$6,"")&lt;&gt;0))),"", IFERROR(G6/$G$6,""))</f>
      </c>
      <c r="I6" s="73">
        <f>SUMIFS(
INDEX('ETPT Format DDG'!$A:$ZZ,,IFERROR(MATCH(E6,'ETPT Format DDG'!$2:$2,0),MATCH(C6,'ETPT Format DDG'!$2:$2,0))),
INDEX( 'ETPT Format DDG'!$A:$ZZ,,MATCH("Fonction agrégat",'ETPT Format DDG'!2:2,0)),"M-PLAC-ADD",
INDEX( 'ETPT Format DDG'!$A:$ZZ,,MATCH("Juridiction",'ETPT Format DDG'!2:2,0)),$A$3)</f>
      </c>
      <c r="J6" s="73">
        <f>SUMIFS(
INDEX('ETPT Format DDG'!$A:$ZZ,,IFERROR(MATCH(E6,'ETPT Format DDG'!$2:$2,0),MATCH(C6,'ETPT Format DDG'!$2:$2,0))),
INDEX( 'ETPT Format DDG'!$A:$ZZ,,MATCH("Fonction agrégat",'ETPT Format DDG'!2:2,0)),"M-PLAC-SUB",
INDEX( 'ETPT Format DDG'!$A:$ZZ,,MATCH("Juridiction",'ETPT Format DDG'!2:2,0)),$A$3)</f>
      </c>
      <c r="K6" s="73">
        <f>SUMIFS(
INDEX('ETPT Format DDG'!$A:$ZZ,,IFERROR(MATCH(E6,'ETPT Format DDG'!$2:$2,0),MATCH(C6,'ETPT Format DDG'!$2:$2,0))),
INDEX( 'ETPT Format DDG'!$A:$ZZ,,MATCH("Fonction agrégat",'ETPT Format DDG'!2:2,0)),"M-CONT",
INDEX( 'ETPT Format DDG'!$A:$ZZ,,MATCH("Juridiction",'ETPT Format DDG'!2:2,0)),$A$3,
INDEX( 'ETPT Format DDG'!$A:$ZZ,,MATCH("Catégorie",'ETPT Format DDG'!2:2,0)),"Magistrat")</f>
      </c>
      <c r="L6" s="71">
        <f>SUMIFS(
INDEX('ETPT Format DDG'!$A:$ZZ,,IFERROR(MATCH(E6,'ETPT Format DDG'!$2:$2,0),MATCH(C6,'ETPT Format DDG'!$2:$2,0))),
INDEX( 'ETPT Format DDG'!$A:$ZZ,,MATCH("Juridiction",'ETPT Format DDG'!2:2,0)),$A$3,
INDEX( 'ETPT Format DDG'!$A:$ZZ,,MATCH("Catégorie",'ETPT Format DDG'!2:2,0)),"Magistrat")</f>
      </c>
      <c r="M6" s="74">
        <f>IF(AND(OR(LEFT(C6,3)="12.",LEFT(E6,3)="12.",LEFT(E6,5)="CET &gt;", IFERROR(L6/$L$6,"")=0),NOT(AND(LEFT(E6,4)="12.8",IFERROR(G6/$G$6,"")&lt;&gt;0)),NOT(AND(LEFT(E6,5)="12.31",IFERROR(L6/$G$6,"")&lt;&gt;0)),NOT(AND(LEFT(E6,5)="12.32",IFERROR(L6/$G$6,"")&lt;&gt;0))),"", IFERROR(L6/$L$6,""))</f>
      </c>
      <c r="N6" s="73">
        <f>SUMIFS(
INDEX('ETPT Format DDG'!$A:$ZZ,,IFERROR(MATCH(E6,'ETPT Format DDG'!$2:$2,0),MATCH(C6,'ETPT Format DDG'!$2:$2,0))),
INDEX( 'ETPT Format DDG'!$A:$ZZ,,MATCH("Fonction agrégat",'ETPT Format DDG'!2:2,0)),"F-TIT",
INDEX( 'ETPT Format DDG'!$A:$ZZ,,MATCH("Juridiction",'ETPT Format DDG'!2:2,0)),$A$3)</f>
      </c>
      <c r="O6" s="72">
        <f>IF(AND(OR(LEFT(C6,3)="12.",LEFT(E6,3)="12.",LEFT(E6,5)="CET &gt;",IFERROR(N6/$N$6,"")=0),NOT(AND(LEFT(E6,4)="12.8",IFERROR(G6/$G$6,"")&lt;&gt;0)),NOT(AND(LEFT(E6,5)="12.31",IFERROR(N6/$G$6,"")&lt;&gt;0)),NOT(AND(LEFT(E6,5)="12.32",IFERROR(N6/$G$6,"")&lt;&gt;0))),"",IFERROR(N6/$N$6,""))</f>
      </c>
      <c r="P6" s="73">
        <f>SUMIFS(
INDEX('ETPT Format DDG'!$A:$FB,,IFERROR(MATCH(E6,'ETPT Format DDG'!$2:$2,0),MATCH(C6,'ETPT Format DDG'!$2:$2,0))),
INDEX( 'ETPT Format DDG'!$A:$ZZ,,MATCH("Fonction agrégat",'ETPT Format DDG'!2:2,0)),"F-PLAC-ADD",
INDEX( 'ETPT Format DDG'!$A:$ZZ,,MATCH("Juridiction",'ETPT Format DDG'!2:2,0)),$A$3)</f>
      </c>
      <c r="Q6" s="73">
        <f>SUMIFS(
INDEX('ETPT Format DDG'!$A:$FB,,IFERROR(MATCH(E6,'ETPT Format DDG'!$2:$2,0),MATCH(C6,'ETPT Format DDG'!$2:$2,0))),
INDEX( 'ETPT Format DDG'!$A:$ZZ,,MATCH("Fonction agrégat",'ETPT Format DDG'!2:2,0)),"F-PLAC-SUB",
INDEX( 'ETPT Format DDG'!$A:$ZZ,,MATCH("Juridiction",'ETPT Format DDG'!2:2,0)),$A$3)</f>
      </c>
      <c r="R6" s="73">
        <f>SUMIFS(
INDEX('ETPT Format DDG'!$A:$FB,,IFERROR(MATCH(E6,'ETPT Format DDG'!$2:$2,0),MATCH(C6,'ETPT Format DDG'!$2:$2,0))),
INDEX( 'ETPT Format DDG'!$A:$ZZ,,MATCH("Fonction agrégat",'ETPT Format DDG'!2:2,0)),"C",
'ETPT Format DDG'!$H:$H,"Greffe",
INDEX( 'ETPT Format DDG'!$A:$ZZ,,MATCH("Juridiction",'ETPT Format DDG'!2:2,0)),$A$3)</f>
      </c>
      <c r="S6" s="71">
        <f>SUMIFS(
INDEX('ETPT Format DDG'!$A:$FB,,IFERROR(MATCH(E6,'ETPT Format DDG'!$2:$2,0),MATCH(C6,'ETPT Format DDG'!$2:$2,0))),
INDEX( 'ETPT Format DDG'!$A:$ZZ,,MATCH("Catégorie",'ETPT Format DDG'!2:2,0)),"Greffe",
INDEX( 'ETPT Format DDG'!$A:$ZZ,,MATCH("Juridiction",'ETPT Format DDG'!2:2,0)),$A$3)</f>
      </c>
      <c r="T6" s="72">
        <f>IF(AND(OR(LEFT(C6,3)="12.",LEFT(E6,3)="12.",LEFT(E6,5)="CET &gt;",IFERROR(S6/$S$6,"")=0),NOT(AND(LEFT(E6,4)="12.8",IFERROR(G6/$G$6,"")&lt;&gt;0)),NOT(AND(LEFT(E6,5)="12.31",IFERROR(S6/$G$6,"")&lt;&gt;0)),NOT(AND(LEFT(E6,5)="12.32",IFERROR(S6/$G$6,"")&lt;&gt;0))),"", IFERROR(S6/$S$6,""))</f>
      </c>
      <c r="U6" s="71">
        <f>SUMIFS(
INDEX('ETPT Format DDG'!$A:$FB,,IFERROR(MATCH(E6,'ETPT Format DDG'!$2:$2,0),MATCH(C6,'ETPT Format DDG'!$2:$2,0))),
INDEX( 'ETPT Format DDG'!$A:$ZZ,,MATCH("Fonction agrégat",'ETPT Format DDG'!2:2,0)),"C",
INDEX( 'ETPT Format DDG'!$A:$ZZ,,MATCH("Juridiction",'ETPT Format DDG'!2:2,0)),$A$3,
INDEX( 'ETPT Format DDG'!$A:$ZZ,,MATCH("Catégorie",'ETPT Format DDG'!2:2,0)),"Autour du magistrat")</f>
      </c>
      <c r="V6" s="74">
        <f>IF(AND(OR(LEFT(C6,3)="12.",LEFT(E6,3)="12.",LEFT(E6,5)="CET &gt;",IFERROR(U6/$U$6,"")=0),NOT(AND(LEFT(E6,4)="12.8",IFERROR(G6/$G$6,"")&lt;&gt;0)),NOT(AND(LEFT(E6,5)="12.31",IFERROR(U6/$G$6,"")&lt;&gt;0)),NOT(AND(LEFT(E6,5)="12.32",IFERROR(U6/$G$6,"")&lt;&gt;0))),"", IFERROR(U6/$U$6,""))</f>
      </c>
    </row>
    <row r="7" ht="50" customHeight="1" spans="1:23" x14ac:dyDescent="0.25">
      <c r="A7" s="40"/>
      <c r="C7" s="68"/>
      <c r="D7" s="68"/>
      <c r="E7" s="69" t="s">
        <v>1076</v>
      </c>
      <c r="F7" s="70" t="str">
        <f>=IF(OR('Synthèse ETPT'!L6&lt;&gt;'Synthèse ETPT'!L7,'Synthèse ETPT'!S6&lt;&gt;'Synthèse ETPT'!S7,'Synthèse ETPT'!U6&lt;&gt;'Synthèse ETPT'!U7),CONCATENATE("Temps ventilés sur la période (hors action 99) :",CHAR(10),"ℹ️ Des ventilations sont incomplètes, se référer à la colonne R de l’onglet ETPT format DDG"),"Temps ventilés sur la période (hors action 99)")</f>
        <v>"Temps ventilés sur la période (hors action 99) : Des ventilations sont incomplètes,",CHAR(10),"se référer à la colonne R de l’onglet ETPT format DDG"</v>
      </c>
      <c r="G7" s="71">
        <f>SUMIFS(
INDEX('ETPT Format DDG'!$A:$ZZ,,IFERROR(MATCH(E7,'ETPT Format DDG'!$2:$2,0),MATCH(C7,'ETPT Format DDG'!$2:$2,0))),
INDEX( 'ETPT Format DDG'!$A:$ZZ,,MATCH("Fonction agrégat",'ETPT Format DDG'!2:2,0)),"M-TIT",
INDEX( 'ETPT Format DDG'!$A:$ZZ,,MATCH("Juridiction",'ETPT Format DDG'!2:2,0)),$A$3)</f>
      </c>
      <c r="H7" s="72">
        <f>IF(AND(OR(LEFT(C7,3)="12.",LEFT(E7,3)="12.",LEFT(E7,5)="CET &gt;",IFERROR(G7/$G$6,"")=0),NOT(AND(LEFT(E7,4)="12.8",IFERROR(G7/$G$6,"")&lt;&gt;0)),NOT(AND(LEFT(E7,5)="12.31",IFERROR(G7/$G$6,"")&lt;&gt;0)),NOT(AND(LEFT(E7,5)="12.32",IFERROR(G7/$G$6,"")&lt;&gt;0))),"", IFERROR(G7/$G$6,""))</f>
      </c>
      <c r="I7" s="73">
        <f>SUMIFS(
INDEX('ETPT Format DDG'!$A:$ZZ,,IFERROR(MATCH(E7,'ETPT Format DDG'!$2:$2,0),MATCH(C7,'ETPT Format DDG'!$2:$2,0))),
INDEX( 'ETPT Format DDG'!$A:$ZZ,,MATCH("Fonction agrégat",'ETPT Format DDG'!2:2,0)),"M-PLAC-ADD",
INDEX( 'ETPT Format DDG'!$A:$ZZ,,MATCH("Juridiction",'ETPT Format DDG'!2:2,0)),$A$3)</f>
      </c>
      <c r="J7" s="73">
        <f>SUMIFS(
INDEX('ETPT Format DDG'!$A:$ZZ,,IFERROR(MATCH(E7,'ETPT Format DDG'!$2:$2,0),MATCH(C7,'ETPT Format DDG'!$2:$2,0))),
INDEX( 'ETPT Format DDG'!$A:$ZZ,,MATCH("Fonction agrégat",'ETPT Format DDG'!2:2,0)),"M-PLAC-SUB",
INDEX( 'ETPT Format DDG'!$A:$ZZ,,MATCH("Juridiction",'ETPT Format DDG'!2:2,0)),$A$3)</f>
      </c>
      <c r="K7" s="73">
        <f>SUMIFS(
INDEX('ETPT Format DDG'!$A:$ZZ,,IFERROR(MATCH(E7,'ETPT Format DDG'!$2:$2,0),MATCH(C7,'ETPT Format DDG'!$2:$2,0))),
INDEX( 'ETPT Format DDG'!$A:$ZZ,,MATCH("Fonction agrégat",'ETPT Format DDG'!2:2,0)),"M-CONT",
INDEX( 'ETPT Format DDG'!$A:$ZZ,,MATCH("Juridiction",'ETPT Format DDG'!2:2,0)),$A$3,
INDEX( 'ETPT Format DDG'!$A:$ZZ,,MATCH("Catégorie",'ETPT Format DDG'!2:2,0)),"Magistrat")</f>
      </c>
      <c r="L7" s="71">
        <f>SUMIFS(
INDEX('ETPT Format DDG'!$A:$ZZ,,IFERROR(MATCH(E7,'ETPT Format DDG'!$2:$2,0),MATCH(C7,'ETPT Format DDG'!$2:$2,0))),
INDEX( 'ETPT Format DDG'!$A:$ZZ,,MATCH("Juridiction",'ETPT Format DDG'!2:2,0)),$A$3,
INDEX( 'ETPT Format DDG'!$A:$ZZ,,MATCH("Catégorie",'ETPT Format DDG'!2:2,0)),"Magistrat")</f>
      </c>
      <c r="M7" s="74">
        <f>IF(AND(OR(LEFT(C7,3)="12.",LEFT(E7,3)="12.",LEFT(E7,5)="CET &gt;", IFERROR(L7/$L$6,"")=0),NOT(AND(LEFT(E7,4)="12.8",IFERROR(G7/$G$6,"")&lt;&gt;0)),NOT(AND(LEFT(E7,5)="12.31",IFERROR(L7/$G$6,"")&lt;&gt;0)),NOT(AND(LEFT(E7,5)="12.32",IFERROR(L7/$G$6,"")&lt;&gt;0))),"", IFERROR(L7/$L$6,""))</f>
      </c>
      <c r="N7" s="73">
        <f>SUMIFS(
INDEX('ETPT Format DDG'!$A:$ZZ,,IFERROR(MATCH(E7,'ETPT Format DDG'!$2:$2,0),MATCH(C7,'ETPT Format DDG'!$2:$2,0))),
INDEX( 'ETPT Format DDG'!$A:$ZZ,,MATCH("Fonction agrégat",'ETPT Format DDG'!2:2,0)),"F-TIT",
INDEX( 'ETPT Format DDG'!$A:$ZZ,,MATCH("Juridiction",'ETPT Format DDG'!2:2,0)),$A$3)</f>
      </c>
      <c r="O7" s="72">
        <f>IF(AND(OR(LEFT(C7,3)="12.",LEFT(E7,3)="12.",LEFT(E7,5)="CET &gt;",IFERROR(N7/$N$6,"")=0),NOT(AND(LEFT(E7,4)="12.8",IFERROR(G7/$G$6,"")&lt;&gt;0)),NOT(AND(LEFT(E7,5)="12.31",IFERROR(N7/$G$6,"")&lt;&gt;0)),NOT(AND(LEFT(E7,5)="12.32",IFERROR(N7/$G$6,"")&lt;&gt;0))),"",IFERROR(N7/$N$6,""))</f>
      </c>
      <c r="P7" s="73">
        <f>SUMIFS(
INDEX('ETPT Format DDG'!$A:$FB,,IFERROR(MATCH(E7,'ETPT Format DDG'!$2:$2,0),MATCH(C7,'ETPT Format DDG'!$2:$2,0))),
INDEX( 'ETPT Format DDG'!$A:$ZZ,,MATCH("Fonction agrégat",'ETPT Format DDG'!2:2,0)),"F-PLAC-ADD",
INDEX( 'ETPT Format DDG'!$A:$ZZ,,MATCH("Juridiction",'ETPT Format DDG'!2:2,0)),$A$3)</f>
      </c>
      <c r="Q7" s="73">
        <f>SUMIFS(
INDEX('ETPT Format DDG'!$A:$FB,,IFERROR(MATCH(E7,'ETPT Format DDG'!$2:$2,0),MATCH(C7,'ETPT Format DDG'!$2:$2,0))),
INDEX( 'ETPT Format DDG'!$A:$ZZ,,MATCH("Fonction agrégat",'ETPT Format DDG'!2:2,0)),"F-PLAC-SUB",
INDEX( 'ETPT Format DDG'!$A:$ZZ,,MATCH("Juridiction",'ETPT Format DDG'!2:2,0)),$A$3)</f>
      </c>
      <c r="R7" s="73">
        <f>SUMIFS(
INDEX('ETPT Format DDG'!$A:$FB,,IFERROR(MATCH(E7,'ETPT Format DDG'!$2:$2,0),MATCH(C7,'ETPT Format DDG'!$2:$2,0))),
INDEX( 'ETPT Format DDG'!$A:$ZZ,,MATCH("Fonction agrégat",'ETPT Format DDG'!2:2,0)),"C",
'ETPT Format DDG'!$H:$H,"Greffe",
INDEX( 'ETPT Format DDG'!$A:$ZZ,,MATCH("Juridiction",'ETPT Format DDG'!2:2,0)),$A$3)</f>
      </c>
      <c r="S7" s="71">
        <f>SUMIFS(
INDEX('ETPT Format DDG'!$A:$FB,,IFERROR(MATCH(E7,'ETPT Format DDG'!$2:$2,0),MATCH(C7,'ETPT Format DDG'!$2:$2,0))),
INDEX( 'ETPT Format DDG'!$A:$ZZ,,MATCH("Catégorie",'ETPT Format DDG'!2:2,0)),"Greffe",
INDEX( 'ETPT Format DDG'!$A:$ZZ,,MATCH("Juridiction",'ETPT Format DDG'!2:2,0)),$A$3)</f>
      </c>
      <c r="T7" s="72">
        <f>IF(AND(OR(LEFT(C7,3)="12.",LEFT(E7,3)="12.",LEFT(E7,5)="CET &gt;",IFERROR(S7/$S$6,"")=0),NOT(AND(LEFT(E7,4)="12.8",IFERROR(G7/$G$6,"")&lt;&gt;0)),NOT(AND(LEFT(E7,5)="12.31",IFERROR(S7/$G$6,"")&lt;&gt;0)),NOT(AND(LEFT(E7,5)="12.32",IFERROR(S7/$G$6,"")&lt;&gt;0))),"", IFERROR(S7/$S$6,""))</f>
      </c>
      <c r="U7" s="71">
        <f>SUMIFS(
INDEX('ETPT Format DDG'!$A:$FB,,IFERROR(MATCH(E7,'ETPT Format DDG'!$2:$2,0),MATCH(C7,'ETPT Format DDG'!$2:$2,0))),
INDEX( 'ETPT Format DDG'!$A:$ZZ,,MATCH("Fonction agrégat",'ETPT Format DDG'!2:2,0)),"C",
INDEX( 'ETPT Format DDG'!$A:$ZZ,,MATCH("Juridiction",'ETPT Format DDG'!2:2,0)),$A$3,
INDEX( 'ETPT Format DDG'!$A:$ZZ,,MATCH("Catégorie",'ETPT Format DDG'!2:2,0)),"Autour du magistrat")</f>
      </c>
      <c r="V7" s="74">
        <f>IF(AND(OR(LEFT(C7,3)="12.",LEFT(E7,3)="12.",LEFT(E7,5)="CET &gt;",IFERROR(U7/$U$6,"")=0),NOT(AND(LEFT(E7,4)="12.8",IFERROR(G7/$G$6,"")&lt;&gt;0)),NOT(AND(LEFT(E7,5)="12.31",IFERROR(U7/$G$6,"")&lt;&gt;0)),NOT(AND(LEFT(E7,5)="12.32",IFERROR(U7/$G$6,"")&lt;&gt;0))),"", IFERROR(U7/$U$6,""))</f>
      </c>
    </row>
    <row r="8" ht="16" customHeight="1" spans="1:23" x14ac:dyDescent="0.25">
      <c r="A8" s="40"/>
      <c r="C8" s="68" t="s">
        <v>43</v>
      </c>
      <c r="D8" s="68" t="s">
        <v>43</v>
      </c>
      <c r="E8" s="69"/>
      <c r="F8" s="70"/>
      <c r="G8" s="71">
        <f>SUMIFS(
INDEX('ETPT Format DDG'!$A:$ZZ,,IFERROR(MATCH(E8,'ETPT Format DDG'!$2:$2,0),MATCH(C8,'ETPT Format DDG'!$2:$2,0))),
INDEX( 'ETPT Format DDG'!$A:$ZZ,,MATCH("Fonction agrégat",'ETPT Format DDG'!2:2,0)),"M-TIT",
INDEX( 'ETPT Format DDG'!$A:$ZZ,,MATCH("Juridiction",'ETPT Format DDG'!2:2,0)),$A$3)</f>
      </c>
      <c r="H8" s="72">
        <f>IF(AND(OR(LEFT(C8,3)="12.",LEFT(E8,3)="12.",LEFT(E8,5)="CET &gt;",IFERROR(G8/$G$6,"")=0),NOT(AND(LEFT(E8,4)="12.8",IFERROR(G8/$G$6,"")&lt;&gt;0)),NOT(AND(LEFT(E8,5)="12.31",IFERROR(G8/$G$6,"")&lt;&gt;0)),NOT(AND(LEFT(E8,5)="12.32",IFERROR(G8/$G$6,"")&lt;&gt;0))),"", IFERROR(G8/$G$6,""))</f>
      </c>
      <c r="I8" s="73">
        <f>SUMIFS(
INDEX('ETPT Format DDG'!$A:$ZZ,,IFERROR(MATCH(E8,'ETPT Format DDG'!$2:$2,0),MATCH(C8,'ETPT Format DDG'!$2:$2,0))),
INDEX( 'ETPT Format DDG'!$A:$ZZ,,MATCH("Fonction agrégat",'ETPT Format DDG'!2:2,0)),"M-PLAC-ADD",
INDEX( 'ETPT Format DDG'!$A:$ZZ,,MATCH("Juridiction",'ETPT Format DDG'!2:2,0)),$A$3)</f>
      </c>
      <c r="J8" s="73">
        <f>SUMIFS(
INDEX('ETPT Format DDG'!$A:$ZZ,,IFERROR(MATCH(E8,'ETPT Format DDG'!$2:$2,0),MATCH(C8,'ETPT Format DDG'!$2:$2,0))),
INDEX( 'ETPT Format DDG'!$A:$ZZ,,MATCH("Fonction agrégat",'ETPT Format DDG'!2:2,0)),"M-PLAC-SUB",
INDEX( 'ETPT Format DDG'!$A:$ZZ,,MATCH("Juridiction",'ETPT Format DDG'!2:2,0)),$A$3)</f>
      </c>
      <c r="K8" s="73">
        <f>SUMIFS(
INDEX('ETPT Format DDG'!$A:$ZZ,,IFERROR(MATCH(E8,'ETPT Format DDG'!$2:$2,0),MATCH(C8,'ETPT Format DDG'!$2:$2,0))),
INDEX( 'ETPT Format DDG'!$A:$ZZ,,MATCH("Fonction agrégat",'ETPT Format DDG'!2:2,0)),"M-CONT",
INDEX( 'ETPT Format DDG'!$A:$ZZ,,MATCH("Juridiction",'ETPT Format DDG'!2:2,0)),$A$3,
INDEX( 'ETPT Format DDG'!$A:$ZZ,,MATCH("Catégorie",'ETPT Format DDG'!2:2,0)),"Magistrat")</f>
      </c>
      <c r="L8" s="71">
        <f>SUMIFS(
INDEX('ETPT Format DDG'!$A:$ZZ,,IFERROR(MATCH(E8,'ETPT Format DDG'!$2:$2,0),MATCH(C8,'ETPT Format DDG'!$2:$2,0))),
INDEX( 'ETPT Format DDG'!$A:$ZZ,,MATCH("Juridiction",'ETPT Format DDG'!2:2,0)),$A$3,
INDEX( 'ETPT Format DDG'!$A:$ZZ,,MATCH("Catégorie",'ETPT Format DDG'!2:2,0)),"Magistrat")</f>
      </c>
      <c r="M8" s="74">
        <f>IF(AND(OR(LEFT(C8,3)="12.",LEFT(E8,3)="12.",LEFT(E8,5)="CET &gt;", IFERROR(L8/$L$6,"")=0),NOT(AND(LEFT(E8,4)="12.8",IFERROR(G8/$G$6,"")&lt;&gt;0)),NOT(AND(LEFT(E8,5)="12.31",IFERROR(L8/$G$6,"")&lt;&gt;0)),NOT(AND(LEFT(E8,5)="12.32",IFERROR(L8/$G$6,"")&lt;&gt;0))),"", IFERROR(L8/$L$6,""))</f>
      </c>
      <c r="N8" s="73">
        <f>SUMIFS(
INDEX('ETPT Format DDG'!$A:$ZZ,,IFERROR(MATCH(E8,'ETPT Format DDG'!$2:$2,0),MATCH(C8,'ETPT Format DDG'!$2:$2,0))),
INDEX( 'ETPT Format DDG'!$A:$ZZ,,MATCH("Fonction agrégat",'ETPT Format DDG'!2:2,0)),"F-TIT",
INDEX( 'ETPT Format DDG'!$A:$ZZ,,MATCH("Juridiction",'ETPT Format DDG'!2:2,0)),$A$3)</f>
      </c>
      <c r="O8" s="72">
        <f>IF(AND(OR(LEFT(C8,3)="12.",LEFT(E8,3)="12.",LEFT(E8,5)="CET &gt;",IFERROR(N8/$N$6,"")=0),NOT(AND(LEFT(E8,4)="12.8",IFERROR(G8/$G$6,"")&lt;&gt;0)),NOT(AND(LEFT(E8,5)="12.31",IFERROR(N8/$G$6,"")&lt;&gt;0)),NOT(AND(LEFT(E8,5)="12.32",IFERROR(N8/$G$6,"")&lt;&gt;0))),"",IFERROR(N8/$N$6,""))</f>
      </c>
      <c r="P8" s="73">
        <f>SUMIFS(
INDEX('ETPT Format DDG'!$A:$FB,,IFERROR(MATCH(E8,'ETPT Format DDG'!$2:$2,0),MATCH(C8,'ETPT Format DDG'!$2:$2,0))),
INDEX( 'ETPT Format DDG'!$A:$ZZ,,MATCH("Fonction agrégat",'ETPT Format DDG'!2:2,0)),"F-PLAC-ADD",
INDEX( 'ETPT Format DDG'!$A:$ZZ,,MATCH("Juridiction",'ETPT Format DDG'!2:2,0)),$A$3)</f>
      </c>
      <c r="Q8" s="73">
        <f>SUMIFS(
INDEX('ETPT Format DDG'!$A:$FB,,IFERROR(MATCH(E8,'ETPT Format DDG'!$2:$2,0),MATCH(C8,'ETPT Format DDG'!$2:$2,0))),
INDEX( 'ETPT Format DDG'!$A:$ZZ,,MATCH("Fonction agrégat",'ETPT Format DDG'!2:2,0)),"F-PLAC-SUB",
INDEX( 'ETPT Format DDG'!$A:$ZZ,,MATCH("Juridiction",'ETPT Format DDG'!2:2,0)),$A$3)</f>
      </c>
      <c r="R8" s="73">
        <f>SUMIFS(
INDEX('ETPT Format DDG'!$A:$FB,,IFERROR(MATCH(E8,'ETPT Format DDG'!$2:$2,0),MATCH(C8,'ETPT Format DDG'!$2:$2,0))),
INDEX( 'ETPT Format DDG'!$A:$ZZ,,MATCH("Fonction agrégat",'ETPT Format DDG'!2:2,0)),"C",
'ETPT Format DDG'!$H:$H,"Greffe",
INDEX( 'ETPT Format DDG'!$A:$ZZ,,MATCH("Juridiction",'ETPT Format DDG'!2:2,0)),$A$3)</f>
      </c>
      <c r="S8" s="71">
        <f>SUMIFS(
INDEX('ETPT Format DDG'!$A:$FB,,IFERROR(MATCH(E8,'ETPT Format DDG'!$2:$2,0),MATCH(C8,'ETPT Format DDG'!$2:$2,0))),
INDEX( 'ETPT Format DDG'!$A:$ZZ,,MATCH("Catégorie",'ETPT Format DDG'!2:2,0)),"Greffe",
INDEX( 'ETPT Format DDG'!$A:$ZZ,,MATCH("Juridiction",'ETPT Format DDG'!2:2,0)),$A$3)</f>
      </c>
      <c r="T8" s="72">
        <f>IF(AND(OR(LEFT(C8,3)="12.",LEFT(E8,3)="12.",LEFT(E8,5)="CET &gt;",IFERROR(S8/$S$6,"")=0),NOT(AND(LEFT(E8,4)="12.8",IFERROR(G8/$G$6,"")&lt;&gt;0)),NOT(AND(LEFT(E8,5)="12.31",IFERROR(S8/$G$6,"")&lt;&gt;0)),NOT(AND(LEFT(E8,5)="12.32",IFERROR(S8/$G$6,"")&lt;&gt;0))),"", IFERROR(S8/$S$6,""))</f>
      </c>
      <c r="U8" s="71">
        <f>SUMIFS(
INDEX('ETPT Format DDG'!$A:$FB,,IFERROR(MATCH(E8,'ETPT Format DDG'!$2:$2,0),MATCH(C8,'ETPT Format DDG'!$2:$2,0))),
INDEX( 'ETPT Format DDG'!$A:$ZZ,,MATCH("Fonction agrégat",'ETPT Format DDG'!2:2,0)),"C",
INDEX( 'ETPT Format DDG'!$A:$ZZ,,MATCH("Juridiction",'ETPT Format DDG'!2:2,0)),$A$3,
INDEX( 'ETPT Format DDG'!$A:$ZZ,,MATCH("Catégorie",'ETPT Format DDG'!2:2,0)),"Autour du magistrat")</f>
      </c>
      <c r="V8" s="74">
        <f>IF(AND(OR(LEFT(C8,3)="12.",LEFT(E8,3)="12.",LEFT(E8,5)="CET &gt;",IFERROR(U8/$U$6,"")=0),NOT(AND(LEFT(E8,4)="12.8",IFERROR(G8/$G$6,"")&lt;&gt;0)),NOT(AND(LEFT(E8,5)="12.31",IFERROR(U8/$G$6,"")&lt;&gt;0)),NOT(AND(LEFT(E8,5)="12.32",IFERROR(U8/$G$6,"")&lt;&gt;0))),"", IFERROR(U8/$U$6,""))</f>
      </c>
    </row>
    <row r="9" ht="16" customHeight="1" spans="1:23" x14ac:dyDescent="0.25">
      <c r="A9" s="40"/>
      <c r="C9" s="68"/>
      <c r="D9" s="68"/>
      <c r="E9" s="69" t="s">
        <v>44</v>
      </c>
      <c r="F9" s="70" t="s">
        <v>44</v>
      </c>
      <c r="G9" s="71">
        <f>SUMIFS(
INDEX('ETPT Format DDG'!$A:$ZZ,,IFERROR(MATCH(E9,'ETPT Format DDG'!$2:$2,0),MATCH(C9,'ETPT Format DDG'!$2:$2,0))),
INDEX( 'ETPT Format DDG'!$A:$ZZ,,MATCH("Fonction agrégat",'ETPT Format DDG'!2:2,0)),"M-TIT",
INDEX( 'ETPT Format DDG'!$A:$ZZ,,MATCH("Juridiction",'ETPT Format DDG'!2:2,0)),$A$3)</f>
      </c>
      <c r="H9" s="72">
        <f>IF(AND(OR(LEFT(C9,3)="12.",LEFT(E9,3)="12.",LEFT(E9,5)="CET &gt;",IFERROR(G9/$G$6,"")=0),NOT(AND(LEFT(E9,4)="12.8",IFERROR(G9/$G$6,"")&lt;&gt;0)),NOT(AND(LEFT(E9,5)="12.31",IFERROR(G9/$G$6,"")&lt;&gt;0)),NOT(AND(LEFT(E9,5)="12.32",IFERROR(G9/$G$6,"")&lt;&gt;0))),"", IFERROR(G9/$G$6,""))</f>
      </c>
      <c r="I9" s="73">
        <f>SUMIFS(
INDEX('ETPT Format DDG'!$A:$ZZ,,IFERROR(MATCH(E9,'ETPT Format DDG'!$2:$2,0),MATCH(C9,'ETPT Format DDG'!$2:$2,0))),
INDEX( 'ETPT Format DDG'!$A:$ZZ,,MATCH("Fonction agrégat",'ETPT Format DDG'!2:2,0)),"M-PLAC-ADD",
INDEX( 'ETPT Format DDG'!$A:$ZZ,,MATCH("Juridiction",'ETPT Format DDG'!2:2,0)),$A$3)</f>
      </c>
      <c r="J9" s="73">
        <f>SUMIFS(
INDEX('ETPT Format DDG'!$A:$ZZ,,IFERROR(MATCH(E9,'ETPT Format DDG'!$2:$2,0),MATCH(C9,'ETPT Format DDG'!$2:$2,0))),
INDEX( 'ETPT Format DDG'!$A:$ZZ,,MATCH("Fonction agrégat",'ETPT Format DDG'!2:2,0)),"M-PLAC-SUB",
INDEX( 'ETPT Format DDG'!$A:$ZZ,,MATCH("Juridiction",'ETPT Format DDG'!2:2,0)),$A$3)</f>
      </c>
      <c r="K9" s="73">
        <f>SUMIFS(
INDEX('ETPT Format DDG'!$A:$ZZ,,IFERROR(MATCH(E9,'ETPT Format DDG'!$2:$2,0),MATCH(C9,'ETPT Format DDG'!$2:$2,0))),
INDEX( 'ETPT Format DDG'!$A:$ZZ,,MATCH("Fonction agrégat",'ETPT Format DDG'!2:2,0)),"M-CONT",
INDEX( 'ETPT Format DDG'!$A:$ZZ,,MATCH("Juridiction",'ETPT Format DDG'!2:2,0)),$A$3,
INDEX( 'ETPT Format DDG'!$A:$ZZ,,MATCH("Catégorie",'ETPT Format DDG'!2:2,0)),"Magistrat")</f>
      </c>
      <c r="L9" s="71">
        <f>SUMIFS(
INDEX('ETPT Format DDG'!$A:$ZZ,,IFERROR(MATCH(E9,'ETPT Format DDG'!$2:$2,0),MATCH(C9,'ETPT Format DDG'!$2:$2,0))),
INDEX( 'ETPT Format DDG'!$A:$ZZ,,MATCH("Juridiction",'ETPT Format DDG'!2:2,0)),$A$3,
INDEX( 'ETPT Format DDG'!$A:$ZZ,,MATCH("Catégorie",'ETPT Format DDG'!2:2,0)),"Magistrat")</f>
      </c>
      <c r="M9" s="74">
        <f>IF(AND(OR(LEFT(C9,3)="12.",LEFT(E9,3)="12.",LEFT(E9,5)="CET &gt;", IFERROR(L9/$L$6,"")=0),NOT(AND(LEFT(E9,4)="12.8",IFERROR(G9/$G$6,"")&lt;&gt;0)),NOT(AND(LEFT(E9,5)="12.31",IFERROR(L9/$G$6,"")&lt;&gt;0)),NOT(AND(LEFT(E9,5)="12.32",IFERROR(L9/$G$6,"")&lt;&gt;0))),"", IFERROR(L9/$L$6,""))</f>
      </c>
      <c r="N9" s="73">
        <f>SUMIFS(
INDEX('ETPT Format DDG'!$A:$ZZ,,IFERROR(MATCH(E9,'ETPT Format DDG'!$2:$2,0),MATCH(C9,'ETPT Format DDG'!$2:$2,0))),
INDEX( 'ETPT Format DDG'!$A:$ZZ,,MATCH("Fonction agrégat",'ETPT Format DDG'!2:2,0)),"F-TIT",
INDEX( 'ETPT Format DDG'!$A:$ZZ,,MATCH("Juridiction",'ETPT Format DDG'!2:2,0)),$A$3)</f>
      </c>
      <c r="O9" s="72">
        <f>IF(AND(OR(LEFT(C9,3)="12.",LEFT(E9,3)="12.",LEFT(E9,5)="CET &gt;",IFERROR(N9/$N$6,"")=0),NOT(AND(LEFT(E9,4)="12.8",IFERROR(G9/$G$6,"")&lt;&gt;0)),NOT(AND(LEFT(E9,5)="12.31",IFERROR(N9/$G$6,"")&lt;&gt;0)),NOT(AND(LEFT(E9,5)="12.32",IFERROR(N9/$G$6,"")&lt;&gt;0))),"",IFERROR(N9/$N$6,""))</f>
      </c>
      <c r="P9" s="73">
        <f>SUMIFS(
INDEX('ETPT Format DDG'!$A:$FB,,IFERROR(MATCH(E9,'ETPT Format DDG'!$2:$2,0),MATCH(C9,'ETPT Format DDG'!$2:$2,0))),
INDEX( 'ETPT Format DDG'!$A:$ZZ,,MATCH("Fonction agrégat",'ETPT Format DDG'!2:2,0)),"F-PLAC-ADD",
INDEX( 'ETPT Format DDG'!$A:$ZZ,,MATCH("Juridiction",'ETPT Format DDG'!2:2,0)),$A$3)</f>
      </c>
      <c r="Q9" s="73">
        <f>SUMIFS(
INDEX('ETPT Format DDG'!$A:$FB,,IFERROR(MATCH(E9,'ETPT Format DDG'!$2:$2,0),MATCH(C9,'ETPT Format DDG'!$2:$2,0))),
INDEX( 'ETPT Format DDG'!$A:$ZZ,,MATCH("Fonction agrégat",'ETPT Format DDG'!2:2,0)),"F-PLAC-SUB",
INDEX( 'ETPT Format DDG'!$A:$ZZ,,MATCH("Juridiction",'ETPT Format DDG'!2:2,0)),$A$3)</f>
      </c>
      <c r="R9" s="73">
        <f>SUMIFS(
INDEX('ETPT Format DDG'!$A:$FB,,IFERROR(MATCH(E9,'ETPT Format DDG'!$2:$2,0),MATCH(C9,'ETPT Format DDG'!$2:$2,0))),
INDEX( 'ETPT Format DDG'!$A:$ZZ,,MATCH("Fonction agrégat",'ETPT Format DDG'!2:2,0)),"C",
'ETPT Format DDG'!$H:$H,"Greffe",
INDEX( 'ETPT Format DDG'!$A:$ZZ,,MATCH("Juridiction",'ETPT Format DDG'!2:2,0)),$A$3)</f>
      </c>
      <c r="S9" s="71">
        <f>SUMIFS(
INDEX('ETPT Format DDG'!$A:$FB,,IFERROR(MATCH(E9,'ETPT Format DDG'!$2:$2,0),MATCH(C9,'ETPT Format DDG'!$2:$2,0))),
INDEX( 'ETPT Format DDG'!$A:$ZZ,,MATCH("Catégorie",'ETPT Format DDG'!2:2,0)),"Greffe",
INDEX( 'ETPT Format DDG'!$A:$ZZ,,MATCH("Juridiction",'ETPT Format DDG'!2:2,0)),$A$3)</f>
      </c>
      <c r="T9" s="72">
        <f>IF(AND(OR(LEFT(C9,3)="12.",LEFT(E9,3)="12.",LEFT(E9,5)="CET &gt;",IFERROR(S9/$S$6,"")=0),NOT(AND(LEFT(E9,4)="12.8",IFERROR(G9/$G$6,"")&lt;&gt;0)),NOT(AND(LEFT(E9,5)="12.31",IFERROR(S9/$G$6,"")&lt;&gt;0)),NOT(AND(LEFT(E9,5)="12.32",IFERROR(S9/$G$6,"")&lt;&gt;0))),"", IFERROR(S9/$S$6,""))</f>
      </c>
      <c r="U9" s="71">
        <f>SUMIFS(
INDEX('ETPT Format DDG'!$A:$FB,,IFERROR(MATCH(E9,'ETPT Format DDG'!$2:$2,0),MATCH(C9,'ETPT Format DDG'!$2:$2,0))),
INDEX( 'ETPT Format DDG'!$A:$ZZ,,MATCH("Fonction agrégat",'ETPT Format DDG'!2:2,0)),"C",
INDEX( 'ETPT Format DDG'!$A:$ZZ,,MATCH("Juridiction",'ETPT Format DDG'!2:2,0)),$A$3,
INDEX( 'ETPT Format DDG'!$A:$ZZ,,MATCH("Catégorie",'ETPT Format DDG'!2:2,0)),"Autour du magistrat")</f>
      </c>
      <c r="V9" s="74">
        <f>IF(AND(OR(LEFT(C9,3)="12.",LEFT(E9,3)="12.",LEFT(E9,5)="CET &gt;",IFERROR(U9/$U$6,"")=0),NOT(AND(LEFT(E9,4)="12.8",IFERROR(G9/$G$6,"")&lt;&gt;0)),NOT(AND(LEFT(E9,5)="12.31",IFERROR(U9/$G$6,"")&lt;&gt;0)),NOT(AND(LEFT(E9,5)="12.32",IFERROR(U9/$G$6,"")&lt;&gt;0))),"", IFERROR(U9/$U$6,""))</f>
      </c>
    </row>
    <row r="10" ht="16" customHeight="1" spans="1:23" x14ac:dyDescent="0.25">
      <c r="A10" s="40"/>
      <c r="C10" s="68"/>
      <c r="D10" s="68"/>
      <c r="E10" s="69" t="s">
        <v>45</v>
      </c>
      <c r="F10" s="70" t="s">
        <v>45</v>
      </c>
      <c r="G10" s="71">
        <f>SUMIFS(
INDEX('ETPT Format DDG'!$A:$ZZ,,IFERROR(MATCH(E10,'ETPT Format DDG'!$2:$2,0),MATCH(C10,'ETPT Format DDG'!$2:$2,0))),
INDEX( 'ETPT Format DDG'!$A:$ZZ,,MATCH("Fonction agrégat",'ETPT Format DDG'!2:2,0)),"M-TIT",
INDEX( 'ETPT Format DDG'!$A:$ZZ,,MATCH("Juridiction",'ETPT Format DDG'!2:2,0)),$A$3)</f>
      </c>
      <c r="H10" s="72">
        <f>IF(AND(OR(LEFT(C10,3)="12.",LEFT(E10,3)="12.",LEFT(E10,5)="CET &gt;",IFERROR(G10/$G$6,"")=0),NOT(AND(LEFT(E10,4)="12.8",IFERROR(G10/$G$6,"")&lt;&gt;0)),NOT(AND(LEFT(E10,5)="12.31",IFERROR(G10/$G$6,"")&lt;&gt;0)),NOT(AND(LEFT(E10,5)="12.32",IFERROR(G10/$G$6,"")&lt;&gt;0))),"", IFERROR(G10/$G$6,""))</f>
      </c>
      <c r="I10" s="73">
        <f>SUMIFS(
INDEX('ETPT Format DDG'!$A:$ZZ,,IFERROR(MATCH(E10,'ETPT Format DDG'!$2:$2,0),MATCH(C10,'ETPT Format DDG'!$2:$2,0))),
INDEX( 'ETPT Format DDG'!$A:$ZZ,,MATCH("Fonction agrégat",'ETPT Format DDG'!2:2,0)),"M-PLAC-ADD",
INDEX( 'ETPT Format DDG'!$A:$ZZ,,MATCH("Juridiction",'ETPT Format DDG'!2:2,0)),$A$3)</f>
      </c>
      <c r="J10" s="73">
        <f>SUMIFS(
INDEX('ETPT Format DDG'!$A:$ZZ,,IFERROR(MATCH(E10,'ETPT Format DDG'!$2:$2,0),MATCH(C10,'ETPT Format DDG'!$2:$2,0))),
INDEX( 'ETPT Format DDG'!$A:$ZZ,,MATCH("Fonction agrégat",'ETPT Format DDG'!2:2,0)),"M-PLAC-SUB",
INDEX( 'ETPT Format DDG'!$A:$ZZ,,MATCH("Juridiction",'ETPT Format DDG'!2:2,0)),$A$3)</f>
      </c>
      <c r="K10" s="73">
        <f>SUMIFS(
INDEX('ETPT Format DDG'!$A:$ZZ,,IFERROR(MATCH(E10,'ETPT Format DDG'!$2:$2,0),MATCH(C10,'ETPT Format DDG'!$2:$2,0))),
INDEX( 'ETPT Format DDG'!$A:$ZZ,,MATCH("Fonction agrégat",'ETPT Format DDG'!2:2,0)),"M-CONT",
INDEX( 'ETPT Format DDG'!$A:$ZZ,,MATCH("Juridiction",'ETPT Format DDG'!2:2,0)),$A$3,
INDEX( 'ETPT Format DDG'!$A:$ZZ,,MATCH("Catégorie",'ETPT Format DDG'!2:2,0)),"Magistrat")</f>
      </c>
      <c r="L10" s="71">
        <f>SUMIFS(
INDEX('ETPT Format DDG'!$A:$ZZ,,IFERROR(MATCH(E10,'ETPT Format DDG'!$2:$2,0),MATCH(C10,'ETPT Format DDG'!$2:$2,0))),
INDEX( 'ETPT Format DDG'!$A:$ZZ,,MATCH("Juridiction",'ETPT Format DDG'!2:2,0)),$A$3,
INDEX( 'ETPT Format DDG'!$A:$ZZ,,MATCH("Catégorie",'ETPT Format DDG'!2:2,0)),"Magistrat")</f>
      </c>
      <c r="M10" s="74">
        <f>IF(AND(OR(LEFT(C10,3)="12.",LEFT(E10,3)="12.",LEFT(E10,5)="CET &gt;", IFERROR(L10/$L$6,"")=0),NOT(AND(LEFT(E10,4)="12.8",IFERROR(G10/$G$6,"")&lt;&gt;0)),NOT(AND(LEFT(E10,5)="12.31",IFERROR(L10/$G$6,"")&lt;&gt;0)),NOT(AND(LEFT(E10,5)="12.32",IFERROR(L10/$G$6,"")&lt;&gt;0))),"", IFERROR(L10/$L$6,""))</f>
      </c>
      <c r="N10" s="73">
        <f>SUMIFS(
INDEX('ETPT Format DDG'!$A:$ZZ,,IFERROR(MATCH(E10,'ETPT Format DDG'!$2:$2,0),MATCH(C10,'ETPT Format DDG'!$2:$2,0))),
INDEX( 'ETPT Format DDG'!$A:$ZZ,,MATCH("Fonction agrégat",'ETPT Format DDG'!2:2,0)),"F-TIT",
INDEX( 'ETPT Format DDG'!$A:$ZZ,,MATCH("Juridiction",'ETPT Format DDG'!2:2,0)),$A$3)</f>
      </c>
      <c r="O10" s="72">
        <f>IF(AND(OR(LEFT(C10,3)="12.",LEFT(E10,3)="12.",LEFT(E10,5)="CET &gt;",IFERROR(N10/$N$6,"")=0),NOT(AND(LEFT(E10,4)="12.8",IFERROR(G10/$G$6,"")&lt;&gt;0)),NOT(AND(LEFT(E10,5)="12.31",IFERROR(N10/$G$6,"")&lt;&gt;0)),NOT(AND(LEFT(E10,5)="12.32",IFERROR(N10/$G$6,"")&lt;&gt;0))),"",IFERROR(N10/$N$6,""))</f>
      </c>
      <c r="P10" s="73">
        <f>SUMIFS(
INDEX('ETPT Format DDG'!$A:$FB,,IFERROR(MATCH(E10,'ETPT Format DDG'!$2:$2,0),MATCH(C10,'ETPT Format DDG'!$2:$2,0))),
INDEX( 'ETPT Format DDG'!$A:$ZZ,,MATCH("Fonction agrégat",'ETPT Format DDG'!2:2,0)),"F-PLAC-ADD",
INDEX( 'ETPT Format DDG'!$A:$ZZ,,MATCH("Juridiction",'ETPT Format DDG'!2:2,0)),$A$3)</f>
      </c>
      <c r="Q10" s="73">
        <f>SUMIFS(
INDEX('ETPT Format DDG'!$A:$FB,,IFERROR(MATCH(E10,'ETPT Format DDG'!$2:$2,0),MATCH(C10,'ETPT Format DDG'!$2:$2,0))),
INDEX( 'ETPT Format DDG'!$A:$ZZ,,MATCH("Fonction agrégat",'ETPT Format DDG'!2:2,0)),"F-PLAC-SUB",
INDEX( 'ETPT Format DDG'!$A:$ZZ,,MATCH("Juridiction",'ETPT Format DDG'!2:2,0)),$A$3)</f>
      </c>
      <c r="R10" s="73">
        <f>SUMIFS(
INDEX('ETPT Format DDG'!$A:$FB,,IFERROR(MATCH(E10,'ETPT Format DDG'!$2:$2,0),MATCH(C10,'ETPT Format DDG'!$2:$2,0))),
INDEX( 'ETPT Format DDG'!$A:$ZZ,,MATCH("Fonction agrégat",'ETPT Format DDG'!2:2,0)),"C",
'ETPT Format DDG'!$H:$H,"Greffe",
INDEX( 'ETPT Format DDG'!$A:$ZZ,,MATCH("Juridiction",'ETPT Format DDG'!2:2,0)),$A$3)</f>
      </c>
      <c r="S10" s="71">
        <f>SUMIFS(
INDEX('ETPT Format DDG'!$A:$FB,,IFERROR(MATCH(E10,'ETPT Format DDG'!$2:$2,0),MATCH(C10,'ETPT Format DDG'!$2:$2,0))),
INDEX( 'ETPT Format DDG'!$A:$ZZ,,MATCH("Catégorie",'ETPT Format DDG'!2:2,0)),"Greffe",
INDEX( 'ETPT Format DDG'!$A:$ZZ,,MATCH("Juridiction",'ETPT Format DDG'!2:2,0)),$A$3)</f>
      </c>
      <c r="T10" s="72">
        <f>IF(AND(OR(LEFT(C10,3)="12.",LEFT(E10,3)="12.",LEFT(E10,5)="CET &gt;",IFERROR(S10/$S$6,"")=0),NOT(AND(LEFT(E10,4)="12.8",IFERROR(G10/$G$6,"")&lt;&gt;0)),NOT(AND(LEFT(E10,5)="12.31",IFERROR(S10/$G$6,"")&lt;&gt;0)),NOT(AND(LEFT(E10,5)="12.32",IFERROR(S10/$G$6,"")&lt;&gt;0))),"", IFERROR(S10/$S$6,""))</f>
      </c>
      <c r="U10" s="71">
        <f>SUMIFS(
INDEX('ETPT Format DDG'!$A:$FB,,IFERROR(MATCH(E10,'ETPT Format DDG'!$2:$2,0),MATCH(C10,'ETPT Format DDG'!$2:$2,0))),
INDEX( 'ETPT Format DDG'!$A:$ZZ,,MATCH("Fonction agrégat",'ETPT Format DDG'!2:2,0)),"C",
INDEX( 'ETPT Format DDG'!$A:$ZZ,,MATCH("Juridiction",'ETPT Format DDG'!2:2,0)),$A$3,
INDEX( 'ETPT Format DDG'!$A:$ZZ,,MATCH("Catégorie",'ETPT Format DDG'!2:2,0)),"Autour du magistrat")</f>
      </c>
      <c r="V10" s="74">
        <f>IF(AND(OR(LEFT(C10,3)="12.",LEFT(E10,3)="12.",LEFT(E10,5)="CET &gt;",IFERROR(U10/$U$6,"")=0),NOT(AND(LEFT(E10,4)="12.8",IFERROR(G10/$G$6,"")&lt;&gt;0)),NOT(AND(LEFT(E10,5)="12.31",IFERROR(U10/$G$6,"")&lt;&gt;0)),NOT(AND(LEFT(E10,5)="12.32",IFERROR(U10/$G$6,"")&lt;&gt;0))),"", IFERROR(U10/$U$6,""))</f>
      </c>
    </row>
    <row r="11" ht="16" customHeight="1" spans="1:23" x14ac:dyDescent="0.25">
      <c r="A11" s="40"/>
      <c r="C11" s="68"/>
      <c r="D11" s="68"/>
      <c r="E11" s="69" t="s">
        <v>46</v>
      </c>
      <c r="F11" s="70" t="s">
        <v>46</v>
      </c>
      <c r="G11" s="71">
        <f>SUMIFS(
INDEX('ETPT Format DDG'!$A:$ZZ,,IFERROR(MATCH(E11,'ETPT Format DDG'!$2:$2,0),MATCH(C11,'ETPT Format DDG'!$2:$2,0))),
INDEX( 'ETPT Format DDG'!$A:$ZZ,,MATCH("Fonction agrégat",'ETPT Format DDG'!2:2,0)),"M-TIT",
INDEX( 'ETPT Format DDG'!$A:$ZZ,,MATCH("Juridiction",'ETPT Format DDG'!2:2,0)),$A$3)</f>
      </c>
      <c r="H11" s="72">
        <f>IF(AND(OR(LEFT(C11,3)="12.",LEFT(E11,3)="12.",LEFT(E11,5)="CET &gt;",IFERROR(G11/$G$6,"")=0),NOT(AND(LEFT(E11,4)="12.8",IFERROR(G11/$G$6,"")&lt;&gt;0)),NOT(AND(LEFT(E11,5)="12.31",IFERROR(G11/$G$6,"")&lt;&gt;0)),NOT(AND(LEFT(E11,5)="12.32",IFERROR(G11/$G$6,"")&lt;&gt;0))),"", IFERROR(G11/$G$6,""))</f>
      </c>
      <c r="I11" s="73">
        <f>SUMIFS(
INDEX('ETPT Format DDG'!$A:$ZZ,,IFERROR(MATCH(E11,'ETPT Format DDG'!$2:$2,0),MATCH(C11,'ETPT Format DDG'!$2:$2,0))),
INDEX( 'ETPT Format DDG'!$A:$ZZ,,MATCH("Fonction agrégat",'ETPT Format DDG'!2:2,0)),"M-PLAC-ADD",
INDEX( 'ETPT Format DDG'!$A:$ZZ,,MATCH("Juridiction",'ETPT Format DDG'!2:2,0)),$A$3)</f>
      </c>
      <c r="J11" s="73">
        <f>SUMIFS(
INDEX('ETPT Format DDG'!$A:$ZZ,,IFERROR(MATCH(E11,'ETPT Format DDG'!$2:$2,0),MATCH(C11,'ETPT Format DDG'!$2:$2,0))),
INDEX( 'ETPT Format DDG'!$A:$ZZ,,MATCH("Fonction agrégat",'ETPT Format DDG'!2:2,0)),"M-PLAC-SUB",
INDEX( 'ETPT Format DDG'!$A:$ZZ,,MATCH("Juridiction",'ETPT Format DDG'!2:2,0)),$A$3)</f>
      </c>
      <c r="K11" s="73">
        <f>SUMIFS(
INDEX('ETPT Format DDG'!$A:$ZZ,,IFERROR(MATCH(E11,'ETPT Format DDG'!$2:$2,0),MATCH(C11,'ETPT Format DDG'!$2:$2,0))),
INDEX( 'ETPT Format DDG'!$A:$ZZ,,MATCH("Fonction agrégat",'ETPT Format DDG'!2:2,0)),"M-CONT",
INDEX( 'ETPT Format DDG'!$A:$ZZ,,MATCH("Juridiction",'ETPT Format DDG'!2:2,0)),$A$3,
INDEX( 'ETPT Format DDG'!$A:$ZZ,,MATCH("Catégorie",'ETPT Format DDG'!2:2,0)),"Magistrat")</f>
      </c>
      <c r="L11" s="71">
        <f>SUMIFS(
INDEX('ETPT Format DDG'!$A:$ZZ,,IFERROR(MATCH(E11,'ETPT Format DDG'!$2:$2,0),MATCH(C11,'ETPT Format DDG'!$2:$2,0))),
INDEX( 'ETPT Format DDG'!$A:$ZZ,,MATCH("Juridiction",'ETPT Format DDG'!2:2,0)),$A$3,
INDEX( 'ETPT Format DDG'!$A:$ZZ,,MATCH("Catégorie",'ETPT Format DDG'!2:2,0)),"Magistrat")</f>
      </c>
      <c r="M11" s="74">
        <f>IF(AND(OR(LEFT(C11,3)="12.",LEFT(E11,3)="12.",LEFT(E11,5)="CET &gt;", IFERROR(L11/$L$6,"")=0),NOT(AND(LEFT(E11,4)="12.8",IFERROR(G11/$G$6,"")&lt;&gt;0)),NOT(AND(LEFT(E11,5)="12.31",IFERROR(L11/$G$6,"")&lt;&gt;0)),NOT(AND(LEFT(E11,5)="12.32",IFERROR(L11/$G$6,"")&lt;&gt;0))),"", IFERROR(L11/$L$6,""))</f>
      </c>
      <c r="N11" s="73">
        <f>SUMIFS(
INDEX('ETPT Format DDG'!$A:$ZZ,,IFERROR(MATCH(E11,'ETPT Format DDG'!$2:$2,0),MATCH(C11,'ETPT Format DDG'!$2:$2,0))),
INDEX( 'ETPT Format DDG'!$A:$ZZ,,MATCH("Fonction agrégat",'ETPT Format DDG'!2:2,0)),"F-TIT",
INDEX( 'ETPT Format DDG'!$A:$ZZ,,MATCH("Juridiction",'ETPT Format DDG'!2:2,0)),$A$3)</f>
      </c>
      <c r="O11" s="72">
        <f>IF(AND(OR(LEFT(C11,3)="12.",LEFT(E11,3)="12.",LEFT(E11,5)="CET &gt;",IFERROR(N11/$N$6,"")=0),NOT(AND(LEFT(E11,4)="12.8",IFERROR(G11/$G$6,"")&lt;&gt;0)),NOT(AND(LEFT(E11,5)="12.31",IFERROR(N11/$G$6,"")&lt;&gt;0)),NOT(AND(LEFT(E11,5)="12.32",IFERROR(N11/$G$6,"")&lt;&gt;0))),"",IFERROR(N11/$N$6,""))</f>
      </c>
      <c r="P11" s="73">
        <f>SUMIFS(
INDEX('ETPT Format DDG'!$A:$FB,,IFERROR(MATCH(E11,'ETPT Format DDG'!$2:$2,0),MATCH(C11,'ETPT Format DDG'!$2:$2,0))),
INDEX( 'ETPT Format DDG'!$A:$ZZ,,MATCH("Fonction agrégat",'ETPT Format DDG'!2:2,0)),"F-PLAC-ADD",
INDEX( 'ETPT Format DDG'!$A:$ZZ,,MATCH("Juridiction",'ETPT Format DDG'!2:2,0)),$A$3)</f>
      </c>
      <c r="Q11" s="73">
        <f>SUMIFS(
INDEX('ETPT Format DDG'!$A:$FB,,IFERROR(MATCH(E11,'ETPT Format DDG'!$2:$2,0),MATCH(C11,'ETPT Format DDG'!$2:$2,0))),
INDEX( 'ETPT Format DDG'!$A:$ZZ,,MATCH("Fonction agrégat",'ETPT Format DDG'!2:2,0)),"F-PLAC-SUB",
INDEX( 'ETPT Format DDG'!$A:$ZZ,,MATCH("Juridiction",'ETPT Format DDG'!2:2,0)),$A$3)</f>
      </c>
      <c r="R11" s="73">
        <f>SUMIFS(
INDEX('ETPT Format DDG'!$A:$FB,,IFERROR(MATCH(E11,'ETPT Format DDG'!$2:$2,0),MATCH(C11,'ETPT Format DDG'!$2:$2,0))),
INDEX( 'ETPT Format DDG'!$A:$ZZ,,MATCH("Fonction agrégat",'ETPT Format DDG'!2:2,0)),"C",
'ETPT Format DDG'!$H:$H,"Greffe",
INDEX( 'ETPT Format DDG'!$A:$ZZ,,MATCH("Juridiction",'ETPT Format DDG'!2:2,0)),$A$3)</f>
      </c>
      <c r="S11" s="71">
        <f>SUMIFS(
INDEX('ETPT Format DDG'!$A:$FB,,IFERROR(MATCH(E11,'ETPT Format DDG'!$2:$2,0),MATCH(C11,'ETPT Format DDG'!$2:$2,0))),
INDEX( 'ETPT Format DDG'!$A:$ZZ,,MATCH("Catégorie",'ETPT Format DDG'!2:2,0)),"Greffe",
INDEX( 'ETPT Format DDG'!$A:$ZZ,,MATCH("Juridiction",'ETPT Format DDG'!2:2,0)),$A$3)</f>
      </c>
      <c r="T11" s="72">
        <f>IF(AND(OR(LEFT(C11,3)="12.",LEFT(E11,3)="12.",LEFT(E11,5)="CET &gt;",IFERROR(S11/$S$6,"")=0),NOT(AND(LEFT(E11,4)="12.8",IFERROR(G11/$G$6,"")&lt;&gt;0)),NOT(AND(LEFT(E11,5)="12.31",IFERROR(S11/$G$6,"")&lt;&gt;0)),NOT(AND(LEFT(E11,5)="12.32",IFERROR(S11/$G$6,"")&lt;&gt;0))),"", IFERROR(S11/$S$6,""))</f>
      </c>
      <c r="U11" s="71">
        <f>SUMIFS(
INDEX('ETPT Format DDG'!$A:$FB,,IFERROR(MATCH(E11,'ETPT Format DDG'!$2:$2,0),MATCH(C11,'ETPT Format DDG'!$2:$2,0))),
INDEX( 'ETPT Format DDG'!$A:$ZZ,,MATCH("Fonction agrégat",'ETPT Format DDG'!2:2,0)),"C",
INDEX( 'ETPT Format DDG'!$A:$ZZ,,MATCH("Juridiction",'ETPT Format DDG'!2:2,0)),$A$3,
INDEX( 'ETPT Format DDG'!$A:$ZZ,,MATCH("Catégorie",'ETPT Format DDG'!2:2,0)),"Autour du magistrat")</f>
      </c>
      <c r="V11" s="74">
        <f>IF(AND(OR(LEFT(C11,3)="12.",LEFT(E11,3)="12.",LEFT(E11,5)="CET &gt;",IFERROR(U11/$U$6,"")=0),NOT(AND(LEFT(E11,4)="12.8",IFERROR(G11/$G$6,"")&lt;&gt;0)),NOT(AND(LEFT(E11,5)="12.31",IFERROR(U11/$G$6,"")&lt;&gt;0)),NOT(AND(LEFT(E11,5)="12.32",IFERROR(U11/$G$6,"")&lt;&gt;0))),"", IFERROR(U11/$U$6,""))</f>
      </c>
    </row>
    <row r="12" ht="16" customHeight="1" spans="1:23" x14ac:dyDescent="0.25">
      <c r="A12" s="40"/>
      <c r="C12" s="68"/>
      <c r="D12" s="68"/>
      <c r="E12" s="69" t="s">
        <v>47</v>
      </c>
      <c r="F12" s="70" t="s">
        <v>47</v>
      </c>
      <c r="G12" s="71">
        <f>SUMIFS(
INDEX('ETPT Format DDG'!$A:$ZZ,,IFERROR(MATCH(E12,'ETPT Format DDG'!$2:$2,0),MATCH(C12,'ETPT Format DDG'!$2:$2,0))),
INDEX( 'ETPT Format DDG'!$A:$ZZ,,MATCH("Fonction agrégat",'ETPT Format DDG'!2:2,0)),"M-TIT",
INDEX( 'ETPT Format DDG'!$A:$ZZ,,MATCH("Juridiction",'ETPT Format DDG'!2:2,0)),$A$3)</f>
      </c>
      <c r="H12" s="72">
        <f>IF(AND(OR(LEFT(C12,3)="12.",LEFT(E12,3)="12.",LEFT(E12,5)="CET &gt;",IFERROR(G12/$G$6,"")=0),NOT(AND(LEFT(E12,4)="12.8",IFERROR(G12/$G$6,"")&lt;&gt;0)),NOT(AND(LEFT(E12,5)="12.31",IFERROR(G12/$G$6,"")&lt;&gt;0)),NOT(AND(LEFT(E12,5)="12.32",IFERROR(G12/$G$6,"")&lt;&gt;0))),"", IFERROR(G12/$G$6,""))</f>
      </c>
      <c r="I12" s="73">
        <f>SUMIFS(
INDEX('ETPT Format DDG'!$A:$ZZ,,IFERROR(MATCH(E12,'ETPT Format DDG'!$2:$2,0),MATCH(C12,'ETPT Format DDG'!$2:$2,0))),
INDEX( 'ETPT Format DDG'!$A:$ZZ,,MATCH("Fonction agrégat",'ETPT Format DDG'!2:2,0)),"M-PLAC-ADD",
INDEX( 'ETPT Format DDG'!$A:$ZZ,,MATCH("Juridiction",'ETPT Format DDG'!2:2,0)),$A$3)</f>
      </c>
      <c r="J12" s="73">
        <f>SUMIFS(
INDEX('ETPT Format DDG'!$A:$ZZ,,IFERROR(MATCH(E12,'ETPT Format DDG'!$2:$2,0),MATCH(C12,'ETPT Format DDG'!$2:$2,0))),
INDEX( 'ETPT Format DDG'!$A:$ZZ,,MATCH("Fonction agrégat",'ETPT Format DDG'!2:2,0)),"M-PLAC-SUB",
INDEX( 'ETPT Format DDG'!$A:$ZZ,,MATCH("Juridiction",'ETPT Format DDG'!2:2,0)),$A$3)</f>
      </c>
      <c r="K12" s="73">
        <f>SUMIFS(
INDEX('ETPT Format DDG'!$A:$ZZ,,IFERROR(MATCH(E12,'ETPT Format DDG'!$2:$2,0),MATCH(C12,'ETPT Format DDG'!$2:$2,0))),
INDEX( 'ETPT Format DDG'!$A:$ZZ,,MATCH("Fonction agrégat",'ETPT Format DDG'!2:2,0)),"M-CONT",
INDEX( 'ETPT Format DDG'!$A:$ZZ,,MATCH("Juridiction",'ETPT Format DDG'!2:2,0)),$A$3,
INDEX( 'ETPT Format DDG'!$A:$ZZ,,MATCH("Catégorie",'ETPT Format DDG'!2:2,0)),"Magistrat")</f>
      </c>
      <c r="L12" s="71">
        <f>SUMIFS(
INDEX('ETPT Format DDG'!$A:$ZZ,,IFERROR(MATCH(E12,'ETPT Format DDG'!$2:$2,0),MATCH(C12,'ETPT Format DDG'!$2:$2,0))),
INDEX( 'ETPT Format DDG'!$A:$ZZ,,MATCH("Juridiction",'ETPT Format DDG'!2:2,0)),$A$3,
INDEX( 'ETPT Format DDG'!$A:$ZZ,,MATCH("Catégorie",'ETPT Format DDG'!2:2,0)),"Magistrat")</f>
      </c>
      <c r="M12" s="74">
        <f>IF(AND(OR(LEFT(C12,3)="12.",LEFT(E12,3)="12.",LEFT(E12,5)="CET &gt;", IFERROR(L12/$L$6,"")=0),NOT(AND(LEFT(E12,4)="12.8",IFERROR(G12/$G$6,"")&lt;&gt;0)),NOT(AND(LEFT(E12,5)="12.31",IFERROR(L12/$G$6,"")&lt;&gt;0)),NOT(AND(LEFT(E12,5)="12.32",IFERROR(L12/$G$6,"")&lt;&gt;0))),"", IFERROR(L12/$L$6,""))</f>
      </c>
      <c r="N12" s="73">
        <f>SUMIFS(
INDEX('ETPT Format DDG'!$A:$ZZ,,IFERROR(MATCH(E12,'ETPT Format DDG'!$2:$2,0),MATCH(C12,'ETPT Format DDG'!$2:$2,0))),
INDEX( 'ETPT Format DDG'!$A:$ZZ,,MATCH("Fonction agrégat",'ETPT Format DDG'!2:2,0)),"F-TIT",
INDEX( 'ETPT Format DDG'!$A:$ZZ,,MATCH("Juridiction",'ETPT Format DDG'!2:2,0)),$A$3)</f>
      </c>
      <c r="O12" s="72">
        <f>IF(AND(OR(LEFT(C12,3)="12.",LEFT(E12,3)="12.",LEFT(E12,5)="CET &gt;",IFERROR(N12/$N$6,"")=0),NOT(AND(LEFT(E12,4)="12.8",IFERROR(G12/$G$6,"")&lt;&gt;0)),NOT(AND(LEFT(E12,5)="12.31",IFERROR(N12/$G$6,"")&lt;&gt;0)),NOT(AND(LEFT(E12,5)="12.32",IFERROR(N12/$G$6,"")&lt;&gt;0))),"",IFERROR(N12/$N$6,""))</f>
      </c>
      <c r="P12" s="73">
        <f>SUMIFS(
INDEX('ETPT Format DDG'!$A:$FB,,IFERROR(MATCH(E12,'ETPT Format DDG'!$2:$2,0),MATCH(C12,'ETPT Format DDG'!$2:$2,0))),
INDEX( 'ETPT Format DDG'!$A:$ZZ,,MATCH("Fonction agrégat",'ETPT Format DDG'!2:2,0)),"F-PLAC-ADD",
INDEX( 'ETPT Format DDG'!$A:$ZZ,,MATCH("Juridiction",'ETPT Format DDG'!2:2,0)),$A$3)</f>
      </c>
      <c r="Q12" s="73">
        <f>SUMIFS(
INDEX('ETPT Format DDG'!$A:$FB,,IFERROR(MATCH(E12,'ETPT Format DDG'!$2:$2,0),MATCH(C12,'ETPT Format DDG'!$2:$2,0))),
INDEX( 'ETPT Format DDG'!$A:$ZZ,,MATCH("Fonction agrégat",'ETPT Format DDG'!2:2,0)),"F-PLAC-SUB",
INDEX( 'ETPT Format DDG'!$A:$ZZ,,MATCH("Juridiction",'ETPT Format DDG'!2:2,0)),$A$3)</f>
      </c>
      <c r="R12" s="73">
        <f>SUMIFS(
INDEX('ETPT Format DDG'!$A:$FB,,IFERROR(MATCH(E12,'ETPT Format DDG'!$2:$2,0),MATCH(C12,'ETPT Format DDG'!$2:$2,0))),
INDEX( 'ETPT Format DDG'!$A:$ZZ,,MATCH("Fonction agrégat",'ETPT Format DDG'!2:2,0)),"C",
'ETPT Format DDG'!$H:$H,"Greffe",
INDEX( 'ETPT Format DDG'!$A:$ZZ,,MATCH("Juridiction",'ETPT Format DDG'!2:2,0)),$A$3)</f>
      </c>
      <c r="S12" s="71">
        <f>SUMIFS(
INDEX('ETPT Format DDG'!$A:$FB,,IFERROR(MATCH(E12,'ETPT Format DDG'!$2:$2,0),MATCH(C12,'ETPT Format DDG'!$2:$2,0))),
INDEX( 'ETPT Format DDG'!$A:$ZZ,,MATCH("Catégorie",'ETPT Format DDG'!2:2,0)),"Greffe",
INDEX( 'ETPT Format DDG'!$A:$ZZ,,MATCH("Juridiction",'ETPT Format DDG'!2:2,0)),$A$3)</f>
      </c>
      <c r="T12" s="72">
        <f>IF(AND(OR(LEFT(C12,3)="12.",LEFT(E12,3)="12.",LEFT(E12,5)="CET &gt;",IFERROR(S12/$S$6,"")=0),NOT(AND(LEFT(E12,4)="12.8",IFERROR(G12/$G$6,"")&lt;&gt;0)),NOT(AND(LEFT(E12,5)="12.31",IFERROR(S12/$G$6,"")&lt;&gt;0)),NOT(AND(LEFT(E12,5)="12.32",IFERROR(S12/$G$6,"")&lt;&gt;0))),"", IFERROR(S12/$S$6,""))</f>
      </c>
      <c r="U12" s="71">
        <f>SUMIFS(
INDEX('ETPT Format DDG'!$A:$FB,,IFERROR(MATCH(E12,'ETPT Format DDG'!$2:$2,0),MATCH(C12,'ETPT Format DDG'!$2:$2,0))),
INDEX( 'ETPT Format DDG'!$A:$ZZ,,MATCH("Fonction agrégat",'ETPT Format DDG'!2:2,0)),"C",
INDEX( 'ETPT Format DDG'!$A:$ZZ,,MATCH("Juridiction",'ETPT Format DDG'!2:2,0)),$A$3,
INDEX( 'ETPT Format DDG'!$A:$ZZ,,MATCH("Catégorie",'ETPT Format DDG'!2:2,0)),"Autour du magistrat")</f>
      </c>
      <c r="V12" s="74">
        <f>IF(AND(OR(LEFT(C12,3)="12.",LEFT(E12,3)="12.",LEFT(E12,5)="CET &gt;",IFERROR(U12/$U$6,"")=0),NOT(AND(LEFT(E12,4)="12.8",IFERROR(G12/$G$6,"")&lt;&gt;0)),NOT(AND(LEFT(E12,5)="12.31",IFERROR(U12/$G$6,"")&lt;&gt;0)),NOT(AND(LEFT(E12,5)="12.32",IFERROR(U12/$G$6,"")&lt;&gt;0))),"", IFERROR(U12/$U$6,""))</f>
      </c>
    </row>
    <row r="13" ht="16" customHeight="1" spans="1:23" x14ac:dyDescent="0.25">
      <c r="A13" s="40"/>
      <c r="C13" s="68" t="s">
        <v>48</v>
      </c>
      <c r="D13" s="68" t="s">
        <v>48</v>
      </c>
      <c r="E13" s="69"/>
      <c r="F13" s="70"/>
      <c r="G13" s="71">
        <f>SUMIFS(
INDEX('ETPT Format DDG'!$A:$ZZ,,IFERROR(MATCH(E13,'ETPT Format DDG'!$2:$2,0),MATCH(C13,'ETPT Format DDG'!$2:$2,0))),
INDEX( 'ETPT Format DDG'!$A:$ZZ,,MATCH("Fonction agrégat",'ETPT Format DDG'!2:2,0)),"M-TIT",
INDEX( 'ETPT Format DDG'!$A:$ZZ,,MATCH("Juridiction",'ETPT Format DDG'!2:2,0)),$A$3)</f>
      </c>
      <c r="H13" s="72">
        <f>IF(AND(OR(LEFT(C13,3)="12.",LEFT(E13,3)="12.",LEFT(E13,5)="CET &gt;",IFERROR(G13/$G$6,"")=0),NOT(AND(LEFT(E13,4)="12.8",IFERROR(G13/$G$6,"")&lt;&gt;0)),NOT(AND(LEFT(E13,5)="12.31",IFERROR(G13/$G$6,"")&lt;&gt;0)),NOT(AND(LEFT(E13,5)="12.32",IFERROR(G13/$G$6,"")&lt;&gt;0))),"", IFERROR(G13/$G$6,""))</f>
      </c>
      <c r="I13" s="73">
        <f>SUMIFS(
INDEX('ETPT Format DDG'!$A:$ZZ,,IFERROR(MATCH(E13,'ETPT Format DDG'!$2:$2,0),MATCH(C13,'ETPT Format DDG'!$2:$2,0))),
INDEX( 'ETPT Format DDG'!$A:$ZZ,,MATCH("Fonction agrégat",'ETPT Format DDG'!2:2,0)),"M-PLAC-ADD",
INDEX( 'ETPT Format DDG'!$A:$ZZ,,MATCH("Juridiction",'ETPT Format DDG'!2:2,0)),$A$3)</f>
      </c>
      <c r="J13" s="73">
        <f>SUMIFS(
INDEX('ETPT Format DDG'!$A:$ZZ,,IFERROR(MATCH(E13,'ETPT Format DDG'!$2:$2,0),MATCH(C13,'ETPT Format DDG'!$2:$2,0))),
INDEX( 'ETPT Format DDG'!$A:$ZZ,,MATCH("Fonction agrégat",'ETPT Format DDG'!2:2,0)),"M-PLAC-SUB",
INDEX( 'ETPT Format DDG'!$A:$ZZ,,MATCH("Juridiction",'ETPT Format DDG'!2:2,0)),$A$3)</f>
      </c>
      <c r="K13" s="73">
        <f>SUMIFS(
INDEX('ETPT Format DDG'!$A:$ZZ,,IFERROR(MATCH(E13,'ETPT Format DDG'!$2:$2,0),MATCH(C13,'ETPT Format DDG'!$2:$2,0))),
INDEX( 'ETPT Format DDG'!$A:$ZZ,,MATCH("Fonction agrégat",'ETPT Format DDG'!2:2,0)),"M-CONT",
INDEX( 'ETPT Format DDG'!$A:$ZZ,,MATCH("Juridiction",'ETPT Format DDG'!2:2,0)),$A$3,
INDEX( 'ETPT Format DDG'!$A:$ZZ,,MATCH("Catégorie",'ETPT Format DDG'!2:2,0)),"Magistrat")</f>
      </c>
      <c r="L13" s="71">
        <f>SUMIFS(
INDEX('ETPT Format DDG'!$A:$ZZ,,IFERROR(MATCH(E13,'ETPT Format DDG'!$2:$2,0),MATCH(C13,'ETPT Format DDG'!$2:$2,0))),
INDEX( 'ETPT Format DDG'!$A:$ZZ,,MATCH("Juridiction",'ETPT Format DDG'!2:2,0)),$A$3,
INDEX( 'ETPT Format DDG'!$A:$ZZ,,MATCH("Catégorie",'ETPT Format DDG'!2:2,0)),"Magistrat")</f>
      </c>
      <c r="M13" s="74">
        <f>IF(AND(OR(LEFT(C13,3)="12.",LEFT(E13,3)="12.",LEFT(E13,5)="CET &gt;", IFERROR(L13/$L$6,"")=0),NOT(AND(LEFT(E13,4)="12.8",IFERROR(G13/$G$6,"")&lt;&gt;0)),NOT(AND(LEFT(E13,5)="12.31",IFERROR(L13/$G$6,"")&lt;&gt;0)),NOT(AND(LEFT(E13,5)="12.32",IFERROR(L13/$G$6,"")&lt;&gt;0))),"", IFERROR(L13/$L$6,""))</f>
      </c>
      <c r="N13" s="73">
        <f>SUMIFS(
INDEX('ETPT Format DDG'!$A:$ZZ,,IFERROR(MATCH(E13,'ETPT Format DDG'!$2:$2,0),MATCH(C13,'ETPT Format DDG'!$2:$2,0))),
INDEX( 'ETPT Format DDG'!$A:$ZZ,,MATCH("Fonction agrégat",'ETPT Format DDG'!2:2,0)),"F-TIT",
INDEX( 'ETPT Format DDG'!$A:$ZZ,,MATCH("Juridiction",'ETPT Format DDG'!2:2,0)),$A$3)</f>
      </c>
      <c r="O13" s="72">
        <f>IF(AND(OR(LEFT(C13,3)="12.",LEFT(E13,3)="12.",LEFT(E13,5)="CET &gt;",IFERROR(N13/$N$6,"")=0),NOT(AND(LEFT(E13,4)="12.8",IFERROR(G13/$G$6,"")&lt;&gt;0)),NOT(AND(LEFT(E13,5)="12.31",IFERROR(N13/$G$6,"")&lt;&gt;0)),NOT(AND(LEFT(E13,5)="12.32",IFERROR(N13/$G$6,"")&lt;&gt;0))),"",IFERROR(N13/$N$6,""))</f>
      </c>
      <c r="P13" s="73">
        <f>SUMIFS(
INDEX('ETPT Format DDG'!$A:$FB,,IFERROR(MATCH(E13,'ETPT Format DDG'!$2:$2,0),MATCH(C13,'ETPT Format DDG'!$2:$2,0))),
INDEX( 'ETPT Format DDG'!$A:$ZZ,,MATCH("Fonction agrégat",'ETPT Format DDG'!2:2,0)),"F-PLAC-ADD",
INDEX( 'ETPT Format DDG'!$A:$ZZ,,MATCH("Juridiction",'ETPT Format DDG'!2:2,0)),$A$3)</f>
      </c>
      <c r="Q13" s="73">
        <f>SUMIFS(
INDEX('ETPT Format DDG'!$A:$FB,,IFERROR(MATCH(E13,'ETPT Format DDG'!$2:$2,0),MATCH(C13,'ETPT Format DDG'!$2:$2,0))),
INDEX( 'ETPT Format DDG'!$A:$ZZ,,MATCH("Fonction agrégat",'ETPT Format DDG'!2:2,0)),"F-PLAC-SUB",
INDEX( 'ETPT Format DDG'!$A:$ZZ,,MATCH("Juridiction",'ETPT Format DDG'!2:2,0)),$A$3)</f>
      </c>
      <c r="R13" s="73">
        <f>SUMIFS(
INDEX('ETPT Format DDG'!$A:$FB,,IFERROR(MATCH(E13,'ETPT Format DDG'!$2:$2,0),MATCH(C13,'ETPT Format DDG'!$2:$2,0))),
INDEX( 'ETPT Format DDG'!$A:$ZZ,,MATCH("Fonction agrégat",'ETPT Format DDG'!2:2,0)),"C",
'ETPT Format DDG'!$H:$H,"Greffe",
INDEX( 'ETPT Format DDG'!$A:$ZZ,,MATCH("Juridiction",'ETPT Format DDG'!2:2,0)),$A$3)</f>
      </c>
      <c r="S13" s="71">
        <f>SUMIFS(
INDEX('ETPT Format DDG'!$A:$FB,,IFERROR(MATCH(E13,'ETPT Format DDG'!$2:$2,0),MATCH(C13,'ETPT Format DDG'!$2:$2,0))),
INDEX( 'ETPT Format DDG'!$A:$ZZ,,MATCH("Catégorie",'ETPT Format DDG'!2:2,0)),"Greffe",
INDEX( 'ETPT Format DDG'!$A:$ZZ,,MATCH("Juridiction",'ETPT Format DDG'!2:2,0)),$A$3)</f>
      </c>
      <c r="T13" s="72">
        <f>IF(AND(OR(LEFT(C13,3)="12.",LEFT(E13,3)="12.",LEFT(E13,5)="CET &gt;",IFERROR(S13/$S$6,"")=0),NOT(AND(LEFT(E13,4)="12.8",IFERROR(G13/$G$6,"")&lt;&gt;0)),NOT(AND(LEFT(E13,5)="12.31",IFERROR(S13/$G$6,"")&lt;&gt;0)),NOT(AND(LEFT(E13,5)="12.32",IFERROR(S13/$G$6,"")&lt;&gt;0))),"", IFERROR(S13/$S$6,""))</f>
      </c>
      <c r="U13" s="71">
        <f>SUMIFS(
INDEX('ETPT Format DDG'!$A:$FB,,IFERROR(MATCH(E13,'ETPT Format DDG'!$2:$2,0),MATCH(C13,'ETPT Format DDG'!$2:$2,0))),
INDEX( 'ETPT Format DDG'!$A:$ZZ,,MATCH("Fonction agrégat",'ETPT Format DDG'!2:2,0)),"C",
INDEX( 'ETPT Format DDG'!$A:$ZZ,,MATCH("Juridiction",'ETPT Format DDG'!2:2,0)),$A$3,
INDEX( 'ETPT Format DDG'!$A:$ZZ,,MATCH("Catégorie",'ETPT Format DDG'!2:2,0)),"Autour du magistrat")</f>
      </c>
      <c r="V13" s="74">
        <f>IF(AND(OR(LEFT(C13,3)="12.",LEFT(E13,3)="12.",LEFT(E13,5)="CET &gt;",IFERROR(U13/$U$6,"")=0),NOT(AND(LEFT(E13,4)="12.8",IFERROR(G13/$G$6,"")&lt;&gt;0)),NOT(AND(LEFT(E13,5)="12.31",IFERROR(U13/$G$6,"")&lt;&gt;0)),NOT(AND(LEFT(E13,5)="12.32",IFERROR(U13/$G$6,"")&lt;&gt;0))),"", IFERROR(U13/$U$6,""))</f>
      </c>
    </row>
    <row r="14" ht="16" customHeight="1" spans="1:23" x14ac:dyDescent="0.25">
      <c r="A14" s="40"/>
      <c r="C14" s="68"/>
      <c r="D14" s="68"/>
      <c r="E14" s="69" t="s">
        <v>49</v>
      </c>
      <c r="F14" s="70" t="s">
        <v>49</v>
      </c>
      <c r="G14" s="71">
        <f>SUMIFS(
INDEX('ETPT Format DDG'!$A:$ZZ,,IFERROR(MATCH(E14,'ETPT Format DDG'!$2:$2,0),MATCH(C14,'ETPT Format DDG'!$2:$2,0))),
INDEX( 'ETPT Format DDG'!$A:$ZZ,,MATCH("Fonction agrégat",'ETPT Format DDG'!2:2,0)),"M-TIT",
INDEX( 'ETPT Format DDG'!$A:$ZZ,,MATCH("Juridiction",'ETPT Format DDG'!2:2,0)),$A$3)</f>
      </c>
      <c r="H14" s="72">
        <f>IF(AND(OR(LEFT(C14,3)="12.",LEFT(E14,3)="12.",LEFT(E14,5)="CET &gt;",IFERROR(G14/$G$6,"")=0),NOT(AND(LEFT(E14,4)="12.8",IFERROR(G14/$G$6,"")&lt;&gt;0)),NOT(AND(LEFT(E14,5)="12.31",IFERROR(G14/$G$6,"")&lt;&gt;0)),NOT(AND(LEFT(E14,5)="12.32",IFERROR(G14/$G$6,"")&lt;&gt;0))),"", IFERROR(G14/$G$6,""))</f>
      </c>
      <c r="I14" s="73">
        <f>SUMIFS(
INDEX('ETPT Format DDG'!$A:$ZZ,,IFERROR(MATCH(E14,'ETPT Format DDG'!$2:$2,0),MATCH(C14,'ETPT Format DDG'!$2:$2,0))),
INDEX( 'ETPT Format DDG'!$A:$ZZ,,MATCH("Fonction agrégat",'ETPT Format DDG'!2:2,0)),"M-PLAC-ADD",
INDEX( 'ETPT Format DDG'!$A:$ZZ,,MATCH("Juridiction",'ETPT Format DDG'!2:2,0)),$A$3)</f>
      </c>
      <c r="J14" s="73">
        <f>SUMIFS(
INDEX('ETPT Format DDG'!$A:$ZZ,,IFERROR(MATCH(E14,'ETPT Format DDG'!$2:$2,0),MATCH(C14,'ETPT Format DDG'!$2:$2,0))),
INDEX( 'ETPT Format DDG'!$A:$ZZ,,MATCH("Fonction agrégat",'ETPT Format DDG'!2:2,0)),"M-PLAC-SUB",
INDEX( 'ETPT Format DDG'!$A:$ZZ,,MATCH("Juridiction",'ETPT Format DDG'!2:2,0)),$A$3)</f>
      </c>
      <c r="K14" s="73">
        <f>SUMIFS(
INDEX('ETPT Format DDG'!$A:$ZZ,,IFERROR(MATCH(E14,'ETPT Format DDG'!$2:$2,0),MATCH(C14,'ETPT Format DDG'!$2:$2,0))),
INDEX( 'ETPT Format DDG'!$A:$ZZ,,MATCH("Fonction agrégat",'ETPT Format DDG'!2:2,0)),"M-CONT",
INDEX( 'ETPT Format DDG'!$A:$ZZ,,MATCH("Juridiction",'ETPT Format DDG'!2:2,0)),$A$3,
INDEX( 'ETPT Format DDG'!$A:$ZZ,,MATCH("Catégorie",'ETPT Format DDG'!2:2,0)),"Magistrat")</f>
      </c>
      <c r="L14" s="71">
        <f>SUMIFS(
INDEX('ETPT Format DDG'!$A:$ZZ,,IFERROR(MATCH(E14,'ETPT Format DDG'!$2:$2,0),MATCH(C14,'ETPT Format DDG'!$2:$2,0))),
INDEX( 'ETPT Format DDG'!$A:$ZZ,,MATCH("Juridiction",'ETPT Format DDG'!2:2,0)),$A$3,
INDEX( 'ETPT Format DDG'!$A:$ZZ,,MATCH("Catégorie",'ETPT Format DDG'!2:2,0)),"Magistrat")</f>
      </c>
      <c r="M14" s="74">
        <f>IF(AND(OR(LEFT(C14,3)="12.",LEFT(E14,3)="12.",LEFT(E14,5)="CET &gt;", IFERROR(L14/$L$6,"")=0),NOT(AND(LEFT(E14,4)="12.8",IFERROR(G14/$G$6,"")&lt;&gt;0)),NOT(AND(LEFT(E14,5)="12.31",IFERROR(L14/$G$6,"")&lt;&gt;0)),NOT(AND(LEFT(E14,5)="12.32",IFERROR(L14/$G$6,"")&lt;&gt;0))),"", IFERROR(L14/$L$6,""))</f>
      </c>
      <c r="N14" s="73">
        <f>SUMIFS(
INDEX('ETPT Format DDG'!$A:$ZZ,,IFERROR(MATCH(E14,'ETPT Format DDG'!$2:$2,0),MATCH(C14,'ETPT Format DDG'!$2:$2,0))),
INDEX( 'ETPT Format DDG'!$A:$ZZ,,MATCH("Fonction agrégat",'ETPT Format DDG'!2:2,0)),"F-TIT",
INDEX( 'ETPT Format DDG'!$A:$ZZ,,MATCH("Juridiction",'ETPT Format DDG'!2:2,0)),$A$3)</f>
      </c>
      <c r="O14" s="72">
        <f>IF(AND(OR(LEFT(C14,3)="12.",LEFT(E14,3)="12.",LEFT(E14,5)="CET &gt;",IFERROR(N14/$N$6,"")=0),NOT(AND(LEFT(E14,4)="12.8",IFERROR(G14/$G$6,"")&lt;&gt;0)),NOT(AND(LEFT(E14,5)="12.31",IFERROR(N14/$G$6,"")&lt;&gt;0)),NOT(AND(LEFT(E14,5)="12.32",IFERROR(N14/$G$6,"")&lt;&gt;0))),"",IFERROR(N14/$N$6,""))</f>
      </c>
      <c r="P14" s="73">
        <f>SUMIFS(
INDEX('ETPT Format DDG'!$A:$FB,,IFERROR(MATCH(E14,'ETPT Format DDG'!$2:$2,0),MATCH(C14,'ETPT Format DDG'!$2:$2,0))),
INDEX( 'ETPT Format DDG'!$A:$ZZ,,MATCH("Fonction agrégat",'ETPT Format DDG'!2:2,0)),"F-PLAC-ADD",
INDEX( 'ETPT Format DDG'!$A:$ZZ,,MATCH("Juridiction",'ETPT Format DDG'!2:2,0)),$A$3)</f>
      </c>
      <c r="Q14" s="73">
        <f>SUMIFS(
INDEX('ETPT Format DDG'!$A:$FB,,IFERROR(MATCH(E14,'ETPT Format DDG'!$2:$2,0),MATCH(C14,'ETPT Format DDG'!$2:$2,0))),
INDEX( 'ETPT Format DDG'!$A:$ZZ,,MATCH("Fonction agrégat",'ETPT Format DDG'!2:2,0)),"F-PLAC-SUB",
INDEX( 'ETPT Format DDG'!$A:$ZZ,,MATCH("Juridiction",'ETPT Format DDG'!2:2,0)),$A$3)</f>
      </c>
      <c r="R14" s="73">
        <f>SUMIFS(
INDEX('ETPT Format DDG'!$A:$FB,,IFERROR(MATCH(E14,'ETPT Format DDG'!$2:$2,0),MATCH(C14,'ETPT Format DDG'!$2:$2,0))),
INDEX( 'ETPT Format DDG'!$A:$ZZ,,MATCH("Fonction agrégat",'ETPT Format DDG'!2:2,0)),"C",
'ETPT Format DDG'!$H:$H,"Greffe",
INDEX( 'ETPT Format DDG'!$A:$ZZ,,MATCH("Juridiction",'ETPT Format DDG'!2:2,0)),$A$3)</f>
      </c>
      <c r="S14" s="71">
        <f>SUMIFS(
INDEX('ETPT Format DDG'!$A:$FB,,IFERROR(MATCH(E14,'ETPT Format DDG'!$2:$2,0),MATCH(C14,'ETPT Format DDG'!$2:$2,0))),
INDEX( 'ETPT Format DDG'!$A:$ZZ,,MATCH("Catégorie",'ETPT Format DDG'!2:2,0)),"Greffe",
INDEX( 'ETPT Format DDG'!$A:$ZZ,,MATCH("Juridiction",'ETPT Format DDG'!2:2,0)),$A$3)</f>
      </c>
      <c r="T14" s="72">
        <f>IF(AND(OR(LEFT(C14,3)="12.",LEFT(E14,3)="12.",LEFT(E14,5)="CET &gt;",IFERROR(S14/$S$6,"")=0),NOT(AND(LEFT(E14,4)="12.8",IFERROR(G14/$G$6,"")&lt;&gt;0)),NOT(AND(LEFT(E14,5)="12.31",IFERROR(S14/$G$6,"")&lt;&gt;0)),NOT(AND(LEFT(E14,5)="12.32",IFERROR(S14/$G$6,"")&lt;&gt;0))),"", IFERROR(S14/$S$6,""))</f>
      </c>
      <c r="U14" s="71">
        <f>SUMIFS(
INDEX('ETPT Format DDG'!$A:$FB,,IFERROR(MATCH(E14,'ETPT Format DDG'!$2:$2,0),MATCH(C14,'ETPT Format DDG'!$2:$2,0))),
INDEX( 'ETPT Format DDG'!$A:$ZZ,,MATCH("Fonction agrégat",'ETPT Format DDG'!2:2,0)),"C",
INDEX( 'ETPT Format DDG'!$A:$ZZ,,MATCH("Juridiction",'ETPT Format DDG'!2:2,0)),$A$3,
INDEX( 'ETPT Format DDG'!$A:$ZZ,,MATCH("Catégorie",'ETPT Format DDG'!2:2,0)),"Autour du magistrat")</f>
      </c>
      <c r="V14" s="74">
        <f>IF(AND(OR(LEFT(C14,3)="12.",LEFT(E14,3)="12.",LEFT(E14,5)="CET &gt;",IFERROR(U14/$U$6,"")=0),NOT(AND(LEFT(E14,4)="12.8",IFERROR(G14/$G$6,"")&lt;&gt;0)),NOT(AND(LEFT(E14,5)="12.31",IFERROR(U14/$G$6,"")&lt;&gt;0)),NOT(AND(LEFT(E14,5)="12.32",IFERROR(U14/$G$6,"")&lt;&gt;0))),"", IFERROR(U14/$U$6,""))</f>
      </c>
    </row>
    <row r="15" ht="16" customHeight="1" spans="1:23" x14ac:dyDescent="0.25">
      <c r="A15" s="40"/>
      <c r="C15" s="68"/>
      <c r="D15" s="68"/>
      <c r="E15" s="69" t="s">
        <v>50</v>
      </c>
      <c r="F15" s="70" t="s">
        <v>50</v>
      </c>
      <c r="G15" s="71">
        <f>SUMIFS(
INDEX('ETPT Format DDG'!$A:$ZZ,,IFERROR(MATCH(E15,'ETPT Format DDG'!$2:$2,0),MATCH(C15,'ETPT Format DDG'!$2:$2,0))),
INDEX( 'ETPT Format DDG'!$A:$ZZ,,MATCH("Fonction agrégat",'ETPT Format DDG'!2:2,0)),"M-TIT",
INDEX( 'ETPT Format DDG'!$A:$ZZ,,MATCH("Juridiction",'ETPT Format DDG'!2:2,0)),$A$3)</f>
      </c>
      <c r="H15" s="72">
        <f>IF(AND(OR(LEFT(C15,3)="12.",LEFT(E15,3)="12.",LEFT(E15,5)="CET &gt;",IFERROR(G15/$G$6,"")=0),NOT(AND(LEFT(E15,4)="12.8",IFERROR(G15/$G$6,"")&lt;&gt;0)),NOT(AND(LEFT(E15,5)="12.31",IFERROR(G15/$G$6,"")&lt;&gt;0)),NOT(AND(LEFT(E15,5)="12.32",IFERROR(G15/$G$6,"")&lt;&gt;0))),"", IFERROR(G15/$G$6,""))</f>
      </c>
      <c r="I15" s="73">
        <f>SUMIFS(
INDEX('ETPT Format DDG'!$A:$ZZ,,IFERROR(MATCH(E15,'ETPT Format DDG'!$2:$2,0),MATCH(C15,'ETPT Format DDG'!$2:$2,0))),
INDEX( 'ETPT Format DDG'!$A:$ZZ,,MATCH("Fonction agrégat",'ETPT Format DDG'!2:2,0)),"M-PLAC-ADD",
INDEX( 'ETPT Format DDG'!$A:$ZZ,,MATCH("Juridiction",'ETPT Format DDG'!2:2,0)),$A$3)</f>
      </c>
      <c r="J15" s="73">
        <f>SUMIFS(
INDEX('ETPT Format DDG'!$A:$ZZ,,IFERROR(MATCH(E15,'ETPT Format DDG'!$2:$2,0),MATCH(C15,'ETPT Format DDG'!$2:$2,0))),
INDEX( 'ETPT Format DDG'!$A:$ZZ,,MATCH("Fonction agrégat",'ETPT Format DDG'!2:2,0)),"M-PLAC-SUB",
INDEX( 'ETPT Format DDG'!$A:$ZZ,,MATCH("Juridiction",'ETPT Format DDG'!2:2,0)),$A$3)</f>
      </c>
      <c r="K15" s="73">
        <f>SUMIFS(
INDEX('ETPT Format DDG'!$A:$ZZ,,IFERROR(MATCH(E15,'ETPT Format DDG'!$2:$2,0),MATCH(C15,'ETPT Format DDG'!$2:$2,0))),
INDEX( 'ETPT Format DDG'!$A:$ZZ,,MATCH("Fonction agrégat",'ETPT Format DDG'!2:2,0)),"M-CONT",
INDEX( 'ETPT Format DDG'!$A:$ZZ,,MATCH("Juridiction",'ETPT Format DDG'!2:2,0)),$A$3,
INDEX( 'ETPT Format DDG'!$A:$ZZ,,MATCH("Catégorie",'ETPT Format DDG'!2:2,0)),"Magistrat")</f>
      </c>
      <c r="L15" s="71">
        <f>SUMIFS(
INDEX('ETPT Format DDG'!$A:$ZZ,,IFERROR(MATCH(E15,'ETPT Format DDG'!$2:$2,0),MATCH(C15,'ETPT Format DDG'!$2:$2,0))),
INDEX( 'ETPT Format DDG'!$A:$ZZ,,MATCH("Juridiction",'ETPT Format DDG'!2:2,0)),$A$3,
INDEX( 'ETPT Format DDG'!$A:$ZZ,,MATCH("Catégorie",'ETPT Format DDG'!2:2,0)),"Magistrat")</f>
      </c>
      <c r="M15" s="74">
        <f>IF(AND(OR(LEFT(C15,3)="12.",LEFT(E15,3)="12.",LEFT(E15,5)="CET &gt;", IFERROR(L15/$L$6,"")=0),NOT(AND(LEFT(E15,4)="12.8",IFERROR(G15/$G$6,"")&lt;&gt;0)),NOT(AND(LEFT(E15,5)="12.31",IFERROR(L15/$G$6,"")&lt;&gt;0)),NOT(AND(LEFT(E15,5)="12.32",IFERROR(L15/$G$6,"")&lt;&gt;0))),"", IFERROR(L15/$L$6,""))</f>
      </c>
      <c r="N15" s="73">
        <f>SUMIFS(
INDEX('ETPT Format DDG'!$A:$ZZ,,IFERROR(MATCH(E15,'ETPT Format DDG'!$2:$2,0),MATCH(C15,'ETPT Format DDG'!$2:$2,0))),
INDEX( 'ETPT Format DDG'!$A:$ZZ,,MATCH("Fonction agrégat",'ETPT Format DDG'!2:2,0)),"F-TIT",
INDEX( 'ETPT Format DDG'!$A:$ZZ,,MATCH("Juridiction",'ETPT Format DDG'!2:2,0)),$A$3)</f>
      </c>
      <c r="O15" s="72">
        <f>IF(AND(OR(LEFT(C15,3)="12.",LEFT(E15,3)="12.",LEFT(E15,5)="CET &gt;",IFERROR(N15/$N$6,"")=0),NOT(AND(LEFT(E15,4)="12.8",IFERROR(G15/$G$6,"")&lt;&gt;0)),NOT(AND(LEFT(E15,5)="12.31",IFERROR(N15/$G$6,"")&lt;&gt;0)),NOT(AND(LEFT(E15,5)="12.32",IFERROR(N15/$G$6,"")&lt;&gt;0))),"",IFERROR(N15/$N$6,""))</f>
      </c>
      <c r="P15" s="73">
        <f>SUMIFS(
INDEX('ETPT Format DDG'!$A:$FB,,IFERROR(MATCH(E15,'ETPT Format DDG'!$2:$2,0),MATCH(C15,'ETPT Format DDG'!$2:$2,0))),
INDEX( 'ETPT Format DDG'!$A:$ZZ,,MATCH("Fonction agrégat",'ETPT Format DDG'!2:2,0)),"F-PLAC-ADD",
INDEX( 'ETPT Format DDG'!$A:$ZZ,,MATCH("Juridiction",'ETPT Format DDG'!2:2,0)),$A$3)</f>
      </c>
      <c r="Q15" s="73">
        <f>SUMIFS(
INDEX('ETPT Format DDG'!$A:$FB,,IFERROR(MATCH(E15,'ETPT Format DDG'!$2:$2,0),MATCH(C15,'ETPT Format DDG'!$2:$2,0))),
INDEX( 'ETPT Format DDG'!$A:$ZZ,,MATCH("Fonction agrégat",'ETPT Format DDG'!2:2,0)),"F-PLAC-SUB",
INDEX( 'ETPT Format DDG'!$A:$ZZ,,MATCH("Juridiction",'ETPT Format DDG'!2:2,0)),$A$3)</f>
      </c>
      <c r="R15" s="73">
        <f>SUMIFS(
INDEX('ETPT Format DDG'!$A:$FB,,IFERROR(MATCH(E15,'ETPT Format DDG'!$2:$2,0),MATCH(C15,'ETPT Format DDG'!$2:$2,0))),
INDEX( 'ETPT Format DDG'!$A:$ZZ,,MATCH("Fonction agrégat",'ETPT Format DDG'!2:2,0)),"C",
'ETPT Format DDG'!$H:$H,"Greffe",
INDEX( 'ETPT Format DDG'!$A:$ZZ,,MATCH("Juridiction",'ETPT Format DDG'!2:2,0)),$A$3)</f>
      </c>
      <c r="S15" s="71">
        <f>SUMIFS(
INDEX('ETPT Format DDG'!$A:$FB,,IFERROR(MATCH(E15,'ETPT Format DDG'!$2:$2,0),MATCH(C15,'ETPT Format DDG'!$2:$2,0))),
INDEX( 'ETPT Format DDG'!$A:$ZZ,,MATCH("Catégorie",'ETPT Format DDG'!2:2,0)),"Greffe",
INDEX( 'ETPT Format DDG'!$A:$ZZ,,MATCH("Juridiction",'ETPT Format DDG'!2:2,0)),$A$3)</f>
      </c>
      <c r="T15" s="72">
        <f>IF(AND(OR(LEFT(C15,3)="12.",LEFT(E15,3)="12.",LEFT(E15,5)="CET &gt;",IFERROR(S15/$S$6,"")=0),NOT(AND(LEFT(E15,4)="12.8",IFERROR(G15/$G$6,"")&lt;&gt;0)),NOT(AND(LEFT(E15,5)="12.31",IFERROR(S15/$G$6,"")&lt;&gt;0)),NOT(AND(LEFT(E15,5)="12.32",IFERROR(S15/$G$6,"")&lt;&gt;0))),"", IFERROR(S15/$S$6,""))</f>
      </c>
      <c r="U15" s="71">
        <f>SUMIFS(
INDEX('ETPT Format DDG'!$A:$FB,,IFERROR(MATCH(E15,'ETPT Format DDG'!$2:$2,0),MATCH(C15,'ETPT Format DDG'!$2:$2,0))),
INDEX( 'ETPT Format DDG'!$A:$ZZ,,MATCH("Fonction agrégat",'ETPT Format DDG'!2:2,0)),"C",
INDEX( 'ETPT Format DDG'!$A:$ZZ,,MATCH("Juridiction",'ETPT Format DDG'!2:2,0)),$A$3,
INDEX( 'ETPT Format DDG'!$A:$ZZ,,MATCH("Catégorie",'ETPT Format DDG'!2:2,0)),"Autour du magistrat")</f>
      </c>
      <c r="V15" s="74">
        <f>IF(AND(OR(LEFT(C15,3)="12.",LEFT(E15,3)="12.",LEFT(E15,5)="CET &gt;",IFERROR(U15/$U$6,"")=0),NOT(AND(LEFT(E15,4)="12.8",IFERROR(G15/$G$6,"")&lt;&gt;0)),NOT(AND(LEFT(E15,5)="12.31",IFERROR(U15/$G$6,"")&lt;&gt;0)),NOT(AND(LEFT(E15,5)="12.32",IFERROR(U15/$G$6,"")&lt;&gt;0))),"", IFERROR(U15/$U$6,""))</f>
      </c>
    </row>
    <row r="16" ht="16" customHeight="1" spans="1:23" x14ac:dyDescent="0.25">
      <c r="A16" s="40"/>
      <c r="C16" s="68"/>
      <c r="D16" s="68"/>
      <c r="E16" s="69" t="s">
        <v>51</v>
      </c>
      <c r="F16" s="70" t="s">
        <v>51</v>
      </c>
      <c r="G16" s="71">
        <f>SUMIFS(
INDEX('ETPT Format DDG'!$A:$ZZ,,IFERROR(MATCH(E16,'ETPT Format DDG'!$2:$2,0),MATCH(C16,'ETPT Format DDG'!$2:$2,0))),
INDEX( 'ETPT Format DDG'!$A:$ZZ,,MATCH("Fonction agrégat",'ETPT Format DDG'!2:2,0)),"M-TIT",
INDEX( 'ETPT Format DDG'!$A:$ZZ,,MATCH("Juridiction",'ETPT Format DDG'!2:2,0)),$A$3)</f>
      </c>
      <c r="H16" s="72">
        <f>IF(AND(OR(LEFT(C16,3)="12.",LEFT(E16,3)="12.",LEFT(E16,5)="CET &gt;",IFERROR(G16/$G$6,"")=0),NOT(AND(LEFT(E16,4)="12.8",IFERROR(G16/$G$6,"")&lt;&gt;0)),NOT(AND(LEFT(E16,5)="12.31",IFERROR(G16/$G$6,"")&lt;&gt;0)),NOT(AND(LEFT(E16,5)="12.32",IFERROR(G16/$G$6,"")&lt;&gt;0))),"", IFERROR(G16/$G$6,""))</f>
      </c>
      <c r="I16" s="73">
        <f>SUMIFS(
INDEX('ETPT Format DDG'!$A:$ZZ,,IFERROR(MATCH(E16,'ETPT Format DDG'!$2:$2,0),MATCH(C16,'ETPT Format DDG'!$2:$2,0))),
INDEX( 'ETPT Format DDG'!$A:$ZZ,,MATCH("Fonction agrégat",'ETPT Format DDG'!2:2,0)),"M-PLAC-ADD",
INDEX( 'ETPT Format DDG'!$A:$ZZ,,MATCH("Juridiction",'ETPT Format DDG'!2:2,0)),$A$3)</f>
      </c>
      <c r="J16" s="73">
        <f>SUMIFS(
INDEX('ETPT Format DDG'!$A:$ZZ,,IFERROR(MATCH(E16,'ETPT Format DDG'!$2:$2,0),MATCH(C16,'ETPT Format DDG'!$2:$2,0))),
INDEX( 'ETPT Format DDG'!$A:$ZZ,,MATCH("Fonction agrégat",'ETPT Format DDG'!2:2,0)),"M-PLAC-SUB",
INDEX( 'ETPT Format DDG'!$A:$ZZ,,MATCH("Juridiction",'ETPT Format DDG'!2:2,0)),$A$3)</f>
      </c>
      <c r="K16" s="73">
        <f>SUMIFS(
INDEX('ETPT Format DDG'!$A:$ZZ,,IFERROR(MATCH(E16,'ETPT Format DDG'!$2:$2,0),MATCH(C16,'ETPT Format DDG'!$2:$2,0))),
INDEX( 'ETPT Format DDG'!$A:$ZZ,,MATCH("Fonction agrégat",'ETPT Format DDG'!2:2,0)),"M-CONT",
INDEX( 'ETPT Format DDG'!$A:$ZZ,,MATCH("Juridiction",'ETPT Format DDG'!2:2,0)),$A$3,
INDEX( 'ETPT Format DDG'!$A:$ZZ,,MATCH("Catégorie",'ETPT Format DDG'!2:2,0)),"Magistrat")</f>
      </c>
      <c r="L16" s="71">
        <f>SUMIFS(
INDEX('ETPT Format DDG'!$A:$ZZ,,IFERROR(MATCH(E16,'ETPT Format DDG'!$2:$2,0),MATCH(C16,'ETPT Format DDG'!$2:$2,0))),
INDEX( 'ETPT Format DDG'!$A:$ZZ,,MATCH("Juridiction",'ETPT Format DDG'!2:2,0)),$A$3,
INDEX( 'ETPT Format DDG'!$A:$ZZ,,MATCH("Catégorie",'ETPT Format DDG'!2:2,0)),"Magistrat")</f>
      </c>
      <c r="M16" s="74">
        <f>IF(AND(OR(LEFT(C16,3)="12.",LEFT(E16,3)="12.",LEFT(E16,5)="CET &gt;", IFERROR(L16/$L$6,"")=0),NOT(AND(LEFT(E16,4)="12.8",IFERROR(G16/$G$6,"")&lt;&gt;0)),NOT(AND(LEFT(E16,5)="12.31",IFERROR(L16/$G$6,"")&lt;&gt;0)),NOT(AND(LEFT(E16,5)="12.32",IFERROR(L16/$G$6,"")&lt;&gt;0))),"", IFERROR(L16/$L$6,""))</f>
      </c>
      <c r="N16" s="73">
        <f>SUMIFS(
INDEX('ETPT Format DDG'!$A:$ZZ,,IFERROR(MATCH(E16,'ETPT Format DDG'!$2:$2,0),MATCH(C16,'ETPT Format DDG'!$2:$2,0))),
INDEX( 'ETPT Format DDG'!$A:$ZZ,,MATCH("Fonction agrégat",'ETPT Format DDG'!2:2,0)),"F-TIT",
INDEX( 'ETPT Format DDG'!$A:$ZZ,,MATCH("Juridiction",'ETPT Format DDG'!2:2,0)),$A$3)</f>
      </c>
      <c r="O16" s="72">
        <f>IF(AND(OR(LEFT(C16,3)="12.",LEFT(E16,3)="12.",LEFT(E16,5)="CET &gt;",IFERROR(N16/$N$6,"")=0),NOT(AND(LEFT(E16,4)="12.8",IFERROR(G16/$G$6,"")&lt;&gt;0)),NOT(AND(LEFT(E16,5)="12.31",IFERROR(N16/$G$6,"")&lt;&gt;0)),NOT(AND(LEFT(E16,5)="12.32",IFERROR(N16/$G$6,"")&lt;&gt;0))),"",IFERROR(N16/$N$6,""))</f>
      </c>
      <c r="P16" s="73">
        <f>SUMIFS(
INDEX('ETPT Format DDG'!$A:$FB,,IFERROR(MATCH(E16,'ETPT Format DDG'!$2:$2,0),MATCH(C16,'ETPT Format DDG'!$2:$2,0))),
INDEX( 'ETPT Format DDG'!$A:$ZZ,,MATCH("Fonction agrégat",'ETPT Format DDG'!2:2,0)),"F-PLAC-ADD",
INDEX( 'ETPT Format DDG'!$A:$ZZ,,MATCH("Juridiction",'ETPT Format DDG'!2:2,0)),$A$3)</f>
      </c>
      <c r="Q16" s="73">
        <f>SUMIFS(
INDEX('ETPT Format DDG'!$A:$FB,,IFERROR(MATCH(E16,'ETPT Format DDG'!$2:$2,0),MATCH(C16,'ETPT Format DDG'!$2:$2,0))),
INDEX( 'ETPT Format DDG'!$A:$ZZ,,MATCH("Fonction agrégat",'ETPT Format DDG'!2:2,0)),"F-PLAC-SUB",
INDEX( 'ETPT Format DDG'!$A:$ZZ,,MATCH("Juridiction",'ETPT Format DDG'!2:2,0)),$A$3)</f>
      </c>
      <c r="R16" s="73">
        <f>SUMIFS(
INDEX('ETPT Format DDG'!$A:$FB,,IFERROR(MATCH(E16,'ETPT Format DDG'!$2:$2,0),MATCH(C16,'ETPT Format DDG'!$2:$2,0))),
INDEX( 'ETPT Format DDG'!$A:$ZZ,,MATCH("Fonction agrégat",'ETPT Format DDG'!2:2,0)),"C",
'ETPT Format DDG'!$H:$H,"Greffe",
INDEX( 'ETPT Format DDG'!$A:$ZZ,,MATCH("Juridiction",'ETPT Format DDG'!2:2,0)),$A$3)</f>
      </c>
      <c r="S16" s="71">
        <f>SUMIFS(
INDEX('ETPT Format DDG'!$A:$FB,,IFERROR(MATCH(E16,'ETPT Format DDG'!$2:$2,0),MATCH(C16,'ETPT Format DDG'!$2:$2,0))),
INDEX( 'ETPT Format DDG'!$A:$ZZ,,MATCH("Catégorie",'ETPT Format DDG'!2:2,0)),"Greffe",
INDEX( 'ETPT Format DDG'!$A:$ZZ,,MATCH("Juridiction",'ETPT Format DDG'!2:2,0)),$A$3)</f>
      </c>
      <c r="T16" s="72">
        <f>IF(AND(OR(LEFT(C16,3)="12.",LEFT(E16,3)="12.",LEFT(E16,5)="CET &gt;",IFERROR(S16/$S$6,"")=0),NOT(AND(LEFT(E16,4)="12.8",IFERROR(G16/$G$6,"")&lt;&gt;0)),NOT(AND(LEFT(E16,5)="12.31",IFERROR(S16/$G$6,"")&lt;&gt;0)),NOT(AND(LEFT(E16,5)="12.32",IFERROR(S16/$G$6,"")&lt;&gt;0))),"", IFERROR(S16/$S$6,""))</f>
      </c>
      <c r="U16" s="71">
        <f>SUMIFS(
INDEX('ETPT Format DDG'!$A:$FB,,IFERROR(MATCH(E16,'ETPT Format DDG'!$2:$2,0),MATCH(C16,'ETPT Format DDG'!$2:$2,0))),
INDEX( 'ETPT Format DDG'!$A:$ZZ,,MATCH("Fonction agrégat",'ETPT Format DDG'!2:2,0)),"C",
INDEX( 'ETPT Format DDG'!$A:$ZZ,,MATCH("Juridiction",'ETPT Format DDG'!2:2,0)),$A$3,
INDEX( 'ETPT Format DDG'!$A:$ZZ,,MATCH("Catégorie",'ETPT Format DDG'!2:2,0)),"Autour du magistrat")</f>
      </c>
      <c r="V16" s="74">
        <f>IF(AND(OR(LEFT(C16,3)="12.",LEFT(E16,3)="12.",LEFT(E16,5)="CET &gt;",IFERROR(U16/$U$6,"")=0),NOT(AND(LEFT(E16,4)="12.8",IFERROR(G16/$G$6,"")&lt;&gt;0)),NOT(AND(LEFT(E16,5)="12.31",IFERROR(U16/$G$6,"")&lt;&gt;0)),NOT(AND(LEFT(E16,5)="12.32",IFERROR(U16/$G$6,"")&lt;&gt;0))),"", IFERROR(U16/$U$6,""))</f>
      </c>
    </row>
    <row r="17" ht="16" customHeight="1" spans="1:23" x14ac:dyDescent="0.25">
      <c r="A17" s="40"/>
      <c r="C17" s="68"/>
      <c r="D17" s="68"/>
      <c r="E17" s="69" t="s">
        <v>52</v>
      </c>
      <c r="F17" s="70" t="s">
        <v>52</v>
      </c>
      <c r="G17" s="71">
        <f>SUMIFS(
INDEX('ETPT Format DDG'!$A:$ZZ,,IFERROR(MATCH(E17,'ETPT Format DDG'!$2:$2,0),MATCH(C17,'ETPT Format DDG'!$2:$2,0))),
INDEX( 'ETPT Format DDG'!$A:$ZZ,,MATCH("Fonction agrégat",'ETPT Format DDG'!2:2,0)),"M-TIT",
INDEX( 'ETPT Format DDG'!$A:$ZZ,,MATCH("Juridiction",'ETPT Format DDG'!2:2,0)),$A$3)</f>
      </c>
      <c r="H17" s="72">
        <f>IF(AND(OR(LEFT(C17,3)="12.",LEFT(E17,3)="12.",LEFT(E17,5)="CET &gt;",IFERROR(G17/$G$6,"")=0),NOT(AND(LEFT(E17,4)="12.8",IFERROR(G17/$G$6,"")&lt;&gt;0)),NOT(AND(LEFT(E17,5)="12.31",IFERROR(G17/$G$6,"")&lt;&gt;0)),NOT(AND(LEFT(E17,5)="12.32",IFERROR(G17/$G$6,"")&lt;&gt;0))),"", IFERROR(G17/$G$6,""))</f>
      </c>
      <c r="I17" s="73">
        <f>SUMIFS(
INDEX('ETPT Format DDG'!$A:$ZZ,,IFERROR(MATCH(E17,'ETPT Format DDG'!$2:$2,0),MATCH(C17,'ETPT Format DDG'!$2:$2,0))),
INDEX( 'ETPT Format DDG'!$A:$ZZ,,MATCH("Fonction agrégat",'ETPT Format DDG'!2:2,0)),"M-PLAC-ADD",
INDEX( 'ETPT Format DDG'!$A:$ZZ,,MATCH("Juridiction",'ETPT Format DDG'!2:2,0)),$A$3)</f>
      </c>
      <c r="J17" s="73">
        <f>SUMIFS(
INDEX('ETPT Format DDG'!$A:$ZZ,,IFERROR(MATCH(E17,'ETPT Format DDG'!$2:$2,0),MATCH(C17,'ETPT Format DDG'!$2:$2,0))),
INDEX( 'ETPT Format DDG'!$A:$ZZ,,MATCH("Fonction agrégat",'ETPT Format DDG'!2:2,0)),"M-PLAC-SUB",
INDEX( 'ETPT Format DDG'!$A:$ZZ,,MATCH("Juridiction",'ETPT Format DDG'!2:2,0)),$A$3)</f>
      </c>
      <c r="K17" s="73">
        <f>SUMIFS(
INDEX('ETPT Format DDG'!$A:$ZZ,,IFERROR(MATCH(E17,'ETPT Format DDG'!$2:$2,0),MATCH(C17,'ETPT Format DDG'!$2:$2,0))),
INDEX( 'ETPT Format DDG'!$A:$ZZ,,MATCH("Fonction agrégat",'ETPT Format DDG'!2:2,0)),"M-CONT",
INDEX( 'ETPT Format DDG'!$A:$ZZ,,MATCH("Juridiction",'ETPT Format DDG'!2:2,0)),$A$3,
INDEX( 'ETPT Format DDG'!$A:$ZZ,,MATCH("Catégorie",'ETPT Format DDG'!2:2,0)),"Magistrat")</f>
      </c>
      <c r="L17" s="71">
        <f>SUMIFS(
INDEX('ETPT Format DDG'!$A:$ZZ,,IFERROR(MATCH(E17,'ETPT Format DDG'!$2:$2,0),MATCH(C17,'ETPT Format DDG'!$2:$2,0))),
INDEX( 'ETPT Format DDG'!$A:$ZZ,,MATCH("Juridiction",'ETPT Format DDG'!2:2,0)),$A$3,
INDEX( 'ETPT Format DDG'!$A:$ZZ,,MATCH("Catégorie",'ETPT Format DDG'!2:2,0)),"Magistrat")</f>
      </c>
      <c r="M17" s="74">
        <f>IF(AND(OR(LEFT(C17,3)="12.",LEFT(E17,3)="12.",LEFT(E17,5)="CET &gt;", IFERROR(L17/$L$6,"")=0),NOT(AND(LEFT(E17,4)="12.8",IFERROR(G17/$G$6,"")&lt;&gt;0)),NOT(AND(LEFT(E17,5)="12.31",IFERROR(L17/$G$6,"")&lt;&gt;0)),NOT(AND(LEFT(E17,5)="12.32",IFERROR(L17/$G$6,"")&lt;&gt;0))),"", IFERROR(L17/$L$6,""))</f>
      </c>
      <c r="N17" s="73">
        <f>SUMIFS(
INDEX('ETPT Format DDG'!$A:$ZZ,,IFERROR(MATCH(E17,'ETPT Format DDG'!$2:$2,0),MATCH(C17,'ETPT Format DDG'!$2:$2,0))),
INDEX( 'ETPT Format DDG'!$A:$ZZ,,MATCH("Fonction agrégat",'ETPT Format DDG'!2:2,0)),"F-TIT",
INDEX( 'ETPT Format DDG'!$A:$ZZ,,MATCH("Juridiction",'ETPT Format DDG'!2:2,0)),$A$3)</f>
      </c>
      <c r="O17" s="72">
        <f>IF(AND(OR(LEFT(C17,3)="12.",LEFT(E17,3)="12.",LEFT(E17,5)="CET &gt;",IFERROR(N17/$N$6,"")=0),NOT(AND(LEFT(E17,4)="12.8",IFERROR(G17/$G$6,"")&lt;&gt;0)),NOT(AND(LEFT(E17,5)="12.31",IFERROR(N17/$G$6,"")&lt;&gt;0)),NOT(AND(LEFT(E17,5)="12.32",IFERROR(N17/$G$6,"")&lt;&gt;0))),"",IFERROR(N17/$N$6,""))</f>
      </c>
      <c r="P17" s="73">
        <f>SUMIFS(
INDEX('ETPT Format DDG'!$A:$FB,,IFERROR(MATCH(E17,'ETPT Format DDG'!$2:$2,0),MATCH(C17,'ETPT Format DDG'!$2:$2,0))),
INDEX( 'ETPT Format DDG'!$A:$ZZ,,MATCH("Fonction agrégat",'ETPT Format DDG'!2:2,0)),"F-PLAC-ADD",
INDEX( 'ETPT Format DDG'!$A:$ZZ,,MATCH("Juridiction",'ETPT Format DDG'!2:2,0)),$A$3)</f>
      </c>
      <c r="Q17" s="73">
        <f>SUMIFS(
INDEX('ETPT Format DDG'!$A:$FB,,IFERROR(MATCH(E17,'ETPT Format DDG'!$2:$2,0),MATCH(C17,'ETPT Format DDG'!$2:$2,0))),
INDEX( 'ETPT Format DDG'!$A:$ZZ,,MATCH("Fonction agrégat",'ETPT Format DDG'!2:2,0)),"F-PLAC-SUB",
INDEX( 'ETPT Format DDG'!$A:$ZZ,,MATCH("Juridiction",'ETPT Format DDG'!2:2,0)),$A$3)</f>
      </c>
      <c r="R17" s="73">
        <f>SUMIFS(
INDEX('ETPT Format DDG'!$A:$FB,,IFERROR(MATCH(E17,'ETPT Format DDG'!$2:$2,0),MATCH(C17,'ETPT Format DDG'!$2:$2,0))),
INDEX( 'ETPT Format DDG'!$A:$ZZ,,MATCH("Fonction agrégat",'ETPT Format DDG'!2:2,0)),"C",
'ETPT Format DDG'!$H:$H,"Greffe",
INDEX( 'ETPT Format DDG'!$A:$ZZ,,MATCH("Juridiction",'ETPT Format DDG'!2:2,0)),$A$3)</f>
      </c>
      <c r="S17" s="71">
        <f>SUMIFS(
INDEX('ETPT Format DDG'!$A:$FB,,IFERROR(MATCH(E17,'ETPT Format DDG'!$2:$2,0),MATCH(C17,'ETPT Format DDG'!$2:$2,0))),
INDEX( 'ETPT Format DDG'!$A:$ZZ,,MATCH("Catégorie",'ETPT Format DDG'!2:2,0)),"Greffe",
INDEX( 'ETPT Format DDG'!$A:$ZZ,,MATCH("Juridiction",'ETPT Format DDG'!2:2,0)),$A$3)</f>
      </c>
      <c r="T17" s="72">
        <f>IF(AND(OR(LEFT(C17,3)="12.",LEFT(E17,3)="12.",LEFT(E17,5)="CET &gt;",IFERROR(S17/$S$6,"")=0),NOT(AND(LEFT(E17,4)="12.8",IFERROR(G17/$G$6,"")&lt;&gt;0)),NOT(AND(LEFT(E17,5)="12.31",IFERROR(S17/$G$6,"")&lt;&gt;0)),NOT(AND(LEFT(E17,5)="12.32",IFERROR(S17/$G$6,"")&lt;&gt;0))),"", IFERROR(S17/$S$6,""))</f>
      </c>
      <c r="U17" s="71">
        <f>SUMIFS(
INDEX('ETPT Format DDG'!$A:$FB,,IFERROR(MATCH(E17,'ETPT Format DDG'!$2:$2,0),MATCH(C17,'ETPT Format DDG'!$2:$2,0))),
INDEX( 'ETPT Format DDG'!$A:$ZZ,,MATCH("Fonction agrégat",'ETPT Format DDG'!2:2,0)),"C",
INDEX( 'ETPT Format DDG'!$A:$ZZ,,MATCH("Juridiction",'ETPT Format DDG'!2:2,0)),$A$3,
INDEX( 'ETPT Format DDG'!$A:$ZZ,,MATCH("Catégorie",'ETPT Format DDG'!2:2,0)),"Autour du magistrat")</f>
      </c>
      <c r="V17" s="74">
        <f>IF(AND(OR(LEFT(C17,3)="12.",LEFT(E17,3)="12.",LEFT(E17,5)="CET &gt;",IFERROR(U17/$U$6,"")=0),NOT(AND(LEFT(E17,4)="12.8",IFERROR(G17/$G$6,"")&lt;&gt;0)),NOT(AND(LEFT(E17,5)="12.31",IFERROR(U17/$G$6,"")&lt;&gt;0)),NOT(AND(LEFT(E17,5)="12.32",IFERROR(U17/$G$6,"")&lt;&gt;0))),"", IFERROR(U17/$U$6,""))</f>
      </c>
    </row>
    <row r="18" ht="16" customHeight="1" spans="1:23" x14ac:dyDescent="0.25">
      <c r="A18" s="40"/>
      <c r="C18" s="68"/>
      <c r="D18" s="68"/>
      <c r="E18" s="69" t="s">
        <v>53</v>
      </c>
      <c r="F18" s="70" t="s">
        <v>53</v>
      </c>
      <c r="G18" s="71">
        <f>SUMIFS(
INDEX('ETPT Format DDG'!$A:$ZZ,,IFERROR(MATCH(E18,'ETPT Format DDG'!$2:$2,0),MATCH(C18,'ETPT Format DDG'!$2:$2,0))),
INDEX( 'ETPT Format DDG'!$A:$ZZ,,MATCH("Fonction agrégat",'ETPT Format DDG'!2:2,0)),"M-TIT",
INDEX( 'ETPT Format DDG'!$A:$ZZ,,MATCH("Juridiction",'ETPT Format DDG'!2:2,0)),$A$3)</f>
      </c>
      <c r="H18" s="72">
        <f>IF(AND(OR(LEFT(C18,3)="12.",LEFT(E18,3)="12.",LEFT(E18,5)="CET &gt;",IFERROR(G18/$G$6,"")=0),NOT(AND(LEFT(E18,4)="12.8",IFERROR(G18/$G$6,"")&lt;&gt;0)),NOT(AND(LEFT(E18,5)="12.31",IFERROR(G18/$G$6,"")&lt;&gt;0)),NOT(AND(LEFT(E18,5)="12.32",IFERROR(G18/$G$6,"")&lt;&gt;0))),"", IFERROR(G18/$G$6,""))</f>
      </c>
      <c r="I18" s="73">
        <f>SUMIFS(
INDEX('ETPT Format DDG'!$A:$ZZ,,IFERROR(MATCH(E18,'ETPT Format DDG'!$2:$2,0),MATCH(C18,'ETPT Format DDG'!$2:$2,0))),
INDEX( 'ETPT Format DDG'!$A:$ZZ,,MATCH("Fonction agrégat",'ETPT Format DDG'!2:2,0)),"M-PLAC-ADD",
INDEX( 'ETPT Format DDG'!$A:$ZZ,,MATCH("Juridiction",'ETPT Format DDG'!2:2,0)),$A$3)</f>
      </c>
      <c r="J18" s="73">
        <f>SUMIFS(
INDEX('ETPT Format DDG'!$A:$ZZ,,IFERROR(MATCH(E18,'ETPT Format DDG'!$2:$2,0),MATCH(C18,'ETPT Format DDG'!$2:$2,0))),
INDEX( 'ETPT Format DDG'!$A:$ZZ,,MATCH("Fonction agrégat",'ETPT Format DDG'!2:2,0)),"M-PLAC-SUB",
INDEX( 'ETPT Format DDG'!$A:$ZZ,,MATCH("Juridiction",'ETPT Format DDG'!2:2,0)),$A$3)</f>
      </c>
      <c r="K18" s="73">
        <f>SUMIFS(
INDEX('ETPT Format DDG'!$A:$ZZ,,IFERROR(MATCH(E18,'ETPT Format DDG'!$2:$2,0),MATCH(C18,'ETPT Format DDG'!$2:$2,0))),
INDEX( 'ETPT Format DDG'!$A:$ZZ,,MATCH("Fonction agrégat",'ETPT Format DDG'!2:2,0)),"M-CONT",
INDEX( 'ETPT Format DDG'!$A:$ZZ,,MATCH("Juridiction",'ETPT Format DDG'!2:2,0)),$A$3,
INDEX( 'ETPT Format DDG'!$A:$ZZ,,MATCH("Catégorie",'ETPT Format DDG'!2:2,0)),"Magistrat")</f>
      </c>
      <c r="L18" s="71">
        <f>SUMIFS(
INDEX('ETPT Format DDG'!$A:$ZZ,,IFERROR(MATCH(E18,'ETPT Format DDG'!$2:$2,0),MATCH(C18,'ETPT Format DDG'!$2:$2,0))),
INDEX( 'ETPT Format DDG'!$A:$ZZ,,MATCH("Juridiction",'ETPT Format DDG'!2:2,0)),$A$3,
INDEX( 'ETPT Format DDG'!$A:$ZZ,,MATCH("Catégorie",'ETPT Format DDG'!2:2,0)),"Magistrat")</f>
      </c>
      <c r="M18" s="74">
        <f>IF(AND(OR(LEFT(C18,3)="12.",LEFT(E18,3)="12.",LEFT(E18,5)="CET &gt;", IFERROR(L18/$L$6,"")=0),NOT(AND(LEFT(E18,4)="12.8",IFERROR(G18/$G$6,"")&lt;&gt;0)),NOT(AND(LEFT(E18,5)="12.31",IFERROR(L18/$G$6,"")&lt;&gt;0)),NOT(AND(LEFT(E18,5)="12.32",IFERROR(L18/$G$6,"")&lt;&gt;0))),"", IFERROR(L18/$L$6,""))</f>
      </c>
      <c r="N18" s="73">
        <f>SUMIFS(
INDEX('ETPT Format DDG'!$A:$ZZ,,IFERROR(MATCH(E18,'ETPT Format DDG'!$2:$2,0),MATCH(C18,'ETPT Format DDG'!$2:$2,0))),
INDEX( 'ETPT Format DDG'!$A:$ZZ,,MATCH("Fonction agrégat",'ETPT Format DDG'!2:2,0)),"F-TIT",
INDEX( 'ETPT Format DDG'!$A:$ZZ,,MATCH("Juridiction",'ETPT Format DDG'!2:2,0)),$A$3)</f>
      </c>
      <c r="O18" s="72">
        <f>IF(AND(OR(LEFT(C18,3)="12.",LEFT(E18,3)="12.",LEFT(E18,5)="CET &gt;",IFERROR(N18/$N$6,"")=0),NOT(AND(LEFT(E18,4)="12.8",IFERROR(G18/$G$6,"")&lt;&gt;0)),NOT(AND(LEFT(E18,5)="12.31",IFERROR(N18/$G$6,"")&lt;&gt;0)),NOT(AND(LEFT(E18,5)="12.32",IFERROR(N18/$G$6,"")&lt;&gt;0))),"",IFERROR(N18/$N$6,""))</f>
      </c>
      <c r="P18" s="73">
        <f>SUMIFS(
INDEX('ETPT Format DDG'!$A:$FB,,IFERROR(MATCH(E18,'ETPT Format DDG'!$2:$2,0),MATCH(C18,'ETPT Format DDG'!$2:$2,0))),
INDEX( 'ETPT Format DDG'!$A:$ZZ,,MATCH("Fonction agrégat",'ETPT Format DDG'!2:2,0)),"F-PLAC-ADD",
INDEX( 'ETPT Format DDG'!$A:$ZZ,,MATCH("Juridiction",'ETPT Format DDG'!2:2,0)),$A$3)</f>
      </c>
      <c r="Q18" s="73">
        <f>SUMIFS(
INDEX('ETPT Format DDG'!$A:$FB,,IFERROR(MATCH(E18,'ETPT Format DDG'!$2:$2,0),MATCH(C18,'ETPT Format DDG'!$2:$2,0))),
INDEX( 'ETPT Format DDG'!$A:$ZZ,,MATCH("Fonction agrégat",'ETPT Format DDG'!2:2,0)),"F-PLAC-SUB",
INDEX( 'ETPT Format DDG'!$A:$ZZ,,MATCH("Juridiction",'ETPT Format DDG'!2:2,0)),$A$3)</f>
      </c>
      <c r="R18" s="73">
        <f>SUMIFS(
INDEX('ETPT Format DDG'!$A:$FB,,IFERROR(MATCH(E18,'ETPT Format DDG'!$2:$2,0),MATCH(C18,'ETPT Format DDG'!$2:$2,0))),
INDEX( 'ETPT Format DDG'!$A:$ZZ,,MATCH("Fonction agrégat",'ETPT Format DDG'!2:2,0)),"C",
'ETPT Format DDG'!$H:$H,"Greffe",
INDEX( 'ETPT Format DDG'!$A:$ZZ,,MATCH("Juridiction",'ETPT Format DDG'!2:2,0)),$A$3)</f>
      </c>
      <c r="S18" s="71">
        <f>SUMIFS(
INDEX('ETPT Format DDG'!$A:$FB,,IFERROR(MATCH(E18,'ETPT Format DDG'!$2:$2,0),MATCH(C18,'ETPT Format DDG'!$2:$2,0))),
INDEX( 'ETPT Format DDG'!$A:$ZZ,,MATCH("Catégorie",'ETPT Format DDG'!2:2,0)),"Greffe",
INDEX( 'ETPT Format DDG'!$A:$ZZ,,MATCH("Juridiction",'ETPT Format DDG'!2:2,0)),$A$3)</f>
      </c>
      <c r="T18" s="72">
        <f>IF(AND(OR(LEFT(C18,3)="12.",LEFT(E18,3)="12.",LEFT(E18,5)="CET &gt;",IFERROR(S18/$S$6,"")=0),NOT(AND(LEFT(E18,4)="12.8",IFERROR(G18/$G$6,"")&lt;&gt;0)),NOT(AND(LEFT(E18,5)="12.31",IFERROR(S18/$G$6,"")&lt;&gt;0)),NOT(AND(LEFT(E18,5)="12.32",IFERROR(S18/$G$6,"")&lt;&gt;0))),"", IFERROR(S18/$S$6,""))</f>
      </c>
      <c r="U18" s="71">
        <f>SUMIFS(
INDEX('ETPT Format DDG'!$A:$FB,,IFERROR(MATCH(E18,'ETPT Format DDG'!$2:$2,0),MATCH(C18,'ETPT Format DDG'!$2:$2,0))),
INDEX( 'ETPT Format DDG'!$A:$ZZ,,MATCH("Fonction agrégat",'ETPT Format DDG'!2:2,0)),"C",
INDEX( 'ETPT Format DDG'!$A:$ZZ,,MATCH("Juridiction",'ETPT Format DDG'!2:2,0)),$A$3,
INDEX( 'ETPT Format DDG'!$A:$ZZ,,MATCH("Catégorie",'ETPT Format DDG'!2:2,0)),"Autour du magistrat")</f>
      </c>
      <c r="V18" s="74">
        <f>IF(AND(OR(LEFT(C18,3)="12.",LEFT(E18,3)="12.",LEFT(E18,5)="CET &gt;",IFERROR(U18/$U$6,"")=0),NOT(AND(LEFT(E18,4)="12.8",IFERROR(G18/$G$6,"")&lt;&gt;0)),NOT(AND(LEFT(E18,5)="12.31",IFERROR(U18/$G$6,"")&lt;&gt;0)),NOT(AND(LEFT(E18,5)="12.32",IFERROR(U18/$G$6,"")&lt;&gt;0))),"", IFERROR(U18/$U$6,""))</f>
      </c>
    </row>
    <row r="19" ht="16" customHeight="1" spans="1:23" x14ac:dyDescent="0.25">
      <c r="A19" s="40"/>
      <c r="C19" s="68"/>
      <c r="D19" s="68"/>
      <c r="E19" s="69" t="s">
        <v>54</v>
      </c>
      <c r="F19" s="70" t="s">
        <v>54</v>
      </c>
      <c r="G19" s="71">
        <f>SUMIFS(
INDEX('ETPT Format DDG'!$A:$ZZ,,IFERROR(MATCH(E19,'ETPT Format DDG'!$2:$2,0),MATCH(C19,'ETPT Format DDG'!$2:$2,0))),
INDEX( 'ETPT Format DDG'!$A:$ZZ,,MATCH("Fonction agrégat",'ETPT Format DDG'!2:2,0)),"M-TIT",
INDEX( 'ETPT Format DDG'!$A:$ZZ,,MATCH("Juridiction",'ETPT Format DDG'!2:2,0)),$A$3)</f>
      </c>
      <c r="H19" s="72">
        <f>IF(AND(OR(LEFT(C19,3)="12.",LEFT(E19,3)="12.",LEFT(E19,5)="CET &gt;",IFERROR(G19/$G$6,"")=0),NOT(AND(LEFT(E19,4)="12.8",IFERROR(G19/$G$6,"")&lt;&gt;0)),NOT(AND(LEFT(E19,5)="12.31",IFERROR(G19/$G$6,"")&lt;&gt;0)),NOT(AND(LEFT(E19,5)="12.32",IFERROR(G19/$G$6,"")&lt;&gt;0))),"", IFERROR(G19/$G$6,""))</f>
      </c>
      <c r="I19" s="73">
        <f>SUMIFS(
INDEX('ETPT Format DDG'!$A:$ZZ,,IFERROR(MATCH(E19,'ETPT Format DDG'!$2:$2,0),MATCH(C19,'ETPT Format DDG'!$2:$2,0))),
INDEX( 'ETPT Format DDG'!$A:$ZZ,,MATCH("Fonction agrégat",'ETPT Format DDG'!2:2,0)),"M-PLAC-ADD",
INDEX( 'ETPT Format DDG'!$A:$ZZ,,MATCH("Juridiction",'ETPT Format DDG'!2:2,0)),$A$3)</f>
      </c>
      <c r="J19" s="73">
        <f>SUMIFS(
INDEX('ETPT Format DDG'!$A:$ZZ,,IFERROR(MATCH(E19,'ETPT Format DDG'!$2:$2,0),MATCH(C19,'ETPT Format DDG'!$2:$2,0))),
INDEX( 'ETPT Format DDG'!$A:$ZZ,,MATCH("Fonction agrégat",'ETPT Format DDG'!2:2,0)),"M-PLAC-SUB",
INDEX( 'ETPT Format DDG'!$A:$ZZ,,MATCH("Juridiction",'ETPT Format DDG'!2:2,0)),$A$3)</f>
      </c>
      <c r="K19" s="73">
        <f>SUMIFS(
INDEX('ETPT Format DDG'!$A:$ZZ,,IFERROR(MATCH(E19,'ETPT Format DDG'!$2:$2,0),MATCH(C19,'ETPT Format DDG'!$2:$2,0))),
INDEX( 'ETPT Format DDG'!$A:$ZZ,,MATCH("Fonction agrégat",'ETPT Format DDG'!2:2,0)),"M-CONT",
INDEX( 'ETPT Format DDG'!$A:$ZZ,,MATCH("Juridiction",'ETPT Format DDG'!2:2,0)),$A$3,
INDEX( 'ETPT Format DDG'!$A:$ZZ,,MATCH("Catégorie",'ETPT Format DDG'!2:2,0)),"Magistrat")</f>
      </c>
      <c r="L19" s="71">
        <f>SUMIFS(
INDEX('ETPT Format DDG'!$A:$ZZ,,IFERROR(MATCH(E19,'ETPT Format DDG'!$2:$2,0),MATCH(C19,'ETPT Format DDG'!$2:$2,0))),
INDEX( 'ETPT Format DDG'!$A:$ZZ,,MATCH("Juridiction",'ETPT Format DDG'!2:2,0)),$A$3,
INDEX( 'ETPT Format DDG'!$A:$ZZ,,MATCH("Catégorie",'ETPT Format DDG'!2:2,0)),"Magistrat")</f>
      </c>
      <c r="M19" s="74">
        <f>IF(AND(OR(LEFT(C19,3)="12.",LEFT(E19,3)="12.",LEFT(E19,5)="CET &gt;", IFERROR(L19/$L$6,"")=0),NOT(AND(LEFT(E19,4)="12.8",IFERROR(G19/$G$6,"")&lt;&gt;0)),NOT(AND(LEFT(E19,5)="12.31",IFERROR(L19/$G$6,"")&lt;&gt;0)),NOT(AND(LEFT(E19,5)="12.32",IFERROR(L19/$G$6,"")&lt;&gt;0))),"", IFERROR(L19/$L$6,""))</f>
      </c>
      <c r="N19" s="73">
        <f>SUMIFS(
INDEX('ETPT Format DDG'!$A:$ZZ,,IFERROR(MATCH(E19,'ETPT Format DDG'!$2:$2,0),MATCH(C19,'ETPT Format DDG'!$2:$2,0))),
INDEX( 'ETPT Format DDG'!$A:$ZZ,,MATCH("Fonction agrégat",'ETPT Format DDG'!2:2,0)),"F-TIT",
INDEX( 'ETPT Format DDG'!$A:$ZZ,,MATCH("Juridiction",'ETPT Format DDG'!2:2,0)),$A$3)</f>
      </c>
      <c r="O19" s="72">
        <f>IF(AND(OR(LEFT(C19,3)="12.",LEFT(E19,3)="12.",LEFT(E19,5)="CET &gt;",IFERROR(N19/$N$6,"")=0),NOT(AND(LEFT(E19,4)="12.8",IFERROR(G19/$G$6,"")&lt;&gt;0)),NOT(AND(LEFT(E19,5)="12.31",IFERROR(N19/$G$6,"")&lt;&gt;0)),NOT(AND(LEFT(E19,5)="12.32",IFERROR(N19/$G$6,"")&lt;&gt;0))),"",IFERROR(N19/$N$6,""))</f>
      </c>
      <c r="P19" s="73">
        <f>SUMIFS(
INDEX('ETPT Format DDG'!$A:$FB,,IFERROR(MATCH(E19,'ETPT Format DDG'!$2:$2,0),MATCH(C19,'ETPT Format DDG'!$2:$2,0))),
INDEX( 'ETPT Format DDG'!$A:$ZZ,,MATCH("Fonction agrégat",'ETPT Format DDG'!2:2,0)),"F-PLAC-ADD",
INDEX( 'ETPT Format DDG'!$A:$ZZ,,MATCH("Juridiction",'ETPT Format DDG'!2:2,0)),$A$3)</f>
      </c>
      <c r="Q19" s="73">
        <f>SUMIFS(
INDEX('ETPT Format DDG'!$A:$FB,,IFERROR(MATCH(E19,'ETPT Format DDG'!$2:$2,0),MATCH(C19,'ETPT Format DDG'!$2:$2,0))),
INDEX( 'ETPT Format DDG'!$A:$ZZ,,MATCH("Fonction agrégat",'ETPT Format DDG'!2:2,0)),"F-PLAC-SUB",
INDEX( 'ETPT Format DDG'!$A:$ZZ,,MATCH("Juridiction",'ETPT Format DDG'!2:2,0)),$A$3)</f>
      </c>
      <c r="R19" s="73">
        <f>SUMIFS(
INDEX('ETPT Format DDG'!$A:$FB,,IFERROR(MATCH(E19,'ETPT Format DDG'!$2:$2,0),MATCH(C19,'ETPT Format DDG'!$2:$2,0))),
INDEX( 'ETPT Format DDG'!$A:$ZZ,,MATCH("Fonction agrégat",'ETPT Format DDG'!2:2,0)),"C",
'ETPT Format DDG'!$H:$H,"Greffe",
INDEX( 'ETPT Format DDG'!$A:$ZZ,,MATCH("Juridiction",'ETPT Format DDG'!2:2,0)),$A$3)</f>
      </c>
      <c r="S19" s="71">
        <f>SUMIFS(
INDEX('ETPT Format DDG'!$A:$FB,,IFERROR(MATCH(E19,'ETPT Format DDG'!$2:$2,0),MATCH(C19,'ETPT Format DDG'!$2:$2,0))),
INDEX( 'ETPT Format DDG'!$A:$ZZ,,MATCH("Catégorie",'ETPT Format DDG'!2:2,0)),"Greffe",
INDEX( 'ETPT Format DDG'!$A:$ZZ,,MATCH("Juridiction",'ETPT Format DDG'!2:2,0)),$A$3)</f>
      </c>
      <c r="T19" s="72">
        <f>IF(AND(OR(LEFT(C19,3)="12.",LEFT(E19,3)="12.",LEFT(E19,5)="CET &gt;",IFERROR(S19/$S$6,"")=0),NOT(AND(LEFT(E19,4)="12.8",IFERROR(G19/$G$6,"")&lt;&gt;0)),NOT(AND(LEFT(E19,5)="12.31",IFERROR(S19/$G$6,"")&lt;&gt;0)),NOT(AND(LEFT(E19,5)="12.32",IFERROR(S19/$G$6,"")&lt;&gt;0))),"", IFERROR(S19/$S$6,""))</f>
      </c>
      <c r="U19" s="71">
        <f>SUMIFS(
INDEX('ETPT Format DDG'!$A:$FB,,IFERROR(MATCH(E19,'ETPT Format DDG'!$2:$2,0),MATCH(C19,'ETPT Format DDG'!$2:$2,0))),
INDEX( 'ETPT Format DDG'!$A:$ZZ,,MATCH("Fonction agrégat",'ETPT Format DDG'!2:2,0)),"C",
INDEX( 'ETPT Format DDG'!$A:$ZZ,,MATCH("Juridiction",'ETPT Format DDG'!2:2,0)),$A$3,
INDEX( 'ETPT Format DDG'!$A:$ZZ,,MATCH("Catégorie",'ETPT Format DDG'!2:2,0)),"Autour du magistrat")</f>
      </c>
      <c r="V19" s="74">
        <f>IF(AND(OR(LEFT(C19,3)="12.",LEFT(E19,3)="12.",LEFT(E19,5)="CET &gt;",IFERROR(U19/$U$6,"")=0),NOT(AND(LEFT(E19,4)="12.8",IFERROR(G19/$G$6,"")&lt;&gt;0)),NOT(AND(LEFT(E19,5)="12.31",IFERROR(U19/$G$6,"")&lt;&gt;0)),NOT(AND(LEFT(E19,5)="12.32",IFERROR(U19/$G$6,"")&lt;&gt;0))),"", IFERROR(U19/$U$6,""))</f>
      </c>
    </row>
    <row r="20" ht="16" customHeight="1" spans="1:23" x14ac:dyDescent="0.25">
      <c r="A20" s="40"/>
      <c r="C20" s="68"/>
      <c r="D20" s="68"/>
      <c r="E20" s="69" t="s">
        <v>55</v>
      </c>
      <c r="F20" s="70" t="s">
        <v>55</v>
      </c>
      <c r="G20" s="71">
        <f>SUMIFS(
INDEX('ETPT Format DDG'!$A:$ZZ,,IFERROR(MATCH(E20,'ETPT Format DDG'!$2:$2,0),MATCH(C20,'ETPT Format DDG'!$2:$2,0))),
INDEX( 'ETPT Format DDG'!$A:$ZZ,,MATCH("Fonction agrégat",'ETPT Format DDG'!2:2,0)),"M-TIT",
INDEX( 'ETPT Format DDG'!$A:$ZZ,,MATCH("Juridiction",'ETPT Format DDG'!2:2,0)),$A$3)</f>
      </c>
      <c r="H20" s="72">
        <f>IF(AND(OR(LEFT(C20,3)="12.",LEFT(E20,3)="12.",LEFT(E20,5)="CET &gt;",IFERROR(G20/$G$6,"")=0),NOT(AND(LEFT(E20,4)="12.8",IFERROR(G20/$G$6,"")&lt;&gt;0)),NOT(AND(LEFT(E20,5)="12.31",IFERROR(G20/$G$6,"")&lt;&gt;0)),NOT(AND(LEFT(E20,5)="12.32",IFERROR(G20/$G$6,"")&lt;&gt;0))),"", IFERROR(G20/$G$6,""))</f>
      </c>
      <c r="I20" s="73">
        <f>SUMIFS(
INDEX('ETPT Format DDG'!$A:$ZZ,,IFERROR(MATCH(E20,'ETPT Format DDG'!$2:$2,0),MATCH(C20,'ETPT Format DDG'!$2:$2,0))),
INDEX( 'ETPT Format DDG'!$A:$ZZ,,MATCH("Fonction agrégat",'ETPT Format DDG'!2:2,0)),"M-PLAC-ADD",
INDEX( 'ETPT Format DDG'!$A:$ZZ,,MATCH("Juridiction",'ETPT Format DDG'!2:2,0)),$A$3)</f>
      </c>
      <c r="J20" s="73">
        <f>SUMIFS(
INDEX('ETPT Format DDG'!$A:$ZZ,,IFERROR(MATCH(E20,'ETPT Format DDG'!$2:$2,0),MATCH(C20,'ETPT Format DDG'!$2:$2,0))),
INDEX( 'ETPT Format DDG'!$A:$ZZ,,MATCH("Fonction agrégat",'ETPT Format DDG'!2:2,0)),"M-PLAC-SUB",
INDEX( 'ETPT Format DDG'!$A:$ZZ,,MATCH("Juridiction",'ETPT Format DDG'!2:2,0)),$A$3)</f>
      </c>
      <c r="K20" s="73">
        <f>SUMIFS(
INDEX('ETPT Format DDG'!$A:$ZZ,,IFERROR(MATCH(E20,'ETPT Format DDG'!$2:$2,0),MATCH(C20,'ETPT Format DDG'!$2:$2,0))),
INDEX( 'ETPT Format DDG'!$A:$ZZ,,MATCH("Fonction agrégat",'ETPT Format DDG'!2:2,0)),"M-CONT",
INDEX( 'ETPT Format DDG'!$A:$ZZ,,MATCH("Juridiction",'ETPT Format DDG'!2:2,0)),$A$3,
INDEX( 'ETPT Format DDG'!$A:$ZZ,,MATCH("Catégorie",'ETPT Format DDG'!2:2,0)),"Magistrat")</f>
      </c>
      <c r="L20" s="71">
        <f>SUMIFS(
INDEX('ETPT Format DDG'!$A:$ZZ,,IFERROR(MATCH(E20,'ETPT Format DDG'!$2:$2,0),MATCH(C20,'ETPT Format DDG'!$2:$2,0))),
INDEX( 'ETPT Format DDG'!$A:$ZZ,,MATCH("Juridiction",'ETPT Format DDG'!2:2,0)),$A$3,
INDEX( 'ETPT Format DDG'!$A:$ZZ,,MATCH("Catégorie",'ETPT Format DDG'!2:2,0)),"Magistrat")</f>
      </c>
      <c r="M20" s="74">
        <f>IF(AND(OR(LEFT(C20,3)="12.",LEFT(E20,3)="12.",LEFT(E20,5)="CET &gt;", IFERROR(L20/$L$6,"")=0),NOT(AND(LEFT(E20,4)="12.8",IFERROR(G20/$G$6,"")&lt;&gt;0)),NOT(AND(LEFT(E20,5)="12.31",IFERROR(L20/$G$6,"")&lt;&gt;0)),NOT(AND(LEFT(E20,5)="12.32",IFERROR(L20/$G$6,"")&lt;&gt;0))),"", IFERROR(L20/$L$6,""))</f>
      </c>
      <c r="N20" s="73">
        <f>SUMIFS(
INDEX('ETPT Format DDG'!$A:$ZZ,,IFERROR(MATCH(E20,'ETPT Format DDG'!$2:$2,0),MATCH(C20,'ETPT Format DDG'!$2:$2,0))),
INDEX( 'ETPT Format DDG'!$A:$ZZ,,MATCH("Fonction agrégat",'ETPT Format DDG'!2:2,0)),"F-TIT",
INDEX( 'ETPT Format DDG'!$A:$ZZ,,MATCH("Juridiction",'ETPT Format DDG'!2:2,0)),$A$3)</f>
      </c>
      <c r="O20" s="72">
        <f>IF(AND(OR(LEFT(C20,3)="12.",LEFT(E20,3)="12.",LEFT(E20,5)="CET &gt;",IFERROR(N20/$N$6,"")=0),NOT(AND(LEFT(E20,4)="12.8",IFERROR(G20/$G$6,"")&lt;&gt;0)),NOT(AND(LEFT(E20,5)="12.31",IFERROR(N20/$G$6,"")&lt;&gt;0)),NOT(AND(LEFT(E20,5)="12.32",IFERROR(N20/$G$6,"")&lt;&gt;0))),"",IFERROR(N20/$N$6,""))</f>
      </c>
      <c r="P20" s="73">
        <f>SUMIFS(
INDEX('ETPT Format DDG'!$A:$FB,,IFERROR(MATCH(E20,'ETPT Format DDG'!$2:$2,0),MATCH(C20,'ETPT Format DDG'!$2:$2,0))),
INDEX( 'ETPT Format DDG'!$A:$ZZ,,MATCH("Fonction agrégat",'ETPT Format DDG'!2:2,0)),"F-PLAC-ADD",
INDEX( 'ETPT Format DDG'!$A:$ZZ,,MATCH("Juridiction",'ETPT Format DDG'!2:2,0)),$A$3)</f>
      </c>
      <c r="Q20" s="73">
        <f>SUMIFS(
INDEX('ETPT Format DDG'!$A:$FB,,IFERROR(MATCH(E20,'ETPT Format DDG'!$2:$2,0),MATCH(C20,'ETPT Format DDG'!$2:$2,0))),
INDEX( 'ETPT Format DDG'!$A:$ZZ,,MATCH("Fonction agrégat",'ETPT Format DDG'!2:2,0)),"F-PLAC-SUB",
INDEX( 'ETPT Format DDG'!$A:$ZZ,,MATCH("Juridiction",'ETPT Format DDG'!2:2,0)),$A$3)</f>
      </c>
      <c r="R20" s="73">
        <f>SUMIFS(
INDEX('ETPT Format DDG'!$A:$FB,,IFERROR(MATCH(E20,'ETPT Format DDG'!$2:$2,0),MATCH(C20,'ETPT Format DDG'!$2:$2,0))),
INDEX( 'ETPT Format DDG'!$A:$ZZ,,MATCH("Fonction agrégat",'ETPT Format DDG'!2:2,0)),"C",
'ETPT Format DDG'!$H:$H,"Greffe",
INDEX( 'ETPT Format DDG'!$A:$ZZ,,MATCH("Juridiction",'ETPT Format DDG'!2:2,0)),$A$3)</f>
      </c>
      <c r="S20" s="71">
        <f>SUMIFS(
INDEX('ETPT Format DDG'!$A:$FB,,IFERROR(MATCH(E20,'ETPT Format DDG'!$2:$2,0),MATCH(C20,'ETPT Format DDG'!$2:$2,0))),
INDEX( 'ETPT Format DDG'!$A:$ZZ,,MATCH("Catégorie",'ETPT Format DDG'!2:2,0)),"Greffe",
INDEX( 'ETPT Format DDG'!$A:$ZZ,,MATCH("Juridiction",'ETPT Format DDG'!2:2,0)),$A$3)</f>
      </c>
      <c r="T20" s="72">
        <f>IF(AND(OR(LEFT(C20,3)="12.",LEFT(E20,3)="12.",LEFT(E20,5)="CET &gt;",IFERROR(S20/$S$6,"")=0),NOT(AND(LEFT(E20,4)="12.8",IFERROR(G20/$G$6,"")&lt;&gt;0)),NOT(AND(LEFT(E20,5)="12.31",IFERROR(S20/$G$6,"")&lt;&gt;0)),NOT(AND(LEFT(E20,5)="12.32",IFERROR(S20/$G$6,"")&lt;&gt;0))),"", IFERROR(S20/$S$6,""))</f>
      </c>
      <c r="U20" s="71">
        <f>SUMIFS(
INDEX('ETPT Format DDG'!$A:$FB,,IFERROR(MATCH(E20,'ETPT Format DDG'!$2:$2,0),MATCH(C20,'ETPT Format DDG'!$2:$2,0))),
INDEX( 'ETPT Format DDG'!$A:$ZZ,,MATCH("Fonction agrégat",'ETPT Format DDG'!2:2,0)),"C",
INDEX( 'ETPT Format DDG'!$A:$ZZ,,MATCH("Juridiction",'ETPT Format DDG'!2:2,0)),$A$3,
INDEX( 'ETPT Format DDG'!$A:$ZZ,,MATCH("Catégorie",'ETPT Format DDG'!2:2,0)),"Autour du magistrat")</f>
      </c>
      <c r="V20" s="74">
        <f>IF(AND(OR(LEFT(C20,3)="12.",LEFT(E20,3)="12.",LEFT(E20,5)="CET &gt;",IFERROR(U20/$U$6,"")=0),NOT(AND(LEFT(E20,4)="12.8",IFERROR(G20/$G$6,"")&lt;&gt;0)),NOT(AND(LEFT(E20,5)="12.31",IFERROR(U20/$G$6,"")&lt;&gt;0)),NOT(AND(LEFT(E20,5)="12.32",IFERROR(U20/$G$6,"")&lt;&gt;0))),"", IFERROR(U20/$U$6,""))</f>
      </c>
    </row>
    <row r="21" ht="16" customHeight="1" spans="1:23" x14ac:dyDescent="0.25">
      <c r="A21" s="40"/>
      <c r="C21" s="68"/>
      <c r="D21" s="68"/>
      <c r="E21" s="69" t="s">
        <v>56</v>
      </c>
      <c r="F21" s="70" t="s">
        <v>56</v>
      </c>
      <c r="G21" s="71">
        <f>SUMIFS(
INDEX('ETPT Format DDG'!$A:$ZZ,,IFERROR(MATCH(E21,'ETPT Format DDG'!$2:$2,0),MATCH(C21,'ETPT Format DDG'!$2:$2,0))),
INDEX( 'ETPT Format DDG'!$A:$ZZ,,MATCH("Fonction agrégat",'ETPT Format DDG'!2:2,0)),"M-TIT",
INDEX( 'ETPT Format DDG'!$A:$ZZ,,MATCH("Juridiction",'ETPT Format DDG'!2:2,0)),$A$3)</f>
      </c>
      <c r="H21" s="72">
        <f>IF(AND(OR(LEFT(C21,3)="12.",LEFT(E21,3)="12.",LEFT(E21,5)="CET &gt;",IFERROR(G21/$G$6,"")=0),NOT(AND(LEFT(E21,4)="12.8",IFERROR(G21/$G$6,"")&lt;&gt;0)),NOT(AND(LEFT(E21,5)="12.31",IFERROR(G21/$G$6,"")&lt;&gt;0)),NOT(AND(LEFT(E21,5)="12.32",IFERROR(G21/$G$6,"")&lt;&gt;0))),"", IFERROR(G21/$G$6,""))</f>
      </c>
      <c r="I21" s="73">
        <f>SUMIFS(
INDEX('ETPT Format DDG'!$A:$ZZ,,IFERROR(MATCH(E21,'ETPT Format DDG'!$2:$2,0),MATCH(C21,'ETPT Format DDG'!$2:$2,0))),
INDEX( 'ETPT Format DDG'!$A:$ZZ,,MATCH("Fonction agrégat",'ETPT Format DDG'!2:2,0)),"M-PLAC-ADD",
INDEX( 'ETPT Format DDG'!$A:$ZZ,,MATCH("Juridiction",'ETPT Format DDG'!2:2,0)),$A$3)</f>
      </c>
      <c r="J21" s="73">
        <f>SUMIFS(
INDEX('ETPT Format DDG'!$A:$ZZ,,IFERROR(MATCH(E21,'ETPT Format DDG'!$2:$2,0),MATCH(C21,'ETPT Format DDG'!$2:$2,0))),
INDEX( 'ETPT Format DDG'!$A:$ZZ,,MATCH("Fonction agrégat",'ETPT Format DDG'!2:2,0)),"M-PLAC-SUB",
INDEX( 'ETPT Format DDG'!$A:$ZZ,,MATCH("Juridiction",'ETPT Format DDG'!2:2,0)),$A$3)</f>
      </c>
      <c r="K21" s="73">
        <f>SUMIFS(
INDEX('ETPT Format DDG'!$A:$ZZ,,IFERROR(MATCH(E21,'ETPT Format DDG'!$2:$2,0),MATCH(C21,'ETPT Format DDG'!$2:$2,0))),
INDEX( 'ETPT Format DDG'!$A:$ZZ,,MATCH("Fonction agrégat",'ETPT Format DDG'!2:2,0)),"M-CONT",
INDEX( 'ETPT Format DDG'!$A:$ZZ,,MATCH("Juridiction",'ETPT Format DDG'!2:2,0)),$A$3,
INDEX( 'ETPT Format DDG'!$A:$ZZ,,MATCH("Catégorie",'ETPT Format DDG'!2:2,0)),"Magistrat")</f>
      </c>
      <c r="L21" s="71">
        <f>SUMIFS(
INDEX('ETPT Format DDG'!$A:$ZZ,,IFERROR(MATCH(E21,'ETPT Format DDG'!$2:$2,0),MATCH(C21,'ETPT Format DDG'!$2:$2,0))),
INDEX( 'ETPT Format DDG'!$A:$ZZ,,MATCH("Juridiction",'ETPT Format DDG'!2:2,0)),$A$3,
INDEX( 'ETPT Format DDG'!$A:$ZZ,,MATCH("Catégorie",'ETPT Format DDG'!2:2,0)),"Magistrat")</f>
      </c>
      <c r="M21" s="74">
        <f>IF(AND(OR(LEFT(C21,3)="12.",LEFT(E21,3)="12.",LEFT(E21,5)="CET &gt;", IFERROR(L21/$L$6,"")=0),NOT(AND(LEFT(E21,4)="12.8",IFERROR(G21/$G$6,"")&lt;&gt;0)),NOT(AND(LEFT(E21,5)="12.31",IFERROR(L21/$G$6,"")&lt;&gt;0)),NOT(AND(LEFT(E21,5)="12.32",IFERROR(L21/$G$6,"")&lt;&gt;0))),"", IFERROR(L21/$L$6,""))</f>
      </c>
      <c r="N21" s="73">
        <f>SUMIFS(
INDEX('ETPT Format DDG'!$A:$ZZ,,IFERROR(MATCH(E21,'ETPT Format DDG'!$2:$2,0),MATCH(C21,'ETPT Format DDG'!$2:$2,0))),
INDEX( 'ETPT Format DDG'!$A:$ZZ,,MATCH("Fonction agrégat",'ETPT Format DDG'!2:2,0)),"F-TIT",
INDEX( 'ETPT Format DDG'!$A:$ZZ,,MATCH("Juridiction",'ETPT Format DDG'!2:2,0)),$A$3)</f>
      </c>
      <c r="O21" s="72">
        <f>IF(AND(OR(LEFT(C21,3)="12.",LEFT(E21,3)="12.",LEFT(E21,5)="CET &gt;",IFERROR(N21/$N$6,"")=0),NOT(AND(LEFT(E21,4)="12.8",IFERROR(G21/$G$6,"")&lt;&gt;0)),NOT(AND(LEFT(E21,5)="12.31",IFERROR(N21/$G$6,"")&lt;&gt;0)),NOT(AND(LEFT(E21,5)="12.32",IFERROR(N21/$G$6,"")&lt;&gt;0))),"",IFERROR(N21/$N$6,""))</f>
      </c>
      <c r="P21" s="73">
        <f>SUMIFS(
INDEX('ETPT Format DDG'!$A:$FB,,IFERROR(MATCH(E21,'ETPT Format DDG'!$2:$2,0),MATCH(C21,'ETPT Format DDG'!$2:$2,0))),
INDEX( 'ETPT Format DDG'!$A:$ZZ,,MATCH("Fonction agrégat",'ETPT Format DDG'!2:2,0)),"F-PLAC-ADD",
INDEX( 'ETPT Format DDG'!$A:$ZZ,,MATCH("Juridiction",'ETPT Format DDG'!2:2,0)),$A$3)</f>
      </c>
      <c r="Q21" s="73">
        <f>SUMIFS(
INDEX('ETPT Format DDG'!$A:$FB,,IFERROR(MATCH(E21,'ETPT Format DDG'!$2:$2,0),MATCH(C21,'ETPT Format DDG'!$2:$2,0))),
INDEX( 'ETPT Format DDG'!$A:$ZZ,,MATCH("Fonction agrégat",'ETPT Format DDG'!2:2,0)),"F-PLAC-SUB",
INDEX( 'ETPT Format DDG'!$A:$ZZ,,MATCH("Juridiction",'ETPT Format DDG'!2:2,0)),$A$3)</f>
      </c>
      <c r="R21" s="73">
        <f>SUMIFS(
INDEX('ETPT Format DDG'!$A:$FB,,IFERROR(MATCH(E21,'ETPT Format DDG'!$2:$2,0),MATCH(C21,'ETPT Format DDG'!$2:$2,0))),
INDEX( 'ETPT Format DDG'!$A:$ZZ,,MATCH("Fonction agrégat",'ETPT Format DDG'!2:2,0)),"C",
'ETPT Format DDG'!$H:$H,"Greffe",
INDEX( 'ETPT Format DDG'!$A:$ZZ,,MATCH("Juridiction",'ETPT Format DDG'!2:2,0)),$A$3)</f>
      </c>
      <c r="S21" s="71">
        <f>SUMIFS(
INDEX('ETPT Format DDG'!$A:$FB,,IFERROR(MATCH(E21,'ETPT Format DDG'!$2:$2,0),MATCH(C21,'ETPT Format DDG'!$2:$2,0))),
INDEX( 'ETPT Format DDG'!$A:$ZZ,,MATCH("Catégorie",'ETPT Format DDG'!2:2,0)),"Greffe",
INDEX( 'ETPT Format DDG'!$A:$ZZ,,MATCH("Juridiction",'ETPT Format DDG'!2:2,0)),$A$3)</f>
      </c>
      <c r="T21" s="72">
        <f>IF(AND(OR(LEFT(C21,3)="12.",LEFT(E21,3)="12.",LEFT(E21,5)="CET &gt;",IFERROR(S21/$S$6,"")=0),NOT(AND(LEFT(E21,4)="12.8",IFERROR(G21/$G$6,"")&lt;&gt;0)),NOT(AND(LEFT(E21,5)="12.31",IFERROR(S21/$G$6,"")&lt;&gt;0)),NOT(AND(LEFT(E21,5)="12.32",IFERROR(S21/$G$6,"")&lt;&gt;0))),"", IFERROR(S21/$S$6,""))</f>
      </c>
      <c r="U21" s="71">
        <f>SUMIFS(
INDEX('ETPT Format DDG'!$A:$FB,,IFERROR(MATCH(E21,'ETPT Format DDG'!$2:$2,0),MATCH(C21,'ETPT Format DDG'!$2:$2,0))),
INDEX( 'ETPT Format DDG'!$A:$ZZ,,MATCH("Fonction agrégat",'ETPT Format DDG'!2:2,0)),"C",
INDEX( 'ETPT Format DDG'!$A:$ZZ,,MATCH("Juridiction",'ETPT Format DDG'!2:2,0)),$A$3,
INDEX( 'ETPT Format DDG'!$A:$ZZ,,MATCH("Catégorie",'ETPT Format DDG'!2:2,0)),"Autour du magistrat")</f>
      </c>
      <c r="V21" s="74">
        <f>IF(AND(OR(LEFT(C21,3)="12.",LEFT(E21,3)="12.",LEFT(E21,5)="CET &gt;",IFERROR(U21/$U$6,"")=0),NOT(AND(LEFT(E21,4)="12.8",IFERROR(G21/$G$6,"")&lt;&gt;0)),NOT(AND(LEFT(E21,5)="12.31",IFERROR(U21/$G$6,"")&lt;&gt;0)),NOT(AND(LEFT(E21,5)="12.32",IFERROR(U21/$G$6,"")&lt;&gt;0))),"", IFERROR(U21/$U$6,""))</f>
      </c>
    </row>
    <row r="22" ht="16" customHeight="1" spans="1:23" x14ac:dyDescent="0.25">
      <c r="A22" s="40"/>
      <c r="C22" s="68"/>
      <c r="D22" s="68"/>
      <c r="E22" s="69" t="s">
        <v>57</v>
      </c>
      <c r="F22" s="70" t="s">
        <v>57</v>
      </c>
      <c r="G22" s="71">
        <f>SUMIFS(
INDEX('ETPT Format DDG'!$A:$ZZ,,IFERROR(MATCH(E22,'ETPT Format DDG'!$2:$2,0),MATCH(C22,'ETPT Format DDG'!$2:$2,0))),
INDEX( 'ETPT Format DDG'!$A:$ZZ,,MATCH("Fonction agrégat",'ETPT Format DDG'!2:2,0)),"M-TIT",
INDEX( 'ETPT Format DDG'!$A:$ZZ,,MATCH("Juridiction",'ETPT Format DDG'!2:2,0)),$A$3)</f>
      </c>
      <c r="H22" s="72">
        <f>IF(AND(OR(LEFT(C22,3)="12.",LEFT(E22,3)="12.",LEFT(E22,5)="CET &gt;",IFERROR(G22/$G$6,"")=0),NOT(AND(LEFT(E22,4)="12.8",IFERROR(G22/$G$6,"")&lt;&gt;0)),NOT(AND(LEFT(E22,5)="12.31",IFERROR(G22/$G$6,"")&lt;&gt;0)),NOT(AND(LEFT(E22,5)="12.32",IFERROR(G22/$G$6,"")&lt;&gt;0))),"", IFERROR(G22/$G$6,""))</f>
      </c>
      <c r="I22" s="73">
        <f>SUMIFS(
INDEX('ETPT Format DDG'!$A:$ZZ,,IFERROR(MATCH(E22,'ETPT Format DDG'!$2:$2,0),MATCH(C22,'ETPT Format DDG'!$2:$2,0))),
INDEX( 'ETPT Format DDG'!$A:$ZZ,,MATCH("Fonction agrégat",'ETPT Format DDG'!2:2,0)),"M-PLAC-ADD",
INDEX( 'ETPT Format DDG'!$A:$ZZ,,MATCH("Juridiction",'ETPT Format DDG'!2:2,0)),$A$3)</f>
      </c>
      <c r="J22" s="73">
        <f>SUMIFS(
INDEX('ETPT Format DDG'!$A:$ZZ,,IFERROR(MATCH(E22,'ETPT Format DDG'!$2:$2,0),MATCH(C22,'ETPT Format DDG'!$2:$2,0))),
INDEX( 'ETPT Format DDG'!$A:$ZZ,,MATCH("Fonction agrégat",'ETPT Format DDG'!2:2,0)),"M-PLAC-SUB",
INDEX( 'ETPT Format DDG'!$A:$ZZ,,MATCH("Juridiction",'ETPT Format DDG'!2:2,0)),$A$3)</f>
      </c>
      <c r="K22" s="73">
        <f>SUMIFS(
INDEX('ETPT Format DDG'!$A:$ZZ,,IFERROR(MATCH(E22,'ETPT Format DDG'!$2:$2,0),MATCH(C22,'ETPT Format DDG'!$2:$2,0))),
INDEX( 'ETPT Format DDG'!$A:$ZZ,,MATCH("Fonction agrégat",'ETPT Format DDG'!2:2,0)),"M-CONT",
INDEX( 'ETPT Format DDG'!$A:$ZZ,,MATCH("Juridiction",'ETPT Format DDG'!2:2,0)),$A$3,
INDEX( 'ETPT Format DDG'!$A:$ZZ,,MATCH("Catégorie",'ETPT Format DDG'!2:2,0)),"Magistrat")</f>
      </c>
      <c r="L22" s="71">
        <f>SUMIFS(
INDEX('ETPT Format DDG'!$A:$ZZ,,IFERROR(MATCH(E22,'ETPT Format DDG'!$2:$2,0),MATCH(C22,'ETPT Format DDG'!$2:$2,0))),
INDEX( 'ETPT Format DDG'!$A:$ZZ,,MATCH("Juridiction",'ETPT Format DDG'!2:2,0)),$A$3,
INDEX( 'ETPT Format DDG'!$A:$ZZ,,MATCH("Catégorie",'ETPT Format DDG'!2:2,0)),"Magistrat")</f>
      </c>
      <c r="M22" s="74">
        <f>IF(AND(OR(LEFT(C22,3)="12.",LEFT(E22,3)="12.",LEFT(E22,5)="CET &gt;", IFERROR(L22/$L$6,"")=0),NOT(AND(LEFT(E22,4)="12.8",IFERROR(G22/$G$6,"")&lt;&gt;0)),NOT(AND(LEFT(E22,5)="12.31",IFERROR(L22/$G$6,"")&lt;&gt;0)),NOT(AND(LEFT(E22,5)="12.32",IFERROR(L22/$G$6,"")&lt;&gt;0))),"", IFERROR(L22/$L$6,""))</f>
      </c>
      <c r="N22" s="73">
        <f>SUMIFS(
INDEX('ETPT Format DDG'!$A:$ZZ,,IFERROR(MATCH(E22,'ETPT Format DDG'!$2:$2,0),MATCH(C22,'ETPT Format DDG'!$2:$2,0))),
INDEX( 'ETPT Format DDG'!$A:$ZZ,,MATCH("Fonction agrégat",'ETPT Format DDG'!2:2,0)),"F-TIT",
INDEX( 'ETPT Format DDG'!$A:$ZZ,,MATCH("Juridiction",'ETPT Format DDG'!2:2,0)),$A$3)</f>
      </c>
      <c r="O22" s="72">
        <f>IF(AND(OR(LEFT(C22,3)="12.",LEFT(E22,3)="12.",LEFT(E22,5)="CET &gt;",IFERROR(N22/$N$6,"")=0),NOT(AND(LEFT(E22,4)="12.8",IFERROR(G22/$G$6,"")&lt;&gt;0)),NOT(AND(LEFT(E22,5)="12.31",IFERROR(N22/$G$6,"")&lt;&gt;0)),NOT(AND(LEFT(E22,5)="12.32",IFERROR(N22/$G$6,"")&lt;&gt;0))),"",IFERROR(N22/$N$6,""))</f>
      </c>
      <c r="P22" s="73">
        <f>SUMIFS(
INDEX('ETPT Format DDG'!$A:$FB,,IFERROR(MATCH(E22,'ETPT Format DDG'!$2:$2,0),MATCH(C22,'ETPT Format DDG'!$2:$2,0))),
INDEX( 'ETPT Format DDG'!$A:$ZZ,,MATCH("Fonction agrégat",'ETPT Format DDG'!2:2,0)),"F-PLAC-ADD",
INDEX( 'ETPT Format DDG'!$A:$ZZ,,MATCH("Juridiction",'ETPT Format DDG'!2:2,0)),$A$3)</f>
      </c>
      <c r="Q22" s="73">
        <f>SUMIFS(
INDEX('ETPT Format DDG'!$A:$FB,,IFERROR(MATCH(E22,'ETPT Format DDG'!$2:$2,0),MATCH(C22,'ETPT Format DDG'!$2:$2,0))),
INDEX( 'ETPT Format DDG'!$A:$ZZ,,MATCH("Fonction agrégat",'ETPT Format DDG'!2:2,0)),"F-PLAC-SUB",
INDEX( 'ETPT Format DDG'!$A:$ZZ,,MATCH("Juridiction",'ETPT Format DDG'!2:2,0)),$A$3)</f>
      </c>
      <c r="R22" s="73">
        <f>SUMIFS(
INDEX('ETPT Format DDG'!$A:$FB,,IFERROR(MATCH(E22,'ETPT Format DDG'!$2:$2,0),MATCH(C22,'ETPT Format DDG'!$2:$2,0))),
INDEX( 'ETPT Format DDG'!$A:$ZZ,,MATCH("Fonction agrégat",'ETPT Format DDG'!2:2,0)),"C",
'ETPT Format DDG'!$H:$H,"Greffe",
INDEX( 'ETPT Format DDG'!$A:$ZZ,,MATCH("Juridiction",'ETPT Format DDG'!2:2,0)),$A$3)</f>
      </c>
      <c r="S22" s="71">
        <f>SUMIFS(
INDEX('ETPT Format DDG'!$A:$FB,,IFERROR(MATCH(E22,'ETPT Format DDG'!$2:$2,0),MATCH(C22,'ETPT Format DDG'!$2:$2,0))),
INDEX( 'ETPT Format DDG'!$A:$ZZ,,MATCH("Catégorie",'ETPT Format DDG'!2:2,0)),"Greffe",
INDEX( 'ETPT Format DDG'!$A:$ZZ,,MATCH("Juridiction",'ETPT Format DDG'!2:2,0)),$A$3)</f>
      </c>
      <c r="T22" s="72">
        <f>IF(AND(OR(LEFT(C22,3)="12.",LEFT(E22,3)="12.",LEFT(E22,5)="CET &gt;",IFERROR(S22/$S$6,"")=0),NOT(AND(LEFT(E22,4)="12.8",IFERROR(G22/$G$6,"")&lt;&gt;0)),NOT(AND(LEFT(E22,5)="12.31",IFERROR(S22/$G$6,"")&lt;&gt;0)),NOT(AND(LEFT(E22,5)="12.32",IFERROR(S22/$G$6,"")&lt;&gt;0))),"", IFERROR(S22/$S$6,""))</f>
      </c>
      <c r="U22" s="71">
        <f>SUMIFS(
INDEX('ETPT Format DDG'!$A:$FB,,IFERROR(MATCH(E22,'ETPT Format DDG'!$2:$2,0),MATCH(C22,'ETPT Format DDG'!$2:$2,0))),
INDEX( 'ETPT Format DDG'!$A:$ZZ,,MATCH("Fonction agrégat",'ETPT Format DDG'!2:2,0)),"C",
INDEX( 'ETPT Format DDG'!$A:$ZZ,,MATCH("Juridiction",'ETPT Format DDG'!2:2,0)),$A$3,
INDEX( 'ETPT Format DDG'!$A:$ZZ,,MATCH("Catégorie",'ETPT Format DDG'!2:2,0)),"Autour du magistrat")</f>
      </c>
      <c r="V22" s="74">
        <f>IF(AND(OR(LEFT(C22,3)="12.",LEFT(E22,3)="12.",LEFT(E22,5)="CET &gt;",IFERROR(U22/$U$6,"")=0),NOT(AND(LEFT(E22,4)="12.8",IFERROR(G22/$G$6,"")&lt;&gt;0)),NOT(AND(LEFT(E22,5)="12.31",IFERROR(U22/$G$6,"")&lt;&gt;0)),NOT(AND(LEFT(E22,5)="12.32",IFERROR(U22/$G$6,"")&lt;&gt;0))),"", IFERROR(U22/$U$6,""))</f>
      </c>
    </row>
    <row r="23" ht="16" customHeight="1" spans="1:23" x14ac:dyDescent="0.25">
      <c r="A23" s="40"/>
      <c r="C23" s="68" t="s">
        <v>58</v>
      </c>
      <c r="D23" s="68" t="s">
        <v>58</v>
      </c>
      <c r="E23" s="69"/>
      <c r="F23" s="70"/>
      <c r="G23" s="71">
        <f>SUMIFS(
INDEX('ETPT Format DDG'!$A:$ZZ,,IFERROR(MATCH(E23,'ETPT Format DDG'!$2:$2,0),MATCH(C23,'ETPT Format DDG'!$2:$2,0))),
INDEX( 'ETPT Format DDG'!$A:$ZZ,,MATCH("Fonction agrégat",'ETPT Format DDG'!2:2,0)),"M-TIT",
INDEX( 'ETPT Format DDG'!$A:$ZZ,,MATCH("Juridiction",'ETPT Format DDG'!2:2,0)),$A$3)</f>
      </c>
      <c r="H23" s="72">
        <f>IF(AND(OR(LEFT(C23,3)="12.",LEFT(E23,3)="12.",LEFT(E23,5)="CET &gt;",IFERROR(G23/$G$6,"")=0),NOT(AND(LEFT(E23,4)="12.8",IFERROR(G23/$G$6,"")&lt;&gt;0)),NOT(AND(LEFT(E23,5)="12.31",IFERROR(G23/$G$6,"")&lt;&gt;0)),NOT(AND(LEFT(E23,5)="12.32",IFERROR(G23/$G$6,"")&lt;&gt;0))),"", IFERROR(G23/$G$6,""))</f>
      </c>
      <c r="I23" s="73">
        <f>SUMIFS(
INDEX('ETPT Format DDG'!$A:$ZZ,,IFERROR(MATCH(E23,'ETPT Format DDG'!$2:$2,0),MATCH(C23,'ETPT Format DDG'!$2:$2,0))),
INDEX( 'ETPT Format DDG'!$A:$ZZ,,MATCH("Fonction agrégat",'ETPT Format DDG'!2:2,0)),"M-PLAC-ADD",
INDEX( 'ETPT Format DDG'!$A:$ZZ,,MATCH("Juridiction",'ETPT Format DDG'!2:2,0)),$A$3)</f>
      </c>
      <c r="J23" s="73">
        <f>SUMIFS(
INDEX('ETPT Format DDG'!$A:$ZZ,,IFERROR(MATCH(E23,'ETPT Format DDG'!$2:$2,0),MATCH(C23,'ETPT Format DDG'!$2:$2,0))),
INDEX( 'ETPT Format DDG'!$A:$ZZ,,MATCH("Fonction agrégat",'ETPT Format DDG'!2:2,0)),"M-PLAC-SUB",
INDEX( 'ETPT Format DDG'!$A:$ZZ,,MATCH("Juridiction",'ETPT Format DDG'!2:2,0)),$A$3)</f>
      </c>
      <c r="K23" s="73">
        <f>SUMIFS(
INDEX('ETPT Format DDG'!$A:$ZZ,,IFERROR(MATCH(E23,'ETPT Format DDG'!$2:$2,0),MATCH(C23,'ETPT Format DDG'!$2:$2,0))),
INDEX( 'ETPT Format DDG'!$A:$ZZ,,MATCH("Fonction agrégat",'ETPT Format DDG'!2:2,0)),"M-CONT",
INDEX( 'ETPT Format DDG'!$A:$ZZ,,MATCH("Juridiction",'ETPT Format DDG'!2:2,0)),$A$3,
INDEX( 'ETPT Format DDG'!$A:$ZZ,,MATCH("Catégorie",'ETPT Format DDG'!2:2,0)),"Magistrat")</f>
      </c>
      <c r="L23" s="71">
        <f>SUMIFS(
INDEX('ETPT Format DDG'!$A:$ZZ,,IFERROR(MATCH(E23,'ETPT Format DDG'!$2:$2,0),MATCH(C23,'ETPT Format DDG'!$2:$2,0))),
INDEX( 'ETPT Format DDG'!$A:$ZZ,,MATCH("Juridiction",'ETPT Format DDG'!2:2,0)),$A$3,
INDEX( 'ETPT Format DDG'!$A:$ZZ,,MATCH("Catégorie",'ETPT Format DDG'!2:2,0)),"Magistrat")</f>
      </c>
      <c r="M23" s="74">
        <f>IF(AND(OR(LEFT(C23,3)="12.",LEFT(E23,3)="12.",LEFT(E23,5)="CET &gt;", IFERROR(L23/$L$6,"")=0),NOT(AND(LEFT(E23,4)="12.8",IFERROR(G23/$G$6,"")&lt;&gt;0)),NOT(AND(LEFT(E23,5)="12.31",IFERROR(L23/$G$6,"")&lt;&gt;0)),NOT(AND(LEFT(E23,5)="12.32",IFERROR(L23/$G$6,"")&lt;&gt;0))),"", IFERROR(L23/$L$6,""))</f>
      </c>
      <c r="N23" s="73">
        <f>SUMIFS(
INDEX('ETPT Format DDG'!$A:$ZZ,,IFERROR(MATCH(E23,'ETPT Format DDG'!$2:$2,0),MATCH(C23,'ETPT Format DDG'!$2:$2,0))),
INDEX( 'ETPT Format DDG'!$A:$ZZ,,MATCH("Fonction agrégat",'ETPT Format DDG'!2:2,0)),"F-TIT",
INDEX( 'ETPT Format DDG'!$A:$ZZ,,MATCH("Juridiction",'ETPT Format DDG'!2:2,0)),$A$3)</f>
      </c>
      <c r="O23" s="72">
        <f>IF(AND(OR(LEFT(C23,3)="12.",LEFT(E23,3)="12.",LEFT(E23,5)="CET &gt;",IFERROR(N23/$N$6,"")=0),NOT(AND(LEFT(E23,4)="12.8",IFERROR(G23/$G$6,"")&lt;&gt;0)),NOT(AND(LEFT(E23,5)="12.31",IFERROR(N23/$G$6,"")&lt;&gt;0)),NOT(AND(LEFT(E23,5)="12.32",IFERROR(N23/$G$6,"")&lt;&gt;0))),"",IFERROR(N23/$N$6,""))</f>
      </c>
      <c r="P23" s="73">
        <f>SUMIFS(
INDEX('ETPT Format DDG'!$A:$FB,,IFERROR(MATCH(E23,'ETPT Format DDG'!$2:$2,0),MATCH(C23,'ETPT Format DDG'!$2:$2,0))),
INDEX( 'ETPT Format DDG'!$A:$ZZ,,MATCH("Fonction agrégat",'ETPT Format DDG'!2:2,0)),"F-PLAC-ADD",
INDEX( 'ETPT Format DDG'!$A:$ZZ,,MATCH("Juridiction",'ETPT Format DDG'!2:2,0)),$A$3)</f>
      </c>
      <c r="Q23" s="73">
        <f>SUMIFS(
INDEX('ETPT Format DDG'!$A:$FB,,IFERROR(MATCH(E23,'ETPT Format DDG'!$2:$2,0),MATCH(C23,'ETPT Format DDG'!$2:$2,0))),
INDEX( 'ETPT Format DDG'!$A:$ZZ,,MATCH("Fonction agrégat",'ETPT Format DDG'!2:2,0)),"F-PLAC-SUB",
INDEX( 'ETPT Format DDG'!$A:$ZZ,,MATCH("Juridiction",'ETPT Format DDG'!2:2,0)),$A$3)</f>
      </c>
      <c r="R23" s="73">
        <f>SUMIFS(
INDEX('ETPT Format DDG'!$A:$FB,,IFERROR(MATCH(E23,'ETPT Format DDG'!$2:$2,0),MATCH(C23,'ETPT Format DDG'!$2:$2,0))),
INDEX( 'ETPT Format DDG'!$A:$ZZ,,MATCH("Fonction agrégat",'ETPT Format DDG'!2:2,0)),"C",
'ETPT Format DDG'!$H:$H,"Greffe",
INDEX( 'ETPT Format DDG'!$A:$ZZ,,MATCH("Juridiction",'ETPT Format DDG'!2:2,0)),$A$3)</f>
      </c>
      <c r="S23" s="71">
        <f>SUMIFS(
INDEX('ETPT Format DDG'!$A:$FB,,IFERROR(MATCH(E23,'ETPT Format DDG'!$2:$2,0),MATCH(C23,'ETPT Format DDG'!$2:$2,0))),
INDEX( 'ETPT Format DDG'!$A:$ZZ,,MATCH("Catégorie",'ETPT Format DDG'!2:2,0)),"Greffe",
INDEX( 'ETPT Format DDG'!$A:$ZZ,,MATCH("Juridiction",'ETPT Format DDG'!2:2,0)),$A$3)</f>
      </c>
      <c r="T23" s="72">
        <f>IF(AND(OR(LEFT(C23,3)="12.",LEFT(E23,3)="12.",LEFT(E23,5)="CET &gt;",IFERROR(S23/$S$6,"")=0),NOT(AND(LEFT(E23,4)="12.8",IFERROR(G23/$G$6,"")&lt;&gt;0)),NOT(AND(LEFT(E23,5)="12.31",IFERROR(S23/$G$6,"")&lt;&gt;0)),NOT(AND(LEFT(E23,5)="12.32",IFERROR(S23/$G$6,"")&lt;&gt;0))),"", IFERROR(S23/$S$6,""))</f>
      </c>
      <c r="U23" s="71">
        <f>SUMIFS(
INDEX('ETPT Format DDG'!$A:$FB,,IFERROR(MATCH(E23,'ETPT Format DDG'!$2:$2,0),MATCH(C23,'ETPT Format DDG'!$2:$2,0))),
INDEX( 'ETPT Format DDG'!$A:$ZZ,,MATCH("Fonction agrégat",'ETPT Format DDG'!2:2,0)),"C",
INDEX( 'ETPT Format DDG'!$A:$ZZ,,MATCH("Juridiction",'ETPT Format DDG'!2:2,0)),$A$3,
INDEX( 'ETPT Format DDG'!$A:$ZZ,,MATCH("Catégorie",'ETPT Format DDG'!2:2,0)),"Autour du magistrat")</f>
      </c>
      <c r="V23" s="74">
        <f>IF(AND(OR(LEFT(C23,3)="12.",LEFT(E23,3)="12.",LEFT(E23,5)="CET &gt;",IFERROR(U23/$U$6,"")=0),NOT(AND(LEFT(E23,4)="12.8",IFERROR(G23/$G$6,"")&lt;&gt;0)),NOT(AND(LEFT(E23,5)="12.31",IFERROR(U23/$G$6,"")&lt;&gt;0)),NOT(AND(LEFT(E23,5)="12.32",IFERROR(U23/$G$6,"")&lt;&gt;0))),"", IFERROR(U23/$U$6,""))</f>
      </c>
    </row>
    <row r="24" ht="16" customHeight="1" spans="1:23" x14ac:dyDescent="0.25">
      <c r="A24" s="40"/>
      <c r="C24" s="68"/>
      <c r="D24" s="68"/>
      <c r="E24" s="69" t="s">
        <v>59</v>
      </c>
      <c r="F24" s="70" t="s">
        <v>59</v>
      </c>
      <c r="G24" s="71">
        <f>SUMIFS(
INDEX('ETPT Format DDG'!$A:$ZZ,,IFERROR(MATCH(E24,'ETPT Format DDG'!$2:$2,0),MATCH(C24,'ETPT Format DDG'!$2:$2,0))),
INDEX( 'ETPT Format DDG'!$A:$ZZ,,MATCH("Fonction agrégat",'ETPT Format DDG'!2:2,0)),"M-TIT",
INDEX( 'ETPT Format DDG'!$A:$ZZ,,MATCH("Juridiction",'ETPT Format DDG'!2:2,0)),$A$3)</f>
      </c>
      <c r="H24" s="72">
        <f>IF(AND(OR(LEFT(C24,3)="12.",LEFT(E24,3)="12.",LEFT(E24,5)="CET &gt;",IFERROR(G24/$G$6,"")=0),NOT(AND(LEFT(E24,4)="12.8",IFERROR(G24/$G$6,"")&lt;&gt;0)),NOT(AND(LEFT(E24,5)="12.31",IFERROR(G24/$G$6,"")&lt;&gt;0)),NOT(AND(LEFT(E24,5)="12.32",IFERROR(G24/$G$6,"")&lt;&gt;0))),"", IFERROR(G24/$G$6,""))</f>
      </c>
      <c r="I24" s="73">
        <f>SUMIFS(
INDEX('ETPT Format DDG'!$A:$ZZ,,IFERROR(MATCH(E24,'ETPT Format DDG'!$2:$2,0),MATCH(C24,'ETPT Format DDG'!$2:$2,0))),
INDEX( 'ETPT Format DDG'!$A:$ZZ,,MATCH("Fonction agrégat",'ETPT Format DDG'!2:2,0)),"M-PLAC-ADD",
INDEX( 'ETPT Format DDG'!$A:$ZZ,,MATCH("Juridiction",'ETPT Format DDG'!2:2,0)),$A$3)</f>
      </c>
      <c r="J24" s="73">
        <f>SUMIFS(
INDEX('ETPT Format DDG'!$A:$ZZ,,IFERROR(MATCH(E24,'ETPT Format DDG'!$2:$2,0),MATCH(C24,'ETPT Format DDG'!$2:$2,0))),
INDEX( 'ETPT Format DDG'!$A:$ZZ,,MATCH("Fonction agrégat",'ETPT Format DDG'!2:2,0)),"M-PLAC-SUB",
INDEX( 'ETPT Format DDG'!$A:$ZZ,,MATCH("Juridiction",'ETPT Format DDG'!2:2,0)),$A$3)</f>
      </c>
      <c r="K24" s="73">
        <f>SUMIFS(
INDEX('ETPT Format DDG'!$A:$ZZ,,IFERROR(MATCH(E24,'ETPT Format DDG'!$2:$2,0),MATCH(C24,'ETPT Format DDG'!$2:$2,0))),
INDEX( 'ETPT Format DDG'!$A:$ZZ,,MATCH("Fonction agrégat",'ETPT Format DDG'!2:2,0)),"M-CONT",
INDEX( 'ETPT Format DDG'!$A:$ZZ,,MATCH("Juridiction",'ETPT Format DDG'!2:2,0)),$A$3,
INDEX( 'ETPT Format DDG'!$A:$ZZ,,MATCH("Catégorie",'ETPT Format DDG'!2:2,0)),"Magistrat")</f>
      </c>
      <c r="L24" s="71">
        <f>SUMIFS(
INDEX('ETPT Format DDG'!$A:$ZZ,,IFERROR(MATCH(E24,'ETPT Format DDG'!$2:$2,0),MATCH(C24,'ETPT Format DDG'!$2:$2,0))),
INDEX( 'ETPT Format DDG'!$A:$ZZ,,MATCH("Juridiction",'ETPT Format DDG'!2:2,0)),$A$3,
INDEX( 'ETPT Format DDG'!$A:$ZZ,,MATCH("Catégorie",'ETPT Format DDG'!2:2,0)),"Magistrat")</f>
      </c>
      <c r="M24" s="74">
        <f>IF(AND(OR(LEFT(C24,3)="12.",LEFT(E24,3)="12.",LEFT(E24,5)="CET &gt;", IFERROR(L24/$L$6,"")=0),NOT(AND(LEFT(E24,4)="12.8",IFERROR(G24/$G$6,"")&lt;&gt;0)),NOT(AND(LEFT(E24,5)="12.31",IFERROR(L24/$G$6,"")&lt;&gt;0)),NOT(AND(LEFT(E24,5)="12.32",IFERROR(L24/$G$6,"")&lt;&gt;0))),"", IFERROR(L24/$L$6,""))</f>
      </c>
      <c r="N24" s="73">
        <f>SUMIFS(
INDEX('ETPT Format DDG'!$A:$ZZ,,IFERROR(MATCH(E24,'ETPT Format DDG'!$2:$2,0),MATCH(C24,'ETPT Format DDG'!$2:$2,0))),
INDEX( 'ETPT Format DDG'!$A:$ZZ,,MATCH("Fonction agrégat",'ETPT Format DDG'!2:2,0)),"F-TIT",
INDEX( 'ETPT Format DDG'!$A:$ZZ,,MATCH("Juridiction",'ETPT Format DDG'!2:2,0)),$A$3)</f>
      </c>
      <c r="O24" s="72">
        <f>IF(AND(OR(LEFT(C24,3)="12.",LEFT(E24,3)="12.",LEFT(E24,5)="CET &gt;",IFERROR(N24/$N$6,"")=0),NOT(AND(LEFT(E24,4)="12.8",IFERROR(G24/$G$6,"")&lt;&gt;0)),NOT(AND(LEFT(E24,5)="12.31",IFERROR(N24/$G$6,"")&lt;&gt;0)),NOT(AND(LEFT(E24,5)="12.32",IFERROR(N24/$G$6,"")&lt;&gt;0))),"",IFERROR(N24/$N$6,""))</f>
      </c>
      <c r="P24" s="73">
        <f>SUMIFS(
INDEX('ETPT Format DDG'!$A:$FB,,IFERROR(MATCH(E24,'ETPT Format DDG'!$2:$2,0),MATCH(C24,'ETPT Format DDG'!$2:$2,0))),
INDEX( 'ETPT Format DDG'!$A:$ZZ,,MATCH("Fonction agrégat",'ETPT Format DDG'!2:2,0)),"F-PLAC-ADD",
INDEX( 'ETPT Format DDG'!$A:$ZZ,,MATCH("Juridiction",'ETPT Format DDG'!2:2,0)),$A$3)</f>
      </c>
      <c r="Q24" s="73">
        <f>SUMIFS(
INDEX('ETPT Format DDG'!$A:$FB,,IFERROR(MATCH(E24,'ETPT Format DDG'!$2:$2,0),MATCH(C24,'ETPT Format DDG'!$2:$2,0))),
INDEX( 'ETPT Format DDG'!$A:$ZZ,,MATCH("Fonction agrégat",'ETPT Format DDG'!2:2,0)),"F-PLAC-SUB",
INDEX( 'ETPT Format DDG'!$A:$ZZ,,MATCH("Juridiction",'ETPT Format DDG'!2:2,0)),$A$3)</f>
      </c>
      <c r="R24" s="73">
        <f>SUMIFS(
INDEX('ETPT Format DDG'!$A:$FB,,IFERROR(MATCH(E24,'ETPT Format DDG'!$2:$2,0),MATCH(C24,'ETPT Format DDG'!$2:$2,0))),
INDEX( 'ETPT Format DDG'!$A:$ZZ,,MATCH("Fonction agrégat",'ETPT Format DDG'!2:2,0)),"C",
'ETPT Format DDG'!$H:$H,"Greffe",
INDEX( 'ETPT Format DDG'!$A:$ZZ,,MATCH("Juridiction",'ETPT Format DDG'!2:2,0)),$A$3)</f>
      </c>
      <c r="S24" s="71">
        <f>SUMIFS(
INDEX('ETPT Format DDG'!$A:$FB,,IFERROR(MATCH(E24,'ETPT Format DDG'!$2:$2,0),MATCH(C24,'ETPT Format DDG'!$2:$2,0))),
INDEX( 'ETPT Format DDG'!$A:$ZZ,,MATCH("Catégorie",'ETPT Format DDG'!2:2,0)),"Greffe",
INDEX( 'ETPT Format DDG'!$A:$ZZ,,MATCH("Juridiction",'ETPT Format DDG'!2:2,0)),$A$3)</f>
      </c>
      <c r="T24" s="72">
        <f>IF(AND(OR(LEFT(C24,3)="12.",LEFT(E24,3)="12.",LEFT(E24,5)="CET &gt;",IFERROR(S24/$S$6,"")=0),NOT(AND(LEFT(E24,4)="12.8",IFERROR(G24/$G$6,"")&lt;&gt;0)),NOT(AND(LEFT(E24,5)="12.31",IFERROR(S24/$G$6,"")&lt;&gt;0)),NOT(AND(LEFT(E24,5)="12.32",IFERROR(S24/$G$6,"")&lt;&gt;0))),"", IFERROR(S24/$S$6,""))</f>
      </c>
      <c r="U24" s="71">
        <f>SUMIFS(
INDEX('ETPT Format DDG'!$A:$FB,,IFERROR(MATCH(E24,'ETPT Format DDG'!$2:$2,0),MATCH(C24,'ETPT Format DDG'!$2:$2,0))),
INDEX( 'ETPT Format DDG'!$A:$ZZ,,MATCH("Fonction agrégat",'ETPT Format DDG'!2:2,0)),"C",
INDEX( 'ETPT Format DDG'!$A:$ZZ,,MATCH("Juridiction",'ETPT Format DDG'!2:2,0)),$A$3,
INDEX( 'ETPT Format DDG'!$A:$ZZ,,MATCH("Catégorie",'ETPT Format DDG'!2:2,0)),"Autour du magistrat")</f>
      </c>
      <c r="V24" s="74">
        <f>IF(AND(OR(LEFT(C24,3)="12.",LEFT(E24,3)="12.",LEFT(E24,5)="CET &gt;",IFERROR(U24/$U$6,"")=0),NOT(AND(LEFT(E24,4)="12.8",IFERROR(G24/$G$6,"")&lt;&gt;0)),NOT(AND(LEFT(E24,5)="12.31",IFERROR(U24/$G$6,"")&lt;&gt;0)),NOT(AND(LEFT(E24,5)="12.32",IFERROR(U24/$G$6,"")&lt;&gt;0))),"", IFERROR(U24/$U$6,""))</f>
      </c>
    </row>
    <row r="25" ht="16" customHeight="1" spans="1:23" x14ac:dyDescent="0.25">
      <c r="A25" s="40"/>
      <c r="C25" s="68"/>
      <c r="D25" s="68"/>
      <c r="E25" s="69" t="s">
        <v>60</v>
      </c>
      <c r="F25" s="70" t="s">
        <v>60</v>
      </c>
      <c r="G25" s="71">
        <f>SUMIFS(
INDEX('ETPT Format DDG'!$A:$ZZ,,IFERROR(MATCH(E25,'ETPT Format DDG'!$2:$2,0),MATCH(C25,'ETPT Format DDG'!$2:$2,0))),
INDEX( 'ETPT Format DDG'!$A:$ZZ,,MATCH("Fonction agrégat",'ETPT Format DDG'!2:2,0)),"M-TIT",
INDEX( 'ETPT Format DDG'!$A:$ZZ,,MATCH("Juridiction",'ETPT Format DDG'!2:2,0)),$A$3)</f>
      </c>
      <c r="H25" s="72">
        <f>IF(AND(OR(LEFT(C25,3)="12.",LEFT(E25,3)="12.",LEFT(E25,5)="CET &gt;",IFERROR(G25/$G$6,"")=0),NOT(AND(LEFT(E25,4)="12.8",IFERROR(G25/$G$6,"")&lt;&gt;0)),NOT(AND(LEFT(E25,5)="12.31",IFERROR(G25/$G$6,"")&lt;&gt;0)),NOT(AND(LEFT(E25,5)="12.32",IFERROR(G25/$G$6,"")&lt;&gt;0))),"", IFERROR(G25/$G$6,""))</f>
      </c>
      <c r="I25" s="73">
        <f>SUMIFS(
INDEX('ETPT Format DDG'!$A:$ZZ,,IFERROR(MATCH(E25,'ETPT Format DDG'!$2:$2,0),MATCH(C25,'ETPT Format DDG'!$2:$2,0))),
INDEX( 'ETPT Format DDG'!$A:$ZZ,,MATCH("Fonction agrégat",'ETPT Format DDG'!2:2,0)),"M-PLAC-ADD",
INDEX( 'ETPT Format DDG'!$A:$ZZ,,MATCH("Juridiction",'ETPT Format DDG'!2:2,0)),$A$3)</f>
      </c>
      <c r="J25" s="73">
        <f>SUMIFS(
INDEX('ETPT Format DDG'!$A:$ZZ,,IFERROR(MATCH(E25,'ETPT Format DDG'!$2:$2,0),MATCH(C25,'ETPT Format DDG'!$2:$2,0))),
INDEX( 'ETPT Format DDG'!$A:$ZZ,,MATCH("Fonction agrégat",'ETPT Format DDG'!2:2,0)),"M-PLAC-SUB",
INDEX( 'ETPT Format DDG'!$A:$ZZ,,MATCH("Juridiction",'ETPT Format DDG'!2:2,0)),$A$3)</f>
      </c>
      <c r="K25" s="73">
        <f>SUMIFS(
INDEX('ETPT Format DDG'!$A:$ZZ,,IFERROR(MATCH(E25,'ETPT Format DDG'!$2:$2,0),MATCH(C25,'ETPT Format DDG'!$2:$2,0))),
INDEX( 'ETPT Format DDG'!$A:$ZZ,,MATCH("Fonction agrégat",'ETPT Format DDG'!2:2,0)),"M-CONT",
INDEX( 'ETPT Format DDG'!$A:$ZZ,,MATCH("Juridiction",'ETPT Format DDG'!2:2,0)),$A$3,
INDEX( 'ETPT Format DDG'!$A:$ZZ,,MATCH("Catégorie",'ETPT Format DDG'!2:2,0)),"Magistrat")</f>
      </c>
      <c r="L25" s="71">
        <f>SUMIFS(
INDEX('ETPT Format DDG'!$A:$ZZ,,IFERROR(MATCH(E25,'ETPT Format DDG'!$2:$2,0),MATCH(C25,'ETPT Format DDG'!$2:$2,0))),
INDEX( 'ETPT Format DDG'!$A:$ZZ,,MATCH("Juridiction",'ETPT Format DDG'!2:2,0)),$A$3,
INDEX( 'ETPT Format DDG'!$A:$ZZ,,MATCH("Catégorie",'ETPT Format DDG'!2:2,0)),"Magistrat")</f>
      </c>
      <c r="M25" s="74">
        <f>IF(AND(OR(LEFT(C25,3)="12.",LEFT(E25,3)="12.",LEFT(E25,5)="CET &gt;", IFERROR(L25/$L$6,"")=0),NOT(AND(LEFT(E25,4)="12.8",IFERROR(G25/$G$6,"")&lt;&gt;0)),NOT(AND(LEFT(E25,5)="12.31",IFERROR(L25/$G$6,"")&lt;&gt;0)),NOT(AND(LEFT(E25,5)="12.32",IFERROR(L25/$G$6,"")&lt;&gt;0))),"", IFERROR(L25/$L$6,""))</f>
      </c>
      <c r="N25" s="73">
        <f>SUMIFS(
INDEX('ETPT Format DDG'!$A:$ZZ,,IFERROR(MATCH(E25,'ETPT Format DDG'!$2:$2,0),MATCH(C25,'ETPT Format DDG'!$2:$2,0))),
INDEX( 'ETPT Format DDG'!$A:$ZZ,,MATCH("Fonction agrégat",'ETPT Format DDG'!2:2,0)),"F-TIT",
INDEX( 'ETPT Format DDG'!$A:$ZZ,,MATCH("Juridiction",'ETPT Format DDG'!2:2,0)),$A$3)</f>
      </c>
      <c r="O25" s="72">
        <f>IF(AND(OR(LEFT(C25,3)="12.",LEFT(E25,3)="12.",LEFT(E25,5)="CET &gt;",IFERROR(N25/$N$6,"")=0),NOT(AND(LEFT(E25,4)="12.8",IFERROR(G25/$G$6,"")&lt;&gt;0)),NOT(AND(LEFT(E25,5)="12.31",IFERROR(N25/$G$6,"")&lt;&gt;0)),NOT(AND(LEFT(E25,5)="12.32",IFERROR(N25/$G$6,"")&lt;&gt;0))),"",IFERROR(N25/$N$6,""))</f>
      </c>
      <c r="P25" s="73">
        <f>SUMIFS(
INDEX('ETPT Format DDG'!$A:$FB,,IFERROR(MATCH(E25,'ETPT Format DDG'!$2:$2,0),MATCH(C25,'ETPT Format DDG'!$2:$2,0))),
INDEX( 'ETPT Format DDG'!$A:$ZZ,,MATCH("Fonction agrégat",'ETPT Format DDG'!2:2,0)),"F-PLAC-ADD",
INDEX( 'ETPT Format DDG'!$A:$ZZ,,MATCH("Juridiction",'ETPT Format DDG'!2:2,0)),$A$3)</f>
      </c>
      <c r="Q25" s="73">
        <f>SUMIFS(
INDEX('ETPT Format DDG'!$A:$FB,,IFERROR(MATCH(E25,'ETPT Format DDG'!$2:$2,0),MATCH(C25,'ETPT Format DDG'!$2:$2,0))),
INDEX( 'ETPT Format DDG'!$A:$ZZ,,MATCH("Fonction agrégat",'ETPT Format DDG'!2:2,0)),"F-PLAC-SUB",
INDEX( 'ETPT Format DDG'!$A:$ZZ,,MATCH("Juridiction",'ETPT Format DDG'!2:2,0)),$A$3)</f>
      </c>
      <c r="R25" s="73">
        <f>SUMIFS(
INDEX('ETPT Format DDG'!$A:$FB,,IFERROR(MATCH(E25,'ETPT Format DDG'!$2:$2,0),MATCH(C25,'ETPT Format DDG'!$2:$2,0))),
INDEX( 'ETPT Format DDG'!$A:$ZZ,,MATCH("Fonction agrégat",'ETPT Format DDG'!2:2,0)),"C",
'ETPT Format DDG'!$H:$H,"Greffe",
INDEX( 'ETPT Format DDG'!$A:$ZZ,,MATCH("Juridiction",'ETPT Format DDG'!2:2,0)),$A$3)</f>
      </c>
      <c r="S25" s="71">
        <f>SUMIFS(
INDEX('ETPT Format DDG'!$A:$FB,,IFERROR(MATCH(E25,'ETPT Format DDG'!$2:$2,0),MATCH(C25,'ETPT Format DDG'!$2:$2,0))),
INDEX( 'ETPT Format DDG'!$A:$ZZ,,MATCH("Catégorie",'ETPT Format DDG'!2:2,0)),"Greffe",
INDEX( 'ETPT Format DDG'!$A:$ZZ,,MATCH("Juridiction",'ETPT Format DDG'!2:2,0)),$A$3)</f>
      </c>
      <c r="T25" s="72">
        <f>IF(AND(OR(LEFT(C25,3)="12.",LEFT(E25,3)="12.",LEFT(E25,5)="CET &gt;",IFERROR(S25/$S$6,"")=0),NOT(AND(LEFT(E25,4)="12.8",IFERROR(G25/$G$6,"")&lt;&gt;0)),NOT(AND(LEFT(E25,5)="12.31",IFERROR(S25/$G$6,"")&lt;&gt;0)),NOT(AND(LEFT(E25,5)="12.32",IFERROR(S25/$G$6,"")&lt;&gt;0))),"", IFERROR(S25/$S$6,""))</f>
      </c>
      <c r="U25" s="71">
        <f>SUMIFS(
INDEX('ETPT Format DDG'!$A:$FB,,IFERROR(MATCH(E25,'ETPT Format DDG'!$2:$2,0),MATCH(C25,'ETPT Format DDG'!$2:$2,0))),
INDEX( 'ETPT Format DDG'!$A:$ZZ,,MATCH("Fonction agrégat",'ETPT Format DDG'!2:2,0)),"C",
INDEX( 'ETPT Format DDG'!$A:$ZZ,,MATCH("Juridiction",'ETPT Format DDG'!2:2,0)),$A$3,
INDEX( 'ETPT Format DDG'!$A:$ZZ,,MATCH("Catégorie",'ETPT Format DDG'!2:2,0)),"Autour du magistrat")</f>
      </c>
      <c r="V25" s="74">
        <f>IF(AND(OR(LEFT(C25,3)="12.",LEFT(E25,3)="12.",LEFT(E25,5)="CET &gt;",IFERROR(U25/$U$6,"")=0),NOT(AND(LEFT(E25,4)="12.8",IFERROR(G25/$G$6,"")&lt;&gt;0)),NOT(AND(LEFT(E25,5)="12.31",IFERROR(U25/$G$6,"")&lt;&gt;0)),NOT(AND(LEFT(E25,5)="12.32",IFERROR(U25/$G$6,"")&lt;&gt;0))),"", IFERROR(U25/$U$6,""))</f>
      </c>
    </row>
    <row r="26" ht="16" customHeight="1" spans="1:23" x14ac:dyDescent="0.25">
      <c r="A26" s="40"/>
      <c r="C26" s="68"/>
      <c r="D26" s="68"/>
      <c r="E26" s="69" t="s">
        <v>61</v>
      </c>
      <c r="F26" s="70" t="s">
        <v>61</v>
      </c>
      <c r="G26" s="71">
        <f>SUMIFS(
INDEX('ETPT Format DDG'!$A:$ZZ,,IFERROR(MATCH(E26,'ETPT Format DDG'!$2:$2,0),MATCH(C26,'ETPT Format DDG'!$2:$2,0))),
INDEX( 'ETPT Format DDG'!$A:$ZZ,,MATCH("Fonction agrégat",'ETPT Format DDG'!2:2,0)),"M-TIT",
INDEX( 'ETPT Format DDG'!$A:$ZZ,,MATCH("Juridiction",'ETPT Format DDG'!2:2,0)),$A$3)</f>
      </c>
      <c r="H26" s="72">
        <f>IF(AND(OR(LEFT(C26,3)="12.",LEFT(E26,3)="12.",LEFT(E26,5)="CET &gt;",IFERROR(G26/$G$6,"")=0),NOT(AND(LEFT(E26,4)="12.8",IFERROR(G26/$G$6,"")&lt;&gt;0)),NOT(AND(LEFT(E26,5)="12.31",IFERROR(G26/$G$6,"")&lt;&gt;0)),NOT(AND(LEFT(E26,5)="12.32",IFERROR(G26/$G$6,"")&lt;&gt;0))),"", IFERROR(G26/$G$6,""))</f>
      </c>
      <c r="I26" s="73">
        <f>SUMIFS(
INDEX('ETPT Format DDG'!$A:$ZZ,,IFERROR(MATCH(E26,'ETPT Format DDG'!$2:$2,0),MATCH(C26,'ETPT Format DDG'!$2:$2,0))),
INDEX( 'ETPT Format DDG'!$A:$ZZ,,MATCH("Fonction agrégat",'ETPT Format DDG'!2:2,0)),"M-PLAC-ADD",
INDEX( 'ETPT Format DDG'!$A:$ZZ,,MATCH("Juridiction",'ETPT Format DDG'!2:2,0)),$A$3)</f>
      </c>
      <c r="J26" s="73">
        <f>SUMIFS(
INDEX('ETPT Format DDG'!$A:$ZZ,,IFERROR(MATCH(E26,'ETPT Format DDG'!$2:$2,0),MATCH(C26,'ETPT Format DDG'!$2:$2,0))),
INDEX( 'ETPT Format DDG'!$A:$ZZ,,MATCH("Fonction agrégat",'ETPT Format DDG'!2:2,0)),"M-PLAC-SUB",
INDEX( 'ETPT Format DDG'!$A:$ZZ,,MATCH("Juridiction",'ETPT Format DDG'!2:2,0)),$A$3)</f>
      </c>
      <c r="K26" s="73">
        <f>SUMIFS(
INDEX('ETPT Format DDG'!$A:$ZZ,,IFERROR(MATCH(E26,'ETPT Format DDG'!$2:$2,0),MATCH(C26,'ETPT Format DDG'!$2:$2,0))),
INDEX( 'ETPT Format DDG'!$A:$ZZ,,MATCH("Fonction agrégat",'ETPT Format DDG'!2:2,0)),"M-CONT",
INDEX( 'ETPT Format DDG'!$A:$ZZ,,MATCH("Juridiction",'ETPT Format DDG'!2:2,0)),$A$3,
INDEX( 'ETPT Format DDG'!$A:$ZZ,,MATCH("Catégorie",'ETPT Format DDG'!2:2,0)),"Magistrat")</f>
      </c>
      <c r="L26" s="71">
        <f>SUMIFS(
INDEX('ETPT Format DDG'!$A:$ZZ,,IFERROR(MATCH(E26,'ETPT Format DDG'!$2:$2,0),MATCH(C26,'ETPT Format DDG'!$2:$2,0))),
INDEX( 'ETPT Format DDG'!$A:$ZZ,,MATCH("Juridiction",'ETPT Format DDG'!2:2,0)),$A$3,
INDEX( 'ETPT Format DDG'!$A:$ZZ,,MATCH("Catégorie",'ETPT Format DDG'!2:2,0)),"Magistrat")</f>
      </c>
      <c r="M26" s="74">
        <f>IF(AND(OR(LEFT(C26,3)="12.",LEFT(E26,3)="12.",LEFT(E26,5)="CET &gt;", IFERROR(L26/$L$6,"")=0),NOT(AND(LEFT(E26,4)="12.8",IFERROR(G26/$G$6,"")&lt;&gt;0)),NOT(AND(LEFT(E26,5)="12.31",IFERROR(L26/$G$6,"")&lt;&gt;0)),NOT(AND(LEFT(E26,5)="12.32",IFERROR(L26/$G$6,"")&lt;&gt;0))),"", IFERROR(L26/$L$6,""))</f>
      </c>
      <c r="N26" s="73">
        <f>SUMIFS(
INDEX('ETPT Format DDG'!$A:$ZZ,,IFERROR(MATCH(E26,'ETPT Format DDG'!$2:$2,0),MATCH(C26,'ETPT Format DDG'!$2:$2,0))),
INDEX( 'ETPT Format DDG'!$A:$ZZ,,MATCH("Fonction agrégat",'ETPT Format DDG'!2:2,0)),"F-TIT",
INDEX( 'ETPT Format DDG'!$A:$ZZ,,MATCH("Juridiction",'ETPT Format DDG'!2:2,0)),$A$3)</f>
      </c>
      <c r="O26" s="72">
        <f>IF(AND(OR(LEFT(C26,3)="12.",LEFT(E26,3)="12.",LEFT(E26,5)="CET &gt;",IFERROR(N26/$N$6,"")=0),NOT(AND(LEFT(E26,4)="12.8",IFERROR(G26/$G$6,"")&lt;&gt;0)),NOT(AND(LEFT(E26,5)="12.31",IFERROR(N26/$G$6,"")&lt;&gt;0)),NOT(AND(LEFT(E26,5)="12.32",IFERROR(N26/$G$6,"")&lt;&gt;0))),"",IFERROR(N26/$N$6,""))</f>
      </c>
      <c r="P26" s="73">
        <f>SUMIFS(
INDEX('ETPT Format DDG'!$A:$FB,,IFERROR(MATCH(E26,'ETPT Format DDG'!$2:$2,0),MATCH(C26,'ETPT Format DDG'!$2:$2,0))),
INDEX( 'ETPT Format DDG'!$A:$ZZ,,MATCH("Fonction agrégat",'ETPT Format DDG'!2:2,0)),"F-PLAC-ADD",
INDEX( 'ETPT Format DDG'!$A:$ZZ,,MATCH("Juridiction",'ETPT Format DDG'!2:2,0)),$A$3)</f>
      </c>
      <c r="Q26" s="73">
        <f>SUMIFS(
INDEX('ETPT Format DDG'!$A:$FB,,IFERROR(MATCH(E26,'ETPT Format DDG'!$2:$2,0),MATCH(C26,'ETPT Format DDG'!$2:$2,0))),
INDEX( 'ETPT Format DDG'!$A:$ZZ,,MATCH("Fonction agrégat",'ETPT Format DDG'!2:2,0)),"F-PLAC-SUB",
INDEX( 'ETPT Format DDG'!$A:$ZZ,,MATCH("Juridiction",'ETPT Format DDG'!2:2,0)),$A$3)</f>
      </c>
      <c r="R26" s="73">
        <f>SUMIFS(
INDEX('ETPT Format DDG'!$A:$FB,,IFERROR(MATCH(E26,'ETPT Format DDG'!$2:$2,0),MATCH(C26,'ETPT Format DDG'!$2:$2,0))),
INDEX( 'ETPT Format DDG'!$A:$ZZ,,MATCH("Fonction agrégat",'ETPT Format DDG'!2:2,0)),"C",
'ETPT Format DDG'!$H:$H,"Greffe",
INDEX( 'ETPT Format DDG'!$A:$ZZ,,MATCH("Juridiction",'ETPT Format DDG'!2:2,0)),$A$3)</f>
      </c>
      <c r="S26" s="71">
        <f>SUMIFS(
INDEX('ETPT Format DDG'!$A:$FB,,IFERROR(MATCH(E26,'ETPT Format DDG'!$2:$2,0),MATCH(C26,'ETPT Format DDG'!$2:$2,0))),
INDEX( 'ETPT Format DDG'!$A:$ZZ,,MATCH("Catégorie",'ETPT Format DDG'!2:2,0)),"Greffe",
INDEX( 'ETPT Format DDG'!$A:$ZZ,,MATCH("Juridiction",'ETPT Format DDG'!2:2,0)),$A$3)</f>
      </c>
      <c r="T26" s="72">
        <f>IF(AND(OR(LEFT(C26,3)="12.",LEFT(E26,3)="12.",LEFT(E26,5)="CET &gt;",IFERROR(S26/$S$6,"")=0),NOT(AND(LEFT(E26,4)="12.8",IFERROR(G26/$G$6,"")&lt;&gt;0)),NOT(AND(LEFT(E26,5)="12.31",IFERROR(S26/$G$6,"")&lt;&gt;0)),NOT(AND(LEFT(E26,5)="12.32",IFERROR(S26/$G$6,"")&lt;&gt;0))),"", IFERROR(S26/$S$6,""))</f>
      </c>
      <c r="U26" s="71">
        <f>SUMIFS(
INDEX('ETPT Format DDG'!$A:$FB,,IFERROR(MATCH(E26,'ETPT Format DDG'!$2:$2,0),MATCH(C26,'ETPT Format DDG'!$2:$2,0))),
INDEX( 'ETPT Format DDG'!$A:$ZZ,,MATCH("Fonction agrégat",'ETPT Format DDG'!2:2,0)),"C",
INDEX( 'ETPT Format DDG'!$A:$ZZ,,MATCH("Juridiction",'ETPT Format DDG'!2:2,0)),$A$3,
INDEX( 'ETPT Format DDG'!$A:$ZZ,,MATCH("Catégorie",'ETPT Format DDG'!2:2,0)),"Autour du magistrat")</f>
      </c>
      <c r="V26" s="74">
        <f>IF(AND(OR(LEFT(C26,3)="12.",LEFT(E26,3)="12.",LEFT(E26,5)="CET &gt;",IFERROR(U26/$U$6,"")=0),NOT(AND(LEFT(E26,4)="12.8",IFERROR(G26/$G$6,"")&lt;&gt;0)),NOT(AND(LEFT(E26,5)="12.31",IFERROR(U26/$G$6,"")&lt;&gt;0)),NOT(AND(LEFT(E26,5)="12.32",IFERROR(U26/$G$6,"")&lt;&gt;0))),"", IFERROR(U26/$U$6,""))</f>
      </c>
    </row>
    <row r="27" ht="16" customHeight="1" spans="1:23" x14ac:dyDescent="0.25">
      <c r="A27" s="40"/>
      <c r="C27" s="68"/>
      <c r="D27" s="68"/>
      <c r="E27" s="69" t="s">
        <v>62</v>
      </c>
      <c r="F27" s="70" t="s">
        <v>62</v>
      </c>
      <c r="G27" s="71">
        <f>SUMIFS(
INDEX('ETPT Format DDG'!$A:$ZZ,,IFERROR(MATCH(E27,'ETPT Format DDG'!$2:$2,0),MATCH(C27,'ETPT Format DDG'!$2:$2,0))),
INDEX( 'ETPT Format DDG'!$A:$ZZ,,MATCH("Fonction agrégat",'ETPT Format DDG'!2:2,0)),"M-TIT",
INDEX( 'ETPT Format DDG'!$A:$ZZ,,MATCH("Juridiction",'ETPT Format DDG'!2:2,0)),$A$3)</f>
      </c>
      <c r="H27" s="72">
        <f>IF(AND(OR(LEFT(C27,3)="12.",LEFT(E27,3)="12.",LEFT(E27,5)="CET &gt;",IFERROR(G27/$G$6,"")=0),NOT(AND(LEFT(E27,4)="12.8",IFERROR(G27/$G$6,"")&lt;&gt;0)),NOT(AND(LEFT(E27,5)="12.31",IFERROR(G27/$G$6,"")&lt;&gt;0)),NOT(AND(LEFT(E27,5)="12.32",IFERROR(G27/$G$6,"")&lt;&gt;0))),"", IFERROR(G27/$G$6,""))</f>
      </c>
      <c r="I27" s="73">
        <f>SUMIFS(
INDEX('ETPT Format DDG'!$A:$ZZ,,IFERROR(MATCH(E27,'ETPT Format DDG'!$2:$2,0),MATCH(C27,'ETPT Format DDG'!$2:$2,0))),
INDEX( 'ETPT Format DDG'!$A:$ZZ,,MATCH("Fonction agrégat",'ETPT Format DDG'!2:2,0)),"M-PLAC-ADD",
INDEX( 'ETPT Format DDG'!$A:$ZZ,,MATCH("Juridiction",'ETPT Format DDG'!2:2,0)),$A$3)</f>
      </c>
      <c r="J27" s="73">
        <f>SUMIFS(
INDEX('ETPT Format DDG'!$A:$ZZ,,IFERROR(MATCH(E27,'ETPT Format DDG'!$2:$2,0),MATCH(C27,'ETPT Format DDG'!$2:$2,0))),
INDEX( 'ETPT Format DDG'!$A:$ZZ,,MATCH("Fonction agrégat",'ETPT Format DDG'!2:2,0)),"M-PLAC-SUB",
INDEX( 'ETPT Format DDG'!$A:$ZZ,,MATCH("Juridiction",'ETPT Format DDG'!2:2,0)),$A$3)</f>
      </c>
      <c r="K27" s="73">
        <f>SUMIFS(
INDEX('ETPT Format DDG'!$A:$ZZ,,IFERROR(MATCH(E27,'ETPT Format DDG'!$2:$2,0),MATCH(C27,'ETPT Format DDG'!$2:$2,0))),
INDEX( 'ETPT Format DDG'!$A:$ZZ,,MATCH("Fonction agrégat",'ETPT Format DDG'!2:2,0)),"M-CONT",
INDEX( 'ETPT Format DDG'!$A:$ZZ,,MATCH("Juridiction",'ETPT Format DDG'!2:2,0)),$A$3,
INDEX( 'ETPT Format DDG'!$A:$ZZ,,MATCH("Catégorie",'ETPT Format DDG'!2:2,0)),"Magistrat")</f>
      </c>
      <c r="L27" s="71">
        <f>SUMIFS(
INDEX('ETPT Format DDG'!$A:$ZZ,,IFERROR(MATCH(E27,'ETPT Format DDG'!$2:$2,0),MATCH(C27,'ETPT Format DDG'!$2:$2,0))),
INDEX( 'ETPT Format DDG'!$A:$ZZ,,MATCH("Juridiction",'ETPT Format DDG'!2:2,0)),$A$3,
INDEX( 'ETPT Format DDG'!$A:$ZZ,,MATCH("Catégorie",'ETPT Format DDG'!2:2,0)),"Magistrat")</f>
      </c>
      <c r="M27" s="74">
        <f>IF(AND(OR(LEFT(C27,3)="12.",LEFT(E27,3)="12.",LEFT(E27,5)="CET &gt;", IFERROR(L27/$L$6,"")=0),NOT(AND(LEFT(E27,4)="12.8",IFERROR(G27/$G$6,"")&lt;&gt;0)),NOT(AND(LEFT(E27,5)="12.31",IFERROR(L27/$G$6,"")&lt;&gt;0)),NOT(AND(LEFT(E27,5)="12.32",IFERROR(L27/$G$6,"")&lt;&gt;0))),"", IFERROR(L27/$L$6,""))</f>
      </c>
      <c r="N27" s="73">
        <f>SUMIFS(
INDEX('ETPT Format DDG'!$A:$ZZ,,IFERROR(MATCH(E27,'ETPT Format DDG'!$2:$2,0),MATCH(C27,'ETPT Format DDG'!$2:$2,0))),
INDEX( 'ETPT Format DDG'!$A:$ZZ,,MATCH("Fonction agrégat",'ETPT Format DDG'!2:2,0)),"F-TIT",
INDEX( 'ETPT Format DDG'!$A:$ZZ,,MATCH("Juridiction",'ETPT Format DDG'!2:2,0)),$A$3)</f>
      </c>
      <c r="O27" s="72">
        <f>IF(AND(OR(LEFT(C27,3)="12.",LEFT(E27,3)="12.",LEFT(E27,5)="CET &gt;",IFERROR(N27/$N$6,"")=0),NOT(AND(LEFT(E27,4)="12.8",IFERROR(G27/$G$6,"")&lt;&gt;0)),NOT(AND(LEFT(E27,5)="12.31",IFERROR(N27/$G$6,"")&lt;&gt;0)),NOT(AND(LEFT(E27,5)="12.32",IFERROR(N27/$G$6,"")&lt;&gt;0))),"",IFERROR(N27/$N$6,""))</f>
      </c>
      <c r="P27" s="73">
        <f>SUMIFS(
INDEX('ETPT Format DDG'!$A:$FB,,IFERROR(MATCH(E27,'ETPT Format DDG'!$2:$2,0),MATCH(C27,'ETPT Format DDG'!$2:$2,0))),
INDEX( 'ETPT Format DDG'!$A:$ZZ,,MATCH("Fonction agrégat",'ETPT Format DDG'!2:2,0)),"F-PLAC-ADD",
INDEX( 'ETPT Format DDG'!$A:$ZZ,,MATCH("Juridiction",'ETPT Format DDG'!2:2,0)),$A$3)</f>
      </c>
      <c r="Q27" s="73">
        <f>SUMIFS(
INDEX('ETPT Format DDG'!$A:$FB,,IFERROR(MATCH(E27,'ETPT Format DDG'!$2:$2,0),MATCH(C27,'ETPT Format DDG'!$2:$2,0))),
INDEX( 'ETPT Format DDG'!$A:$ZZ,,MATCH("Fonction agrégat",'ETPT Format DDG'!2:2,0)),"F-PLAC-SUB",
INDEX( 'ETPT Format DDG'!$A:$ZZ,,MATCH("Juridiction",'ETPT Format DDG'!2:2,0)),$A$3)</f>
      </c>
      <c r="R27" s="73">
        <f>SUMIFS(
INDEX('ETPT Format DDG'!$A:$FB,,IFERROR(MATCH(E27,'ETPT Format DDG'!$2:$2,0),MATCH(C27,'ETPT Format DDG'!$2:$2,0))),
INDEX( 'ETPT Format DDG'!$A:$ZZ,,MATCH("Fonction agrégat",'ETPT Format DDG'!2:2,0)),"C",
'ETPT Format DDG'!$H:$H,"Greffe",
INDEX( 'ETPT Format DDG'!$A:$ZZ,,MATCH("Juridiction",'ETPT Format DDG'!2:2,0)),$A$3)</f>
      </c>
      <c r="S27" s="71">
        <f>SUMIFS(
INDEX('ETPT Format DDG'!$A:$FB,,IFERROR(MATCH(E27,'ETPT Format DDG'!$2:$2,0),MATCH(C27,'ETPT Format DDG'!$2:$2,0))),
INDEX( 'ETPT Format DDG'!$A:$ZZ,,MATCH("Catégorie",'ETPT Format DDG'!2:2,0)),"Greffe",
INDEX( 'ETPT Format DDG'!$A:$ZZ,,MATCH("Juridiction",'ETPT Format DDG'!2:2,0)),$A$3)</f>
      </c>
      <c r="T27" s="72">
        <f>IF(AND(OR(LEFT(C27,3)="12.",LEFT(E27,3)="12.",LEFT(E27,5)="CET &gt;",IFERROR(S27/$S$6,"")=0),NOT(AND(LEFT(E27,4)="12.8",IFERROR(G27/$G$6,"")&lt;&gt;0)),NOT(AND(LEFT(E27,5)="12.31",IFERROR(S27/$G$6,"")&lt;&gt;0)),NOT(AND(LEFT(E27,5)="12.32",IFERROR(S27/$G$6,"")&lt;&gt;0))),"", IFERROR(S27/$S$6,""))</f>
      </c>
      <c r="U27" s="71">
        <f>SUMIFS(
INDEX('ETPT Format DDG'!$A:$FB,,IFERROR(MATCH(E27,'ETPT Format DDG'!$2:$2,0),MATCH(C27,'ETPT Format DDG'!$2:$2,0))),
INDEX( 'ETPT Format DDG'!$A:$ZZ,,MATCH("Fonction agrégat",'ETPT Format DDG'!2:2,0)),"C",
INDEX( 'ETPT Format DDG'!$A:$ZZ,,MATCH("Juridiction",'ETPT Format DDG'!2:2,0)),$A$3,
INDEX( 'ETPT Format DDG'!$A:$ZZ,,MATCH("Catégorie",'ETPT Format DDG'!2:2,0)),"Autour du magistrat")</f>
      </c>
      <c r="V27" s="74">
        <f>IF(AND(OR(LEFT(C27,3)="12.",LEFT(E27,3)="12.",LEFT(E27,5)="CET &gt;",IFERROR(U27/$U$6,"")=0),NOT(AND(LEFT(E27,4)="12.8",IFERROR(G27/$G$6,"")&lt;&gt;0)),NOT(AND(LEFT(E27,5)="12.31",IFERROR(U27/$G$6,"")&lt;&gt;0)),NOT(AND(LEFT(E27,5)="12.32",IFERROR(U27/$G$6,"")&lt;&gt;0))),"", IFERROR(U27/$U$6,""))</f>
      </c>
    </row>
    <row r="28" ht="16" customHeight="1" spans="1:23" x14ac:dyDescent="0.25">
      <c r="A28" s="40"/>
      <c r="C28" s="68"/>
      <c r="D28" s="68"/>
      <c r="E28" s="69" t="s">
        <v>63</v>
      </c>
      <c r="F28" s="70" t="s">
        <v>63</v>
      </c>
      <c r="G28" s="71">
        <f>SUMIFS(
INDEX('ETPT Format DDG'!$A:$ZZ,,IFERROR(MATCH(E28,'ETPT Format DDG'!$2:$2,0),MATCH(C28,'ETPT Format DDG'!$2:$2,0))),
INDEX( 'ETPT Format DDG'!$A:$ZZ,,MATCH("Fonction agrégat",'ETPT Format DDG'!2:2,0)),"M-TIT",
INDEX( 'ETPT Format DDG'!$A:$ZZ,,MATCH("Juridiction",'ETPT Format DDG'!2:2,0)),$A$3)</f>
      </c>
      <c r="H28" s="72">
        <f>IF(AND(OR(LEFT(C28,3)="12.",LEFT(E28,3)="12.",LEFT(E28,5)="CET &gt;",IFERROR(G28/$G$6,"")=0),NOT(AND(LEFT(E28,4)="12.8",IFERROR(G28/$G$6,"")&lt;&gt;0)),NOT(AND(LEFT(E28,5)="12.31",IFERROR(G28/$G$6,"")&lt;&gt;0)),NOT(AND(LEFT(E28,5)="12.32",IFERROR(G28/$G$6,"")&lt;&gt;0))),"", IFERROR(G28/$G$6,""))</f>
      </c>
      <c r="I28" s="73">
        <f>SUMIFS(
INDEX('ETPT Format DDG'!$A:$ZZ,,IFERROR(MATCH(E28,'ETPT Format DDG'!$2:$2,0),MATCH(C28,'ETPT Format DDG'!$2:$2,0))),
INDEX( 'ETPT Format DDG'!$A:$ZZ,,MATCH("Fonction agrégat",'ETPT Format DDG'!2:2,0)),"M-PLAC-ADD",
INDEX( 'ETPT Format DDG'!$A:$ZZ,,MATCH("Juridiction",'ETPT Format DDG'!2:2,0)),$A$3)</f>
      </c>
      <c r="J28" s="73">
        <f>SUMIFS(
INDEX('ETPT Format DDG'!$A:$ZZ,,IFERROR(MATCH(E28,'ETPT Format DDG'!$2:$2,0),MATCH(C28,'ETPT Format DDG'!$2:$2,0))),
INDEX( 'ETPT Format DDG'!$A:$ZZ,,MATCH("Fonction agrégat",'ETPT Format DDG'!2:2,0)),"M-PLAC-SUB",
INDEX( 'ETPT Format DDG'!$A:$ZZ,,MATCH("Juridiction",'ETPT Format DDG'!2:2,0)),$A$3)</f>
      </c>
      <c r="K28" s="73">
        <f>SUMIFS(
INDEX('ETPT Format DDG'!$A:$ZZ,,IFERROR(MATCH(E28,'ETPT Format DDG'!$2:$2,0),MATCH(C28,'ETPT Format DDG'!$2:$2,0))),
INDEX( 'ETPT Format DDG'!$A:$ZZ,,MATCH("Fonction agrégat",'ETPT Format DDG'!2:2,0)),"M-CONT",
INDEX( 'ETPT Format DDG'!$A:$ZZ,,MATCH("Juridiction",'ETPT Format DDG'!2:2,0)),$A$3,
INDEX( 'ETPT Format DDG'!$A:$ZZ,,MATCH("Catégorie",'ETPT Format DDG'!2:2,0)),"Magistrat")</f>
      </c>
      <c r="L28" s="71">
        <f>SUMIFS(
INDEX('ETPT Format DDG'!$A:$ZZ,,IFERROR(MATCH(E28,'ETPT Format DDG'!$2:$2,0),MATCH(C28,'ETPT Format DDG'!$2:$2,0))),
INDEX( 'ETPT Format DDG'!$A:$ZZ,,MATCH("Juridiction",'ETPT Format DDG'!2:2,0)),$A$3,
INDEX( 'ETPT Format DDG'!$A:$ZZ,,MATCH("Catégorie",'ETPT Format DDG'!2:2,0)),"Magistrat")</f>
      </c>
      <c r="M28" s="74">
        <f>IF(AND(OR(LEFT(C28,3)="12.",LEFT(E28,3)="12.",LEFT(E28,5)="CET &gt;", IFERROR(L28/$L$6,"")=0),NOT(AND(LEFT(E28,4)="12.8",IFERROR(G28/$G$6,"")&lt;&gt;0)),NOT(AND(LEFT(E28,5)="12.31",IFERROR(L28/$G$6,"")&lt;&gt;0)),NOT(AND(LEFT(E28,5)="12.32",IFERROR(L28/$G$6,"")&lt;&gt;0))),"", IFERROR(L28/$L$6,""))</f>
      </c>
      <c r="N28" s="73">
        <f>SUMIFS(
INDEX('ETPT Format DDG'!$A:$ZZ,,IFERROR(MATCH(E28,'ETPT Format DDG'!$2:$2,0),MATCH(C28,'ETPT Format DDG'!$2:$2,0))),
INDEX( 'ETPT Format DDG'!$A:$ZZ,,MATCH("Fonction agrégat",'ETPT Format DDG'!2:2,0)),"F-TIT",
INDEX( 'ETPT Format DDG'!$A:$ZZ,,MATCH("Juridiction",'ETPT Format DDG'!2:2,0)),$A$3)</f>
      </c>
      <c r="O28" s="72">
        <f>IF(AND(OR(LEFT(C28,3)="12.",LEFT(E28,3)="12.",LEFT(E28,5)="CET &gt;",IFERROR(N28/$N$6,"")=0),NOT(AND(LEFT(E28,4)="12.8",IFERROR(G28/$G$6,"")&lt;&gt;0)),NOT(AND(LEFT(E28,5)="12.31",IFERROR(N28/$G$6,"")&lt;&gt;0)),NOT(AND(LEFT(E28,5)="12.32",IFERROR(N28/$G$6,"")&lt;&gt;0))),"",IFERROR(N28/$N$6,""))</f>
      </c>
      <c r="P28" s="73">
        <f>SUMIFS(
INDEX('ETPT Format DDG'!$A:$FB,,IFERROR(MATCH(E28,'ETPT Format DDG'!$2:$2,0),MATCH(C28,'ETPT Format DDG'!$2:$2,0))),
INDEX( 'ETPT Format DDG'!$A:$ZZ,,MATCH("Fonction agrégat",'ETPT Format DDG'!2:2,0)),"F-PLAC-ADD",
INDEX( 'ETPT Format DDG'!$A:$ZZ,,MATCH("Juridiction",'ETPT Format DDG'!2:2,0)),$A$3)</f>
      </c>
      <c r="Q28" s="73">
        <f>SUMIFS(
INDEX('ETPT Format DDG'!$A:$FB,,IFERROR(MATCH(E28,'ETPT Format DDG'!$2:$2,0),MATCH(C28,'ETPT Format DDG'!$2:$2,0))),
INDEX( 'ETPT Format DDG'!$A:$ZZ,,MATCH("Fonction agrégat",'ETPT Format DDG'!2:2,0)),"F-PLAC-SUB",
INDEX( 'ETPT Format DDG'!$A:$ZZ,,MATCH("Juridiction",'ETPT Format DDG'!2:2,0)),$A$3)</f>
      </c>
      <c r="R28" s="73">
        <f>SUMIFS(
INDEX('ETPT Format DDG'!$A:$FB,,IFERROR(MATCH(E28,'ETPT Format DDG'!$2:$2,0),MATCH(C28,'ETPT Format DDG'!$2:$2,0))),
INDEX( 'ETPT Format DDG'!$A:$ZZ,,MATCH("Fonction agrégat",'ETPT Format DDG'!2:2,0)),"C",
'ETPT Format DDG'!$H:$H,"Greffe",
INDEX( 'ETPT Format DDG'!$A:$ZZ,,MATCH("Juridiction",'ETPT Format DDG'!2:2,0)),$A$3)</f>
      </c>
      <c r="S28" s="71">
        <f>SUMIFS(
INDEX('ETPT Format DDG'!$A:$FB,,IFERROR(MATCH(E28,'ETPT Format DDG'!$2:$2,0),MATCH(C28,'ETPT Format DDG'!$2:$2,0))),
INDEX( 'ETPT Format DDG'!$A:$ZZ,,MATCH("Catégorie",'ETPT Format DDG'!2:2,0)),"Greffe",
INDEX( 'ETPT Format DDG'!$A:$ZZ,,MATCH("Juridiction",'ETPT Format DDG'!2:2,0)),$A$3)</f>
      </c>
      <c r="T28" s="72">
        <f>IF(AND(OR(LEFT(C28,3)="12.",LEFT(E28,3)="12.",LEFT(E28,5)="CET &gt;",IFERROR(S28/$S$6,"")=0),NOT(AND(LEFT(E28,4)="12.8",IFERROR(G28/$G$6,"")&lt;&gt;0)),NOT(AND(LEFT(E28,5)="12.31",IFERROR(S28/$G$6,"")&lt;&gt;0)),NOT(AND(LEFT(E28,5)="12.32",IFERROR(S28/$G$6,"")&lt;&gt;0))),"", IFERROR(S28/$S$6,""))</f>
      </c>
      <c r="U28" s="71">
        <f>SUMIFS(
INDEX('ETPT Format DDG'!$A:$FB,,IFERROR(MATCH(E28,'ETPT Format DDG'!$2:$2,0),MATCH(C28,'ETPT Format DDG'!$2:$2,0))),
INDEX( 'ETPT Format DDG'!$A:$ZZ,,MATCH("Fonction agrégat",'ETPT Format DDG'!2:2,0)),"C",
INDEX( 'ETPT Format DDG'!$A:$ZZ,,MATCH("Juridiction",'ETPT Format DDG'!2:2,0)),$A$3,
INDEX( 'ETPT Format DDG'!$A:$ZZ,,MATCH("Catégorie",'ETPT Format DDG'!2:2,0)),"Autour du magistrat")</f>
      </c>
      <c r="V28" s="74">
        <f>IF(AND(OR(LEFT(C28,3)="12.",LEFT(E28,3)="12.",LEFT(E28,5)="CET &gt;",IFERROR(U28/$U$6,"")=0),NOT(AND(LEFT(E28,4)="12.8",IFERROR(G28/$G$6,"")&lt;&gt;0)),NOT(AND(LEFT(E28,5)="12.31",IFERROR(U28/$G$6,"")&lt;&gt;0)),NOT(AND(LEFT(E28,5)="12.32",IFERROR(U28/$G$6,"")&lt;&gt;0))),"", IFERROR(U28/$U$6,""))</f>
      </c>
    </row>
    <row r="29" ht="16" customHeight="1" spans="1:23" x14ac:dyDescent="0.25">
      <c r="A29" s="40"/>
      <c r="C29" s="68"/>
      <c r="D29" s="68"/>
      <c r="E29" s="69" t="s">
        <v>64</v>
      </c>
      <c r="F29" s="70" t="s">
        <v>64</v>
      </c>
      <c r="G29" s="71">
        <f>SUMIFS(
INDEX('ETPT Format DDG'!$A:$ZZ,,IFERROR(MATCH(E29,'ETPT Format DDG'!$2:$2,0),MATCH(C29,'ETPT Format DDG'!$2:$2,0))),
INDEX( 'ETPT Format DDG'!$A:$ZZ,,MATCH("Fonction agrégat",'ETPT Format DDG'!2:2,0)),"M-TIT",
INDEX( 'ETPT Format DDG'!$A:$ZZ,,MATCH("Juridiction",'ETPT Format DDG'!2:2,0)),$A$3)</f>
      </c>
      <c r="H29" s="72">
        <f>IF(AND(OR(LEFT(C29,3)="12.",LEFT(E29,3)="12.",LEFT(E29,5)="CET &gt;",IFERROR(G29/$G$6,"")=0),NOT(AND(LEFT(E29,4)="12.8",IFERROR(G29/$G$6,"")&lt;&gt;0)),NOT(AND(LEFT(E29,5)="12.31",IFERROR(G29/$G$6,"")&lt;&gt;0)),NOT(AND(LEFT(E29,5)="12.32",IFERROR(G29/$G$6,"")&lt;&gt;0))),"", IFERROR(G29/$G$6,""))</f>
      </c>
      <c r="I29" s="73">
        <f>SUMIFS(
INDEX('ETPT Format DDG'!$A:$ZZ,,IFERROR(MATCH(E29,'ETPT Format DDG'!$2:$2,0),MATCH(C29,'ETPT Format DDG'!$2:$2,0))),
INDEX( 'ETPT Format DDG'!$A:$ZZ,,MATCH("Fonction agrégat",'ETPT Format DDG'!2:2,0)),"M-PLAC-ADD",
INDEX( 'ETPT Format DDG'!$A:$ZZ,,MATCH("Juridiction",'ETPT Format DDG'!2:2,0)),$A$3)</f>
      </c>
      <c r="J29" s="73">
        <f>SUMIFS(
INDEX('ETPT Format DDG'!$A:$ZZ,,IFERROR(MATCH(E29,'ETPT Format DDG'!$2:$2,0),MATCH(C29,'ETPT Format DDG'!$2:$2,0))),
INDEX( 'ETPT Format DDG'!$A:$ZZ,,MATCH("Fonction agrégat",'ETPT Format DDG'!2:2,0)),"M-PLAC-SUB",
INDEX( 'ETPT Format DDG'!$A:$ZZ,,MATCH("Juridiction",'ETPT Format DDG'!2:2,0)),$A$3)</f>
      </c>
      <c r="K29" s="73">
        <f>SUMIFS(
INDEX('ETPT Format DDG'!$A:$ZZ,,IFERROR(MATCH(E29,'ETPT Format DDG'!$2:$2,0),MATCH(C29,'ETPT Format DDG'!$2:$2,0))),
INDEX( 'ETPT Format DDG'!$A:$ZZ,,MATCH("Fonction agrégat",'ETPT Format DDG'!2:2,0)),"M-CONT",
INDEX( 'ETPT Format DDG'!$A:$ZZ,,MATCH("Juridiction",'ETPT Format DDG'!2:2,0)),$A$3,
INDEX( 'ETPT Format DDG'!$A:$ZZ,,MATCH("Catégorie",'ETPT Format DDG'!2:2,0)),"Magistrat")</f>
      </c>
      <c r="L29" s="71">
        <f>SUMIFS(
INDEX('ETPT Format DDG'!$A:$ZZ,,IFERROR(MATCH(E29,'ETPT Format DDG'!$2:$2,0),MATCH(C29,'ETPT Format DDG'!$2:$2,0))),
INDEX( 'ETPT Format DDG'!$A:$ZZ,,MATCH("Juridiction",'ETPT Format DDG'!2:2,0)),$A$3,
INDEX( 'ETPT Format DDG'!$A:$ZZ,,MATCH("Catégorie",'ETPT Format DDG'!2:2,0)),"Magistrat")</f>
      </c>
      <c r="M29" s="74">
        <f>IF(AND(OR(LEFT(C29,3)="12.",LEFT(E29,3)="12.",LEFT(E29,5)="CET &gt;", IFERROR(L29/$L$6,"")=0),NOT(AND(LEFT(E29,4)="12.8",IFERROR(G29/$G$6,"")&lt;&gt;0)),NOT(AND(LEFT(E29,5)="12.31",IFERROR(L29/$G$6,"")&lt;&gt;0)),NOT(AND(LEFT(E29,5)="12.32",IFERROR(L29/$G$6,"")&lt;&gt;0))),"", IFERROR(L29/$L$6,""))</f>
      </c>
      <c r="N29" s="73">
        <f>SUMIFS(
INDEX('ETPT Format DDG'!$A:$ZZ,,IFERROR(MATCH(E29,'ETPT Format DDG'!$2:$2,0),MATCH(C29,'ETPT Format DDG'!$2:$2,0))),
INDEX( 'ETPT Format DDG'!$A:$ZZ,,MATCH("Fonction agrégat",'ETPT Format DDG'!2:2,0)),"F-TIT",
INDEX( 'ETPT Format DDG'!$A:$ZZ,,MATCH("Juridiction",'ETPT Format DDG'!2:2,0)),$A$3)</f>
      </c>
      <c r="O29" s="72">
        <f>IF(AND(OR(LEFT(C29,3)="12.",LEFT(E29,3)="12.",LEFT(E29,5)="CET &gt;",IFERROR(N29/$N$6,"")=0),NOT(AND(LEFT(E29,4)="12.8",IFERROR(G29/$G$6,"")&lt;&gt;0)),NOT(AND(LEFT(E29,5)="12.31",IFERROR(N29/$G$6,"")&lt;&gt;0)),NOT(AND(LEFT(E29,5)="12.32",IFERROR(N29/$G$6,"")&lt;&gt;0))),"",IFERROR(N29/$N$6,""))</f>
      </c>
      <c r="P29" s="73">
        <f>SUMIFS(
INDEX('ETPT Format DDG'!$A:$FB,,IFERROR(MATCH(E29,'ETPT Format DDG'!$2:$2,0),MATCH(C29,'ETPT Format DDG'!$2:$2,0))),
INDEX( 'ETPT Format DDG'!$A:$ZZ,,MATCH("Fonction agrégat",'ETPT Format DDG'!2:2,0)),"F-PLAC-ADD",
INDEX( 'ETPT Format DDG'!$A:$ZZ,,MATCH("Juridiction",'ETPT Format DDG'!2:2,0)),$A$3)</f>
      </c>
      <c r="Q29" s="73">
        <f>SUMIFS(
INDEX('ETPT Format DDG'!$A:$FB,,IFERROR(MATCH(E29,'ETPT Format DDG'!$2:$2,0),MATCH(C29,'ETPT Format DDG'!$2:$2,0))),
INDEX( 'ETPT Format DDG'!$A:$ZZ,,MATCH("Fonction agrégat",'ETPT Format DDG'!2:2,0)),"F-PLAC-SUB",
INDEX( 'ETPT Format DDG'!$A:$ZZ,,MATCH("Juridiction",'ETPT Format DDG'!2:2,0)),$A$3)</f>
      </c>
      <c r="R29" s="73">
        <f>SUMIFS(
INDEX('ETPT Format DDG'!$A:$FB,,IFERROR(MATCH(E29,'ETPT Format DDG'!$2:$2,0),MATCH(C29,'ETPT Format DDG'!$2:$2,0))),
INDEX( 'ETPT Format DDG'!$A:$ZZ,,MATCH("Fonction agrégat",'ETPT Format DDG'!2:2,0)),"C",
'ETPT Format DDG'!$H:$H,"Greffe",
INDEX( 'ETPT Format DDG'!$A:$ZZ,,MATCH("Juridiction",'ETPT Format DDG'!2:2,0)),$A$3)</f>
      </c>
      <c r="S29" s="71">
        <f>SUMIFS(
INDEX('ETPT Format DDG'!$A:$FB,,IFERROR(MATCH(E29,'ETPT Format DDG'!$2:$2,0),MATCH(C29,'ETPT Format DDG'!$2:$2,0))),
INDEX( 'ETPT Format DDG'!$A:$ZZ,,MATCH("Catégorie",'ETPT Format DDG'!2:2,0)),"Greffe",
INDEX( 'ETPT Format DDG'!$A:$ZZ,,MATCH("Juridiction",'ETPT Format DDG'!2:2,0)),$A$3)</f>
      </c>
      <c r="T29" s="72">
        <f>IF(AND(OR(LEFT(C29,3)="12.",LEFT(E29,3)="12.",LEFT(E29,5)="CET &gt;",IFERROR(S29/$S$6,"")=0),NOT(AND(LEFT(E29,4)="12.8",IFERROR(G29/$G$6,"")&lt;&gt;0)),NOT(AND(LEFT(E29,5)="12.31",IFERROR(S29/$G$6,"")&lt;&gt;0)),NOT(AND(LEFT(E29,5)="12.32",IFERROR(S29/$G$6,"")&lt;&gt;0))),"", IFERROR(S29/$S$6,""))</f>
      </c>
      <c r="U29" s="71">
        <f>SUMIFS(
INDEX('ETPT Format DDG'!$A:$FB,,IFERROR(MATCH(E29,'ETPT Format DDG'!$2:$2,0),MATCH(C29,'ETPT Format DDG'!$2:$2,0))),
INDEX( 'ETPT Format DDG'!$A:$ZZ,,MATCH("Fonction agrégat",'ETPT Format DDG'!2:2,0)),"C",
INDEX( 'ETPT Format DDG'!$A:$ZZ,,MATCH("Juridiction",'ETPT Format DDG'!2:2,0)),$A$3,
INDEX( 'ETPT Format DDG'!$A:$ZZ,,MATCH("Catégorie",'ETPT Format DDG'!2:2,0)),"Autour du magistrat")</f>
      </c>
      <c r="V29" s="74">
        <f>IF(AND(OR(LEFT(C29,3)="12.",LEFT(E29,3)="12.",LEFT(E29,5)="CET &gt;",IFERROR(U29/$U$6,"")=0),NOT(AND(LEFT(E29,4)="12.8",IFERROR(G29/$G$6,"")&lt;&gt;0)),NOT(AND(LEFT(E29,5)="12.31",IFERROR(U29/$G$6,"")&lt;&gt;0)),NOT(AND(LEFT(E29,5)="12.32",IFERROR(U29/$G$6,"")&lt;&gt;0))),"", IFERROR(U29/$U$6,""))</f>
      </c>
    </row>
    <row r="30" ht="16" customHeight="1" spans="1:23" x14ac:dyDescent="0.25">
      <c r="A30" s="40"/>
      <c r="C30" s="68"/>
      <c r="D30" s="68"/>
      <c r="E30" s="69" t="s">
        <v>65</v>
      </c>
      <c r="F30" s="70" t="s">
        <v>65</v>
      </c>
      <c r="G30" s="71">
        <f>SUMIFS(
INDEX('ETPT Format DDG'!$A:$ZZ,,IFERROR(MATCH(E30,'ETPT Format DDG'!$2:$2,0),MATCH(C30,'ETPT Format DDG'!$2:$2,0))),
INDEX( 'ETPT Format DDG'!$A:$ZZ,,MATCH("Fonction agrégat",'ETPT Format DDG'!2:2,0)),"M-TIT",
INDEX( 'ETPT Format DDG'!$A:$ZZ,,MATCH("Juridiction",'ETPT Format DDG'!2:2,0)),$A$3)</f>
      </c>
      <c r="H30" s="72">
        <f>IF(AND(OR(LEFT(C30,3)="12.",LEFT(E30,3)="12.",LEFT(E30,5)="CET &gt;",IFERROR(G30/$G$6,"")=0),NOT(AND(LEFT(E30,4)="12.8",IFERROR(G30/$G$6,"")&lt;&gt;0)),NOT(AND(LEFT(E30,5)="12.31",IFERROR(G30/$G$6,"")&lt;&gt;0)),NOT(AND(LEFT(E30,5)="12.32",IFERROR(G30/$G$6,"")&lt;&gt;0))),"", IFERROR(G30/$G$6,""))</f>
      </c>
      <c r="I30" s="73">
        <f>SUMIFS(
INDEX('ETPT Format DDG'!$A:$ZZ,,IFERROR(MATCH(E30,'ETPT Format DDG'!$2:$2,0),MATCH(C30,'ETPT Format DDG'!$2:$2,0))),
INDEX( 'ETPT Format DDG'!$A:$ZZ,,MATCH("Fonction agrégat",'ETPT Format DDG'!2:2,0)),"M-PLAC-ADD",
INDEX( 'ETPT Format DDG'!$A:$ZZ,,MATCH("Juridiction",'ETPT Format DDG'!2:2,0)),$A$3)</f>
      </c>
      <c r="J30" s="73">
        <f>SUMIFS(
INDEX('ETPT Format DDG'!$A:$ZZ,,IFERROR(MATCH(E30,'ETPT Format DDG'!$2:$2,0),MATCH(C30,'ETPT Format DDG'!$2:$2,0))),
INDEX( 'ETPT Format DDG'!$A:$ZZ,,MATCH("Fonction agrégat",'ETPT Format DDG'!2:2,0)),"M-PLAC-SUB",
INDEX( 'ETPT Format DDG'!$A:$ZZ,,MATCH("Juridiction",'ETPT Format DDG'!2:2,0)),$A$3)</f>
      </c>
      <c r="K30" s="73">
        <f>SUMIFS(
INDEX('ETPT Format DDG'!$A:$ZZ,,IFERROR(MATCH(E30,'ETPT Format DDG'!$2:$2,0),MATCH(C30,'ETPT Format DDG'!$2:$2,0))),
INDEX( 'ETPT Format DDG'!$A:$ZZ,,MATCH("Fonction agrégat",'ETPT Format DDG'!2:2,0)),"M-CONT",
INDEX( 'ETPT Format DDG'!$A:$ZZ,,MATCH("Juridiction",'ETPT Format DDG'!2:2,0)),$A$3,
INDEX( 'ETPT Format DDG'!$A:$ZZ,,MATCH("Catégorie",'ETPT Format DDG'!2:2,0)),"Magistrat")</f>
      </c>
      <c r="L30" s="71">
        <f>SUMIFS(
INDEX('ETPT Format DDG'!$A:$ZZ,,IFERROR(MATCH(E30,'ETPT Format DDG'!$2:$2,0),MATCH(C30,'ETPT Format DDG'!$2:$2,0))),
INDEX( 'ETPT Format DDG'!$A:$ZZ,,MATCH("Juridiction",'ETPT Format DDG'!2:2,0)),$A$3,
INDEX( 'ETPT Format DDG'!$A:$ZZ,,MATCH("Catégorie",'ETPT Format DDG'!2:2,0)),"Magistrat")</f>
      </c>
      <c r="M30" s="74">
        <f>IF(AND(OR(LEFT(C30,3)="12.",LEFT(E30,3)="12.",LEFT(E30,5)="CET &gt;", IFERROR(L30/$L$6,"")=0),NOT(AND(LEFT(E30,4)="12.8",IFERROR(G30/$G$6,"")&lt;&gt;0)),NOT(AND(LEFT(E30,5)="12.31",IFERROR(L30/$G$6,"")&lt;&gt;0)),NOT(AND(LEFT(E30,5)="12.32",IFERROR(L30/$G$6,"")&lt;&gt;0))),"", IFERROR(L30/$L$6,""))</f>
      </c>
      <c r="N30" s="73">
        <f>SUMIFS(
INDEX('ETPT Format DDG'!$A:$ZZ,,IFERROR(MATCH(E30,'ETPT Format DDG'!$2:$2,0),MATCH(C30,'ETPT Format DDG'!$2:$2,0))),
INDEX( 'ETPT Format DDG'!$A:$ZZ,,MATCH("Fonction agrégat",'ETPT Format DDG'!2:2,0)),"F-TIT",
INDEX( 'ETPT Format DDG'!$A:$ZZ,,MATCH("Juridiction",'ETPT Format DDG'!2:2,0)),$A$3)</f>
      </c>
      <c r="O30" s="72">
        <f>IF(AND(OR(LEFT(C30,3)="12.",LEFT(E30,3)="12.",LEFT(E30,5)="CET &gt;",IFERROR(N30/$N$6,"")=0),NOT(AND(LEFT(E30,4)="12.8",IFERROR(G30/$G$6,"")&lt;&gt;0)),NOT(AND(LEFT(E30,5)="12.31",IFERROR(N30/$G$6,"")&lt;&gt;0)),NOT(AND(LEFT(E30,5)="12.32",IFERROR(N30/$G$6,"")&lt;&gt;0))),"",IFERROR(N30/$N$6,""))</f>
      </c>
      <c r="P30" s="73">
        <f>SUMIFS(
INDEX('ETPT Format DDG'!$A:$FB,,IFERROR(MATCH(E30,'ETPT Format DDG'!$2:$2,0),MATCH(C30,'ETPT Format DDG'!$2:$2,0))),
INDEX( 'ETPT Format DDG'!$A:$ZZ,,MATCH("Fonction agrégat",'ETPT Format DDG'!2:2,0)),"F-PLAC-ADD",
INDEX( 'ETPT Format DDG'!$A:$ZZ,,MATCH("Juridiction",'ETPT Format DDG'!2:2,0)),$A$3)</f>
      </c>
      <c r="Q30" s="73">
        <f>SUMIFS(
INDEX('ETPT Format DDG'!$A:$FB,,IFERROR(MATCH(E30,'ETPT Format DDG'!$2:$2,0),MATCH(C30,'ETPT Format DDG'!$2:$2,0))),
INDEX( 'ETPT Format DDG'!$A:$ZZ,,MATCH("Fonction agrégat",'ETPT Format DDG'!2:2,0)),"F-PLAC-SUB",
INDEX( 'ETPT Format DDG'!$A:$ZZ,,MATCH("Juridiction",'ETPT Format DDG'!2:2,0)),$A$3)</f>
      </c>
      <c r="R30" s="73">
        <f>SUMIFS(
INDEX('ETPT Format DDG'!$A:$FB,,IFERROR(MATCH(E30,'ETPT Format DDG'!$2:$2,0),MATCH(C30,'ETPT Format DDG'!$2:$2,0))),
INDEX( 'ETPT Format DDG'!$A:$ZZ,,MATCH("Fonction agrégat",'ETPT Format DDG'!2:2,0)),"C",
'ETPT Format DDG'!$H:$H,"Greffe",
INDEX( 'ETPT Format DDG'!$A:$ZZ,,MATCH("Juridiction",'ETPT Format DDG'!2:2,0)),$A$3)</f>
      </c>
      <c r="S30" s="71">
        <f>SUMIFS(
INDEX('ETPT Format DDG'!$A:$FB,,IFERROR(MATCH(E30,'ETPT Format DDG'!$2:$2,0),MATCH(C30,'ETPT Format DDG'!$2:$2,0))),
INDEX( 'ETPT Format DDG'!$A:$ZZ,,MATCH("Catégorie",'ETPT Format DDG'!2:2,0)),"Greffe",
INDEX( 'ETPT Format DDG'!$A:$ZZ,,MATCH("Juridiction",'ETPT Format DDG'!2:2,0)),$A$3)</f>
      </c>
      <c r="T30" s="72">
        <f>IF(AND(OR(LEFT(C30,3)="12.",LEFT(E30,3)="12.",LEFT(E30,5)="CET &gt;",IFERROR(S30/$S$6,"")=0),NOT(AND(LEFT(E30,4)="12.8",IFERROR(G30/$G$6,"")&lt;&gt;0)),NOT(AND(LEFT(E30,5)="12.31",IFERROR(S30/$G$6,"")&lt;&gt;0)),NOT(AND(LEFT(E30,5)="12.32",IFERROR(S30/$G$6,"")&lt;&gt;0))),"", IFERROR(S30/$S$6,""))</f>
      </c>
      <c r="U30" s="71">
        <f>SUMIFS(
INDEX('ETPT Format DDG'!$A:$FB,,IFERROR(MATCH(E30,'ETPT Format DDG'!$2:$2,0),MATCH(C30,'ETPT Format DDG'!$2:$2,0))),
INDEX( 'ETPT Format DDG'!$A:$ZZ,,MATCH("Fonction agrégat",'ETPT Format DDG'!2:2,0)),"C",
INDEX( 'ETPT Format DDG'!$A:$ZZ,,MATCH("Juridiction",'ETPT Format DDG'!2:2,0)),$A$3,
INDEX( 'ETPT Format DDG'!$A:$ZZ,,MATCH("Catégorie",'ETPT Format DDG'!2:2,0)),"Autour du magistrat")</f>
      </c>
      <c r="V30" s="74">
        <f>IF(AND(OR(LEFT(C30,3)="12.",LEFT(E30,3)="12.",LEFT(E30,5)="CET &gt;",IFERROR(U30/$U$6,"")=0),NOT(AND(LEFT(E30,4)="12.8",IFERROR(G30/$G$6,"")&lt;&gt;0)),NOT(AND(LEFT(E30,5)="12.31",IFERROR(U30/$G$6,"")&lt;&gt;0)),NOT(AND(LEFT(E30,5)="12.32",IFERROR(U30/$G$6,"")&lt;&gt;0))),"", IFERROR(U30/$U$6,""))</f>
      </c>
    </row>
    <row r="31" ht="16" customHeight="1" spans="1:23" x14ac:dyDescent="0.25">
      <c r="A31" s="40"/>
      <c r="C31" s="68"/>
      <c r="D31" s="68"/>
      <c r="E31" s="69" t="s">
        <v>66</v>
      </c>
      <c r="F31" s="70" t="s">
        <v>66</v>
      </c>
      <c r="G31" s="71">
        <f>SUMIFS(
INDEX('ETPT Format DDG'!$A:$ZZ,,IFERROR(MATCH(E31,'ETPT Format DDG'!$2:$2,0),MATCH(C31,'ETPT Format DDG'!$2:$2,0))),
INDEX( 'ETPT Format DDG'!$A:$ZZ,,MATCH("Fonction agrégat",'ETPT Format DDG'!2:2,0)),"M-TIT",
INDEX( 'ETPT Format DDG'!$A:$ZZ,,MATCH("Juridiction",'ETPT Format DDG'!2:2,0)),$A$3)</f>
      </c>
      <c r="H31" s="72">
        <f>IF(AND(OR(LEFT(C31,3)="12.",LEFT(E31,3)="12.",LEFT(E31,5)="CET &gt;",IFERROR(G31/$G$6,"")=0),NOT(AND(LEFT(E31,4)="12.8",IFERROR(G31/$G$6,"")&lt;&gt;0)),NOT(AND(LEFT(E31,5)="12.31",IFERROR(G31/$G$6,"")&lt;&gt;0)),NOT(AND(LEFT(E31,5)="12.32",IFERROR(G31/$G$6,"")&lt;&gt;0))),"", IFERROR(G31/$G$6,""))</f>
      </c>
      <c r="I31" s="73">
        <f>SUMIFS(
INDEX('ETPT Format DDG'!$A:$ZZ,,IFERROR(MATCH(E31,'ETPT Format DDG'!$2:$2,0),MATCH(C31,'ETPT Format DDG'!$2:$2,0))),
INDEX( 'ETPT Format DDG'!$A:$ZZ,,MATCH("Fonction agrégat",'ETPT Format DDG'!2:2,0)),"M-PLAC-ADD",
INDEX( 'ETPT Format DDG'!$A:$ZZ,,MATCH("Juridiction",'ETPT Format DDG'!2:2,0)),$A$3)</f>
      </c>
      <c r="J31" s="73">
        <f>SUMIFS(
INDEX('ETPT Format DDG'!$A:$ZZ,,IFERROR(MATCH(E31,'ETPT Format DDG'!$2:$2,0),MATCH(C31,'ETPT Format DDG'!$2:$2,0))),
INDEX( 'ETPT Format DDG'!$A:$ZZ,,MATCH("Fonction agrégat",'ETPT Format DDG'!2:2,0)),"M-PLAC-SUB",
INDEX( 'ETPT Format DDG'!$A:$ZZ,,MATCH("Juridiction",'ETPT Format DDG'!2:2,0)),$A$3)</f>
      </c>
      <c r="K31" s="73">
        <f>SUMIFS(
INDEX('ETPT Format DDG'!$A:$ZZ,,IFERROR(MATCH(E31,'ETPT Format DDG'!$2:$2,0),MATCH(C31,'ETPT Format DDG'!$2:$2,0))),
INDEX( 'ETPT Format DDG'!$A:$ZZ,,MATCH("Fonction agrégat",'ETPT Format DDG'!2:2,0)),"M-CONT",
INDEX( 'ETPT Format DDG'!$A:$ZZ,,MATCH("Juridiction",'ETPT Format DDG'!2:2,0)),$A$3,
INDEX( 'ETPT Format DDG'!$A:$ZZ,,MATCH("Catégorie",'ETPT Format DDG'!2:2,0)),"Magistrat")</f>
      </c>
      <c r="L31" s="71">
        <f>SUMIFS(
INDEX('ETPT Format DDG'!$A:$ZZ,,IFERROR(MATCH(E31,'ETPT Format DDG'!$2:$2,0),MATCH(C31,'ETPT Format DDG'!$2:$2,0))),
INDEX( 'ETPT Format DDG'!$A:$ZZ,,MATCH("Juridiction",'ETPT Format DDG'!2:2,0)),$A$3,
INDEX( 'ETPT Format DDG'!$A:$ZZ,,MATCH("Catégorie",'ETPT Format DDG'!2:2,0)),"Magistrat")</f>
      </c>
      <c r="M31" s="74">
        <f>IF(AND(OR(LEFT(C31,3)="12.",LEFT(E31,3)="12.",LEFT(E31,5)="CET &gt;", IFERROR(L31/$L$6,"")=0),NOT(AND(LEFT(E31,4)="12.8",IFERROR(G31/$G$6,"")&lt;&gt;0)),NOT(AND(LEFT(E31,5)="12.31",IFERROR(L31/$G$6,"")&lt;&gt;0)),NOT(AND(LEFT(E31,5)="12.32",IFERROR(L31/$G$6,"")&lt;&gt;0))),"", IFERROR(L31/$L$6,""))</f>
      </c>
      <c r="N31" s="73">
        <f>SUMIFS(
INDEX('ETPT Format DDG'!$A:$ZZ,,IFERROR(MATCH(E31,'ETPT Format DDG'!$2:$2,0),MATCH(C31,'ETPT Format DDG'!$2:$2,0))),
INDEX( 'ETPT Format DDG'!$A:$ZZ,,MATCH("Fonction agrégat",'ETPT Format DDG'!2:2,0)),"F-TIT",
INDEX( 'ETPT Format DDG'!$A:$ZZ,,MATCH("Juridiction",'ETPT Format DDG'!2:2,0)),$A$3)</f>
      </c>
      <c r="O31" s="72">
        <f>IF(AND(OR(LEFT(C31,3)="12.",LEFT(E31,3)="12.",LEFT(E31,5)="CET &gt;",IFERROR(N31/$N$6,"")=0),NOT(AND(LEFT(E31,4)="12.8",IFERROR(G31/$G$6,"")&lt;&gt;0)),NOT(AND(LEFT(E31,5)="12.31",IFERROR(N31/$G$6,"")&lt;&gt;0)),NOT(AND(LEFT(E31,5)="12.32",IFERROR(N31/$G$6,"")&lt;&gt;0))),"",IFERROR(N31/$N$6,""))</f>
      </c>
      <c r="P31" s="73">
        <f>SUMIFS(
INDEX('ETPT Format DDG'!$A:$FB,,IFERROR(MATCH(E31,'ETPT Format DDG'!$2:$2,0),MATCH(C31,'ETPT Format DDG'!$2:$2,0))),
INDEX( 'ETPT Format DDG'!$A:$ZZ,,MATCH("Fonction agrégat",'ETPT Format DDG'!2:2,0)),"F-PLAC-ADD",
INDEX( 'ETPT Format DDG'!$A:$ZZ,,MATCH("Juridiction",'ETPT Format DDG'!2:2,0)),$A$3)</f>
      </c>
      <c r="Q31" s="73">
        <f>SUMIFS(
INDEX('ETPT Format DDG'!$A:$FB,,IFERROR(MATCH(E31,'ETPT Format DDG'!$2:$2,0),MATCH(C31,'ETPT Format DDG'!$2:$2,0))),
INDEX( 'ETPT Format DDG'!$A:$ZZ,,MATCH("Fonction agrégat",'ETPT Format DDG'!2:2,0)),"F-PLAC-SUB",
INDEX( 'ETPT Format DDG'!$A:$ZZ,,MATCH("Juridiction",'ETPT Format DDG'!2:2,0)),$A$3)</f>
      </c>
      <c r="R31" s="73">
        <f>SUMIFS(
INDEX('ETPT Format DDG'!$A:$FB,,IFERROR(MATCH(E31,'ETPT Format DDG'!$2:$2,0),MATCH(C31,'ETPT Format DDG'!$2:$2,0))),
INDEX( 'ETPT Format DDG'!$A:$ZZ,,MATCH("Fonction agrégat",'ETPT Format DDG'!2:2,0)),"C",
'ETPT Format DDG'!$H:$H,"Greffe",
INDEX( 'ETPT Format DDG'!$A:$ZZ,,MATCH("Juridiction",'ETPT Format DDG'!2:2,0)),$A$3)</f>
      </c>
      <c r="S31" s="71">
        <f>SUMIFS(
INDEX('ETPT Format DDG'!$A:$FB,,IFERROR(MATCH(E31,'ETPT Format DDG'!$2:$2,0),MATCH(C31,'ETPT Format DDG'!$2:$2,0))),
INDEX( 'ETPT Format DDG'!$A:$ZZ,,MATCH("Catégorie",'ETPT Format DDG'!2:2,0)),"Greffe",
INDEX( 'ETPT Format DDG'!$A:$ZZ,,MATCH("Juridiction",'ETPT Format DDG'!2:2,0)),$A$3)</f>
      </c>
      <c r="T31" s="72">
        <f>IF(AND(OR(LEFT(C31,3)="12.",LEFT(E31,3)="12.",LEFT(E31,5)="CET &gt;",IFERROR(S31/$S$6,"")=0),NOT(AND(LEFT(E31,4)="12.8",IFERROR(G31/$G$6,"")&lt;&gt;0)),NOT(AND(LEFT(E31,5)="12.31",IFERROR(S31/$G$6,"")&lt;&gt;0)),NOT(AND(LEFT(E31,5)="12.32",IFERROR(S31/$G$6,"")&lt;&gt;0))),"", IFERROR(S31/$S$6,""))</f>
      </c>
      <c r="U31" s="71">
        <f>SUMIFS(
INDEX('ETPT Format DDG'!$A:$FB,,IFERROR(MATCH(E31,'ETPT Format DDG'!$2:$2,0),MATCH(C31,'ETPT Format DDG'!$2:$2,0))),
INDEX( 'ETPT Format DDG'!$A:$ZZ,,MATCH("Fonction agrégat",'ETPT Format DDG'!2:2,0)),"C",
INDEX( 'ETPT Format DDG'!$A:$ZZ,,MATCH("Juridiction",'ETPT Format DDG'!2:2,0)),$A$3,
INDEX( 'ETPT Format DDG'!$A:$ZZ,,MATCH("Catégorie",'ETPT Format DDG'!2:2,0)),"Autour du magistrat")</f>
      </c>
      <c r="V31" s="74">
        <f>IF(AND(OR(LEFT(C31,3)="12.",LEFT(E31,3)="12.",LEFT(E31,5)="CET &gt;",IFERROR(U31/$U$6,"")=0),NOT(AND(LEFT(E31,4)="12.8",IFERROR(G31/$G$6,"")&lt;&gt;0)),NOT(AND(LEFT(E31,5)="12.31",IFERROR(U31/$G$6,"")&lt;&gt;0)),NOT(AND(LEFT(E31,5)="12.32",IFERROR(U31/$G$6,"")&lt;&gt;0))),"", IFERROR(U31/$U$6,""))</f>
      </c>
    </row>
    <row r="32" ht="16" customHeight="1" spans="1:23" x14ac:dyDescent="0.25">
      <c r="A32" s="40"/>
      <c r="C32" s="68" t="s">
        <v>67</v>
      </c>
      <c r="D32" s="68" t="s">
        <v>67</v>
      </c>
      <c r="E32" s="69"/>
      <c r="F32" s="70"/>
      <c r="G32" s="71">
        <f>SUMIFS(
INDEX('ETPT Format DDG'!$A:$ZZ,,IFERROR(MATCH(E32,'ETPT Format DDG'!$2:$2,0),MATCH(C32,'ETPT Format DDG'!$2:$2,0))),
INDEX( 'ETPT Format DDG'!$A:$ZZ,,MATCH("Fonction agrégat",'ETPT Format DDG'!2:2,0)),"M-TIT",
INDEX( 'ETPT Format DDG'!$A:$ZZ,,MATCH("Juridiction",'ETPT Format DDG'!2:2,0)),$A$3)</f>
      </c>
      <c r="H32" s="72">
        <f>IF(AND(OR(LEFT(C32,3)="12.",LEFT(E32,3)="12.",LEFT(E32,5)="CET &gt;",IFERROR(G32/$G$6,"")=0),NOT(AND(LEFT(E32,4)="12.8",IFERROR(G32/$G$6,"")&lt;&gt;0)),NOT(AND(LEFT(E32,5)="12.31",IFERROR(G32/$G$6,"")&lt;&gt;0)),NOT(AND(LEFT(E32,5)="12.32",IFERROR(G32/$G$6,"")&lt;&gt;0))),"", IFERROR(G32/$G$6,""))</f>
      </c>
      <c r="I32" s="73">
        <f>SUMIFS(
INDEX('ETPT Format DDG'!$A:$ZZ,,IFERROR(MATCH(E32,'ETPT Format DDG'!$2:$2,0),MATCH(C32,'ETPT Format DDG'!$2:$2,0))),
INDEX( 'ETPT Format DDG'!$A:$ZZ,,MATCH("Fonction agrégat",'ETPT Format DDG'!2:2,0)),"M-PLAC-ADD",
INDEX( 'ETPT Format DDG'!$A:$ZZ,,MATCH("Juridiction",'ETPT Format DDG'!2:2,0)),$A$3)</f>
      </c>
      <c r="J32" s="73">
        <f>SUMIFS(
INDEX('ETPT Format DDG'!$A:$ZZ,,IFERROR(MATCH(E32,'ETPT Format DDG'!$2:$2,0),MATCH(C32,'ETPT Format DDG'!$2:$2,0))),
INDEX( 'ETPT Format DDG'!$A:$ZZ,,MATCH("Fonction agrégat",'ETPT Format DDG'!2:2,0)),"M-PLAC-SUB",
INDEX( 'ETPT Format DDG'!$A:$ZZ,,MATCH("Juridiction",'ETPT Format DDG'!2:2,0)),$A$3)</f>
      </c>
      <c r="K32" s="73">
        <f>SUMIFS(
INDEX('ETPT Format DDG'!$A:$ZZ,,IFERROR(MATCH(E32,'ETPT Format DDG'!$2:$2,0),MATCH(C32,'ETPT Format DDG'!$2:$2,0))),
INDEX( 'ETPT Format DDG'!$A:$ZZ,,MATCH("Fonction agrégat",'ETPT Format DDG'!2:2,0)),"M-CONT",
INDEX( 'ETPT Format DDG'!$A:$ZZ,,MATCH("Juridiction",'ETPT Format DDG'!2:2,0)),$A$3,
INDEX( 'ETPT Format DDG'!$A:$ZZ,,MATCH("Catégorie",'ETPT Format DDG'!2:2,0)),"Magistrat")</f>
      </c>
      <c r="L32" s="71">
        <f>SUMIFS(
INDEX('ETPT Format DDG'!$A:$ZZ,,IFERROR(MATCH(E32,'ETPT Format DDG'!$2:$2,0),MATCH(C32,'ETPT Format DDG'!$2:$2,0))),
INDEX( 'ETPT Format DDG'!$A:$ZZ,,MATCH("Juridiction",'ETPT Format DDG'!2:2,0)),$A$3,
INDEX( 'ETPT Format DDG'!$A:$ZZ,,MATCH("Catégorie",'ETPT Format DDG'!2:2,0)),"Magistrat")</f>
      </c>
      <c r="M32" s="74">
        <f>IF(AND(OR(LEFT(C32,3)="12.",LEFT(E32,3)="12.",LEFT(E32,5)="CET &gt;", IFERROR(L32/$L$6,"")=0),NOT(AND(LEFT(E32,4)="12.8",IFERROR(G32/$G$6,"")&lt;&gt;0)),NOT(AND(LEFT(E32,5)="12.31",IFERROR(L32/$G$6,"")&lt;&gt;0)),NOT(AND(LEFT(E32,5)="12.32",IFERROR(L32/$G$6,"")&lt;&gt;0))),"", IFERROR(L32/$L$6,""))</f>
      </c>
      <c r="N32" s="73">
        <f>SUMIFS(
INDEX('ETPT Format DDG'!$A:$ZZ,,IFERROR(MATCH(E32,'ETPT Format DDG'!$2:$2,0),MATCH(C32,'ETPT Format DDG'!$2:$2,0))),
INDEX( 'ETPT Format DDG'!$A:$ZZ,,MATCH("Fonction agrégat",'ETPT Format DDG'!2:2,0)),"F-TIT",
INDEX( 'ETPT Format DDG'!$A:$ZZ,,MATCH("Juridiction",'ETPT Format DDG'!2:2,0)),$A$3)</f>
      </c>
      <c r="O32" s="72">
        <f>IF(AND(OR(LEFT(C32,3)="12.",LEFT(E32,3)="12.",LEFT(E32,5)="CET &gt;",IFERROR(N32/$N$6,"")=0),NOT(AND(LEFT(E32,4)="12.8",IFERROR(G32/$G$6,"")&lt;&gt;0)),NOT(AND(LEFT(E32,5)="12.31",IFERROR(N32/$G$6,"")&lt;&gt;0)),NOT(AND(LEFT(E32,5)="12.32",IFERROR(N32/$G$6,"")&lt;&gt;0))),"",IFERROR(N32/$N$6,""))</f>
      </c>
      <c r="P32" s="73">
        <f>SUMIFS(
INDEX('ETPT Format DDG'!$A:$FB,,IFERROR(MATCH(E32,'ETPT Format DDG'!$2:$2,0),MATCH(C32,'ETPT Format DDG'!$2:$2,0))),
INDEX( 'ETPT Format DDG'!$A:$ZZ,,MATCH("Fonction agrégat",'ETPT Format DDG'!2:2,0)),"F-PLAC-ADD",
INDEX( 'ETPT Format DDG'!$A:$ZZ,,MATCH("Juridiction",'ETPT Format DDG'!2:2,0)),$A$3)</f>
      </c>
      <c r="Q32" s="73">
        <f>SUMIFS(
INDEX('ETPT Format DDG'!$A:$FB,,IFERROR(MATCH(E32,'ETPT Format DDG'!$2:$2,0),MATCH(C32,'ETPT Format DDG'!$2:$2,0))),
INDEX( 'ETPT Format DDG'!$A:$ZZ,,MATCH("Fonction agrégat",'ETPT Format DDG'!2:2,0)),"F-PLAC-SUB",
INDEX( 'ETPT Format DDG'!$A:$ZZ,,MATCH("Juridiction",'ETPT Format DDG'!2:2,0)),$A$3)</f>
      </c>
      <c r="R32" s="73">
        <f>SUMIFS(
INDEX('ETPT Format DDG'!$A:$FB,,IFERROR(MATCH(E32,'ETPT Format DDG'!$2:$2,0),MATCH(C32,'ETPT Format DDG'!$2:$2,0))),
INDEX( 'ETPT Format DDG'!$A:$ZZ,,MATCH("Fonction agrégat",'ETPT Format DDG'!2:2,0)),"C",
'ETPT Format DDG'!$H:$H,"Greffe",
INDEX( 'ETPT Format DDG'!$A:$ZZ,,MATCH("Juridiction",'ETPT Format DDG'!2:2,0)),$A$3)</f>
      </c>
      <c r="S32" s="71">
        <f>SUMIFS(
INDEX('ETPT Format DDG'!$A:$FB,,IFERROR(MATCH(E32,'ETPT Format DDG'!$2:$2,0),MATCH(C32,'ETPT Format DDG'!$2:$2,0))),
INDEX( 'ETPT Format DDG'!$A:$ZZ,,MATCH("Catégorie",'ETPT Format DDG'!2:2,0)),"Greffe",
INDEX( 'ETPT Format DDG'!$A:$ZZ,,MATCH("Juridiction",'ETPT Format DDG'!2:2,0)),$A$3)</f>
      </c>
      <c r="T32" s="72">
        <f>IF(AND(OR(LEFT(C32,3)="12.",LEFT(E32,3)="12.",LEFT(E32,5)="CET &gt;",IFERROR(S32/$S$6,"")=0),NOT(AND(LEFT(E32,4)="12.8",IFERROR(G32/$G$6,"")&lt;&gt;0)),NOT(AND(LEFT(E32,5)="12.31",IFERROR(S32/$G$6,"")&lt;&gt;0)),NOT(AND(LEFT(E32,5)="12.32",IFERROR(S32/$G$6,"")&lt;&gt;0))),"", IFERROR(S32/$S$6,""))</f>
      </c>
      <c r="U32" s="71">
        <f>SUMIFS(
INDEX('ETPT Format DDG'!$A:$FB,,IFERROR(MATCH(E32,'ETPT Format DDG'!$2:$2,0),MATCH(C32,'ETPT Format DDG'!$2:$2,0))),
INDEX( 'ETPT Format DDG'!$A:$ZZ,,MATCH("Fonction agrégat",'ETPT Format DDG'!2:2,0)),"C",
INDEX( 'ETPT Format DDG'!$A:$ZZ,,MATCH("Juridiction",'ETPT Format DDG'!2:2,0)),$A$3,
INDEX( 'ETPT Format DDG'!$A:$ZZ,,MATCH("Catégorie",'ETPT Format DDG'!2:2,0)),"Autour du magistrat")</f>
      </c>
      <c r="V32" s="74">
        <f>IF(AND(OR(LEFT(C32,3)="12.",LEFT(E32,3)="12.",LEFT(E32,5)="CET &gt;",IFERROR(U32/$U$6,"")=0),NOT(AND(LEFT(E32,4)="12.8",IFERROR(G32/$G$6,"")&lt;&gt;0)),NOT(AND(LEFT(E32,5)="12.31",IFERROR(U32/$G$6,"")&lt;&gt;0)),NOT(AND(LEFT(E32,5)="12.32",IFERROR(U32/$G$6,"")&lt;&gt;0))),"", IFERROR(U32/$U$6,""))</f>
      </c>
    </row>
    <row r="33" ht="16" customHeight="1" spans="1:23" x14ac:dyDescent="0.25">
      <c r="A33" s="40"/>
      <c r="C33" s="68"/>
      <c r="D33" s="68"/>
      <c r="E33" s="69" t="s">
        <v>68</v>
      </c>
      <c r="F33" s="70" t="s">
        <v>68</v>
      </c>
      <c r="G33" s="71">
        <f>SUMIFS(
INDEX('ETPT Format DDG'!$A:$ZZ,,IFERROR(MATCH(E33,'ETPT Format DDG'!$2:$2,0),MATCH(C33,'ETPT Format DDG'!$2:$2,0))),
INDEX( 'ETPT Format DDG'!$A:$ZZ,,MATCH("Fonction agrégat",'ETPT Format DDG'!2:2,0)),"M-TIT",
INDEX( 'ETPT Format DDG'!$A:$ZZ,,MATCH("Juridiction",'ETPT Format DDG'!2:2,0)),$A$3)</f>
      </c>
      <c r="H33" s="72">
        <f>IF(AND(OR(LEFT(C33,3)="12.",LEFT(E33,3)="12.",LEFT(E33,5)="CET &gt;",IFERROR(G33/$G$6,"")=0),NOT(AND(LEFT(E33,4)="12.8",IFERROR(G33/$G$6,"")&lt;&gt;0)),NOT(AND(LEFT(E33,5)="12.31",IFERROR(G33/$G$6,"")&lt;&gt;0)),NOT(AND(LEFT(E33,5)="12.32",IFERROR(G33/$G$6,"")&lt;&gt;0))),"", IFERROR(G33/$G$6,""))</f>
      </c>
      <c r="I33" s="73">
        <f>SUMIFS(
INDEX('ETPT Format DDG'!$A:$ZZ,,IFERROR(MATCH(E33,'ETPT Format DDG'!$2:$2,0),MATCH(C33,'ETPT Format DDG'!$2:$2,0))),
INDEX( 'ETPT Format DDG'!$A:$ZZ,,MATCH("Fonction agrégat",'ETPT Format DDG'!2:2,0)),"M-PLAC-ADD",
INDEX( 'ETPT Format DDG'!$A:$ZZ,,MATCH("Juridiction",'ETPT Format DDG'!2:2,0)),$A$3)</f>
      </c>
      <c r="J33" s="73">
        <f>SUMIFS(
INDEX('ETPT Format DDG'!$A:$ZZ,,IFERROR(MATCH(E33,'ETPT Format DDG'!$2:$2,0),MATCH(C33,'ETPT Format DDG'!$2:$2,0))),
INDEX( 'ETPT Format DDG'!$A:$ZZ,,MATCH("Fonction agrégat",'ETPT Format DDG'!2:2,0)),"M-PLAC-SUB",
INDEX( 'ETPT Format DDG'!$A:$ZZ,,MATCH("Juridiction",'ETPT Format DDG'!2:2,0)),$A$3)</f>
      </c>
      <c r="K33" s="73">
        <f>SUMIFS(
INDEX('ETPT Format DDG'!$A:$ZZ,,IFERROR(MATCH(E33,'ETPT Format DDG'!$2:$2,0),MATCH(C33,'ETPT Format DDG'!$2:$2,0))),
INDEX( 'ETPT Format DDG'!$A:$ZZ,,MATCH("Fonction agrégat",'ETPT Format DDG'!2:2,0)),"M-CONT",
INDEX( 'ETPT Format DDG'!$A:$ZZ,,MATCH("Juridiction",'ETPT Format DDG'!2:2,0)),$A$3,
INDEX( 'ETPT Format DDG'!$A:$ZZ,,MATCH("Catégorie",'ETPT Format DDG'!2:2,0)),"Magistrat")</f>
      </c>
      <c r="L33" s="71">
        <f>SUMIFS(
INDEX('ETPT Format DDG'!$A:$ZZ,,IFERROR(MATCH(E33,'ETPT Format DDG'!$2:$2,0),MATCH(C33,'ETPT Format DDG'!$2:$2,0))),
INDEX( 'ETPT Format DDG'!$A:$ZZ,,MATCH("Juridiction",'ETPT Format DDG'!2:2,0)),$A$3,
INDEX( 'ETPT Format DDG'!$A:$ZZ,,MATCH("Catégorie",'ETPT Format DDG'!2:2,0)),"Magistrat")</f>
      </c>
      <c r="M33" s="74">
        <f>IF(AND(OR(LEFT(C33,3)="12.",LEFT(E33,3)="12.",LEFT(E33,5)="CET &gt;", IFERROR(L33/$L$6,"")=0),NOT(AND(LEFT(E33,4)="12.8",IFERROR(G33/$G$6,"")&lt;&gt;0)),NOT(AND(LEFT(E33,5)="12.31",IFERROR(L33/$G$6,"")&lt;&gt;0)),NOT(AND(LEFT(E33,5)="12.32",IFERROR(L33/$G$6,"")&lt;&gt;0))),"", IFERROR(L33/$L$6,""))</f>
      </c>
      <c r="N33" s="73">
        <f>SUMIFS(
INDEX('ETPT Format DDG'!$A:$ZZ,,IFERROR(MATCH(E33,'ETPT Format DDG'!$2:$2,0),MATCH(C33,'ETPT Format DDG'!$2:$2,0))),
INDEX( 'ETPT Format DDG'!$A:$ZZ,,MATCH("Fonction agrégat",'ETPT Format DDG'!2:2,0)),"F-TIT",
INDEX( 'ETPT Format DDG'!$A:$ZZ,,MATCH("Juridiction",'ETPT Format DDG'!2:2,0)),$A$3)</f>
      </c>
      <c r="O33" s="72">
        <f>IF(AND(OR(LEFT(C33,3)="12.",LEFT(E33,3)="12.",LEFT(E33,5)="CET &gt;",IFERROR(N33/$N$6,"")=0),NOT(AND(LEFT(E33,4)="12.8",IFERROR(G33/$G$6,"")&lt;&gt;0)),NOT(AND(LEFT(E33,5)="12.31",IFERROR(N33/$G$6,"")&lt;&gt;0)),NOT(AND(LEFT(E33,5)="12.32",IFERROR(N33/$G$6,"")&lt;&gt;0))),"",IFERROR(N33/$N$6,""))</f>
      </c>
      <c r="P33" s="73">
        <f>SUMIFS(
INDEX('ETPT Format DDG'!$A:$FB,,IFERROR(MATCH(E33,'ETPT Format DDG'!$2:$2,0),MATCH(C33,'ETPT Format DDG'!$2:$2,0))),
INDEX( 'ETPT Format DDG'!$A:$ZZ,,MATCH("Fonction agrégat",'ETPT Format DDG'!2:2,0)),"F-PLAC-ADD",
INDEX( 'ETPT Format DDG'!$A:$ZZ,,MATCH("Juridiction",'ETPT Format DDG'!2:2,0)),$A$3)</f>
      </c>
      <c r="Q33" s="73">
        <f>SUMIFS(
INDEX('ETPT Format DDG'!$A:$FB,,IFERROR(MATCH(E33,'ETPT Format DDG'!$2:$2,0),MATCH(C33,'ETPT Format DDG'!$2:$2,0))),
INDEX( 'ETPT Format DDG'!$A:$ZZ,,MATCH("Fonction agrégat",'ETPT Format DDG'!2:2,0)),"F-PLAC-SUB",
INDEX( 'ETPT Format DDG'!$A:$ZZ,,MATCH("Juridiction",'ETPT Format DDG'!2:2,0)),$A$3)</f>
      </c>
      <c r="R33" s="73">
        <f>SUMIFS(
INDEX('ETPT Format DDG'!$A:$FB,,IFERROR(MATCH(E33,'ETPT Format DDG'!$2:$2,0),MATCH(C33,'ETPT Format DDG'!$2:$2,0))),
INDEX( 'ETPT Format DDG'!$A:$ZZ,,MATCH("Fonction agrégat",'ETPT Format DDG'!2:2,0)),"C",
'ETPT Format DDG'!$H:$H,"Greffe",
INDEX( 'ETPT Format DDG'!$A:$ZZ,,MATCH("Juridiction",'ETPT Format DDG'!2:2,0)),$A$3)</f>
      </c>
      <c r="S33" s="71">
        <f>SUMIFS(
INDEX('ETPT Format DDG'!$A:$FB,,IFERROR(MATCH(E33,'ETPT Format DDG'!$2:$2,0),MATCH(C33,'ETPT Format DDG'!$2:$2,0))),
INDEX( 'ETPT Format DDG'!$A:$ZZ,,MATCH("Catégorie",'ETPT Format DDG'!2:2,0)),"Greffe",
INDEX( 'ETPT Format DDG'!$A:$ZZ,,MATCH("Juridiction",'ETPT Format DDG'!2:2,0)),$A$3)</f>
      </c>
      <c r="T33" s="72">
        <f>IF(AND(OR(LEFT(C33,3)="12.",LEFT(E33,3)="12.",LEFT(E33,5)="CET &gt;",IFERROR(S33/$S$6,"")=0),NOT(AND(LEFT(E33,4)="12.8",IFERROR(G33/$G$6,"")&lt;&gt;0)),NOT(AND(LEFT(E33,5)="12.31",IFERROR(S33/$G$6,"")&lt;&gt;0)),NOT(AND(LEFT(E33,5)="12.32",IFERROR(S33/$G$6,"")&lt;&gt;0))),"", IFERROR(S33/$S$6,""))</f>
      </c>
      <c r="U33" s="71">
        <f>SUMIFS(
INDEX('ETPT Format DDG'!$A:$FB,,IFERROR(MATCH(E33,'ETPT Format DDG'!$2:$2,0),MATCH(C33,'ETPT Format DDG'!$2:$2,0))),
INDEX( 'ETPT Format DDG'!$A:$ZZ,,MATCH("Fonction agrégat",'ETPT Format DDG'!2:2,0)),"C",
INDEX( 'ETPT Format DDG'!$A:$ZZ,,MATCH("Juridiction",'ETPT Format DDG'!2:2,0)),$A$3,
INDEX( 'ETPT Format DDG'!$A:$ZZ,,MATCH("Catégorie",'ETPT Format DDG'!2:2,0)),"Autour du magistrat")</f>
      </c>
      <c r="V33" s="74">
        <f>IF(AND(OR(LEFT(C33,3)="12.",LEFT(E33,3)="12.",LEFT(E33,5)="CET &gt;",IFERROR(U33/$U$6,"")=0),NOT(AND(LEFT(E33,4)="12.8",IFERROR(G33/$G$6,"")&lt;&gt;0)),NOT(AND(LEFT(E33,5)="12.31",IFERROR(U33/$G$6,"")&lt;&gt;0)),NOT(AND(LEFT(E33,5)="12.32",IFERROR(U33/$G$6,"")&lt;&gt;0))),"", IFERROR(U33/$U$6,""))</f>
      </c>
    </row>
    <row r="34" ht="16" customHeight="1" spans="1:23" x14ac:dyDescent="0.25">
      <c r="A34" s="40"/>
      <c r="C34" s="68"/>
      <c r="D34" s="68"/>
      <c r="E34" s="69" t="s">
        <v>69</v>
      </c>
      <c r="F34" s="70" t="s">
        <v>69</v>
      </c>
      <c r="G34" s="71">
        <f>SUMIFS(
INDEX('ETPT Format DDG'!$A:$ZZ,,IFERROR(MATCH(E34,'ETPT Format DDG'!$2:$2,0),MATCH(C34,'ETPT Format DDG'!$2:$2,0))),
INDEX( 'ETPT Format DDG'!$A:$ZZ,,MATCH("Fonction agrégat",'ETPT Format DDG'!2:2,0)),"M-TIT",
INDEX( 'ETPT Format DDG'!$A:$ZZ,,MATCH("Juridiction",'ETPT Format DDG'!2:2,0)),$A$3)</f>
      </c>
      <c r="H34" s="72">
        <f>IF(AND(OR(LEFT(C34,3)="12.",LEFT(E34,3)="12.",LEFT(E34,5)="CET &gt;",IFERROR(G34/$G$6,"")=0),NOT(AND(LEFT(E34,4)="12.8",IFERROR(G34/$G$6,"")&lt;&gt;0)),NOT(AND(LEFT(E34,5)="12.31",IFERROR(G34/$G$6,"")&lt;&gt;0)),NOT(AND(LEFT(E34,5)="12.32",IFERROR(G34/$G$6,"")&lt;&gt;0))),"", IFERROR(G34/$G$6,""))</f>
      </c>
      <c r="I34" s="73">
        <f>SUMIFS(
INDEX('ETPT Format DDG'!$A:$ZZ,,IFERROR(MATCH(E34,'ETPT Format DDG'!$2:$2,0),MATCH(C34,'ETPT Format DDG'!$2:$2,0))),
INDEX( 'ETPT Format DDG'!$A:$ZZ,,MATCH("Fonction agrégat",'ETPT Format DDG'!2:2,0)),"M-PLAC-ADD",
INDEX( 'ETPT Format DDG'!$A:$ZZ,,MATCH("Juridiction",'ETPT Format DDG'!2:2,0)),$A$3)</f>
      </c>
      <c r="J34" s="73">
        <f>SUMIFS(
INDEX('ETPT Format DDG'!$A:$ZZ,,IFERROR(MATCH(E34,'ETPT Format DDG'!$2:$2,0),MATCH(C34,'ETPT Format DDG'!$2:$2,0))),
INDEX( 'ETPT Format DDG'!$A:$ZZ,,MATCH("Fonction agrégat",'ETPT Format DDG'!2:2,0)),"M-PLAC-SUB",
INDEX( 'ETPT Format DDG'!$A:$ZZ,,MATCH("Juridiction",'ETPT Format DDG'!2:2,0)),$A$3)</f>
      </c>
      <c r="K34" s="73">
        <f>SUMIFS(
INDEX('ETPT Format DDG'!$A:$ZZ,,IFERROR(MATCH(E34,'ETPT Format DDG'!$2:$2,0),MATCH(C34,'ETPT Format DDG'!$2:$2,0))),
INDEX( 'ETPT Format DDG'!$A:$ZZ,,MATCH("Fonction agrégat",'ETPT Format DDG'!2:2,0)),"M-CONT",
INDEX( 'ETPT Format DDG'!$A:$ZZ,,MATCH("Juridiction",'ETPT Format DDG'!2:2,0)),$A$3,
INDEX( 'ETPT Format DDG'!$A:$ZZ,,MATCH("Catégorie",'ETPT Format DDG'!2:2,0)),"Magistrat")</f>
      </c>
      <c r="L34" s="71">
        <f>SUMIFS(
INDEX('ETPT Format DDG'!$A:$ZZ,,IFERROR(MATCH(E34,'ETPT Format DDG'!$2:$2,0),MATCH(C34,'ETPT Format DDG'!$2:$2,0))),
INDEX( 'ETPT Format DDG'!$A:$ZZ,,MATCH("Juridiction",'ETPT Format DDG'!2:2,0)),$A$3,
INDEX( 'ETPT Format DDG'!$A:$ZZ,,MATCH("Catégorie",'ETPT Format DDG'!2:2,0)),"Magistrat")</f>
      </c>
      <c r="M34" s="74">
        <f>IF(AND(OR(LEFT(C34,3)="12.",LEFT(E34,3)="12.",LEFT(E34,5)="CET &gt;", IFERROR(L34/$L$6,"")=0),NOT(AND(LEFT(E34,4)="12.8",IFERROR(G34/$G$6,"")&lt;&gt;0)),NOT(AND(LEFT(E34,5)="12.31",IFERROR(L34/$G$6,"")&lt;&gt;0)),NOT(AND(LEFT(E34,5)="12.32",IFERROR(L34/$G$6,"")&lt;&gt;0))),"", IFERROR(L34/$L$6,""))</f>
      </c>
      <c r="N34" s="73">
        <f>SUMIFS(
INDEX('ETPT Format DDG'!$A:$ZZ,,IFERROR(MATCH(E34,'ETPT Format DDG'!$2:$2,0),MATCH(C34,'ETPT Format DDG'!$2:$2,0))),
INDEX( 'ETPT Format DDG'!$A:$ZZ,,MATCH("Fonction agrégat",'ETPT Format DDG'!2:2,0)),"F-TIT",
INDEX( 'ETPT Format DDG'!$A:$ZZ,,MATCH("Juridiction",'ETPT Format DDG'!2:2,0)),$A$3)</f>
      </c>
      <c r="O34" s="72">
        <f>IF(AND(OR(LEFT(C34,3)="12.",LEFT(E34,3)="12.",LEFT(E34,5)="CET &gt;",IFERROR(N34/$N$6,"")=0),NOT(AND(LEFT(E34,4)="12.8",IFERROR(G34/$G$6,"")&lt;&gt;0)),NOT(AND(LEFT(E34,5)="12.31",IFERROR(N34/$G$6,"")&lt;&gt;0)),NOT(AND(LEFT(E34,5)="12.32",IFERROR(N34/$G$6,"")&lt;&gt;0))),"",IFERROR(N34/$N$6,""))</f>
      </c>
      <c r="P34" s="73">
        <f>SUMIFS(
INDEX('ETPT Format DDG'!$A:$FB,,IFERROR(MATCH(E34,'ETPT Format DDG'!$2:$2,0),MATCH(C34,'ETPT Format DDG'!$2:$2,0))),
INDEX( 'ETPT Format DDG'!$A:$ZZ,,MATCH("Fonction agrégat",'ETPT Format DDG'!2:2,0)),"F-PLAC-ADD",
INDEX( 'ETPT Format DDG'!$A:$ZZ,,MATCH("Juridiction",'ETPT Format DDG'!2:2,0)),$A$3)</f>
      </c>
      <c r="Q34" s="73">
        <f>SUMIFS(
INDEX('ETPT Format DDG'!$A:$FB,,IFERROR(MATCH(E34,'ETPT Format DDG'!$2:$2,0),MATCH(C34,'ETPT Format DDG'!$2:$2,0))),
INDEX( 'ETPT Format DDG'!$A:$ZZ,,MATCH("Fonction agrégat",'ETPT Format DDG'!2:2,0)),"F-PLAC-SUB",
INDEX( 'ETPT Format DDG'!$A:$ZZ,,MATCH("Juridiction",'ETPT Format DDG'!2:2,0)),$A$3)</f>
      </c>
      <c r="R34" s="73">
        <f>SUMIFS(
INDEX('ETPT Format DDG'!$A:$FB,,IFERROR(MATCH(E34,'ETPT Format DDG'!$2:$2,0),MATCH(C34,'ETPT Format DDG'!$2:$2,0))),
INDEX( 'ETPT Format DDG'!$A:$ZZ,,MATCH("Fonction agrégat",'ETPT Format DDG'!2:2,0)),"C",
'ETPT Format DDG'!$H:$H,"Greffe",
INDEX( 'ETPT Format DDG'!$A:$ZZ,,MATCH("Juridiction",'ETPT Format DDG'!2:2,0)),$A$3)</f>
      </c>
      <c r="S34" s="71">
        <f>SUMIFS(
INDEX('ETPT Format DDG'!$A:$FB,,IFERROR(MATCH(E34,'ETPT Format DDG'!$2:$2,0),MATCH(C34,'ETPT Format DDG'!$2:$2,0))),
INDEX( 'ETPT Format DDG'!$A:$ZZ,,MATCH("Catégorie",'ETPT Format DDG'!2:2,0)),"Greffe",
INDEX( 'ETPT Format DDG'!$A:$ZZ,,MATCH("Juridiction",'ETPT Format DDG'!2:2,0)),$A$3)</f>
      </c>
      <c r="T34" s="72">
        <f>IF(AND(OR(LEFT(C34,3)="12.",LEFT(E34,3)="12.",LEFT(E34,5)="CET &gt;",IFERROR(S34/$S$6,"")=0),NOT(AND(LEFT(E34,4)="12.8",IFERROR(G34/$G$6,"")&lt;&gt;0)),NOT(AND(LEFT(E34,5)="12.31",IFERROR(S34/$G$6,"")&lt;&gt;0)),NOT(AND(LEFT(E34,5)="12.32",IFERROR(S34/$G$6,"")&lt;&gt;0))),"", IFERROR(S34/$S$6,""))</f>
      </c>
      <c r="U34" s="71">
        <f>SUMIFS(
INDEX('ETPT Format DDG'!$A:$FB,,IFERROR(MATCH(E34,'ETPT Format DDG'!$2:$2,0),MATCH(C34,'ETPT Format DDG'!$2:$2,0))),
INDEX( 'ETPT Format DDG'!$A:$ZZ,,MATCH("Fonction agrégat",'ETPT Format DDG'!2:2,0)),"C",
INDEX( 'ETPT Format DDG'!$A:$ZZ,,MATCH("Juridiction",'ETPT Format DDG'!2:2,0)),$A$3,
INDEX( 'ETPT Format DDG'!$A:$ZZ,,MATCH("Catégorie",'ETPT Format DDG'!2:2,0)),"Autour du magistrat")</f>
      </c>
      <c r="V34" s="74">
        <f>IF(AND(OR(LEFT(C34,3)="12.",LEFT(E34,3)="12.",LEFT(E34,5)="CET &gt;",IFERROR(U34/$U$6,"")=0),NOT(AND(LEFT(E34,4)="12.8",IFERROR(G34/$G$6,"")&lt;&gt;0)),NOT(AND(LEFT(E34,5)="12.31",IFERROR(U34/$G$6,"")&lt;&gt;0)),NOT(AND(LEFT(E34,5)="12.32",IFERROR(U34/$G$6,"")&lt;&gt;0))),"", IFERROR(U34/$U$6,""))</f>
      </c>
    </row>
    <row r="35" ht="16" customHeight="1" spans="1:23" x14ac:dyDescent="0.25">
      <c r="A35" s="40"/>
      <c r="C35" s="68"/>
      <c r="D35" s="68"/>
      <c r="E35" s="69" t="s">
        <v>70</v>
      </c>
      <c r="F35" s="70" t="s">
        <v>70</v>
      </c>
      <c r="G35" s="71">
        <f>SUMIFS(
INDEX('ETPT Format DDG'!$A:$ZZ,,IFERROR(MATCH(E35,'ETPT Format DDG'!$2:$2,0),MATCH(C35,'ETPT Format DDG'!$2:$2,0))),
INDEX( 'ETPT Format DDG'!$A:$ZZ,,MATCH("Fonction agrégat",'ETPT Format DDG'!2:2,0)),"M-TIT",
INDEX( 'ETPT Format DDG'!$A:$ZZ,,MATCH("Juridiction",'ETPT Format DDG'!2:2,0)),$A$3)</f>
      </c>
      <c r="H35" s="72">
        <f>IF(AND(OR(LEFT(C35,3)="12.",LEFT(E35,3)="12.",LEFT(E35,5)="CET &gt;",IFERROR(G35/$G$6,"")=0),NOT(AND(LEFT(E35,4)="12.8",IFERROR(G35/$G$6,"")&lt;&gt;0)),NOT(AND(LEFT(E35,5)="12.31",IFERROR(G35/$G$6,"")&lt;&gt;0)),NOT(AND(LEFT(E35,5)="12.32",IFERROR(G35/$G$6,"")&lt;&gt;0))),"", IFERROR(G35/$G$6,""))</f>
      </c>
      <c r="I35" s="73">
        <f>SUMIFS(
INDEX('ETPT Format DDG'!$A:$ZZ,,IFERROR(MATCH(E35,'ETPT Format DDG'!$2:$2,0),MATCH(C35,'ETPT Format DDG'!$2:$2,0))),
INDEX( 'ETPT Format DDG'!$A:$ZZ,,MATCH("Fonction agrégat",'ETPT Format DDG'!2:2,0)),"M-PLAC-ADD",
INDEX( 'ETPT Format DDG'!$A:$ZZ,,MATCH("Juridiction",'ETPT Format DDG'!2:2,0)),$A$3)</f>
      </c>
      <c r="J35" s="73">
        <f>SUMIFS(
INDEX('ETPT Format DDG'!$A:$ZZ,,IFERROR(MATCH(E35,'ETPT Format DDG'!$2:$2,0),MATCH(C35,'ETPT Format DDG'!$2:$2,0))),
INDEX( 'ETPT Format DDG'!$A:$ZZ,,MATCH("Fonction agrégat",'ETPT Format DDG'!2:2,0)),"M-PLAC-SUB",
INDEX( 'ETPT Format DDG'!$A:$ZZ,,MATCH("Juridiction",'ETPT Format DDG'!2:2,0)),$A$3)</f>
      </c>
      <c r="K35" s="73">
        <f>SUMIFS(
INDEX('ETPT Format DDG'!$A:$ZZ,,IFERROR(MATCH(E35,'ETPT Format DDG'!$2:$2,0),MATCH(C35,'ETPT Format DDG'!$2:$2,0))),
INDEX( 'ETPT Format DDG'!$A:$ZZ,,MATCH("Fonction agrégat",'ETPT Format DDG'!2:2,0)),"M-CONT",
INDEX( 'ETPT Format DDG'!$A:$ZZ,,MATCH("Juridiction",'ETPT Format DDG'!2:2,0)),$A$3,
INDEX( 'ETPT Format DDG'!$A:$ZZ,,MATCH("Catégorie",'ETPT Format DDG'!2:2,0)),"Magistrat")</f>
      </c>
      <c r="L35" s="71">
        <f>SUMIFS(
INDEX('ETPT Format DDG'!$A:$ZZ,,IFERROR(MATCH(E35,'ETPT Format DDG'!$2:$2,0),MATCH(C35,'ETPT Format DDG'!$2:$2,0))),
INDEX( 'ETPT Format DDG'!$A:$ZZ,,MATCH("Juridiction",'ETPT Format DDG'!2:2,0)),$A$3,
INDEX( 'ETPT Format DDG'!$A:$ZZ,,MATCH("Catégorie",'ETPT Format DDG'!2:2,0)),"Magistrat")</f>
      </c>
      <c r="M35" s="74">
        <f>IF(AND(OR(LEFT(C35,3)="12.",LEFT(E35,3)="12.",LEFT(E35,5)="CET &gt;", IFERROR(L35/$L$6,"")=0),NOT(AND(LEFT(E35,4)="12.8",IFERROR(G35/$G$6,"")&lt;&gt;0)),NOT(AND(LEFT(E35,5)="12.31",IFERROR(L35/$G$6,"")&lt;&gt;0)),NOT(AND(LEFT(E35,5)="12.32",IFERROR(L35/$G$6,"")&lt;&gt;0))),"", IFERROR(L35/$L$6,""))</f>
      </c>
      <c r="N35" s="73">
        <f>SUMIFS(
INDEX('ETPT Format DDG'!$A:$ZZ,,IFERROR(MATCH(E35,'ETPT Format DDG'!$2:$2,0),MATCH(C35,'ETPT Format DDG'!$2:$2,0))),
INDEX( 'ETPT Format DDG'!$A:$ZZ,,MATCH("Fonction agrégat",'ETPT Format DDG'!2:2,0)),"F-TIT",
INDEX( 'ETPT Format DDG'!$A:$ZZ,,MATCH("Juridiction",'ETPT Format DDG'!2:2,0)),$A$3)</f>
      </c>
      <c r="O35" s="72">
        <f>IF(AND(OR(LEFT(C35,3)="12.",LEFT(E35,3)="12.",LEFT(E35,5)="CET &gt;",IFERROR(N35/$N$6,"")=0),NOT(AND(LEFT(E35,4)="12.8",IFERROR(G35/$G$6,"")&lt;&gt;0)),NOT(AND(LEFT(E35,5)="12.31",IFERROR(N35/$G$6,"")&lt;&gt;0)),NOT(AND(LEFT(E35,5)="12.32",IFERROR(N35/$G$6,"")&lt;&gt;0))),"",IFERROR(N35/$N$6,""))</f>
      </c>
      <c r="P35" s="73">
        <f>SUMIFS(
INDEX('ETPT Format DDG'!$A:$FB,,IFERROR(MATCH(E35,'ETPT Format DDG'!$2:$2,0),MATCH(C35,'ETPT Format DDG'!$2:$2,0))),
INDEX( 'ETPT Format DDG'!$A:$ZZ,,MATCH("Fonction agrégat",'ETPT Format DDG'!2:2,0)),"F-PLAC-ADD",
INDEX( 'ETPT Format DDG'!$A:$ZZ,,MATCH("Juridiction",'ETPT Format DDG'!2:2,0)),$A$3)</f>
      </c>
      <c r="Q35" s="73">
        <f>SUMIFS(
INDEX('ETPT Format DDG'!$A:$FB,,IFERROR(MATCH(E35,'ETPT Format DDG'!$2:$2,0),MATCH(C35,'ETPT Format DDG'!$2:$2,0))),
INDEX( 'ETPT Format DDG'!$A:$ZZ,,MATCH("Fonction agrégat",'ETPT Format DDG'!2:2,0)),"F-PLAC-SUB",
INDEX( 'ETPT Format DDG'!$A:$ZZ,,MATCH("Juridiction",'ETPT Format DDG'!2:2,0)),$A$3)</f>
      </c>
      <c r="R35" s="73">
        <f>SUMIFS(
INDEX('ETPT Format DDG'!$A:$FB,,IFERROR(MATCH(E35,'ETPT Format DDG'!$2:$2,0),MATCH(C35,'ETPT Format DDG'!$2:$2,0))),
INDEX( 'ETPT Format DDG'!$A:$ZZ,,MATCH("Fonction agrégat",'ETPT Format DDG'!2:2,0)),"C",
'ETPT Format DDG'!$H:$H,"Greffe",
INDEX( 'ETPT Format DDG'!$A:$ZZ,,MATCH("Juridiction",'ETPT Format DDG'!2:2,0)),$A$3)</f>
      </c>
      <c r="S35" s="71">
        <f>SUMIFS(
INDEX('ETPT Format DDG'!$A:$FB,,IFERROR(MATCH(E35,'ETPT Format DDG'!$2:$2,0),MATCH(C35,'ETPT Format DDG'!$2:$2,0))),
INDEX( 'ETPT Format DDG'!$A:$ZZ,,MATCH("Catégorie",'ETPT Format DDG'!2:2,0)),"Greffe",
INDEX( 'ETPT Format DDG'!$A:$ZZ,,MATCH("Juridiction",'ETPT Format DDG'!2:2,0)),$A$3)</f>
      </c>
      <c r="T35" s="72">
        <f>IF(AND(OR(LEFT(C35,3)="12.",LEFT(E35,3)="12.",LEFT(E35,5)="CET &gt;",IFERROR(S35/$S$6,"")=0),NOT(AND(LEFT(E35,4)="12.8",IFERROR(G35/$G$6,"")&lt;&gt;0)),NOT(AND(LEFT(E35,5)="12.31",IFERROR(S35/$G$6,"")&lt;&gt;0)),NOT(AND(LEFT(E35,5)="12.32",IFERROR(S35/$G$6,"")&lt;&gt;0))),"", IFERROR(S35/$S$6,""))</f>
      </c>
      <c r="U35" s="71">
        <f>SUMIFS(
INDEX('ETPT Format DDG'!$A:$FB,,IFERROR(MATCH(E35,'ETPT Format DDG'!$2:$2,0),MATCH(C35,'ETPT Format DDG'!$2:$2,0))),
INDEX( 'ETPT Format DDG'!$A:$ZZ,,MATCH("Fonction agrégat",'ETPT Format DDG'!2:2,0)),"C",
INDEX( 'ETPT Format DDG'!$A:$ZZ,,MATCH("Juridiction",'ETPT Format DDG'!2:2,0)),$A$3,
INDEX( 'ETPT Format DDG'!$A:$ZZ,,MATCH("Catégorie",'ETPT Format DDG'!2:2,0)),"Autour du magistrat")</f>
      </c>
      <c r="V35" s="74">
        <f>IF(AND(OR(LEFT(C35,3)="12.",LEFT(E35,3)="12.",LEFT(E35,5)="CET &gt;",IFERROR(U35/$U$6,"")=0),NOT(AND(LEFT(E35,4)="12.8",IFERROR(G35/$G$6,"")&lt;&gt;0)),NOT(AND(LEFT(E35,5)="12.31",IFERROR(U35/$G$6,"")&lt;&gt;0)),NOT(AND(LEFT(E35,5)="12.32",IFERROR(U35/$G$6,"")&lt;&gt;0))),"", IFERROR(U35/$U$6,""))</f>
      </c>
    </row>
    <row r="36" ht="16" customHeight="1" spans="1:23" x14ac:dyDescent="0.25">
      <c r="A36" s="40"/>
      <c r="C36" s="68"/>
      <c r="D36" s="68"/>
      <c r="E36" s="69" t="s">
        <v>71</v>
      </c>
      <c r="F36" s="70" t="s">
        <v>71</v>
      </c>
      <c r="G36" s="71">
        <f>SUMIFS(
INDEX('ETPT Format DDG'!$A:$ZZ,,IFERROR(MATCH(E36,'ETPT Format DDG'!$2:$2,0),MATCH(C36,'ETPT Format DDG'!$2:$2,0))),
INDEX( 'ETPT Format DDG'!$A:$ZZ,,MATCH("Fonction agrégat",'ETPT Format DDG'!2:2,0)),"M-TIT",
INDEX( 'ETPT Format DDG'!$A:$ZZ,,MATCH("Juridiction",'ETPT Format DDG'!2:2,0)),$A$3)</f>
      </c>
      <c r="H36" s="72">
        <f>IF(AND(OR(LEFT(C36,3)="12.",LEFT(E36,3)="12.",LEFT(E36,5)="CET &gt;",IFERROR(G36/$G$6,"")=0),NOT(AND(LEFT(E36,4)="12.8",IFERROR(G36/$G$6,"")&lt;&gt;0)),NOT(AND(LEFT(E36,5)="12.31",IFERROR(G36/$G$6,"")&lt;&gt;0)),NOT(AND(LEFT(E36,5)="12.32",IFERROR(G36/$G$6,"")&lt;&gt;0))),"", IFERROR(G36/$G$6,""))</f>
      </c>
      <c r="I36" s="73">
        <f>SUMIFS(
INDEX('ETPT Format DDG'!$A:$ZZ,,IFERROR(MATCH(E36,'ETPT Format DDG'!$2:$2,0),MATCH(C36,'ETPT Format DDG'!$2:$2,0))),
INDEX( 'ETPT Format DDG'!$A:$ZZ,,MATCH("Fonction agrégat",'ETPT Format DDG'!2:2,0)),"M-PLAC-ADD",
INDEX( 'ETPT Format DDG'!$A:$ZZ,,MATCH("Juridiction",'ETPT Format DDG'!2:2,0)),$A$3)</f>
      </c>
      <c r="J36" s="73">
        <f>SUMIFS(
INDEX('ETPT Format DDG'!$A:$ZZ,,IFERROR(MATCH(E36,'ETPT Format DDG'!$2:$2,0),MATCH(C36,'ETPT Format DDG'!$2:$2,0))),
INDEX( 'ETPT Format DDG'!$A:$ZZ,,MATCH("Fonction agrégat",'ETPT Format DDG'!2:2,0)),"M-PLAC-SUB",
INDEX( 'ETPT Format DDG'!$A:$ZZ,,MATCH("Juridiction",'ETPT Format DDG'!2:2,0)),$A$3)</f>
      </c>
      <c r="K36" s="73">
        <f>SUMIFS(
INDEX('ETPT Format DDG'!$A:$ZZ,,IFERROR(MATCH(E36,'ETPT Format DDG'!$2:$2,0),MATCH(C36,'ETPT Format DDG'!$2:$2,0))),
INDEX( 'ETPT Format DDG'!$A:$ZZ,,MATCH("Fonction agrégat",'ETPT Format DDG'!2:2,0)),"M-CONT",
INDEX( 'ETPT Format DDG'!$A:$ZZ,,MATCH("Juridiction",'ETPT Format DDG'!2:2,0)),$A$3,
INDEX( 'ETPT Format DDG'!$A:$ZZ,,MATCH("Catégorie",'ETPT Format DDG'!2:2,0)),"Magistrat")</f>
      </c>
      <c r="L36" s="71">
        <f>SUMIFS(
INDEX('ETPT Format DDG'!$A:$ZZ,,IFERROR(MATCH(E36,'ETPT Format DDG'!$2:$2,0),MATCH(C36,'ETPT Format DDG'!$2:$2,0))),
INDEX( 'ETPT Format DDG'!$A:$ZZ,,MATCH("Juridiction",'ETPT Format DDG'!2:2,0)),$A$3,
INDEX( 'ETPT Format DDG'!$A:$ZZ,,MATCH("Catégorie",'ETPT Format DDG'!2:2,0)),"Magistrat")</f>
      </c>
      <c r="M36" s="74">
        <f>IF(AND(OR(LEFT(C36,3)="12.",LEFT(E36,3)="12.",LEFT(E36,5)="CET &gt;", IFERROR(L36/$L$6,"")=0),NOT(AND(LEFT(E36,4)="12.8",IFERROR(G36/$G$6,"")&lt;&gt;0)),NOT(AND(LEFT(E36,5)="12.31",IFERROR(L36/$G$6,"")&lt;&gt;0)),NOT(AND(LEFT(E36,5)="12.32",IFERROR(L36/$G$6,"")&lt;&gt;0))),"", IFERROR(L36/$L$6,""))</f>
      </c>
      <c r="N36" s="73">
        <f>SUMIFS(
INDEX('ETPT Format DDG'!$A:$ZZ,,IFERROR(MATCH(E36,'ETPT Format DDG'!$2:$2,0),MATCH(C36,'ETPT Format DDG'!$2:$2,0))),
INDEX( 'ETPT Format DDG'!$A:$ZZ,,MATCH("Fonction agrégat",'ETPT Format DDG'!2:2,0)),"F-TIT",
INDEX( 'ETPT Format DDG'!$A:$ZZ,,MATCH("Juridiction",'ETPT Format DDG'!2:2,0)),$A$3)</f>
      </c>
      <c r="O36" s="72">
        <f>IF(AND(OR(LEFT(C36,3)="12.",LEFT(E36,3)="12.",LEFT(E36,5)="CET &gt;",IFERROR(N36/$N$6,"")=0),NOT(AND(LEFT(E36,4)="12.8",IFERROR(G36/$G$6,"")&lt;&gt;0)),NOT(AND(LEFT(E36,5)="12.31",IFERROR(N36/$G$6,"")&lt;&gt;0)),NOT(AND(LEFT(E36,5)="12.32",IFERROR(N36/$G$6,"")&lt;&gt;0))),"",IFERROR(N36/$N$6,""))</f>
      </c>
      <c r="P36" s="73">
        <f>SUMIFS(
INDEX('ETPT Format DDG'!$A:$FB,,IFERROR(MATCH(E36,'ETPT Format DDG'!$2:$2,0),MATCH(C36,'ETPT Format DDG'!$2:$2,0))),
INDEX( 'ETPT Format DDG'!$A:$ZZ,,MATCH("Fonction agrégat",'ETPT Format DDG'!2:2,0)),"F-PLAC-ADD",
INDEX( 'ETPT Format DDG'!$A:$ZZ,,MATCH("Juridiction",'ETPT Format DDG'!2:2,0)),$A$3)</f>
      </c>
      <c r="Q36" s="73">
        <f>SUMIFS(
INDEX('ETPT Format DDG'!$A:$FB,,IFERROR(MATCH(E36,'ETPT Format DDG'!$2:$2,0),MATCH(C36,'ETPT Format DDG'!$2:$2,0))),
INDEX( 'ETPT Format DDG'!$A:$ZZ,,MATCH("Fonction agrégat",'ETPT Format DDG'!2:2,0)),"F-PLAC-SUB",
INDEX( 'ETPT Format DDG'!$A:$ZZ,,MATCH("Juridiction",'ETPT Format DDG'!2:2,0)),$A$3)</f>
      </c>
      <c r="R36" s="73">
        <f>SUMIFS(
INDEX('ETPT Format DDG'!$A:$FB,,IFERROR(MATCH(E36,'ETPT Format DDG'!$2:$2,0),MATCH(C36,'ETPT Format DDG'!$2:$2,0))),
INDEX( 'ETPT Format DDG'!$A:$ZZ,,MATCH("Fonction agrégat",'ETPT Format DDG'!2:2,0)),"C",
'ETPT Format DDG'!$H:$H,"Greffe",
INDEX( 'ETPT Format DDG'!$A:$ZZ,,MATCH("Juridiction",'ETPT Format DDG'!2:2,0)),$A$3)</f>
      </c>
      <c r="S36" s="71">
        <f>SUMIFS(
INDEX('ETPT Format DDG'!$A:$FB,,IFERROR(MATCH(E36,'ETPT Format DDG'!$2:$2,0),MATCH(C36,'ETPT Format DDG'!$2:$2,0))),
INDEX( 'ETPT Format DDG'!$A:$ZZ,,MATCH("Catégorie",'ETPT Format DDG'!2:2,0)),"Greffe",
INDEX( 'ETPT Format DDG'!$A:$ZZ,,MATCH("Juridiction",'ETPT Format DDG'!2:2,0)),$A$3)</f>
      </c>
      <c r="T36" s="72">
        <f>IF(AND(OR(LEFT(C36,3)="12.",LEFT(E36,3)="12.",LEFT(E36,5)="CET &gt;",IFERROR(S36/$S$6,"")=0),NOT(AND(LEFT(E36,4)="12.8",IFERROR(G36/$G$6,"")&lt;&gt;0)),NOT(AND(LEFT(E36,5)="12.31",IFERROR(S36/$G$6,"")&lt;&gt;0)),NOT(AND(LEFT(E36,5)="12.32",IFERROR(S36/$G$6,"")&lt;&gt;0))),"", IFERROR(S36/$S$6,""))</f>
      </c>
      <c r="U36" s="71">
        <f>SUMIFS(
INDEX('ETPT Format DDG'!$A:$FB,,IFERROR(MATCH(E36,'ETPT Format DDG'!$2:$2,0),MATCH(C36,'ETPT Format DDG'!$2:$2,0))),
INDEX( 'ETPT Format DDG'!$A:$ZZ,,MATCH("Fonction agrégat",'ETPT Format DDG'!2:2,0)),"C",
INDEX( 'ETPT Format DDG'!$A:$ZZ,,MATCH("Juridiction",'ETPT Format DDG'!2:2,0)),$A$3,
INDEX( 'ETPT Format DDG'!$A:$ZZ,,MATCH("Catégorie",'ETPT Format DDG'!2:2,0)),"Autour du magistrat")</f>
      </c>
      <c r="V36" s="74">
        <f>IF(AND(OR(LEFT(C36,3)="12.",LEFT(E36,3)="12.",LEFT(E36,5)="CET &gt;",IFERROR(U36/$U$6,"")=0),NOT(AND(LEFT(E36,4)="12.8",IFERROR(G36/$G$6,"")&lt;&gt;0)),NOT(AND(LEFT(E36,5)="12.31",IFERROR(U36/$G$6,"")&lt;&gt;0)),NOT(AND(LEFT(E36,5)="12.32",IFERROR(U36/$G$6,"")&lt;&gt;0))),"", IFERROR(U36/$U$6,""))</f>
      </c>
    </row>
    <row r="37" ht="16" customHeight="1" spans="1:23" x14ac:dyDescent="0.25">
      <c r="A37" s="40"/>
      <c r="C37" s="68"/>
      <c r="D37" s="68"/>
      <c r="E37" s="69" t="s">
        <v>72</v>
      </c>
      <c r="F37" s="70" t="s">
        <v>72</v>
      </c>
      <c r="G37" s="71">
        <f>SUMIFS(
INDEX('ETPT Format DDG'!$A:$ZZ,,IFERROR(MATCH(E37,'ETPT Format DDG'!$2:$2,0),MATCH(C37,'ETPT Format DDG'!$2:$2,0))),
INDEX( 'ETPT Format DDG'!$A:$ZZ,,MATCH("Fonction agrégat",'ETPT Format DDG'!2:2,0)),"M-TIT",
INDEX( 'ETPT Format DDG'!$A:$ZZ,,MATCH("Juridiction",'ETPT Format DDG'!2:2,0)),$A$3)</f>
      </c>
      <c r="H37" s="72">
        <f>IF(AND(OR(LEFT(C37,3)="12.",LEFT(E37,3)="12.",LEFT(E37,5)="CET &gt;",IFERROR(G37/$G$6,"")=0),NOT(AND(LEFT(E37,4)="12.8",IFERROR(G37/$G$6,"")&lt;&gt;0)),NOT(AND(LEFT(E37,5)="12.31",IFERROR(G37/$G$6,"")&lt;&gt;0)),NOT(AND(LEFT(E37,5)="12.32",IFERROR(G37/$G$6,"")&lt;&gt;0))),"", IFERROR(G37/$G$6,""))</f>
      </c>
      <c r="I37" s="73">
        <f>SUMIFS(
INDEX('ETPT Format DDG'!$A:$ZZ,,IFERROR(MATCH(E37,'ETPT Format DDG'!$2:$2,0),MATCH(C37,'ETPT Format DDG'!$2:$2,0))),
INDEX( 'ETPT Format DDG'!$A:$ZZ,,MATCH("Fonction agrégat",'ETPT Format DDG'!2:2,0)),"M-PLAC-ADD",
INDEX( 'ETPT Format DDG'!$A:$ZZ,,MATCH("Juridiction",'ETPT Format DDG'!2:2,0)),$A$3)</f>
      </c>
      <c r="J37" s="73">
        <f>SUMIFS(
INDEX('ETPT Format DDG'!$A:$ZZ,,IFERROR(MATCH(E37,'ETPT Format DDG'!$2:$2,0),MATCH(C37,'ETPT Format DDG'!$2:$2,0))),
INDEX( 'ETPT Format DDG'!$A:$ZZ,,MATCH("Fonction agrégat",'ETPT Format DDG'!2:2,0)),"M-PLAC-SUB",
INDEX( 'ETPT Format DDG'!$A:$ZZ,,MATCH("Juridiction",'ETPT Format DDG'!2:2,0)),$A$3)</f>
      </c>
      <c r="K37" s="73">
        <f>SUMIFS(
INDEX('ETPT Format DDG'!$A:$ZZ,,IFERROR(MATCH(E37,'ETPT Format DDG'!$2:$2,0),MATCH(C37,'ETPT Format DDG'!$2:$2,0))),
INDEX( 'ETPT Format DDG'!$A:$ZZ,,MATCH("Fonction agrégat",'ETPT Format DDG'!2:2,0)),"M-CONT",
INDEX( 'ETPT Format DDG'!$A:$ZZ,,MATCH("Juridiction",'ETPT Format DDG'!2:2,0)),$A$3,
INDEX( 'ETPT Format DDG'!$A:$ZZ,,MATCH("Catégorie",'ETPT Format DDG'!2:2,0)),"Magistrat")</f>
      </c>
      <c r="L37" s="71">
        <f>SUMIFS(
INDEX('ETPT Format DDG'!$A:$ZZ,,IFERROR(MATCH(E37,'ETPT Format DDG'!$2:$2,0),MATCH(C37,'ETPT Format DDG'!$2:$2,0))),
INDEX( 'ETPT Format DDG'!$A:$ZZ,,MATCH("Juridiction",'ETPT Format DDG'!2:2,0)),$A$3,
INDEX( 'ETPT Format DDG'!$A:$ZZ,,MATCH("Catégorie",'ETPT Format DDG'!2:2,0)),"Magistrat")</f>
      </c>
      <c r="M37" s="74">
        <f>IF(AND(OR(LEFT(C37,3)="12.",LEFT(E37,3)="12.",LEFT(E37,5)="CET &gt;", IFERROR(L37/$L$6,"")=0),NOT(AND(LEFT(E37,4)="12.8",IFERROR(G37/$G$6,"")&lt;&gt;0)),NOT(AND(LEFT(E37,5)="12.31",IFERROR(L37/$G$6,"")&lt;&gt;0)),NOT(AND(LEFT(E37,5)="12.32",IFERROR(L37/$G$6,"")&lt;&gt;0))),"", IFERROR(L37/$L$6,""))</f>
      </c>
      <c r="N37" s="73">
        <f>SUMIFS(
INDEX('ETPT Format DDG'!$A:$ZZ,,IFERROR(MATCH(E37,'ETPT Format DDG'!$2:$2,0),MATCH(C37,'ETPT Format DDG'!$2:$2,0))),
INDEX( 'ETPT Format DDG'!$A:$ZZ,,MATCH("Fonction agrégat",'ETPT Format DDG'!2:2,0)),"F-TIT",
INDEX( 'ETPT Format DDG'!$A:$ZZ,,MATCH("Juridiction",'ETPT Format DDG'!2:2,0)),$A$3)</f>
      </c>
      <c r="O37" s="72">
        <f>IF(AND(OR(LEFT(C37,3)="12.",LEFT(E37,3)="12.",LEFT(E37,5)="CET &gt;",IFERROR(N37/$N$6,"")=0),NOT(AND(LEFT(E37,4)="12.8",IFERROR(G37/$G$6,"")&lt;&gt;0)),NOT(AND(LEFT(E37,5)="12.31",IFERROR(N37/$G$6,"")&lt;&gt;0)),NOT(AND(LEFT(E37,5)="12.32",IFERROR(N37/$G$6,"")&lt;&gt;0))),"",IFERROR(N37/$N$6,""))</f>
      </c>
      <c r="P37" s="73">
        <f>SUMIFS(
INDEX('ETPT Format DDG'!$A:$FB,,IFERROR(MATCH(E37,'ETPT Format DDG'!$2:$2,0),MATCH(C37,'ETPT Format DDG'!$2:$2,0))),
INDEX( 'ETPT Format DDG'!$A:$ZZ,,MATCH("Fonction agrégat",'ETPT Format DDG'!2:2,0)),"F-PLAC-ADD",
INDEX( 'ETPT Format DDG'!$A:$ZZ,,MATCH("Juridiction",'ETPT Format DDG'!2:2,0)),$A$3)</f>
      </c>
      <c r="Q37" s="73">
        <f>SUMIFS(
INDEX('ETPT Format DDG'!$A:$FB,,IFERROR(MATCH(E37,'ETPT Format DDG'!$2:$2,0),MATCH(C37,'ETPT Format DDG'!$2:$2,0))),
INDEX( 'ETPT Format DDG'!$A:$ZZ,,MATCH("Fonction agrégat",'ETPT Format DDG'!2:2,0)),"F-PLAC-SUB",
INDEX( 'ETPT Format DDG'!$A:$ZZ,,MATCH("Juridiction",'ETPT Format DDG'!2:2,0)),$A$3)</f>
      </c>
      <c r="R37" s="73">
        <f>SUMIFS(
INDEX('ETPT Format DDG'!$A:$FB,,IFERROR(MATCH(E37,'ETPT Format DDG'!$2:$2,0),MATCH(C37,'ETPT Format DDG'!$2:$2,0))),
INDEX( 'ETPT Format DDG'!$A:$ZZ,,MATCH("Fonction agrégat",'ETPT Format DDG'!2:2,0)),"C",
'ETPT Format DDG'!$H:$H,"Greffe",
INDEX( 'ETPT Format DDG'!$A:$ZZ,,MATCH("Juridiction",'ETPT Format DDG'!2:2,0)),$A$3)</f>
      </c>
      <c r="S37" s="71">
        <f>SUMIFS(
INDEX('ETPT Format DDG'!$A:$FB,,IFERROR(MATCH(E37,'ETPT Format DDG'!$2:$2,0),MATCH(C37,'ETPT Format DDG'!$2:$2,0))),
INDEX( 'ETPT Format DDG'!$A:$ZZ,,MATCH("Catégorie",'ETPT Format DDG'!2:2,0)),"Greffe",
INDEX( 'ETPT Format DDG'!$A:$ZZ,,MATCH("Juridiction",'ETPT Format DDG'!2:2,0)),$A$3)</f>
      </c>
      <c r="T37" s="72">
        <f>IF(AND(OR(LEFT(C37,3)="12.",LEFT(E37,3)="12.",LEFT(E37,5)="CET &gt;",IFERROR(S37/$S$6,"")=0),NOT(AND(LEFT(E37,4)="12.8",IFERROR(G37/$G$6,"")&lt;&gt;0)),NOT(AND(LEFT(E37,5)="12.31",IFERROR(S37/$G$6,"")&lt;&gt;0)),NOT(AND(LEFT(E37,5)="12.32",IFERROR(S37/$G$6,"")&lt;&gt;0))),"", IFERROR(S37/$S$6,""))</f>
      </c>
      <c r="U37" s="71">
        <f>SUMIFS(
INDEX('ETPT Format DDG'!$A:$FB,,IFERROR(MATCH(E37,'ETPT Format DDG'!$2:$2,0),MATCH(C37,'ETPT Format DDG'!$2:$2,0))),
INDEX( 'ETPT Format DDG'!$A:$ZZ,,MATCH("Fonction agrégat",'ETPT Format DDG'!2:2,0)),"C",
INDEX( 'ETPT Format DDG'!$A:$ZZ,,MATCH("Juridiction",'ETPT Format DDG'!2:2,0)),$A$3,
INDEX( 'ETPT Format DDG'!$A:$ZZ,,MATCH("Catégorie",'ETPT Format DDG'!2:2,0)),"Autour du magistrat")</f>
      </c>
      <c r="V37" s="74">
        <f>IF(AND(OR(LEFT(C37,3)="12.",LEFT(E37,3)="12.",LEFT(E37,5)="CET &gt;",IFERROR(U37/$U$6,"")=0),NOT(AND(LEFT(E37,4)="12.8",IFERROR(G37/$G$6,"")&lt;&gt;0)),NOT(AND(LEFT(E37,5)="12.31",IFERROR(U37/$G$6,"")&lt;&gt;0)),NOT(AND(LEFT(E37,5)="12.32",IFERROR(U37/$G$6,"")&lt;&gt;0))),"", IFERROR(U37/$U$6,""))</f>
      </c>
    </row>
    <row r="38" ht="16" customHeight="1" spans="1:23" x14ac:dyDescent="0.25">
      <c r="A38" s="40"/>
      <c r="C38" s="68"/>
      <c r="D38" s="68"/>
      <c r="E38" s="69" t="s">
        <v>73</v>
      </c>
      <c r="F38" s="70" t="s">
        <v>73</v>
      </c>
      <c r="G38" s="71">
        <f>SUMIFS(
INDEX('ETPT Format DDG'!$A:$ZZ,,IFERROR(MATCH(E38,'ETPT Format DDG'!$2:$2,0),MATCH(C38,'ETPT Format DDG'!$2:$2,0))),
INDEX( 'ETPT Format DDG'!$A:$ZZ,,MATCH("Fonction agrégat",'ETPT Format DDG'!2:2,0)),"M-TIT",
INDEX( 'ETPT Format DDG'!$A:$ZZ,,MATCH("Juridiction",'ETPT Format DDG'!2:2,0)),$A$3)</f>
      </c>
      <c r="H38" s="72">
        <f>IF(AND(OR(LEFT(C38,3)="12.",LEFT(E38,3)="12.",LEFT(E38,5)="CET &gt;",IFERROR(G38/$G$6,"")=0),NOT(AND(LEFT(E38,4)="12.8",IFERROR(G38/$G$6,"")&lt;&gt;0)),NOT(AND(LEFT(E38,5)="12.31",IFERROR(G38/$G$6,"")&lt;&gt;0)),NOT(AND(LEFT(E38,5)="12.32",IFERROR(G38/$G$6,"")&lt;&gt;0))),"", IFERROR(G38/$G$6,""))</f>
      </c>
      <c r="I38" s="73">
        <f>SUMIFS(
INDEX('ETPT Format DDG'!$A:$ZZ,,IFERROR(MATCH(E38,'ETPT Format DDG'!$2:$2,0),MATCH(C38,'ETPT Format DDG'!$2:$2,0))),
INDEX( 'ETPT Format DDG'!$A:$ZZ,,MATCH("Fonction agrégat",'ETPT Format DDG'!2:2,0)),"M-PLAC-ADD",
INDEX( 'ETPT Format DDG'!$A:$ZZ,,MATCH("Juridiction",'ETPT Format DDG'!2:2,0)),$A$3)</f>
      </c>
      <c r="J38" s="73">
        <f>SUMIFS(
INDEX('ETPT Format DDG'!$A:$ZZ,,IFERROR(MATCH(E38,'ETPT Format DDG'!$2:$2,0),MATCH(C38,'ETPT Format DDG'!$2:$2,0))),
INDEX( 'ETPT Format DDG'!$A:$ZZ,,MATCH("Fonction agrégat",'ETPT Format DDG'!2:2,0)),"M-PLAC-SUB",
INDEX( 'ETPT Format DDG'!$A:$ZZ,,MATCH("Juridiction",'ETPT Format DDG'!2:2,0)),$A$3)</f>
      </c>
      <c r="K38" s="73">
        <f>SUMIFS(
INDEX('ETPT Format DDG'!$A:$ZZ,,IFERROR(MATCH(E38,'ETPT Format DDG'!$2:$2,0),MATCH(C38,'ETPT Format DDG'!$2:$2,0))),
INDEX( 'ETPT Format DDG'!$A:$ZZ,,MATCH("Fonction agrégat",'ETPT Format DDG'!2:2,0)),"M-CONT",
INDEX( 'ETPT Format DDG'!$A:$ZZ,,MATCH("Juridiction",'ETPT Format DDG'!2:2,0)),$A$3,
INDEX( 'ETPT Format DDG'!$A:$ZZ,,MATCH("Catégorie",'ETPT Format DDG'!2:2,0)),"Magistrat")</f>
      </c>
      <c r="L38" s="71">
        <f>SUMIFS(
INDEX('ETPT Format DDG'!$A:$ZZ,,IFERROR(MATCH(E38,'ETPT Format DDG'!$2:$2,0),MATCH(C38,'ETPT Format DDG'!$2:$2,0))),
INDEX( 'ETPT Format DDG'!$A:$ZZ,,MATCH("Juridiction",'ETPT Format DDG'!2:2,0)),$A$3,
INDEX( 'ETPT Format DDG'!$A:$ZZ,,MATCH("Catégorie",'ETPT Format DDG'!2:2,0)),"Magistrat")</f>
      </c>
      <c r="M38" s="74">
        <f>IF(AND(OR(LEFT(C38,3)="12.",LEFT(E38,3)="12.",LEFT(E38,5)="CET &gt;", IFERROR(L38/$L$6,"")=0),NOT(AND(LEFT(E38,4)="12.8",IFERROR(G38/$G$6,"")&lt;&gt;0)),NOT(AND(LEFT(E38,5)="12.31",IFERROR(L38/$G$6,"")&lt;&gt;0)),NOT(AND(LEFT(E38,5)="12.32",IFERROR(L38/$G$6,"")&lt;&gt;0))),"", IFERROR(L38/$L$6,""))</f>
      </c>
      <c r="N38" s="73">
        <f>SUMIFS(
INDEX('ETPT Format DDG'!$A:$ZZ,,IFERROR(MATCH(E38,'ETPT Format DDG'!$2:$2,0),MATCH(C38,'ETPT Format DDG'!$2:$2,0))),
INDEX( 'ETPT Format DDG'!$A:$ZZ,,MATCH("Fonction agrégat",'ETPT Format DDG'!2:2,0)),"F-TIT",
INDEX( 'ETPT Format DDG'!$A:$ZZ,,MATCH("Juridiction",'ETPT Format DDG'!2:2,0)),$A$3)</f>
      </c>
      <c r="O38" s="72">
        <f>IF(AND(OR(LEFT(C38,3)="12.",LEFT(E38,3)="12.",LEFT(E38,5)="CET &gt;",IFERROR(N38/$N$6,"")=0),NOT(AND(LEFT(E38,4)="12.8",IFERROR(G38/$G$6,"")&lt;&gt;0)),NOT(AND(LEFT(E38,5)="12.31",IFERROR(N38/$G$6,"")&lt;&gt;0)),NOT(AND(LEFT(E38,5)="12.32",IFERROR(N38/$G$6,"")&lt;&gt;0))),"",IFERROR(N38/$N$6,""))</f>
      </c>
      <c r="P38" s="73">
        <f>SUMIFS(
INDEX('ETPT Format DDG'!$A:$FB,,IFERROR(MATCH(E38,'ETPT Format DDG'!$2:$2,0),MATCH(C38,'ETPT Format DDG'!$2:$2,0))),
INDEX( 'ETPT Format DDG'!$A:$ZZ,,MATCH("Fonction agrégat",'ETPT Format DDG'!2:2,0)),"F-PLAC-ADD",
INDEX( 'ETPT Format DDG'!$A:$ZZ,,MATCH("Juridiction",'ETPT Format DDG'!2:2,0)),$A$3)</f>
      </c>
      <c r="Q38" s="73">
        <f>SUMIFS(
INDEX('ETPT Format DDG'!$A:$FB,,IFERROR(MATCH(E38,'ETPT Format DDG'!$2:$2,0),MATCH(C38,'ETPT Format DDG'!$2:$2,0))),
INDEX( 'ETPT Format DDG'!$A:$ZZ,,MATCH("Fonction agrégat",'ETPT Format DDG'!2:2,0)),"F-PLAC-SUB",
INDEX( 'ETPT Format DDG'!$A:$ZZ,,MATCH("Juridiction",'ETPT Format DDG'!2:2,0)),$A$3)</f>
      </c>
      <c r="R38" s="73">
        <f>SUMIFS(
INDEX('ETPT Format DDG'!$A:$FB,,IFERROR(MATCH(E38,'ETPT Format DDG'!$2:$2,0),MATCH(C38,'ETPT Format DDG'!$2:$2,0))),
INDEX( 'ETPT Format DDG'!$A:$ZZ,,MATCH("Fonction agrégat",'ETPT Format DDG'!2:2,0)),"C",
'ETPT Format DDG'!$H:$H,"Greffe",
INDEX( 'ETPT Format DDG'!$A:$ZZ,,MATCH("Juridiction",'ETPT Format DDG'!2:2,0)),$A$3)</f>
      </c>
      <c r="S38" s="71">
        <f>SUMIFS(
INDEX('ETPT Format DDG'!$A:$FB,,IFERROR(MATCH(E38,'ETPT Format DDG'!$2:$2,0),MATCH(C38,'ETPT Format DDG'!$2:$2,0))),
INDEX( 'ETPT Format DDG'!$A:$ZZ,,MATCH("Catégorie",'ETPT Format DDG'!2:2,0)),"Greffe",
INDEX( 'ETPT Format DDG'!$A:$ZZ,,MATCH("Juridiction",'ETPT Format DDG'!2:2,0)),$A$3)</f>
      </c>
      <c r="T38" s="72">
        <f>IF(AND(OR(LEFT(C38,3)="12.",LEFT(E38,3)="12.",LEFT(E38,5)="CET &gt;",IFERROR(S38/$S$6,"")=0),NOT(AND(LEFT(E38,4)="12.8",IFERROR(G38/$G$6,"")&lt;&gt;0)),NOT(AND(LEFT(E38,5)="12.31",IFERROR(S38/$G$6,"")&lt;&gt;0)),NOT(AND(LEFT(E38,5)="12.32",IFERROR(S38/$G$6,"")&lt;&gt;0))),"", IFERROR(S38/$S$6,""))</f>
      </c>
      <c r="U38" s="71">
        <f>SUMIFS(
INDEX('ETPT Format DDG'!$A:$FB,,IFERROR(MATCH(E38,'ETPT Format DDG'!$2:$2,0),MATCH(C38,'ETPT Format DDG'!$2:$2,0))),
INDEX( 'ETPT Format DDG'!$A:$ZZ,,MATCH("Fonction agrégat",'ETPT Format DDG'!2:2,0)),"C",
INDEX( 'ETPT Format DDG'!$A:$ZZ,,MATCH("Juridiction",'ETPT Format DDG'!2:2,0)),$A$3,
INDEX( 'ETPT Format DDG'!$A:$ZZ,,MATCH("Catégorie",'ETPT Format DDG'!2:2,0)),"Autour du magistrat")</f>
      </c>
      <c r="V38" s="74">
        <f>IF(AND(OR(LEFT(C38,3)="12.",LEFT(E38,3)="12.",LEFT(E38,5)="CET &gt;",IFERROR(U38/$U$6,"")=0),NOT(AND(LEFT(E38,4)="12.8",IFERROR(G38/$G$6,"")&lt;&gt;0)),NOT(AND(LEFT(E38,5)="12.31",IFERROR(U38/$G$6,"")&lt;&gt;0)),NOT(AND(LEFT(E38,5)="12.32",IFERROR(U38/$G$6,"")&lt;&gt;0))),"", IFERROR(U38/$U$6,""))</f>
      </c>
    </row>
    <row r="39" ht="16" customHeight="1" spans="1:23" x14ac:dyDescent="0.25">
      <c r="A39" s="40"/>
      <c r="C39" s="68"/>
      <c r="D39" s="68"/>
      <c r="E39" s="69" t="s">
        <v>74</v>
      </c>
      <c r="F39" s="70" t="s">
        <v>74</v>
      </c>
      <c r="G39" s="71">
        <f>SUMIFS(
INDEX('ETPT Format DDG'!$A:$ZZ,,IFERROR(MATCH(E39,'ETPT Format DDG'!$2:$2,0),MATCH(C39,'ETPT Format DDG'!$2:$2,0))),
INDEX( 'ETPT Format DDG'!$A:$ZZ,,MATCH("Fonction agrégat",'ETPT Format DDG'!2:2,0)),"M-TIT",
INDEX( 'ETPT Format DDG'!$A:$ZZ,,MATCH("Juridiction",'ETPT Format DDG'!2:2,0)),$A$3)</f>
      </c>
      <c r="H39" s="72">
        <f>IF(AND(OR(LEFT(C39,3)="12.",LEFT(E39,3)="12.",LEFT(E39,5)="CET &gt;",IFERROR(G39/$G$6,"")=0),NOT(AND(LEFT(E39,4)="12.8",IFERROR(G39/$G$6,"")&lt;&gt;0)),NOT(AND(LEFT(E39,5)="12.31",IFERROR(G39/$G$6,"")&lt;&gt;0)),NOT(AND(LEFT(E39,5)="12.32",IFERROR(G39/$G$6,"")&lt;&gt;0))),"", IFERROR(G39/$G$6,""))</f>
      </c>
      <c r="I39" s="73">
        <f>SUMIFS(
INDEX('ETPT Format DDG'!$A:$ZZ,,IFERROR(MATCH(E39,'ETPT Format DDG'!$2:$2,0),MATCH(C39,'ETPT Format DDG'!$2:$2,0))),
INDEX( 'ETPT Format DDG'!$A:$ZZ,,MATCH("Fonction agrégat",'ETPT Format DDG'!2:2,0)),"M-PLAC-ADD",
INDEX( 'ETPT Format DDG'!$A:$ZZ,,MATCH("Juridiction",'ETPT Format DDG'!2:2,0)),$A$3)</f>
      </c>
      <c r="J39" s="73">
        <f>SUMIFS(
INDEX('ETPT Format DDG'!$A:$ZZ,,IFERROR(MATCH(E39,'ETPT Format DDG'!$2:$2,0),MATCH(C39,'ETPT Format DDG'!$2:$2,0))),
INDEX( 'ETPT Format DDG'!$A:$ZZ,,MATCH("Fonction agrégat",'ETPT Format DDG'!2:2,0)),"M-PLAC-SUB",
INDEX( 'ETPT Format DDG'!$A:$ZZ,,MATCH("Juridiction",'ETPT Format DDG'!2:2,0)),$A$3)</f>
      </c>
      <c r="K39" s="73">
        <f>SUMIFS(
INDEX('ETPT Format DDG'!$A:$ZZ,,IFERROR(MATCH(E39,'ETPT Format DDG'!$2:$2,0),MATCH(C39,'ETPT Format DDG'!$2:$2,0))),
INDEX( 'ETPT Format DDG'!$A:$ZZ,,MATCH("Fonction agrégat",'ETPT Format DDG'!2:2,0)),"M-CONT",
INDEX( 'ETPT Format DDG'!$A:$ZZ,,MATCH("Juridiction",'ETPT Format DDG'!2:2,0)),$A$3,
INDEX( 'ETPT Format DDG'!$A:$ZZ,,MATCH("Catégorie",'ETPT Format DDG'!2:2,0)),"Magistrat")</f>
      </c>
      <c r="L39" s="71">
        <f>SUMIFS(
INDEX('ETPT Format DDG'!$A:$ZZ,,IFERROR(MATCH(E39,'ETPT Format DDG'!$2:$2,0),MATCH(C39,'ETPT Format DDG'!$2:$2,0))),
INDEX( 'ETPT Format DDG'!$A:$ZZ,,MATCH("Juridiction",'ETPT Format DDG'!2:2,0)),$A$3,
INDEX( 'ETPT Format DDG'!$A:$ZZ,,MATCH("Catégorie",'ETPT Format DDG'!2:2,0)),"Magistrat")</f>
      </c>
      <c r="M39" s="74">
        <f>IF(AND(OR(LEFT(C39,3)="12.",LEFT(E39,3)="12.",LEFT(E39,5)="CET &gt;", IFERROR(L39/$L$6,"")=0),NOT(AND(LEFT(E39,4)="12.8",IFERROR(G39/$G$6,"")&lt;&gt;0)),NOT(AND(LEFT(E39,5)="12.31",IFERROR(L39/$G$6,"")&lt;&gt;0)),NOT(AND(LEFT(E39,5)="12.32",IFERROR(L39/$G$6,"")&lt;&gt;0))),"", IFERROR(L39/$L$6,""))</f>
      </c>
      <c r="N39" s="73">
        <f>SUMIFS(
INDEX('ETPT Format DDG'!$A:$ZZ,,IFERROR(MATCH(E39,'ETPT Format DDG'!$2:$2,0),MATCH(C39,'ETPT Format DDG'!$2:$2,0))),
INDEX( 'ETPT Format DDG'!$A:$ZZ,,MATCH("Fonction agrégat",'ETPT Format DDG'!2:2,0)),"F-TIT",
INDEX( 'ETPT Format DDG'!$A:$ZZ,,MATCH("Juridiction",'ETPT Format DDG'!2:2,0)),$A$3)</f>
      </c>
      <c r="O39" s="72">
        <f>IF(AND(OR(LEFT(C39,3)="12.",LEFT(E39,3)="12.",LEFT(E39,5)="CET &gt;",IFERROR(N39/$N$6,"")=0),NOT(AND(LEFT(E39,4)="12.8",IFERROR(G39/$G$6,"")&lt;&gt;0)),NOT(AND(LEFT(E39,5)="12.31",IFERROR(N39/$G$6,"")&lt;&gt;0)),NOT(AND(LEFT(E39,5)="12.32",IFERROR(N39/$G$6,"")&lt;&gt;0))),"",IFERROR(N39/$N$6,""))</f>
      </c>
      <c r="P39" s="73">
        <f>SUMIFS(
INDEX('ETPT Format DDG'!$A:$FB,,IFERROR(MATCH(E39,'ETPT Format DDG'!$2:$2,0),MATCH(C39,'ETPT Format DDG'!$2:$2,0))),
INDEX( 'ETPT Format DDG'!$A:$ZZ,,MATCH("Fonction agrégat",'ETPT Format DDG'!2:2,0)),"F-PLAC-ADD",
INDEX( 'ETPT Format DDG'!$A:$ZZ,,MATCH("Juridiction",'ETPT Format DDG'!2:2,0)),$A$3)</f>
      </c>
      <c r="Q39" s="73">
        <f>SUMIFS(
INDEX('ETPT Format DDG'!$A:$FB,,IFERROR(MATCH(E39,'ETPT Format DDG'!$2:$2,0),MATCH(C39,'ETPT Format DDG'!$2:$2,0))),
INDEX( 'ETPT Format DDG'!$A:$ZZ,,MATCH("Fonction agrégat",'ETPT Format DDG'!2:2,0)),"F-PLAC-SUB",
INDEX( 'ETPT Format DDG'!$A:$ZZ,,MATCH("Juridiction",'ETPT Format DDG'!2:2,0)),$A$3)</f>
      </c>
      <c r="R39" s="73">
        <f>SUMIFS(
INDEX('ETPT Format DDG'!$A:$FB,,IFERROR(MATCH(E39,'ETPT Format DDG'!$2:$2,0),MATCH(C39,'ETPT Format DDG'!$2:$2,0))),
INDEX( 'ETPT Format DDG'!$A:$ZZ,,MATCH("Fonction agrégat",'ETPT Format DDG'!2:2,0)),"C",
'ETPT Format DDG'!$H:$H,"Greffe",
INDEX( 'ETPT Format DDG'!$A:$ZZ,,MATCH("Juridiction",'ETPT Format DDG'!2:2,0)),$A$3)</f>
      </c>
      <c r="S39" s="71">
        <f>SUMIFS(
INDEX('ETPT Format DDG'!$A:$FB,,IFERROR(MATCH(E39,'ETPT Format DDG'!$2:$2,0),MATCH(C39,'ETPT Format DDG'!$2:$2,0))),
INDEX( 'ETPT Format DDG'!$A:$ZZ,,MATCH("Catégorie",'ETPT Format DDG'!2:2,0)),"Greffe",
INDEX( 'ETPT Format DDG'!$A:$ZZ,,MATCH("Juridiction",'ETPT Format DDG'!2:2,0)),$A$3)</f>
      </c>
      <c r="T39" s="72">
        <f>IF(AND(OR(LEFT(C39,3)="12.",LEFT(E39,3)="12.",LEFT(E39,5)="CET &gt;",IFERROR(S39/$S$6,"")=0),NOT(AND(LEFT(E39,4)="12.8",IFERROR(G39/$G$6,"")&lt;&gt;0)),NOT(AND(LEFT(E39,5)="12.31",IFERROR(S39/$G$6,"")&lt;&gt;0)),NOT(AND(LEFT(E39,5)="12.32",IFERROR(S39/$G$6,"")&lt;&gt;0))),"", IFERROR(S39/$S$6,""))</f>
      </c>
      <c r="U39" s="71">
        <f>SUMIFS(
INDEX('ETPT Format DDG'!$A:$FB,,IFERROR(MATCH(E39,'ETPT Format DDG'!$2:$2,0),MATCH(C39,'ETPT Format DDG'!$2:$2,0))),
INDEX( 'ETPT Format DDG'!$A:$ZZ,,MATCH("Fonction agrégat",'ETPT Format DDG'!2:2,0)),"C",
INDEX( 'ETPT Format DDG'!$A:$ZZ,,MATCH("Juridiction",'ETPT Format DDG'!2:2,0)),$A$3,
INDEX( 'ETPT Format DDG'!$A:$ZZ,,MATCH("Catégorie",'ETPT Format DDG'!2:2,0)),"Autour du magistrat")</f>
      </c>
      <c r="V39" s="74">
        <f>IF(AND(OR(LEFT(C39,3)="12.",LEFT(E39,3)="12.",LEFT(E39,5)="CET &gt;",IFERROR(U39/$U$6,"")=0),NOT(AND(LEFT(E39,4)="12.8",IFERROR(G39/$G$6,"")&lt;&gt;0)),NOT(AND(LEFT(E39,5)="12.31",IFERROR(U39/$G$6,"")&lt;&gt;0)),NOT(AND(LEFT(E39,5)="12.32",IFERROR(U39/$G$6,"")&lt;&gt;0))),"", IFERROR(U39/$U$6,""))</f>
      </c>
    </row>
    <row r="40" ht="16" customHeight="1" spans="1:23" x14ac:dyDescent="0.25">
      <c r="A40" s="40"/>
      <c r="C40" s="68"/>
      <c r="D40" s="68"/>
      <c r="E40" s="69" t="s">
        <v>75</v>
      </c>
      <c r="F40" s="70" t="s">
        <v>75</v>
      </c>
      <c r="G40" s="71">
        <f>SUMIFS(
INDEX('ETPT Format DDG'!$A:$ZZ,,IFERROR(MATCH(E40,'ETPT Format DDG'!$2:$2,0),MATCH(C40,'ETPT Format DDG'!$2:$2,0))),
INDEX( 'ETPT Format DDG'!$A:$ZZ,,MATCH("Fonction agrégat",'ETPT Format DDG'!2:2,0)),"M-TIT",
INDEX( 'ETPT Format DDG'!$A:$ZZ,,MATCH("Juridiction",'ETPT Format DDG'!2:2,0)),$A$3)</f>
      </c>
      <c r="H40" s="72">
        <f>IF(AND(OR(LEFT(C40,3)="12.",LEFT(E40,3)="12.",LEFT(E40,5)="CET &gt;",IFERROR(G40/$G$6,"")=0),NOT(AND(LEFT(E40,4)="12.8",IFERROR(G40/$G$6,"")&lt;&gt;0)),NOT(AND(LEFT(E40,5)="12.31",IFERROR(G40/$G$6,"")&lt;&gt;0)),NOT(AND(LEFT(E40,5)="12.32",IFERROR(G40/$G$6,"")&lt;&gt;0))),"", IFERROR(G40/$G$6,""))</f>
      </c>
      <c r="I40" s="73">
        <f>SUMIFS(
INDEX('ETPT Format DDG'!$A:$ZZ,,IFERROR(MATCH(E40,'ETPT Format DDG'!$2:$2,0),MATCH(C40,'ETPT Format DDG'!$2:$2,0))),
INDEX( 'ETPT Format DDG'!$A:$ZZ,,MATCH("Fonction agrégat",'ETPT Format DDG'!2:2,0)),"M-PLAC-ADD",
INDEX( 'ETPT Format DDG'!$A:$ZZ,,MATCH("Juridiction",'ETPT Format DDG'!2:2,0)),$A$3)</f>
      </c>
      <c r="J40" s="73">
        <f>SUMIFS(
INDEX('ETPT Format DDG'!$A:$ZZ,,IFERROR(MATCH(E40,'ETPT Format DDG'!$2:$2,0),MATCH(C40,'ETPT Format DDG'!$2:$2,0))),
INDEX( 'ETPT Format DDG'!$A:$ZZ,,MATCH("Fonction agrégat",'ETPT Format DDG'!2:2,0)),"M-PLAC-SUB",
INDEX( 'ETPT Format DDG'!$A:$ZZ,,MATCH("Juridiction",'ETPT Format DDG'!2:2,0)),$A$3)</f>
      </c>
      <c r="K40" s="73">
        <f>SUMIFS(
INDEX('ETPT Format DDG'!$A:$ZZ,,IFERROR(MATCH(E40,'ETPT Format DDG'!$2:$2,0),MATCH(C40,'ETPT Format DDG'!$2:$2,0))),
INDEX( 'ETPT Format DDG'!$A:$ZZ,,MATCH("Fonction agrégat",'ETPT Format DDG'!2:2,0)),"M-CONT",
INDEX( 'ETPT Format DDG'!$A:$ZZ,,MATCH("Juridiction",'ETPT Format DDG'!2:2,0)),$A$3,
INDEX( 'ETPT Format DDG'!$A:$ZZ,,MATCH("Catégorie",'ETPT Format DDG'!2:2,0)),"Magistrat")</f>
      </c>
      <c r="L40" s="71">
        <f>SUMIFS(
INDEX('ETPT Format DDG'!$A:$ZZ,,IFERROR(MATCH(E40,'ETPT Format DDG'!$2:$2,0),MATCH(C40,'ETPT Format DDG'!$2:$2,0))),
INDEX( 'ETPT Format DDG'!$A:$ZZ,,MATCH("Juridiction",'ETPT Format DDG'!2:2,0)),$A$3,
INDEX( 'ETPT Format DDG'!$A:$ZZ,,MATCH("Catégorie",'ETPT Format DDG'!2:2,0)),"Magistrat")</f>
      </c>
      <c r="M40" s="74">
        <f>IF(AND(OR(LEFT(C40,3)="12.",LEFT(E40,3)="12.",LEFT(E40,5)="CET &gt;", IFERROR(L40/$L$6,"")=0),NOT(AND(LEFT(E40,4)="12.8",IFERROR(G40/$G$6,"")&lt;&gt;0)),NOT(AND(LEFT(E40,5)="12.31",IFERROR(L40/$G$6,"")&lt;&gt;0)),NOT(AND(LEFT(E40,5)="12.32",IFERROR(L40/$G$6,"")&lt;&gt;0))),"", IFERROR(L40/$L$6,""))</f>
      </c>
      <c r="N40" s="73">
        <f>SUMIFS(
INDEX('ETPT Format DDG'!$A:$ZZ,,IFERROR(MATCH(E40,'ETPT Format DDG'!$2:$2,0),MATCH(C40,'ETPT Format DDG'!$2:$2,0))),
INDEX( 'ETPT Format DDG'!$A:$ZZ,,MATCH("Fonction agrégat",'ETPT Format DDG'!2:2,0)),"F-TIT",
INDEX( 'ETPT Format DDG'!$A:$ZZ,,MATCH("Juridiction",'ETPT Format DDG'!2:2,0)),$A$3)</f>
      </c>
      <c r="O40" s="72">
        <f>IF(AND(OR(LEFT(C40,3)="12.",LEFT(E40,3)="12.",LEFT(E40,5)="CET &gt;",IFERROR(N40/$N$6,"")=0),NOT(AND(LEFT(E40,4)="12.8",IFERROR(G40/$G$6,"")&lt;&gt;0)),NOT(AND(LEFT(E40,5)="12.31",IFERROR(N40/$G$6,"")&lt;&gt;0)),NOT(AND(LEFT(E40,5)="12.32",IFERROR(N40/$G$6,"")&lt;&gt;0))),"",IFERROR(N40/$N$6,""))</f>
      </c>
      <c r="P40" s="73">
        <f>SUMIFS(
INDEX('ETPT Format DDG'!$A:$FB,,IFERROR(MATCH(E40,'ETPT Format DDG'!$2:$2,0),MATCH(C40,'ETPT Format DDG'!$2:$2,0))),
INDEX( 'ETPT Format DDG'!$A:$ZZ,,MATCH("Fonction agrégat",'ETPT Format DDG'!2:2,0)),"F-PLAC-ADD",
INDEX( 'ETPT Format DDG'!$A:$ZZ,,MATCH("Juridiction",'ETPT Format DDG'!2:2,0)),$A$3)</f>
      </c>
      <c r="Q40" s="73">
        <f>SUMIFS(
INDEX('ETPT Format DDG'!$A:$FB,,IFERROR(MATCH(E40,'ETPT Format DDG'!$2:$2,0),MATCH(C40,'ETPT Format DDG'!$2:$2,0))),
INDEX( 'ETPT Format DDG'!$A:$ZZ,,MATCH("Fonction agrégat",'ETPT Format DDG'!2:2,0)),"F-PLAC-SUB",
INDEX( 'ETPT Format DDG'!$A:$ZZ,,MATCH("Juridiction",'ETPT Format DDG'!2:2,0)),$A$3)</f>
      </c>
      <c r="R40" s="73">
        <f>SUMIFS(
INDEX('ETPT Format DDG'!$A:$FB,,IFERROR(MATCH(E40,'ETPT Format DDG'!$2:$2,0),MATCH(C40,'ETPT Format DDG'!$2:$2,0))),
INDEX( 'ETPT Format DDG'!$A:$ZZ,,MATCH("Fonction agrégat",'ETPT Format DDG'!2:2,0)),"C",
'ETPT Format DDG'!$H:$H,"Greffe",
INDEX( 'ETPT Format DDG'!$A:$ZZ,,MATCH("Juridiction",'ETPT Format DDG'!2:2,0)),$A$3)</f>
      </c>
      <c r="S40" s="71">
        <f>SUMIFS(
INDEX('ETPT Format DDG'!$A:$FB,,IFERROR(MATCH(E40,'ETPT Format DDG'!$2:$2,0),MATCH(C40,'ETPT Format DDG'!$2:$2,0))),
INDEX( 'ETPT Format DDG'!$A:$ZZ,,MATCH("Catégorie",'ETPT Format DDG'!2:2,0)),"Greffe",
INDEX( 'ETPT Format DDG'!$A:$ZZ,,MATCH("Juridiction",'ETPT Format DDG'!2:2,0)),$A$3)</f>
      </c>
      <c r="T40" s="72">
        <f>IF(AND(OR(LEFT(C40,3)="12.",LEFT(E40,3)="12.",LEFT(E40,5)="CET &gt;",IFERROR(S40/$S$6,"")=0),NOT(AND(LEFT(E40,4)="12.8",IFERROR(G40/$G$6,"")&lt;&gt;0)),NOT(AND(LEFT(E40,5)="12.31",IFERROR(S40/$G$6,"")&lt;&gt;0)),NOT(AND(LEFT(E40,5)="12.32",IFERROR(S40/$G$6,"")&lt;&gt;0))),"", IFERROR(S40/$S$6,""))</f>
      </c>
      <c r="U40" s="71">
        <f>SUMIFS(
INDEX('ETPT Format DDG'!$A:$FB,,IFERROR(MATCH(E40,'ETPT Format DDG'!$2:$2,0),MATCH(C40,'ETPT Format DDG'!$2:$2,0))),
INDEX( 'ETPT Format DDG'!$A:$ZZ,,MATCH("Fonction agrégat",'ETPT Format DDG'!2:2,0)),"C",
INDEX( 'ETPT Format DDG'!$A:$ZZ,,MATCH("Juridiction",'ETPT Format DDG'!2:2,0)),$A$3,
INDEX( 'ETPT Format DDG'!$A:$ZZ,,MATCH("Catégorie",'ETPT Format DDG'!2:2,0)),"Autour du magistrat")</f>
      </c>
      <c r="V40" s="74">
        <f>IF(AND(OR(LEFT(C40,3)="12.",LEFT(E40,3)="12.",LEFT(E40,5)="CET &gt;",IFERROR(U40/$U$6,"")=0),NOT(AND(LEFT(E40,4)="12.8",IFERROR(G40/$G$6,"")&lt;&gt;0)),NOT(AND(LEFT(E40,5)="12.31",IFERROR(U40/$G$6,"")&lt;&gt;0)),NOT(AND(LEFT(E40,5)="12.32",IFERROR(U40/$G$6,"")&lt;&gt;0))),"", IFERROR(U40/$U$6,""))</f>
      </c>
    </row>
    <row r="41" ht="16" customHeight="1" spans="1:23" x14ac:dyDescent="0.25">
      <c r="A41" s="40"/>
      <c r="C41" s="68"/>
      <c r="D41" s="68"/>
      <c r="E41" s="69" t="s">
        <v>76</v>
      </c>
      <c r="F41" s="70" t="s">
        <v>76</v>
      </c>
      <c r="G41" s="71">
        <f>SUMIFS(
INDEX('ETPT Format DDG'!$A:$ZZ,,IFERROR(MATCH(E41,'ETPT Format DDG'!$2:$2,0),MATCH(C41,'ETPT Format DDG'!$2:$2,0))),
INDEX( 'ETPT Format DDG'!$A:$ZZ,,MATCH("Fonction agrégat",'ETPT Format DDG'!2:2,0)),"M-TIT",
INDEX( 'ETPT Format DDG'!$A:$ZZ,,MATCH("Juridiction",'ETPT Format DDG'!2:2,0)),$A$3)</f>
      </c>
      <c r="H41" s="72">
        <f>IF(AND(OR(LEFT(C41,3)="12.",LEFT(E41,3)="12.",LEFT(E41,5)="CET &gt;",IFERROR(G41/$G$6,"")=0),NOT(AND(LEFT(E41,4)="12.8",IFERROR(G41/$G$6,"")&lt;&gt;0)),NOT(AND(LEFT(E41,5)="12.31",IFERROR(G41/$G$6,"")&lt;&gt;0)),NOT(AND(LEFT(E41,5)="12.32",IFERROR(G41/$G$6,"")&lt;&gt;0))),"", IFERROR(G41/$G$6,""))</f>
      </c>
      <c r="I41" s="73">
        <f>SUMIFS(
INDEX('ETPT Format DDG'!$A:$ZZ,,IFERROR(MATCH(E41,'ETPT Format DDG'!$2:$2,0),MATCH(C41,'ETPT Format DDG'!$2:$2,0))),
INDEX( 'ETPT Format DDG'!$A:$ZZ,,MATCH("Fonction agrégat",'ETPT Format DDG'!2:2,0)),"M-PLAC-ADD",
INDEX( 'ETPT Format DDG'!$A:$ZZ,,MATCH("Juridiction",'ETPT Format DDG'!2:2,0)),$A$3)</f>
      </c>
      <c r="J41" s="73">
        <f>SUMIFS(
INDEX('ETPT Format DDG'!$A:$ZZ,,IFERROR(MATCH(E41,'ETPT Format DDG'!$2:$2,0),MATCH(C41,'ETPT Format DDG'!$2:$2,0))),
INDEX( 'ETPT Format DDG'!$A:$ZZ,,MATCH("Fonction agrégat",'ETPT Format DDG'!2:2,0)),"M-PLAC-SUB",
INDEX( 'ETPT Format DDG'!$A:$ZZ,,MATCH("Juridiction",'ETPT Format DDG'!2:2,0)),$A$3)</f>
      </c>
      <c r="K41" s="73">
        <f>SUMIFS(
INDEX('ETPT Format DDG'!$A:$ZZ,,IFERROR(MATCH(E41,'ETPT Format DDG'!$2:$2,0),MATCH(C41,'ETPT Format DDG'!$2:$2,0))),
INDEX( 'ETPT Format DDG'!$A:$ZZ,,MATCH("Fonction agrégat",'ETPT Format DDG'!2:2,0)),"M-CONT",
INDEX( 'ETPT Format DDG'!$A:$ZZ,,MATCH("Juridiction",'ETPT Format DDG'!2:2,0)),$A$3,
INDEX( 'ETPT Format DDG'!$A:$ZZ,,MATCH("Catégorie",'ETPT Format DDG'!2:2,0)),"Magistrat")</f>
      </c>
      <c r="L41" s="71">
        <f>SUMIFS(
INDEX('ETPT Format DDG'!$A:$ZZ,,IFERROR(MATCH(E41,'ETPT Format DDG'!$2:$2,0),MATCH(C41,'ETPT Format DDG'!$2:$2,0))),
INDEX( 'ETPT Format DDG'!$A:$ZZ,,MATCH("Juridiction",'ETPT Format DDG'!2:2,0)),$A$3,
INDEX( 'ETPT Format DDG'!$A:$ZZ,,MATCH("Catégorie",'ETPT Format DDG'!2:2,0)),"Magistrat")</f>
      </c>
      <c r="M41" s="74">
        <f>IF(AND(OR(LEFT(C41,3)="12.",LEFT(E41,3)="12.",LEFT(E41,5)="CET &gt;", IFERROR(L41/$L$6,"")=0),NOT(AND(LEFT(E41,4)="12.8",IFERROR(G41/$G$6,"")&lt;&gt;0)),NOT(AND(LEFT(E41,5)="12.31",IFERROR(L41/$G$6,"")&lt;&gt;0)),NOT(AND(LEFT(E41,5)="12.32",IFERROR(L41/$G$6,"")&lt;&gt;0))),"", IFERROR(L41/$L$6,""))</f>
      </c>
      <c r="N41" s="73">
        <f>SUMIFS(
INDEX('ETPT Format DDG'!$A:$ZZ,,IFERROR(MATCH(E41,'ETPT Format DDG'!$2:$2,0),MATCH(C41,'ETPT Format DDG'!$2:$2,0))),
INDEX( 'ETPT Format DDG'!$A:$ZZ,,MATCH("Fonction agrégat",'ETPT Format DDG'!2:2,0)),"F-TIT",
INDEX( 'ETPT Format DDG'!$A:$ZZ,,MATCH("Juridiction",'ETPT Format DDG'!2:2,0)),$A$3)</f>
      </c>
      <c r="O41" s="72">
        <f>IF(AND(OR(LEFT(C41,3)="12.",LEFT(E41,3)="12.",LEFT(E41,5)="CET &gt;",IFERROR(N41/$N$6,"")=0),NOT(AND(LEFT(E41,4)="12.8",IFERROR(G41/$G$6,"")&lt;&gt;0)),NOT(AND(LEFT(E41,5)="12.31",IFERROR(N41/$G$6,"")&lt;&gt;0)),NOT(AND(LEFT(E41,5)="12.32",IFERROR(N41/$G$6,"")&lt;&gt;0))),"",IFERROR(N41/$N$6,""))</f>
      </c>
      <c r="P41" s="73">
        <f>SUMIFS(
INDEX('ETPT Format DDG'!$A:$FB,,IFERROR(MATCH(E41,'ETPT Format DDG'!$2:$2,0),MATCH(C41,'ETPT Format DDG'!$2:$2,0))),
INDEX( 'ETPT Format DDG'!$A:$ZZ,,MATCH("Fonction agrégat",'ETPT Format DDG'!2:2,0)),"F-PLAC-ADD",
INDEX( 'ETPT Format DDG'!$A:$ZZ,,MATCH("Juridiction",'ETPT Format DDG'!2:2,0)),$A$3)</f>
      </c>
      <c r="Q41" s="73">
        <f>SUMIFS(
INDEX('ETPT Format DDG'!$A:$FB,,IFERROR(MATCH(E41,'ETPT Format DDG'!$2:$2,0),MATCH(C41,'ETPT Format DDG'!$2:$2,0))),
INDEX( 'ETPT Format DDG'!$A:$ZZ,,MATCH("Fonction agrégat",'ETPT Format DDG'!2:2,0)),"F-PLAC-SUB",
INDEX( 'ETPT Format DDG'!$A:$ZZ,,MATCH("Juridiction",'ETPT Format DDG'!2:2,0)),$A$3)</f>
      </c>
      <c r="R41" s="73">
        <f>SUMIFS(
INDEX('ETPT Format DDG'!$A:$FB,,IFERROR(MATCH(E41,'ETPT Format DDG'!$2:$2,0),MATCH(C41,'ETPT Format DDG'!$2:$2,0))),
INDEX( 'ETPT Format DDG'!$A:$ZZ,,MATCH("Fonction agrégat",'ETPT Format DDG'!2:2,0)),"C",
'ETPT Format DDG'!$H:$H,"Greffe",
INDEX( 'ETPT Format DDG'!$A:$ZZ,,MATCH("Juridiction",'ETPT Format DDG'!2:2,0)),$A$3)</f>
      </c>
      <c r="S41" s="71">
        <f>SUMIFS(
INDEX('ETPT Format DDG'!$A:$FB,,IFERROR(MATCH(E41,'ETPT Format DDG'!$2:$2,0),MATCH(C41,'ETPT Format DDG'!$2:$2,0))),
INDEX( 'ETPT Format DDG'!$A:$ZZ,,MATCH("Catégorie",'ETPT Format DDG'!2:2,0)),"Greffe",
INDEX( 'ETPT Format DDG'!$A:$ZZ,,MATCH("Juridiction",'ETPT Format DDG'!2:2,0)),$A$3)</f>
      </c>
      <c r="T41" s="72">
        <f>IF(AND(OR(LEFT(C41,3)="12.",LEFT(E41,3)="12.",LEFT(E41,5)="CET &gt;",IFERROR(S41/$S$6,"")=0),NOT(AND(LEFT(E41,4)="12.8",IFERROR(G41/$G$6,"")&lt;&gt;0)),NOT(AND(LEFT(E41,5)="12.31",IFERROR(S41/$G$6,"")&lt;&gt;0)),NOT(AND(LEFT(E41,5)="12.32",IFERROR(S41/$G$6,"")&lt;&gt;0))),"", IFERROR(S41/$S$6,""))</f>
      </c>
      <c r="U41" s="71">
        <f>SUMIFS(
INDEX('ETPT Format DDG'!$A:$FB,,IFERROR(MATCH(E41,'ETPT Format DDG'!$2:$2,0),MATCH(C41,'ETPT Format DDG'!$2:$2,0))),
INDEX( 'ETPT Format DDG'!$A:$ZZ,,MATCH("Fonction agrégat",'ETPT Format DDG'!2:2,0)),"C",
INDEX( 'ETPT Format DDG'!$A:$ZZ,,MATCH("Juridiction",'ETPT Format DDG'!2:2,0)),$A$3,
INDEX( 'ETPT Format DDG'!$A:$ZZ,,MATCH("Catégorie",'ETPT Format DDG'!2:2,0)),"Autour du magistrat")</f>
      </c>
      <c r="V41" s="74">
        <f>IF(AND(OR(LEFT(C41,3)="12.",LEFT(E41,3)="12.",LEFT(E41,5)="CET &gt;",IFERROR(U41/$U$6,"")=0),NOT(AND(LEFT(E41,4)="12.8",IFERROR(G41/$G$6,"")&lt;&gt;0)),NOT(AND(LEFT(E41,5)="12.31",IFERROR(U41/$G$6,"")&lt;&gt;0)),NOT(AND(LEFT(E41,5)="12.32",IFERROR(U41/$G$6,"")&lt;&gt;0))),"", IFERROR(U41/$U$6,""))</f>
      </c>
    </row>
    <row r="42" ht="16" customHeight="1" spans="1:23" x14ac:dyDescent="0.25">
      <c r="A42" s="40"/>
      <c r="C42" s="68"/>
      <c r="D42" s="68"/>
      <c r="E42" s="69" t="s">
        <v>77</v>
      </c>
      <c r="F42" s="70" t="s">
        <v>77</v>
      </c>
      <c r="G42" s="71">
        <f>SUMIFS(
INDEX('ETPT Format DDG'!$A:$ZZ,,IFERROR(MATCH(E42,'ETPT Format DDG'!$2:$2,0),MATCH(C42,'ETPT Format DDG'!$2:$2,0))),
INDEX( 'ETPT Format DDG'!$A:$ZZ,,MATCH("Fonction agrégat",'ETPT Format DDG'!2:2,0)),"M-TIT",
INDEX( 'ETPT Format DDG'!$A:$ZZ,,MATCH("Juridiction",'ETPT Format DDG'!2:2,0)),$A$3)</f>
      </c>
      <c r="H42" s="72">
        <f>IF(AND(OR(LEFT(C42,3)="12.",LEFT(E42,3)="12.",LEFT(E42,5)="CET &gt;",IFERROR(G42/$G$6,"")=0),NOT(AND(LEFT(E42,4)="12.8",IFERROR(G42/$G$6,"")&lt;&gt;0)),NOT(AND(LEFT(E42,5)="12.31",IFERROR(G42/$G$6,"")&lt;&gt;0)),NOT(AND(LEFT(E42,5)="12.32",IFERROR(G42/$G$6,"")&lt;&gt;0))),"", IFERROR(G42/$G$6,""))</f>
      </c>
      <c r="I42" s="73">
        <f>SUMIFS(
INDEX('ETPT Format DDG'!$A:$ZZ,,IFERROR(MATCH(E42,'ETPT Format DDG'!$2:$2,0),MATCH(C42,'ETPT Format DDG'!$2:$2,0))),
INDEX( 'ETPT Format DDG'!$A:$ZZ,,MATCH("Fonction agrégat",'ETPT Format DDG'!2:2,0)),"M-PLAC-ADD",
INDEX( 'ETPT Format DDG'!$A:$ZZ,,MATCH("Juridiction",'ETPT Format DDG'!2:2,0)),$A$3)</f>
      </c>
      <c r="J42" s="73">
        <f>SUMIFS(
INDEX('ETPT Format DDG'!$A:$ZZ,,IFERROR(MATCH(E42,'ETPT Format DDG'!$2:$2,0),MATCH(C42,'ETPT Format DDG'!$2:$2,0))),
INDEX( 'ETPT Format DDG'!$A:$ZZ,,MATCH("Fonction agrégat",'ETPT Format DDG'!2:2,0)),"M-PLAC-SUB",
INDEX( 'ETPT Format DDG'!$A:$ZZ,,MATCH("Juridiction",'ETPT Format DDG'!2:2,0)),$A$3)</f>
      </c>
      <c r="K42" s="73">
        <f>SUMIFS(
INDEX('ETPT Format DDG'!$A:$ZZ,,IFERROR(MATCH(E42,'ETPT Format DDG'!$2:$2,0),MATCH(C42,'ETPT Format DDG'!$2:$2,0))),
INDEX( 'ETPT Format DDG'!$A:$ZZ,,MATCH("Fonction agrégat",'ETPT Format DDG'!2:2,0)),"M-CONT",
INDEX( 'ETPT Format DDG'!$A:$ZZ,,MATCH("Juridiction",'ETPT Format DDG'!2:2,0)),$A$3,
INDEX( 'ETPT Format DDG'!$A:$ZZ,,MATCH("Catégorie",'ETPT Format DDG'!2:2,0)),"Magistrat")</f>
      </c>
      <c r="L42" s="71">
        <f>SUMIFS(
INDEX('ETPT Format DDG'!$A:$ZZ,,IFERROR(MATCH(E42,'ETPT Format DDG'!$2:$2,0),MATCH(C42,'ETPT Format DDG'!$2:$2,0))),
INDEX( 'ETPT Format DDG'!$A:$ZZ,,MATCH("Juridiction",'ETPT Format DDG'!2:2,0)),$A$3,
INDEX( 'ETPT Format DDG'!$A:$ZZ,,MATCH("Catégorie",'ETPT Format DDG'!2:2,0)),"Magistrat")</f>
      </c>
      <c r="M42" s="74">
        <f>IF(AND(OR(LEFT(C42,3)="12.",LEFT(E42,3)="12.",LEFT(E42,5)="CET &gt;", IFERROR(L42/$L$6,"")=0),NOT(AND(LEFT(E42,4)="12.8",IFERROR(G42/$G$6,"")&lt;&gt;0)),NOT(AND(LEFT(E42,5)="12.31",IFERROR(L42/$G$6,"")&lt;&gt;0)),NOT(AND(LEFT(E42,5)="12.32",IFERROR(L42/$G$6,"")&lt;&gt;0))),"", IFERROR(L42/$L$6,""))</f>
      </c>
      <c r="N42" s="73">
        <f>SUMIFS(
INDEX('ETPT Format DDG'!$A:$ZZ,,IFERROR(MATCH(E42,'ETPT Format DDG'!$2:$2,0),MATCH(C42,'ETPT Format DDG'!$2:$2,0))),
INDEX( 'ETPT Format DDG'!$A:$ZZ,,MATCH("Fonction agrégat",'ETPT Format DDG'!2:2,0)),"F-TIT",
INDEX( 'ETPT Format DDG'!$A:$ZZ,,MATCH("Juridiction",'ETPT Format DDG'!2:2,0)),$A$3)</f>
      </c>
      <c r="O42" s="72">
        <f>IF(AND(OR(LEFT(C42,3)="12.",LEFT(E42,3)="12.",LEFT(E42,5)="CET &gt;",IFERROR(N42/$N$6,"")=0),NOT(AND(LEFT(E42,4)="12.8",IFERROR(G42/$G$6,"")&lt;&gt;0)),NOT(AND(LEFT(E42,5)="12.31",IFERROR(N42/$G$6,"")&lt;&gt;0)),NOT(AND(LEFT(E42,5)="12.32",IFERROR(N42/$G$6,"")&lt;&gt;0))),"",IFERROR(N42/$N$6,""))</f>
      </c>
      <c r="P42" s="73">
        <f>SUMIFS(
INDEX('ETPT Format DDG'!$A:$FB,,IFERROR(MATCH(E42,'ETPT Format DDG'!$2:$2,0),MATCH(C42,'ETPT Format DDG'!$2:$2,0))),
INDEX( 'ETPT Format DDG'!$A:$ZZ,,MATCH("Fonction agrégat",'ETPT Format DDG'!2:2,0)),"F-PLAC-ADD",
INDEX( 'ETPT Format DDG'!$A:$ZZ,,MATCH("Juridiction",'ETPT Format DDG'!2:2,0)),$A$3)</f>
      </c>
      <c r="Q42" s="73">
        <f>SUMIFS(
INDEX('ETPT Format DDG'!$A:$FB,,IFERROR(MATCH(E42,'ETPT Format DDG'!$2:$2,0),MATCH(C42,'ETPT Format DDG'!$2:$2,0))),
INDEX( 'ETPT Format DDG'!$A:$ZZ,,MATCH("Fonction agrégat",'ETPT Format DDG'!2:2,0)),"F-PLAC-SUB",
INDEX( 'ETPT Format DDG'!$A:$ZZ,,MATCH("Juridiction",'ETPT Format DDG'!2:2,0)),$A$3)</f>
      </c>
      <c r="R42" s="73">
        <f>SUMIFS(
INDEX('ETPT Format DDG'!$A:$FB,,IFERROR(MATCH(E42,'ETPT Format DDG'!$2:$2,0),MATCH(C42,'ETPT Format DDG'!$2:$2,0))),
INDEX( 'ETPT Format DDG'!$A:$ZZ,,MATCH("Fonction agrégat",'ETPT Format DDG'!2:2,0)),"C",
'ETPT Format DDG'!$H:$H,"Greffe",
INDEX( 'ETPT Format DDG'!$A:$ZZ,,MATCH("Juridiction",'ETPT Format DDG'!2:2,0)),$A$3)</f>
      </c>
      <c r="S42" s="71">
        <f>SUMIFS(
INDEX('ETPT Format DDG'!$A:$FB,,IFERROR(MATCH(E42,'ETPT Format DDG'!$2:$2,0),MATCH(C42,'ETPT Format DDG'!$2:$2,0))),
INDEX( 'ETPT Format DDG'!$A:$ZZ,,MATCH("Catégorie",'ETPT Format DDG'!2:2,0)),"Greffe",
INDEX( 'ETPT Format DDG'!$A:$ZZ,,MATCH("Juridiction",'ETPT Format DDG'!2:2,0)),$A$3)</f>
      </c>
      <c r="T42" s="72">
        <f>IF(AND(OR(LEFT(C42,3)="12.",LEFT(E42,3)="12.",LEFT(E42,5)="CET &gt;",IFERROR(S42/$S$6,"")=0),NOT(AND(LEFT(E42,4)="12.8",IFERROR(G42/$G$6,"")&lt;&gt;0)),NOT(AND(LEFT(E42,5)="12.31",IFERROR(S42/$G$6,"")&lt;&gt;0)),NOT(AND(LEFT(E42,5)="12.32",IFERROR(S42/$G$6,"")&lt;&gt;0))),"", IFERROR(S42/$S$6,""))</f>
      </c>
      <c r="U42" s="71">
        <f>SUMIFS(
INDEX('ETPT Format DDG'!$A:$FB,,IFERROR(MATCH(E42,'ETPT Format DDG'!$2:$2,0),MATCH(C42,'ETPT Format DDG'!$2:$2,0))),
INDEX( 'ETPT Format DDG'!$A:$ZZ,,MATCH("Fonction agrégat",'ETPT Format DDG'!2:2,0)),"C",
INDEX( 'ETPT Format DDG'!$A:$ZZ,,MATCH("Juridiction",'ETPT Format DDG'!2:2,0)),$A$3,
INDEX( 'ETPT Format DDG'!$A:$ZZ,,MATCH("Catégorie",'ETPT Format DDG'!2:2,0)),"Autour du magistrat")</f>
      </c>
      <c r="V42" s="74">
        <f>IF(AND(OR(LEFT(C42,3)="12.",LEFT(E42,3)="12.",LEFT(E42,5)="CET &gt;",IFERROR(U42/$U$6,"")=0),NOT(AND(LEFT(E42,4)="12.8",IFERROR(G42/$G$6,"")&lt;&gt;0)),NOT(AND(LEFT(E42,5)="12.31",IFERROR(U42/$G$6,"")&lt;&gt;0)),NOT(AND(LEFT(E42,5)="12.32",IFERROR(U42/$G$6,"")&lt;&gt;0))),"", IFERROR(U42/$U$6,""))</f>
      </c>
    </row>
    <row r="43" ht="16" customHeight="1" spans="1:23" x14ac:dyDescent="0.25">
      <c r="A43" s="40"/>
      <c r="C43" s="68"/>
      <c r="D43" s="68"/>
      <c r="E43" s="69" t="s">
        <v>78</v>
      </c>
      <c r="F43" s="70" t="s">
        <v>78</v>
      </c>
      <c r="G43" s="71">
        <f>SUMIFS(
INDEX('ETPT Format DDG'!$A:$ZZ,,IFERROR(MATCH(E43,'ETPT Format DDG'!$2:$2,0),MATCH(C43,'ETPT Format DDG'!$2:$2,0))),
INDEX( 'ETPT Format DDG'!$A:$ZZ,,MATCH("Fonction agrégat",'ETPT Format DDG'!2:2,0)),"M-TIT",
INDEX( 'ETPT Format DDG'!$A:$ZZ,,MATCH("Juridiction",'ETPT Format DDG'!2:2,0)),$A$3)</f>
      </c>
      <c r="H43" s="72">
        <f>IF(AND(OR(LEFT(C43,3)="12.",LEFT(E43,3)="12.",LEFT(E43,5)="CET &gt;",IFERROR(G43/$G$6,"")=0),NOT(AND(LEFT(E43,4)="12.8",IFERROR(G43/$G$6,"")&lt;&gt;0)),NOT(AND(LEFT(E43,5)="12.31",IFERROR(G43/$G$6,"")&lt;&gt;0)),NOT(AND(LEFT(E43,5)="12.32",IFERROR(G43/$G$6,"")&lt;&gt;0))),"", IFERROR(G43/$G$6,""))</f>
      </c>
      <c r="I43" s="73">
        <f>SUMIFS(
INDEX('ETPT Format DDG'!$A:$ZZ,,IFERROR(MATCH(E43,'ETPT Format DDG'!$2:$2,0),MATCH(C43,'ETPT Format DDG'!$2:$2,0))),
INDEX( 'ETPT Format DDG'!$A:$ZZ,,MATCH("Fonction agrégat",'ETPT Format DDG'!2:2,0)),"M-PLAC-ADD",
INDEX( 'ETPT Format DDG'!$A:$ZZ,,MATCH("Juridiction",'ETPT Format DDG'!2:2,0)),$A$3)</f>
      </c>
      <c r="J43" s="73">
        <f>SUMIFS(
INDEX('ETPT Format DDG'!$A:$ZZ,,IFERROR(MATCH(E43,'ETPT Format DDG'!$2:$2,0),MATCH(C43,'ETPT Format DDG'!$2:$2,0))),
INDEX( 'ETPT Format DDG'!$A:$ZZ,,MATCH("Fonction agrégat",'ETPT Format DDG'!2:2,0)),"M-PLAC-SUB",
INDEX( 'ETPT Format DDG'!$A:$ZZ,,MATCH("Juridiction",'ETPT Format DDG'!2:2,0)),$A$3)</f>
      </c>
      <c r="K43" s="73">
        <f>SUMIFS(
INDEX('ETPT Format DDG'!$A:$ZZ,,IFERROR(MATCH(E43,'ETPT Format DDG'!$2:$2,0),MATCH(C43,'ETPT Format DDG'!$2:$2,0))),
INDEX( 'ETPT Format DDG'!$A:$ZZ,,MATCH("Fonction agrégat",'ETPT Format DDG'!2:2,0)),"M-CONT",
INDEX( 'ETPT Format DDG'!$A:$ZZ,,MATCH("Juridiction",'ETPT Format DDG'!2:2,0)),$A$3,
INDEX( 'ETPT Format DDG'!$A:$ZZ,,MATCH("Catégorie",'ETPT Format DDG'!2:2,0)),"Magistrat")</f>
      </c>
      <c r="L43" s="71">
        <f>SUMIFS(
INDEX('ETPT Format DDG'!$A:$ZZ,,IFERROR(MATCH(E43,'ETPT Format DDG'!$2:$2,0),MATCH(C43,'ETPT Format DDG'!$2:$2,0))),
INDEX( 'ETPT Format DDG'!$A:$ZZ,,MATCH("Juridiction",'ETPT Format DDG'!2:2,0)),$A$3,
INDEX( 'ETPT Format DDG'!$A:$ZZ,,MATCH("Catégorie",'ETPT Format DDG'!2:2,0)),"Magistrat")</f>
      </c>
      <c r="M43" s="74">
        <f>IF(AND(OR(LEFT(C43,3)="12.",LEFT(E43,3)="12.",LEFT(E43,5)="CET &gt;", IFERROR(L43/$L$6,"")=0),NOT(AND(LEFT(E43,4)="12.8",IFERROR(G43/$G$6,"")&lt;&gt;0)),NOT(AND(LEFT(E43,5)="12.31",IFERROR(L43/$G$6,"")&lt;&gt;0)),NOT(AND(LEFT(E43,5)="12.32",IFERROR(L43/$G$6,"")&lt;&gt;0))),"", IFERROR(L43/$L$6,""))</f>
      </c>
      <c r="N43" s="73">
        <f>SUMIFS(
INDEX('ETPT Format DDG'!$A:$ZZ,,IFERROR(MATCH(E43,'ETPT Format DDG'!$2:$2,0),MATCH(C43,'ETPT Format DDG'!$2:$2,0))),
INDEX( 'ETPT Format DDG'!$A:$ZZ,,MATCH("Fonction agrégat",'ETPT Format DDG'!2:2,0)),"F-TIT",
INDEX( 'ETPT Format DDG'!$A:$ZZ,,MATCH("Juridiction",'ETPT Format DDG'!2:2,0)),$A$3)</f>
      </c>
      <c r="O43" s="72">
        <f>IF(AND(OR(LEFT(C43,3)="12.",LEFT(E43,3)="12.",LEFT(E43,5)="CET &gt;",IFERROR(N43/$N$6,"")=0),NOT(AND(LEFT(E43,4)="12.8",IFERROR(G43/$G$6,"")&lt;&gt;0)),NOT(AND(LEFT(E43,5)="12.31",IFERROR(N43/$G$6,"")&lt;&gt;0)),NOT(AND(LEFT(E43,5)="12.32",IFERROR(N43/$G$6,"")&lt;&gt;0))),"",IFERROR(N43/$N$6,""))</f>
      </c>
      <c r="P43" s="73">
        <f>SUMIFS(
INDEX('ETPT Format DDG'!$A:$FB,,IFERROR(MATCH(E43,'ETPT Format DDG'!$2:$2,0),MATCH(C43,'ETPT Format DDG'!$2:$2,0))),
INDEX( 'ETPT Format DDG'!$A:$ZZ,,MATCH("Fonction agrégat",'ETPT Format DDG'!2:2,0)),"F-PLAC-ADD",
INDEX( 'ETPT Format DDG'!$A:$ZZ,,MATCH("Juridiction",'ETPT Format DDG'!2:2,0)),$A$3)</f>
      </c>
      <c r="Q43" s="73">
        <f>SUMIFS(
INDEX('ETPT Format DDG'!$A:$FB,,IFERROR(MATCH(E43,'ETPT Format DDG'!$2:$2,0),MATCH(C43,'ETPT Format DDG'!$2:$2,0))),
INDEX( 'ETPT Format DDG'!$A:$ZZ,,MATCH("Fonction agrégat",'ETPT Format DDG'!2:2,0)),"F-PLAC-SUB",
INDEX( 'ETPT Format DDG'!$A:$ZZ,,MATCH("Juridiction",'ETPT Format DDG'!2:2,0)),$A$3)</f>
      </c>
      <c r="R43" s="73">
        <f>SUMIFS(
INDEX('ETPT Format DDG'!$A:$FB,,IFERROR(MATCH(E43,'ETPT Format DDG'!$2:$2,0),MATCH(C43,'ETPT Format DDG'!$2:$2,0))),
INDEX( 'ETPT Format DDG'!$A:$ZZ,,MATCH("Fonction agrégat",'ETPT Format DDG'!2:2,0)),"C",
'ETPT Format DDG'!$H:$H,"Greffe",
INDEX( 'ETPT Format DDG'!$A:$ZZ,,MATCH("Juridiction",'ETPT Format DDG'!2:2,0)),$A$3)</f>
      </c>
      <c r="S43" s="71">
        <f>SUMIFS(
INDEX('ETPT Format DDG'!$A:$FB,,IFERROR(MATCH(E43,'ETPT Format DDG'!$2:$2,0),MATCH(C43,'ETPT Format DDG'!$2:$2,0))),
INDEX( 'ETPT Format DDG'!$A:$ZZ,,MATCH("Catégorie",'ETPT Format DDG'!2:2,0)),"Greffe",
INDEX( 'ETPT Format DDG'!$A:$ZZ,,MATCH("Juridiction",'ETPT Format DDG'!2:2,0)),$A$3)</f>
      </c>
      <c r="T43" s="72">
        <f>IF(AND(OR(LEFT(C43,3)="12.",LEFT(E43,3)="12.",LEFT(E43,5)="CET &gt;",IFERROR(S43/$S$6,"")=0),NOT(AND(LEFT(E43,4)="12.8",IFERROR(G43/$G$6,"")&lt;&gt;0)),NOT(AND(LEFT(E43,5)="12.31",IFERROR(S43/$G$6,"")&lt;&gt;0)),NOT(AND(LEFT(E43,5)="12.32",IFERROR(S43/$G$6,"")&lt;&gt;0))),"", IFERROR(S43/$S$6,""))</f>
      </c>
      <c r="U43" s="71">
        <f>SUMIFS(
INDEX('ETPT Format DDG'!$A:$FB,,IFERROR(MATCH(E43,'ETPT Format DDG'!$2:$2,0),MATCH(C43,'ETPT Format DDG'!$2:$2,0))),
INDEX( 'ETPT Format DDG'!$A:$ZZ,,MATCH("Fonction agrégat",'ETPT Format DDG'!2:2,0)),"C",
INDEX( 'ETPT Format DDG'!$A:$ZZ,,MATCH("Juridiction",'ETPT Format DDG'!2:2,0)),$A$3,
INDEX( 'ETPT Format DDG'!$A:$ZZ,,MATCH("Catégorie",'ETPT Format DDG'!2:2,0)),"Autour du magistrat")</f>
      </c>
      <c r="V43" s="74">
        <f>IF(AND(OR(LEFT(C43,3)="12.",LEFT(E43,3)="12.",LEFT(E43,5)="CET &gt;",IFERROR(U43/$U$6,"")=0),NOT(AND(LEFT(E43,4)="12.8",IFERROR(G43/$G$6,"")&lt;&gt;0)),NOT(AND(LEFT(E43,5)="12.31",IFERROR(U43/$G$6,"")&lt;&gt;0)),NOT(AND(LEFT(E43,5)="12.32",IFERROR(U43/$G$6,"")&lt;&gt;0))),"", IFERROR(U43/$U$6,""))</f>
      </c>
    </row>
    <row r="44" ht="16" customHeight="1" spans="1:23" x14ac:dyDescent="0.25">
      <c r="A44" s="40"/>
      <c r="C44" s="68"/>
      <c r="D44" s="68"/>
      <c r="E44" s="69" t="s">
        <v>79</v>
      </c>
      <c r="F44" s="70" t="s">
        <v>79</v>
      </c>
      <c r="G44" s="71">
        <f>SUMIFS(
INDEX('ETPT Format DDG'!$A:$ZZ,,IFERROR(MATCH(E44,'ETPT Format DDG'!$2:$2,0),MATCH(C44,'ETPT Format DDG'!$2:$2,0))),
INDEX( 'ETPT Format DDG'!$A:$ZZ,,MATCH("Fonction agrégat",'ETPT Format DDG'!2:2,0)),"M-TIT",
INDEX( 'ETPT Format DDG'!$A:$ZZ,,MATCH("Juridiction",'ETPT Format DDG'!2:2,0)),$A$3)</f>
      </c>
      <c r="H44" s="72">
        <f>IF(AND(OR(LEFT(C44,3)="12.",LEFT(E44,3)="12.",LEFT(E44,5)="CET &gt;",IFERROR(G44/$G$6,"")=0),NOT(AND(LEFT(E44,4)="12.8",IFERROR(G44/$G$6,"")&lt;&gt;0)),NOT(AND(LEFT(E44,5)="12.31",IFERROR(G44/$G$6,"")&lt;&gt;0)),NOT(AND(LEFT(E44,5)="12.32",IFERROR(G44/$G$6,"")&lt;&gt;0))),"", IFERROR(G44/$G$6,""))</f>
      </c>
      <c r="I44" s="73">
        <f>SUMIFS(
INDEX('ETPT Format DDG'!$A:$ZZ,,IFERROR(MATCH(E44,'ETPT Format DDG'!$2:$2,0),MATCH(C44,'ETPT Format DDG'!$2:$2,0))),
INDEX( 'ETPT Format DDG'!$A:$ZZ,,MATCH("Fonction agrégat",'ETPT Format DDG'!2:2,0)),"M-PLAC-ADD",
INDEX( 'ETPT Format DDG'!$A:$ZZ,,MATCH("Juridiction",'ETPT Format DDG'!2:2,0)),$A$3)</f>
      </c>
      <c r="J44" s="73">
        <f>SUMIFS(
INDEX('ETPT Format DDG'!$A:$ZZ,,IFERROR(MATCH(E44,'ETPT Format DDG'!$2:$2,0),MATCH(C44,'ETPT Format DDG'!$2:$2,0))),
INDEX( 'ETPT Format DDG'!$A:$ZZ,,MATCH("Fonction agrégat",'ETPT Format DDG'!2:2,0)),"M-PLAC-SUB",
INDEX( 'ETPT Format DDG'!$A:$ZZ,,MATCH("Juridiction",'ETPT Format DDG'!2:2,0)),$A$3)</f>
      </c>
      <c r="K44" s="73">
        <f>SUMIFS(
INDEX('ETPT Format DDG'!$A:$ZZ,,IFERROR(MATCH(E44,'ETPT Format DDG'!$2:$2,0),MATCH(C44,'ETPT Format DDG'!$2:$2,0))),
INDEX( 'ETPT Format DDG'!$A:$ZZ,,MATCH("Fonction agrégat",'ETPT Format DDG'!2:2,0)),"M-CONT",
INDEX( 'ETPT Format DDG'!$A:$ZZ,,MATCH("Juridiction",'ETPT Format DDG'!2:2,0)),$A$3,
INDEX( 'ETPT Format DDG'!$A:$ZZ,,MATCH("Catégorie",'ETPT Format DDG'!2:2,0)),"Magistrat")</f>
      </c>
      <c r="L44" s="71">
        <f>SUMIFS(
INDEX('ETPT Format DDG'!$A:$ZZ,,IFERROR(MATCH(E44,'ETPT Format DDG'!$2:$2,0),MATCH(C44,'ETPT Format DDG'!$2:$2,0))),
INDEX( 'ETPT Format DDG'!$A:$ZZ,,MATCH("Juridiction",'ETPT Format DDG'!2:2,0)),$A$3,
INDEX( 'ETPT Format DDG'!$A:$ZZ,,MATCH("Catégorie",'ETPT Format DDG'!2:2,0)),"Magistrat")</f>
      </c>
      <c r="M44" s="74">
        <f>IF(AND(OR(LEFT(C44,3)="12.",LEFT(E44,3)="12.",LEFT(E44,5)="CET &gt;", IFERROR(L44/$L$6,"")=0),NOT(AND(LEFT(E44,4)="12.8",IFERROR(G44/$G$6,"")&lt;&gt;0)),NOT(AND(LEFT(E44,5)="12.31",IFERROR(L44/$G$6,"")&lt;&gt;0)),NOT(AND(LEFT(E44,5)="12.32",IFERROR(L44/$G$6,"")&lt;&gt;0))),"", IFERROR(L44/$L$6,""))</f>
      </c>
      <c r="N44" s="73">
        <f>SUMIFS(
INDEX('ETPT Format DDG'!$A:$ZZ,,IFERROR(MATCH(E44,'ETPT Format DDG'!$2:$2,0),MATCH(C44,'ETPT Format DDG'!$2:$2,0))),
INDEX( 'ETPT Format DDG'!$A:$ZZ,,MATCH("Fonction agrégat",'ETPT Format DDG'!2:2,0)),"F-TIT",
INDEX( 'ETPT Format DDG'!$A:$ZZ,,MATCH("Juridiction",'ETPT Format DDG'!2:2,0)),$A$3)</f>
      </c>
      <c r="O44" s="72">
        <f>IF(AND(OR(LEFT(C44,3)="12.",LEFT(E44,3)="12.",LEFT(E44,5)="CET &gt;",IFERROR(N44/$N$6,"")=0),NOT(AND(LEFT(E44,4)="12.8",IFERROR(G44/$G$6,"")&lt;&gt;0)),NOT(AND(LEFT(E44,5)="12.31",IFERROR(N44/$G$6,"")&lt;&gt;0)),NOT(AND(LEFT(E44,5)="12.32",IFERROR(N44/$G$6,"")&lt;&gt;0))),"",IFERROR(N44/$N$6,""))</f>
      </c>
      <c r="P44" s="73">
        <f>SUMIFS(
INDEX('ETPT Format DDG'!$A:$FB,,IFERROR(MATCH(E44,'ETPT Format DDG'!$2:$2,0),MATCH(C44,'ETPT Format DDG'!$2:$2,0))),
INDEX( 'ETPT Format DDG'!$A:$ZZ,,MATCH("Fonction agrégat",'ETPT Format DDG'!2:2,0)),"F-PLAC-ADD",
INDEX( 'ETPT Format DDG'!$A:$ZZ,,MATCH("Juridiction",'ETPT Format DDG'!2:2,0)),$A$3)</f>
      </c>
      <c r="Q44" s="73">
        <f>SUMIFS(
INDEX('ETPT Format DDG'!$A:$FB,,IFERROR(MATCH(E44,'ETPT Format DDG'!$2:$2,0),MATCH(C44,'ETPT Format DDG'!$2:$2,0))),
INDEX( 'ETPT Format DDG'!$A:$ZZ,,MATCH("Fonction agrégat",'ETPT Format DDG'!2:2,0)),"F-PLAC-SUB",
INDEX( 'ETPT Format DDG'!$A:$ZZ,,MATCH("Juridiction",'ETPT Format DDG'!2:2,0)),$A$3)</f>
      </c>
      <c r="R44" s="73">
        <f>SUMIFS(
INDEX('ETPT Format DDG'!$A:$FB,,IFERROR(MATCH(E44,'ETPT Format DDG'!$2:$2,0),MATCH(C44,'ETPT Format DDG'!$2:$2,0))),
INDEX( 'ETPT Format DDG'!$A:$ZZ,,MATCH("Fonction agrégat",'ETPT Format DDG'!2:2,0)),"C",
'ETPT Format DDG'!$H:$H,"Greffe",
INDEX( 'ETPT Format DDG'!$A:$ZZ,,MATCH("Juridiction",'ETPT Format DDG'!2:2,0)),$A$3)</f>
      </c>
      <c r="S44" s="71">
        <f>SUMIFS(
INDEX('ETPT Format DDG'!$A:$FB,,IFERROR(MATCH(E44,'ETPT Format DDG'!$2:$2,0),MATCH(C44,'ETPT Format DDG'!$2:$2,0))),
INDEX( 'ETPT Format DDG'!$A:$ZZ,,MATCH("Catégorie",'ETPT Format DDG'!2:2,0)),"Greffe",
INDEX( 'ETPT Format DDG'!$A:$ZZ,,MATCH("Juridiction",'ETPT Format DDG'!2:2,0)),$A$3)</f>
      </c>
      <c r="T44" s="72">
        <f>IF(AND(OR(LEFT(C44,3)="12.",LEFT(E44,3)="12.",LEFT(E44,5)="CET &gt;",IFERROR(S44/$S$6,"")=0),NOT(AND(LEFT(E44,4)="12.8",IFERROR(G44/$G$6,"")&lt;&gt;0)),NOT(AND(LEFT(E44,5)="12.31",IFERROR(S44/$G$6,"")&lt;&gt;0)),NOT(AND(LEFT(E44,5)="12.32",IFERROR(S44/$G$6,"")&lt;&gt;0))),"", IFERROR(S44/$S$6,""))</f>
      </c>
      <c r="U44" s="71">
        <f>SUMIFS(
INDEX('ETPT Format DDG'!$A:$FB,,IFERROR(MATCH(E44,'ETPT Format DDG'!$2:$2,0),MATCH(C44,'ETPT Format DDG'!$2:$2,0))),
INDEX( 'ETPT Format DDG'!$A:$ZZ,,MATCH("Fonction agrégat",'ETPT Format DDG'!2:2,0)),"C",
INDEX( 'ETPT Format DDG'!$A:$ZZ,,MATCH("Juridiction",'ETPT Format DDG'!2:2,0)),$A$3,
INDEX( 'ETPT Format DDG'!$A:$ZZ,,MATCH("Catégorie",'ETPT Format DDG'!2:2,0)),"Autour du magistrat")</f>
      </c>
      <c r="V44" s="74">
        <f>IF(AND(OR(LEFT(C44,3)="12.",LEFT(E44,3)="12.",LEFT(E44,5)="CET &gt;",IFERROR(U44/$U$6,"")=0),NOT(AND(LEFT(E44,4)="12.8",IFERROR(G44/$G$6,"")&lt;&gt;0)),NOT(AND(LEFT(E44,5)="12.31",IFERROR(U44/$G$6,"")&lt;&gt;0)),NOT(AND(LEFT(E44,5)="12.32",IFERROR(U44/$G$6,"")&lt;&gt;0))),"", IFERROR(U44/$U$6,""))</f>
      </c>
    </row>
    <row r="45" ht="16" customHeight="1" spans="1:23" x14ac:dyDescent="0.25">
      <c r="A45" s="40"/>
      <c r="C45" s="68"/>
      <c r="D45" s="68"/>
      <c r="E45" s="69" t="s">
        <v>80</v>
      </c>
      <c r="F45" s="70" t="s">
        <v>80</v>
      </c>
      <c r="G45" s="71">
        <f>SUMIFS(
INDEX('ETPT Format DDG'!$A:$ZZ,,IFERROR(MATCH(E45,'ETPT Format DDG'!$2:$2,0),MATCH(C45,'ETPT Format DDG'!$2:$2,0))),
INDEX( 'ETPT Format DDG'!$A:$ZZ,,MATCH("Fonction agrégat",'ETPT Format DDG'!2:2,0)),"M-TIT",
INDEX( 'ETPT Format DDG'!$A:$ZZ,,MATCH("Juridiction",'ETPT Format DDG'!2:2,0)),$A$3)</f>
      </c>
      <c r="H45" s="72">
        <f>IF(AND(OR(LEFT(C45,3)="12.",LEFT(E45,3)="12.",LEFT(E45,5)="CET &gt;",IFERROR(G45/$G$6,"")=0),NOT(AND(LEFT(E45,4)="12.8",IFERROR(G45/$G$6,"")&lt;&gt;0)),NOT(AND(LEFT(E45,5)="12.31",IFERROR(G45/$G$6,"")&lt;&gt;0)),NOT(AND(LEFT(E45,5)="12.32",IFERROR(G45/$G$6,"")&lt;&gt;0))),"", IFERROR(G45/$G$6,""))</f>
      </c>
      <c r="I45" s="73">
        <f>SUMIFS(
INDEX('ETPT Format DDG'!$A:$ZZ,,IFERROR(MATCH(E45,'ETPT Format DDG'!$2:$2,0),MATCH(C45,'ETPT Format DDG'!$2:$2,0))),
INDEX( 'ETPT Format DDG'!$A:$ZZ,,MATCH("Fonction agrégat",'ETPT Format DDG'!2:2,0)),"M-PLAC-ADD",
INDEX( 'ETPT Format DDG'!$A:$ZZ,,MATCH("Juridiction",'ETPT Format DDG'!2:2,0)),$A$3)</f>
      </c>
      <c r="J45" s="73">
        <f>SUMIFS(
INDEX('ETPT Format DDG'!$A:$ZZ,,IFERROR(MATCH(E45,'ETPT Format DDG'!$2:$2,0),MATCH(C45,'ETPT Format DDG'!$2:$2,0))),
INDEX( 'ETPT Format DDG'!$A:$ZZ,,MATCH("Fonction agrégat",'ETPT Format DDG'!2:2,0)),"M-PLAC-SUB",
INDEX( 'ETPT Format DDG'!$A:$ZZ,,MATCH("Juridiction",'ETPT Format DDG'!2:2,0)),$A$3)</f>
      </c>
      <c r="K45" s="73">
        <f>SUMIFS(
INDEX('ETPT Format DDG'!$A:$ZZ,,IFERROR(MATCH(E45,'ETPT Format DDG'!$2:$2,0),MATCH(C45,'ETPT Format DDG'!$2:$2,0))),
INDEX( 'ETPT Format DDG'!$A:$ZZ,,MATCH("Fonction agrégat",'ETPT Format DDG'!2:2,0)),"M-CONT",
INDEX( 'ETPT Format DDG'!$A:$ZZ,,MATCH("Juridiction",'ETPT Format DDG'!2:2,0)),$A$3,
INDEX( 'ETPT Format DDG'!$A:$ZZ,,MATCH("Catégorie",'ETPT Format DDG'!2:2,0)),"Magistrat")</f>
      </c>
      <c r="L45" s="71">
        <f>SUMIFS(
INDEX('ETPT Format DDG'!$A:$ZZ,,IFERROR(MATCH(E45,'ETPT Format DDG'!$2:$2,0),MATCH(C45,'ETPT Format DDG'!$2:$2,0))),
INDEX( 'ETPT Format DDG'!$A:$ZZ,,MATCH("Juridiction",'ETPT Format DDG'!2:2,0)),$A$3,
INDEX( 'ETPT Format DDG'!$A:$ZZ,,MATCH("Catégorie",'ETPT Format DDG'!2:2,0)),"Magistrat")</f>
      </c>
      <c r="M45" s="74">
        <f>IF(AND(OR(LEFT(C45,3)="12.",LEFT(E45,3)="12.",LEFT(E45,5)="CET &gt;", IFERROR(L45/$L$6,"")=0),NOT(AND(LEFT(E45,4)="12.8",IFERROR(G45/$G$6,"")&lt;&gt;0)),NOT(AND(LEFT(E45,5)="12.31",IFERROR(L45/$G$6,"")&lt;&gt;0)),NOT(AND(LEFT(E45,5)="12.32",IFERROR(L45/$G$6,"")&lt;&gt;0))),"", IFERROR(L45/$L$6,""))</f>
      </c>
      <c r="N45" s="73">
        <f>SUMIFS(
INDEX('ETPT Format DDG'!$A:$ZZ,,IFERROR(MATCH(E45,'ETPT Format DDG'!$2:$2,0),MATCH(C45,'ETPT Format DDG'!$2:$2,0))),
INDEX( 'ETPT Format DDG'!$A:$ZZ,,MATCH("Fonction agrégat",'ETPT Format DDG'!2:2,0)),"F-TIT",
INDEX( 'ETPT Format DDG'!$A:$ZZ,,MATCH("Juridiction",'ETPT Format DDG'!2:2,0)),$A$3)</f>
      </c>
      <c r="O45" s="72">
        <f>IF(AND(OR(LEFT(C45,3)="12.",LEFT(E45,3)="12.",LEFT(E45,5)="CET &gt;",IFERROR(N45/$N$6,"")=0),NOT(AND(LEFT(E45,4)="12.8",IFERROR(G45/$G$6,"")&lt;&gt;0)),NOT(AND(LEFT(E45,5)="12.31",IFERROR(N45/$G$6,"")&lt;&gt;0)),NOT(AND(LEFT(E45,5)="12.32",IFERROR(N45/$G$6,"")&lt;&gt;0))),"",IFERROR(N45/$N$6,""))</f>
      </c>
      <c r="P45" s="73">
        <f>SUMIFS(
INDEX('ETPT Format DDG'!$A:$FB,,IFERROR(MATCH(E45,'ETPT Format DDG'!$2:$2,0),MATCH(C45,'ETPT Format DDG'!$2:$2,0))),
INDEX( 'ETPT Format DDG'!$A:$ZZ,,MATCH("Fonction agrégat",'ETPT Format DDG'!2:2,0)),"F-PLAC-ADD",
INDEX( 'ETPT Format DDG'!$A:$ZZ,,MATCH("Juridiction",'ETPT Format DDG'!2:2,0)),$A$3)</f>
      </c>
      <c r="Q45" s="73">
        <f>SUMIFS(
INDEX('ETPT Format DDG'!$A:$FB,,IFERROR(MATCH(E45,'ETPT Format DDG'!$2:$2,0),MATCH(C45,'ETPT Format DDG'!$2:$2,0))),
INDEX( 'ETPT Format DDG'!$A:$ZZ,,MATCH("Fonction agrégat",'ETPT Format DDG'!2:2,0)),"F-PLAC-SUB",
INDEX( 'ETPT Format DDG'!$A:$ZZ,,MATCH("Juridiction",'ETPT Format DDG'!2:2,0)),$A$3)</f>
      </c>
      <c r="R45" s="73">
        <f>SUMIFS(
INDEX('ETPT Format DDG'!$A:$FB,,IFERROR(MATCH(E45,'ETPT Format DDG'!$2:$2,0),MATCH(C45,'ETPT Format DDG'!$2:$2,0))),
INDEX( 'ETPT Format DDG'!$A:$ZZ,,MATCH("Fonction agrégat",'ETPT Format DDG'!2:2,0)),"C",
'ETPT Format DDG'!$H:$H,"Greffe",
INDEX( 'ETPT Format DDG'!$A:$ZZ,,MATCH("Juridiction",'ETPT Format DDG'!2:2,0)),$A$3)</f>
      </c>
      <c r="S45" s="71">
        <f>SUMIFS(
INDEX('ETPT Format DDG'!$A:$FB,,IFERROR(MATCH(E45,'ETPT Format DDG'!$2:$2,0),MATCH(C45,'ETPT Format DDG'!$2:$2,0))),
INDEX( 'ETPT Format DDG'!$A:$ZZ,,MATCH("Catégorie",'ETPT Format DDG'!2:2,0)),"Greffe",
INDEX( 'ETPT Format DDG'!$A:$ZZ,,MATCH("Juridiction",'ETPT Format DDG'!2:2,0)),$A$3)</f>
      </c>
      <c r="T45" s="72">
        <f>IF(AND(OR(LEFT(C45,3)="12.",LEFT(E45,3)="12.",LEFT(E45,5)="CET &gt;",IFERROR(S45/$S$6,"")=0),NOT(AND(LEFT(E45,4)="12.8",IFERROR(G45/$G$6,"")&lt;&gt;0)),NOT(AND(LEFT(E45,5)="12.31",IFERROR(S45/$G$6,"")&lt;&gt;0)),NOT(AND(LEFT(E45,5)="12.32",IFERROR(S45/$G$6,"")&lt;&gt;0))),"", IFERROR(S45/$S$6,""))</f>
      </c>
      <c r="U45" s="71">
        <f>SUMIFS(
INDEX('ETPT Format DDG'!$A:$FB,,IFERROR(MATCH(E45,'ETPT Format DDG'!$2:$2,0),MATCH(C45,'ETPT Format DDG'!$2:$2,0))),
INDEX( 'ETPT Format DDG'!$A:$ZZ,,MATCH("Fonction agrégat",'ETPT Format DDG'!2:2,0)),"C",
INDEX( 'ETPT Format DDG'!$A:$ZZ,,MATCH("Juridiction",'ETPT Format DDG'!2:2,0)),$A$3,
INDEX( 'ETPT Format DDG'!$A:$ZZ,,MATCH("Catégorie",'ETPT Format DDG'!2:2,0)),"Autour du magistrat")</f>
      </c>
      <c r="V45" s="74">
        <f>IF(AND(OR(LEFT(C45,3)="12.",LEFT(E45,3)="12.",LEFT(E45,5)="CET &gt;",IFERROR(U45/$U$6,"")=0),NOT(AND(LEFT(E45,4)="12.8",IFERROR(G45/$G$6,"")&lt;&gt;0)),NOT(AND(LEFT(E45,5)="12.31",IFERROR(U45/$G$6,"")&lt;&gt;0)),NOT(AND(LEFT(E45,5)="12.32",IFERROR(U45/$G$6,"")&lt;&gt;0))),"", IFERROR(U45/$U$6,""))</f>
      </c>
    </row>
    <row r="46" ht="16" customHeight="1" spans="1:23" x14ac:dyDescent="0.25">
      <c r="A46" s="40"/>
      <c r="C46" s="68"/>
      <c r="D46" s="68"/>
      <c r="E46" s="69" t="s">
        <v>81</v>
      </c>
      <c r="F46" s="70" t="s">
        <v>81</v>
      </c>
      <c r="G46" s="71">
        <f>SUMIFS(
INDEX('ETPT Format DDG'!$A:$ZZ,,IFERROR(MATCH(E46,'ETPT Format DDG'!$2:$2,0),MATCH(C46,'ETPT Format DDG'!$2:$2,0))),
INDEX( 'ETPT Format DDG'!$A:$ZZ,,MATCH("Fonction agrégat",'ETPT Format DDG'!2:2,0)),"M-TIT",
INDEX( 'ETPT Format DDG'!$A:$ZZ,,MATCH("Juridiction",'ETPT Format DDG'!2:2,0)),$A$3)</f>
      </c>
      <c r="H46" s="72">
        <f>IF(AND(OR(LEFT(C46,3)="12.",LEFT(E46,3)="12.",LEFT(E46,5)="CET &gt;",IFERROR(G46/$G$6,"")=0),NOT(AND(LEFT(E46,4)="12.8",IFERROR(G46/$G$6,"")&lt;&gt;0)),NOT(AND(LEFT(E46,5)="12.31",IFERROR(G46/$G$6,"")&lt;&gt;0)),NOT(AND(LEFT(E46,5)="12.32",IFERROR(G46/$G$6,"")&lt;&gt;0))),"", IFERROR(G46/$G$6,""))</f>
      </c>
      <c r="I46" s="73">
        <f>SUMIFS(
INDEX('ETPT Format DDG'!$A:$ZZ,,IFERROR(MATCH(E46,'ETPT Format DDG'!$2:$2,0),MATCH(C46,'ETPT Format DDG'!$2:$2,0))),
INDEX( 'ETPT Format DDG'!$A:$ZZ,,MATCH("Fonction agrégat",'ETPT Format DDG'!2:2,0)),"M-PLAC-ADD",
INDEX( 'ETPT Format DDG'!$A:$ZZ,,MATCH("Juridiction",'ETPT Format DDG'!2:2,0)),$A$3)</f>
      </c>
      <c r="J46" s="73">
        <f>SUMIFS(
INDEX('ETPT Format DDG'!$A:$ZZ,,IFERROR(MATCH(E46,'ETPT Format DDG'!$2:$2,0),MATCH(C46,'ETPT Format DDG'!$2:$2,0))),
INDEX( 'ETPT Format DDG'!$A:$ZZ,,MATCH("Fonction agrégat",'ETPT Format DDG'!2:2,0)),"M-PLAC-SUB",
INDEX( 'ETPT Format DDG'!$A:$ZZ,,MATCH("Juridiction",'ETPT Format DDG'!2:2,0)),$A$3)</f>
      </c>
      <c r="K46" s="73">
        <f>SUMIFS(
INDEX('ETPT Format DDG'!$A:$ZZ,,IFERROR(MATCH(E46,'ETPT Format DDG'!$2:$2,0),MATCH(C46,'ETPT Format DDG'!$2:$2,0))),
INDEX( 'ETPT Format DDG'!$A:$ZZ,,MATCH("Fonction agrégat",'ETPT Format DDG'!2:2,0)),"M-CONT",
INDEX( 'ETPT Format DDG'!$A:$ZZ,,MATCH("Juridiction",'ETPT Format DDG'!2:2,0)),$A$3,
INDEX( 'ETPT Format DDG'!$A:$ZZ,,MATCH("Catégorie",'ETPT Format DDG'!2:2,0)),"Magistrat")</f>
      </c>
      <c r="L46" s="71">
        <f>SUMIFS(
INDEX('ETPT Format DDG'!$A:$ZZ,,IFERROR(MATCH(E46,'ETPT Format DDG'!$2:$2,0),MATCH(C46,'ETPT Format DDG'!$2:$2,0))),
INDEX( 'ETPT Format DDG'!$A:$ZZ,,MATCH("Juridiction",'ETPT Format DDG'!2:2,0)),$A$3,
INDEX( 'ETPT Format DDG'!$A:$ZZ,,MATCH("Catégorie",'ETPT Format DDG'!2:2,0)),"Magistrat")</f>
      </c>
      <c r="M46" s="74">
        <f>IF(AND(OR(LEFT(C46,3)="12.",LEFT(E46,3)="12.",LEFT(E46,5)="CET &gt;", IFERROR(L46/$L$6,"")=0),NOT(AND(LEFT(E46,4)="12.8",IFERROR(G46/$G$6,"")&lt;&gt;0)),NOT(AND(LEFT(E46,5)="12.31",IFERROR(L46/$G$6,"")&lt;&gt;0)),NOT(AND(LEFT(E46,5)="12.32",IFERROR(L46/$G$6,"")&lt;&gt;0))),"", IFERROR(L46/$L$6,""))</f>
      </c>
      <c r="N46" s="73">
        <f>SUMIFS(
INDEX('ETPT Format DDG'!$A:$ZZ,,IFERROR(MATCH(E46,'ETPT Format DDG'!$2:$2,0),MATCH(C46,'ETPT Format DDG'!$2:$2,0))),
INDEX( 'ETPT Format DDG'!$A:$ZZ,,MATCH("Fonction agrégat",'ETPT Format DDG'!2:2,0)),"F-TIT",
INDEX( 'ETPT Format DDG'!$A:$ZZ,,MATCH("Juridiction",'ETPT Format DDG'!2:2,0)),$A$3)</f>
      </c>
      <c r="O46" s="72">
        <f>IF(AND(OR(LEFT(C46,3)="12.",LEFT(E46,3)="12.",LEFT(E46,5)="CET &gt;",IFERROR(N46/$N$6,"")=0),NOT(AND(LEFT(E46,4)="12.8",IFERROR(G46/$G$6,"")&lt;&gt;0)),NOT(AND(LEFT(E46,5)="12.31",IFERROR(N46/$G$6,"")&lt;&gt;0)),NOT(AND(LEFT(E46,5)="12.32",IFERROR(N46/$G$6,"")&lt;&gt;0))),"",IFERROR(N46/$N$6,""))</f>
      </c>
      <c r="P46" s="73">
        <f>SUMIFS(
INDEX('ETPT Format DDG'!$A:$FB,,IFERROR(MATCH(E46,'ETPT Format DDG'!$2:$2,0),MATCH(C46,'ETPT Format DDG'!$2:$2,0))),
INDEX( 'ETPT Format DDG'!$A:$ZZ,,MATCH("Fonction agrégat",'ETPT Format DDG'!2:2,0)),"F-PLAC-ADD",
INDEX( 'ETPT Format DDG'!$A:$ZZ,,MATCH("Juridiction",'ETPT Format DDG'!2:2,0)),$A$3)</f>
      </c>
      <c r="Q46" s="73">
        <f>SUMIFS(
INDEX('ETPT Format DDG'!$A:$FB,,IFERROR(MATCH(E46,'ETPT Format DDG'!$2:$2,0),MATCH(C46,'ETPT Format DDG'!$2:$2,0))),
INDEX( 'ETPT Format DDG'!$A:$ZZ,,MATCH("Fonction agrégat",'ETPT Format DDG'!2:2,0)),"F-PLAC-SUB",
INDEX( 'ETPT Format DDG'!$A:$ZZ,,MATCH("Juridiction",'ETPT Format DDG'!2:2,0)),$A$3)</f>
      </c>
      <c r="R46" s="73">
        <f>SUMIFS(
INDEX('ETPT Format DDG'!$A:$FB,,IFERROR(MATCH(E46,'ETPT Format DDG'!$2:$2,0),MATCH(C46,'ETPT Format DDG'!$2:$2,0))),
INDEX( 'ETPT Format DDG'!$A:$ZZ,,MATCH("Fonction agrégat",'ETPT Format DDG'!2:2,0)),"C",
'ETPT Format DDG'!$H:$H,"Greffe",
INDEX( 'ETPT Format DDG'!$A:$ZZ,,MATCH("Juridiction",'ETPT Format DDG'!2:2,0)),$A$3)</f>
      </c>
      <c r="S46" s="71">
        <f>SUMIFS(
INDEX('ETPT Format DDG'!$A:$FB,,IFERROR(MATCH(E46,'ETPT Format DDG'!$2:$2,0),MATCH(C46,'ETPT Format DDG'!$2:$2,0))),
INDEX( 'ETPT Format DDG'!$A:$ZZ,,MATCH("Catégorie",'ETPT Format DDG'!2:2,0)),"Greffe",
INDEX( 'ETPT Format DDG'!$A:$ZZ,,MATCH("Juridiction",'ETPT Format DDG'!2:2,0)),$A$3)</f>
      </c>
      <c r="T46" s="72">
        <f>IF(AND(OR(LEFT(C46,3)="12.",LEFT(E46,3)="12.",LEFT(E46,5)="CET &gt;",IFERROR(S46/$S$6,"")=0),NOT(AND(LEFT(E46,4)="12.8",IFERROR(G46/$G$6,"")&lt;&gt;0)),NOT(AND(LEFT(E46,5)="12.31",IFERROR(S46/$G$6,"")&lt;&gt;0)),NOT(AND(LEFT(E46,5)="12.32",IFERROR(S46/$G$6,"")&lt;&gt;0))),"", IFERROR(S46/$S$6,""))</f>
      </c>
      <c r="U46" s="71">
        <f>SUMIFS(
INDEX('ETPT Format DDG'!$A:$FB,,IFERROR(MATCH(E46,'ETPT Format DDG'!$2:$2,0),MATCH(C46,'ETPT Format DDG'!$2:$2,0))),
INDEX( 'ETPT Format DDG'!$A:$ZZ,,MATCH("Fonction agrégat",'ETPT Format DDG'!2:2,0)),"C",
INDEX( 'ETPT Format DDG'!$A:$ZZ,,MATCH("Juridiction",'ETPT Format DDG'!2:2,0)),$A$3,
INDEX( 'ETPT Format DDG'!$A:$ZZ,,MATCH("Catégorie",'ETPT Format DDG'!2:2,0)),"Autour du magistrat")</f>
      </c>
      <c r="V46" s="74">
        <f>IF(AND(OR(LEFT(C46,3)="12.",LEFT(E46,3)="12.",LEFT(E46,5)="CET &gt;",IFERROR(U46/$U$6,"")=0),NOT(AND(LEFT(E46,4)="12.8",IFERROR(G46/$G$6,"")&lt;&gt;0)),NOT(AND(LEFT(E46,5)="12.31",IFERROR(U46/$G$6,"")&lt;&gt;0)),NOT(AND(LEFT(E46,5)="12.32",IFERROR(U46/$G$6,"")&lt;&gt;0))),"", IFERROR(U46/$U$6,""))</f>
      </c>
    </row>
    <row r="47" ht="16" customHeight="1" spans="1:23" x14ac:dyDescent="0.25">
      <c r="A47" s="40"/>
      <c r="C47" s="68"/>
      <c r="D47" s="68"/>
      <c r="E47" s="69" t="s">
        <v>82</v>
      </c>
      <c r="F47" s="70" t="s">
        <v>82</v>
      </c>
      <c r="G47" s="71">
        <f>SUMIFS(
INDEX('ETPT Format DDG'!$A:$ZZ,,IFERROR(MATCH(E47,'ETPT Format DDG'!$2:$2,0),MATCH(C47,'ETPT Format DDG'!$2:$2,0))),
INDEX( 'ETPT Format DDG'!$A:$ZZ,,MATCH("Fonction agrégat",'ETPT Format DDG'!2:2,0)),"M-TIT",
INDEX( 'ETPT Format DDG'!$A:$ZZ,,MATCH("Juridiction",'ETPT Format DDG'!2:2,0)),$A$3)</f>
      </c>
      <c r="H47" s="72">
        <f>IF(AND(OR(LEFT(C47,3)="12.",LEFT(E47,3)="12.",LEFT(E47,5)="CET &gt;",IFERROR(G47/$G$6,"")=0),NOT(AND(LEFT(E47,4)="12.8",IFERROR(G47/$G$6,"")&lt;&gt;0)),NOT(AND(LEFT(E47,5)="12.31",IFERROR(G47/$G$6,"")&lt;&gt;0)),NOT(AND(LEFT(E47,5)="12.32",IFERROR(G47/$G$6,"")&lt;&gt;0))),"", IFERROR(G47/$G$6,""))</f>
      </c>
      <c r="I47" s="73">
        <f>SUMIFS(
INDEX('ETPT Format DDG'!$A:$ZZ,,IFERROR(MATCH(E47,'ETPT Format DDG'!$2:$2,0),MATCH(C47,'ETPT Format DDG'!$2:$2,0))),
INDEX( 'ETPT Format DDG'!$A:$ZZ,,MATCH("Fonction agrégat",'ETPT Format DDG'!2:2,0)),"M-PLAC-ADD",
INDEX( 'ETPT Format DDG'!$A:$ZZ,,MATCH("Juridiction",'ETPT Format DDG'!2:2,0)),$A$3)</f>
      </c>
      <c r="J47" s="73">
        <f>SUMIFS(
INDEX('ETPT Format DDG'!$A:$ZZ,,IFERROR(MATCH(E47,'ETPT Format DDG'!$2:$2,0),MATCH(C47,'ETPT Format DDG'!$2:$2,0))),
INDEX( 'ETPT Format DDG'!$A:$ZZ,,MATCH("Fonction agrégat",'ETPT Format DDG'!2:2,0)),"M-PLAC-SUB",
INDEX( 'ETPT Format DDG'!$A:$ZZ,,MATCH("Juridiction",'ETPT Format DDG'!2:2,0)),$A$3)</f>
      </c>
      <c r="K47" s="73">
        <f>SUMIFS(
INDEX('ETPT Format DDG'!$A:$ZZ,,IFERROR(MATCH(E47,'ETPT Format DDG'!$2:$2,0),MATCH(C47,'ETPT Format DDG'!$2:$2,0))),
INDEX( 'ETPT Format DDG'!$A:$ZZ,,MATCH("Fonction agrégat",'ETPT Format DDG'!2:2,0)),"M-CONT",
INDEX( 'ETPT Format DDG'!$A:$ZZ,,MATCH("Juridiction",'ETPT Format DDG'!2:2,0)),$A$3,
INDEX( 'ETPT Format DDG'!$A:$ZZ,,MATCH("Catégorie",'ETPT Format DDG'!2:2,0)),"Magistrat")</f>
      </c>
      <c r="L47" s="71">
        <f>SUMIFS(
INDEX('ETPT Format DDG'!$A:$ZZ,,IFERROR(MATCH(E47,'ETPT Format DDG'!$2:$2,0),MATCH(C47,'ETPT Format DDG'!$2:$2,0))),
INDEX( 'ETPT Format DDG'!$A:$ZZ,,MATCH("Juridiction",'ETPT Format DDG'!2:2,0)),$A$3,
INDEX( 'ETPT Format DDG'!$A:$ZZ,,MATCH("Catégorie",'ETPT Format DDG'!2:2,0)),"Magistrat")</f>
      </c>
      <c r="M47" s="74">
        <f>IF(AND(OR(LEFT(C47,3)="12.",LEFT(E47,3)="12.",LEFT(E47,5)="CET &gt;", IFERROR(L47/$L$6,"")=0),NOT(AND(LEFT(E47,4)="12.8",IFERROR(G47/$G$6,"")&lt;&gt;0)),NOT(AND(LEFT(E47,5)="12.31",IFERROR(L47/$G$6,"")&lt;&gt;0)),NOT(AND(LEFT(E47,5)="12.32",IFERROR(L47/$G$6,"")&lt;&gt;0))),"", IFERROR(L47/$L$6,""))</f>
      </c>
      <c r="N47" s="73">
        <f>SUMIFS(
INDEX('ETPT Format DDG'!$A:$ZZ,,IFERROR(MATCH(E47,'ETPT Format DDG'!$2:$2,0),MATCH(C47,'ETPT Format DDG'!$2:$2,0))),
INDEX( 'ETPT Format DDG'!$A:$ZZ,,MATCH("Fonction agrégat",'ETPT Format DDG'!2:2,0)),"F-TIT",
INDEX( 'ETPT Format DDG'!$A:$ZZ,,MATCH("Juridiction",'ETPT Format DDG'!2:2,0)),$A$3)</f>
      </c>
      <c r="O47" s="72">
        <f>IF(AND(OR(LEFT(C47,3)="12.",LEFT(E47,3)="12.",LEFT(E47,5)="CET &gt;",IFERROR(N47/$N$6,"")=0),NOT(AND(LEFT(E47,4)="12.8",IFERROR(G47/$G$6,"")&lt;&gt;0)),NOT(AND(LEFT(E47,5)="12.31",IFERROR(N47/$G$6,"")&lt;&gt;0)),NOT(AND(LEFT(E47,5)="12.32",IFERROR(N47/$G$6,"")&lt;&gt;0))),"",IFERROR(N47/$N$6,""))</f>
      </c>
      <c r="P47" s="73">
        <f>SUMIFS(
INDEX('ETPT Format DDG'!$A:$FB,,IFERROR(MATCH(E47,'ETPT Format DDG'!$2:$2,0),MATCH(C47,'ETPT Format DDG'!$2:$2,0))),
INDEX( 'ETPT Format DDG'!$A:$ZZ,,MATCH("Fonction agrégat",'ETPT Format DDG'!2:2,0)),"F-PLAC-ADD",
INDEX( 'ETPT Format DDG'!$A:$ZZ,,MATCH("Juridiction",'ETPT Format DDG'!2:2,0)),$A$3)</f>
      </c>
      <c r="Q47" s="73">
        <f>SUMIFS(
INDEX('ETPT Format DDG'!$A:$FB,,IFERROR(MATCH(E47,'ETPT Format DDG'!$2:$2,0),MATCH(C47,'ETPT Format DDG'!$2:$2,0))),
INDEX( 'ETPT Format DDG'!$A:$ZZ,,MATCH("Fonction agrégat",'ETPT Format DDG'!2:2,0)),"F-PLAC-SUB",
INDEX( 'ETPT Format DDG'!$A:$ZZ,,MATCH("Juridiction",'ETPT Format DDG'!2:2,0)),$A$3)</f>
      </c>
      <c r="R47" s="73">
        <f>SUMIFS(
INDEX('ETPT Format DDG'!$A:$FB,,IFERROR(MATCH(E47,'ETPT Format DDG'!$2:$2,0),MATCH(C47,'ETPT Format DDG'!$2:$2,0))),
INDEX( 'ETPT Format DDG'!$A:$ZZ,,MATCH("Fonction agrégat",'ETPT Format DDG'!2:2,0)),"C",
'ETPT Format DDG'!$H:$H,"Greffe",
INDEX( 'ETPT Format DDG'!$A:$ZZ,,MATCH("Juridiction",'ETPT Format DDG'!2:2,0)),$A$3)</f>
      </c>
      <c r="S47" s="71">
        <f>SUMIFS(
INDEX('ETPT Format DDG'!$A:$FB,,IFERROR(MATCH(E47,'ETPT Format DDG'!$2:$2,0),MATCH(C47,'ETPT Format DDG'!$2:$2,0))),
INDEX( 'ETPT Format DDG'!$A:$ZZ,,MATCH("Catégorie",'ETPT Format DDG'!2:2,0)),"Greffe",
INDEX( 'ETPT Format DDG'!$A:$ZZ,,MATCH("Juridiction",'ETPT Format DDG'!2:2,0)),$A$3)</f>
      </c>
      <c r="T47" s="72">
        <f>IF(AND(OR(LEFT(C47,3)="12.",LEFT(E47,3)="12.",LEFT(E47,5)="CET &gt;",IFERROR(S47/$S$6,"")=0),NOT(AND(LEFT(E47,4)="12.8",IFERROR(G47/$G$6,"")&lt;&gt;0)),NOT(AND(LEFT(E47,5)="12.31",IFERROR(S47/$G$6,"")&lt;&gt;0)),NOT(AND(LEFT(E47,5)="12.32",IFERROR(S47/$G$6,"")&lt;&gt;0))),"", IFERROR(S47/$S$6,""))</f>
      </c>
      <c r="U47" s="71">
        <f>SUMIFS(
INDEX('ETPT Format DDG'!$A:$FB,,IFERROR(MATCH(E47,'ETPT Format DDG'!$2:$2,0),MATCH(C47,'ETPT Format DDG'!$2:$2,0))),
INDEX( 'ETPT Format DDG'!$A:$ZZ,,MATCH("Fonction agrégat",'ETPT Format DDG'!2:2,0)),"C",
INDEX( 'ETPT Format DDG'!$A:$ZZ,,MATCH("Juridiction",'ETPT Format DDG'!2:2,0)),$A$3,
INDEX( 'ETPT Format DDG'!$A:$ZZ,,MATCH("Catégorie",'ETPT Format DDG'!2:2,0)),"Autour du magistrat")</f>
      </c>
      <c r="V47" s="74">
        <f>IF(AND(OR(LEFT(C47,3)="12.",LEFT(E47,3)="12.",LEFT(E47,5)="CET &gt;",IFERROR(U47/$U$6,"")=0),NOT(AND(LEFT(E47,4)="12.8",IFERROR(G47/$G$6,"")&lt;&gt;0)),NOT(AND(LEFT(E47,5)="12.31",IFERROR(U47/$G$6,"")&lt;&gt;0)),NOT(AND(LEFT(E47,5)="12.32",IFERROR(U47/$G$6,"")&lt;&gt;0))),"", IFERROR(U47/$U$6,""))</f>
      </c>
    </row>
    <row r="48" ht="16" customHeight="1" spans="1:23" x14ac:dyDescent="0.25">
      <c r="A48" s="40"/>
      <c r="C48" s="68"/>
      <c r="D48" s="68"/>
      <c r="E48" s="69" t="s">
        <v>83</v>
      </c>
      <c r="F48" s="70" t="s">
        <v>83</v>
      </c>
      <c r="G48" s="71">
        <f>SUMIFS(
INDEX('ETPT Format DDG'!$A:$ZZ,,IFERROR(MATCH(E48,'ETPT Format DDG'!$2:$2,0),MATCH(C48,'ETPT Format DDG'!$2:$2,0))),
INDEX( 'ETPT Format DDG'!$A:$ZZ,,MATCH("Fonction agrégat",'ETPT Format DDG'!2:2,0)),"M-TIT",
INDEX( 'ETPT Format DDG'!$A:$ZZ,,MATCH("Juridiction",'ETPT Format DDG'!2:2,0)),$A$3)</f>
      </c>
      <c r="H48" s="72">
        <f>IF(AND(OR(LEFT(C48,3)="12.",LEFT(E48,3)="12.",LEFT(E48,5)="CET &gt;",IFERROR(G48/$G$6,"")=0),NOT(AND(LEFT(E48,4)="12.8",IFERROR(G48/$G$6,"")&lt;&gt;0)),NOT(AND(LEFT(E48,5)="12.31",IFERROR(G48/$G$6,"")&lt;&gt;0)),NOT(AND(LEFT(E48,5)="12.32",IFERROR(G48/$G$6,"")&lt;&gt;0))),"", IFERROR(G48/$G$6,""))</f>
      </c>
      <c r="I48" s="73">
        <f>SUMIFS(
INDEX('ETPT Format DDG'!$A:$ZZ,,IFERROR(MATCH(E48,'ETPT Format DDG'!$2:$2,0),MATCH(C48,'ETPT Format DDG'!$2:$2,0))),
INDEX( 'ETPT Format DDG'!$A:$ZZ,,MATCH("Fonction agrégat",'ETPT Format DDG'!2:2,0)),"M-PLAC-ADD",
INDEX( 'ETPT Format DDG'!$A:$ZZ,,MATCH("Juridiction",'ETPT Format DDG'!2:2,0)),$A$3)</f>
      </c>
      <c r="J48" s="73">
        <f>SUMIFS(
INDEX('ETPT Format DDG'!$A:$ZZ,,IFERROR(MATCH(E48,'ETPT Format DDG'!$2:$2,0),MATCH(C48,'ETPT Format DDG'!$2:$2,0))),
INDEX( 'ETPT Format DDG'!$A:$ZZ,,MATCH("Fonction agrégat",'ETPT Format DDG'!2:2,0)),"M-PLAC-SUB",
INDEX( 'ETPT Format DDG'!$A:$ZZ,,MATCH("Juridiction",'ETPT Format DDG'!2:2,0)),$A$3)</f>
      </c>
      <c r="K48" s="73">
        <f>SUMIFS(
INDEX('ETPT Format DDG'!$A:$ZZ,,IFERROR(MATCH(E48,'ETPT Format DDG'!$2:$2,0),MATCH(C48,'ETPT Format DDG'!$2:$2,0))),
INDEX( 'ETPT Format DDG'!$A:$ZZ,,MATCH("Fonction agrégat",'ETPT Format DDG'!2:2,0)),"M-CONT",
INDEX( 'ETPT Format DDG'!$A:$ZZ,,MATCH("Juridiction",'ETPT Format DDG'!2:2,0)),$A$3,
INDEX( 'ETPT Format DDG'!$A:$ZZ,,MATCH("Catégorie",'ETPT Format DDG'!2:2,0)),"Magistrat")</f>
      </c>
      <c r="L48" s="71">
        <f>SUMIFS(
INDEX('ETPT Format DDG'!$A:$ZZ,,IFERROR(MATCH(E48,'ETPT Format DDG'!$2:$2,0),MATCH(C48,'ETPT Format DDG'!$2:$2,0))),
INDEX( 'ETPT Format DDG'!$A:$ZZ,,MATCH("Juridiction",'ETPT Format DDG'!2:2,0)),$A$3,
INDEX( 'ETPT Format DDG'!$A:$ZZ,,MATCH("Catégorie",'ETPT Format DDG'!2:2,0)),"Magistrat")</f>
      </c>
      <c r="M48" s="74">
        <f>IF(AND(OR(LEFT(C48,3)="12.",LEFT(E48,3)="12.",LEFT(E48,5)="CET &gt;", IFERROR(L48/$L$6,"")=0),NOT(AND(LEFT(E48,4)="12.8",IFERROR(G48/$G$6,"")&lt;&gt;0)),NOT(AND(LEFT(E48,5)="12.31",IFERROR(L48/$G$6,"")&lt;&gt;0)),NOT(AND(LEFT(E48,5)="12.32",IFERROR(L48/$G$6,"")&lt;&gt;0))),"", IFERROR(L48/$L$6,""))</f>
      </c>
      <c r="N48" s="73">
        <f>SUMIFS(
INDEX('ETPT Format DDG'!$A:$ZZ,,IFERROR(MATCH(E48,'ETPT Format DDG'!$2:$2,0),MATCH(C48,'ETPT Format DDG'!$2:$2,0))),
INDEX( 'ETPT Format DDG'!$A:$ZZ,,MATCH("Fonction agrégat",'ETPT Format DDG'!2:2,0)),"F-TIT",
INDEX( 'ETPT Format DDG'!$A:$ZZ,,MATCH("Juridiction",'ETPT Format DDG'!2:2,0)),$A$3)</f>
      </c>
      <c r="O48" s="72">
        <f>IF(AND(OR(LEFT(C48,3)="12.",LEFT(E48,3)="12.",LEFT(E48,5)="CET &gt;",IFERROR(N48/$N$6,"")=0),NOT(AND(LEFT(E48,4)="12.8",IFERROR(G48/$G$6,"")&lt;&gt;0)),NOT(AND(LEFT(E48,5)="12.31",IFERROR(N48/$G$6,"")&lt;&gt;0)),NOT(AND(LEFT(E48,5)="12.32",IFERROR(N48/$G$6,"")&lt;&gt;0))),"",IFERROR(N48/$N$6,""))</f>
      </c>
      <c r="P48" s="73">
        <f>SUMIFS(
INDEX('ETPT Format DDG'!$A:$FB,,IFERROR(MATCH(E48,'ETPT Format DDG'!$2:$2,0),MATCH(C48,'ETPT Format DDG'!$2:$2,0))),
INDEX( 'ETPT Format DDG'!$A:$ZZ,,MATCH("Fonction agrégat",'ETPT Format DDG'!2:2,0)),"F-PLAC-ADD",
INDEX( 'ETPT Format DDG'!$A:$ZZ,,MATCH("Juridiction",'ETPT Format DDG'!2:2,0)),$A$3)</f>
      </c>
      <c r="Q48" s="73">
        <f>SUMIFS(
INDEX('ETPT Format DDG'!$A:$FB,,IFERROR(MATCH(E48,'ETPT Format DDG'!$2:$2,0),MATCH(C48,'ETPT Format DDG'!$2:$2,0))),
INDEX( 'ETPT Format DDG'!$A:$ZZ,,MATCH("Fonction agrégat",'ETPT Format DDG'!2:2,0)),"F-PLAC-SUB",
INDEX( 'ETPT Format DDG'!$A:$ZZ,,MATCH("Juridiction",'ETPT Format DDG'!2:2,0)),$A$3)</f>
      </c>
      <c r="R48" s="73">
        <f>SUMIFS(
INDEX('ETPT Format DDG'!$A:$FB,,IFERROR(MATCH(E48,'ETPT Format DDG'!$2:$2,0),MATCH(C48,'ETPT Format DDG'!$2:$2,0))),
INDEX( 'ETPT Format DDG'!$A:$ZZ,,MATCH("Fonction agrégat",'ETPT Format DDG'!2:2,0)),"C",
'ETPT Format DDG'!$H:$H,"Greffe",
INDEX( 'ETPT Format DDG'!$A:$ZZ,,MATCH("Juridiction",'ETPT Format DDG'!2:2,0)),$A$3)</f>
      </c>
      <c r="S48" s="71">
        <f>SUMIFS(
INDEX('ETPT Format DDG'!$A:$FB,,IFERROR(MATCH(E48,'ETPT Format DDG'!$2:$2,0),MATCH(C48,'ETPT Format DDG'!$2:$2,0))),
INDEX( 'ETPT Format DDG'!$A:$ZZ,,MATCH("Catégorie",'ETPT Format DDG'!2:2,0)),"Greffe",
INDEX( 'ETPT Format DDG'!$A:$ZZ,,MATCH("Juridiction",'ETPT Format DDG'!2:2,0)),$A$3)</f>
      </c>
      <c r="T48" s="72">
        <f>IF(AND(OR(LEFT(C48,3)="12.",LEFT(E48,3)="12.",LEFT(E48,5)="CET &gt;",IFERROR(S48/$S$6,"")=0),NOT(AND(LEFT(E48,4)="12.8",IFERROR(G48/$G$6,"")&lt;&gt;0)),NOT(AND(LEFT(E48,5)="12.31",IFERROR(S48/$G$6,"")&lt;&gt;0)),NOT(AND(LEFT(E48,5)="12.32",IFERROR(S48/$G$6,"")&lt;&gt;0))),"", IFERROR(S48/$S$6,""))</f>
      </c>
      <c r="U48" s="71">
        <f>SUMIFS(
INDEX('ETPT Format DDG'!$A:$FB,,IFERROR(MATCH(E48,'ETPT Format DDG'!$2:$2,0),MATCH(C48,'ETPT Format DDG'!$2:$2,0))),
INDEX( 'ETPT Format DDG'!$A:$ZZ,,MATCH("Fonction agrégat",'ETPT Format DDG'!2:2,0)),"C",
INDEX( 'ETPT Format DDG'!$A:$ZZ,,MATCH("Juridiction",'ETPT Format DDG'!2:2,0)),$A$3,
INDEX( 'ETPT Format DDG'!$A:$ZZ,,MATCH("Catégorie",'ETPT Format DDG'!2:2,0)),"Autour du magistrat")</f>
      </c>
      <c r="V48" s="74">
        <f>IF(AND(OR(LEFT(C48,3)="12.",LEFT(E48,3)="12.",LEFT(E48,5)="CET &gt;",IFERROR(U48/$U$6,"")=0),NOT(AND(LEFT(E48,4)="12.8",IFERROR(G48/$G$6,"")&lt;&gt;0)),NOT(AND(LEFT(E48,5)="12.31",IFERROR(U48/$G$6,"")&lt;&gt;0)),NOT(AND(LEFT(E48,5)="12.32",IFERROR(U48/$G$6,"")&lt;&gt;0))),"", IFERROR(U48/$U$6,""))</f>
      </c>
    </row>
    <row r="49" ht="16" customHeight="1" spans="1:23" x14ac:dyDescent="0.25">
      <c r="A49" s="40"/>
      <c r="C49" s="68"/>
      <c r="D49" s="68"/>
      <c r="E49" s="69" t="s">
        <v>84</v>
      </c>
      <c r="F49" s="70" t="s">
        <v>84</v>
      </c>
      <c r="G49" s="71">
        <f>SUMIFS(
INDEX('ETPT Format DDG'!$A:$ZZ,,IFERROR(MATCH(E49,'ETPT Format DDG'!$2:$2,0),MATCH(C49,'ETPT Format DDG'!$2:$2,0))),
INDEX( 'ETPT Format DDG'!$A:$ZZ,,MATCH("Fonction agrégat",'ETPT Format DDG'!2:2,0)),"M-TIT",
INDEX( 'ETPT Format DDG'!$A:$ZZ,,MATCH("Juridiction",'ETPT Format DDG'!2:2,0)),$A$3)</f>
      </c>
      <c r="H49" s="72">
        <f>IF(AND(OR(LEFT(C49,3)="12.",LEFT(E49,3)="12.",LEFT(E49,5)="CET &gt;",IFERROR(G49/$G$6,"")=0),NOT(AND(LEFT(E49,4)="12.8",IFERROR(G49/$G$6,"")&lt;&gt;0)),NOT(AND(LEFT(E49,5)="12.31",IFERROR(G49/$G$6,"")&lt;&gt;0)),NOT(AND(LEFT(E49,5)="12.32",IFERROR(G49/$G$6,"")&lt;&gt;0))),"", IFERROR(G49/$G$6,""))</f>
      </c>
      <c r="I49" s="73">
        <f>SUMIFS(
INDEX('ETPT Format DDG'!$A:$ZZ,,IFERROR(MATCH(E49,'ETPT Format DDG'!$2:$2,0),MATCH(C49,'ETPT Format DDG'!$2:$2,0))),
INDEX( 'ETPT Format DDG'!$A:$ZZ,,MATCH("Fonction agrégat",'ETPT Format DDG'!2:2,0)),"M-PLAC-ADD",
INDEX( 'ETPT Format DDG'!$A:$ZZ,,MATCH("Juridiction",'ETPT Format DDG'!2:2,0)),$A$3)</f>
      </c>
      <c r="J49" s="73">
        <f>SUMIFS(
INDEX('ETPT Format DDG'!$A:$ZZ,,IFERROR(MATCH(E49,'ETPT Format DDG'!$2:$2,0),MATCH(C49,'ETPT Format DDG'!$2:$2,0))),
INDEX( 'ETPT Format DDG'!$A:$ZZ,,MATCH("Fonction agrégat",'ETPT Format DDG'!2:2,0)),"M-PLAC-SUB",
INDEX( 'ETPT Format DDG'!$A:$ZZ,,MATCH("Juridiction",'ETPT Format DDG'!2:2,0)),$A$3)</f>
      </c>
      <c r="K49" s="73">
        <f>SUMIFS(
INDEX('ETPT Format DDG'!$A:$ZZ,,IFERROR(MATCH(E49,'ETPT Format DDG'!$2:$2,0),MATCH(C49,'ETPT Format DDG'!$2:$2,0))),
INDEX( 'ETPT Format DDG'!$A:$ZZ,,MATCH("Fonction agrégat",'ETPT Format DDG'!2:2,0)),"M-CONT",
INDEX( 'ETPT Format DDG'!$A:$ZZ,,MATCH("Juridiction",'ETPT Format DDG'!2:2,0)),$A$3,
INDEX( 'ETPT Format DDG'!$A:$ZZ,,MATCH("Catégorie",'ETPT Format DDG'!2:2,0)),"Magistrat")</f>
      </c>
      <c r="L49" s="71">
        <f>SUMIFS(
INDEX('ETPT Format DDG'!$A:$ZZ,,IFERROR(MATCH(E49,'ETPT Format DDG'!$2:$2,0),MATCH(C49,'ETPT Format DDG'!$2:$2,0))),
INDEX( 'ETPT Format DDG'!$A:$ZZ,,MATCH("Juridiction",'ETPT Format DDG'!2:2,0)),$A$3,
INDEX( 'ETPT Format DDG'!$A:$ZZ,,MATCH("Catégorie",'ETPT Format DDG'!2:2,0)),"Magistrat")</f>
      </c>
      <c r="M49" s="74">
        <f>IF(AND(OR(LEFT(C49,3)="12.",LEFT(E49,3)="12.",LEFT(E49,5)="CET &gt;", IFERROR(L49/$L$6,"")=0),NOT(AND(LEFT(E49,4)="12.8",IFERROR(G49/$G$6,"")&lt;&gt;0)),NOT(AND(LEFT(E49,5)="12.31",IFERROR(L49/$G$6,"")&lt;&gt;0)),NOT(AND(LEFT(E49,5)="12.32",IFERROR(L49/$G$6,"")&lt;&gt;0))),"", IFERROR(L49/$L$6,""))</f>
      </c>
      <c r="N49" s="73">
        <f>SUMIFS(
INDEX('ETPT Format DDG'!$A:$ZZ,,IFERROR(MATCH(E49,'ETPT Format DDG'!$2:$2,0),MATCH(C49,'ETPT Format DDG'!$2:$2,0))),
INDEX( 'ETPT Format DDG'!$A:$ZZ,,MATCH("Fonction agrégat",'ETPT Format DDG'!2:2,0)),"F-TIT",
INDEX( 'ETPT Format DDG'!$A:$ZZ,,MATCH("Juridiction",'ETPT Format DDG'!2:2,0)),$A$3)</f>
      </c>
      <c r="O49" s="72">
        <f>IF(AND(OR(LEFT(C49,3)="12.",LEFT(E49,3)="12.",LEFT(E49,5)="CET &gt;",IFERROR(N49/$N$6,"")=0),NOT(AND(LEFT(E49,4)="12.8",IFERROR(G49/$G$6,"")&lt;&gt;0)),NOT(AND(LEFT(E49,5)="12.31",IFERROR(N49/$G$6,"")&lt;&gt;0)),NOT(AND(LEFT(E49,5)="12.32",IFERROR(N49/$G$6,"")&lt;&gt;0))),"",IFERROR(N49/$N$6,""))</f>
      </c>
      <c r="P49" s="73">
        <f>SUMIFS(
INDEX('ETPT Format DDG'!$A:$FB,,IFERROR(MATCH(E49,'ETPT Format DDG'!$2:$2,0),MATCH(C49,'ETPT Format DDG'!$2:$2,0))),
INDEX( 'ETPT Format DDG'!$A:$ZZ,,MATCH("Fonction agrégat",'ETPT Format DDG'!2:2,0)),"F-PLAC-ADD",
INDEX( 'ETPT Format DDG'!$A:$ZZ,,MATCH("Juridiction",'ETPT Format DDG'!2:2,0)),$A$3)</f>
      </c>
      <c r="Q49" s="73">
        <f>SUMIFS(
INDEX('ETPT Format DDG'!$A:$FB,,IFERROR(MATCH(E49,'ETPT Format DDG'!$2:$2,0),MATCH(C49,'ETPT Format DDG'!$2:$2,0))),
INDEX( 'ETPT Format DDG'!$A:$ZZ,,MATCH("Fonction agrégat",'ETPT Format DDG'!2:2,0)),"F-PLAC-SUB",
INDEX( 'ETPT Format DDG'!$A:$ZZ,,MATCH("Juridiction",'ETPT Format DDG'!2:2,0)),$A$3)</f>
      </c>
      <c r="R49" s="73">
        <f>SUMIFS(
INDEX('ETPT Format DDG'!$A:$FB,,IFERROR(MATCH(E49,'ETPT Format DDG'!$2:$2,0),MATCH(C49,'ETPT Format DDG'!$2:$2,0))),
INDEX( 'ETPT Format DDG'!$A:$ZZ,,MATCH("Fonction agrégat",'ETPT Format DDG'!2:2,0)),"C",
'ETPT Format DDG'!$H:$H,"Greffe",
INDEX( 'ETPT Format DDG'!$A:$ZZ,,MATCH("Juridiction",'ETPT Format DDG'!2:2,0)),$A$3)</f>
      </c>
      <c r="S49" s="71">
        <f>SUMIFS(
INDEX('ETPT Format DDG'!$A:$FB,,IFERROR(MATCH(E49,'ETPT Format DDG'!$2:$2,0),MATCH(C49,'ETPT Format DDG'!$2:$2,0))),
INDEX( 'ETPT Format DDG'!$A:$ZZ,,MATCH("Catégorie",'ETPT Format DDG'!2:2,0)),"Greffe",
INDEX( 'ETPT Format DDG'!$A:$ZZ,,MATCH("Juridiction",'ETPT Format DDG'!2:2,0)),$A$3)</f>
      </c>
      <c r="T49" s="72">
        <f>IF(AND(OR(LEFT(C49,3)="12.",LEFT(E49,3)="12.",LEFT(E49,5)="CET &gt;",IFERROR(S49/$S$6,"")=0),NOT(AND(LEFT(E49,4)="12.8",IFERROR(G49/$G$6,"")&lt;&gt;0)),NOT(AND(LEFT(E49,5)="12.31",IFERROR(S49/$G$6,"")&lt;&gt;0)),NOT(AND(LEFT(E49,5)="12.32",IFERROR(S49/$G$6,"")&lt;&gt;0))),"", IFERROR(S49/$S$6,""))</f>
      </c>
      <c r="U49" s="71">
        <f>SUMIFS(
INDEX('ETPT Format DDG'!$A:$FB,,IFERROR(MATCH(E49,'ETPT Format DDG'!$2:$2,0),MATCH(C49,'ETPT Format DDG'!$2:$2,0))),
INDEX( 'ETPT Format DDG'!$A:$ZZ,,MATCH("Fonction agrégat",'ETPT Format DDG'!2:2,0)),"C",
INDEX( 'ETPT Format DDG'!$A:$ZZ,,MATCH("Juridiction",'ETPT Format DDG'!2:2,0)),$A$3,
INDEX( 'ETPT Format DDG'!$A:$ZZ,,MATCH("Catégorie",'ETPT Format DDG'!2:2,0)),"Autour du magistrat")</f>
      </c>
      <c r="V49" s="74">
        <f>IF(AND(OR(LEFT(C49,3)="12.",LEFT(E49,3)="12.",LEFT(E49,5)="CET &gt;",IFERROR(U49/$U$6,"")=0),NOT(AND(LEFT(E49,4)="12.8",IFERROR(G49/$G$6,"")&lt;&gt;0)),NOT(AND(LEFT(E49,5)="12.31",IFERROR(U49/$G$6,"")&lt;&gt;0)),NOT(AND(LEFT(E49,5)="12.32",IFERROR(U49/$G$6,"")&lt;&gt;0))),"", IFERROR(U49/$U$6,""))</f>
      </c>
    </row>
    <row r="50" ht="16" customHeight="1" spans="1:23" x14ac:dyDescent="0.25">
      <c r="A50" s="40"/>
      <c r="C50" s="68"/>
      <c r="D50" s="68"/>
      <c r="E50" s="69" t="s">
        <v>85</v>
      </c>
      <c r="F50" s="70" t="s">
        <v>85</v>
      </c>
      <c r="G50" s="71">
        <f>SUMIFS(
INDEX('ETPT Format DDG'!$A:$ZZ,,IFERROR(MATCH(E50,'ETPT Format DDG'!$2:$2,0),MATCH(C50,'ETPT Format DDG'!$2:$2,0))),
INDEX( 'ETPT Format DDG'!$A:$ZZ,,MATCH("Fonction agrégat",'ETPT Format DDG'!2:2,0)),"M-TIT",
INDEX( 'ETPT Format DDG'!$A:$ZZ,,MATCH("Juridiction",'ETPT Format DDG'!2:2,0)),$A$3)</f>
      </c>
      <c r="H50" s="72">
        <f>IF(AND(OR(LEFT(C50,3)="12.",LEFT(E50,3)="12.",LEFT(E50,5)="CET &gt;",IFERROR(G50/$G$6,"")=0),NOT(AND(LEFT(E50,4)="12.8",IFERROR(G50/$G$6,"")&lt;&gt;0)),NOT(AND(LEFT(E50,5)="12.31",IFERROR(G50/$G$6,"")&lt;&gt;0)),NOT(AND(LEFT(E50,5)="12.32",IFERROR(G50/$G$6,"")&lt;&gt;0))),"", IFERROR(G50/$G$6,""))</f>
      </c>
      <c r="I50" s="73">
        <f>SUMIFS(
INDEX('ETPT Format DDG'!$A:$ZZ,,IFERROR(MATCH(E50,'ETPT Format DDG'!$2:$2,0),MATCH(C50,'ETPT Format DDG'!$2:$2,0))),
INDEX( 'ETPT Format DDG'!$A:$ZZ,,MATCH("Fonction agrégat",'ETPT Format DDG'!2:2,0)),"M-PLAC-ADD",
INDEX( 'ETPT Format DDG'!$A:$ZZ,,MATCH("Juridiction",'ETPT Format DDG'!2:2,0)),$A$3)</f>
      </c>
      <c r="J50" s="73">
        <f>SUMIFS(
INDEX('ETPT Format DDG'!$A:$ZZ,,IFERROR(MATCH(E50,'ETPT Format DDG'!$2:$2,0),MATCH(C50,'ETPT Format DDG'!$2:$2,0))),
INDEX( 'ETPT Format DDG'!$A:$ZZ,,MATCH("Fonction agrégat",'ETPT Format DDG'!2:2,0)),"M-PLAC-SUB",
INDEX( 'ETPT Format DDG'!$A:$ZZ,,MATCH("Juridiction",'ETPT Format DDG'!2:2,0)),$A$3)</f>
      </c>
      <c r="K50" s="73">
        <f>SUMIFS(
INDEX('ETPT Format DDG'!$A:$ZZ,,IFERROR(MATCH(E50,'ETPT Format DDG'!$2:$2,0),MATCH(C50,'ETPT Format DDG'!$2:$2,0))),
INDEX( 'ETPT Format DDG'!$A:$ZZ,,MATCH("Fonction agrégat",'ETPT Format DDG'!2:2,0)),"M-CONT",
INDEX( 'ETPT Format DDG'!$A:$ZZ,,MATCH("Juridiction",'ETPT Format DDG'!2:2,0)),$A$3,
INDEX( 'ETPT Format DDG'!$A:$ZZ,,MATCH("Catégorie",'ETPT Format DDG'!2:2,0)),"Magistrat")</f>
      </c>
      <c r="L50" s="71">
        <f>SUMIFS(
INDEX('ETPT Format DDG'!$A:$ZZ,,IFERROR(MATCH(E50,'ETPT Format DDG'!$2:$2,0),MATCH(C50,'ETPT Format DDG'!$2:$2,0))),
INDEX( 'ETPT Format DDG'!$A:$ZZ,,MATCH("Juridiction",'ETPT Format DDG'!2:2,0)),$A$3,
INDEX( 'ETPT Format DDG'!$A:$ZZ,,MATCH("Catégorie",'ETPT Format DDG'!2:2,0)),"Magistrat")</f>
      </c>
      <c r="M50" s="74">
        <f>IF(AND(OR(LEFT(C50,3)="12.",LEFT(E50,3)="12.",LEFT(E50,5)="CET &gt;", IFERROR(L50/$L$6,"")=0),NOT(AND(LEFT(E50,4)="12.8",IFERROR(G50/$G$6,"")&lt;&gt;0)),NOT(AND(LEFT(E50,5)="12.31",IFERROR(L50/$G$6,"")&lt;&gt;0)),NOT(AND(LEFT(E50,5)="12.32",IFERROR(L50/$G$6,"")&lt;&gt;0))),"", IFERROR(L50/$L$6,""))</f>
      </c>
      <c r="N50" s="73">
        <f>SUMIFS(
INDEX('ETPT Format DDG'!$A:$ZZ,,IFERROR(MATCH(E50,'ETPT Format DDG'!$2:$2,0),MATCH(C50,'ETPT Format DDG'!$2:$2,0))),
INDEX( 'ETPT Format DDG'!$A:$ZZ,,MATCH("Fonction agrégat",'ETPT Format DDG'!2:2,0)),"F-TIT",
INDEX( 'ETPT Format DDG'!$A:$ZZ,,MATCH("Juridiction",'ETPT Format DDG'!2:2,0)),$A$3)</f>
      </c>
      <c r="O50" s="72">
        <f>IF(AND(OR(LEFT(C50,3)="12.",LEFT(E50,3)="12.",LEFT(E50,5)="CET &gt;",IFERROR(N50/$N$6,"")=0),NOT(AND(LEFT(E50,4)="12.8",IFERROR(G50/$G$6,"")&lt;&gt;0)),NOT(AND(LEFT(E50,5)="12.31",IFERROR(N50/$G$6,"")&lt;&gt;0)),NOT(AND(LEFT(E50,5)="12.32",IFERROR(N50/$G$6,"")&lt;&gt;0))),"",IFERROR(N50/$N$6,""))</f>
      </c>
      <c r="P50" s="73">
        <f>SUMIFS(
INDEX('ETPT Format DDG'!$A:$FB,,IFERROR(MATCH(E50,'ETPT Format DDG'!$2:$2,0),MATCH(C50,'ETPT Format DDG'!$2:$2,0))),
INDEX( 'ETPT Format DDG'!$A:$ZZ,,MATCH("Fonction agrégat",'ETPT Format DDG'!2:2,0)),"F-PLAC-ADD",
INDEX( 'ETPT Format DDG'!$A:$ZZ,,MATCH("Juridiction",'ETPT Format DDG'!2:2,0)),$A$3)</f>
      </c>
      <c r="Q50" s="73">
        <f>SUMIFS(
INDEX('ETPT Format DDG'!$A:$FB,,IFERROR(MATCH(E50,'ETPT Format DDG'!$2:$2,0),MATCH(C50,'ETPT Format DDG'!$2:$2,0))),
INDEX( 'ETPT Format DDG'!$A:$ZZ,,MATCH("Fonction agrégat",'ETPT Format DDG'!2:2,0)),"F-PLAC-SUB",
INDEX( 'ETPT Format DDG'!$A:$ZZ,,MATCH("Juridiction",'ETPT Format DDG'!2:2,0)),$A$3)</f>
      </c>
      <c r="R50" s="73">
        <f>SUMIFS(
INDEX('ETPT Format DDG'!$A:$FB,,IFERROR(MATCH(E50,'ETPT Format DDG'!$2:$2,0),MATCH(C50,'ETPT Format DDG'!$2:$2,0))),
INDEX( 'ETPT Format DDG'!$A:$ZZ,,MATCH("Fonction agrégat",'ETPT Format DDG'!2:2,0)),"C",
'ETPT Format DDG'!$H:$H,"Greffe",
INDEX( 'ETPT Format DDG'!$A:$ZZ,,MATCH("Juridiction",'ETPT Format DDG'!2:2,0)),$A$3)</f>
      </c>
      <c r="S50" s="71">
        <f>SUMIFS(
INDEX('ETPT Format DDG'!$A:$FB,,IFERROR(MATCH(E50,'ETPT Format DDG'!$2:$2,0),MATCH(C50,'ETPT Format DDG'!$2:$2,0))),
INDEX( 'ETPT Format DDG'!$A:$ZZ,,MATCH("Catégorie",'ETPT Format DDG'!2:2,0)),"Greffe",
INDEX( 'ETPT Format DDG'!$A:$ZZ,,MATCH("Juridiction",'ETPT Format DDG'!2:2,0)),$A$3)</f>
      </c>
      <c r="T50" s="72">
        <f>IF(AND(OR(LEFT(C50,3)="12.",LEFT(E50,3)="12.",LEFT(E50,5)="CET &gt;",IFERROR(S50/$S$6,"")=0),NOT(AND(LEFT(E50,4)="12.8",IFERROR(G50/$G$6,"")&lt;&gt;0)),NOT(AND(LEFT(E50,5)="12.31",IFERROR(S50/$G$6,"")&lt;&gt;0)),NOT(AND(LEFT(E50,5)="12.32",IFERROR(S50/$G$6,"")&lt;&gt;0))),"", IFERROR(S50/$S$6,""))</f>
      </c>
      <c r="U50" s="71">
        <f>SUMIFS(
INDEX('ETPT Format DDG'!$A:$FB,,IFERROR(MATCH(E50,'ETPT Format DDG'!$2:$2,0),MATCH(C50,'ETPT Format DDG'!$2:$2,0))),
INDEX( 'ETPT Format DDG'!$A:$ZZ,,MATCH("Fonction agrégat",'ETPT Format DDG'!2:2,0)),"C",
INDEX( 'ETPT Format DDG'!$A:$ZZ,,MATCH("Juridiction",'ETPT Format DDG'!2:2,0)),$A$3,
INDEX( 'ETPT Format DDG'!$A:$ZZ,,MATCH("Catégorie",'ETPT Format DDG'!2:2,0)),"Autour du magistrat")</f>
      </c>
      <c r="V50" s="74">
        <f>IF(AND(OR(LEFT(C50,3)="12.",LEFT(E50,3)="12.",LEFT(E50,5)="CET &gt;",IFERROR(U50/$U$6,"")=0),NOT(AND(LEFT(E50,4)="12.8",IFERROR(G50/$G$6,"")&lt;&gt;0)),NOT(AND(LEFT(E50,5)="12.31",IFERROR(U50/$G$6,"")&lt;&gt;0)),NOT(AND(LEFT(E50,5)="12.32",IFERROR(U50/$G$6,"")&lt;&gt;0))),"", IFERROR(U50/$U$6,""))</f>
      </c>
    </row>
    <row r="51" ht="16" customHeight="1" spans="1:23" x14ac:dyDescent="0.25">
      <c r="A51" s="40"/>
      <c r="C51" s="68"/>
      <c r="D51" s="68"/>
      <c r="E51" s="69" t="s">
        <v>86</v>
      </c>
      <c r="F51" s="70" t="s">
        <v>86</v>
      </c>
      <c r="G51" s="71">
        <f>SUMIFS(
INDEX('ETPT Format DDG'!$A:$ZZ,,IFERROR(MATCH(E51,'ETPT Format DDG'!$2:$2,0),MATCH(C51,'ETPT Format DDG'!$2:$2,0))),
INDEX( 'ETPT Format DDG'!$A:$ZZ,,MATCH("Fonction agrégat",'ETPT Format DDG'!2:2,0)),"M-TIT",
INDEX( 'ETPT Format DDG'!$A:$ZZ,,MATCH("Juridiction",'ETPT Format DDG'!2:2,0)),$A$3)</f>
      </c>
      <c r="H51" s="72">
        <f>IF(AND(OR(LEFT(C51,3)="12.",LEFT(E51,3)="12.",LEFT(E51,5)="CET &gt;",IFERROR(G51/$G$6,"")=0),NOT(AND(LEFT(E51,4)="12.8",IFERROR(G51/$G$6,"")&lt;&gt;0)),NOT(AND(LEFT(E51,5)="12.31",IFERROR(G51/$G$6,"")&lt;&gt;0)),NOT(AND(LEFT(E51,5)="12.32",IFERROR(G51/$G$6,"")&lt;&gt;0))),"", IFERROR(G51/$G$6,""))</f>
      </c>
      <c r="I51" s="73">
        <f>SUMIFS(
INDEX('ETPT Format DDG'!$A:$ZZ,,IFERROR(MATCH(E51,'ETPT Format DDG'!$2:$2,0),MATCH(C51,'ETPT Format DDG'!$2:$2,0))),
INDEX( 'ETPT Format DDG'!$A:$ZZ,,MATCH("Fonction agrégat",'ETPT Format DDG'!2:2,0)),"M-PLAC-ADD",
INDEX( 'ETPT Format DDG'!$A:$ZZ,,MATCH("Juridiction",'ETPT Format DDG'!2:2,0)),$A$3)</f>
      </c>
      <c r="J51" s="73">
        <f>SUMIFS(
INDEX('ETPT Format DDG'!$A:$ZZ,,IFERROR(MATCH(E51,'ETPT Format DDG'!$2:$2,0),MATCH(C51,'ETPT Format DDG'!$2:$2,0))),
INDEX( 'ETPT Format DDG'!$A:$ZZ,,MATCH("Fonction agrégat",'ETPT Format DDG'!2:2,0)),"M-PLAC-SUB",
INDEX( 'ETPT Format DDG'!$A:$ZZ,,MATCH("Juridiction",'ETPT Format DDG'!2:2,0)),$A$3)</f>
      </c>
      <c r="K51" s="73">
        <f>SUMIFS(
INDEX('ETPT Format DDG'!$A:$ZZ,,IFERROR(MATCH(E51,'ETPT Format DDG'!$2:$2,0),MATCH(C51,'ETPT Format DDG'!$2:$2,0))),
INDEX( 'ETPT Format DDG'!$A:$ZZ,,MATCH("Fonction agrégat",'ETPT Format DDG'!2:2,0)),"M-CONT",
INDEX( 'ETPT Format DDG'!$A:$ZZ,,MATCH("Juridiction",'ETPT Format DDG'!2:2,0)),$A$3,
INDEX( 'ETPT Format DDG'!$A:$ZZ,,MATCH("Catégorie",'ETPT Format DDG'!2:2,0)),"Magistrat")</f>
      </c>
      <c r="L51" s="71">
        <f>SUMIFS(
INDEX('ETPT Format DDG'!$A:$ZZ,,IFERROR(MATCH(E51,'ETPT Format DDG'!$2:$2,0),MATCH(C51,'ETPT Format DDG'!$2:$2,0))),
INDEX( 'ETPT Format DDG'!$A:$ZZ,,MATCH("Juridiction",'ETPT Format DDG'!2:2,0)),$A$3,
INDEX( 'ETPT Format DDG'!$A:$ZZ,,MATCH("Catégorie",'ETPT Format DDG'!2:2,0)),"Magistrat")</f>
      </c>
      <c r="M51" s="74">
        <f>IF(AND(OR(LEFT(C51,3)="12.",LEFT(E51,3)="12.",LEFT(E51,5)="CET &gt;", IFERROR(L51/$L$6,"")=0),NOT(AND(LEFT(E51,4)="12.8",IFERROR(G51/$G$6,"")&lt;&gt;0)),NOT(AND(LEFT(E51,5)="12.31",IFERROR(L51/$G$6,"")&lt;&gt;0)),NOT(AND(LEFT(E51,5)="12.32",IFERROR(L51/$G$6,"")&lt;&gt;0))),"", IFERROR(L51/$L$6,""))</f>
      </c>
      <c r="N51" s="73">
        <f>SUMIFS(
INDEX('ETPT Format DDG'!$A:$ZZ,,IFERROR(MATCH(E51,'ETPT Format DDG'!$2:$2,0),MATCH(C51,'ETPT Format DDG'!$2:$2,0))),
INDEX( 'ETPT Format DDG'!$A:$ZZ,,MATCH("Fonction agrégat",'ETPT Format DDG'!2:2,0)),"F-TIT",
INDEX( 'ETPT Format DDG'!$A:$ZZ,,MATCH("Juridiction",'ETPT Format DDG'!2:2,0)),$A$3)</f>
      </c>
      <c r="O51" s="72">
        <f>IF(AND(OR(LEFT(C51,3)="12.",LEFT(E51,3)="12.",LEFT(E51,5)="CET &gt;",IFERROR(N51/$N$6,"")=0),NOT(AND(LEFT(E51,4)="12.8",IFERROR(G51/$G$6,"")&lt;&gt;0)),NOT(AND(LEFT(E51,5)="12.31",IFERROR(N51/$G$6,"")&lt;&gt;0)),NOT(AND(LEFT(E51,5)="12.32",IFERROR(N51/$G$6,"")&lt;&gt;0))),"",IFERROR(N51/$N$6,""))</f>
      </c>
      <c r="P51" s="73">
        <f>SUMIFS(
INDEX('ETPT Format DDG'!$A:$FB,,IFERROR(MATCH(E51,'ETPT Format DDG'!$2:$2,0),MATCH(C51,'ETPT Format DDG'!$2:$2,0))),
INDEX( 'ETPT Format DDG'!$A:$ZZ,,MATCH("Fonction agrégat",'ETPT Format DDG'!2:2,0)),"F-PLAC-ADD",
INDEX( 'ETPT Format DDG'!$A:$ZZ,,MATCH("Juridiction",'ETPT Format DDG'!2:2,0)),$A$3)</f>
      </c>
      <c r="Q51" s="73">
        <f>SUMIFS(
INDEX('ETPT Format DDG'!$A:$FB,,IFERROR(MATCH(E51,'ETPT Format DDG'!$2:$2,0),MATCH(C51,'ETPT Format DDG'!$2:$2,0))),
INDEX( 'ETPT Format DDG'!$A:$ZZ,,MATCH("Fonction agrégat",'ETPT Format DDG'!2:2,0)),"F-PLAC-SUB",
INDEX( 'ETPT Format DDG'!$A:$ZZ,,MATCH("Juridiction",'ETPT Format DDG'!2:2,0)),$A$3)</f>
      </c>
      <c r="R51" s="73">
        <f>SUMIFS(
INDEX('ETPT Format DDG'!$A:$FB,,IFERROR(MATCH(E51,'ETPT Format DDG'!$2:$2,0),MATCH(C51,'ETPT Format DDG'!$2:$2,0))),
INDEX( 'ETPT Format DDG'!$A:$ZZ,,MATCH("Fonction agrégat",'ETPT Format DDG'!2:2,0)),"C",
'ETPT Format DDG'!$H:$H,"Greffe",
INDEX( 'ETPT Format DDG'!$A:$ZZ,,MATCH("Juridiction",'ETPT Format DDG'!2:2,0)),$A$3)</f>
      </c>
      <c r="S51" s="71">
        <f>SUMIFS(
INDEX('ETPT Format DDG'!$A:$FB,,IFERROR(MATCH(E51,'ETPT Format DDG'!$2:$2,0),MATCH(C51,'ETPT Format DDG'!$2:$2,0))),
INDEX( 'ETPT Format DDG'!$A:$ZZ,,MATCH("Catégorie",'ETPT Format DDG'!2:2,0)),"Greffe",
INDEX( 'ETPT Format DDG'!$A:$ZZ,,MATCH("Juridiction",'ETPT Format DDG'!2:2,0)),$A$3)</f>
      </c>
      <c r="T51" s="72">
        <f>IF(AND(OR(LEFT(C51,3)="12.",LEFT(E51,3)="12.",LEFT(E51,5)="CET &gt;",IFERROR(S51/$S$6,"")=0),NOT(AND(LEFT(E51,4)="12.8",IFERROR(G51/$G$6,"")&lt;&gt;0)),NOT(AND(LEFT(E51,5)="12.31",IFERROR(S51/$G$6,"")&lt;&gt;0)),NOT(AND(LEFT(E51,5)="12.32",IFERROR(S51/$G$6,"")&lt;&gt;0))),"", IFERROR(S51/$S$6,""))</f>
      </c>
      <c r="U51" s="71">
        <f>SUMIFS(
INDEX('ETPT Format DDG'!$A:$FB,,IFERROR(MATCH(E51,'ETPT Format DDG'!$2:$2,0),MATCH(C51,'ETPT Format DDG'!$2:$2,0))),
INDEX( 'ETPT Format DDG'!$A:$ZZ,,MATCH("Fonction agrégat",'ETPT Format DDG'!2:2,0)),"C",
INDEX( 'ETPT Format DDG'!$A:$ZZ,,MATCH("Juridiction",'ETPT Format DDG'!2:2,0)),$A$3,
INDEX( 'ETPT Format DDG'!$A:$ZZ,,MATCH("Catégorie",'ETPT Format DDG'!2:2,0)),"Autour du magistrat")</f>
      </c>
      <c r="V51" s="74">
        <f>IF(AND(OR(LEFT(C51,3)="12.",LEFT(E51,3)="12.",LEFT(E51,5)="CET &gt;",IFERROR(U51/$U$6,"")=0),NOT(AND(LEFT(E51,4)="12.8",IFERROR(G51/$G$6,"")&lt;&gt;0)),NOT(AND(LEFT(E51,5)="12.31",IFERROR(U51/$G$6,"")&lt;&gt;0)),NOT(AND(LEFT(E51,5)="12.32",IFERROR(U51/$G$6,"")&lt;&gt;0))),"", IFERROR(U51/$U$6,""))</f>
      </c>
    </row>
    <row r="52" ht="16" customHeight="1" spans="1:23" x14ac:dyDescent="0.25">
      <c r="A52" s="40"/>
      <c r="C52" s="68" t="s">
        <v>87</v>
      </c>
      <c r="D52" s="68" t="s">
        <v>87</v>
      </c>
      <c r="E52" s="69"/>
      <c r="F52" s="70"/>
      <c r="G52" s="71">
        <f>SUMIFS(
INDEX('ETPT Format DDG'!$A:$ZZ,,IFERROR(MATCH(E52,'ETPT Format DDG'!$2:$2,0),MATCH(C52,'ETPT Format DDG'!$2:$2,0))),
INDEX( 'ETPT Format DDG'!$A:$ZZ,,MATCH("Fonction agrégat",'ETPT Format DDG'!2:2,0)),"M-TIT",
INDEX( 'ETPT Format DDG'!$A:$ZZ,,MATCH("Juridiction",'ETPT Format DDG'!2:2,0)),$A$3)</f>
      </c>
      <c r="H52" s="72">
        <f>IF(AND(OR(LEFT(C52,3)="12.",LEFT(E52,3)="12.",LEFT(E52,5)="CET &gt;",IFERROR(G52/$G$6,"")=0),NOT(AND(LEFT(E52,4)="12.8",IFERROR(G52/$G$6,"")&lt;&gt;0)),NOT(AND(LEFT(E52,5)="12.31",IFERROR(G52/$G$6,"")&lt;&gt;0)),NOT(AND(LEFT(E52,5)="12.32",IFERROR(G52/$G$6,"")&lt;&gt;0))),"", IFERROR(G52/$G$6,""))</f>
      </c>
      <c r="I52" s="73">
        <f>SUMIFS(
INDEX('ETPT Format DDG'!$A:$ZZ,,IFERROR(MATCH(E52,'ETPT Format DDG'!$2:$2,0),MATCH(C52,'ETPT Format DDG'!$2:$2,0))),
INDEX( 'ETPT Format DDG'!$A:$ZZ,,MATCH("Fonction agrégat",'ETPT Format DDG'!2:2,0)),"M-PLAC-ADD",
INDEX( 'ETPT Format DDG'!$A:$ZZ,,MATCH("Juridiction",'ETPT Format DDG'!2:2,0)),$A$3)</f>
      </c>
      <c r="J52" s="73">
        <f>SUMIFS(
INDEX('ETPT Format DDG'!$A:$ZZ,,IFERROR(MATCH(E52,'ETPT Format DDG'!$2:$2,0),MATCH(C52,'ETPT Format DDG'!$2:$2,0))),
INDEX( 'ETPT Format DDG'!$A:$ZZ,,MATCH("Fonction agrégat",'ETPT Format DDG'!2:2,0)),"M-PLAC-SUB",
INDEX( 'ETPT Format DDG'!$A:$ZZ,,MATCH("Juridiction",'ETPT Format DDG'!2:2,0)),$A$3)</f>
      </c>
      <c r="K52" s="73">
        <f>SUMIFS(
INDEX('ETPT Format DDG'!$A:$ZZ,,IFERROR(MATCH(E52,'ETPT Format DDG'!$2:$2,0),MATCH(C52,'ETPT Format DDG'!$2:$2,0))),
INDEX( 'ETPT Format DDG'!$A:$ZZ,,MATCH("Fonction agrégat",'ETPT Format DDG'!2:2,0)),"M-CONT",
INDEX( 'ETPT Format DDG'!$A:$ZZ,,MATCH("Juridiction",'ETPT Format DDG'!2:2,0)),$A$3,
INDEX( 'ETPT Format DDG'!$A:$ZZ,,MATCH("Catégorie",'ETPT Format DDG'!2:2,0)),"Magistrat")</f>
      </c>
      <c r="L52" s="71">
        <f>SUMIFS(
INDEX('ETPT Format DDG'!$A:$ZZ,,IFERROR(MATCH(E52,'ETPT Format DDG'!$2:$2,0),MATCH(C52,'ETPT Format DDG'!$2:$2,0))),
INDEX( 'ETPT Format DDG'!$A:$ZZ,,MATCH("Juridiction",'ETPT Format DDG'!2:2,0)),$A$3,
INDEX( 'ETPT Format DDG'!$A:$ZZ,,MATCH("Catégorie",'ETPT Format DDG'!2:2,0)),"Magistrat")</f>
      </c>
      <c r="M52" s="74">
        <f>IF(AND(OR(LEFT(C52,3)="12.",LEFT(E52,3)="12.",LEFT(E52,5)="CET &gt;", IFERROR(L52/$L$6,"")=0),NOT(AND(LEFT(E52,4)="12.8",IFERROR(G52/$G$6,"")&lt;&gt;0)),NOT(AND(LEFT(E52,5)="12.31",IFERROR(L52/$G$6,"")&lt;&gt;0)),NOT(AND(LEFT(E52,5)="12.32",IFERROR(L52/$G$6,"")&lt;&gt;0))),"", IFERROR(L52/$L$6,""))</f>
      </c>
      <c r="N52" s="73">
        <f>SUMIFS(
INDEX('ETPT Format DDG'!$A:$ZZ,,IFERROR(MATCH(E52,'ETPT Format DDG'!$2:$2,0),MATCH(C52,'ETPT Format DDG'!$2:$2,0))),
INDEX( 'ETPT Format DDG'!$A:$ZZ,,MATCH("Fonction agrégat",'ETPT Format DDG'!2:2,0)),"F-TIT",
INDEX( 'ETPT Format DDG'!$A:$ZZ,,MATCH("Juridiction",'ETPT Format DDG'!2:2,0)),$A$3)</f>
      </c>
      <c r="O52" s="72">
        <f>IF(AND(OR(LEFT(C52,3)="12.",LEFT(E52,3)="12.",LEFT(E52,5)="CET &gt;",IFERROR(N52/$N$6,"")=0),NOT(AND(LEFT(E52,4)="12.8",IFERROR(G52/$G$6,"")&lt;&gt;0)),NOT(AND(LEFT(E52,5)="12.31",IFERROR(N52/$G$6,"")&lt;&gt;0)),NOT(AND(LEFT(E52,5)="12.32",IFERROR(N52/$G$6,"")&lt;&gt;0))),"",IFERROR(N52/$N$6,""))</f>
      </c>
      <c r="P52" s="73">
        <f>SUMIFS(
INDEX('ETPT Format DDG'!$A:$FB,,IFERROR(MATCH(E52,'ETPT Format DDG'!$2:$2,0),MATCH(C52,'ETPT Format DDG'!$2:$2,0))),
INDEX( 'ETPT Format DDG'!$A:$ZZ,,MATCH("Fonction agrégat",'ETPT Format DDG'!2:2,0)),"F-PLAC-ADD",
INDEX( 'ETPT Format DDG'!$A:$ZZ,,MATCH("Juridiction",'ETPT Format DDG'!2:2,0)),$A$3)</f>
      </c>
      <c r="Q52" s="73">
        <f>SUMIFS(
INDEX('ETPT Format DDG'!$A:$FB,,IFERROR(MATCH(E52,'ETPT Format DDG'!$2:$2,0),MATCH(C52,'ETPT Format DDG'!$2:$2,0))),
INDEX( 'ETPT Format DDG'!$A:$ZZ,,MATCH("Fonction agrégat",'ETPT Format DDG'!2:2,0)),"F-PLAC-SUB",
INDEX( 'ETPT Format DDG'!$A:$ZZ,,MATCH("Juridiction",'ETPT Format DDG'!2:2,0)),$A$3)</f>
      </c>
      <c r="R52" s="73">
        <f>SUMIFS(
INDEX('ETPT Format DDG'!$A:$FB,,IFERROR(MATCH(E52,'ETPT Format DDG'!$2:$2,0),MATCH(C52,'ETPT Format DDG'!$2:$2,0))),
INDEX( 'ETPT Format DDG'!$A:$ZZ,,MATCH("Fonction agrégat",'ETPT Format DDG'!2:2,0)),"C",
'ETPT Format DDG'!$H:$H,"Greffe",
INDEX( 'ETPT Format DDG'!$A:$ZZ,,MATCH("Juridiction",'ETPT Format DDG'!2:2,0)),$A$3)</f>
      </c>
      <c r="S52" s="71">
        <f>SUMIFS(
INDEX('ETPT Format DDG'!$A:$FB,,IFERROR(MATCH(E52,'ETPT Format DDG'!$2:$2,0),MATCH(C52,'ETPT Format DDG'!$2:$2,0))),
INDEX( 'ETPT Format DDG'!$A:$ZZ,,MATCH("Catégorie",'ETPT Format DDG'!2:2,0)),"Greffe",
INDEX( 'ETPT Format DDG'!$A:$ZZ,,MATCH("Juridiction",'ETPT Format DDG'!2:2,0)),$A$3)</f>
      </c>
      <c r="T52" s="72">
        <f>IF(AND(OR(LEFT(C52,3)="12.",LEFT(E52,3)="12.",LEFT(E52,5)="CET &gt;",IFERROR(S52/$S$6,"")=0),NOT(AND(LEFT(E52,4)="12.8",IFERROR(G52/$G$6,"")&lt;&gt;0)),NOT(AND(LEFT(E52,5)="12.31",IFERROR(S52/$G$6,"")&lt;&gt;0)),NOT(AND(LEFT(E52,5)="12.32",IFERROR(S52/$G$6,"")&lt;&gt;0))),"", IFERROR(S52/$S$6,""))</f>
      </c>
      <c r="U52" s="71">
        <f>SUMIFS(
INDEX('ETPT Format DDG'!$A:$FB,,IFERROR(MATCH(E52,'ETPT Format DDG'!$2:$2,0),MATCH(C52,'ETPT Format DDG'!$2:$2,0))),
INDEX( 'ETPT Format DDG'!$A:$ZZ,,MATCH("Fonction agrégat",'ETPT Format DDG'!2:2,0)),"C",
INDEX( 'ETPT Format DDG'!$A:$ZZ,,MATCH("Juridiction",'ETPT Format DDG'!2:2,0)),$A$3,
INDEX( 'ETPT Format DDG'!$A:$ZZ,,MATCH("Catégorie",'ETPT Format DDG'!2:2,0)),"Autour du magistrat")</f>
      </c>
      <c r="V52" s="74">
        <f>IF(AND(OR(LEFT(C52,3)="12.",LEFT(E52,3)="12.",LEFT(E52,5)="CET &gt;",IFERROR(U52/$U$6,"")=0),NOT(AND(LEFT(E52,4)="12.8",IFERROR(G52/$G$6,"")&lt;&gt;0)),NOT(AND(LEFT(E52,5)="12.31",IFERROR(U52/$G$6,"")&lt;&gt;0)),NOT(AND(LEFT(E52,5)="12.32",IFERROR(U52/$G$6,"")&lt;&gt;0))),"", IFERROR(U52/$U$6,""))</f>
      </c>
    </row>
    <row r="53" ht="16" customHeight="1" spans="1:23" x14ac:dyDescent="0.25">
      <c r="A53" s="40"/>
      <c r="C53" s="68"/>
      <c r="D53" s="68"/>
      <c r="E53" s="69" t="s">
        <v>88</v>
      </c>
      <c r="F53" s="70" t="s">
        <v>88</v>
      </c>
      <c r="G53" s="71">
        <f>SUMIFS(
INDEX('ETPT Format DDG'!$A:$ZZ,,IFERROR(MATCH(E53,'ETPT Format DDG'!$2:$2,0),MATCH(C53,'ETPT Format DDG'!$2:$2,0))),
INDEX( 'ETPT Format DDG'!$A:$ZZ,,MATCH("Fonction agrégat",'ETPT Format DDG'!2:2,0)),"M-TIT",
INDEX( 'ETPT Format DDG'!$A:$ZZ,,MATCH("Juridiction",'ETPT Format DDG'!2:2,0)),$A$3)</f>
      </c>
      <c r="H53" s="72">
        <f>IF(AND(OR(LEFT(C53,3)="12.",LEFT(E53,3)="12.",LEFT(E53,5)="CET &gt;",IFERROR(G53/$G$6,"")=0),NOT(AND(LEFT(E53,4)="12.8",IFERROR(G53/$G$6,"")&lt;&gt;0)),NOT(AND(LEFT(E53,5)="12.31",IFERROR(G53/$G$6,"")&lt;&gt;0)),NOT(AND(LEFT(E53,5)="12.32",IFERROR(G53/$G$6,"")&lt;&gt;0))),"", IFERROR(G53/$G$6,""))</f>
      </c>
      <c r="I53" s="73">
        <f>SUMIFS(
INDEX('ETPT Format DDG'!$A:$ZZ,,IFERROR(MATCH(E53,'ETPT Format DDG'!$2:$2,0),MATCH(C53,'ETPT Format DDG'!$2:$2,0))),
INDEX( 'ETPT Format DDG'!$A:$ZZ,,MATCH("Fonction agrégat",'ETPT Format DDG'!2:2,0)),"M-PLAC-ADD",
INDEX( 'ETPT Format DDG'!$A:$ZZ,,MATCH("Juridiction",'ETPT Format DDG'!2:2,0)),$A$3)</f>
      </c>
      <c r="J53" s="73">
        <f>SUMIFS(
INDEX('ETPT Format DDG'!$A:$ZZ,,IFERROR(MATCH(E53,'ETPT Format DDG'!$2:$2,0),MATCH(C53,'ETPT Format DDG'!$2:$2,0))),
INDEX( 'ETPT Format DDG'!$A:$ZZ,,MATCH("Fonction agrégat",'ETPT Format DDG'!2:2,0)),"M-PLAC-SUB",
INDEX( 'ETPT Format DDG'!$A:$ZZ,,MATCH("Juridiction",'ETPT Format DDG'!2:2,0)),$A$3)</f>
      </c>
      <c r="K53" s="73">
        <f>SUMIFS(
INDEX('ETPT Format DDG'!$A:$ZZ,,IFERROR(MATCH(E53,'ETPT Format DDG'!$2:$2,0),MATCH(C53,'ETPT Format DDG'!$2:$2,0))),
INDEX( 'ETPT Format DDG'!$A:$ZZ,,MATCH("Fonction agrégat",'ETPT Format DDG'!2:2,0)),"M-CONT",
INDEX( 'ETPT Format DDG'!$A:$ZZ,,MATCH("Juridiction",'ETPT Format DDG'!2:2,0)),$A$3,
INDEX( 'ETPT Format DDG'!$A:$ZZ,,MATCH("Catégorie",'ETPT Format DDG'!2:2,0)),"Magistrat")</f>
      </c>
      <c r="L53" s="71">
        <f>SUMIFS(
INDEX('ETPT Format DDG'!$A:$ZZ,,IFERROR(MATCH(E53,'ETPT Format DDG'!$2:$2,0),MATCH(C53,'ETPT Format DDG'!$2:$2,0))),
INDEX( 'ETPT Format DDG'!$A:$ZZ,,MATCH("Juridiction",'ETPT Format DDG'!2:2,0)),$A$3,
INDEX( 'ETPT Format DDG'!$A:$ZZ,,MATCH("Catégorie",'ETPT Format DDG'!2:2,0)),"Magistrat")</f>
      </c>
      <c r="M53" s="74">
        <f>IF(AND(OR(LEFT(C53,3)="12.",LEFT(E53,3)="12.",LEFT(E53,5)="CET &gt;", IFERROR(L53/$L$6,"")=0),NOT(AND(LEFT(E53,4)="12.8",IFERROR(G53/$G$6,"")&lt;&gt;0)),NOT(AND(LEFT(E53,5)="12.31",IFERROR(L53/$G$6,"")&lt;&gt;0)),NOT(AND(LEFT(E53,5)="12.32",IFERROR(L53/$G$6,"")&lt;&gt;0))),"", IFERROR(L53/$L$6,""))</f>
      </c>
      <c r="N53" s="73">
        <f>SUMIFS(
INDEX('ETPT Format DDG'!$A:$ZZ,,IFERROR(MATCH(E53,'ETPT Format DDG'!$2:$2,0),MATCH(C53,'ETPT Format DDG'!$2:$2,0))),
INDEX( 'ETPT Format DDG'!$A:$ZZ,,MATCH("Fonction agrégat",'ETPT Format DDG'!2:2,0)),"F-TIT",
INDEX( 'ETPT Format DDG'!$A:$ZZ,,MATCH("Juridiction",'ETPT Format DDG'!2:2,0)),$A$3)</f>
      </c>
      <c r="O53" s="72">
        <f>IF(AND(OR(LEFT(C53,3)="12.",LEFT(E53,3)="12.",LEFT(E53,5)="CET &gt;",IFERROR(N53/$N$6,"")=0),NOT(AND(LEFT(E53,4)="12.8",IFERROR(G53/$G$6,"")&lt;&gt;0)),NOT(AND(LEFT(E53,5)="12.31",IFERROR(N53/$G$6,"")&lt;&gt;0)),NOT(AND(LEFT(E53,5)="12.32",IFERROR(N53/$G$6,"")&lt;&gt;0))),"",IFERROR(N53/$N$6,""))</f>
      </c>
      <c r="P53" s="73">
        <f>SUMIFS(
INDEX('ETPT Format DDG'!$A:$FB,,IFERROR(MATCH(E53,'ETPT Format DDG'!$2:$2,0),MATCH(C53,'ETPT Format DDG'!$2:$2,0))),
INDEX( 'ETPT Format DDG'!$A:$ZZ,,MATCH("Fonction agrégat",'ETPT Format DDG'!2:2,0)),"F-PLAC-ADD",
INDEX( 'ETPT Format DDG'!$A:$ZZ,,MATCH("Juridiction",'ETPT Format DDG'!2:2,0)),$A$3)</f>
      </c>
      <c r="Q53" s="73">
        <f>SUMIFS(
INDEX('ETPT Format DDG'!$A:$FB,,IFERROR(MATCH(E53,'ETPT Format DDG'!$2:$2,0),MATCH(C53,'ETPT Format DDG'!$2:$2,0))),
INDEX( 'ETPT Format DDG'!$A:$ZZ,,MATCH("Fonction agrégat",'ETPT Format DDG'!2:2,0)),"F-PLAC-SUB",
INDEX( 'ETPT Format DDG'!$A:$ZZ,,MATCH("Juridiction",'ETPT Format DDG'!2:2,0)),$A$3)</f>
      </c>
      <c r="R53" s="73">
        <f>SUMIFS(
INDEX('ETPT Format DDG'!$A:$FB,,IFERROR(MATCH(E53,'ETPT Format DDG'!$2:$2,0),MATCH(C53,'ETPT Format DDG'!$2:$2,0))),
INDEX( 'ETPT Format DDG'!$A:$ZZ,,MATCH("Fonction agrégat",'ETPT Format DDG'!2:2,0)),"C",
'ETPT Format DDG'!$H:$H,"Greffe",
INDEX( 'ETPT Format DDG'!$A:$ZZ,,MATCH("Juridiction",'ETPT Format DDG'!2:2,0)),$A$3)</f>
      </c>
      <c r="S53" s="71">
        <f>SUMIFS(
INDEX('ETPT Format DDG'!$A:$FB,,IFERROR(MATCH(E53,'ETPT Format DDG'!$2:$2,0),MATCH(C53,'ETPT Format DDG'!$2:$2,0))),
INDEX( 'ETPT Format DDG'!$A:$ZZ,,MATCH("Catégorie",'ETPT Format DDG'!2:2,0)),"Greffe",
INDEX( 'ETPT Format DDG'!$A:$ZZ,,MATCH("Juridiction",'ETPT Format DDG'!2:2,0)),$A$3)</f>
      </c>
      <c r="T53" s="72">
        <f>IF(AND(OR(LEFT(C53,3)="12.",LEFT(E53,3)="12.",LEFT(E53,5)="CET &gt;",IFERROR(S53/$S$6,"")=0),NOT(AND(LEFT(E53,4)="12.8",IFERROR(G53/$G$6,"")&lt;&gt;0)),NOT(AND(LEFT(E53,5)="12.31",IFERROR(S53/$G$6,"")&lt;&gt;0)),NOT(AND(LEFT(E53,5)="12.32",IFERROR(S53/$G$6,"")&lt;&gt;0))),"", IFERROR(S53/$S$6,""))</f>
      </c>
      <c r="U53" s="71">
        <f>SUMIFS(
INDEX('ETPT Format DDG'!$A:$FB,,IFERROR(MATCH(E53,'ETPT Format DDG'!$2:$2,0),MATCH(C53,'ETPT Format DDG'!$2:$2,0))),
INDEX( 'ETPT Format DDG'!$A:$ZZ,,MATCH("Fonction agrégat",'ETPT Format DDG'!2:2,0)),"C",
INDEX( 'ETPT Format DDG'!$A:$ZZ,,MATCH("Juridiction",'ETPT Format DDG'!2:2,0)),$A$3,
INDEX( 'ETPT Format DDG'!$A:$ZZ,,MATCH("Catégorie",'ETPT Format DDG'!2:2,0)),"Autour du magistrat")</f>
      </c>
      <c r="V53" s="74">
        <f>IF(AND(OR(LEFT(C53,3)="12.",LEFT(E53,3)="12.",LEFT(E53,5)="CET &gt;",IFERROR(U53/$U$6,"")=0),NOT(AND(LEFT(E53,4)="12.8",IFERROR(G53/$G$6,"")&lt;&gt;0)),NOT(AND(LEFT(E53,5)="12.31",IFERROR(U53/$G$6,"")&lt;&gt;0)),NOT(AND(LEFT(E53,5)="12.32",IFERROR(U53/$G$6,"")&lt;&gt;0))),"", IFERROR(U53/$U$6,""))</f>
      </c>
    </row>
    <row r="54" ht="16" customHeight="1" spans="1:23" x14ac:dyDescent="0.25">
      <c r="A54" s="40"/>
      <c r="C54" s="68"/>
      <c r="D54" s="68"/>
      <c r="E54" s="69" t="s">
        <v>89</v>
      </c>
      <c r="F54" s="70" t="s">
        <v>89</v>
      </c>
      <c r="G54" s="71">
        <f>SUMIFS(
INDEX('ETPT Format DDG'!$A:$ZZ,,IFERROR(MATCH(E54,'ETPT Format DDG'!$2:$2,0),MATCH(C54,'ETPT Format DDG'!$2:$2,0))),
INDEX( 'ETPT Format DDG'!$A:$ZZ,,MATCH("Fonction agrégat",'ETPT Format DDG'!2:2,0)),"M-TIT",
INDEX( 'ETPT Format DDG'!$A:$ZZ,,MATCH("Juridiction",'ETPT Format DDG'!2:2,0)),$A$3)</f>
      </c>
      <c r="H54" s="72">
        <f>IF(AND(OR(LEFT(C54,3)="12.",LEFT(E54,3)="12.",LEFT(E54,5)="CET &gt;",IFERROR(G54/$G$6,"")=0),NOT(AND(LEFT(E54,4)="12.8",IFERROR(G54/$G$6,"")&lt;&gt;0)),NOT(AND(LEFT(E54,5)="12.31",IFERROR(G54/$G$6,"")&lt;&gt;0)),NOT(AND(LEFT(E54,5)="12.32",IFERROR(G54/$G$6,"")&lt;&gt;0))),"", IFERROR(G54/$G$6,""))</f>
      </c>
      <c r="I54" s="73">
        <f>SUMIFS(
INDEX('ETPT Format DDG'!$A:$ZZ,,IFERROR(MATCH(E54,'ETPT Format DDG'!$2:$2,0),MATCH(C54,'ETPT Format DDG'!$2:$2,0))),
INDEX( 'ETPT Format DDG'!$A:$ZZ,,MATCH("Fonction agrégat",'ETPT Format DDG'!2:2,0)),"M-PLAC-ADD",
INDEX( 'ETPT Format DDG'!$A:$ZZ,,MATCH("Juridiction",'ETPT Format DDG'!2:2,0)),$A$3)</f>
      </c>
      <c r="J54" s="73">
        <f>SUMIFS(
INDEX('ETPT Format DDG'!$A:$ZZ,,IFERROR(MATCH(E54,'ETPT Format DDG'!$2:$2,0),MATCH(C54,'ETPT Format DDG'!$2:$2,0))),
INDEX( 'ETPT Format DDG'!$A:$ZZ,,MATCH("Fonction agrégat",'ETPT Format DDG'!2:2,0)),"M-PLAC-SUB",
INDEX( 'ETPT Format DDG'!$A:$ZZ,,MATCH("Juridiction",'ETPT Format DDG'!2:2,0)),$A$3)</f>
      </c>
      <c r="K54" s="73">
        <f>SUMIFS(
INDEX('ETPT Format DDG'!$A:$ZZ,,IFERROR(MATCH(E54,'ETPT Format DDG'!$2:$2,0),MATCH(C54,'ETPT Format DDG'!$2:$2,0))),
INDEX( 'ETPT Format DDG'!$A:$ZZ,,MATCH("Fonction agrégat",'ETPT Format DDG'!2:2,0)),"M-CONT",
INDEX( 'ETPT Format DDG'!$A:$ZZ,,MATCH("Juridiction",'ETPT Format DDG'!2:2,0)),$A$3,
INDEX( 'ETPT Format DDG'!$A:$ZZ,,MATCH("Catégorie",'ETPT Format DDG'!2:2,0)),"Magistrat")</f>
      </c>
      <c r="L54" s="71">
        <f>SUMIFS(
INDEX('ETPT Format DDG'!$A:$ZZ,,IFERROR(MATCH(E54,'ETPT Format DDG'!$2:$2,0),MATCH(C54,'ETPT Format DDG'!$2:$2,0))),
INDEX( 'ETPT Format DDG'!$A:$ZZ,,MATCH("Juridiction",'ETPT Format DDG'!2:2,0)),$A$3,
INDEX( 'ETPT Format DDG'!$A:$ZZ,,MATCH("Catégorie",'ETPT Format DDG'!2:2,0)),"Magistrat")</f>
      </c>
      <c r="M54" s="74">
        <f>IF(AND(OR(LEFT(C54,3)="12.",LEFT(E54,3)="12.",LEFT(E54,5)="CET &gt;", IFERROR(L54/$L$6,"")=0),NOT(AND(LEFT(E54,4)="12.8",IFERROR(G54/$G$6,"")&lt;&gt;0)),NOT(AND(LEFT(E54,5)="12.31",IFERROR(L54/$G$6,"")&lt;&gt;0)),NOT(AND(LEFT(E54,5)="12.32",IFERROR(L54/$G$6,"")&lt;&gt;0))),"", IFERROR(L54/$L$6,""))</f>
      </c>
      <c r="N54" s="73">
        <f>SUMIFS(
INDEX('ETPT Format DDG'!$A:$ZZ,,IFERROR(MATCH(E54,'ETPT Format DDG'!$2:$2,0),MATCH(C54,'ETPT Format DDG'!$2:$2,0))),
INDEX( 'ETPT Format DDG'!$A:$ZZ,,MATCH("Fonction agrégat",'ETPT Format DDG'!2:2,0)),"F-TIT",
INDEX( 'ETPT Format DDG'!$A:$ZZ,,MATCH("Juridiction",'ETPT Format DDG'!2:2,0)),$A$3)</f>
      </c>
      <c r="O54" s="72">
        <f>IF(AND(OR(LEFT(C54,3)="12.",LEFT(E54,3)="12.",LEFT(E54,5)="CET &gt;",IFERROR(N54/$N$6,"")=0),NOT(AND(LEFT(E54,4)="12.8",IFERROR(G54/$G$6,"")&lt;&gt;0)),NOT(AND(LEFT(E54,5)="12.31",IFERROR(N54/$G$6,"")&lt;&gt;0)),NOT(AND(LEFT(E54,5)="12.32",IFERROR(N54/$G$6,"")&lt;&gt;0))),"",IFERROR(N54/$N$6,""))</f>
      </c>
      <c r="P54" s="73">
        <f>SUMIFS(
INDEX('ETPT Format DDG'!$A:$FB,,IFERROR(MATCH(E54,'ETPT Format DDG'!$2:$2,0),MATCH(C54,'ETPT Format DDG'!$2:$2,0))),
INDEX( 'ETPT Format DDG'!$A:$ZZ,,MATCH("Fonction agrégat",'ETPT Format DDG'!2:2,0)),"F-PLAC-ADD",
INDEX( 'ETPT Format DDG'!$A:$ZZ,,MATCH("Juridiction",'ETPT Format DDG'!2:2,0)),$A$3)</f>
      </c>
      <c r="Q54" s="73">
        <f>SUMIFS(
INDEX('ETPT Format DDG'!$A:$FB,,IFERROR(MATCH(E54,'ETPT Format DDG'!$2:$2,0),MATCH(C54,'ETPT Format DDG'!$2:$2,0))),
INDEX( 'ETPT Format DDG'!$A:$ZZ,,MATCH("Fonction agrégat",'ETPT Format DDG'!2:2,0)),"F-PLAC-SUB",
INDEX( 'ETPT Format DDG'!$A:$ZZ,,MATCH("Juridiction",'ETPT Format DDG'!2:2,0)),$A$3)</f>
      </c>
      <c r="R54" s="73">
        <f>SUMIFS(
INDEX('ETPT Format DDG'!$A:$FB,,IFERROR(MATCH(E54,'ETPT Format DDG'!$2:$2,0),MATCH(C54,'ETPT Format DDG'!$2:$2,0))),
INDEX( 'ETPT Format DDG'!$A:$ZZ,,MATCH("Fonction agrégat",'ETPT Format DDG'!2:2,0)),"C",
'ETPT Format DDG'!$H:$H,"Greffe",
INDEX( 'ETPT Format DDG'!$A:$ZZ,,MATCH("Juridiction",'ETPT Format DDG'!2:2,0)),$A$3)</f>
      </c>
      <c r="S54" s="71">
        <f>SUMIFS(
INDEX('ETPT Format DDG'!$A:$FB,,IFERROR(MATCH(E54,'ETPT Format DDG'!$2:$2,0),MATCH(C54,'ETPT Format DDG'!$2:$2,0))),
INDEX( 'ETPT Format DDG'!$A:$ZZ,,MATCH("Catégorie",'ETPT Format DDG'!2:2,0)),"Greffe",
INDEX( 'ETPT Format DDG'!$A:$ZZ,,MATCH("Juridiction",'ETPT Format DDG'!2:2,0)),$A$3)</f>
      </c>
      <c r="T54" s="72">
        <f>IF(AND(OR(LEFT(C54,3)="12.",LEFT(E54,3)="12.",LEFT(E54,5)="CET &gt;",IFERROR(S54/$S$6,"")=0),NOT(AND(LEFT(E54,4)="12.8",IFERROR(G54/$G$6,"")&lt;&gt;0)),NOT(AND(LEFT(E54,5)="12.31",IFERROR(S54/$G$6,"")&lt;&gt;0)),NOT(AND(LEFT(E54,5)="12.32",IFERROR(S54/$G$6,"")&lt;&gt;0))),"", IFERROR(S54/$S$6,""))</f>
      </c>
      <c r="U54" s="71">
        <f>SUMIFS(
INDEX('ETPT Format DDG'!$A:$FB,,IFERROR(MATCH(E54,'ETPT Format DDG'!$2:$2,0),MATCH(C54,'ETPT Format DDG'!$2:$2,0))),
INDEX( 'ETPT Format DDG'!$A:$ZZ,,MATCH("Fonction agrégat",'ETPT Format DDG'!2:2,0)),"C",
INDEX( 'ETPT Format DDG'!$A:$ZZ,,MATCH("Juridiction",'ETPT Format DDG'!2:2,0)),$A$3,
INDEX( 'ETPT Format DDG'!$A:$ZZ,,MATCH("Catégorie",'ETPT Format DDG'!2:2,0)),"Autour du magistrat")</f>
      </c>
      <c r="V54" s="74">
        <f>IF(AND(OR(LEFT(C54,3)="12.",LEFT(E54,3)="12.",LEFT(E54,5)="CET &gt;",IFERROR(U54/$U$6,"")=0),NOT(AND(LEFT(E54,4)="12.8",IFERROR(G54/$G$6,"")&lt;&gt;0)),NOT(AND(LEFT(E54,5)="12.31",IFERROR(U54/$G$6,"")&lt;&gt;0)),NOT(AND(LEFT(E54,5)="12.32",IFERROR(U54/$G$6,"")&lt;&gt;0))),"", IFERROR(U54/$U$6,""))</f>
      </c>
    </row>
    <row r="55" ht="16" customHeight="1" spans="1:23" x14ac:dyDescent="0.25">
      <c r="A55" s="40"/>
      <c r="C55" s="68"/>
      <c r="D55" s="68"/>
      <c r="E55" s="69" t="s">
        <v>90</v>
      </c>
      <c r="F55" s="70" t="s">
        <v>90</v>
      </c>
      <c r="G55" s="71">
        <f>SUMIFS(
INDEX('ETPT Format DDG'!$A:$ZZ,,IFERROR(MATCH(E55,'ETPT Format DDG'!$2:$2,0),MATCH(C55,'ETPT Format DDG'!$2:$2,0))),
INDEX( 'ETPT Format DDG'!$A:$ZZ,,MATCH("Fonction agrégat",'ETPT Format DDG'!2:2,0)),"M-TIT",
INDEX( 'ETPT Format DDG'!$A:$ZZ,,MATCH("Juridiction",'ETPT Format DDG'!2:2,0)),$A$3)</f>
      </c>
      <c r="H55" s="72">
        <f>IF(AND(OR(LEFT(C55,3)="12.",LEFT(E55,3)="12.",LEFT(E55,5)="CET &gt;",IFERROR(G55/$G$6,"")=0),NOT(AND(LEFT(E55,4)="12.8",IFERROR(G55/$G$6,"")&lt;&gt;0)),NOT(AND(LEFT(E55,5)="12.31",IFERROR(G55/$G$6,"")&lt;&gt;0)),NOT(AND(LEFT(E55,5)="12.32",IFERROR(G55/$G$6,"")&lt;&gt;0))),"", IFERROR(G55/$G$6,""))</f>
      </c>
      <c r="I55" s="73">
        <f>SUMIFS(
INDEX('ETPT Format DDG'!$A:$ZZ,,IFERROR(MATCH(E55,'ETPT Format DDG'!$2:$2,0),MATCH(C55,'ETPT Format DDG'!$2:$2,0))),
INDEX( 'ETPT Format DDG'!$A:$ZZ,,MATCH("Fonction agrégat",'ETPT Format DDG'!2:2,0)),"M-PLAC-ADD",
INDEX( 'ETPT Format DDG'!$A:$ZZ,,MATCH("Juridiction",'ETPT Format DDG'!2:2,0)),$A$3)</f>
      </c>
      <c r="J55" s="73">
        <f>SUMIFS(
INDEX('ETPT Format DDG'!$A:$ZZ,,IFERROR(MATCH(E55,'ETPT Format DDG'!$2:$2,0),MATCH(C55,'ETPT Format DDG'!$2:$2,0))),
INDEX( 'ETPT Format DDG'!$A:$ZZ,,MATCH("Fonction agrégat",'ETPT Format DDG'!2:2,0)),"M-PLAC-SUB",
INDEX( 'ETPT Format DDG'!$A:$ZZ,,MATCH("Juridiction",'ETPT Format DDG'!2:2,0)),$A$3)</f>
      </c>
      <c r="K55" s="73">
        <f>SUMIFS(
INDEX('ETPT Format DDG'!$A:$ZZ,,IFERROR(MATCH(E55,'ETPT Format DDG'!$2:$2,0),MATCH(C55,'ETPT Format DDG'!$2:$2,0))),
INDEX( 'ETPT Format DDG'!$A:$ZZ,,MATCH("Fonction agrégat",'ETPT Format DDG'!2:2,0)),"M-CONT",
INDEX( 'ETPT Format DDG'!$A:$ZZ,,MATCH("Juridiction",'ETPT Format DDG'!2:2,0)),$A$3,
INDEX( 'ETPT Format DDG'!$A:$ZZ,,MATCH("Catégorie",'ETPT Format DDG'!2:2,0)),"Magistrat")</f>
      </c>
      <c r="L55" s="71">
        <f>SUMIFS(
INDEX('ETPT Format DDG'!$A:$ZZ,,IFERROR(MATCH(E55,'ETPT Format DDG'!$2:$2,0),MATCH(C55,'ETPT Format DDG'!$2:$2,0))),
INDEX( 'ETPT Format DDG'!$A:$ZZ,,MATCH("Juridiction",'ETPT Format DDG'!2:2,0)),$A$3,
INDEX( 'ETPT Format DDG'!$A:$ZZ,,MATCH("Catégorie",'ETPT Format DDG'!2:2,0)),"Magistrat")</f>
      </c>
      <c r="M55" s="74">
        <f>IF(AND(OR(LEFT(C55,3)="12.",LEFT(E55,3)="12.",LEFT(E55,5)="CET &gt;", IFERROR(L55/$L$6,"")=0),NOT(AND(LEFT(E55,4)="12.8",IFERROR(G55/$G$6,"")&lt;&gt;0)),NOT(AND(LEFT(E55,5)="12.31",IFERROR(L55/$G$6,"")&lt;&gt;0)),NOT(AND(LEFT(E55,5)="12.32",IFERROR(L55/$G$6,"")&lt;&gt;0))),"", IFERROR(L55/$L$6,""))</f>
      </c>
      <c r="N55" s="73">
        <f>SUMIFS(
INDEX('ETPT Format DDG'!$A:$ZZ,,IFERROR(MATCH(E55,'ETPT Format DDG'!$2:$2,0),MATCH(C55,'ETPT Format DDG'!$2:$2,0))),
INDEX( 'ETPT Format DDG'!$A:$ZZ,,MATCH("Fonction agrégat",'ETPT Format DDG'!2:2,0)),"F-TIT",
INDEX( 'ETPT Format DDG'!$A:$ZZ,,MATCH("Juridiction",'ETPT Format DDG'!2:2,0)),$A$3)</f>
      </c>
      <c r="O55" s="72">
        <f>IF(AND(OR(LEFT(C55,3)="12.",LEFT(E55,3)="12.",LEFT(E55,5)="CET &gt;",IFERROR(N55/$N$6,"")=0),NOT(AND(LEFT(E55,4)="12.8",IFERROR(G55/$G$6,"")&lt;&gt;0)),NOT(AND(LEFT(E55,5)="12.31",IFERROR(N55/$G$6,"")&lt;&gt;0)),NOT(AND(LEFT(E55,5)="12.32",IFERROR(N55/$G$6,"")&lt;&gt;0))),"",IFERROR(N55/$N$6,""))</f>
      </c>
      <c r="P55" s="73">
        <f>SUMIFS(
INDEX('ETPT Format DDG'!$A:$FB,,IFERROR(MATCH(E55,'ETPT Format DDG'!$2:$2,0),MATCH(C55,'ETPT Format DDG'!$2:$2,0))),
INDEX( 'ETPT Format DDG'!$A:$ZZ,,MATCH("Fonction agrégat",'ETPT Format DDG'!2:2,0)),"F-PLAC-ADD",
INDEX( 'ETPT Format DDG'!$A:$ZZ,,MATCH("Juridiction",'ETPT Format DDG'!2:2,0)),$A$3)</f>
      </c>
      <c r="Q55" s="73">
        <f>SUMIFS(
INDEX('ETPT Format DDG'!$A:$FB,,IFERROR(MATCH(E55,'ETPT Format DDG'!$2:$2,0),MATCH(C55,'ETPT Format DDG'!$2:$2,0))),
INDEX( 'ETPT Format DDG'!$A:$ZZ,,MATCH("Fonction agrégat",'ETPT Format DDG'!2:2,0)),"F-PLAC-SUB",
INDEX( 'ETPT Format DDG'!$A:$ZZ,,MATCH("Juridiction",'ETPT Format DDG'!2:2,0)),$A$3)</f>
      </c>
      <c r="R55" s="73">
        <f>SUMIFS(
INDEX('ETPT Format DDG'!$A:$FB,,IFERROR(MATCH(E55,'ETPT Format DDG'!$2:$2,0),MATCH(C55,'ETPT Format DDG'!$2:$2,0))),
INDEX( 'ETPT Format DDG'!$A:$ZZ,,MATCH("Fonction agrégat",'ETPT Format DDG'!2:2,0)),"C",
'ETPT Format DDG'!$H:$H,"Greffe",
INDEX( 'ETPT Format DDG'!$A:$ZZ,,MATCH("Juridiction",'ETPT Format DDG'!2:2,0)),$A$3)</f>
      </c>
      <c r="S55" s="71">
        <f>SUMIFS(
INDEX('ETPT Format DDG'!$A:$FB,,IFERROR(MATCH(E55,'ETPT Format DDG'!$2:$2,0),MATCH(C55,'ETPT Format DDG'!$2:$2,0))),
INDEX( 'ETPT Format DDG'!$A:$ZZ,,MATCH("Catégorie",'ETPT Format DDG'!2:2,0)),"Greffe",
INDEX( 'ETPT Format DDG'!$A:$ZZ,,MATCH("Juridiction",'ETPT Format DDG'!2:2,0)),$A$3)</f>
      </c>
      <c r="T55" s="72">
        <f>IF(AND(OR(LEFT(C55,3)="12.",LEFT(E55,3)="12.",LEFT(E55,5)="CET &gt;",IFERROR(S55/$S$6,"")=0),NOT(AND(LEFT(E55,4)="12.8",IFERROR(G55/$G$6,"")&lt;&gt;0)),NOT(AND(LEFT(E55,5)="12.31",IFERROR(S55/$G$6,"")&lt;&gt;0)),NOT(AND(LEFT(E55,5)="12.32",IFERROR(S55/$G$6,"")&lt;&gt;0))),"", IFERROR(S55/$S$6,""))</f>
      </c>
      <c r="U55" s="71">
        <f>SUMIFS(
INDEX('ETPT Format DDG'!$A:$FB,,IFERROR(MATCH(E55,'ETPT Format DDG'!$2:$2,0),MATCH(C55,'ETPT Format DDG'!$2:$2,0))),
INDEX( 'ETPT Format DDG'!$A:$ZZ,,MATCH("Fonction agrégat",'ETPT Format DDG'!2:2,0)),"C",
INDEX( 'ETPT Format DDG'!$A:$ZZ,,MATCH("Juridiction",'ETPT Format DDG'!2:2,0)),$A$3,
INDEX( 'ETPT Format DDG'!$A:$ZZ,,MATCH("Catégorie",'ETPT Format DDG'!2:2,0)),"Autour du magistrat")</f>
      </c>
      <c r="V55" s="74">
        <f>IF(AND(OR(LEFT(C55,3)="12.",LEFT(E55,3)="12.",LEFT(E55,5)="CET &gt;",IFERROR(U55/$U$6,"")=0),NOT(AND(LEFT(E55,4)="12.8",IFERROR(G55/$G$6,"")&lt;&gt;0)),NOT(AND(LEFT(E55,5)="12.31",IFERROR(U55/$G$6,"")&lt;&gt;0)),NOT(AND(LEFT(E55,5)="12.32",IFERROR(U55/$G$6,"")&lt;&gt;0))),"", IFERROR(U55/$U$6,""))</f>
      </c>
    </row>
    <row r="56" ht="16" customHeight="1" spans="1:23" x14ac:dyDescent="0.25">
      <c r="A56" s="40"/>
      <c r="C56" s="68" t="s">
        <v>91</v>
      </c>
      <c r="D56" s="68" t="s">
        <v>91</v>
      </c>
      <c r="E56" s="69"/>
      <c r="F56" s="70"/>
      <c r="G56" s="71">
        <f>SUMIFS(
INDEX('ETPT Format DDG'!$A:$ZZ,,IFERROR(MATCH(E56,'ETPT Format DDG'!$2:$2,0),MATCH(C56,'ETPT Format DDG'!$2:$2,0))),
INDEX( 'ETPT Format DDG'!$A:$ZZ,,MATCH("Fonction agrégat",'ETPT Format DDG'!2:2,0)),"M-TIT",
INDEX( 'ETPT Format DDG'!$A:$ZZ,,MATCH("Juridiction",'ETPT Format DDG'!2:2,0)),$A$3)</f>
      </c>
      <c r="H56" s="72">
        <f>IF(AND(OR(LEFT(C56,3)="12.",LEFT(E56,3)="12.",LEFT(E56,5)="CET &gt;",IFERROR(G56/$G$6,"")=0),NOT(AND(LEFT(E56,4)="12.8",IFERROR(G56/$G$6,"")&lt;&gt;0)),NOT(AND(LEFT(E56,5)="12.31",IFERROR(G56/$G$6,"")&lt;&gt;0)),NOT(AND(LEFT(E56,5)="12.32",IFERROR(G56/$G$6,"")&lt;&gt;0))),"", IFERROR(G56/$G$6,""))</f>
      </c>
      <c r="I56" s="73">
        <f>SUMIFS(
INDEX('ETPT Format DDG'!$A:$ZZ,,IFERROR(MATCH(E56,'ETPT Format DDG'!$2:$2,0),MATCH(C56,'ETPT Format DDG'!$2:$2,0))),
INDEX( 'ETPT Format DDG'!$A:$ZZ,,MATCH("Fonction agrégat",'ETPT Format DDG'!2:2,0)),"M-PLAC-ADD",
INDEX( 'ETPT Format DDG'!$A:$ZZ,,MATCH("Juridiction",'ETPT Format DDG'!2:2,0)),$A$3)</f>
      </c>
      <c r="J56" s="73">
        <f>SUMIFS(
INDEX('ETPT Format DDG'!$A:$ZZ,,IFERROR(MATCH(E56,'ETPT Format DDG'!$2:$2,0),MATCH(C56,'ETPT Format DDG'!$2:$2,0))),
INDEX( 'ETPT Format DDG'!$A:$ZZ,,MATCH("Fonction agrégat",'ETPT Format DDG'!2:2,0)),"M-PLAC-SUB",
INDEX( 'ETPT Format DDG'!$A:$ZZ,,MATCH("Juridiction",'ETPT Format DDG'!2:2,0)),$A$3)</f>
      </c>
      <c r="K56" s="73">
        <f>SUMIFS(
INDEX('ETPT Format DDG'!$A:$ZZ,,IFERROR(MATCH(E56,'ETPT Format DDG'!$2:$2,0),MATCH(C56,'ETPT Format DDG'!$2:$2,0))),
INDEX( 'ETPT Format DDG'!$A:$ZZ,,MATCH("Fonction agrégat",'ETPT Format DDG'!2:2,0)),"M-CONT",
INDEX( 'ETPT Format DDG'!$A:$ZZ,,MATCH("Juridiction",'ETPT Format DDG'!2:2,0)),$A$3,
INDEX( 'ETPT Format DDG'!$A:$ZZ,,MATCH("Catégorie",'ETPT Format DDG'!2:2,0)),"Magistrat")</f>
      </c>
      <c r="L56" s="71">
        <f>SUMIFS(
INDEX('ETPT Format DDG'!$A:$ZZ,,IFERROR(MATCH(E56,'ETPT Format DDG'!$2:$2,0),MATCH(C56,'ETPT Format DDG'!$2:$2,0))),
INDEX( 'ETPT Format DDG'!$A:$ZZ,,MATCH("Juridiction",'ETPT Format DDG'!2:2,0)),$A$3,
INDEX( 'ETPT Format DDG'!$A:$ZZ,,MATCH("Catégorie",'ETPT Format DDG'!2:2,0)),"Magistrat")</f>
      </c>
      <c r="M56" s="74">
        <f>IF(AND(OR(LEFT(C56,3)="12.",LEFT(E56,3)="12.",LEFT(E56,5)="CET &gt;", IFERROR(L56/$L$6,"")=0),NOT(AND(LEFT(E56,4)="12.8",IFERROR(G56/$G$6,"")&lt;&gt;0)),NOT(AND(LEFT(E56,5)="12.31",IFERROR(L56/$G$6,"")&lt;&gt;0)),NOT(AND(LEFT(E56,5)="12.32",IFERROR(L56/$G$6,"")&lt;&gt;0))),"", IFERROR(L56/$L$6,""))</f>
      </c>
      <c r="N56" s="73">
        <f>SUMIFS(
INDEX('ETPT Format DDG'!$A:$ZZ,,IFERROR(MATCH(E56,'ETPT Format DDG'!$2:$2,0),MATCH(C56,'ETPT Format DDG'!$2:$2,0))),
INDEX( 'ETPT Format DDG'!$A:$ZZ,,MATCH("Fonction agrégat",'ETPT Format DDG'!2:2,0)),"F-TIT",
INDEX( 'ETPT Format DDG'!$A:$ZZ,,MATCH("Juridiction",'ETPT Format DDG'!2:2,0)),$A$3)</f>
      </c>
      <c r="O56" s="72">
        <f>IF(AND(OR(LEFT(C56,3)="12.",LEFT(E56,3)="12.",LEFT(E56,5)="CET &gt;",IFERROR(N56/$N$6,"")=0),NOT(AND(LEFT(E56,4)="12.8",IFERROR(G56/$G$6,"")&lt;&gt;0)),NOT(AND(LEFT(E56,5)="12.31",IFERROR(N56/$G$6,"")&lt;&gt;0)),NOT(AND(LEFT(E56,5)="12.32",IFERROR(N56/$G$6,"")&lt;&gt;0))),"",IFERROR(N56/$N$6,""))</f>
      </c>
      <c r="P56" s="73">
        <f>SUMIFS(
INDEX('ETPT Format DDG'!$A:$FB,,IFERROR(MATCH(E56,'ETPT Format DDG'!$2:$2,0),MATCH(C56,'ETPT Format DDG'!$2:$2,0))),
INDEX( 'ETPT Format DDG'!$A:$ZZ,,MATCH("Fonction agrégat",'ETPT Format DDG'!2:2,0)),"F-PLAC-ADD",
INDEX( 'ETPT Format DDG'!$A:$ZZ,,MATCH("Juridiction",'ETPT Format DDG'!2:2,0)),$A$3)</f>
      </c>
      <c r="Q56" s="73">
        <f>SUMIFS(
INDEX('ETPT Format DDG'!$A:$FB,,IFERROR(MATCH(E56,'ETPT Format DDG'!$2:$2,0),MATCH(C56,'ETPT Format DDG'!$2:$2,0))),
INDEX( 'ETPT Format DDG'!$A:$ZZ,,MATCH("Fonction agrégat",'ETPT Format DDG'!2:2,0)),"F-PLAC-SUB",
INDEX( 'ETPT Format DDG'!$A:$ZZ,,MATCH("Juridiction",'ETPT Format DDG'!2:2,0)),$A$3)</f>
      </c>
      <c r="R56" s="73">
        <f>SUMIFS(
INDEX('ETPT Format DDG'!$A:$FB,,IFERROR(MATCH(E56,'ETPT Format DDG'!$2:$2,0),MATCH(C56,'ETPT Format DDG'!$2:$2,0))),
INDEX( 'ETPT Format DDG'!$A:$ZZ,,MATCH("Fonction agrégat",'ETPT Format DDG'!2:2,0)),"C",
'ETPT Format DDG'!$H:$H,"Greffe",
INDEX( 'ETPT Format DDG'!$A:$ZZ,,MATCH("Juridiction",'ETPT Format DDG'!2:2,0)),$A$3)</f>
      </c>
      <c r="S56" s="71">
        <f>SUMIFS(
INDEX('ETPT Format DDG'!$A:$FB,,IFERROR(MATCH(E56,'ETPT Format DDG'!$2:$2,0),MATCH(C56,'ETPT Format DDG'!$2:$2,0))),
INDEX( 'ETPT Format DDG'!$A:$ZZ,,MATCH("Catégorie",'ETPT Format DDG'!2:2,0)),"Greffe",
INDEX( 'ETPT Format DDG'!$A:$ZZ,,MATCH("Juridiction",'ETPT Format DDG'!2:2,0)),$A$3)</f>
      </c>
      <c r="T56" s="72">
        <f>IF(AND(OR(LEFT(C56,3)="12.",LEFT(E56,3)="12.",LEFT(E56,5)="CET &gt;",IFERROR(S56/$S$6,"")=0),NOT(AND(LEFT(E56,4)="12.8",IFERROR(G56/$G$6,"")&lt;&gt;0)),NOT(AND(LEFT(E56,5)="12.31",IFERROR(S56/$G$6,"")&lt;&gt;0)),NOT(AND(LEFT(E56,5)="12.32",IFERROR(S56/$G$6,"")&lt;&gt;0))),"", IFERROR(S56/$S$6,""))</f>
      </c>
      <c r="U56" s="71">
        <f>SUMIFS(
INDEX('ETPT Format DDG'!$A:$FB,,IFERROR(MATCH(E56,'ETPT Format DDG'!$2:$2,0),MATCH(C56,'ETPT Format DDG'!$2:$2,0))),
INDEX( 'ETPT Format DDG'!$A:$ZZ,,MATCH("Fonction agrégat",'ETPT Format DDG'!2:2,0)),"C",
INDEX( 'ETPT Format DDG'!$A:$ZZ,,MATCH("Juridiction",'ETPT Format DDG'!2:2,0)),$A$3,
INDEX( 'ETPT Format DDG'!$A:$ZZ,,MATCH("Catégorie",'ETPT Format DDG'!2:2,0)),"Autour du magistrat")</f>
      </c>
      <c r="V56" s="74">
        <f>IF(AND(OR(LEFT(C56,3)="12.",LEFT(E56,3)="12.",LEFT(E56,5)="CET &gt;",IFERROR(U56/$U$6,"")=0),NOT(AND(LEFT(E56,4)="12.8",IFERROR(G56/$G$6,"")&lt;&gt;0)),NOT(AND(LEFT(E56,5)="12.31",IFERROR(U56/$G$6,"")&lt;&gt;0)),NOT(AND(LEFT(E56,5)="12.32",IFERROR(U56/$G$6,"")&lt;&gt;0))),"", IFERROR(U56/$U$6,""))</f>
      </c>
    </row>
    <row r="57" ht="16" customHeight="1" spans="1:23" x14ac:dyDescent="0.25">
      <c r="A57" s="40"/>
      <c r="C57" s="68"/>
      <c r="D57" s="68"/>
      <c r="E57" s="69" t="s">
        <v>92</v>
      </c>
      <c r="F57" s="70" t="s">
        <v>92</v>
      </c>
      <c r="G57" s="71">
        <f>SUMIFS(
INDEX('ETPT Format DDG'!$A:$ZZ,,IFERROR(MATCH(E57,'ETPT Format DDG'!$2:$2,0),MATCH(C57,'ETPT Format DDG'!$2:$2,0))),
INDEX( 'ETPT Format DDG'!$A:$ZZ,,MATCH("Fonction agrégat",'ETPT Format DDG'!2:2,0)),"M-TIT",
INDEX( 'ETPT Format DDG'!$A:$ZZ,,MATCH("Juridiction",'ETPT Format DDG'!2:2,0)),$A$3)</f>
      </c>
      <c r="H57" s="72">
        <f>IF(AND(OR(LEFT(C57,3)="12.",LEFT(E57,3)="12.",LEFT(E57,5)="CET &gt;",IFERROR(G57/$G$6,"")=0),NOT(AND(LEFT(E57,4)="12.8",IFERROR(G57/$G$6,"")&lt;&gt;0)),NOT(AND(LEFT(E57,5)="12.31",IFERROR(G57/$G$6,"")&lt;&gt;0)),NOT(AND(LEFT(E57,5)="12.32",IFERROR(G57/$G$6,"")&lt;&gt;0))),"", IFERROR(G57/$G$6,""))</f>
      </c>
      <c r="I57" s="73">
        <f>SUMIFS(
INDEX('ETPT Format DDG'!$A:$ZZ,,IFERROR(MATCH(E57,'ETPT Format DDG'!$2:$2,0),MATCH(C57,'ETPT Format DDG'!$2:$2,0))),
INDEX( 'ETPT Format DDG'!$A:$ZZ,,MATCH("Fonction agrégat",'ETPT Format DDG'!2:2,0)),"M-PLAC-ADD",
INDEX( 'ETPT Format DDG'!$A:$ZZ,,MATCH("Juridiction",'ETPT Format DDG'!2:2,0)),$A$3)</f>
      </c>
      <c r="J57" s="73">
        <f>SUMIFS(
INDEX('ETPT Format DDG'!$A:$ZZ,,IFERROR(MATCH(E57,'ETPT Format DDG'!$2:$2,0),MATCH(C57,'ETPT Format DDG'!$2:$2,0))),
INDEX( 'ETPT Format DDG'!$A:$ZZ,,MATCH("Fonction agrégat",'ETPT Format DDG'!2:2,0)),"M-PLAC-SUB",
INDEX( 'ETPT Format DDG'!$A:$ZZ,,MATCH("Juridiction",'ETPT Format DDG'!2:2,0)),$A$3)</f>
      </c>
      <c r="K57" s="73">
        <f>SUMIFS(
INDEX('ETPT Format DDG'!$A:$ZZ,,IFERROR(MATCH(E57,'ETPT Format DDG'!$2:$2,0),MATCH(C57,'ETPT Format DDG'!$2:$2,0))),
INDEX( 'ETPT Format DDG'!$A:$ZZ,,MATCH("Fonction agrégat",'ETPT Format DDG'!2:2,0)),"M-CONT",
INDEX( 'ETPT Format DDG'!$A:$ZZ,,MATCH("Juridiction",'ETPT Format DDG'!2:2,0)),$A$3,
INDEX( 'ETPT Format DDG'!$A:$ZZ,,MATCH("Catégorie",'ETPT Format DDG'!2:2,0)),"Magistrat")</f>
      </c>
      <c r="L57" s="71">
        <f>SUMIFS(
INDEX('ETPT Format DDG'!$A:$ZZ,,IFERROR(MATCH(E57,'ETPT Format DDG'!$2:$2,0),MATCH(C57,'ETPT Format DDG'!$2:$2,0))),
INDEX( 'ETPT Format DDG'!$A:$ZZ,,MATCH("Juridiction",'ETPT Format DDG'!2:2,0)),$A$3,
INDEX( 'ETPT Format DDG'!$A:$ZZ,,MATCH("Catégorie",'ETPT Format DDG'!2:2,0)),"Magistrat")</f>
      </c>
      <c r="M57" s="74">
        <f>IF(AND(OR(LEFT(C57,3)="12.",LEFT(E57,3)="12.",LEFT(E57,5)="CET &gt;", IFERROR(L57/$L$6,"")=0),NOT(AND(LEFT(E57,4)="12.8",IFERROR(G57/$G$6,"")&lt;&gt;0)),NOT(AND(LEFT(E57,5)="12.31",IFERROR(L57/$G$6,"")&lt;&gt;0)),NOT(AND(LEFT(E57,5)="12.32",IFERROR(L57/$G$6,"")&lt;&gt;0))),"", IFERROR(L57/$L$6,""))</f>
      </c>
      <c r="N57" s="73">
        <f>SUMIFS(
INDEX('ETPT Format DDG'!$A:$ZZ,,IFERROR(MATCH(E57,'ETPT Format DDG'!$2:$2,0),MATCH(C57,'ETPT Format DDG'!$2:$2,0))),
INDEX( 'ETPT Format DDG'!$A:$ZZ,,MATCH("Fonction agrégat",'ETPT Format DDG'!2:2,0)),"F-TIT",
INDEX( 'ETPT Format DDG'!$A:$ZZ,,MATCH("Juridiction",'ETPT Format DDG'!2:2,0)),$A$3)</f>
      </c>
      <c r="O57" s="72">
        <f>IF(AND(OR(LEFT(C57,3)="12.",LEFT(E57,3)="12.",LEFT(E57,5)="CET &gt;",IFERROR(N57/$N$6,"")=0),NOT(AND(LEFT(E57,4)="12.8",IFERROR(G57/$G$6,"")&lt;&gt;0)),NOT(AND(LEFT(E57,5)="12.31",IFERROR(N57/$G$6,"")&lt;&gt;0)),NOT(AND(LEFT(E57,5)="12.32",IFERROR(N57/$G$6,"")&lt;&gt;0))),"",IFERROR(N57/$N$6,""))</f>
      </c>
      <c r="P57" s="73">
        <f>SUMIFS(
INDEX('ETPT Format DDG'!$A:$FB,,IFERROR(MATCH(E57,'ETPT Format DDG'!$2:$2,0),MATCH(C57,'ETPT Format DDG'!$2:$2,0))),
INDEX( 'ETPT Format DDG'!$A:$ZZ,,MATCH("Fonction agrégat",'ETPT Format DDG'!2:2,0)),"F-PLAC-ADD",
INDEX( 'ETPT Format DDG'!$A:$ZZ,,MATCH("Juridiction",'ETPT Format DDG'!2:2,0)),$A$3)</f>
      </c>
      <c r="Q57" s="73">
        <f>SUMIFS(
INDEX('ETPT Format DDG'!$A:$FB,,IFERROR(MATCH(E57,'ETPT Format DDG'!$2:$2,0),MATCH(C57,'ETPT Format DDG'!$2:$2,0))),
INDEX( 'ETPT Format DDG'!$A:$ZZ,,MATCH("Fonction agrégat",'ETPT Format DDG'!2:2,0)),"F-PLAC-SUB",
INDEX( 'ETPT Format DDG'!$A:$ZZ,,MATCH("Juridiction",'ETPT Format DDG'!2:2,0)),$A$3)</f>
      </c>
      <c r="R57" s="73">
        <f>SUMIFS(
INDEX('ETPT Format DDG'!$A:$FB,,IFERROR(MATCH(E57,'ETPT Format DDG'!$2:$2,0),MATCH(C57,'ETPT Format DDG'!$2:$2,0))),
INDEX( 'ETPT Format DDG'!$A:$ZZ,,MATCH("Fonction agrégat",'ETPT Format DDG'!2:2,0)),"C",
'ETPT Format DDG'!$H:$H,"Greffe",
INDEX( 'ETPT Format DDG'!$A:$ZZ,,MATCH("Juridiction",'ETPT Format DDG'!2:2,0)),$A$3)</f>
      </c>
      <c r="S57" s="71">
        <f>SUMIFS(
INDEX('ETPT Format DDG'!$A:$FB,,IFERROR(MATCH(E57,'ETPT Format DDG'!$2:$2,0),MATCH(C57,'ETPT Format DDG'!$2:$2,0))),
INDEX( 'ETPT Format DDG'!$A:$ZZ,,MATCH("Catégorie",'ETPT Format DDG'!2:2,0)),"Greffe",
INDEX( 'ETPT Format DDG'!$A:$ZZ,,MATCH("Juridiction",'ETPT Format DDG'!2:2,0)),$A$3)</f>
      </c>
      <c r="T57" s="72">
        <f>IF(AND(OR(LEFT(C57,3)="12.",LEFT(E57,3)="12.",LEFT(E57,5)="CET &gt;",IFERROR(S57/$S$6,"")=0),NOT(AND(LEFT(E57,4)="12.8",IFERROR(G57/$G$6,"")&lt;&gt;0)),NOT(AND(LEFT(E57,5)="12.31",IFERROR(S57/$G$6,"")&lt;&gt;0)),NOT(AND(LEFT(E57,5)="12.32",IFERROR(S57/$G$6,"")&lt;&gt;0))),"", IFERROR(S57/$S$6,""))</f>
      </c>
      <c r="U57" s="71">
        <f>SUMIFS(
INDEX('ETPT Format DDG'!$A:$FB,,IFERROR(MATCH(E57,'ETPT Format DDG'!$2:$2,0),MATCH(C57,'ETPT Format DDG'!$2:$2,0))),
INDEX( 'ETPT Format DDG'!$A:$ZZ,,MATCH("Fonction agrégat",'ETPT Format DDG'!2:2,0)),"C",
INDEX( 'ETPT Format DDG'!$A:$ZZ,,MATCH("Juridiction",'ETPT Format DDG'!2:2,0)),$A$3,
INDEX( 'ETPT Format DDG'!$A:$ZZ,,MATCH("Catégorie",'ETPT Format DDG'!2:2,0)),"Autour du magistrat")</f>
      </c>
      <c r="V57" s="74">
        <f>IF(AND(OR(LEFT(C57,3)="12.",LEFT(E57,3)="12.",LEFT(E57,5)="CET &gt;",IFERROR(U57/$U$6,"")=0),NOT(AND(LEFT(E57,4)="12.8",IFERROR(G57/$G$6,"")&lt;&gt;0)),NOT(AND(LEFT(E57,5)="12.31",IFERROR(U57/$G$6,"")&lt;&gt;0)),NOT(AND(LEFT(E57,5)="12.32",IFERROR(U57/$G$6,"")&lt;&gt;0))),"", IFERROR(U57/$U$6,""))</f>
      </c>
    </row>
    <row r="58" ht="16" customHeight="1" spans="1:23" x14ac:dyDescent="0.25">
      <c r="A58" s="40"/>
      <c r="C58" s="68"/>
      <c r="D58" s="68"/>
      <c r="E58" s="69" t="s">
        <v>93</v>
      </c>
      <c r="F58" s="70" t="s">
        <v>93</v>
      </c>
      <c r="G58" s="71">
        <f>SUMIFS(
INDEX('ETPT Format DDG'!$A:$ZZ,,IFERROR(MATCH(E58,'ETPT Format DDG'!$2:$2,0),MATCH(C58,'ETPT Format DDG'!$2:$2,0))),
INDEX( 'ETPT Format DDG'!$A:$ZZ,,MATCH("Fonction agrégat",'ETPT Format DDG'!2:2,0)),"M-TIT",
INDEX( 'ETPT Format DDG'!$A:$ZZ,,MATCH("Juridiction",'ETPT Format DDG'!2:2,0)),$A$3)</f>
      </c>
      <c r="H58" s="72">
        <f>IF(AND(OR(LEFT(C58,3)="12.",LEFT(E58,3)="12.",LEFT(E58,5)="CET &gt;",IFERROR(G58/$G$6,"")=0),NOT(AND(LEFT(E58,4)="12.8",IFERROR(G58/$G$6,"")&lt;&gt;0)),NOT(AND(LEFT(E58,5)="12.31",IFERROR(G58/$G$6,"")&lt;&gt;0)),NOT(AND(LEFT(E58,5)="12.32",IFERROR(G58/$G$6,"")&lt;&gt;0))),"", IFERROR(G58/$G$6,""))</f>
      </c>
      <c r="I58" s="73">
        <f>SUMIFS(
INDEX('ETPT Format DDG'!$A:$ZZ,,IFERROR(MATCH(E58,'ETPT Format DDG'!$2:$2,0),MATCH(C58,'ETPT Format DDG'!$2:$2,0))),
INDEX( 'ETPT Format DDG'!$A:$ZZ,,MATCH("Fonction agrégat",'ETPT Format DDG'!2:2,0)),"M-PLAC-ADD",
INDEX( 'ETPT Format DDG'!$A:$ZZ,,MATCH("Juridiction",'ETPT Format DDG'!2:2,0)),$A$3)</f>
      </c>
      <c r="J58" s="73">
        <f>SUMIFS(
INDEX('ETPT Format DDG'!$A:$ZZ,,IFERROR(MATCH(E58,'ETPT Format DDG'!$2:$2,0),MATCH(C58,'ETPT Format DDG'!$2:$2,0))),
INDEX( 'ETPT Format DDG'!$A:$ZZ,,MATCH("Fonction agrégat",'ETPT Format DDG'!2:2,0)),"M-PLAC-SUB",
INDEX( 'ETPT Format DDG'!$A:$ZZ,,MATCH("Juridiction",'ETPT Format DDG'!2:2,0)),$A$3)</f>
      </c>
      <c r="K58" s="73">
        <f>SUMIFS(
INDEX('ETPT Format DDG'!$A:$ZZ,,IFERROR(MATCH(E58,'ETPT Format DDG'!$2:$2,0),MATCH(C58,'ETPT Format DDG'!$2:$2,0))),
INDEX( 'ETPT Format DDG'!$A:$ZZ,,MATCH("Fonction agrégat",'ETPT Format DDG'!2:2,0)),"M-CONT",
INDEX( 'ETPT Format DDG'!$A:$ZZ,,MATCH("Juridiction",'ETPT Format DDG'!2:2,0)),$A$3,
INDEX( 'ETPT Format DDG'!$A:$ZZ,,MATCH("Catégorie",'ETPT Format DDG'!2:2,0)),"Magistrat")</f>
      </c>
      <c r="L58" s="71">
        <f>SUMIFS(
INDEX('ETPT Format DDG'!$A:$ZZ,,IFERROR(MATCH(E58,'ETPT Format DDG'!$2:$2,0),MATCH(C58,'ETPT Format DDG'!$2:$2,0))),
INDEX( 'ETPT Format DDG'!$A:$ZZ,,MATCH("Juridiction",'ETPT Format DDG'!2:2,0)),$A$3,
INDEX( 'ETPT Format DDG'!$A:$ZZ,,MATCH("Catégorie",'ETPT Format DDG'!2:2,0)),"Magistrat")</f>
      </c>
      <c r="M58" s="74">
        <f>IF(AND(OR(LEFT(C58,3)="12.",LEFT(E58,3)="12.",LEFT(E58,5)="CET &gt;", IFERROR(L58/$L$6,"")=0),NOT(AND(LEFT(E58,4)="12.8",IFERROR(G58/$G$6,"")&lt;&gt;0)),NOT(AND(LEFT(E58,5)="12.31",IFERROR(L58/$G$6,"")&lt;&gt;0)),NOT(AND(LEFT(E58,5)="12.32",IFERROR(L58/$G$6,"")&lt;&gt;0))),"", IFERROR(L58/$L$6,""))</f>
      </c>
      <c r="N58" s="73">
        <f>SUMIFS(
INDEX('ETPT Format DDG'!$A:$ZZ,,IFERROR(MATCH(E58,'ETPT Format DDG'!$2:$2,0),MATCH(C58,'ETPT Format DDG'!$2:$2,0))),
INDEX( 'ETPT Format DDG'!$A:$ZZ,,MATCH("Fonction agrégat",'ETPT Format DDG'!2:2,0)),"F-TIT",
INDEX( 'ETPT Format DDG'!$A:$ZZ,,MATCH("Juridiction",'ETPT Format DDG'!2:2,0)),$A$3)</f>
      </c>
      <c r="O58" s="72">
        <f>IF(AND(OR(LEFT(C58,3)="12.",LEFT(E58,3)="12.",LEFT(E58,5)="CET &gt;",IFERROR(N58/$N$6,"")=0),NOT(AND(LEFT(E58,4)="12.8",IFERROR(G58/$G$6,"")&lt;&gt;0)),NOT(AND(LEFT(E58,5)="12.31",IFERROR(N58/$G$6,"")&lt;&gt;0)),NOT(AND(LEFT(E58,5)="12.32",IFERROR(N58/$G$6,"")&lt;&gt;0))),"",IFERROR(N58/$N$6,""))</f>
      </c>
      <c r="P58" s="73">
        <f>SUMIFS(
INDEX('ETPT Format DDG'!$A:$FB,,IFERROR(MATCH(E58,'ETPT Format DDG'!$2:$2,0),MATCH(C58,'ETPT Format DDG'!$2:$2,0))),
INDEX( 'ETPT Format DDG'!$A:$ZZ,,MATCH("Fonction agrégat",'ETPT Format DDG'!2:2,0)),"F-PLAC-ADD",
INDEX( 'ETPT Format DDG'!$A:$ZZ,,MATCH("Juridiction",'ETPT Format DDG'!2:2,0)),$A$3)</f>
      </c>
      <c r="Q58" s="73">
        <f>SUMIFS(
INDEX('ETPT Format DDG'!$A:$FB,,IFERROR(MATCH(E58,'ETPT Format DDG'!$2:$2,0),MATCH(C58,'ETPT Format DDG'!$2:$2,0))),
INDEX( 'ETPT Format DDG'!$A:$ZZ,,MATCH("Fonction agrégat",'ETPT Format DDG'!2:2,0)),"F-PLAC-SUB",
INDEX( 'ETPT Format DDG'!$A:$ZZ,,MATCH("Juridiction",'ETPT Format DDG'!2:2,0)),$A$3)</f>
      </c>
      <c r="R58" s="73">
        <f>SUMIFS(
INDEX('ETPT Format DDG'!$A:$FB,,IFERROR(MATCH(E58,'ETPT Format DDG'!$2:$2,0),MATCH(C58,'ETPT Format DDG'!$2:$2,0))),
INDEX( 'ETPT Format DDG'!$A:$ZZ,,MATCH("Fonction agrégat",'ETPT Format DDG'!2:2,0)),"C",
'ETPT Format DDG'!$H:$H,"Greffe",
INDEX( 'ETPT Format DDG'!$A:$ZZ,,MATCH("Juridiction",'ETPT Format DDG'!2:2,0)),$A$3)</f>
      </c>
      <c r="S58" s="71">
        <f>SUMIFS(
INDEX('ETPT Format DDG'!$A:$FB,,IFERROR(MATCH(E58,'ETPT Format DDG'!$2:$2,0),MATCH(C58,'ETPT Format DDG'!$2:$2,0))),
INDEX( 'ETPT Format DDG'!$A:$ZZ,,MATCH("Catégorie",'ETPT Format DDG'!2:2,0)),"Greffe",
INDEX( 'ETPT Format DDG'!$A:$ZZ,,MATCH("Juridiction",'ETPT Format DDG'!2:2,0)),$A$3)</f>
      </c>
      <c r="T58" s="72">
        <f>IF(AND(OR(LEFT(C58,3)="12.",LEFT(E58,3)="12.",LEFT(E58,5)="CET &gt;",IFERROR(S58/$S$6,"")=0),NOT(AND(LEFT(E58,4)="12.8",IFERROR(G58/$G$6,"")&lt;&gt;0)),NOT(AND(LEFT(E58,5)="12.31",IFERROR(S58/$G$6,"")&lt;&gt;0)),NOT(AND(LEFT(E58,5)="12.32",IFERROR(S58/$G$6,"")&lt;&gt;0))),"", IFERROR(S58/$S$6,""))</f>
      </c>
      <c r="U58" s="71">
        <f>SUMIFS(
INDEX('ETPT Format DDG'!$A:$FB,,IFERROR(MATCH(E58,'ETPT Format DDG'!$2:$2,0),MATCH(C58,'ETPT Format DDG'!$2:$2,0))),
INDEX( 'ETPT Format DDG'!$A:$ZZ,,MATCH("Fonction agrégat",'ETPT Format DDG'!2:2,0)),"C",
INDEX( 'ETPT Format DDG'!$A:$ZZ,,MATCH("Juridiction",'ETPT Format DDG'!2:2,0)),$A$3,
INDEX( 'ETPT Format DDG'!$A:$ZZ,,MATCH("Catégorie",'ETPT Format DDG'!2:2,0)),"Autour du magistrat")</f>
      </c>
      <c r="V58" s="74">
        <f>IF(AND(OR(LEFT(C58,3)="12.",LEFT(E58,3)="12.",LEFT(E58,5)="CET &gt;",IFERROR(U58/$U$6,"")=0),NOT(AND(LEFT(E58,4)="12.8",IFERROR(G58/$G$6,"")&lt;&gt;0)),NOT(AND(LEFT(E58,5)="12.31",IFERROR(U58/$G$6,"")&lt;&gt;0)),NOT(AND(LEFT(E58,5)="12.32",IFERROR(U58/$G$6,"")&lt;&gt;0))),"", IFERROR(U58/$U$6,""))</f>
      </c>
    </row>
    <row r="59" ht="16" customHeight="1" spans="1:23" x14ac:dyDescent="0.25">
      <c r="A59" s="40"/>
      <c r="C59" s="68" t="s">
        <v>94</v>
      </c>
      <c r="D59" s="68" t="s">
        <v>94</v>
      </c>
      <c r="E59" s="69"/>
      <c r="F59" s="70"/>
      <c r="G59" s="71">
        <f>SUMIFS(
INDEX('ETPT Format DDG'!$A:$ZZ,,IFERROR(MATCH(E59,'ETPT Format DDG'!$2:$2,0),MATCH(C59,'ETPT Format DDG'!$2:$2,0))),
INDEX( 'ETPT Format DDG'!$A:$ZZ,,MATCH("Fonction agrégat",'ETPT Format DDG'!2:2,0)),"M-TIT",
INDEX( 'ETPT Format DDG'!$A:$ZZ,,MATCH("Juridiction",'ETPT Format DDG'!2:2,0)),$A$3)</f>
      </c>
      <c r="H59" s="72">
        <f>IF(AND(OR(LEFT(C59,3)="12.",LEFT(E59,3)="12.",LEFT(E59,5)="CET &gt;",IFERROR(G59/$G$6,"")=0),NOT(AND(LEFT(E59,4)="12.8",IFERROR(G59/$G$6,"")&lt;&gt;0)),NOT(AND(LEFT(E59,5)="12.31",IFERROR(G59/$G$6,"")&lt;&gt;0)),NOT(AND(LEFT(E59,5)="12.32",IFERROR(G59/$G$6,"")&lt;&gt;0))),"", IFERROR(G59/$G$6,""))</f>
      </c>
      <c r="I59" s="73">
        <f>SUMIFS(
INDEX('ETPT Format DDG'!$A:$ZZ,,IFERROR(MATCH(E59,'ETPT Format DDG'!$2:$2,0),MATCH(C59,'ETPT Format DDG'!$2:$2,0))),
INDEX( 'ETPT Format DDG'!$A:$ZZ,,MATCH("Fonction agrégat",'ETPT Format DDG'!2:2,0)),"M-PLAC-ADD",
INDEX( 'ETPT Format DDG'!$A:$ZZ,,MATCH("Juridiction",'ETPT Format DDG'!2:2,0)),$A$3)</f>
      </c>
      <c r="J59" s="73">
        <f>SUMIFS(
INDEX('ETPT Format DDG'!$A:$ZZ,,IFERROR(MATCH(E59,'ETPT Format DDG'!$2:$2,0),MATCH(C59,'ETPT Format DDG'!$2:$2,0))),
INDEX( 'ETPT Format DDG'!$A:$ZZ,,MATCH("Fonction agrégat",'ETPT Format DDG'!2:2,0)),"M-PLAC-SUB",
INDEX( 'ETPT Format DDG'!$A:$ZZ,,MATCH("Juridiction",'ETPT Format DDG'!2:2,0)),$A$3)</f>
      </c>
      <c r="K59" s="73">
        <f>SUMIFS(
INDEX('ETPT Format DDG'!$A:$ZZ,,IFERROR(MATCH(E59,'ETPT Format DDG'!$2:$2,0),MATCH(C59,'ETPT Format DDG'!$2:$2,0))),
INDEX( 'ETPT Format DDG'!$A:$ZZ,,MATCH("Fonction agrégat",'ETPT Format DDG'!2:2,0)),"M-CONT",
INDEX( 'ETPT Format DDG'!$A:$ZZ,,MATCH("Juridiction",'ETPT Format DDG'!2:2,0)),$A$3,
INDEX( 'ETPT Format DDG'!$A:$ZZ,,MATCH("Catégorie",'ETPT Format DDG'!2:2,0)),"Magistrat")</f>
      </c>
      <c r="L59" s="71">
        <f>SUMIFS(
INDEX('ETPT Format DDG'!$A:$ZZ,,IFERROR(MATCH(E59,'ETPT Format DDG'!$2:$2,0),MATCH(C59,'ETPT Format DDG'!$2:$2,0))),
INDEX( 'ETPT Format DDG'!$A:$ZZ,,MATCH("Juridiction",'ETPT Format DDG'!2:2,0)),$A$3,
INDEX( 'ETPT Format DDG'!$A:$ZZ,,MATCH("Catégorie",'ETPT Format DDG'!2:2,0)),"Magistrat")</f>
      </c>
      <c r="M59" s="74">
        <f>IF(AND(OR(LEFT(C59,3)="12.",LEFT(E59,3)="12.",LEFT(E59,5)="CET &gt;", IFERROR(L59/$L$6,"")=0),NOT(AND(LEFT(E59,4)="12.8",IFERROR(G59/$G$6,"")&lt;&gt;0)),NOT(AND(LEFT(E59,5)="12.31",IFERROR(L59/$G$6,"")&lt;&gt;0)),NOT(AND(LEFT(E59,5)="12.32",IFERROR(L59/$G$6,"")&lt;&gt;0))),"", IFERROR(L59/$L$6,""))</f>
      </c>
      <c r="N59" s="73">
        <f>SUMIFS(
INDEX('ETPT Format DDG'!$A:$ZZ,,IFERROR(MATCH(E59,'ETPT Format DDG'!$2:$2,0),MATCH(C59,'ETPT Format DDG'!$2:$2,0))),
INDEX( 'ETPT Format DDG'!$A:$ZZ,,MATCH("Fonction agrégat",'ETPT Format DDG'!2:2,0)),"F-TIT",
INDEX( 'ETPT Format DDG'!$A:$ZZ,,MATCH("Juridiction",'ETPT Format DDG'!2:2,0)),$A$3)</f>
      </c>
      <c r="O59" s="72">
        <f>IF(AND(OR(LEFT(C59,3)="12.",LEFT(E59,3)="12.",LEFT(E59,5)="CET &gt;",IFERROR(N59/$N$6,"")=0),NOT(AND(LEFT(E59,4)="12.8",IFERROR(G59/$G$6,"")&lt;&gt;0)),NOT(AND(LEFT(E59,5)="12.31",IFERROR(N59/$G$6,"")&lt;&gt;0)),NOT(AND(LEFT(E59,5)="12.32",IFERROR(N59/$G$6,"")&lt;&gt;0))),"",IFERROR(N59/$N$6,""))</f>
      </c>
      <c r="P59" s="73">
        <f>SUMIFS(
INDEX('ETPT Format DDG'!$A:$FB,,IFERROR(MATCH(E59,'ETPT Format DDG'!$2:$2,0),MATCH(C59,'ETPT Format DDG'!$2:$2,0))),
INDEX( 'ETPT Format DDG'!$A:$ZZ,,MATCH("Fonction agrégat",'ETPT Format DDG'!2:2,0)),"F-PLAC-ADD",
INDEX( 'ETPT Format DDG'!$A:$ZZ,,MATCH("Juridiction",'ETPT Format DDG'!2:2,0)),$A$3)</f>
      </c>
      <c r="Q59" s="73">
        <f>SUMIFS(
INDEX('ETPT Format DDG'!$A:$FB,,IFERROR(MATCH(E59,'ETPT Format DDG'!$2:$2,0),MATCH(C59,'ETPT Format DDG'!$2:$2,0))),
INDEX( 'ETPT Format DDG'!$A:$ZZ,,MATCH("Fonction agrégat",'ETPT Format DDG'!2:2,0)),"F-PLAC-SUB",
INDEX( 'ETPT Format DDG'!$A:$ZZ,,MATCH("Juridiction",'ETPT Format DDG'!2:2,0)),$A$3)</f>
      </c>
      <c r="R59" s="73">
        <f>SUMIFS(
INDEX('ETPT Format DDG'!$A:$FB,,IFERROR(MATCH(E59,'ETPT Format DDG'!$2:$2,0),MATCH(C59,'ETPT Format DDG'!$2:$2,0))),
INDEX( 'ETPT Format DDG'!$A:$ZZ,,MATCH("Fonction agrégat",'ETPT Format DDG'!2:2,0)),"C",
'ETPT Format DDG'!$H:$H,"Greffe",
INDEX( 'ETPT Format DDG'!$A:$ZZ,,MATCH("Juridiction",'ETPT Format DDG'!2:2,0)),$A$3)</f>
      </c>
      <c r="S59" s="71">
        <f>SUMIFS(
INDEX('ETPT Format DDG'!$A:$FB,,IFERROR(MATCH(E59,'ETPT Format DDG'!$2:$2,0),MATCH(C59,'ETPT Format DDG'!$2:$2,0))),
INDEX( 'ETPT Format DDG'!$A:$ZZ,,MATCH("Catégorie",'ETPT Format DDG'!2:2,0)),"Greffe",
INDEX( 'ETPT Format DDG'!$A:$ZZ,,MATCH("Juridiction",'ETPT Format DDG'!2:2,0)),$A$3)</f>
      </c>
      <c r="T59" s="72">
        <f>IF(AND(OR(LEFT(C59,3)="12.",LEFT(E59,3)="12.",LEFT(E59,5)="CET &gt;",IFERROR(S59/$S$6,"")=0),NOT(AND(LEFT(E59,4)="12.8",IFERROR(G59/$G$6,"")&lt;&gt;0)),NOT(AND(LEFT(E59,5)="12.31",IFERROR(S59/$G$6,"")&lt;&gt;0)),NOT(AND(LEFT(E59,5)="12.32",IFERROR(S59/$G$6,"")&lt;&gt;0))),"", IFERROR(S59/$S$6,""))</f>
      </c>
      <c r="U59" s="71">
        <f>SUMIFS(
INDEX('ETPT Format DDG'!$A:$FB,,IFERROR(MATCH(E59,'ETPT Format DDG'!$2:$2,0),MATCH(C59,'ETPT Format DDG'!$2:$2,0))),
INDEX( 'ETPT Format DDG'!$A:$ZZ,,MATCH("Fonction agrégat",'ETPT Format DDG'!2:2,0)),"C",
INDEX( 'ETPT Format DDG'!$A:$ZZ,,MATCH("Juridiction",'ETPT Format DDG'!2:2,0)),$A$3,
INDEX( 'ETPT Format DDG'!$A:$ZZ,,MATCH("Catégorie",'ETPT Format DDG'!2:2,0)),"Autour du magistrat")</f>
      </c>
      <c r="V59" s="74">
        <f>IF(AND(OR(LEFT(C59,3)="12.",LEFT(E59,3)="12.",LEFT(E59,5)="CET &gt;",IFERROR(U59/$U$6,"")=0),NOT(AND(LEFT(E59,4)="12.8",IFERROR(G59/$G$6,"")&lt;&gt;0)),NOT(AND(LEFT(E59,5)="12.31",IFERROR(U59/$G$6,"")&lt;&gt;0)),NOT(AND(LEFT(E59,5)="12.32",IFERROR(U59/$G$6,"")&lt;&gt;0))),"", IFERROR(U59/$U$6,""))</f>
      </c>
    </row>
    <row r="60" ht="16" customHeight="1" spans="1:23" x14ac:dyDescent="0.25">
      <c r="A60" s="40"/>
      <c r="C60" s="68"/>
      <c r="D60" s="68"/>
      <c r="E60" s="69" t="s">
        <v>95</v>
      </c>
      <c r="F60" s="70" t="s">
        <v>95</v>
      </c>
      <c r="G60" s="71">
        <f>SUMIFS(
INDEX('ETPT Format DDG'!$A:$ZZ,,IFERROR(MATCH(E60,'ETPT Format DDG'!$2:$2,0),MATCH(C60,'ETPT Format DDG'!$2:$2,0))),
INDEX( 'ETPT Format DDG'!$A:$ZZ,,MATCH("Fonction agrégat",'ETPT Format DDG'!2:2,0)),"M-TIT",
INDEX( 'ETPT Format DDG'!$A:$ZZ,,MATCH("Juridiction",'ETPT Format DDG'!2:2,0)),$A$3)</f>
      </c>
      <c r="H60" s="72">
        <f>IF(AND(OR(LEFT(C60,3)="12.",LEFT(E60,3)="12.",LEFT(E60,5)="CET &gt;",IFERROR(G60/$G$6,"")=0),NOT(AND(LEFT(E60,4)="12.8",IFERROR(G60/$G$6,"")&lt;&gt;0)),NOT(AND(LEFT(E60,5)="12.31",IFERROR(G60/$G$6,"")&lt;&gt;0)),NOT(AND(LEFT(E60,5)="12.32",IFERROR(G60/$G$6,"")&lt;&gt;0))),"", IFERROR(G60/$G$6,""))</f>
      </c>
      <c r="I60" s="73">
        <f>SUMIFS(
INDEX('ETPT Format DDG'!$A:$ZZ,,IFERROR(MATCH(E60,'ETPT Format DDG'!$2:$2,0),MATCH(C60,'ETPT Format DDG'!$2:$2,0))),
INDEX( 'ETPT Format DDG'!$A:$ZZ,,MATCH("Fonction agrégat",'ETPT Format DDG'!2:2,0)),"M-PLAC-ADD",
INDEX( 'ETPT Format DDG'!$A:$ZZ,,MATCH("Juridiction",'ETPT Format DDG'!2:2,0)),$A$3)</f>
      </c>
      <c r="J60" s="73">
        <f>SUMIFS(
INDEX('ETPT Format DDG'!$A:$ZZ,,IFERROR(MATCH(E60,'ETPT Format DDG'!$2:$2,0),MATCH(C60,'ETPT Format DDG'!$2:$2,0))),
INDEX( 'ETPT Format DDG'!$A:$ZZ,,MATCH("Fonction agrégat",'ETPT Format DDG'!2:2,0)),"M-PLAC-SUB",
INDEX( 'ETPT Format DDG'!$A:$ZZ,,MATCH("Juridiction",'ETPT Format DDG'!2:2,0)),$A$3)</f>
      </c>
      <c r="K60" s="73">
        <f>SUMIFS(
INDEX('ETPT Format DDG'!$A:$ZZ,,IFERROR(MATCH(E60,'ETPT Format DDG'!$2:$2,0),MATCH(C60,'ETPT Format DDG'!$2:$2,0))),
INDEX( 'ETPT Format DDG'!$A:$ZZ,,MATCH("Fonction agrégat",'ETPT Format DDG'!2:2,0)),"M-CONT",
INDEX( 'ETPT Format DDG'!$A:$ZZ,,MATCH("Juridiction",'ETPT Format DDG'!2:2,0)),$A$3,
INDEX( 'ETPT Format DDG'!$A:$ZZ,,MATCH("Catégorie",'ETPT Format DDG'!2:2,0)),"Magistrat")</f>
      </c>
      <c r="L60" s="71">
        <f>SUMIFS(
INDEX('ETPT Format DDG'!$A:$ZZ,,IFERROR(MATCH(E60,'ETPT Format DDG'!$2:$2,0),MATCH(C60,'ETPT Format DDG'!$2:$2,0))),
INDEX( 'ETPT Format DDG'!$A:$ZZ,,MATCH("Juridiction",'ETPT Format DDG'!2:2,0)),$A$3,
INDEX( 'ETPT Format DDG'!$A:$ZZ,,MATCH("Catégorie",'ETPT Format DDG'!2:2,0)),"Magistrat")</f>
      </c>
      <c r="M60" s="74">
        <f>IF(AND(OR(LEFT(C60,3)="12.",LEFT(E60,3)="12.",LEFT(E60,5)="CET &gt;", IFERROR(L60/$L$6,"")=0),NOT(AND(LEFT(E60,4)="12.8",IFERROR(G60/$G$6,"")&lt;&gt;0)),NOT(AND(LEFT(E60,5)="12.31",IFERROR(L60/$G$6,"")&lt;&gt;0)),NOT(AND(LEFT(E60,5)="12.32",IFERROR(L60/$G$6,"")&lt;&gt;0))),"", IFERROR(L60/$L$6,""))</f>
      </c>
      <c r="N60" s="73">
        <f>SUMIFS(
INDEX('ETPT Format DDG'!$A:$ZZ,,IFERROR(MATCH(E60,'ETPT Format DDG'!$2:$2,0),MATCH(C60,'ETPT Format DDG'!$2:$2,0))),
INDEX( 'ETPT Format DDG'!$A:$ZZ,,MATCH("Fonction agrégat",'ETPT Format DDG'!2:2,0)),"F-TIT",
INDEX( 'ETPT Format DDG'!$A:$ZZ,,MATCH("Juridiction",'ETPT Format DDG'!2:2,0)),$A$3)</f>
      </c>
      <c r="O60" s="72">
        <f>IF(AND(OR(LEFT(C60,3)="12.",LEFT(E60,3)="12.",LEFT(E60,5)="CET &gt;",IFERROR(N60/$N$6,"")=0),NOT(AND(LEFT(E60,4)="12.8",IFERROR(G60/$G$6,"")&lt;&gt;0)),NOT(AND(LEFT(E60,5)="12.31",IFERROR(N60/$G$6,"")&lt;&gt;0)),NOT(AND(LEFT(E60,5)="12.32",IFERROR(N60/$G$6,"")&lt;&gt;0))),"",IFERROR(N60/$N$6,""))</f>
      </c>
      <c r="P60" s="73">
        <f>SUMIFS(
INDEX('ETPT Format DDG'!$A:$FB,,IFERROR(MATCH(E60,'ETPT Format DDG'!$2:$2,0),MATCH(C60,'ETPT Format DDG'!$2:$2,0))),
INDEX( 'ETPT Format DDG'!$A:$ZZ,,MATCH("Fonction agrégat",'ETPT Format DDG'!2:2,0)),"F-PLAC-ADD",
INDEX( 'ETPT Format DDG'!$A:$ZZ,,MATCH("Juridiction",'ETPT Format DDG'!2:2,0)),$A$3)</f>
      </c>
      <c r="Q60" s="73">
        <f>SUMIFS(
INDEX('ETPT Format DDG'!$A:$FB,,IFERROR(MATCH(E60,'ETPT Format DDG'!$2:$2,0),MATCH(C60,'ETPT Format DDG'!$2:$2,0))),
INDEX( 'ETPT Format DDG'!$A:$ZZ,,MATCH("Fonction agrégat",'ETPT Format DDG'!2:2,0)),"F-PLAC-SUB",
INDEX( 'ETPT Format DDG'!$A:$ZZ,,MATCH("Juridiction",'ETPT Format DDG'!2:2,0)),$A$3)</f>
      </c>
      <c r="R60" s="73">
        <f>SUMIFS(
INDEX('ETPT Format DDG'!$A:$FB,,IFERROR(MATCH(E60,'ETPT Format DDG'!$2:$2,0),MATCH(C60,'ETPT Format DDG'!$2:$2,0))),
INDEX( 'ETPT Format DDG'!$A:$ZZ,,MATCH("Fonction agrégat",'ETPT Format DDG'!2:2,0)),"C",
'ETPT Format DDG'!$H:$H,"Greffe",
INDEX( 'ETPT Format DDG'!$A:$ZZ,,MATCH("Juridiction",'ETPT Format DDG'!2:2,0)),$A$3)</f>
      </c>
      <c r="S60" s="71">
        <f>SUMIFS(
INDEX('ETPT Format DDG'!$A:$FB,,IFERROR(MATCH(E60,'ETPT Format DDG'!$2:$2,0),MATCH(C60,'ETPT Format DDG'!$2:$2,0))),
INDEX( 'ETPT Format DDG'!$A:$ZZ,,MATCH("Catégorie",'ETPT Format DDG'!2:2,0)),"Greffe",
INDEX( 'ETPT Format DDG'!$A:$ZZ,,MATCH("Juridiction",'ETPT Format DDG'!2:2,0)),$A$3)</f>
      </c>
      <c r="T60" s="72">
        <f>IF(AND(OR(LEFT(C60,3)="12.",LEFT(E60,3)="12.",LEFT(E60,5)="CET &gt;",IFERROR(S60/$S$6,"")=0),NOT(AND(LEFT(E60,4)="12.8",IFERROR(G60/$G$6,"")&lt;&gt;0)),NOT(AND(LEFT(E60,5)="12.31",IFERROR(S60/$G$6,"")&lt;&gt;0)),NOT(AND(LEFT(E60,5)="12.32",IFERROR(S60/$G$6,"")&lt;&gt;0))),"", IFERROR(S60/$S$6,""))</f>
      </c>
      <c r="U60" s="71">
        <f>SUMIFS(
INDEX('ETPT Format DDG'!$A:$FB,,IFERROR(MATCH(E60,'ETPT Format DDG'!$2:$2,0),MATCH(C60,'ETPT Format DDG'!$2:$2,0))),
INDEX( 'ETPT Format DDG'!$A:$ZZ,,MATCH("Fonction agrégat",'ETPT Format DDG'!2:2,0)),"C",
INDEX( 'ETPT Format DDG'!$A:$ZZ,,MATCH("Juridiction",'ETPT Format DDG'!2:2,0)),$A$3,
INDEX( 'ETPT Format DDG'!$A:$ZZ,,MATCH("Catégorie",'ETPT Format DDG'!2:2,0)),"Autour du magistrat")</f>
      </c>
      <c r="V60" s="74">
        <f>IF(AND(OR(LEFT(C60,3)="12.",LEFT(E60,3)="12.",LEFT(E60,5)="CET &gt;",IFERROR(U60/$U$6,"")=0),NOT(AND(LEFT(E60,4)="12.8",IFERROR(G60/$G$6,"")&lt;&gt;0)),NOT(AND(LEFT(E60,5)="12.31",IFERROR(U60/$G$6,"")&lt;&gt;0)),NOT(AND(LEFT(E60,5)="12.32",IFERROR(U60/$G$6,"")&lt;&gt;0))),"", IFERROR(U60/$U$6,""))</f>
      </c>
    </row>
    <row r="61" ht="16" customHeight="1" spans="1:23" x14ac:dyDescent="0.25">
      <c r="A61" s="40"/>
      <c r="C61" s="68"/>
      <c r="D61" s="68"/>
      <c r="E61" s="69" t="s">
        <v>96</v>
      </c>
      <c r="F61" s="70" t="s">
        <v>96</v>
      </c>
      <c r="G61" s="71">
        <f>SUMIFS(
INDEX('ETPT Format DDG'!$A:$ZZ,,IFERROR(MATCH(E61,'ETPT Format DDG'!$2:$2,0),MATCH(C61,'ETPT Format DDG'!$2:$2,0))),
INDEX( 'ETPT Format DDG'!$A:$ZZ,,MATCH("Fonction agrégat",'ETPT Format DDG'!2:2,0)),"M-TIT",
INDEX( 'ETPT Format DDG'!$A:$ZZ,,MATCH("Juridiction",'ETPT Format DDG'!2:2,0)),$A$3)</f>
      </c>
      <c r="H61" s="72">
        <f>IF(AND(OR(LEFT(C61,3)="12.",LEFT(E61,3)="12.",LEFT(E61,5)="CET &gt;",IFERROR(G61/$G$6,"")=0),NOT(AND(LEFT(E61,4)="12.8",IFERROR(G61/$G$6,"")&lt;&gt;0)),NOT(AND(LEFT(E61,5)="12.31",IFERROR(G61/$G$6,"")&lt;&gt;0)),NOT(AND(LEFT(E61,5)="12.32",IFERROR(G61/$G$6,"")&lt;&gt;0))),"", IFERROR(G61/$G$6,""))</f>
      </c>
      <c r="I61" s="73">
        <f>SUMIFS(
INDEX('ETPT Format DDG'!$A:$ZZ,,IFERROR(MATCH(E61,'ETPT Format DDG'!$2:$2,0),MATCH(C61,'ETPT Format DDG'!$2:$2,0))),
INDEX( 'ETPT Format DDG'!$A:$ZZ,,MATCH("Fonction agrégat",'ETPT Format DDG'!2:2,0)),"M-PLAC-ADD",
INDEX( 'ETPT Format DDG'!$A:$ZZ,,MATCH("Juridiction",'ETPT Format DDG'!2:2,0)),$A$3)</f>
      </c>
      <c r="J61" s="73">
        <f>SUMIFS(
INDEX('ETPT Format DDG'!$A:$ZZ,,IFERROR(MATCH(E61,'ETPT Format DDG'!$2:$2,0),MATCH(C61,'ETPT Format DDG'!$2:$2,0))),
INDEX( 'ETPT Format DDG'!$A:$ZZ,,MATCH("Fonction agrégat",'ETPT Format DDG'!2:2,0)),"M-PLAC-SUB",
INDEX( 'ETPT Format DDG'!$A:$ZZ,,MATCH("Juridiction",'ETPT Format DDG'!2:2,0)),$A$3)</f>
      </c>
      <c r="K61" s="73">
        <f>SUMIFS(
INDEX('ETPT Format DDG'!$A:$ZZ,,IFERROR(MATCH(E61,'ETPT Format DDG'!$2:$2,0),MATCH(C61,'ETPT Format DDG'!$2:$2,0))),
INDEX( 'ETPT Format DDG'!$A:$ZZ,,MATCH("Fonction agrégat",'ETPT Format DDG'!2:2,0)),"M-CONT",
INDEX( 'ETPT Format DDG'!$A:$ZZ,,MATCH("Juridiction",'ETPT Format DDG'!2:2,0)),$A$3,
INDEX( 'ETPT Format DDG'!$A:$ZZ,,MATCH("Catégorie",'ETPT Format DDG'!2:2,0)),"Magistrat")</f>
      </c>
      <c r="L61" s="71">
        <f>SUMIFS(
INDEX('ETPT Format DDG'!$A:$ZZ,,IFERROR(MATCH(E61,'ETPT Format DDG'!$2:$2,0),MATCH(C61,'ETPT Format DDG'!$2:$2,0))),
INDEX( 'ETPT Format DDG'!$A:$ZZ,,MATCH("Juridiction",'ETPT Format DDG'!2:2,0)),$A$3,
INDEX( 'ETPT Format DDG'!$A:$ZZ,,MATCH("Catégorie",'ETPT Format DDG'!2:2,0)),"Magistrat")</f>
      </c>
      <c r="M61" s="74">
        <f>IF(AND(OR(LEFT(C61,3)="12.",LEFT(E61,3)="12.",LEFT(E61,5)="CET &gt;", IFERROR(L61/$L$6,"")=0),NOT(AND(LEFT(E61,4)="12.8",IFERROR(G61/$G$6,"")&lt;&gt;0)),NOT(AND(LEFT(E61,5)="12.31",IFERROR(L61/$G$6,"")&lt;&gt;0)),NOT(AND(LEFT(E61,5)="12.32",IFERROR(L61/$G$6,"")&lt;&gt;0))),"", IFERROR(L61/$L$6,""))</f>
      </c>
      <c r="N61" s="73">
        <f>SUMIFS(
INDEX('ETPT Format DDG'!$A:$ZZ,,IFERROR(MATCH(E61,'ETPT Format DDG'!$2:$2,0),MATCH(C61,'ETPT Format DDG'!$2:$2,0))),
INDEX( 'ETPT Format DDG'!$A:$ZZ,,MATCH("Fonction agrégat",'ETPT Format DDG'!2:2,0)),"F-TIT",
INDEX( 'ETPT Format DDG'!$A:$ZZ,,MATCH("Juridiction",'ETPT Format DDG'!2:2,0)),$A$3)</f>
      </c>
      <c r="O61" s="72">
        <f>IF(AND(OR(LEFT(C61,3)="12.",LEFT(E61,3)="12.",LEFT(E61,5)="CET &gt;",IFERROR(N61/$N$6,"")=0),NOT(AND(LEFT(E61,4)="12.8",IFERROR(G61/$G$6,"")&lt;&gt;0)),NOT(AND(LEFT(E61,5)="12.31",IFERROR(N61/$G$6,"")&lt;&gt;0)),NOT(AND(LEFT(E61,5)="12.32",IFERROR(N61/$G$6,"")&lt;&gt;0))),"",IFERROR(N61/$N$6,""))</f>
      </c>
      <c r="P61" s="73">
        <f>SUMIFS(
INDEX('ETPT Format DDG'!$A:$FB,,IFERROR(MATCH(E61,'ETPT Format DDG'!$2:$2,0),MATCH(C61,'ETPT Format DDG'!$2:$2,0))),
INDEX( 'ETPT Format DDG'!$A:$ZZ,,MATCH("Fonction agrégat",'ETPT Format DDG'!2:2,0)),"F-PLAC-ADD",
INDEX( 'ETPT Format DDG'!$A:$ZZ,,MATCH("Juridiction",'ETPT Format DDG'!2:2,0)),$A$3)</f>
      </c>
      <c r="Q61" s="73">
        <f>SUMIFS(
INDEX('ETPT Format DDG'!$A:$FB,,IFERROR(MATCH(E61,'ETPT Format DDG'!$2:$2,0),MATCH(C61,'ETPT Format DDG'!$2:$2,0))),
INDEX( 'ETPT Format DDG'!$A:$ZZ,,MATCH("Fonction agrégat",'ETPT Format DDG'!2:2,0)),"F-PLAC-SUB",
INDEX( 'ETPT Format DDG'!$A:$ZZ,,MATCH("Juridiction",'ETPT Format DDG'!2:2,0)),$A$3)</f>
      </c>
      <c r="R61" s="73">
        <f>SUMIFS(
INDEX('ETPT Format DDG'!$A:$FB,,IFERROR(MATCH(E61,'ETPT Format DDG'!$2:$2,0),MATCH(C61,'ETPT Format DDG'!$2:$2,0))),
INDEX( 'ETPT Format DDG'!$A:$ZZ,,MATCH("Fonction agrégat",'ETPT Format DDG'!2:2,0)),"C",
'ETPT Format DDG'!$H:$H,"Greffe",
INDEX( 'ETPT Format DDG'!$A:$ZZ,,MATCH("Juridiction",'ETPT Format DDG'!2:2,0)),$A$3)</f>
      </c>
      <c r="S61" s="71">
        <f>SUMIFS(
INDEX('ETPT Format DDG'!$A:$FB,,IFERROR(MATCH(E61,'ETPT Format DDG'!$2:$2,0),MATCH(C61,'ETPT Format DDG'!$2:$2,0))),
INDEX( 'ETPT Format DDG'!$A:$ZZ,,MATCH("Catégorie",'ETPT Format DDG'!2:2,0)),"Greffe",
INDEX( 'ETPT Format DDG'!$A:$ZZ,,MATCH("Juridiction",'ETPT Format DDG'!2:2,0)),$A$3)</f>
      </c>
      <c r="T61" s="72">
        <f>IF(AND(OR(LEFT(C61,3)="12.",LEFT(E61,3)="12.",LEFT(E61,5)="CET &gt;",IFERROR(S61/$S$6,"")=0),NOT(AND(LEFT(E61,4)="12.8",IFERROR(G61/$G$6,"")&lt;&gt;0)),NOT(AND(LEFT(E61,5)="12.31",IFERROR(S61/$G$6,"")&lt;&gt;0)),NOT(AND(LEFT(E61,5)="12.32",IFERROR(S61/$G$6,"")&lt;&gt;0))),"", IFERROR(S61/$S$6,""))</f>
      </c>
      <c r="U61" s="71">
        <f>SUMIFS(
INDEX('ETPT Format DDG'!$A:$FB,,IFERROR(MATCH(E61,'ETPT Format DDG'!$2:$2,0),MATCH(C61,'ETPT Format DDG'!$2:$2,0))),
INDEX( 'ETPT Format DDG'!$A:$ZZ,,MATCH("Fonction agrégat",'ETPT Format DDG'!2:2,0)),"C",
INDEX( 'ETPT Format DDG'!$A:$ZZ,,MATCH("Juridiction",'ETPT Format DDG'!2:2,0)),$A$3,
INDEX( 'ETPT Format DDG'!$A:$ZZ,,MATCH("Catégorie",'ETPT Format DDG'!2:2,0)),"Autour du magistrat")</f>
      </c>
      <c r="V61" s="74">
        <f>IF(AND(OR(LEFT(C61,3)="12.",LEFT(E61,3)="12.",LEFT(E61,5)="CET &gt;",IFERROR(U61/$U$6,"")=0),NOT(AND(LEFT(E61,4)="12.8",IFERROR(G61/$G$6,"")&lt;&gt;0)),NOT(AND(LEFT(E61,5)="12.31",IFERROR(U61/$G$6,"")&lt;&gt;0)),NOT(AND(LEFT(E61,5)="12.32",IFERROR(U61/$G$6,"")&lt;&gt;0))),"", IFERROR(U61/$U$6,""))</f>
      </c>
    </row>
    <row r="62" ht="16" customHeight="1" spans="1:23" x14ac:dyDescent="0.25">
      <c r="A62" s="40"/>
      <c r="C62" s="68"/>
      <c r="D62" s="68"/>
      <c r="E62" s="69" t="s">
        <v>97</v>
      </c>
      <c r="F62" s="70" t="s">
        <v>97</v>
      </c>
      <c r="G62" s="71">
        <f>SUMIFS(
INDEX('ETPT Format DDG'!$A:$ZZ,,IFERROR(MATCH(E62,'ETPT Format DDG'!$2:$2,0),MATCH(C62,'ETPT Format DDG'!$2:$2,0))),
INDEX( 'ETPT Format DDG'!$A:$ZZ,,MATCH("Fonction agrégat",'ETPT Format DDG'!2:2,0)),"M-TIT",
INDEX( 'ETPT Format DDG'!$A:$ZZ,,MATCH("Juridiction",'ETPT Format DDG'!2:2,0)),$A$3)</f>
      </c>
      <c r="H62" s="72">
        <f>IF(AND(OR(LEFT(C62,3)="12.",LEFT(E62,3)="12.",LEFT(E62,5)="CET &gt;",IFERROR(G62/$G$6,"")=0),NOT(AND(LEFT(E62,4)="12.8",IFERROR(G62/$G$6,"")&lt;&gt;0)),NOT(AND(LEFT(E62,5)="12.31",IFERROR(G62/$G$6,"")&lt;&gt;0)),NOT(AND(LEFT(E62,5)="12.32",IFERROR(G62/$G$6,"")&lt;&gt;0))),"", IFERROR(G62/$G$6,""))</f>
      </c>
      <c r="I62" s="73">
        <f>SUMIFS(
INDEX('ETPT Format DDG'!$A:$ZZ,,IFERROR(MATCH(E62,'ETPT Format DDG'!$2:$2,0),MATCH(C62,'ETPT Format DDG'!$2:$2,0))),
INDEX( 'ETPT Format DDG'!$A:$ZZ,,MATCH("Fonction agrégat",'ETPT Format DDG'!2:2,0)),"M-PLAC-ADD",
INDEX( 'ETPT Format DDG'!$A:$ZZ,,MATCH("Juridiction",'ETPT Format DDG'!2:2,0)),$A$3)</f>
      </c>
      <c r="J62" s="73">
        <f>SUMIFS(
INDEX('ETPT Format DDG'!$A:$ZZ,,IFERROR(MATCH(E62,'ETPT Format DDG'!$2:$2,0),MATCH(C62,'ETPT Format DDG'!$2:$2,0))),
INDEX( 'ETPT Format DDG'!$A:$ZZ,,MATCH("Fonction agrégat",'ETPT Format DDG'!2:2,0)),"M-PLAC-SUB",
INDEX( 'ETPT Format DDG'!$A:$ZZ,,MATCH("Juridiction",'ETPT Format DDG'!2:2,0)),$A$3)</f>
      </c>
      <c r="K62" s="73">
        <f>SUMIFS(
INDEX('ETPT Format DDG'!$A:$ZZ,,IFERROR(MATCH(E62,'ETPT Format DDG'!$2:$2,0),MATCH(C62,'ETPT Format DDG'!$2:$2,0))),
INDEX( 'ETPT Format DDG'!$A:$ZZ,,MATCH("Fonction agrégat",'ETPT Format DDG'!2:2,0)),"M-CONT",
INDEX( 'ETPT Format DDG'!$A:$ZZ,,MATCH("Juridiction",'ETPT Format DDG'!2:2,0)),$A$3,
INDEX( 'ETPT Format DDG'!$A:$ZZ,,MATCH("Catégorie",'ETPT Format DDG'!2:2,0)),"Magistrat")</f>
      </c>
      <c r="L62" s="71">
        <f>SUMIFS(
INDEX('ETPT Format DDG'!$A:$ZZ,,IFERROR(MATCH(E62,'ETPT Format DDG'!$2:$2,0),MATCH(C62,'ETPT Format DDG'!$2:$2,0))),
INDEX( 'ETPT Format DDG'!$A:$ZZ,,MATCH("Juridiction",'ETPT Format DDG'!2:2,0)),$A$3,
INDEX( 'ETPT Format DDG'!$A:$ZZ,,MATCH("Catégorie",'ETPT Format DDG'!2:2,0)),"Magistrat")</f>
      </c>
      <c r="M62" s="74">
        <f>IF(AND(OR(LEFT(C62,3)="12.",LEFT(E62,3)="12.",LEFT(E62,5)="CET &gt;", IFERROR(L62/$L$6,"")=0),NOT(AND(LEFT(E62,4)="12.8",IFERROR(G62/$G$6,"")&lt;&gt;0)),NOT(AND(LEFT(E62,5)="12.31",IFERROR(L62/$G$6,"")&lt;&gt;0)),NOT(AND(LEFT(E62,5)="12.32",IFERROR(L62/$G$6,"")&lt;&gt;0))),"", IFERROR(L62/$L$6,""))</f>
      </c>
      <c r="N62" s="73">
        <f>SUMIFS(
INDEX('ETPT Format DDG'!$A:$ZZ,,IFERROR(MATCH(E62,'ETPT Format DDG'!$2:$2,0),MATCH(C62,'ETPT Format DDG'!$2:$2,0))),
INDEX( 'ETPT Format DDG'!$A:$ZZ,,MATCH("Fonction agrégat",'ETPT Format DDG'!2:2,0)),"F-TIT",
INDEX( 'ETPT Format DDG'!$A:$ZZ,,MATCH("Juridiction",'ETPT Format DDG'!2:2,0)),$A$3)</f>
      </c>
      <c r="O62" s="72">
        <f>IF(AND(OR(LEFT(C62,3)="12.",LEFT(E62,3)="12.",LEFT(E62,5)="CET &gt;",IFERROR(N62/$N$6,"")=0),NOT(AND(LEFT(E62,4)="12.8",IFERROR(G62/$G$6,"")&lt;&gt;0)),NOT(AND(LEFT(E62,5)="12.31",IFERROR(N62/$G$6,"")&lt;&gt;0)),NOT(AND(LEFT(E62,5)="12.32",IFERROR(N62/$G$6,"")&lt;&gt;0))),"",IFERROR(N62/$N$6,""))</f>
      </c>
      <c r="P62" s="73">
        <f>SUMIFS(
INDEX('ETPT Format DDG'!$A:$FB,,IFERROR(MATCH(E62,'ETPT Format DDG'!$2:$2,0),MATCH(C62,'ETPT Format DDG'!$2:$2,0))),
INDEX( 'ETPT Format DDG'!$A:$ZZ,,MATCH("Fonction agrégat",'ETPT Format DDG'!2:2,0)),"F-PLAC-ADD",
INDEX( 'ETPT Format DDG'!$A:$ZZ,,MATCH("Juridiction",'ETPT Format DDG'!2:2,0)),$A$3)</f>
      </c>
      <c r="Q62" s="73">
        <f>SUMIFS(
INDEX('ETPT Format DDG'!$A:$FB,,IFERROR(MATCH(E62,'ETPT Format DDG'!$2:$2,0),MATCH(C62,'ETPT Format DDG'!$2:$2,0))),
INDEX( 'ETPT Format DDG'!$A:$ZZ,,MATCH("Fonction agrégat",'ETPT Format DDG'!2:2,0)),"F-PLAC-SUB",
INDEX( 'ETPT Format DDG'!$A:$ZZ,,MATCH("Juridiction",'ETPT Format DDG'!2:2,0)),$A$3)</f>
      </c>
      <c r="R62" s="73">
        <f>SUMIFS(
INDEX('ETPT Format DDG'!$A:$FB,,IFERROR(MATCH(E62,'ETPT Format DDG'!$2:$2,0),MATCH(C62,'ETPT Format DDG'!$2:$2,0))),
INDEX( 'ETPT Format DDG'!$A:$ZZ,,MATCH("Fonction agrégat",'ETPT Format DDG'!2:2,0)),"C",
'ETPT Format DDG'!$H:$H,"Greffe",
INDEX( 'ETPT Format DDG'!$A:$ZZ,,MATCH("Juridiction",'ETPT Format DDG'!2:2,0)),$A$3)</f>
      </c>
      <c r="S62" s="71">
        <f>SUMIFS(
INDEX('ETPT Format DDG'!$A:$FB,,IFERROR(MATCH(E62,'ETPT Format DDG'!$2:$2,0),MATCH(C62,'ETPT Format DDG'!$2:$2,0))),
INDEX( 'ETPT Format DDG'!$A:$ZZ,,MATCH("Catégorie",'ETPT Format DDG'!2:2,0)),"Greffe",
INDEX( 'ETPT Format DDG'!$A:$ZZ,,MATCH("Juridiction",'ETPT Format DDG'!2:2,0)),$A$3)</f>
      </c>
      <c r="T62" s="72">
        <f>IF(AND(OR(LEFT(C62,3)="12.",LEFT(E62,3)="12.",LEFT(E62,5)="CET &gt;",IFERROR(S62/$S$6,"")=0),NOT(AND(LEFT(E62,4)="12.8",IFERROR(G62/$G$6,"")&lt;&gt;0)),NOT(AND(LEFT(E62,5)="12.31",IFERROR(S62/$G$6,"")&lt;&gt;0)),NOT(AND(LEFT(E62,5)="12.32",IFERROR(S62/$G$6,"")&lt;&gt;0))),"", IFERROR(S62/$S$6,""))</f>
      </c>
      <c r="U62" s="71">
        <f>SUMIFS(
INDEX('ETPT Format DDG'!$A:$FB,,IFERROR(MATCH(E62,'ETPT Format DDG'!$2:$2,0),MATCH(C62,'ETPT Format DDG'!$2:$2,0))),
INDEX( 'ETPT Format DDG'!$A:$ZZ,,MATCH("Fonction agrégat",'ETPT Format DDG'!2:2,0)),"C",
INDEX( 'ETPT Format DDG'!$A:$ZZ,,MATCH("Juridiction",'ETPT Format DDG'!2:2,0)),$A$3,
INDEX( 'ETPT Format DDG'!$A:$ZZ,,MATCH("Catégorie",'ETPT Format DDG'!2:2,0)),"Autour du magistrat")</f>
      </c>
      <c r="V62" s="74">
        <f>IF(AND(OR(LEFT(C62,3)="12.",LEFT(E62,3)="12.",LEFT(E62,5)="CET &gt;",IFERROR(U62/$U$6,"")=0),NOT(AND(LEFT(E62,4)="12.8",IFERROR(G62/$G$6,"")&lt;&gt;0)),NOT(AND(LEFT(E62,5)="12.31",IFERROR(U62/$G$6,"")&lt;&gt;0)),NOT(AND(LEFT(E62,5)="12.32",IFERROR(U62/$G$6,"")&lt;&gt;0))),"", IFERROR(U62/$U$6,""))</f>
      </c>
    </row>
    <row r="63" ht="16" customHeight="1" spans="1:23" x14ac:dyDescent="0.25">
      <c r="A63" s="40"/>
      <c r="C63" s="68"/>
      <c r="D63" s="68"/>
      <c r="E63" s="69" t="s">
        <v>98</v>
      </c>
      <c r="F63" s="70" t="s">
        <v>98</v>
      </c>
      <c r="G63" s="71">
        <f>SUMIFS(
INDEX('ETPT Format DDG'!$A:$ZZ,,IFERROR(MATCH(E63,'ETPT Format DDG'!$2:$2,0),MATCH(C63,'ETPT Format DDG'!$2:$2,0))),
INDEX( 'ETPT Format DDG'!$A:$ZZ,,MATCH("Fonction agrégat",'ETPT Format DDG'!2:2,0)),"M-TIT",
INDEX( 'ETPT Format DDG'!$A:$ZZ,,MATCH("Juridiction",'ETPT Format DDG'!2:2,0)),$A$3)</f>
      </c>
      <c r="H63" s="72">
        <f>IF(AND(OR(LEFT(C63,3)="12.",LEFT(E63,3)="12.",LEFT(E63,5)="CET &gt;",IFERROR(G63/$G$6,"")=0),NOT(AND(LEFT(E63,4)="12.8",IFERROR(G63/$G$6,"")&lt;&gt;0)),NOT(AND(LEFT(E63,5)="12.31",IFERROR(G63/$G$6,"")&lt;&gt;0)),NOT(AND(LEFT(E63,5)="12.32",IFERROR(G63/$G$6,"")&lt;&gt;0))),"", IFERROR(G63/$G$6,""))</f>
      </c>
      <c r="I63" s="73">
        <f>SUMIFS(
INDEX('ETPT Format DDG'!$A:$ZZ,,IFERROR(MATCH(E63,'ETPT Format DDG'!$2:$2,0),MATCH(C63,'ETPT Format DDG'!$2:$2,0))),
INDEX( 'ETPT Format DDG'!$A:$ZZ,,MATCH("Fonction agrégat",'ETPT Format DDG'!2:2,0)),"M-PLAC-ADD",
INDEX( 'ETPT Format DDG'!$A:$ZZ,,MATCH("Juridiction",'ETPT Format DDG'!2:2,0)),$A$3)</f>
      </c>
      <c r="J63" s="73">
        <f>SUMIFS(
INDEX('ETPT Format DDG'!$A:$ZZ,,IFERROR(MATCH(E63,'ETPT Format DDG'!$2:$2,0),MATCH(C63,'ETPT Format DDG'!$2:$2,0))),
INDEX( 'ETPT Format DDG'!$A:$ZZ,,MATCH("Fonction agrégat",'ETPT Format DDG'!2:2,0)),"M-PLAC-SUB",
INDEX( 'ETPT Format DDG'!$A:$ZZ,,MATCH("Juridiction",'ETPT Format DDG'!2:2,0)),$A$3)</f>
      </c>
      <c r="K63" s="73">
        <f>SUMIFS(
INDEX('ETPT Format DDG'!$A:$ZZ,,IFERROR(MATCH(E63,'ETPT Format DDG'!$2:$2,0),MATCH(C63,'ETPT Format DDG'!$2:$2,0))),
INDEX( 'ETPT Format DDG'!$A:$ZZ,,MATCH("Fonction agrégat",'ETPT Format DDG'!2:2,0)),"M-CONT",
INDEX( 'ETPT Format DDG'!$A:$ZZ,,MATCH("Juridiction",'ETPT Format DDG'!2:2,0)),$A$3,
INDEX( 'ETPT Format DDG'!$A:$ZZ,,MATCH("Catégorie",'ETPT Format DDG'!2:2,0)),"Magistrat")</f>
      </c>
      <c r="L63" s="71">
        <f>SUMIFS(
INDEX('ETPT Format DDG'!$A:$ZZ,,IFERROR(MATCH(E63,'ETPT Format DDG'!$2:$2,0),MATCH(C63,'ETPT Format DDG'!$2:$2,0))),
INDEX( 'ETPT Format DDG'!$A:$ZZ,,MATCH("Juridiction",'ETPT Format DDG'!2:2,0)),$A$3,
INDEX( 'ETPT Format DDG'!$A:$ZZ,,MATCH("Catégorie",'ETPT Format DDG'!2:2,0)),"Magistrat")</f>
      </c>
      <c r="M63" s="74">
        <f>IF(AND(OR(LEFT(C63,3)="12.",LEFT(E63,3)="12.",LEFT(E63,5)="CET &gt;", IFERROR(L63/$L$6,"")=0),NOT(AND(LEFT(E63,4)="12.8",IFERROR(G63/$G$6,"")&lt;&gt;0)),NOT(AND(LEFT(E63,5)="12.31",IFERROR(L63/$G$6,"")&lt;&gt;0)),NOT(AND(LEFT(E63,5)="12.32",IFERROR(L63/$G$6,"")&lt;&gt;0))),"", IFERROR(L63/$L$6,""))</f>
      </c>
      <c r="N63" s="73">
        <f>SUMIFS(
INDEX('ETPT Format DDG'!$A:$ZZ,,IFERROR(MATCH(E63,'ETPT Format DDG'!$2:$2,0),MATCH(C63,'ETPT Format DDG'!$2:$2,0))),
INDEX( 'ETPT Format DDG'!$A:$ZZ,,MATCH("Fonction agrégat",'ETPT Format DDG'!2:2,0)),"F-TIT",
INDEX( 'ETPT Format DDG'!$A:$ZZ,,MATCH("Juridiction",'ETPT Format DDG'!2:2,0)),$A$3)</f>
      </c>
      <c r="O63" s="72">
        <f>IF(AND(OR(LEFT(C63,3)="12.",LEFT(E63,3)="12.",LEFT(E63,5)="CET &gt;",IFERROR(N63/$N$6,"")=0),NOT(AND(LEFT(E63,4)="12.8",IFERROR(G63/$G$6,"")&lt;&gt;0)),NOT(AND(LEFT(E63,5)="12.31",IFERROR(N63/$G$6,"")&lt;&gt;0)),NOT(AND(LEFT(E63,5)="12.32",IFERROR(N63/$G$6,"")&lt;&gt;0))),"",IFERROR(N63/$N$6,""))</f>
      </c>
      <c r="P63" s="73">
        <f>SUMIFS(
INDEX('ETPT Format DDG'!$A:$FB,,IFERROR(MATCH(E63,'ETPT Format DDG'!$2:$2,0),MATCH(C63,'ETPT Format DDG'!$2:$2,0))),
INDEX( 'ETPT Format DDG'!$A:$ZZ,,MATCH("Fonction agrégat",'ETPT Format DDG'!2:2,0)),"F-PLAC-ADD",
INDEX( 'ETPT Format DDG'!$A:$ZZ,,MATCH("Juridiction",'ETPT Format DDG'!2:2,0)),$A$3)</f>
      </c>
      <c r="Q63" s="73">
        <f>SUMIFS(
INDEX('ETPT Format DDG'!$A:$FB,,IFERROR(MATCH(E63,'ETPT Format DDG'!$2:$2,0),MATCH(C63,'ETPT Format DDG'!$2:$2,0))),
INDEX( 'ETPT Format DDG'!$A:$ZZ,,MATCH("Fonction agrégat",'ETPT Format DDG'!2:2,0)),"F-PLAC-SUB",
INDEX( 'ETPT Format DDG'!$A:$ZZ,,MATCH("Juridiction",'ETPT Format DDG'!2:2,0)),$A$3)</f>
      </c>
      <c r="R63" s="73">
        <f>SUMIFS(
INDEX('ETPT Format DDG'!$A:$FB,,IFERROR(MATCH(E63,'ETPT Format DDG'!$2:$2,0),MATCH(C63,'ETPT Format DDG'!$2:$2,0))),
INDEX( 'ETPT Format DDG'!$A:$ZZ,,MATCH("Fonction agrégat",'ETPT Format DDG'!2:2,0)),"C",
'ETPT Format DDG'!$H:$H,"Greffe",
INDEX( 'ETPT Format DDG'!$A:$ZZ,,MATCH("Juridiction",'ETPT Format DDG'!2:2,0)),$A$3)</f>
      </c>
      <c r="S63" s="71">
        <f>SUMIFS(
INDEX('ETPT Format DDG'!$A:$FB,,IFERROR(MATCH(E63,'ETPT Format DDG'!$2:$2,0),MATCH(C63,'ETPT Format DDG'!$2:$2,0))),
INDEX( 'ETPT Format DDG'!$A:$ZZ,,MATCH("Catégorie",'ETPT Format DDG'!2:2,0)),"Greffe",
INDEX( 'ETPT Format DDG'!$A:$ZZ,,MATCH("Juridiction",'ETPT Format DDG'!2:2,0)),$A$3)</f>
      </c>
      <c r="T63" s="72">
        <f>IF(AND(OR(LEFT(C63,3)="12.",LEFT(E63,3)="12.",LEFT(E63,5)="CET &gt;",IFERROR(S63/$S$6,"")=0),NOT(AND(LEFT(E63,4)="12.8",IFERROR(G63/$G$6,"")&lt;&gt;0)),NOT(AND(LEFT(E63,5)="12.31",IFERROR(S63/$G$6,"")&lt;&gt;0)),NOT(AND(LEFT(E63,5)="12.32",IFERROR(S63/$G$6,"")&lt;&gt;0))),"", IFERROR(S63/$S$6,""))</f>
      </c>
      <c r="U63" s="71">
        <f>SUMIFS(
INDEX('ETPT Format DDG'!$A:$FB,,IFERROR(MATCH(E63,'ETPT Format DDG'!$2:$2,0),MATCH(C63,'ETPT Format DDG'!$2:$2,0))),
INDEX( 'ETPT Format DDG'!$A:$ZZ,,MATCH("Fonction agrégat",'ETPT Format DDG'!2:2,0)),"C",
INDEX( 'ETPT Format DDG'!$A:$ZZ,,MATCH("Juridiction",'ETPT Format DDG'!2:2,0)),$A$3,
INDEX( 'ETPT Format DDG'!$A:$ZZ,,MATCH("Catégorie",'ETPT Format DDG'!2:2,0)),"Autour du magistrat")</f>
      </c>
      <c r="V63" s="74">
        <f>IF(AND(OR(LEFT(C63,3)="12.",LEFT(E63,3)="12.",LEFT(E63,5)="CET &gt;",IFERROR(U63/$U$6,"")=0),NOT(AND(LEFT(E63,4)="12.8",IFERROR(G63/$G$6,"")&lt;&gt;0)),NOT(AND(LEFT(E63,5)="12.31",IFERROR(U63/$G$6,"")&lt;&gt;0)),NOT(AND(LEFT(E63,5)="12.32",IFERROR(U63/$G$6,"")&lt;&gt;0))),"", IFERROR(U63/$U$6,""))</f>
      </c>
    </row>
    <row r="64" ht="16" customHeight="1" spans="1:23" x14ac:dyDescent="0.25">
      <c r="A64" s="40"/>
      <c r="C64" s="68"/>
      <c r="D64" s="68"/>
      <c r="E64" s="69" t="s">
        <v>99</v>
      </c>
      <c r="F64" s="70" t="s">
        <v>99</v>
      </c>
      <c r="G64" s="71">
        <f>SUMIFS(
INDEX('ETPT Format DDG'!$A:$ZZ,,IFERROR(MATCH(E64,'ETPT Format DDG'!$2:$2,0),MATCH(C64,'ETPT Format DDG'!$2:$2,0))),
INDEX( 'ETPT Format DDG'!$A:$ZZ,,MATCH("Fonction agrégat",'ETPT Format DDG'!2:2,0)),"M-TIT",
INDEX( 'ETPT Format DDG'!$A:$ZZ,,MATCH("Juridiction",'ETPT Format DDG'!2:2,0)),$A$3)</f>
      </c>
      <c r="H64" s="72">
        <f>IF(AND(OR(LEFT(C64,3)="12.",LEFT(E64,3)="12.",LEFT(E64,5)="CET &gt;",IFERROR(G64/$G$6,"")=0),NOT(AND(LEFT(E64,4)="12.8",IFERROR(G64/$G$6,"")&lt;&gt;0)),NOT(AND(LEFT(E64,5)="12.31",IFERROR(G64/$G$6,"")&lt;&gt;0)),NOT(AND(LEFT(E64,5)="12.32",IFERROR(G64/$G$6,"")&lt;&gt;0))),"", IFERROR(G64/$G$6,""))</f>
      </c>
      <c r="I64" s="73">
        <f>SUMIFS(
INDEX('ETPT Format DDG'!$A:$ZZ,,IFERROR(MATCH(E64,'ETPT Format DDG'!$2:$2,0),MATCH(C64,'ETPT Format DDG'!$2:$2,0))),
INDEX( 'ETPT Format DDG'!$A:$ZZ,,MATCH("Fonction agrégat",'ETPT Format DDG'!2:2,0)),"M-PLAC-ADD",
INDEX( 'ETPT Format DDG'!$A:$ZZ,,MATCH("Juridiction",'ETPT Format DDG'!2:2,0)),$A$3)</f>
      </c>
      <c r="J64" s="73">
        <f>SUMIFS(
INDEX('ETPT Format DDG'!$A:$ZZ,,IFERROR(MATCH(E64,'ETPT Format DDG'!$2:$2,0),MATCH(C64,'ETPT Format DDG'!$2:$2,0))),
INDEX( 'ETPT Format DDG'!$A:$ZZ,,MATCH("Fonction agrégat",'ETPT Format DDG'!2:2,0)),"M-PLAC-SUB",
INDEX( 'ETPT Format DDG'!$A:$ZZ,,MATCH("Juridiction",'ETPT Format DDG'!2:2,0)),$A$3)</f>
      </c>
      <c r="K64" s="73">
        <f>SUMIFS(
INDEX('ETPT Format DDG'!$A:$ZZ,,IFERROR(MATCH(E64,'ETPT Format DDG'!$2:$2,0),MATCH(C64,'ETPT Format DDG'!$2:$2,0))),
INDEX( 'ETPT Format DDG'!$A:$ZZ,,MATCH("Fonction agrégat",'ETPT Format DDG'!2:2,0)),"M-CONT",
INDEX( 'ETPT Format DDG'!$A:$ZZ,,MATCH("Juridiction",'ETPT Format DDG'!2:2,0)),$A$3,
INDEX( 'ETPT Format DDG'!$A:$ZZ,,MATCH("Catégorie",'ETPT Format DDG'!2:2,0)),"Magistrat")</f>
      </c>
      <c r="L64" s="71">
        <f>SUMIFS(
INDEX('ETPT Format DDG'!$A:$ZZ,,IFERROR(MATCH(E64,'ETPT Format DDG'!$2:$2,0),MATCH(C64,'ETPT Format DDG'!$2:$2,0))),
INDEX( 'ETPT Format DDG'!$A:$ZZ,,MATCH("Juridiction",'ETPT Format DDG'!2:2,0)),$A$3,
INDEX( 'ETPT Format DDG'!$A:$ZZ,,MATCH("Catégorie",'ETPT Format DDG'!2:2,0)),"Magistrat")</f>
      </c>
      <c r="M64" s="74">
        <f>IF(AND(OR(LEFT(C64,3)="12.",LEFT(E64,3)="12.",LEFT(E64,5)="CET &gt;", IFERROR(L64/$L$6,"")=0),NOT(AND(LEFT(E64,4)="12.8",IFERROR(G64/$G$6,"")&lt;&gt;0)),NOT(AND(LEFT(E64,5)="12.31",IFERROR(L64/$G$6,"")&lt;&gt;0)),NOT(AND(LEFT(E64,5)="12.32",IFERROR(L64/$G$6,"")&lt;&gt;0))),"", IFERROR(L64/$L$6,""))</f>
      </c>
      <c r="N64" s="73">
        <f>SUMIFS(
INDEX('ETPT Format DDG'!$A:$ZZ,,IFERROR(MATCH(E64,'ETPT Format DDG'!$2:$2,0),MATCH(C64,'ETPT Format DDG'!$2:$2,0))),
INDEX( 'ETPT Format DDG'!$A:$ZZ,,MATCH("Fonction agrégat",'ETPT Format DDG'!2:2,0)),"F-TIT",
INDEX( 'ETPT Format DDG'!$A:$ZZ,,MATCH("Juridiction",'ETPT Format DDG'!2:2,0)),$A$3)</f>
      </c>
      <c r="O64" s="72">
        <f>IF(AND(OR(LEFT(C64,3)="12.",LEFT(E64,3)="12.",LEFT(E64,5)="CET &gt;",IFERROR(N64/$N$6,"")=0),NOT(AND(LEFT(E64,4)="12.8",IFERROR(G64/$G$6,"")&lt;&gt;0)),NOT(AND(LEFT(E64,5)="12.31",IFERROR(N64/$G$6,"")&lt;&gt;0)),NOT(AND(LEFT(E64,5)="12.32",IFERROR(N64/$G$6,"")&lt;&gt;0))),"",IFERROR(N64/$N$6,""))</f>
      </c>
      <c r="P64" s="73">
        <f>SUMIFS(
INDEX('ETPT Format DDG'!$A:$FB,,IFERROR(MATCH(E64,'ETPT Format DDG'!$2:$2,0),MATCH(C64,'ETPT Format DDG'!$2:$2,0))),
INDEX( 'ETPT Format DDG'!$A:$ZZ,,MATCH("Fonction agrégat",'ETPT Format DDG'!2:2,0)),"F-PLAC-ADD",
INDEX( 'ETPT Format DDG'!$A:$ZZ,,MATCH("Juridiction",'ETPT Format DDG'!2:2,0)),$A$3)</f>
      </c>
      <c r="Q64" s="73">
        <f>SUMIFS(
INDEX('ETPT Format DDG'!$A:$FB,,IFERROR(MATCH(E64,'ETPT Format DDG'!$2:$2,0),MATCH(C64,'ETPT Format DDG'!$2:$2,0))),
INDEX( 'ETPT Format DDG'!$A:$ZZ,,MATCH("Fonction agrégat",'ETPT Format DDG'!2:2,0)),"F-PLAC-SUB",
INDEX( 'ETPT Format DDG'!$A:$ZZ,,MATCH("Juridiction",'ETPT Format DDG'!2:2,0)),$A$3)</f>
      </c>
      <c r="R64" s="73">
        <f>SUMIFS(
INDEX('ETPT Format DDG'!$A:$FB,,IFERROR(MATCH(E64,'ETPT Format DDG'!$2:$2,0),MATCH(C64,'ETPT Format DDG'!$2:$2,0))),
INDEX( 'ETPT Format DDG'!$A:$ZZ,,MATCH("Fonction agrégat",'ETPT Format DDG'!2:2,0)),"C",
'ETPT Format DDG'!$H:$H,"Greffe",
INDEX( 'ETPT Format DDG'!$A:$ZZ,,MATCH("Juridiction",'ETPT Format DDG'!2:2,0)),$A$3)</f>
      </c>
      <c r="S64" s="71">
        <f>SUMIFS(
INDEX('ETPT Format DDG'!$A:$FB,,IFERROR(MATCH(E64,'ETPT Format DDG'!$2:$2,0),MATCH(C64,'ETPT Format DDG'!$2:$2,0))),
INDEX( 'ETPT Format DDG'!$A:$ZZ,,MATCH("Catégorie",'ETPT Format DDG'!2:2,0)),"Greffe",
INDEX( 'ETPT Format DDG'!$A:$ZZ,,MATCH("Juridiction",'ETPT Format DDG'!2:2,0)),$A$3)</f>
      </c>
      <c r="T64" s="72">
        <f>IF(AND(OR(LEFT(C64,3)="12.",LEFT(E64,3)="12.",LEFT(E64,5)="CET &gt;",IFERROR(S64/$S$6,"")=0),NOT(AND(LEFT(E64,4)="12.8",IFERROR(G64/$G$6,"")&lt;&gt;0)),NOT(AND(LEFT(E64,5)="12.31",IFERROR(S64/$G$6,"")&lt;&gt;0)),NOT(AND(LEFT(E64,5)="12.32",IFERROR(S64/$G$6,"")&lt;&gt;0))),"", IFERROR(S64/$S$6,""))</f>
      </c>
      <c r="U64" s="71">
        <f>SUMIFS(
INDEX('ETPT Format DDG'!$A:$FB,,IFERROR(MATCH(E64,'ETPT Format DDG'!$2:$2,0),MATCH(C64,'ETPT Format DDG'!$2:$2,0))),
INDEX( 'ETPT Format DDG'!$A:$ZZ,,MATCH("Fonction agrégat",'ETPT Format DDG'!2:2,0)),"C",
INDEX( 'ETPT Format DDG'!$A:$ZZ,,MATCH("Juridiction",'ETPT Format DDG'!2:2,0)),$A$3,
INDEX( 'ETPT Format DDG'!$A:$ZZ,,MATCH("Catégorie",'ETPT Format DDG'!2:2,0)),"Autour du magistrat")</f>
      </c>
      <c r="V64" s="74">
        <f>IF(AND(OR(LEFT(C64,3)="12.",LEFT(E64,3)="12.",LEFT(E64,5)="CET &gt;",IFERROR(U64/$U$6,"")=0),NOT(AND(LEFT(E64,4)="12.8",IFERROR(G64/$G$6,"")&lt;&gt;0)),NOT(AND(LEFT(E64,5)="12.31",IFERROR(U64/$G$6,"")&lt;&gt;0)),NOT(AND(LEFT(E64,5)="12.32",IFERROR(U64/$G$6,"")&lt;&gt;0))),"", IFERROR(U64/$U$6,""))</f>
      </c>
    </row>
    <row r="65" ht="16" customHeight="1" spans="1:23" x14ac:dyDescent="0.25">
      <c r="A65" s="40"/>
      <c r="C65" s="68"/>
      <c r="D65" s="68"/>
      <c r="E65" s="69" t="s">
        <v>100</v>
      </c>
      <c r="F65" s="70" t="s">
        <v>100</v>
      </c>
      <c r="G65" s="71">
        <f>SUMIFS(
INDEX('ETPT Format DDG'!$A:$ZZ,,IFERROR(MATCH(E65,'ETPT Format DDG'!$2:$2,0),MATCH(C65,'ETPT Format DDG'!$2:$2,0))),
INDEX( 'ETPT Format DDG'!$A:$ZZ,,MATCH("Fonction agrégat",'ETPT Format DDG'!2:2,0)),"M-TIT",
INDEX( 'ETPT Format DDG'!$A:$ZZ,,MATCH("Juridiction",'ETPT Format DDG'!2:2,0)),$A$3)</f>
      </c>
      <c r="H65" s="72">
        <f>IF(AND(OR(LEFT(C65,3)="12.",LEFT(E65,3)="12.",LEFT(E65,5)="CET &gt;",IFERROR(G65/$G$6,"")=0),NOT(AND(LEFT(E65,4)="12.8",IFERROR(G65/$G$6,"")&lt;&gt;0)),NOT(AND(LEFT(E65,5)="12.31",IFERROR(G65/$G$6,"")&lt;&gt;0)),NOT(AND(LEFT(E65,5)="12.32",IFERROR(G65/$G$6,"")&lt;&gt;0))),"", IFERROR(G65/$G$6,""))</f>
      </c>
      <c r="I65" s="73">
        <f>SUMIFS(
INDEX('ETPT Format DDG'!$A:$ZZ,,IFERROR(MATCH(E65,'ETPT Format DDG'!$2:$2,0),MATCH(C65,'ETPT Format DDG'!$2:$2,0))),
INDEX( 'ETPT Format DDG'!$A:$ZZ,,MATCH("Fonction agrégat",'ETPT Format DDG'!2:2,0)),"M-PLAC-ADD",
INDEX( 'ETPT Format DDG'!$A:$ZZ,,MATCH("Juridiction",'ETPT Format DDG'!2:2,0)),$A$3)</f>
      </c>
      <c r="J65" s="73">
        <f>SUMIFS(
INDEX('ETPT Format DDG'!$A:$ZZ,,IFERROR(MATCH(E65,'ETPT Format DDG'!$2:$2,0),MATCH(C65,'ETPT Format DDG'!$2:$2,0))),
INDEX( 'ETPT Format DDG'!$A:$ZZ,,MATCH("Fonction agrégat",'ETPT Format DDG'!2:2,0)),"M-PLAC-SUB",
INDEX( 'ETPT Format DDG'!$A:$ZZ,,MATCH("Juridiction",'ETPT Format DDG'!2:2,0)),$A$3)</f>
      </c>
      <c r="K65" s="73">
        <f>SUMIFS(
INDEX('ETPT Format DDG'!$A:$ZZ,,IFERROR(MATCH(E65,'ETPT Format DDG'!$2:$2,0),MATCH(C65,'ETPT Format DDG'!$2:$2,0))),
INDEX( 'ETPT Format DDG'!$A:$ZZ,,MATCH("Fonction agrégat",'ETPT Format DDG'!2:2,0)),"M-CONT",
INDEX( 'ETPT Format DDG'!$A:$ZZ,,MATCH("Juridiction",'ETPT Format DDG'!2:2,0)),$A$3,
INDEX( 'ETPT Format DDG'!$A:$ZZ,,MATCH("Catégorie",'ETPT Format DDG'!2:2,0)),"Magistrat")</f>
      </c>
      <c r="L65" s="71">
        <f>SUMIFS(
INDEX('ETPT Format DDG'!$A:$ZZ,,IFERROR(MATCH(E65,'ETPT Format DDG'!$2:$2,0),MATCH(C65,'ETPT Format DDG'!$2:$2,0))),
INDEX( 'ETPT Format DDG'!$A:$ZZ,,MATCH("Juridiction",'ETPT Format DDG'!2:2,0)),$A$3,
INDEX( 'ETPT Format DDG'!$A:$ZZ,,MATCH("Catégorie",'ETPT Format DDG'!2:2,0)),"Magistrat")</f>
      </c>
      <c r="M65" s="74">
        <f>IF(AND(OR(LEFT(C65,3)="12.",LEFT(E65,3)="12.",LEFT(E65,5)="CET &gt;", IFERROR(L65/$L$6,"")=0),NOT(AND(LEFT(E65,4)="12.8",IFERROR(G65/$G$6,"")&lt;&gt;0)),NOT(AND(LEFT(E65,5)="12.31",IFERROR(L65/$G$6,"")&lt;&gt;0)),NOT(AND(LEFT(E65,5)="12.32",IFERROR(L65/$G$6,"")&lt;&gt;0))),"", IFERROR(L65/$L$6,""))</f>
      </c>
      <c r="N65" s="73">
        <f>SUMIFS(
INDEX('ETPT Format DDG'!$A:$ZZ,,IFERROR(MATCH(E65,'ETPT Format DDG'!$2:$2,0),MATCH(C65,'ETPT Format DDG'!$2:$2,0))),
INDEX( 'ETPT Format DDG'!$A:$ZZ,,MATCH("Fonction agrégat",'ETPT Format DDG'!2:2,0)),"F-TIT",
INDEX( 'ETPT Format DDG'!$A:$ZZ,,MATCH("Juridiction",'ETPT Format DDG'!2:2,0)),$A$3)</f>
      </c>
      <c r="O65" s="72">
        <f>IF(AND(OR(LEFT(C65,3)="12.",LEFT(E65,3)="12.",LEFT(E65,5)="CET &gt;",IFERROR(N65/$N$6,"")=0),NOT(AND(LEFT(E65,4)="12.8",IFERROR(G65/$G$6,"")&lt;&gt;0)),NOT(AND(LEFT(E65,5)="12.31",IFERROR(N65/$G$6,"")&lt;&gt;0)),NOT(AND(LEFT(E65,5)="12.32",IFERROR(N65/$G$6,"")&lt;&gt;0))),"",IFERROR(N65/$N$6,""))</f>
      </c>
      <c r="P65" s="73">
        <f>SUMIFS(
INDEX('ETPT Format DDG'!$A:$FB,,IFERROR(MATCH(E65,'ETPT Format DDG'!$2:$2,0),MATCH(C65,'ETPT Format DDG'!$2:$2,0))),
INDEX( 'ETPT Format DDG'!$A:$ZZ,,MATCH("Fonction agrégat",'ETPT Format DDG'!2:2,0)),"F-PLAC-ADD",
INDEX( 'ETPT Format DDG'!$A:$ZZ,,MATCH("Juridiction",'ETPT Format DDG'!2:2,0)),$A$3)</f>
      </c>
      <c r="Q65" s="73">
        <f>SUMIFS(
INDEX('ETPT Format DDG'!$A:$FB,,IFERROR(MATCH(E65,'ETPT Format DDG'!$2:$2,0),MATCH(C65,'ETPT Format DDG'!$2:$2,0))),
INDEX( 'ETPT Format DDG'!$A:$ZZ,,MATCH("Fonction agrégat",'ETPT Format DDG'!2:2,0)),"F-PLAC-SUB",
INDEX( 'ETPT Format DDG'!$A:$ZZ,,MATCH("Juridiction",'ETPT Format DDG'!2:2,0)),$A$3)</f>
      </c>
      <c r="R65" s="73">
        <f>SUMIFS(
INDEX('ETPT Format DDG'!$A:$FB,,IFERROR(MATCH(E65,'ETPT Format DDG'!$2:$2,0),MATCH(C65,'ETPT Format DDG'!$2:$2,0))),
INDEX( 'ETPT Format DDG'!$A:$ZZ,,MATCH("Fonction agrégat",'ETPT Format DDG'!2:2,0)),"C",
'ETPT Format DDG'!$H:$H,"Greffe",
INDEX( 'ETPT Format DDG'!$A:$ZZ,,MATCH("Juridiction",'ETPT Format DDG'!2:2,0)),$A$3)</f>
      </c>
      <c r="S65" s="71">
        <f>SUMIFS(
INDEX('ETPT Format DDG'!$A:$FB,,IFERROR(MATCH(E65,'ETPT Format DDG'!$2:$2,0),MATCH(C65,'ETPT Format DDG'!$2:$2,0))),
INDEX( 'ETPT Format DDG'!$A:$ZZ,,MATCH("Catégorie",'ETPT Format DDG'!2:2,0)),"Greffe",
INDEX( 'ETPT Format DDG'!$A:$ZZ,,MATCH("Juridiction",'ETPT Format DDG'!2:2,0)),$A$3)</f>
      </c>
      <c r="T65" s="72">
        <f>IF(AND(OR(LEFT(C65,3)="12.",LEFT(E65,3)="12.",LEFT(E65,5)="CET &gt;",IFERROR(S65/$S$6,"")=0),NOT(AND(LEFT(E65,4)="12.8",IFERROR(G65/$G$6,"")&lt;&gt;0)),NOT(AND(LEFT(E65,5)="12.31",IFERROR(S65/$G$6,"")&lt;&gt;0)),NOT(AND(LEFT(E65,5)="12.32",IFERROR(S65/$G$6,"")&lt;&gt;0))),"", IFERROR(S65/$S$6,""))</f>
      </c>
      <c r="U65" s="71">
        <f>SUMIFS(
INDEX('ETPT Format DDG'!$A:$FB,,IFERROR(MATCH(E65,'ETPT Format DDG'!$2:$2,0),MATCH(C65,'ETPT Format DDG'!$2:$2,0))),
INDEX( 'ETPT Format DDG'!$A:$ZZ,,MATCH("Fonction agrégat",'ETPT Format DDG'!2:2,0)),"C",
INDEX( 'ETPT Format DDG'!$A:$ZZ,,MATCH("Juridiction",'ETPT Format DDG'!2:2,0)),$A$3,
INDEX( 'ETPT Format DDG'!$A:$ZZ,,MATCH("Catégorie",'ETPT Format DDG'!2:2,0)),"Autour du magistrat")</f>
      </c>
      <c r="V65" s="74">
        <f>IF(AND(OR(LEFT(C65,3)="12.",LEFT(E65,3)="12.",LEFT(E65,5)="CET &gt;",IFERROR(U65/$U$6,"")=0),NOT(AND(LEFT(E65,4)="12.8",IFERROR(G65/$G$6,"")&lt;&gt;0)),NOT(AND(LEFT(E65,5)="12.31",IFERROR(U65/$G$6,"")&lt;&gt;0)),NOT(AND(LEFT(E65,5)="12.32",IFERROR(U65/$G$6,"")&lt;&gt;0))),"", IFERROR(U65/$U$6,""))</f>
      </c>
    </row>
    <row r="66" ht="16" customHeight="1" spans="1:23" x14ac:dyDescent="0.25">
      <c r="A66" s="40"/>
      <c r="C66" s="68"/>
      <c r="D66" s="68"/>
      <c r="E66" s="69" t="s">
        <v>101</v>
      </c>
      <c r="F66" s="70" t="s">
        <v>101</v>
      </c>
      <c r="G66" s="71">
        <f>SUMIFS(
INDEX('ETPT Format DDG'!$A:$ZZ,,IFERROR(MATCH(E66,'ETPT Format DDG'!$2:$2,0),MATCH(C66,'ETPT Format DDG'!$2:$2,0))),
INDEX( 'ETPT Format DDG'!$A:$ZZ,,MATCH("Fonction agrégat",'ETPT Format DDG'!2:2,0)),"M-TIT",
INDEX( 'ETPT Format DDG'!$A:$ZZ,,MATCH("Juridiction",'ETPT Format DDG'!2:2,0)),$A$3)</f>
      </c>
      <c r="H66" s="72">
        <f>IF(AND(OR(LEFT(C66,3)="12.",LEFT(E66,3)="12.",LEFT(E66,5)="CET &gt;",IFERROR(G66/$G$6,"")=0),NOT(AND(LEFT(E66,4)="12.8",IFERROR(G66/$G$6,"")&lt;&gt;0)),NOT(AND(LEFT(E66,5)="12.31",IFERROR(G66/$G$6,"")&lt;&gt;0)),NOT(AND(LEFT(E66,5)="12.32",IFERROR(G66/$G$6,"")&lt;&gt;0))),"", IFERROR(G66/$G$6,""))</f>
      </c>
      <c r="I66" s="73">
        <f>SUMIFS(
INDEX('ETPT Format DDG'!$A:$ZZ,,IFERROR(MATCH(E66,'ETPT Format DDG'!$2:$2,0),MATCH(C66,'ETPT Format DDG'!$2:$2,0))),
INDEX( 'ETPT Format DDG'!$A:$ZZ,,MATCH("Fonction agrégat",'ETPT Format DDG'!2:2,0)),"M-PLAC-ADD",
INDEX( 'ETPT Format DDG'!$A:$ZZ,,MATCH("Juridiction",'ETPT Format DDG'!2:2,0)),$A$3)</f>
      </c>
      <c r="J66" s="73">
        <f>SUMIFS(
INDEX('ETPT Format DDG'!$A:$ZZ,,IFERROR(MATCH(E66,'ETPT Format DDG'!$2:$2,0),MATCH(C66,'ETPT Format DDG'!$2:$2,0))),
INDEX( 'ETPT Format DDG'!$A:$ZZ,,MATCH("Fonction agrégat",'ETPT Format DDG'!2:2,0)),"M-PLAC-SUB",
INDEX( 'ETPT Format DDG'!$A:$ZZ,,MATCH("Juridiction",'ETPT Format DDG'!2:2,0)),$A$3)</f>
      </c>
      <c r="K66" s="73">
        <f>SUMIFS(
INDEX('ETPT Format DDG'!$A:$ZZ,,IFERROR(MATCH(E66,'ETPT Format DDG'!$2:$2,0),MATCH(C66,'ETPT Format DDG'!$2:$2,0))),
INDEX( 'ETPT Format DDG'!$A:$ZZ,,MATCH("Fonction agrégat",'ETPT Format DDG'!2:2,0)),"M-CONT",
INDEX( 'ETPT Format DDG'!$A:$ZZ,,MATCH("Juridiction",'ETPT Format DDG'!2:2,0)),$A$3,
INDEX( 'ETPT Format DDG'!$A:$ZZ,,MATCH("Catégorie",'ETPT Format DDG'!2:2,0)),"Magistrat")</f>
      </c>
      <c r="L66" s="71">
        <f>SUMIFS(
INDEX('ETPT Format DDG'!$A:$ZZ,,IFERROR(MATCH(E66,'ETPT Format DDG'!$2:$2,0),MATCH(C66,'ETPT Format DDG'!$2:$2,0))),
INDEX( 'ETPT Format DDG'!$A:$ZZ,,MATCH("Juridiction",'ETPT Format DDG'!2:2,0)),$A$3,
INDEX( 'ETPT Format DDG'!$A:$ZZ,,MATCH("Catégorie",'ETPT Format DDG'!2:2,0)),"Magistrat")</f>
      </c>
      <c r="M66" s="74">
        <f>IF(AND(OR(LEFT(C66,3)="12.",LEFT(E66,3)="12.",LEFT(E66,5)="CET &gt;", IFERROR(L66/$L$6,"")=0),NOT(AND(LEFT(E66,4)="12.8",IFERROR(G66/$G$6,"")&lt;&gt;0)),NOT(AND(LEFT(E66,5)="12.31",IFERROR(L66/$G$6,"")&lt;&gt;0)),NOT(AND(LEFT(E66,5)="12.32",IFERROR(L66/$G$6,"")&lt;&gt;0))),"", IFERROR(L66/$L$6,""))</f>
      </c>
      <c r="N66" s="73">
        <f>SUMIFS(
INDEX('ETPT Format DDG'!$A:$ZZ,,IFERROR(MATCH(E66,'ETPT Format DDG'!$2:$2,0),MATCH(C66,'ETPT Format DDG'!$2:$2,0))),
INDEX( 'ETPT Format DDG'!$A:$ZZ,,MATCH("Fonction agrégat",'ETPT Format DDG'!2:2,0)),"F-TIT",
INDEX( 'ETPT Format DDG'!$A:$ZZ,,MATCH("Juridiction",'ETPT Format DDG'!2:2,0)),$A$3)</f>
      </c>
      <c r="O66" s="72">
        <f>IF(AND(OR(LEFT(C66,3)="12.",LEFT(E66,3)="12.",LEFT(E66,5)="CET &gt;",IFERROR(N66/$N$6,"")=0),NOT(AND(LEFT(E66,4)="12.8",IFERROR(G66/$G$6,"")&lt;&gt;0)),NOT(AND(LEFT(E66,5)="12.31",IFERROR(N66/$G$6,"")&lt;&gt;0)),NOT(AND(LEFT(E66,5)="12.32",IFERROR(N66/$G$6,"")&lt;&gt;0))),"",IFERROR(N66/$N$6,""))</f>
      </c>
      <c r="P66" s="73">
        <f>SUMIFS(
INDEX('ETPT Format DDG'!$A:$FB,,IFERROR(MATCH(E66,'ETPT Format DDG'!$2:$2,0),MATCH(C66,'ETPT Format DDG'!$2:$2,0))),
INDEX( 'ETPT Format DDG'!$A:$ZZ,,MATCH("Fonction agrégat",'ETPT Format DDG'!2:2,0)),"F-PLAC-ADD",
INDEX( 'ETPT Format DDG'!$A:$ZZ,,MATCH("Juridiction",'ETPT Format DDG'!2:2,0)),$A$3)</f>
      </c>
      <c r="Q66" s="73">
        <f>SUMIFS(
INDEX('ETPT Format DDG'!$A:$FB,,IFERROR(MATCH(E66,'ETPT Format DDG'!$2:$2,0),MATCH(C66,'ETPT Format DDG'!$2:$2,0))),
INDEX( 'ETPT Format DDG'!$A:$ZZ,,MATCH("Fonction agrégat",'ETPT Format DDG'!2:2,0)),"F-PLAC-SUB",
INDEX( 'ETPT Format DDG'!$A:$ZZ,,MATCH("Juridiction",'ETPT Format DDG'!2:2,0)),$A$3)</f>
      </c>
      <c r="R66" s="73">
        <f>SUMIFS(
INDEX('ETPT Format DDG'!$A:$FB,,IFERROR(MATCH(E66,'ETPT Format DDG'!$2:$2,0),MATCH(C66,'ETPT Format DDG'!$2:$2,0))),
INDEX( 'ETPT Format DDG'!$A:$ZZ,,MATCH("Fonction agrégat",'ETPT Format DDG'!2:2,0)),"C",
'ETPT Format DDG'!$H:$H,"Greffe",
INDEX( 'ETPT Format DDG'!$A:$ZZ,,MATCH("Juridiction",'ETPT Format DDG'!2:2,0)),$A$3)</f>
      </c>
      <c r="S66" s="71">
        <f>SUMIFS(
INDEX('ETPT Format DDG'!$A:$FB,,IFERROR(MATCH(E66,'ETPT Format DDG'!$2:$2,0),MATCH(C66,'ETPT Format DDG'!$2:$2,0))),
INDEX( 'ETPT Format DDG'!$A:$ZZ,,MATCH("Catégorie",'ETPT Format DDG'!2:2,0)),"Greffe",
INDEX( 'ETPT Format DDG'!$A:$ZZ,,MATCH("Juridiction",'ETPT Format DDG'!2:2,0)),$A$3)</f>
      </c>
      <c r="T66" s="72">
        <f>IF(AND(OR(LEFT(C66,3)="12.",LEFT(E66,3)="12.",LEFT(E66,5)="CET &gt;",IFERROR(S66/$S$6,"")=0),NOT(AND(LEFT(E66,4)="12.8",IFERROR(G66/$G$6,"")&lt;&gt;0)),NOT(AND(LEFT(E66,5)="12.31",IFERROR(S66/$G$6,"")&lt;&gt;0)),NOT(AND(LEFT(E66,5)="12.32",IFERROR(S66/$G$6,"")&lt;&gt;0))),"", IFERROR(S66/$S$6,""))</f>
      </c>
      <c r="U66" s="71">
        <f>SUMIFS(
INDEX('ETPT Format DDG'!$A:$FB,,IFERROR(MATCH(E66,'ETPT Format DDG'!$2:$2,0),MATCH(C66,'ETPT Format DDG'!$2:$2,0))),
INDEX( 'ETPT Format DDG'!$A:$ZZ,,MATCH("Fonction agrégat",'ETPT Format DDG'!2:2,0)),"C",
INDEX( 'ETPT Format DDG'!$A:$ZZ,,MATCH("Juridiction",'ETPT Format DDG'!2:2,0)),$A$3,
INDEX( 'ETPT Format DDG'!$A:$ZZ,,MATCH("Catégorie",'ETPT Format DDG'!2:2,0)),"Autour du magistrat")</f>
      </c>
      <c r="V66" s="74">
        <f>IF(AND(OR(LEFT(C66,3)="12.",LEFT(E66,3)="12.",LEFT(E66,5)="CET &gt;",IFERROR(U66/$U$6,"")=0),NOT(AND(LEFT(E66,4)="12.8",IFERROR(G66/$G$6,"")&lt;&gt;0)),NOT(AND(LEFT(E66,5)="12.31",IFERROR(U66/$G$6,"")&lt;&gt;0)),NOT(AND(LEFT(E66,5)="12.32",IFERROR(U66/$G$6,"")&lt;&gt;0))),"", IFERROR(U66/$U$6,""))</f>
      </c>
    </row>
    <row r="67" ht="16" customHeight="1" spans="1:23" x14ac:dyDescent="0.25">
      <c r="A67" s="40"/>
      <c r="C67" s="68"/>
      <c r="D67" s="68"/>
      <c r="E67" s="69" t="s">
        <v>102</v>
      </c>
      <c r="F67" s="70" t="s">
        <v>102</v>
      </c>
      <c r="G67" s="71">
        <f>SUMIFS(
INDEX('ETPT Format DDG'!$A:$ZZ,,IFERROR(MATCH(E67,'ETPT Format DDG'!$2:$2,0),MATCH(C67,'ETPT Format DDG'!$2:$2,0))),
INDEX( 'ETPT Format DDG'!$A:$ZZ,,MATCH("Fonction agrégat",'ETPT Format DDG'!2:2,0)),"M-TIT",
INDEX( 'ETPT Format DDG'!$A:$ZZ,,MATCH("Juridiction",'ETPT Format DDG'!2:2,0)),$A$3)</f>
      </c>
      <c r="H67" s="72">
        <f>IF(AND(OR(LEFT(C67,3)="12.",LEFT(E67,3)="12.",LEFT(E67,5)="CET &gt;",IFERROR(G67/$G$6,"")=0),NOT(AND(LEFT(E67,4)="12.8",IFERROR(G67/$G$6,"")&lt;&gt;0)),NOT(AND(LEFT(E67,5)="12.31",IFERROR(G67/$G$6,"")&lt;&gt;0)),NOT(AND(LEFT(E67,5)="12.32",IFERROR(G67/$G$6,"")&lt;&gt;0))),"", IFERROR(G67/$G$6,""))</f>
      </c>
      <c r="I67" s="73">
        <f>SUMIFS(
INDEX('ETPT Format DDG'!$A:$ZZ,,IFERROR(MATCH(E67,'ETPT Format DDG'!$2:$2,0),MATCH(C67,'ETPT Format DDG'!$2:$2,0))),
INDEX( 'ETPT Format DDG'!$A:$ZZ,,MATCH("Fonction agrégat",'ETPT Format DDG'!2:2,0)),"M-PLAC-ADD",
INDEX( 'ETPT Format DDG'!$A:$ZZ,,MATCH("Juridiction",'ETPT Format DDG'!2:2,0)),$A$3)</f>
      </c>
      <c r="J67" s="73">
        <f>SUMIFS(
INDEX('ETPT Format DDG'!$A:$ZZ,,IFERROR(MATCH(E67,'ETPT Format DDG'!$2:$2,0),MATCH(C67,'ETPT Format DDG'!$2:$2,0))),
INDEX( 'ETPT Format DDG'!$A:$ZZ,,MATCH("Fonction agrégat",'ETPT Format DDG'!2:2,0)),"M-PLAC-SUB",
INDEX( 'ETPT Format DDG'!$A:$ZZ,,MATCH("Juridiction",'ETPT Format DDG'!2:2,0)),$A$3)</f>
      </c>
      <c r="K67" s="73">
        <f>SUMIFS(
INDEX('ETPT Format DDG'!$A:$ZZ,,IFERROR(MATCH(E67,'ETPT Format DDG'!$2:$2,0),MATCH(C67,'ETPT Format DDG'!$2:$2,0))),
INDEX( 'ETPT Format DDG'!$A:$ZZ,,MATCH("Fonction agrégat",'ETPT Format DDG'!2:2,0)),"M-CONT",
INDEX( 'ETPT Format DDG'!$A:$ZZ,,MATCH("Juridiction",'ETPT Format DDG'!2:2,0)),$A$3,
INDEX( 'ETPT Format DDG'!$A:$ZZ,,MATCH("Catégorie",'ETPT Format DDG'!2:2,0)),"Magistrat")</f>
      </c>
      <c r="L67" s="71">
        <f>SUMIFS(
INDEX('ETPT Format DDG'!$A:$ZZ,,IFERROR(MATCH(E67,'ETPT Format DDG'!$2:$2,0),MATCH(C67,'ETPT Format DDG'!$2:$2,0))),
INDEX( 'ETPT Format DDG'!$A:$ZZ,,MATCH("Juridiction",'ETPT Format DDG'!2:2,0)),$A$3,
INDEX( 'ETPT Format DDG'!$A:$ZZ,,MATCH("Catégorie",'ETPT Format DDG'!2:2,0)),"Magistrat")</f>
      </c>
      <c r="M67" s="74">
        <f>IF(AND(OR(LEFT(C67,3)="12.",LEFT(E67,3)="12.",LEFT(E67,5)="CET &gt;", IFERROR(L67/$L$6,"")=0),NOT(AND(LEFT(E67,4)="12.8",IFERROR(G67/$G$6,"")&lt;&gt;0)),NOT(AND(LEFT(E67,5)="12.31",IFERROR(L67/$G$6,"")&lt;&gt;0)),NOT(AND(LEFT(E67,5)="12.32",IFERROR(L67/$G$6,"")&lt;&gt;0))),"", IFERROR(L67/$L$6,""))</f>
      </c>
      <c r="N67" s="73">
        <f>SUMIFS(
INDEX('ETPT Format DDG'!$A:$ZZ,,IFERROR(MATCH(E67,'ETPT Format DDG'!$2:$2,0),MATCH(C67,'ETPT Format DDG'!$2:$2,0))),
INDEX( 'ETPT Format DDG'!$A:$ZZ,,MATCH("Fonction agrégat",'ETPT Format DDG'!2:2,0)),"F-TIT",
INDEX( 'ETPT Format DDG'!$A:$ZZ,,MATCH("Juridiction",'ETPT Format DDG'!2:2,0)),$A$3)</f>
      </c>
      <c r="O67" s="72">
        <f>IF(AND(OR(LEFT(C67,3)="12.",LEFT(E67,3)="12.",LEFT(E67,5)="CET &gt;",IFERROR(N67/$N$6,"")=0),NOT(AND(LEFT(E67,4)="12.8",IFERROR(G67/$G$6,"")&lt;&gt;0)),NOT(AND(LEFT(E67,5)="12.31",IFERROR(N67/$G$6,"")&lt;&gt;0)),NOT(AND(LEFT(E67,5)="12.32",IFERROR(N67/$G$6,"")&lt;&gt;0))),"",IFERROR(N67/$N$6,""))</f>
      </c>
      <c r="P67" s="73">
        <f>SUMIFS(
INDEX('ETPT Format DDG'!$A:$FB,,IFERROR(MATCH(E67,'ETPT Format DDG'!$2:$2,0),MATCH(C67,'ETPT Format DDG'!$2:$2,0))),
INDEX( 'ETPT Format DDG'!$A:$ZZ,,MATCH("Fonction agrégat",'ETPT Format DDG'!2:2,0)),"F-PLAC-ADD",
INDEX( 'ETPT Format DDG'!$A:$ZZ,,MATCH("Juridiction",'ETPT Format DDG'!2:2,0)),$A$3)</f>
      </c>
      <c r="Q67" s="73">
        <f>SUMIFS(
INDEX('ETPT Format DDG'!$A:$FB,,IFERROR(MATCH(E67,'ETPT Format DDG'!$2:$2,0),MATCH(C67,'ETPT Format DDG'!$2:$2,0))),
INDEX( 'ETPT Format DDG'!$A:$ZZ,,MATCH("Fonction agrégat",'ETPT Format DDG'!2:2,0)),"F-PLAC-SUB",
INDEX( 'ETPT Format DDG'!$A:$ZZ,,MATCH("Juridiction",'ETPT Format DDG'!2:2,0)),$A$3)</f>
      </c>
      <c r="R67" s="73">
        <f>SUMIFS(
INDEX('ETPT Format DDG'!$A:$FB,,IFERROR(MATCH(E67,'ETPT Format DDG'!$2:$2,0),MATCH(C67,'ETPT Format DDG'!$2:$2,0))),
INDEX( 'ETPT Format DDG'!$A:$ZZ,,MATCH("Fonction agrégat",'ETPT Format DDG'!2:2,0)),"C",
'ETPT Format DDG'!$H:$H,"Greffe",
INDEX( 'ETPT Format DDG'!$A:$ZZ,,MATCH("Juridiction",'ETPT Format DDG'!2:2,0)),$A$3)</f>
      </c>
      <c r="S67" s="71">
        <f>SUMIFS(
INDEX('ETPT Format DDG'!$A:$FB,,IFERROR(MATCH(E67,'ETPT Format DDG'!$2:$2,0),MATCH(C67,'ETPT Format DDG'!$2:$2,0))),
INDEX( 'ETPT Format DDG'!$A:$ZZ,,MATCH("Catégorie",'ETPT Format DDG'!2:2,0)),"Greffe",
INDEX( 'ETPT Format DDG'!$A:$ZZ,,MATCH("Juridiction",'ETPT Format DDG'!2:2,0)),$A$3)</f>
      </c>
      <c r="T67" s="72">
        <f>IF(AND(OR(LEFT(C67,3)="12.",LEFT(E67,3)="12.",LEFT(E67,5)="CET &gt;",IFERROR(S67/$S$6,"")=0),NOT(AND(LEFT(E67,4)="12.8",IFERROR(G67/$G$6,"")&lt;&gt;0)),NOT(AND(LEFT(E67,5)="12.31",IFERROR(S67/$G$6,"")&lt;&gt;0)),NOT(AND(LEFT(E67,5)="12.32",IFERROR(S67/$G$6,"")&lt;&gt;0))),"", IFERROR(S67/$S$6,""))</f>
      </c>
      <c r="U67" s="71">
        <f>SUMIFS(
INDEX('ETPT Format DDG'!$A:$FB,,IFERROR(MATCH(E67,'ETPT Format DDG'!$2:$2,0),MATCH(C67,'ETPT Format DDG'!$2:$2,0))),
INDEX( 'ETPT Format DDG'!$A:$ZZ,,MATCH("Fonction agrégat",'ETPT Format DDG'!2:2,0)),"C",
INDEX( 'ETPT Format DDG'!$A:$ZZ,,MATCH("Juridiction",'ETPT Format DDG'!2:2,0)),$A$3,
INDEX( 'ETPT Format DDG'!$A:$ZZ,,MATCH("Catégorie",'ETPT Format DDG'!2:2,0)),"Autour du magistrat")</f>
      </c>
      <c r="V67" s="74">
        <f>IF(AND(OR(LEFT(C67,3)="12.",LEFT(E67,3)="12.",LEFT(E67,5)="CET &gt;",IFERROR(U67/$U$6,"")=0),NOT(AND(LEFT(E67,4)="12.8",IFERROR(G67/$G$6,"")&lt;&gt;0)),NOT(AND(LEFT(E67,5)="12.31",IFERROR(U67/$G$6,"")&lt;&gt;0)),NOT(AND(LEFT(E67,5)="12.32",IFERROR(U67/$G$6,"")&lt;&gt;0))),"", IFERROR(U67/$U$6,""))</f>
      </c>
    </row>
    <row r="68" ht="16" customHeight="1" spans="1:23" x14ac:dyDescent="0.25">
      <c r="A68" s="40"/>
      <c r="C68" s="68"/>
      <c r="D68" s="68"/>
      <c r="E68" s="69" t="s">
        <v>103</v>
      </c>
      <c r="F68" s="70" t="s">
        <v>103</v>
      </c>
      <c r="G68" s="71">
        <f>SUMIFS(
INDEX('ETPT Format DDG'!$A:$ZZ,,IFERROR(MATCH(E68,'ETPT Format DDG'!$2:$2,0),MATCH(C68,'ETPT Format DDG'!$2:$2,0))),
INDEX( 'ETPT Format DDG'!$A:$ZZ,,MATCH("Fonction agrégat",'ETPT Format DDG'!2:2,0)),"M-TIT",
INDEX( 'ETPT Format DDG'!$A:$ZZ,,MATCH("Juridiction",'ETPT Format DDG'!2:2,0)),$A$3)</f>
      </c>
      <c r="H68" s="72">
        <f>IF(AND(OR(LEFT(C68,3)="12.",LEFT(E68,3)="12.",LEFT(E68,5)="CET &gt;",IFERROR(G68/$G$6,"")=0),NOT(AND(LEFT(E68,4)="12.8",IFERROR(G68/$G$6,"")&lt;&gt;0)),NOT(AND(LEFT(E68,5)="12.31",IFERROR(G68/$G$6,"")&lt;&gt;0)),NOT(AND(LEFT(E68,5)="12.32",IFERROR(G68/$G$6,"")&lt;&gt;0))),"", IFERROR(G68/$G$6,""))</f>
      </c>
      <c r="I68" s="73">
        <f>SUMIFS(
INDEX('ETPT Format DDG'!$A:$ZZ,,IFERROR(MATCH(E68,'ETPT Format DDG'!$2:$2,0),MATCH(C68,'ETPT Format DDG'!$2:$2,0))),
INDEX( 'ETPT Format DDG'!$A:$ZZ,,MATCH("Fonction agrégat",'ETPT Format DDG'!2:2,0)),"M-PLAC-ADD",
INDEX( 'ETPT Format DDG'!$A:$ZZ,,MATCH("Juridiction",'ETPT Format DDG'!2:2,0)),$A$3)</f>
      </c>
      <c r="J68" s="73">
        <f>SUMIFS(
INDEX('ETPT Format DDG'!$A:$ZZ,,IFERROR(MATCH(E68,'ETPT Format DDG'!$2:$2,0),MATCH(C68,'ETPT Format DDG'!$2:$2,0))),
INDEX( 'ETPT Format DDG'!$A:$ZZ,,MATCH("Fonction agrégat",'ETPT Format DDG'!2:2,0)),"M-PLAC-SUB",
INDEX( 'ETPT Format DDG'!$A:$ZZ,,MATCH("Juridiction",'ETPT Format DDG'!2:2,0)),$A$3)</f>
      </c>
      <c r="K68" s="73">
        <f>SUMIFS(
INDEX('ETPT Format DDG'!$A:$ZZ,,IFERROR(MATCH(E68,'ETPT Format DDG'!$2:$2,0),MATCH(C68,'ETPT Format DDG'!$2:$2,0))),
INDEX( 'ETPT Format DDG'!$A:$ZZ,,MATCH("Fonction agrégat",'ETPT Format DDG'!2:2,0)),"M-CONT",
INDEX( 'ETPT Format DDG'!$A:$ZZ,,MATCH("Juridiction",'ETPT Format DDG'!2:2,0)),$A$3,
INDEX( 'ETPT Format DDG'!$A:$ZZ,,MATCH("Catégorie",'ETPT Format DDG'!2:2,0)),"Magistrat")</f>
      </c>
      <c r="L68" s="71">
        <f>SUMIFS(
INDEX('ETPT Format DDG'!$A:$ZZ,,IFERROR(MATCH(E68,'ETPT Format DDG'!$2:$2,0),MATCH(C68,'ETPT Format DDG'!$2:$2,0))),
INDEX( 'ETPT Format DDG'!$A:$ZZ,,MATCH("Juridiction",'ETPT Format DDG'!2:2,0)),$A$3,
INDEX( 'ETPT Format DDG'!$A:$ZZ,,MATCH("Catégorie",'ETPT Format DDG'!2:2,0)),"Magistrat")</f>
      </c>
      <c r="M68" s="74">
        <f>IF(AND(OR(LEFT(C68,3)="12.",LEFT(E68,3)="12.",LEFT(E68,5)="CET &gt;", IFERROR(L68/$L$6,"")=0),NOT(AND(LEFT(E68,4)="12.8",IFERROR(G68/$G$6,"")&lt;&gt;0)),NOT(AND(LEFT(E68,5)="12.31",IFERROR(L68/$G$6,"")&lt;&gt;0)),NOT(AND(LEFT(E68,5)="12.32",IFERROR(L68/$G$6,"")&lt;&gt;0))),"", IFERROR(L68/$L$6,""))</f>
      </c>
      <c r="N68" s="73">
        <f>SUMIFS(
INDEX('ETPT Format DDG'!$A:$ZZ,,IFERROR(MATCH(E68,'ETPT Format DDG'!$2:$2,0),MATCH(C68,'ETPT Format DDG'!$2:$2,0))),
INDEX( 'ETPT Format DDG'!$A:$ZZ,,MATCH("Fonction agrégat",'ETPT Format DDG'!2:2,0)),"F-TIT",
INDEX( 'ETPT Format DDG'!$A:$ZZ,,MATCH("Juridiction",'ETPT Format DDG'!2:2,0)),$A$3)</f>
      </c>
      <c r="O68" s="72">
        <f>IF(AND(OR(LEFT(C68,3)="12.",LEFT(E68,3)="12.",LEFT(E68,5)="CET &gt;",IFERROR(N68/$N$6,"")=0),NOT(AND(LEFT(E68,4)="12.8",IFERROR(G68/$G$6,"")&lt;&gt;0)),NOT(AND(LEFT(E68,5)="12.31",IFERROR(N68/$G$6,"")&lt;&gt;0)),NOT(AND(LEFT(E68,5)="12.32",IFERROR(N68/$G$6,"")&lt;&gt;0))),"",IFERROR(N68/$N$6,""))</f>
      </c>
      <c r="P68" s="73">
        <f>SUMIFS(
INDEX('ETPT Format DDG'!$A:$FB,,IFERROR(MATCH(E68,'ETPT Format DDG'!$2:$2,0),MATCH(C68,'ETPT Format DDG'!$2:$2,0))),
INDEX( 'ETPT Format DDG'!$A:$ZZ,,MATCH("Fonction agrégat",'ETPT Format DDG'!2:2,0)),"F-PLAC-ADD",
INDEX( 'ETPT Format DDG'!$A:$ZZ,,MATCH("Juridiction",'ETPT Format DDG'!2:2,0)),$A$3)</f>
      </c>
      <c r="Q68" s="73">
        <f>SUMIFS(
INDEX('ETPT Format DDG'!$A:$FB,,IFERROR(MATCH(E68,'ETPT Format DDG'!$2:$2,0),MATCH(C68,'ETPT Format DDG'!$2:$2,0))),
INDEX( 'ETPT Format DDG'!$A:$ZZ,,MATCH("Fonction agrégat",'ETPT Format DDG'!2:2,0)),"F-PLAC-SUB",
INDEX( 'ETPT Format DDG'!$A:$ZZ,,MATCH("Juridiction",'ETPT Format DDG'!2:2,0)),$A$3)</f>
      </c>
      <c r="R68" s="73">
        <f>SUMIFS(
INDEX('ETPT Format DDG'!$A:$FB,,IFERROR(MATCH(E68,'ETPT Format DDG'!$2:$2,0),MATCH(C68,'ETPT Format DDG'!$2:$2,0))),
INDEX( 'ETPT Format DDG'!$A:$ZZ,,MATCH("Fonction agrégat",'ETPT Format DDG'!2:2,0)),"C",
'ETPT Format DDG'!$H:$H,"Greffe",
INDEX( 'ETPT Format DDG'!$A:$ZZ,,MATCH("Juridiction",'ETPT Format DDG'!2:2,0)),$A$3)</f>
      </c>
      <c r="S68" s="71">
        <f>SUMIFS(
INDEX('ETPT Format DDG'!$A:$FB,,IFERROR(MATCH(E68,'ETPT Format DDG'!$2:$2,0),MATCH(C68,'ETPT Format DDG'!$2:$2,0))),
INDEX( 'ETPT Format DDG'!$A:$ZZ,,MATCH("Catégorie",'ETPT Format DDG'!2:2,0)),"Greffe",
INDEX( 'ETPT Format DDG'!$A:$ZZ,,MATCH("Juridiction",'ETPT Format DDG'!2:2,0)),$A$3)</f>
      </c>
      <c r="T68" s="72">
        <f>IF(AND(OR(LEFT(C68,3)="12.",LEFT(E68,3)="12.",LEFT(E68,5)="CET &gt;",IFERROR(S68/$S$6,"")=0),NOT(AND(LEFT(E68,4)="12.8",IFERROR(G68/$G$6,"")&lt;&gt;0)),NOT(AND(LEFT(E68,5)="12.31",IFERROR(S68/$G$6,"")&lt;&gt;0)),NOT(AND(LEFT(E68,5)="12.32",IFERROR(S68/$G$6,"")&lt;&gt;0))),"", IFERROR(S68/$S$6,""))</f>
      </c>
      <c r="U68" s="71">
        <f>SUMIFS(
INDEX('ETPT Format DDG'!$A:$FB,,IFERROR(MATCH(E68,'ETPT Format DDG'!$2:$2,0),MATCH(C68,'ETPT Format DDG'!$2:$2,0))),
INDEX( 'ETPT Format DDG'!$A:$ZZ,,MATCH("Fonction agrégat",'ETPT Format DDG'!2:2,0)),"C",
INDEX( 'ETPT Format DDG'!$A:$ZZ,,MATCH("Juridiction",'ETPT Format DDG'!2:2,0)),$A$3,
INDEX( 'ETPT Format DDG'!$A:$ZZ,,MATCH("Catégorie",'ETPT Format DDG'!2:2,0)),"Autour du magistrat")</f>
      </c>
      <c r="V68" s="74">
        <f>IF(AND(OR(LEFT(C68,3)="12.",LEFT(E68,3)="12.",LEFT(E68,5)="CET &gt;",IFERROR(U68/$U$6,"")=0),NOT(AND(LEFT(E68,4)="12.8",IFERROR(G68/$G$6,"")&lt;&gt;0)),NOT(AND(LEFT(E68,5)="12.31",IFERROR(U68/$G$6,"")&lt;&gt;0)),NOT(AND(LEFT(E68,5)="12.32",IFERROR(U68/$G$6,"")&lt;&gt;0))),"", IFERROR(U68/$U$6,""))</f>
      </c>
    </row>
    <row r="69" ht="16" customHeight="1" spans="1:23" x14ac:dyDescent="0.25">
      <c r="A69" s="40"/>
      <c r="C69" s="68"/>
      <c r="D69" s="68"/>
      <c r="E69" s="69" t="s">
        <v>104</v>
      </c>
      <c r="F69" s="70" t="s">
        <v>104</v>
      </c>
      <c r="G69" s="71">
        <f>SUMIFS(
INDEX('ETPT Format DDG'!$A:$ZZ,,IFERROR(MATCH(E69,'ETPT Format DDG'!$2:$2,0),MATCH(C69,'ETPT Format DDG'!$2:$2,0))),
INDEX( 'ETPT Format DDG'!$A:$ZZ,,MATCH("Fonction agrégat",'ETPT Format DDG'!2:2,0)),"M-TIT",
INDEX( 'ETPT Format DDG'!$A:$ZZ,,MATCH("Juridiction",'ETPT Format DDG'!2:2,0)),$A$3)</f>
      </c>
      <c r="H69" s="72">
        <f>IF(AND(OR(LEFT(C69,3)="12.",LEFT(E69,3)="12.",LEFT(E69,5)="CET &gt;",IFERROR(G69/$G$6,"")=0),NOT(AND(LEFT(E69,4)="12.8",IFERROR(G69/$G$6,"")&lt;&gt;0)),NOT(AND(LEFT(E69,5)="12.31",IFERROR(G69/$G$6,"")&lt;&gt;0)),NOT(AND(LEFT(E69,5)="12.32",IFERROR(G69/$G$6,"")&lt;&gt;0))),"", IFERROR(G69/$G$6,""))</f>
      </c>
      <c r="I69" s="73">
        <f>SUMIFS(
INDEX('ETPT Format DDG'!$A:$ZZ,,IFERROR(MATCH(E69,'ETPT Format DDG'!$2:$2,0),MATCH(C69,'ETPT Format DDG'!$2:$2,0))),
INDEX( 'ETPT Format DDG'!$A:$ZZ,,MATCH("Fonction agrégat",'ETPT Format DDG'!2:2,0)),"M-PLAC-ADD",
INDEX( 'ETPT Format DDG'!$A:$ZZ,,MATCH("Juridiction",'ETPT Format DDG'!2:2,0)),$A$3)</f>
      </c>
      <c r="J69" s="73">
        <f>SUMIFS(
INDEX('ETPT Format DDG'!$A:$ZZ,,IFERROR(MATCH(E69,'ETPT Format DDG'!$2:$2,0),MATCH(C69,'ETPT Format DDG'!$2:$2,0))),
INDEX( 'ETPT Format DDG'!$A:$ZZ,,MATCH("Fonction agrégat",'ETPT Format DDG'!2:2,0)),"M-PLAC-SUB",
INDEX( 'ETPT Format DDG'!$A:$ZZ,,MATCH("Juridiction",'ETPT Format DDG'!2:2,0)),$A$3)</f>
      </c>
      <c r="K69" s="73">
        <f>SUMIFS(
INDEX('ETPT Format DDG'!$A:$ZZ,,IFERROR(MATCH(E69,'ETPT Format DDG'!$2:$2,0),MATCH(C69,'ETPT Format DDG'!$2:$2,0))),
INDEX( 'ETPT Format DDG'!$A:$ZZ,,MATCH("Fonction agrégat",'ETPT Format DDG'!2:2,0)),"M-CONT",
INDEX( 'ETPT Format DDG'!$A:$ZZ,,MATCH("Juridiction",'ETPT Format DDG'!2:2,0)),$A$3,
INDEX( 'ETPT Format DDG'!$A:$ZZ,,MATCH("Catégorie",'ETPT Format DDG'!2:2,0)),"Magistrat")</f>
      </c>
      <c r="L69" s="71">
        <f>SUMIFS(
INDEX('ETPT Format DDG'!$A:$ZZ,,IFERROR(MATCH(E69,'ETPT Format DDG'!$2:$2,0),MATCH(C69,'ETPT Format DDG'!$2:$2,0))),
INDEX( 'ETPT Format DDG'!$A:$ZZ,,MATCH("Juridiction",'ETPT Format DDG'!2:2,0)),$A$3,
INDEX( 'ETPT Format DDG'!$A:$ZZ,,MATCH("Catégorie",'ETPT Format DDG'!2:2,0)),"Magistrat")</f>
      </c>
      <c r="M69" s="74">
        <f>IF(AND(OR(LEFT(C69,3)="12.",LEFT(E69,3)="12.",LEFT(E69,5)="CET &gt;", IFERROR(L69/$L$6,"")=0),NOT(AND(LEFT(E69,4)="12.8",IFERROR(G69/$G$6,"")&lt;&gt;0)),NOT(AND(LEFT(E69,5)="12.31",IFERROR(L69/$G$6,"")&lt;&gt;0)),NOT(AND(LEFT(E69,5)="12.32",IFERROR(L69/$G$6,"")&lt;&gt;0))),"", IFERROR(L69/$L$6,""))</f>
      </c>
      <c r="N69" s="73">
        <f>SUMIFS(
INDEX('ETPT Format DDG'!$A:$ZZ,,IFERROR(MATCH(E69,'ETPT Format DDG'!$2:$2,0),MATCH(C69,'ETPT Format DDG'!$2:$2,0))),
INDEX( 'ETPT Format DDG'!$A:$ZZ,,MATCH("Fonction agrégat",'ETPT Format DDG'!2:2,0)),"F-TIT",
INDEX( 'ETPT Format DDG'!$A:$ZZ,,MATCH("Juridiction",'ETPT Format DDG'!2:2,0)),$A$3)</f>
      </c>
      <c r="O69" s="72">
        <f>IF(AND(OR(LEFT(C69,3)="12.",LEFT(E69,3)="12.",LEFT(E69,5)="CET &gt;",IFERROR(N69/$N$6,"")=0),NOT(AND(LEFT(E69,4)="12.8",IFERROR(G69/$G$6,"")&lt;&gt;0)),NOT(AND(LEFT(E69,5)="12.31",IFERROR(N69/$G$6,"")&lt;&gt;0)),NOT(AND(LEFT(E69,5)="12.32",IFERROR(N69/$G$6,"")&lt;&gt;0))),"",IFERROR(N69/$N$6,""))</f>
      </c>
      <c r="P69" s="73">
        <f>SUMIFS(
INDEX('ETPT Format DDG'!$A:$FB,,IFERROR(MATCH(E69,'ETPT Format DDG'!$2:$2,0),MATCH(C69,'ETPT Format DDG'!$2:$2,0))),
INDEX( 'ETPT Format DDG'!$A:$ZZ,,MATCH("Fonction agrégat",'ETPT Format DDG'!2:2,0)),"F-PLAC-ADD",
INDEX( 'ETPT Format DDG'!$A:$ZZ,,MATCH("Juridiction",'ETPT Format DDG'!2:2,0)),$A$3)</f>
      </c>
      <c r="Q69" s="73">
        <f>SUMIFS(
INDEX('ETPT Format DDG'!$A:$FB,,IFERROR(MATCH(E69,'ETPT Format DDG'!$2:$2,0),MATCH(C69,'ETPT Format DDG'!$2:$2,0))),
INDEX( 'ETPT Format DDG'!$A:$ZZ,,MATCH("Fonction agrégat",'ETPT Format DDG'!2:2,0)),"F-PLAC-SUB",
INDEX( 'ETPT Format DDG'!$A:$ZZ,,MATCH("Juridiction",'ETPT Format DDG'!2:2,0)),$A$3)</f>
      </c>
      <c r="R69" s="73">
        <f>SUMIFS(
INDEX('ETPT Format DDG'!$A:$FB,,IFERROR(MATCH(E69,'ETPT Format DDG'!$2:$2,0),MATCH(C69,'ETPT Format DDG'!$2:$2,0))),
INDEX( 'ETPT Format DDG'!$A:$ZZ,,MATCH("Fonction agrégat",'ETPT Format DDG'!2:2,0)),"C",
'ETPT Format DDG'!$H:$H,"Greffe",
INDEX( 'ETPT Format DDG'!$A:$ZZ,,MATCH("Juridiction",'ETPT Format DDG'!2:2,0)),$A$3)</f>
      </c>
      <c r="S69" s="71">
        <f>SUMIFS(
INDEX('ETPT Format DDG'!$A:$FB,,IFERROR(MATCH(E69,'ETPT Format DDG'!$2:$2,0),MATCH(C69,'ETPT Format DDG'!$2:$2,0))),
INDEX( 'ETPT Format DDG'!$A:$ZZ,,MATCH("Catégorie",'ETPT Format DDG'!2:2,0)),"Greffe",
INDEX( 'ETPT Format DDG'!$A:$ZZ,,MATCH("Juridiction",'ETPT Format DDG'!2:2,0)),$A$3)</f>
      </c>
      <c r="T69" s="72">
        <f>IF(AND(OR(LEFT(C69,3)="12.",LEFT(E69,3)="12.",LEFT(E69,5)="CET &gt;",IFERROR(S69/$S$6,"")=0),NOT(AND(LEFT(E69,4)="12.8",IFERROR(G69/$G$6,"")&lt;&gt;0)),NOT(AND(LEFT(E69,5)="12.31",IFERROR(S69/$G$6,"")&lt;&gt;0)),NOT(AND(LEFT(E69,5)="12.32",IFERROR(S69/$G$6,"")&lt;&gt;0))),"", IFERROR(S69/$S$6,""))</f>
      </c>
      <c r="U69" s="71">
        <f>SUMIFS(
INDEX('ETPT Format DDG'!$A:$FB,,IFERROR(MATCH(E69,'ETPT Format DDG'!$2:$2,0),MATCH(C69,'ETPT Format DDG'!$2:$2,0))),
INDEX( 'ETPT Format DDG'!$A:$ZZ,,MATCH("Fonction agrégat",'ETPT Format DDG'!2:2,0)),"C",
INDEX( 'ETPT Format DDG'!$A:$ZZ,,MATCH("Juridiction",'ETPT Format DDG'!2:2,0)),$A$3,
INDEX( 'ETPT Format DDG'!$A:$ZZ,,MATCH("Catégorie",'ETPT Format DDG'!2:2,0)),"Autour du magistrat")</f>
      </c>
      <c r="V69" s="74">
        <f>IF(AND(OR(LEFT(C69,3)="12.",LEFT(E69,3)="12.",LEFT(E69,5)="CET &gt;",IFERROR(U69/$U$6,"")=0),NOT(AND(LEFT(E69,4)="12.8",IFERROR(G69/$G$6,"")&lt;&gt;0)),NOT(AND(LEFT(E69,5)="12.31",IFERROR(U69/$G$6,"")&lt;&gt;0)),NOT(AND(LEFT(E69,5)="12.32",IFERROR(U69/$G$6,"")&lt;&gt;0))),"", IFERROR(U69/$U$6,""))</f>
      </c>
    </row>
    <row r="70" ht="16" customHeight="1" spans="1:23" x14ac:dyDescent="0.25">
      <c r="A70" s="40"/>
      <c r="C70" s="68"/>
      <c r="D70" s="68"/>
      <c r="E70" s="69" t="s">
        <v>105</v>
      </c>
      <c r="F70" s="70" t="s">
        <v>105</v>
      </c>
      <c r="G70" s="71">
        <f>SUMIFS(
INDEX('ETPT Format DDG'!$A:$ZZ,,IFERROR(MATCH(E70,'ETPT Format DDG'!$2:$2,0),MATCH(C70,'ETPT Format DDG'!$2:$2,0))),
INDEX( 'ETPT Format DDG'!$A:$ZZ,,MATCH("Fonction agrégat",'ETPT Format DDG'!2:2,0)),"M-TIT",
INDEX( 'ETPT Format DDG'!$A:$ZZ,,MATCH("Juridiction",'ETPT Format DDG'!2:2,0)),$A$3)</f>
      </c>
      <c r="H70" s="72">
        <f>IF(AND(OR(LEFT(C70,3)="12.",LEFT(E70,3)="12.",LEFT(E70,5)="CET &gt;",IFERROR(G70/$G$6,"")=0),NOT(AND(LEFT(E70,4)="12.8",IFERROR(G70/$G$6,"")&lt;&gt;0)),NOT(AND(LEFT(E70,5)="12.31",IFERROR(G70/$G$6,"")&lt;&gt;0)),NOT(AND(LEFT(E70,5)="12.32",IFERROR(G70/$G$6,"")&lt;&gt;0))),"", IFERROR(G70/$G$6,""))</f>
      </c>
      <c r="I70" s="73">
        <f>SUMIFS(
INDEX('ETPT Format DDG'!$A:$ZZ,,IFERROR(MATCH(E70,'ETPT Format DDG'!$2:$2,0),MATCH(C70,'ETPT Format DDG'!$2:$2,0))),
INDEX( 'ETPT Format DDG'!$A:$ZZ,,MATCH("Fonction agrégat",'ETPT Format DDG'!2:2,0)),"M-PLAC-ADD",
INDEX( 'ETPT Format DDG'!$A:$ZZ,,MATCH("Juridiction",'ETPT Format DDG'!2:2,0)),$A$3)</f>
      </c>
      <c r="J70" s="73">
        <f>SUMIFS(
INDEX('ETPT Format DDG'!$A:$ZZ,,IFERROR(MATCH(E70,'ETPT Format DDG'!$2:$2,0),MATCH(C70,'ETPT Format DDG'!$2:$2,0))),
INDEX( 'ETPT Format DDG'!$A:$ZZ,,MATCH("Fonction agrégat",'ETPT Format DDG'!2:2,0)),"M-PLAC-SUB",
INDEX( 'ETPT Format DDG'!$A:$ZZ,,MATCH("Juridiction",'ETPT Format DDG'!2:2,0)),$A$3)</f>
      </c>
      <c r="K70" s="73">
        <f>SUMIFS(
INDEX('ETPT Format DDG'!$A:$ZZ,,IFERROR(MATCH(E70,'ETPT Format DDG'!$2:$2,0),MATCH(C70,'ETPT Format DDG'!$2:$2,0))),
INDEX( 'ETPT Format DDG'!$A:$ZZ,,MATCH("Fonction agrégat",'ETPT Format DDG'!2:2,0)),"M-CONT",
INDEX( 'ETPT Format DDG'!$A:$ZZ,,MATCH("Juridiction",'ETPT Format DDG'!2:2,0)),$A$3,
INDEX( 'ETPT Format DDG'!$A:$ZZ,,MATCH("Catégorie",'ETPT Format DDG'!2:2,0)),"Magistrat")</f>
      </c>
      <c r="L70" s="71">
        <f>SUMIFS(
INDEX('ETPT Format DDG'!$A:$ZZ,,IFERROR(MATCH(E70,'ETPT Format DDG'!$2:$2,0),MATCH(C70,'ETPT Format DDG'!$2:$2,0))),
INDEX( 'ETPT Format DDG'!$A:$ZZ,,MATCH("Juridiction",'ETPT Format DDG'!2:2,0)),$A$3,
INDEX( 'ETPT Format DDG'!$A:$ZZ,,MATCH("Catégorie",'ETPT Format DDG'!2:2,0)),"Magistrat")</f>
      </c>
      <c r="M70" s="74">
        <f>IF(AND(OR(LEFT(C70,3)="12.",LEFT(E70,3)="12.",LEFT(E70,5)="CET &gt;", IFERROR(L70/$L$6,"")=0),NOT(AND(LEFT(E70,4)="12.8",IFERROR(G70/$G$6,"")&lt;&gt;0)),NOT(AND(LEFT(E70,5)="12.31",IFERROR(L70/$G$6,"")&lt;&gt;0)),NOT(AND(LEFT(E70,5)="12.32",IFERROR(L70/$G$6,"")&lt;&gt;0))),"", IFERROR(L70/$L$6,""))</f>
      </c>
      <c r="N70" s="73">
        <f>SUMIFS(
INDEX('ETPT Format DDG'!$A:$ZZ,,IFERROR(MATCH(E70,'ETPT Format DDG'!$2:$2,0),MATCH(C70,'ETPT Format DDG'!$2:$2,0))),
INDEX( 'ETPT Format DDG'!$A:$ZZ,,MATCH("Fonction agrégat",'ETPT Format DDG'!2:2,0)),"F-TIT",
INDEX( 'ETPT Format DDG'!$A:$ZZ,,MATCH("Juridiction",'ETPT Format DDG'!2:2,0)),$A$3)</f>
      </c>
      <c r="O70" s="72">
        <f>IF(AND(OR(LEFT(C70,3)="12.",LEFT(E70,3)="12.",LEFT(E70,5)="CET &gt;",IFERROR(N70/$N$6,"")=0),NOT(AND(LEFT(E70,4)="12.8",IFERROR(G70/$G$6,"")&lt;&gt;0)),NOT(AND(LEFT(E70,5)="12.31",IFERROR(N70/$G$6,"")&lt;&gt;0)),NOT(AND(LEFT(E70,5)="12.32",IFERROR(N70/$G$6,"")&lt;&gt;0))),"",IFERROR(N70/$N$6,""))</f>
      </c>
      <c r="P70" s="73">
        <f>SUMIFS(
INDEX('ETPT Format DDG'!$A:$FB,,IFERROR(MATCH(E70,'ETPT Format DDG'!$2:$2,0),MATCH(C70,'ETPT Format DDG'!$2:$2,0))),
INDEX( 'ETPT Format DDG'!$A:$ZZ,,MATCH("Fonction agrégat",'ETPT Format DDG'!2:2,0)),"F-PLAC-ADD",
INDEX( 'ETPT Format DDG'!$A:$ZZ,,MATCH("Juridiction",'ETPT Format DDG'!2:2,0)),$A$3)</f>
      </c>
      <c r="Q70" s="73">
        <f>SUMIFS(
INDEX('ETPT Format DDG'!$A:$FB,,IFERROR(MATCH(E70,'ETPT Format DDG'!$2:$2,0),MATCH(C70,'ETPT Format DDG'!$2:$2,0))),
INDEX( 'ETPT Format DDG'!$A:$ZZ,,MATCH("Fonction agrégat",'ETPT Format DDG'!2:2,0)),"F-PLAC-SUB",
INDEX( 'ETPT Format DDG'!$A:$ZZ,,MATCH("Juridiction",'ETPT Format DDG'!2:2,0)),$A$3)</f>
      </c>
      <c r="R70" s="73">
        <f>SUMIFS(
INDEX('ETPT Format DDG'!$A:$FB,,IFERROR(MATCH(E70,'ETPT Format DDG'!$2:$2,0),MATCH(C70,'ETPT Format DDG'!$2:$2,0))),
INDEX( 'ETPT Format DDG'!$A:$ZZ,,MATCH("Fonction agrégat",'ETPT Format DDG'!2:2,0)),"C",
'ETPT Format DDG'!$H:$H,"Greffe",
INDEX( 'ETPT Format DDG'!$A:$ZZ,,MATCH("Juridiction",'ETPT Format DDG'!2:2,0)),$A$3)</f>
      </c>
      <c r="S70" s="71">
        <f>SUMIFS(
INDEX('ETPT Format DDG'!$A:$FB,,IFERROR(MATCH(E70,'ETPT Format DDG'!$2:$2,0),MATCH(C70,'ETPT Format DDG'!$2:$2,0))),
INDEX( 'ETPT Format DDG'!$A:$ZZ,,MATCH("Catégorie",'ETPT Format DDG'!2:2,0)),"Greffe",
INDEX( 'ETPT Format DDG'!$A:$ZZ,,MATCH("Juridiction",'ETPT Format DDG'!2:2,0)),$A$3)</f>
      </c>
      <c r="T70" s="72">
        <f>IF(AND(OR(LEFT(C70,3)="12.",LEFT(E70,3)="12.",LEFT(E70,5)="CET &gt;",IFERROR(S70/$S$6,"")=0),NOT(AND(LEFT(E70,4)="12.8",IFERROR(G70/$G$6,"")&lt;&gt;0)),NOT(AND(LEFT(E70,5)="12.31",IFERROR(S70/$G$6,"")&lt;&gt;0)),NOT(AND(LEFT(E70,5)="12.32",IFERROR(S70/$G$6,"")&lt;&gt;0))),"", IFERROR(S70/$S$6,""))</f>
      </c>
      <c r="U70" s="71">
        <f>SUMIFS(
INDEX('ETPT Format DDG'!$A:$FB,,IFERROR(MATCH(E70,'ETPT Format DDG'!$2:$2,0),MATCH(C70,'ETPT Format DDG'!$2:$2,0))),
INDEX( 'ETPT Format DDG'!$A:$ZZ,,MATCH("Fonction agrégat",'ETPT Format DDG'!2:2,0)),"C",
INDEX( 'ETPT Format DDG'!$A:$ZZ,,MATCH("Juridiction",'ETPT Format DDG'!2:2,0)),$A$3,
INDEX( 'ETPT Format DDG'!$A:$ZZ,,MATCH("Catégorie",'ETPT Format DDG'!2:2,0)),"Autour du magistrat")</f>
      </c>
      <c r="V70" s="74">
        <f>IF(AND(OR(LEFT(C70,3)="12.",LEFT(E70,3)="12.",LEFT(E70,5)="CET &gt;",IFERROR(U70/$U$6,"")=0),NOT(AND(LEFT(E70,4)="12.8",IFERROR(G70/$G$6,"")&lt;&gt;0)),NOT(AND(LEFT(E70,5)="12.31",IFERROR(U70/$G$6,"")&lt;&gt;0)),NOT(AND(LEFT(E70,5)="12.32",IFERROR(U70/$G$6,"")&lt;&gt;0))),"", IFERROR(U70/$U$6,""))</f>
      </c>
    </row>
    <row r="71" ht="16" customHeight="1" spans="1:23" x14ac:dyDescent="0.25">
      <c r="A71" s="40"/>
      <c r="C71" s="68"/>
      <c r="D71" s="68"/>
      <c r="E71" s="69" t="s">
        <v>106</v>
      </c>
      <c r="F71" s="70" t="s">
        <v>106</v>
      </c>
      <c r="G71" s="71">
        <f>SUMIFS(
INDEX('ETPT Format DDG'!$A:$ZZ,,IFERROR(MATCH(E71,'ETPT Format DDG'!$2:$2,0),MATCH(C71,'ETPT Format DDG'!$2:$2,0))),
INDEX( 'ETPT Format DDG'!$A:$ZZ,,MATCH("Fonction agrégat",'ETPT Format DDG'!2:2,0)),"M-TIT",
INDEX( 'ETPT Format DDG'!$A:$ZZ,,MATCH("Juridiction",'ETPT Format DDG'!2:2,0)),$A$3)</f>
      </c>
      <c r="H71" s="72">
        <f>IF(AND(OR(LEFT(C71,3)="12.",LEFT(E71,3)="12.",LEFT(E71,5)="CET &gt;",IFERROR(G71/$G$6,"")=0),NOT(AND(LEFT(E71,4)="12.8",IFERROR(G71/$G$6,"")&lt;&gt;0)),NOT(AND(LEFT(E71,5)="12.31",IFERROR(G71/$G$6,"")&lt;&gt;0)),NOT(AND(LEFT(E71,5)="12.32",IFERROR(G71/$G$6,"")&lt;&gt;0))),"", IFERROR(G71/$G$6,""))</f>
      </c>
      <c r="I71" s="73">
        <f>SUMIFS(
INDEX('ETPT Format DDG'!$A:$ZZ,,IFERROR(MATCH(E71,'ETPT Format DDG'!$2:$2,0),MATCH(C71,'ETPT Format DDG'!$2:$2,0))),
INDEX( 'ETPT Format DDG'!$A:$ZZ,,MATCH("Fonction agrégat",'ETPT Format DDG'!2:2,0)),"M-PLAC-ADD",
INDEX( 'ETPT Format DDG'!$A:$ZZ,,MATCH("Juridiction",'ETPT Format DDG'!2:2,0)),$A$3)</f>
      </c>
      <c r="J71" s="73">
        <f>SUMIFS(
INDEX('ETPT Format DDG'!$A:$ZZ,,IFERROR(MATCH(E71,'ETPT Format DDG'!$2:$2,0),MATCH(C71,'ETPT Format DDG'!$2:$2,0))),
INDEX( 'ETPT Format DDG'!$A:$ZZ,,MATCH("Fonction agrégat",'ETPT Format DDG'!2:2,0)),"M-PLAC-SUB",
INDEX( 'ETPT Format DDG'!$A:$ZZ,,MATCH("Juridiction",'ETPT Format DDG'!2:2,0)),$A$3)</f>
      </c>
      <c r="K71" s="73">
        <f>SUMIFS(
INDEX('ETPT Format DDG'!$A:$ZZ,,IFERROR(MATCH(E71,'ETPT Format DDG'!$2:$2,0),MATCH(C71,'ETPT Format DDG'!$2:$2,0))),
INDEX( 'ETPT Format DDG'!$A:$ZZ,,MATCH("Fonction agrégat",'ETPT Format DDG'!2:2,0)),"M-CONT",
INDEX( 'ETPT Format DDG'!$A:$ZZ,,MATCH("Juridiction",'ETPT Format DDG'!2:2,0)),$A$3,
INDEX( 'ETPT Format DDG'!$A:$ZZ,,MATCH("Catégorie",'ETPT Format DDG'!2:2,0)),"Magistrat")</f>
      </c>
      <c r="L71" s="71">
        <f>SUMIFS(
INDEX('ETPT Format DDG'!$A:$ZZ,,IFERROR(MATCH(E71,'ETPT Format DDG'!$2:$2,0),MATCH(C71,'ETPT Format DDG'!$2:$2,0))),
INDEX( 'ETPT Format DDG'!$A:$ZZ,,MATCH("Juridiction",'ETPT Format DDG'!2:2,0)),$A$3,
INDEX( 'ETPT Format DDG'!$A:$ZZ,,MATCH("Catégorie",'ETPT Format DDG'!2:2,0)),"Magistrat")</f>
      </c>
      <c r="M71" s="74">
        <f>IF(AND(OR(LEFT(C71,3)="12.",LEFT(E71,3)="12.",LEFT(E71,5)="CET &gt;", IFERROR(L71/$L$6,"")=0),NOT(AND(LEFT(E71,4)="12.8",IFERROR(G71/$G$6,"")&lt;&gt;0)),NOT(AND(LEFT(E71,5)="12.31",IFERROR(L71/$G$6,"")&lt;&gt;0)),NOT(AND(LEFT(E71,5)="12.32",IFERROR(L71/$G$6,"")&lt;&gt;0))),"", IFERROR(L71/$L$6,""))</f>
      </c>
      <c r="N71" s="73">
        <f>SUMIFS(
INDEX('ETPT Format DDG'!$A:$ZZ,,IFERROR(MATCH(E71,'ETPT Format DDG'!$2:$2,0),MATCH(C71,'ETPT Format DDG'!$2:$2,0))),
INDEX( 'ETPT Format DDG'!$A:$ZZ,,MATCH("Fonction agrégat",'ETPT Format DDG'!2:2,0)),"F-TIT",
INDEX( 'ETPT Format DDG'!$A:$ZZ,,MATCH("Juridiction",'ETPT Format DDG'!2:2,0)),$A$3)</f>
      </c>
      <c r="O71" s="72">
        <f>IF(AND(OR(LEFT(C71,3)="12.",LEFT(E71,3)="12.",LEFT(E71,5)="CET &gt;",IFERROR(N71/$N$6,"")=0),NOT(AND(LEFT(E71,4)="12.8",IFERROR(G71/$G$6,"")&lt;&gt;0)),NOT(AND(LEFT(E71,5)="12.31",IFERROR(N71/$G$6,"")&lt;&gt;0)),NOT(AND(LEFT(E71,5)="12.32",IFERROR(N71/$G$6,"")&lt;&gt;0))),"",IFERROR(N71/$N$6,""))</f>
      </c>
      <c r="P71" s="73">
        <f>SUMIFS(
INDEX('ETPT Format DDG'!$A:$FB,,IFERROR(MATCH(E71,'ETPT Format DDG'!$2:$2,0),MATCH(C71,'ETPT Format DDG'!$2:$2,0))),
INDEX( 'ETPT Format DDG'!$A:$ZZ,,MATCH("Fonction agrégat",'ETPT Format DDG'!2:2,0)),"F-PLAC-ADD",
INDEX( 'ETPT Format DDG'!$A:$ZZ,,MATCH("Juridiction",'ETPT Format DDG'!2:2,0)),$A$3)</f>
      </c>
      <c r="Q71" s="73">
        <f>SUMIFS(
INDEX('ETPT Format DDG'!$A:$FB,,IFERROR(MATCH(E71,'ETPT Format DDG'!$2:$2,0),MATCH(C71,'ETPT Format DDG'!$2:$2,0))),
INDEX( 'ETPT Format DDG'!$A:$ZZ,,MATCH("Fonction agrégat",'ETPT Format DDG'!2:2,0)),"F-PLAC-SUB",
INDEX( 'ETPT Format DDG'!$A:$ZZ,,MATCH("Juridiction",'ETPT Format DDG'!2:2,0)),$A$3)</f>
      </c>
      <c r="R71" s="73">
        <f>SUMIFS(
INDEX('ETPT Format DDG'!$A:$FB,,IFERROR(MATCH(E71,'ETPT Format DDG'!$2:$2,0),MATCH(C71,'ETPT Format DDG'!$2:$2,0))),
INDEX( 'ETPT Format DDG'!$A:$ZZ,,MATCH("Fonction agrégat",'ETPT Format DDG'!2:2,0)),"C",
'ETPT Format DDG'!$H:$H,"Greffe",
INDEX( 'ETPT Format DDG'!$A:$ZZ,,MATCH("Juridiction",'ETPT Format DDG'!2:2,0)),$A$3)</f>
      </c>
      <c r="S71" s="71">
        <f>SUMIFS(
INDEX('ETPT Format DDG'!$A:$FB,,IFERROR(MATCH(E71,'ETPT Format DDG'!$2:$2,0),MATCH(C71,'ETPT Format DDG'!$2:$2,0))),
INDEX( 'ETPT Format DDG'!$A:$ZZ,,MATCH("Catégorie",'ETPT Format DDG'!2:2,0)),"Greffe",
INDEX( 'ETPT Format DDG'!$A:$ZZ,,MATCH("Juridiction",'ETPT Format DDG'!2:2,0)),$A$3)</f>
      </c>
      <c r="T71" s="72">
        <f>IF(AND(OR(LEFT(C71,3)="12.",LEFT(E71,3)="12.",LEFT(E71,5)="CET &gt;",IFERROR(S71/$S$6,"")=0),NOT(AND(LEFT(E71,4)="12.8",IFERROR(G71/$G$6,"")&lt;&gt;0)),NOT(AND(LEFT(E71,5)="12.31",IFERROR(S71/$G$6,"")&lt;&gt;0)),NOT(AND(LEFT(E71,5)="12.32",IFERROR(S71/$G$6,"")&lt;&gt;0))),"", IFERROR(S71/$S$6,""))</f>
      </c>
      <c r="U71" s="71">
        <f>SUMIFS(
INDEX('ETPT Format DDG'!$A:$FB,,IFERROR(MATCH(E71,'ETPT Format DDG'!$2:$2,0),MATCH(C71,'ETPT Format DDG'!$2:$2,0))),
INDEX( 'ETPT Format DDG'!$A:$ZZ,,MATCH("Fonction agrégat",'ETPT Format DDG'!2:2,0)),"C",
INDEX( 'ETPT Format DDG'!$A:$ZZ,,MATCH("Juridiction",'ETPT Format DDG'!2:2,0)),$A$3,
INDEX( 'ETPT Format DDG'!$A:$ZZ,,MATCH("Catégorie",'ETPT Format DDG'!2:2,0)),"Autour du magistrat")</f>
      </c>
      <c r="V71" s="74">
        <f>IF(AND(OR(LEFT(C71,3)="12.",LEFT(E71,3)="12.",LEFT(E71,5)="CET &gt;",IFERROR(U71/$U$6,"")=0),NOT(AND(LEFT(E71,4)="12.8",IFERROR(G71/$G$6,"")&lt;&gt;0)),NOT(AND(LEFT(E71,5)="12.31",IFERROR(U71/$G$6,"")&lt;&gt;0)),NOT(AND(LEFT(E71,5)="12.32",IFERROR(U71/$G$6,"")&lt;&gt;0))),"", IFERROR(U71/$U$6,""))</f>
      </c>
    </row>
    <row r="72" ht="16" customHeight="1" spans="1:23" x14ac:dyDescent="0.25">
      <c r="A72" s="40"/>
      <c r="C72" s="68"/>
      <c r="D72" s="68"/>
      <c r="E72" s="69" t="s">
        <v>107</v>
      </c>
      <c r="F72" s="70" t="s">
        <v>107</v>
      </c>
      <c r="G72" s="71">
        <f>SUMIFS(
INDEX('ETPT Format DDG'!$A:$ZZ,,IFERROR(MATCH(E72,'ETPT Format DDG'!$2:$2,0),MATCH(C72,'ETPT Format DDG'!$2:$2,0))),
INDEX( 'ETPT Format DDG'!$A:$ZZ,,MATCH("Fonction agrégat",'ETPT Format DDG'!2:2,0)),"M-TIT",
INDEX( 'ETPT Format DDG'!$A:$ZZ,,MATCH("Juridiction",'ETPT Format DDG'!2:2,0)),$A$3)</f>
      </c>
      <c r="H72" s="72">
        <f>IF(AND(OR(LEFT(C72,3)="12.",LEFT(E72,3)="12.",LEFT(E72,5)="CET &gt;",IFERROR(G72/$G$6,"")=0),NOT(AND(LEFT(E72,4)="12.8",IFERROR(G72/$G$6,"")&lt;&gt;0)),NOT(AND(LEFT(E72,5)="12.31",IFERROR(G72/$G$6,"")&lt;&gt;0)),NOT(AND(LEFT(E72,5)="12.32",IFERROR(G72/$G$6,"")&lt;&gt;0))),"", IFERROR(G72/$G$6,""))</f>
      </c>
      <c r="I72" s="73">
        <f>SUMIFS(
INDEX('ETPT Format DDG'!$A:$ZZ,,IFERROR(MATCH(E72,'ETPT Format DDG'!$2:$2,0),MATCH(C72,'ETPT Format DDG'!$2:$2,0))),
INDEX( 'ETPT Format DDG'!$A:$ZZ,,MATCH("Fonction agrégat",'ETPT Format DDG'!2:2,0)),"M-PLAC-ADD",
INDEX( 'ETPT Format DDG'!$A:$ZZ,,MATCH("Juridiction",'ETPT Format DDG'!2:2,0)),$A$3)</f>
      </c>
      <c r="J72" s="73">
        <f>SUMIFS(
INDEX('ETPT Format DDG'!$A:$ZZ,,IFERROR(MATCH(E72,'ETPT Format DDG'!$2:$2,0),MATCH(C72,'ETPT Format DDG'!$2:$2,0))),
INDEX( 'ETPT Format DDG'!$A:$ZZ,,MATCH("Fonction agrégat",'ETPT Format DDG'!2:2,0)),"M-PLAC-SUB",
INDEX( 'ETPT Format DDG'!$A:$ZZ,,MATCH("Juridiction",'ETPT Format DDG'!2:2,0)),$A$3)</f>
      </c>
      <c r="K72" s="73">
        <f>SUMIFS(
INDEX('ETPT Format DDG'!$A:$ZZ,,IFERROR(MATCH(E72,'ETPT Format DDG'!$2:$2,0),MATCH(C72,'ETPT Format DDG'!$2:$2,0))),
INDEX( 'ETPT Format DDG'!$A:$ZZ,,MATCH("Fonction agrégat",'ETPT Format DDG'!2:2,0)),"M-CONT",
INDEX( 'ETPT Format DDG'!$A:$ZZ,,MATCH("Juridiction",'ETPT Format DDG'!2:2,0)),$A$3,
INDEX( 'ETPT Format DDG'!$A:$ZZ,,MATCH("Catégorie",'ETPT Format DDG'!2:2,0)),"Magistrat")</f>
      </c>
      <c r="L72" s="71">
        <f>SUMIFS(
INDEX('ETPT Format DDG'!$A:$ZZ,,IFERROR(MATCH(E72,'ETPT Format DDG'!$2:$2,0),MATCH(C72,'ETPT Format DDG'!$2:$2,0))),
INDEX( 'ETPT Format DDG'!$A:$ZZ,,MATCH("Juridiction",'ETPT Format DDG'!2:2,0)),$A$3,
INDEX( 'ETPT Format DDG'!$A:$ZZ,,MATCH("Catégorie",'ETPT Format DDG'!2:2,0)),"Magistrat")</f>
      </c>
      <c r="M72" s="74">
        <f>IF(AND(OR(LEFT(C72,3)="12.",LEFT(E72,3)="12.",LEFT(E72,5)="CET &gt;", IFERROR(L72/$L$6,"")=0),NOT(AND(LEFT(E72,4)="12.8",IFERROR(G72/$G$6,"")&lt;&gt;0)),NOT(AND(LEFT(E72,5)="12.31",IFERROR(L72/$G$6,"")&lt;&gt;0)),NOT(AND(LEFT(E72,5)="12.32",IFERROR(L72/$G$6,"")&lt;&gt;0))),"", IFERROR(L72/$L$6,""))</f>
      </c>
      <c r="N72" s="73">
        <f>SUMIFS(
INDEX('ETPT Format DDG'!$A:$ZZ,,IFERROR(MATCH(E72,'ETPT Format DDG'!$2:$2,0),MATCH(C72,'ETPT Format DDG'!$2:$2,0))),
INDEX( 'ETPT Format DDG'!$A:$ZZ,,MATCH("Fonction agrégat",'ETPT Format DDG'!2:2,0)),"F-TIT",
INDEX( 'ETPT Format DDG'!$A:$ZZ,,MATCH("Juridiction",'ETPT Format DDG'!2:2,0)),$A$3)</f>
      </c>
      <c r="O72" s="72">
        <f>IF(AND(OR(LEFT(C72,3)="12.",LEFT(E72,3)="12.",LEFT(E72,5)="CET &gt;",IFERROR(N72/$N$6,"")=0),NOT(AND(LEFT(E72,4)="12.8",IFERROR(G72/$G$6,"")&lt;&gt;0)),NOT(AND(LEFT(E72,5)="12.31",IFERROR(N72/$G$6,"")&lt;&gt;0)),NOT(AND(LEFT(E72,5)="12.32",IFERROR(N72/$G$6,"")&lt;&gt;0))),"",IFERROR(N72/$N$6,""))</f>
      </c>
      <c r="P72" s="73">
        <f>SUMIFS(
INDEX('ETPT Format DDG'!$A:$FB,,IFERROR(MATCH(E72,'ETPT Format DDG'!$2:$2,0),MATCH(C72,'ETPT Format DDG'!$2:$2,0))),
INDEX( 'ETPT Format DDG'!$A:$ZZ,,MATCH("Fonction agrégat",'ETPT Format DDG'!2:2,0)),"F-PLAC-ADD",
INDEX( 'ETPT Format DDG'!$A:$ZZ,,MATCH("Juridiction",'ETPT Format DDG'!2:2,0)),$A$3)</f>
      </c>
      <c r="Q72" s="73">
        <f>SUMIFS(
INDEX('ETPT Format DDG'!$A:$FB,,IFERROR(MATCH(E72,'ETPT Format DDG'!$2:$2,0),MATCH(C72,'ETPT Format DDG'!$2:$2,0))),
INDEX( 'ETPT Format DDG'!$A:$ZZ,,MATCH("Fonction agrégat",'ETPT Format DDG'!2:2,0)),"F-PLAC-SUB",
INDEX( 'ETPT Format DDG'!$A:$ZZ,,MATCH("Juridiction",'ETPT Format DDG'!2:2,0)),$A$3)</f>
      </c>
      <c r="R72" s="73">
        <f>SUMIFS(
INDEX('ETPT Format DDG'!$A:$FB,,IFERROR(MATCH(E72,'ETPT Format DDG'!$2:$2,0),MATCH(C72,'ETPT Format DDG'!$2:$2,0))),
INDEX( 'ETPT Format DDG'!$A:$ZZ,,MATCH("Fonction agrégat",'ETPT Format DDG'!2:2,0)),"C",
'ETPT Format DDG'!$H:$H,"Greffe",
INDEX( 'ETPT Format DDG'!$A:$ZZ,,MATCH("Juridiction",'ETPT Format DDG'!2:2,0)),$A$3)</f>
      </c>
      <c r="S72" s="71">
        <f>SUMIFS(
INDEX('ETPT Format DDG'!$A:$FB,,IFERROR(MATCH(E72,'ETPT Format DDG'!$2:$2,0),MATCH(C72,'ETPT Format DDG'!$2:$2,0))),
INDEX( 'ETPT Format DDG'!$A:$ZZ,,MATCH("Catégorie",'ETPT Format DDG'!2:2,0)),"Greffe",
INDEX( 'ETPT Format DDG'!$A:$ZZ,,MATCH("Juridiction",'ETPT Format DDG'!2:2,0)),$A$3)</f>
      </c>
      <c r="T72" s="72">
        <f>IF(AND(OR(LEFT(C72,3)="12.",LEFT(E72,3)="12.",LEFT(E72,5)="CET &gt;",IFERROR(S72/$S$6,"")=0),NOT(AND(LEFT(E72,4)="12.8",IFERROR(G72/$G$6,"")&lt;&gt;0)),NOT(AND(LEFT(E72,5)="12.31",IFERROR(S72/$G$6,"")&lt;&gt;0)),NOT(AND(LEFT(E72,5)="12.32",IFERROR(S72/$G$6,"")&lt;&gt;0))),"", IFERROR(S72/$S$6,""))</f>
      </c>
      <c r="U72" s="71">
        <f>SUMIFS(
INDEX('ETPT Format DDG'!$A:$FB,,IFERROR(MATCH(E72,'ETPT Format DDG'!$2:$2,0),MATCH(C72,'ETPT Format DDG'!$2:$2,0))),
INDEX( 'ETPT Format DDG'!$A:$ZZ,,MATCH("Fonction agrégat",'ETPT Format DDG'!2:2,0)),"C",
INDEX( 'ETPT Format DDG'!$A:$ZZ,,MATCH("Juridiction",'ETPT Format DDG'!2:2,0)),$A$3,
INDEX( 'ETPT Format DDG'!$A:$ZZ,,MATCH("Catégorie",'ETPT Format DDG'!2:2,0)),"Autour du magistrat")</f>
      </c>
      <c r="V72" s="74">
        <f>IF(AND(OR(LEFT(C72,3)="12.",LEFT(E72,3)="12.",LEFT(E72,5)="CET &gt;",IFERROR(U72/$U$6,"")=0),NOT(AND(LEFT(E72,4)="12.8",IFERROR(G72/$G$6,"")&lt;&gt;0)),NOT(AND(LEFT(E72,5)="12.31",IFERROR(U72/$G$6,"")&lt;&gt;0)),NOT(AND(LEFT(E72,5)="12.32",IFERROR(U72/$G$6,"")&lt;&gt;0))),"", IFERROR(U72/$U$6,""))</f>
      </c>
    </row>
    <row r="73" ht="16" customHeight="1" spans="1:23" x14ac:dyDescent="0.25">
      <c r="A73" s="40"/>
      <c r="C73" s="68"/>
      <c r="D73" s="68"/>
      <c r="E73" s="69" t="s">
        <v>108</v>
      </c>
      <c r="F73" s="70" t="s">
        <v>108</v>
      </c>
      <c r="G73" s="71">
        <f>SUMIFS(
INDEX('ETPT Format DDG'!$A:$ZZ,,IFERROR(MATCH(E73,'ETPT Format DDG'!$2:$2,0),MATCH(C73,'ETPT Format DDG'!$2:$2,0))),
INDEX( 'ETPT Format DDG'!$A:$ZZ,,MATCH("Fonction agrégat",'ETPT Format DDG'!2:2,0)),"M-TIT",
INDEX( 'ETPT Format DDG'!$A:$ZZ,,MATCH("Juridiction",'ETPT Format DDG'!2:2,0)),$A$3)</f>
      </c>
      <c r="H73" s="72">
        <f>IF(AND(OR(LEFT(C73,3)="12.",LEFT(E73,3)="12.",LEFT(E73,5)="CET &gt;",IFERROR(G73/$G$6,"")=0),NOT(AND(LEFT(E73,4)="12.8",IFERROR(G73/$G$6,"")&lt;&gt;0)),NOT(AND(LEFT(E73,5)="12.31",IFERROR(G73/$G$6,"")&lt;&gt;0)),NOT(AND(LEFT(E73,5)="12.32",IFERROR(G73/$G$6,"")&lt;&gt;0))),"", IFERROR(G73/$G$6,""))</f>
      </c>
      <c r="I73" s="73">
        <f>SUMIFS(
INDEX('ETPT Format DDG'!$A:$ZZ,,IFERROR(MATCH(E73,'ETPT Format DDG'!$2:$2,0),MATCH(C73,'ETPT Format DDG'!$2:$2,0))),
INDEX( 'ETPT Format DDG'!$A:$ZZ,,MATCH("Fonction agrégat",'ETPT Format DDG'!2:2,0)),"M-PLAC-ADD",
INDEX( 'ETPT Format DDG'!$A:$ZZ,,MATCH("Juridiction",'ETPT Format DDG'!2:2,0)),$A$3)</f>
      </c>
      <c r="J73" s="73">
        <f>SUMIFS(
INDEX('ETPT Format DDG'!$A:$ZZ,,IFERROR(MATCH(E73,'ETPT Format DDG'!$2:$2,0),MATCH(C73,'ETPT Format DDG'!$2:$2,0))),
INDEX( 'ETPT Format DDG'!$A:$ZZ,,MATCH("Fonction agrégat",'ETPT Format DDG'!2:2,0)),"M-PLAC-SUB",
INDEX( 'ETPT Format DDG'!$A:$ZZ,,MATCH("Juridiction",'ETPT Format DDG'!2:2,0)),$A$3)</f>
      </c>
      <c r="K73" s="73">
        <f>SUMIFS(
INDEX('ETPT Format DDG'!$A:$ZZ,,IFERROR(MATCH(E73,'ETPT Format DDG'!$2:$2,0),MATCH(C73,'ETPT Format DDG'!$2:$2,0))),
INDEX( 'ETPT Format DDG'!$A:$ZZ,,MATCH("Fonction agrégat",'ETPT Format DDG'!2:2,0)),"M-CONT",
INDEX( 'ETPT Format DDG'!$A:$ZZ,,MATCH("Juridiction",'ETPT Format DDG'!2:2,0)),$A$3,
INDEX( 'ETPT Format DDG'!$A:$ZZ,,MATCH("Catégorie",'ETPT Format DDG'!2:2,0)),"Magistrat")</f>
      </c>
      <c r="L73" s="71">
        <f>SUMIFS(
INDEX('ETPT Format DDG'!$A:$ZZ,,IFERROR(MATCH(E73,'ETPT Format DDG'!$2:$2,0),MATCH(C73,'ETPT Format DDG'!$2:$2,0))),
INDEX( 'ETPT Format DDG'!$A:$ZZ,,MATCH("Juridiction",'ETPT Format DDG'!2:2,0)),$A$3,
INDEX( 'ETPT Format DDG'!$A:$ZZ,,MATCH("Catégorie",'ETPT Format DDG'!2:2,0)),"Magistrat")</f>
      </c>
      <c r="M73" s="74">
        <f>IF(AND(OR(LEFT(C73,3)="12.",LEFT(E73,3)="12.",LEFT(E73,5)="CET &gt;", IFERROR(L73/$L$6,"")=0),NOT(AND(LEFT(E73,4)="12.8",IFERROR(G73/$G$6,"")&lt;&gt;0)),NOT(AND(LEFT(E73,5)="12.31",IFERROR(L73/$G$6,"")&lt;&gt;0)),NOT(AND(LEFT(E73,5)="12.32",IFERROR(L73/$G$6,"")&lt;&gt;0))),"", IFERROR(L73/$L$6,""))</f>
      </c>
      <c r="N73" s="73">
        <f>SUMIFS(
INDEX('ETPT Format DDG'!$A:$ZZ,,IFERROR(MATCH(E73,'ETPT Format DDG'!$2:$2,0),MATCH(C73,'ETPT Format DDG'!$2:$2,0))),
INDEX( 'ETPT Format DDG'!$A:$ZZ,,MATCH("Fonction agrégat",'ETPT Format DDG'!2:2,0)),"F-TIT",
INDEX( 'ETPT Format DDG'!$A:$ZZ,,MATCH("Juridiction",'ETPT Format DDG'!2:2,0)),$A$3)</f>
      </c>
      <c r="O73" s="72">
        <f>IF(AND(OR(LEFT(C73,3)="12.",LEFT(E73,3)="12.",LEFT(E73,5)="CET &gt;",IFERROR(N73/$N$6,"")=0),NOT(AND(LEFT(E73,4)="12.8",IFERROR(G73/$G$6,"")&lt;&gt;0)),NOT(AND(LEFT(E73,5)="12.31",IFERROR(N73/$G$6,"")&lt;&gt;0)),NOT(AND(LEFT(E73,5)="12.32",IFERROR(N73/$G$6,"")&lt;&gt;0))),"",IFERROR(N73/$N$6,""))</f>
      </c>
      <c r="P73" s="73">
        <f>SUMIFS(
INDEX('ETPT Format DDG'!$A:$FB,,IFERROR(MATCH(E73,'ETPT Format DDG'!$2:$2,0),MATCH(C73,'ETPT Format DDG'!$2:$2,0))),
INDEX( 'ETPT Format DDG'!$A:$ZZ,,MATCH("Fonction agrégat",'ETPT Format DDG'!2:2,0)),"F-PLAC-ADD",
INDEX( 'ETPT Format DDG'!$A:$ZZ,,MATCH("Juridiction",'ETPT Format DDG'!2:2,0)),$A$3)</f>
      </c>
      <c r="Q73" s="73">
        <f>SUMIFS(
INDEX('ETPT Format DDG'!$A:$FB,,IFERROR(MATCH(E73,'ETPT Format DDG'!$2:$2,0),MATCH(C73,'ETPT Format DDG'!$2:$2,0))),
INDEX( 'ETPT Format DDG'!$A:$ZZ,,MATCH("Fonction agrégat",'ETPT Format DDG'!2:2,0)),"F-PLAC-SUB",
INDEX( 'ETPT Format DDG'!$A:$ZZ,,MATCH("Juridiction",'ETPT Format DDG'!2:2,0)),$A$3)</f>
      </c>
      <c r="R73" s="73">
        <f>SUMIFS(
INDEX('ETPT Format DDG'!$A:$FB,,IFERROR(MATCH(E73,'ETPT Format DDG'!$2:$2,0),MATCH(C73,'ETPT Format DDG'!$2:$2,0))),
INDEX( 'ETPT Format DDG'!$A:$ZZ,,MATCH("Fonction agrégat",'ETPT Format DDG'!2:2,0)),"C",
'ETPT Format DDG'!$H:$H,"Greffe",
INDEX( 'ETPT Format DDG'!$A:$ZZ,,MATCH("Juridiction",'ETPT Format DDG'!2:2,0)),$A$3)</f>
      </c>
      <c r="S73" s="71">
        <f>SUMIFS(
INDEX('ETPT Format DDG'!$A:$FB,,IFERROR(MATCH(E73,'ETPT Format DDG'!$2:$2,0),MATCH(C73,'ETPT Format DDG'!$2:$2,0))),
INDEX( 'ETPT Format DDG'!$A:$ZZ,,MATCH("Catégorie",'ETPT Format DDG'!2:2,0)),"Greffe",
INDEX( 'ETPT Format DDG'!$A:$ZZ,,MATCH("Juridiction",'ETPT Format DDG'!2:2,0)),$A$3)</f>
      </c>
      <c r="T73" s="72">
        <f>IF(AND(OR(LEFT(C73,3)="12.",LEFT(E73,3)="12.",LEFT(E73,5)="CET &gt;",IFERROR(S73/$S$6,"")=0),NOT(AND(LEFT(E73,4)="12.8",IFERROR(G73/$G$6,"")&lt;&gt;0)),NOT(AND(LEFT(E73,5)="12.31",IFERROR(S73/$G$6,"")&lt;&gt;0)),NOT(AND(LEFT(E73,5)="12.32",IFERROR(S73/$G$6,"")&lt;&gt;0))),"", IFERROR(S73/$S$6,""))</f>
      </c>
      <c r="U73" s="71">
        <f>SUMIFS(
INDEX('ETPT Format DDG'!$A:$FB,,IFERROR(MATCH(E73,'ETPT Format DDG'!$2:$2,0),MATCH(C73,'ETPT Format DDG'!$2:$2,0))),
INDEX( 'ETPT Format DDG'!$A:$ZZ,,MATCH("Fonction agrégat",'ETPT Format DDG'!2:2,0)),"C",
INDEX( 'ETPT Format DDG'!$A:$ZZ,,MATCH("Juridiction",'ETPT Format DDG'!2:2,0)),$A$3,
INDEX( 'ETPT Format DDG'!$A:$ZZ,,MATCH("Catégorie",'ETPT Format DDG'!2:2,0)),"Autour du magistrat")</f>
      </c>
      <c r="V73" s="74">
        <f>IF(AND(OR(LEFT(C73,3)="12.",LEFT(E73,3)="12.",LEFT(E73,5)="CET &gt;",IFERROR(U73/$U$6,"")=0),NOT(AND(LEFT(E73,4)="12.8",IFERROR(G73/$G$6,"")&lt;&gt;0)),NOT(AND(LEFT(E73,5)="12.31",IFERROR(U73/$G$6,"")&lt;&gt;0)),NOT(AND(LEFT(E73,5)="12.32",IFERROR(U73/$G$6,"")&lt;&gt;0))),"", IFERROR(U73/$U$6,""))</f>
      </c>
    </row>
    <row r="74" ht="16" customHeight="1" spans="1:23" x14ac:dyDescent="0.25">
      <c r="A74" s="40"/>
      <c r="C74" s="68"/>
      <c r="D74" s="68"/>
      <c r="E74" s="69" t="s">
        <v>109</v>
      </c>
      <c r="F74" s="70" t="s">
        <v>109</v>
      </c>
      <c r="G74" s="71">
        <f>SUMIFS(
INDEX('ETPT Format DDG'!$A:$ZZ,,IFERROR(MATCH(E74,'ETPT Format DDG'!$2:$2,0),MATCH(C74,'ETPT Format DDG'!$2:$2,0))),
INDEX( 'ETPT Format DDG'!$A:$ZZ,,MATCH("Fonction agrégat",'ETPT Format DDG'!2:2,0)),"M-TIT",
INDEX( 'ETPT Format DDG'!$A:$ZZ,,MATCH("Juridiction",'ETPT Format DDG'!2:2,0)),$A$3)</f>
      </c>
      <c r="H74" s="72">
        <f>IF(AND(OR(LEFT(C74,3)="12.",LEFT(E74,3)="12.",LEFT(E74,5)="CET &gt;",IFERROR(G74/$G$6,"")=0),NOT(AND(LEFT(E74,4)="12.8",IFERROR(G74/$G$6,"")&lt;&gt;0)),NOT(AND(LEFT(E74,5)="12.31",IFERROR(G74/$G$6,"")&lt;&gt;0)),NOT(AND(LEFT(E74,5)="12.32",IFERROR(G74/$G$6,"")&lt;&gt;0))),"", IFERROR(G74/$G$6,""))</f>
      </c>
      <c r="I74" s="73">
        <f>SUMIFS(
INDEX('ETPT Format DDG'!$A:$ZZ,,IFERROR(MATCH(E74,'ETPT Format DDG'!$2:$2,0),MATCH(C74,'ETPT Format DDG'!$2:$2,0))),
INDEX( 'ETPT Format DDG'!$A:$ZZ,,MATCH("Fonction agrégat",'ETPT Format DDG'!2:2,0)),"M-PLAC-ADD",
INDEX( 'ETPT Format DDG'!$A:$ZZ,,MATCH("Juridiction",'ETPT Format DDG'!2:2,0)),$A$3)</f>
      </c>
      <c r="J74" s="73">
        <f>SUMIFS(
INDEX('ETPT Format DDG'!$A:$ZZ,,IFERROR(MATCH(E74,'ETPT Format DDG'!$2:$2,0),MATCH(C74,'ETPT Format DDG'!$2:$2,0))),
INDEX( 'ETPT Format DDG'!$A:$ZZ,,MATCH("Fonction agrégat",'ETPT Format DDG'!2:2,0)),"M-PLAC-SUB",
INDEX( 'ETPT Format DDG'!$A:$ZZ,,MATCH("Juridiction",'ETPT Format DDG'!2:2,0)),$A$3)</f>
      </c>
      <c r="K74" s="73">
        <f>SUMIFS(
INDEX('ETPT Format DDG'!$A:$ZZ,,IFERROR(MATCH(E74,'ETPT Format DDG'!$2:$2,0),MATCH(C74,'ETPT Format DDG'!$2:$2,0))),
INDEX( 'ETPT Format DDG'!$A:$ZZ,,MATCH("Fonction agrégat",'ETPT Format DDG'!2:2,0)),"M-CONT",
INDEX( 'ETPT Format DDG'!$A:$ZZ,,MATCH("Juridiction",'ETPT Format DDG'!2:2,0)),$A$3,
INDEX( 'ETPT Format DDG'!$A:$ZZ,,MATCH("Catégorie",'ETPT Format DDG'!2:2,0)),"Magistrat")</f>
      </c>
      <c r="L74" s="71">
        <f>SUMIFS(
INDEX('ETPT Format DDG'!$A:$ZZ,,IFERROR(MATCH(E74,'ETPT Format DDG'!$2:$2,0),MATCH(C74,'ETPT Format DDG'!$2:$2,0))),
INDEX( 'ETPT Format DDG'!$A:$ZZ,,MATCH("Juridiction",'ETPT Format DDG'!2:2,0)),$A$3,
INDEX( 'ETPT Format DDG'!$A:$ZZ,,MATCH("Catégorie",'ETPT Format DDG'!2:2,0)),"Magistrat")</f>
      </c>
      <c r="M74" s="74">
        <f>IF(AND(OR(LEFT(C74,3)="12.",LEFT(E74,3)="12.",LEFT(E74,5)="CET &gt;", IFERROR(L74/$L$6,"")=0),NOT(AND(LEFT(E74,4)="12.8",IFERROR(G74/$G$6,"")&lt;&gt;0)),NOT(AND(LEFT(E74,5)="12.31",IFERROR(L74/$G$6,"")&lt;&gt;0)),NOT(AND(LEFT(E74,5)="12.32",IFERROR(L74/$G$6,"")&lt;&gt;0))),"", IFERROR(L74/$L$6,""))</f>
      </c>
      <c r="N74" s="73">
        <f>SUMIFS(
INDEX('ETPT Format DDG'!$A:$ZZ,,IFERROR(MATCH(E74,'ETPT Format DDG'!$2:$2,0),MATCH(C74,'ETPT Format DDG'!$2:$2,0))),
INDEX( 'ETPT Format DDG'!$A:$ZZ,,MATCH("Fonction agrégat",'ETPT Format DDG'!2:2,0)),"F-TIT",
INDEX( 'ETPT Format DDG'!$A:$ZZ,,MATCH("Juridiction",'ETPT Format DDG'!2:2,0)),$A$3)</f>
      </c>
      <c r="O74" s="72">
        <f>IF(AND(OR(LEFT(C74,3)="12.",LEFT(E74,3)="12.",LEFT(E74,5)="CET &gt;",IFERROR(N74/$N$6,"")=0),NOT(AND(LEFT(E74,4)="12.8",IFERROR(G74/$G$6,"")&lt;&gt;0)),NOT(AND(LEFT(E74,5)="12.31",IFERROR(N74/$G$6,"")&lt;&gt;0)),NOT(AND(LEFT(E74,5)="12.32",IFERROR(N74/$G$6,"")&lt;&gt;0))),"",IFERROR(N74/$N$6,""))</f>
      </c>
      <c r="P74" s="73">
        <f>SUMIFS(
INDEX('ETPT Format DDG'!$A:$FB,,IFERROR(MATCH(E74,'ETPT Format DDG'!$2:$2,0),MATCH(C74,'ETPT Format DDG'!$2:$2,0))),
INDEX( 'ETPT Format DDG'!$A:$ZZ,,MATCH("Fonction agrégat",'ETPT Format DDG'!2:2,0)),"F-PLAC-ADD",
INDEX( 'ETPT Format DDG'!$A:$ZZ,,MATCH("Juridiction",'ETPT Format DDG'!2:2,0)),$A$3)</f>
      </c>
      <c r="Q74" s="73">
        <f>SUMIFS(
INDEX('ETPT Format DDG'!$A:$FB,,IFERROR(MATCH(E74,'ETPT Format DDG'!$2:$2,0),MATCH(C74,'ETPT Format DDG'!$2:$2,0))),
INDEX( 'ETPT Format DDG'!$A:$ZZ,,MATCH("Fonction agrégat",'ETPT Format DDG'!2:2,0)),"F-PLAC-SUB",
INDEX( 'ETPT Format DDG'!$A:$ZZ,,MATCH("Juridiction",'ETPT Format DDG'!2:2,0)),$A$3)</f>
      </c>
      <c r="R74" s="73">
        <f>SUMIFS(
INDEX('ETPT Format DDG'!$A:$FB,,IFERROR(MATCH(E74,'ETPT Format DDG'!$2:$2,0),MATCH(C74,'ETPT Format DDG'!$2:$2,0))),
INDEX( 'ETPT Format DDG'!$A:$ZZ,,MATCH("Fonction agrégat",'ETPT Format DDG'!2:2,0)),"C",
'ETPT Format DDG'!$H:$H,"Greffe",
INDEX( 'ETPT Format DDG'!$A:$ZZ,,MATCH("Juridiction",'ETPT Format DDG'!2:2,0)),$A$3)</f>
      </c>
      <c r="S74" s="71">
        <f>SUMIFS(
INDEX('ETPT Format DDG'!$A:$FB,,IFERROR(MATCH(E74,'ETPT Format DDG'!$2:$2,0),MATCH(C74,'ETPT Format DDG'!$2:$2,0))),
INDEX( 'ETPT Format DDG'!$A:$ZZ,,MATCH("Catégorie",'ETPT Format DDG'!2:2,0)),"Greffe",
INDEX( 'ETPT Format DDG'!$A:$ZZ,,MATCH("Juridiction",'ETPT Format DDG'!2:2,0)),$A$3)</f>
      </c>
      <c r="T74" s="72">
        <f>IF(AND(OR(LEFT(C74,3)="12.",LEFT(E74,3)="12.",LEFT(E74,5)="CET &gt;",IFERROR(S74/$S$6,"")=0),NOT(AND(LEFT(E74,4)="12.8",IFERROR(G74/$G$6,"")&lt;&gt;0)),NOT(AND(LEFT(E74,5)="12.31",IFERROR(S74/$G$6,"")&lt;&gt;0)),NOT(AND(LEFT(E74,5)="12.32",IFERROR(S74/$G$6,"")&lt;&gt;0))),"", IFERROR(S74/$S$6,""))</f>
      </c>
      <c r="U74" s="71">
        <f>SUMIFS(
INDEX('ETPT Format DDG'!$A:$FB,,IFERROR(MATCH(E74,'ETPT Format DDG'!$2:$2,0),MATCH(C74,'ETPT Format DDG'!$2:$2,0))),
INDEX( 'ETPT Format DDG'!$A:$ZZ,,MATCH("Fonction agrégat",'ETPT Format DDG'!2:2,0)),"C",
INDEX( 'ETPT Format DDG'!$A:$ZZ,,MATCH("Juridiction",'ETPT Format DDG'!2:2,0)),$A$3,
INDEX( 'ETPT Format DDG'!$A:$ZZ,,MATCH("Catégorie",'ETPT Format DDG'!2:2,0)),"Autour du magistrat")</f>
      </c>
      <c r="V74" s="74">
        <f>IF(AND(OR(LEFT(C74,3)="12.",LEFT(E74,3)="12.",LEFT(E74,5)="CET &gt;",IFERROR(U74/$U$6,"")=0),NOT(AND(LEFT(E74,4)="12.8",IFERROR(G74/$G$6,"")&lt;&gt;0)),NOT(AND(LEFT(E74,5)="12.31",IFERROR(U74/$G$6,"")&lt;&gt;0)),NOT(AND(LEFT(E74,5)="12.32",IFERROR(U74/$G$6,"")&lt;&gt;0))),"", IFERROR(U74/$U$6,""))</f>
      </c>
    </row>
    <row r="75" ht="16" customHeight="1" spans="1:23" x14ac:dyDescent="0.25">
      <c r="A75" s="40"/>
      <c r="C75" s="68"/>
      <c r="D75" s="68"/>
      <c r="E75" s="69" t="s">
        <v>110</v>
      </c>
      <c r="F75" s="70" t="s">
        <v>110</v>
      </c>
      <c r="G75" s="71">
        <f>SUMIFS(
INDEX('ETPT Format DDG'!$A:$ZZ,,IFERROR(MATCH(E75,'ETPT Format DDG'!$2:$2,0),MATCH(C75,'ETPT Format DDG'!$2:$2,0))),
INDEX( 'ETPT Format DDG'!$A:$ZZ,,MATCH("Fonction agrégat",'ETPT Format DDG'!2:2,0)),"M-TIT",
INDEX( 'ETPT Format DDG'!$A:$ZZ,,MATCH("Juridiction",'ETPT Format DDG'!2:2,0)),$A$3)</f>
      </c>
      <c r="H75" s="72">
        <f>IF(AND(OR(LEFT(C75,3)="12.",LEFT(E75,3)="12.",LEFT(E75,5)="CET &gt;",IFERROR(G75/$G$6,"")=0),NOT(AND(LEFT(E75,4)="12.8",IFERROR(G75/$G$6,"")&lt;&gt;0)),NOT(AND(LEFT(E75,5)="12.31",IFERROR(G75/$G$6,"")&lt;&gt;0)),NOT(AND(LEFT(E75,5)="12.32",IFERROR(G75/$G$6,"")&lt;&gt;0))),"", IFERROR(G75/$G$6,""))</f>
      </c>
      <c r="I75" s="73">
        <f>SUMIFS(
INDEX('ETPT Format DDG'!$A:$ZZ,,IFERROR(MATCH(E75,'ETPT Format DDG'!$2:$2,0),MATCH(C75,'ETPT Format DDG'!$2:$2,0))),
INDEX( 'ETPT Format DDG'!$A:$ZZ,,MATCH("Fonction agrégat",'ETPT Format DDG'!2:2,0)),"M-PLAC-ADD",
INDEX( 'ETPT Format DDG'!$A:$ZZ,,MATCH("Juridiction",'ETPT Format DDG'!2:2,0)),$A$3)</f>
      </c>
      <c r="J75" s="73">
        <f>SUMIFS(
INDEX('ETPT Format DDG'!$A:$ZZ,,IFERROR(MATCH(E75,'ETPT Format DDG'!$2:$2,0),MATCH(C75,'ETPT Format DDG'!$2:$2,0))),
INDEX( 'ETPT Format DDG'!$A:$ZZ,,MATCH("Fonction agrégat",'ETPT Format DDG'!2:2,0)),"M-PLAC-SUB",
INDEX( 'ETPT Format DDG'!$A:$ZZ,,MATCH("Juridiction",'ETPT Format DDG'!2:2,0)),$A$3)</f>
      </c>
      <c r="K75" s="73">
        <f>SUMIFS(
INDEX('ETPT Format DDG'!$A:$ZZ,,IFERROR(MATCH(E75,'ETPT Format DDG'!$2:$2,0),MATCH(C75,'ETPT Format DDG'!$2:$2,0))),
INDEX( 'ETPT Format DDG'!$A:$ZZ,,MATCH("Fonction agrégat",'ETPT Format DDG'!2:2,0)),"M-CONT",
INDEX( 'ETPT Format DDG'!$A:$ZZ,,MATCH("Juridiction",'ETPT Format DDG'!2:2,0)),$A$3,
INDEX( 'ETPT Format DDG'!$A:$ZZ,,MATCH("Catégorie",'ETPT Format DDG'!2:2,0)),"Magistrat")</f>
      </c>
      <c r="L75" s="71">
        <f>SUMIFS(
INDEX('ETPT Format DDG'!$A:$ZZ,,IFERROR(MATCH(E75,'ETPT Format DDG'!$2:$2,0),MATCH(C75,'ETPT Format DDG'!$2:$2,0))),
INDEX( 'ETPT Format DDG'!$A:$ZZ,,MATCH("Juridiction",'ETPT Format DDG'!2:2,0)),$A$3,
INDEX( 'ETPT Format DDG'!$A:$ZZ,,MATCH("Catégorie",'ETPT Format DDG'!2:2,0)),"Magistrat")</f>
      </c>
      <c r="M75" s="74">
        <f>IF(AND(OR(LEFT(C75,3)="12.",LEFT(E75,3)="12.",LEFT(E75,5)="CET &gt;", IFERROR(L75/$L$6,"")=0),NOT(AND(LEFT(E75,4)="12.8",IFERROR(G75/$G$6,"")&lt;&gt;0)),NOT(AND(LEFT(E75,5)="12.31",IFERROR(L75/$G$6,"")&lt;&gt;0)),NOT(AND(LEFT(E75,5)="12.32",IFERROR(L75/$G$6,"")&lt;&gt;0))),"", IFERROR(L75/$L$6,""))</f>
      </c>
      <c r="N75" s="73">
        <f>SUMIFS(
INDEX('ETPT Format DDG'!$A:$ZZ,,IFERROR(MATCH(E75,'ETPT Format DDG'!$2:$2,0),MATCH(C75,'ETPT Format DDG'!$2:$2,0))),
INDEX( 'ETPT Format DDG'!$A:$ZZ,,MATCH("Fonction agrégat",'ETPT Format DDG'!2:2,0)),"F-TIT",
INDEX( 'ETPT Format DDG'!$A:$ZZ,,MATCH("Juridiction",'ETPT Format DDG'!2:2,0)),$A$3)</f>
      </c>
      <c r="O75" s="72">
        <f>IF(AND(OR(LEFT(C75,3)="12.",LEFT(E75,3)="12.",LEFT(E75,5)="CET &gt;",IFERROR(N75/$N$6,"")=0),NOT(AND(LEFT(E75,4)="12.8",IFERROR(G75/$G$6,"")&lt;&gt;0)),NOT(AND(LEFT(E75,5)="12.31",IFERROR(N75/$G$6,"")&lt;&gt;0)),NOT(AND(LEFT(E75,5)="12.32",IFERROR(N75/$G$6,"")&lt;&gt;0))),"",IFERROR(N75/$N$6,""))</f>
      </c>
      <c r="P75" s="73">
        <f>SUMIFS(
INDEX('ETPT Format DDG'!$A:$FB,,IFERROR(MATCH(E75,'ETPT Format DDG'!$2:$2,0),MATCH(C75,'ETPT Format DDG'!$2:$2,0))),
INDEX( 'ETPT Format DDG'!$A:$ZZ,,MATCH("Fonction agrégat",'ETPT Format DDG'!2:2,0)),"F-PLAC-ADD",
INDEX( 'ETPT Format DDG'!$A:$ZZ,,MATCH("Juridiction",'ETPT Format DDG'!2:2,0)),$A$3)</f>
      </c>
      <c r="Q75" s="73">
        <f>SUMIFS(
INDEX('ETPT Format DDG'!$A:$FB,,IFERROR(MATCH(E75,'ETPT Format DDG'!$2:$2,0),MATCH(C75,'ETPT Format DDG'!$2:$2,0))),
INDEX( 'ETPT Format DDG'!$A:$ZZ,,MATCH("Fonction agrégat",'ETPT Format DDG'!2:2,0)),"F-PLAC-SUB",
INDEX( 'ETPT Format DDG'!$A:$ZZ,,MATCH("Juridiction",'ETPT Format DDG'!2:2,0)),$A$3)</f>
      </c>
      <c r="R75" s="73">
        <f>SUMIFS(
INDEX('ETPT Format DDG'!$A:$FB,,IFERROR(MATCH(E75,'ETPT Format DDG'!$2:$2,0),MATCH(C75,'ETPT Format DDG'!$2:$2,0))),
INDEX( 'ETPT Format DDG'!$A:$ZZ,,MATCH("Fonction agrégat",'ETPT Format DDG'!2:2,0)),"C",
'ETPT Format DDG'!$H:$H,"Greffe",
INDEX( 'ETPT Format DDG'!$A:$ZZ,,MATCH("Juridiction",'ETPT Format DDG'!2:2,0)),$A$3)</f>
      </c>
      <c r="S75" s="71">
        <f>SUMIFS(
INDEX('ETPT Format DDG'!$A:$FB,,IFERROR(MATCH(E75,'ETPT Format DDG'!$2:$2,0),MATCH(C75,'ETPT Format DDG'!$2:$2,0))),
INDEX( 'ETPT Format DDG'!$A:$ZZ,,MATCH("Catégorie",'ETPT Format DDG'!2:2,0)),"Greffe",
INDEX( 'ETPT Format DDG'!$A:$ZZ,,MATCH("Juridiction",'ETPT Format DDG'!2:2,0)),$A$3)</f>
      </c>
      <c r="T75" s="72">
        <f>IF(AND(OR(LEFT(C75,3)="12.",LEFT(E75,3)="12.",LEFT(E75,5)="CET &gt;",IFERROR(S75/$S$6,"")=0),NOT(AND(LEFT(E75,4)="12.8",IFERROR(G75/$G$6,"")&lt;&gt;0)),NOT(AND(LEFT(E75,5)="12.31",IFERROR(S75/$G$6,"")&lt;&gt;0)),NOT(AND(LEFT(E75,5)="12.32",IFERROR(S75/$G$6,"")&lt;&gt;0))),"", IFERROR(S75/$S$6,""))</f>
      </c>
      <c r="U75" s="71">
        <f>SUMIFS(
INDEX('ETPT Format DDG'!$A:$FB,,IFERROR(MATCH(E75,'ETPT Format DDG'!$2:$2,0),MATCH(C75,'ETPT Format DDG'!$2:$2,0))),
INDEX( 'ETPT Format DDG'!$A:$ZZ,,MATCH("Fonction agrégat",'ETPT Format DDG'!2:2,0)),"C",
INDEX( 'ETPT Format DDG'!$A:$ZZ,,MATCH("Juridiction",'ETPT Format DDG'!2:2,0)),$A$3,
INDEX( 'ETPT Format DDG'!$A:$ZZ,,MATCH("Catégorie",'ETPT Format DDG'!2:2,0)),"Autour du magistrat")</f>
      </c>
      <c r="V75" s="74">
        <f>IF(AND(OR(LEFT(C75,3)="12.",LEFT(E75,3)="12.",LEFT(E75,5)="CET &gt;",IFERROR(U75/$U$6,"")=0),NOT(AND(LEFT(E75,4)="12.8",IFERROR(G75/$G$6,"")&lt;&gt;0)),NOT(AND(LEFT(E75,5)="12.31",IFERROR(U75/$G$6,"")&lt;&gt;0)),NOT(AND(LEFT(E75,5)="12.32",IFERROR(U75/$G$6,"")&lt;&gt;0))),"", IFERROR(U75/$U$6,""))</f>
      </c>
    </row>
    <row r="76" ht="16" customHeight="1" spans="1:23" x14ac:dyDescent="0.25">
      <c r="A76" s="40"/>
      <c r="C76" s="68" t="s">
        <v>111</v>
      </c>
      <c r="D76" s="68" t="s">
        <v>111</v>
      </c>
      <c r="E76" s="69"/>
      <c r="F76" s="70"/>
      <c r="G76" s="71">
        <f>SUMIFS(
INDEX('ETPT Format DDG'!$A:$ZZ,,IFERROR(MATCH(E76,'ETPT Format DDG'!$2:$2,0),MATCH(C76,'ETPT Format DDG'!$2:$2,0))),
INDEX( 'ETPT Format DDG'!$A:$ZZ,,MATCH("Fonction agrégat",'ETPT Format DDG'!2:2,0)),"M-TIT",
INDEX( 'ETPT Format DDG'!$A:$ZZ,,MATCH("Juridiction",'ETPT Format DDG'!2:2,0)),$A$3)</f>
      </c>
      <c r="H76" s="72">
        <f>IF(AND(OR(LEFT(C76,3)="12.",LEFT(E76,3)="12.",LEFT(E76,5)="CET &gt;",IFERROR(G76/$G$6,"")=0),NOT(AND(LEFT(E76,4)="12.8",IFERROR(G76/$G$6,"")&lt;&gt;0)),NOT(AND(LEFT(E76,5)="12.31",IFERROR(G76/$G$6,"")&lt;&gt;0)),NOT(AND(LEFT(E76,5)="12.32",IFERROR(G76/$G$6,"")&lt;&gt;0))),"", IFERROR(G76/$G$6,""))</f>
      </c>
      <c r="I76" s="73">
        <f>SUMIFS(
INDEX('ETPT Format DDG'!$A:$ZZ,,IFERROR(MATCH(E76,'ETPT Format DDG'!$2:$2,0),MATCH(C76,'ETPT Format DDG'!$2:$2,0))),
INDEX( 'ETPT Format DDG'!$A:$ZZ,,MATCH("Fonction agrégat",'ETPT Format DDG'!2:2,0)),"M-PLAC-ADD",
INDEX( 'ETPT Format DDG'!$A:$ZZ,,MATCH("Juridiction",'ETPT Format DDG'!2:2,0)),$A$3)</f>
      </c>
      <c r="J76" s="73">
        <f>SUMIFS(
INDEX('ETPT Format DDG'!$A:$ZZ,,IFERROR(MATCH(E76,'ETPT Format DDG'!$2:$2,0),MATCH(C76,'ETPT Format DDG'!$2:$2,0))),
INDEX( 'ETPT Format DDG'!$A:$ZZ,,MATCH("Fonction agrégat",'ETPT Format DDG'!2:2,0)),"M-PLAC-SUB",
INDEX( 'ETPT Format DDG'!$A:$ZZ,,MATCH("Juridiction",'ETPT Format DDG'!2:2,0)),$A$3)</f>
      </c>
      <c r="K76" s="73">
        <f>SUMIFS(
INDEX('ETPT Format DDG'!$A:$ZZ,,IFERROR(MATCH(E76,'ETPT Format DDG'!$2:$2,0),MATCH(C76,'ETPT Format DDG'!$2:$2,0))),
INDEX( 'ETPT Format DDG'!$A:$ZZ,,MATCH("Fonction agrégat",'ETPT Format DDG'!2:2,0)),"M-CONT",
INDEX( 'ETPT Format DDG'!$A:$ZZ,,MATCH("Juridiction",'ETPT Format DDG'!2:2,0)),$A$3,
INDEX( 'ETPT Format DDG'!$A:$ZZ,,MATCH("Catégorie",'ETPT Format DDG'!2:2,0)),"Magistrat")</f>
      </c>
      <c r="L76" s="71">
        <f>SUMIFS(
INDEX('ETPT Format DDG'!$A:$ZZ,,IFERROR(MATCH(E76,'ETPT Format DDG'!$2:$2,0),MATCH(C76,'ETPT Format DDG'!$2:$2,0))),
INDEX( 'ETPT Format DDG'!$A:$ZZ,,MATCH("Juridiction",'ETPT Format DDG'!2:2,0)),$A$3,
INDEX( 'ETPT Format DDG'!$A:$ZZ,,MATCH("Catégorie",'ETPT Format DDG'!2:2,0)),"Magistrat")</f>
      </c>
      <c r="M76" s="74">
        <f>IF(AND(OR(LEFT(C76,3)="12.",LEFT(E76,3)="12.",LEFT(E76,5)="CET &gt;", IFERROR(L76/$L$6,"")=0),NOT(AND(LEFT(E76,4)="12.8",IFERROR(G76/$G$6,"")&lt;&gt;0)),NOT(AND(LEFT(E76,5)="12.31",IFERROR(L76/$G$6,"")&lt;&gt;0)),NOT(AND(LEFT(E76,5)="12.32",IFERROR(L76/$G$6,"")&lt;&gt;0))),"", IFERROR(L76/$L$6,""))</f>
      </c>
      <c r="N76" s="73">
        <f>SUMIFS(
INDEX('ETPT Format DDG'!$A:$ZZ,,IFERROR(MATCH(E76,'ETPT Format DDG'!$2:$2,0),MATCH(C76,'ETPT Format DDG'!$2:$2,0))),
INDEX( 'ETPT Format DDG'!$A:$ZZ,,MATCH("Fonction agrégat",'ETPT Format DDG'!2:2,0)),"F-TIT",
INDEX( 'ETPT Format DDG'!$A:$ZZ,,MATCH("Juridiction",'ETPT Format DDG'!2:2,0)),$A$3)</f>
      </c>
      <c r="O76" s="72">
        <f>IF(AND(OR(LEFT(C76,3)="12.",LEFT(E76,3)="12.",LEFT(E76,5)="CET &gt;",IFERROR(N76/$N$6,"")=0),NOT(AND(LEFT(E76,4)="12.8",IFERROR(G76/$G$6,"")&lt;&gt;0)),NOT(AND(LEFT(E76,5)="12.31",IFERROR(N76/$G$6,"")&lt;&gt;0)),NOT(AND(LEFT(E76,5)="12.32",IFERROR(N76/$G$6,"")&lt;&gt;0))),"",IFERROR(N76/$N$6,""))</f>
      </c>
      <c r="P76" s="73">
        <f>SUMIFS(
INDEX('ETPT Format DDG'!$A:$FB,,IFERROR(MATCH(E76,'ETPT Format DDG'!$2:$2,0),MATCH(C76,'ETPT Format DDG'!$2:$2,0))),
INDEX( 'ETPT Format DDG'!$A:$ZZ,,MATCH("Fonction agrégat",'ETPT Format DDG'!2:2,0)),"F-PLAC-ADD",
INDEX( 'ETPT Format DDG'!$A:$ZZ,,MATCH("Juridiction",'ETPT Format DDG'!2:2,0)),$A$3)</f>
      </c>
      <c r="Q76" s="73">
        <f>SUMIFS(
INDEX('ETPT Format DDG'!$A:$FB,,IFERROR(MATCH(E76,'ETPT Format DDG'!$2:$2,0),MATCH(C76,'ETPT Format DDG'!$2:$2,0))),
INDEX( 'ETPT Format DDG'!$A:$ZZ,,MATCH("Fonction agrégat",'ETPT Format DDG'!2:2,0)),"F-PLAC-SUB",
INDEX( 'ETPT Format DDG'!$A:$ZZ,,MATCH("Juridiction",'ETPT Format DDG'!2:2,0)),$A$3)</f>
      </c>
      <c r="R76" s="73">
        <f>SUMIFS(
INDEX('ETPT Format DDG'!$A:$FB,,IFERROR(MATCH(E76,'ETPT Format DDG'!$2:$2,0),MATCH(C76,'ETPT Format DDG'!$2:$2,0))),
INDEX( 'ETPT Format DDG'!$A:$ZZ,,MATCH("Fonction agrégat",'ETPT Format DDG'!2:2,0)),"C",
'ETPT Format DDG'!$H:$H,"Greffe",
INDEX( 'ETPT Format DDG'!$A:$ZZ,,MATCH("Juridiction",'ETPT Format DDG'!2:2,0)),$A$3)</f>
      </c>
      <c r="S76" s="71">
        <f>SUMIFS(
INDEX('ETPT Format DDG'!$A:$FB,,IFERROR(MATCH(E76,'ETPT Format DDG'!$2:$2,0),MATCH(C76,'ETPT Format DDG'!$2:$2,0))),
INDEX( 'ETPT Format DDG'!$A:$ZZ,,MATCH("Catégorie",'ETPT Format DDG'!2:2,0)),"Greffe",
INDEX( 'ETPT Format DDG'!$A:$ZZ,,MATCH("Juridiction",'ETPT Format DDG'!2:2,0)),$A$3)</f>
      </c>
      <c r="T76" s="72">
        <f>IF(AND(OR(LEFT(C76,3)="12.",LEFT(E76,3)="12.",LEFT(E76,5)="CET &gt;",IFERROR(S76/$S$6,"")=0),NOT(AND(LEFT(E76,4)="12.8",IFERROR(G76/$G$6,"")&lt;&gt;0)),NOT(AND(LEFT(E76,5)="12.31",IFERROR(S76/$G$6,"")&lt;&gt;0)),NOT(AND(LEFT(E76,5)="12.32",IFERROR(S76/$G$6,"")&lt;&gt;0))),"", IFERROR(S76/$S$6,""))</f>
      </c>
      <c r="U76" s="71">
        <f>SUMIFS(
INDEX('ETPT Format DDG'!$A:$FB,,IFERROR(MATCH(E76,'ETPT Format DDG'!$2:$2,0),MATCH(C76,'ETPT Format DDG'!$2:$2,0))),
INDEX( 'ETPT Format DDG'!$A:$ZZ,,MATCH("Fonction agrégat",'ETPT Format DDG'!2:2,0)),"C",
INDEX( 'ETPT Format DDG'!$A:$ZZ,,MATCH("Juridiction",'ETPT Format DDG'!2:2,0)),$A$3,
INDEX( 'ETPT Format DDG'!$A:$ZZ,,MATCH("Catégorie",'ETPT Format DDG'!2:2,0)),"Autour du magistrat")</f>
      </c>
      <c r="V76" s="74">
        <f>IF(AND(OR(LEFT(C76,3)="12.",LEFT(E76,3)="12.",LEFT(E76,5)="CET &gt;",IFERROR(U76/$U$6,"")=0),NOT(AND(LEFT(E76,4)="12.8",IFERROR(G76/$G$6,"")&lt;&gt;0)),NOT(AND(LEFT(E76,5)="12.31",IFERROR(U76/$G$6,"")&lt;&gt;0)),NOT(AND(LEFT(E76,5)="12.32",IFERROR(U76/$G$6,"")&lt;&gt;0))),"", IFERROR(U76/$U$6,""))</f>
      </c>
    </row>
    <row r="77" ht="16" customHeight="1" spans="1:23" x14ac:dyDescent="0.25">
      <c r="A77" s="40"/>
      <c r="C77" s="68"/>
      <c r="D77" s="68"/>
      <c r="E77" s="69" t="s">
        <v>112</v>
      </c>
      <c r="F77" s="70" t="s">
        <v>112</v>
      </c>
      <c r="G77" s="71">
        <f>SUMIFS(
INDEX('ETPT Format DDG'!$A:$ZZ,,IFERROR(MATCH(E77,'ETPT Format DDG'!$2:$2,0),MATCH(C77,'ETPT Format DDG'!$2:$2,0))),
INDEX( 'ETPT Format DDG'!$A:$ZZ,,MATCH("Fonction agrégat",'ETPT Format DDG'!2:2,0)),"M-TIT",
INDEX( 'ETPT Format DDG'!$A:$ZZ,,MATCH("Juridiction",'ETPT Format DDG'!2:2,0)),$A$3)</f>
      </c>
      <c r="H77" s="72">
        <f>IF(AND(OR(LEFT(C77,3)="12.",LEFT(E77,3)="12.",LEFT(E77,5)="CET &gt;",IFERROR(G77/$G$6,"")=0),NOT(AND(LEFT(E77,4)="12.8",IFERROR(G77/$G$6,"")&lt;&gt;0)),NOT(AND(LEFT(E77,5)="12.31",IFERROR(G77/$G$6,"")&lt;&gt;0)),NOT(AND(LEFT(E77,5)="12.32",IFERROR(G77/$G$6,"")&lt;&gt;0))),"", IFERROR(G77/$G$6,""))</f>
      </c>
      <c r="I77" s="73">
        <f>SUMIFS(
INDEX('ETPT Format DDG'!$A:$ZZ,,IFERROR(MATCH(E77,'ETPT Format DDG'!$2:$2,0),MATCH(C77,'ETPT Format DDG'!$2:$2,0))),
INDEX( 'ETPT Format DDG'!$A:$ZZ,,MATCH("Fonction agrégat",'ETPT Format DDG'!2:2,0)),"M-PLAC-ADD",
INDEX( 'ETPT Format DDG'!$A:$ZZ,,MATCH("Juridiction",'ETPT Format DDG'!2:2,0)),$A$3)</f>
      </c>
      <c r="J77" s="73">
        <f>SUMIFS(
INDEX('ETPT Format DDG'!$A:$ZZ,,IFERROR(MATCH(E77,'ETPT Format DDG'!$2:$2,0),MATCH(C77,'ETPT Format DDG'!$2:$2,0))),
INDEX( 'ETPT Format DDG'!$A:$ZZ,,MATCH("Fonction agrégat",'ETPT Format DDG'!2:2,0)),"M-PLAC-SUB",
INDEX( 'ETPT Format DDG'!$A:$ZZ,,MATCH("Juridiction",'ETPT Format DDG'!2:2,0)),$A$3)</f>
      </c>
      <c r="K77" s="73">
        <f>SUMIFS(
INDEX('ETPT Format DDG'!$A:$ZZ,,IFERROR(MATCH(E77,'ETPT Format DDG'!$2:$2,0),MATCH(C77,'ETPT Format DDG'!$2:$2,0))),
INDEX( 'ETPT Format DDG'!$A:$ZZ,,MATCH("Fonction agrégat",'ETPT Format DDG'!2:2,0)),"M-CONT",
INDEX( 'ETPT Format DDG'!$A:$ZZ,,MATCH("Juridiction",'ETPT Format DDG'!2:2,0)),$A$3,
INDEX( 'ETPT Format DDG'!$A:$ZZ,,MATCH("Catégorie",'ETPT Format DDG'!2:2,0)),"Magistrat")</f>
      </c>
      <c r="L77" s="71">
        <f>SUMIFS(
INDEX('ETPT Format DDG'!$A:$ZZ,,IFERROR(MATCH(E77,'ETPT Format DDG'!$2:$2,0),MATCH(C77,'ETPT Format DDG'!$2:$2,0))),
INDEX( 'ETPT Format DDG'!$A:$ZZ,,MATCH("Juridiction",'ETPT Format DDG'!2:2,0)),$A$3,
INDEX( 'ETPT Format DDG'!$A:$ZZ,,MATCH("Catégorie",'ETPT Format DDG'!2:2,0)),"Magistrat")</f>
      </c>
      <c r="M77" s="74">
        <f>IF(AND(OR(LEFT(C77,3)="12.",LEFT(E77,3)="12.",LEFT(E77,5)="CET &gt;", IFERROR(L77/$L$6,"")=0),NOT(AND(LEFT(E77,4)="12.8",IFERROR(G77/$G$6,"")&lt;&gt;0)),NOT(AND(LEFT(E77,5)="12.31",IFERROR(L77/$G$6,"")&lt;&gt;0)),NOT(AND(LEFT(E77,5)="12.32",IFERROR(L77/$G$6,"")&lt;&gt;0))),"", IFERROR(L77/$L$6,""))</f>
      </c>
      <c r="N77" s="73">
        <f>SUMIFS(
INDEX('ETPT Format DDG'!$A:$ZZ,,IFERROR(MATCH(E77,'ETPT Format DDG'!$2:$2,0),MATCH(C77,'ETPT Format DDG'!$2:$2,0))),
INDEX( 'ETPT Format DDG'!$A:$ZZ,,MATCH("Fonction agrégat",'ETPT Format DDG'!2:2,0)),"F-TIT",
INDEX( 'ETPT Format DDG'!$A:$ZZ,,MATCH("Juridiction",'ETPT Format DDG'!2:2,0)),$A$3)</f>
      </c>
      <c r="O77" s="72">
        <f>IF(AND(OR(LEFT(C77,3)="12.",LEFT(E77,3)="12.",LEFT(E77,5)="CET &gt;",IFERROR(N77/$N$6,"")=0),NOT(AND(LEFT(E77,4)="12.8",IFERROR(G77/$G$6,"")&lt;&gt;0)),NOT(AND(LEFT(E77,5)="12.31",IFERROR(N77/$G$6,"")&lt;&gt;0)),NOT(AND(LEFT(E77,5)="12.32",IFERROR(N77/$G$6,"")&lt;&gt;0))),"",IFERROR(N77/$N$6,""))</f>
      </c>
      <c r="P77" s="73">
        <f>SUMIFS(
INDEX('ETPT Format DDG'!$A:$FB,,IFERROR(MATCH(E77,'ETPT Format DDG'!$2:$2,0),MATCH(C77,'ETPT Format DDG'!$2:$2,0))),
INDEX( 'ETPT Format DDG'!$A:$ZZ,,MATCH("Fonction agrégat",'ETPT Format DDG'!2:2,0)),"F-PLAC-ADD",
INDEX( 'ETPT Format DDG'!$A:$ZZ,,MATCH("Juridiction",'ETPT Format DDG'!2:2,0)),$A$3)</f>
      </c>
      <c r="Q77" s="73">
        <f>SUMIFS(
INDEX('ETPT Format DDG'!$A:$FB,,IFERROR(MATCH(E77,'ETPT Format DDG'!$2:$2,0),MATCH(C77,'ETPT Format DDG'!$2:$2,0))),
INDEX( 'ETPT Format DDG'!$A:$ZZ,,MATCH("Fonction agrégat",'ETPT Format DDG'!2:2,0)),"F-PLAC-SUB",
INDEX( 'ETPT Format DDG'!$A:$ZZ,,MATCH("Juridiction",'ETPT Format DDG'!2:2,0)),$A$3)</f>
      </c>
      <c r="R77" s="73">
        <f>SUMIFS(
INDEX('ETPT Format DDG'!$A:$FB,,IFERROR(MATCH(E77,'ETPT Format DDG'!$2:$2,0),MATCH(C77,'ETPT Format DDG'!$2:$2,0))),
INDEX( 'ETPT Format DDG'!$A:$ZZ,,MATCH("Fonction agrégat",'ETPT Format DDG'!2:2,0)),"C",
'ETPT Format DDG'!$H:$H,"Greffe",
INDEX( 'ETPT Format DDG'!$A:$ZZ,,MATCH("Juridiction",'ETPT Format DDG'!2:2,0)),$A$3)</f>
      </c>
      <c r="S77" s="71">
        <f>SUMIFS(
INDEX('ETPT Format DDG'!$A:$FB,,IFERROR(MATCH(E77,'ETPT Format DDG'!$2:$2,0),MATCH(C77,'ETPT Format DDG'!$2:$2,0))),
INDEX( 'ETPT Format DDG'!$A:$ZZ,,MATCH("Catégorie",'ETPT Format DDG'!2:2,0)),"Greffe",
INDEX( 'ETPT Format DDG'!$A:$ZZ,,MATCH("Juridiction",'ETPT Format DDG'!2:2,0)),$A$3)</f>
      </c>
      <c r="T77" s="72">
        <f>IF(AND(OR(LEFT(C77,3)="12.",LEFT(E77,3)="12.",LEFT(E77,5)="CET &gt;",IFERROR(S77/$S$6,"")=0),NOT(AND(LEFT(E77,4)="12.8",IFERROR(G77/$G$6,"")&lt;&gt;0)),NOT(AND(LEFT(E77,5)="12.31",IFERROR(S77/$G$6,"")&lt;&gt;0)),NOT(AND(LEFT(E77,5)="12.32",IFERROR(S77/$G$6,"")&lt;&gt;0))),"", IFERROR(S77/$S$6,""))</f>
      </c>
      <c r="U77" s="71">
        <f>SUMIFS(
INDEX('ETPT Format DDG'!$A:$FB,,IFERROR(MATCH(E77,'ETPT Format DDG'!$2:$2,0),MATCH(C77,'ETPT Format DDG'!$2:$2,0))),
INDEX( 'ETPT Format DDG'!$A:$ZZ,,MATCH("Fonction agrégat",'ETPT Format DDG'!2:2,0)),"C",
INDEX( 'ETPT Format DDG'!$A:$ZZ,,MATCH("Juridiction",'ETPT Format DDG'!2:2,0)),$A$3,
INDEX( 'ETPT Format DDG'!$A:$ZZ,,MATCH("Catégorie",'ETPT Format DDG'!2:2,0)),"Autour du magistrat")</f>
      </c>
      <c r="V77" s="74">
        <f>IF(AND(OR(LEFT(C77,3)="12.",LEFT(E77,3)="12.",LEFT(E77,5)="CET &gt;",IFERROR(U77/$U$6,"")=0),NOT(AND(LEFT(E77,4)="12.8",IFERROR(G77/$G$6,"")&lt;&gt;0)),NOT(AND(LEFT(E77,5)="12.31",IFERROR(U77/$G$6,"")&lt;&gt;0)),NOT(AND(LEFT(E77,5)="12.32",IFERROR(U77/$G$6,"")&lt;&gt;0))),"", IFERROR(U77/$U$6,""))</f>
      </c>
    </row>
    <row r="78" ht="16" customHeight="1" spans="1:23" x14ac:dyDescent="0.25">
      <c r="A78" s="40"/>
      <c r="C78" s="68"/>
      <c r="D78" s="68"/>
      <c r="E78" s="69" t="s">
        <v>113</v>
      </c>
      <c r="F78" s="70" t="s">
        <v>113</v>
      </c>
      <c r="G78" s="71">
        <f>SUMIFS(
INDEX('ETPT Format DDG'!$A:$ZZ,,IFERROR(MATCH(E78,'ETPT Format DDG'!$2:$2,0),MATCH(C78,'ETPT Format DDG'!$2:$2,0))),
INDEX( 'ETPT Format DDG'!$A:$ZZ,,MATCH("Fonction agrégat",'ETPT Format DDG'!2:2,0)),"M-TIT",
INDEX( 'ETPT Format DDG'!$A:$ZZ,,MATCH("Juridiction",'ETPT Format DDG'!2:2,0)),$A$3)</f>
      </c>
      <c r="H78" s="72">
        <f>IF(AND(OR(LEFT(C78,3)="12.",LEFT(E78,3)="12.",LEFT(E78,5)="CET &gt;",IFERROR(G78/$G$6,"")=0),NOT(AND(LEFT(E78,4)="12.8",IFERROR(G78/$G$6,"")&lt;&gt;0)),NOT(AND(LEFT(E78,5)="12.31",IFERROR(G78/$G$6,"")&lt;&gt;0)),NOT(AND(LEFT(E78,5)="12.32",IFERROR(G78/$G$6,"")&lt;&gt;0))),"", IFERROR(G78/$G$6,""))</f>
      </c>
      <c r="I78" s="73">
        <f>SUMIFS(
INDEX('ETPT Format DDG'!$A:$ZZ,,IFERROR(MATCH(E78,'ETPT Format DDG'!$2:$2,0),MATCH(C78,'ETPT Format DDG'!$2:$2,0))),
INDEX( 'ETPT Format DDG'!$A:$ZZ,,MATCH("Fonction agrégat",'ETPT Format DDG'!2:2,0)),"M-PLAC-ADD",
INDEX( 'ETPT Format DDG'!$A:$ZZ,,MATCH("Juridiction",'ETPT Format DDG'!2:2,0)),$A$3)</f>
      </c>
      <c r="J78" s="73">
        <f>SUMIFS(
INDEX('ETPT Format DDG'!$A:$ZZ,,IFERROR(MATCH(E78,'ETPT Format DDG'!$2:$2,0),MATCH(C78,'ETPT Format DDG'!$2:$2,0))),
INDEX( 'ETPT Format DDG'!$A:$ZZ,,MATCH("Fonction agrégat",'ETPT Format DDG'!2:2,0)),"M-PLAC-SUB",
INDEX( 'ETPT Format DDG'!$A:$ZZ,,MATCH("Juridiction",'ETPT Format DDG'!2:2,0)),$A$3)</f>
      </c>
      <c r="K78" s="73">
        <f>SUMIFS(
INDEX('ETPT Format DDG'!$A:$ZZ,,IFERROR(MATCH(E78,'ETPT Format DDG'!$2:$2,0),MATCH(C78,'ETPT Format DDG'!$2:$2,0))),
INDEX( 'ETPT Format DDG'!$A:$ZZ,,MATCH("Fonction agrégat",'ETPT Format DDG'!2:2,0)),"M-CONT",
INDEX( 'ETPT Format DDG'!$A:$ZZ,,MATCH("Juridiction",'ETPT Format DDG'!2:2,0)),$A$3,
INDEX( 'ETPT Format DDG'!$A:$ZZ,,MATCH("Catégorie",'ETPT Format DDG'!2:2,0)),"Magistrat")</f>
      </c>
      <c r="L78" s="71">
        <f>SUMIFS(
INDEX('ETPT Format DDG'!$A:$ZZ,,IFERROR(MATCH(E78,'ETPT Format DDG'!$2:$2,0),MATCH(C78,'ETPT Format DDG'!$2:$2,0))),
INDEX( 'ETPT Format DDG'!$A:$ZZ,,MATCH("Juridiction",'ETPT Format DDG'!2:2,0)),$A$3,
INDEX( 'ETPT Format DDG'!$A:$ZZ,,MATCH("Catégorie",'ETPT Format DDG'!2:2,0)),"Magistrat")</f>
      </c>
      <c r="M78" s="74">
        <f>IF(AND(OR(LEFT(C78,3)="12.",LEFT(E78,3)="12.",LEFT(E78,5)="CET &gt;", IFERROR(L78/$L$6,"")=0),NOT(AND(LEFT(E78,4)="12.8",IFERROR(G78/$G$6,"")&lt;&gt;0)),NOT(AND(LEFT(E78,5)="12.31",IFERROR(L78/$G$6,"")&lt;&gt;0)),NOT(AND(LEFT(E78,5)="12.32",IFERROR(L78/$G$6,"")&lt;&gt;0))),"", IFERROR(L78/$L$6,""))</f>
      </c>
      <c r="N78" s="73">
        <f>SUMIFS(
INDEX('ETPT Format DDG'!$A:$ZZ,,IFERROR(MATCH(E78,'ETPT Format DDG'!$2:$2,0),MATCH(C78,'ETPT Format DDG'!$2:$2,0))),
INDEX( 'ETPT Format DDG'!$A:$ZZ,,MATCH("Fonction agrégat",'ETPT Format DDG'!2:2,0)),"F-TIT",
INDEX( 'ETPT Format DDG'!$A:$ZZ,,MATCH("Juridiction",'ETPT Format DDG'!2:2,0)),$A$3)</f>
      </c>
      <c r="O78" s="72">
        <f>IF(AND(OR(LEFT(C78,3)="12.",LEFT(E78,3)="12.",LEFT(E78,5)="CET &gt;",IFERROR(N78/$N$6,"")=0),NOT(AND(LEFT(E78,4)="12.8",IFERROR(G78/$G$6,"")&lt;&gt;0)),NOT(AND(LEFT(E78,5)="12.31",IFERROR(N78/$G$6,"")&lt;&gt;0)),NOT(AND(LEFT(E78,5)="12.32",IFERROR(N78/$G$6,"")&lt;&gt;0))),"",IFERROR(N78/$N$6,""))</f>
      </c>
      <c r="P78" s="73">
        <f>SUMIFS(
INDEX('ETPT Format DDG'!$A:$FB,,IFERROR(MATCH(E78,'ETPT Format DDG'!$2:$2,0),MATCH(C78,'ETPT Format DDG'!$2:$2,0))),
INDEX( 'ETPT Format DDG'!$A:$ZZ,,MATCH("Fonction agrégat",'ETPT Format DDG'!2:2,0)),"F-PLAC-ADD",
INDEX( 'ETPT Format DDG'!$A:$ZZ,,MATCH("Juridiction",'ETPT Format DDG'!2:2,0)),$A$3)</f>
      </c>
      <c r="Q78" s="73">
        <f>SUMIFS(
INDEX('ETPT Format DDG'!$A:$FB,,IFERROR(MATCH(E78,'ETPT Format DDG'!$2:$2,0),MATCH(C78,'ETPT Format DDG'!$2:$2,0))),
INDEX( 'ETPT Format DDG'!$A:$ZZ,,MATCH("Fonction agrégat",'ETPT Format DDG'!2:2,0)),"F-PLAC-SUB",
INDEX( 'ETPT Format DDG'!$A:$ZZ,,MATCH("Juridiction",'ETPT Format DDG'!2:2,0)),$A$3)</f>
      </c>
      <c r="R78" s="73">
        <f>SUMIFS(
INDEX('ETPT Format DDG'!$A:$FB,,IFERROR(MATCH(E78,'ETPT Format DDG'!$2:$2,0),MATCH(C78,'ETPT Format DDG'!$2:$2,0))),
INDEX( 'ETPT Format DDG'!$A:$ZZ,,MATCH("Fonction agrégat",'ETPT Format DDG'!2:2,0)),"C",
'ETPT Format DDG'!$H:$H,"Greffe",
INDEX( 'ETPT Format DDG'!$A:$ZZ,,MATCH("Juridiction",'ETPT Format DDG'!2:2,0)),$A$3)</f>
      </c>
      <c r="S78" s="71">
        <f>SUMIFS(
INDEX('ETPT Format DDG'!$A:$FB,,IFERROR(MATCH(E78,'ETPT Format DDG'!$2:$2,0),MATCH(C78,'ETPT Format DDG'!$2:$2,0))),
INDEX( 'ETPT Format DDG'!$A:$ZZ,,MATCH("Catégorie",'ETPT Format DDG'!2:2,0)),"Greffe",
INDEX( 'ETPT Format DDG'!$A:$ZZ,,MATCH("Juridiction",'ETPT Format DDG'!2:2,0)),$A$3)</f>
      </c>
      <c r="T78" s="72">
        <f>IF(AND(OR(LEFT(C78,3)="12.",LEFT(E78,3)="12.",LEFT(E78,5)="CET &gt;",IFERROR(S78/$S$6,"")=0),NOT(AND(LEFT(E78,4)="12.8",IFERROR(G78/$G$6,"")&lt;&gt;0)),NOT(AND(LEFT(E78,5)="12.31",IFERROR(S78/$G$6,"")&lt;&gt;0)),NOT(AND(LEFT(E78,5)="12.32",IFERROR(S78/$G$6,"")&lt;&gt;0))),"", IFERROR(S78/$S$6,""))</f>
      </c>
      <c r="U78" s="71">
        <f>SUMIFS(
INDEX('ETPT Format DDG'!$A:$FB,,IFERROR(MATCH(E78,'ETPT Format DDG'!$2:$2,0),MATCH(C78,'ETPT Format DDG'!$2:$2,0))),
INDEX( 'ETPT Format DDG'!$A:$ZZ,,MATCH("Fonction agrégat",'ETPT Format DDG'!2:2,0)),"C",
INDEX( 'ETPT Format DDG'!$A:$ZZ,,MATCH("Juridiction",'ETPT Format DDG'!2:2,0)),$A$3,
INDEX( 'ETPT Format DDG'!$A:$ZZ,,MATCH("Catégorie",'ETPT Format DDG'!2:2,0)),"Autour du magistrat")</f>
      </c>
      <c r="V78" s="74">
        <f>IF(AND(OR(LEFT(C78,3)="12.",LEFT(E78,3)="12.",LEFT(E78,5)="CET &gt;",IFERROR(U78/$U$6,"")=0),NOT(AND(LEFT(E78,4)="12.8",IFERROR(G78/$G$6,"")&lt;&gt;0)),NOT(AND(LEFT(E78,5)="12.31",IFERROR(U78/$G$6,"")&lt;&gt;0)),NOT(AND(LEFT(E78,5)="12.32",IFERROR(U78/$G$6,"")&lt;&gt;0))),"", IFERROR(U78/$U$6,""))</f>
      </c>
    </row>
    <row r="79" ht="16" customHeight="1" spans="1:23" x14ac:dyDescent="0.25">
      <c r="A79" s="40"/>
      <c r="C79" s="68"/>
      <c r="D79" s="68"/>
      <c r="E79" s="69" t="s">
        <v>114</v>
      </c>
      <c r="F79" s="70" t="s">
        <v>114</v>
      </c>
      <c r="G79" s="71">
        <f>SUMIFS(
INDEX('ETPT Format DDG'!$A:$ZZ,,IFERROR(MATCH(E79,'ETPT Format DDG'!$2:$2,0),MATCH(C79,'ETPT Format DDG'!$2:$2,0))),
INDEX( 'ETPT Format DDG'!$A:$ZZ,,MATCH("Fonction agrégat",'ETPT Format DDG'!2:2,0)),"M-TIT",
INDEX( 'ETPT Format DDG'!$A:$ZZ,,MATCH("Juridiction",'ETPT Format DDG'!2:2,0)),$A$3)</f>
      </c>
      <c r="H79" s="72">
        <f>IF(AND(OR(LEFT(C79,3)="12.",LEFT(E79,3)="12.",LEFT(E79,5)="CET &gt;",IFERROR(G79/$G$6,"")=0),NOT(AND(LEFT(E79,4)="12.8",IFERROR(G79/$G$6,"")&lt;&gt;0)),NOT(AND(LEFT(E79,5)="12.31",IFERROR(G79/$G$6,"")&lt;&gt;0)),NOT(AND(LEFT(E79,5)="12.32",IFERROR(G79/$G$6,"")&lt;&gt;0))),"", IFERROR(G79/$G$6,""))</f>
      </c>
      <c r="I79" s="73">
        <f>SUMIFS(
INDEX('ETPT Format DDG'!$A:$ZZ,,IFERROR(MATCH(E79,'ETPT Format DDG'!$2:$2,0),MATCH(C79,'ETPT Format DDG'!$2:$2,0))),
INDEX( 'ETPT Format DDG'!$A:$ZZ,,MATCH("Fonction agrégat",'ETPT Format DDG'!2:2,0)),"M-PLAC-ADD",
INDEX( 'ETPT Format DDG'!$A:$ZZ,,MATCH("Juridiction",'ETPT Format DDG'!2:2,0)),$A$3)</f>
      </c>
      <c r="J79" s="73">
        <f>SUMIFS(
INDEX('ETPT Format DDG'!$A:$ZZ,,IFERROR(MATCH(E79,'ETPT Format DDG'!$2:$2,0),MATCH(C79,'ETPT Format DDG'!$2:$2,0))),
INDEX( 'ETPT Format DDG'!$A:$ZZ,,MATCH("Fonction agrégat",'ETPT Format DDG'!2:2,0)),"M-PLAC-SUB",
INDEX( 'ETPT Format DDG'!$A:$ZZ,,MATCH("Juridiction",'ETPT Format DDG'!2:2,0)),$A$3)</f>
      </c>
      <c r="K79" s="73">
        <f>SUMIFS(
INDEX('ETPT Format DDG'!$A:$ZZ,,IFERROR(MATCH(E79,'ETPT Format DDG'!$2:$2,0),MATCH(C79,'ETPT Format DDG'!$2:$2,0))),
INDEX( 'ETPT Format DDG'!$A:$ZZ,,MATCH("Fonction agrégat",'ETPT Format DDG'!2:2,0)),"M-CONT",
INDEX( 'ETPT Format DDG'!$A:$ZZ,,MATCH("Juridiction",'ETPT Format DDG'!2:2,0)),$A$3,
INDEX( 'ETPT Format DDG'!$A:$ZZ,,MATCH("Catégorie",'ETPT Format DDG'!2:2,0)),"Magistrat")</f>
      </c>
      <c r="L79" s="71">
        <f>SUMIFS(
INDEX('ETPT Format DDG'!$A:$ZZ,,IFERROR(MATCH(E79,'ETPT Format DDG'!$2:$2,0),MATCH(C79,'ETPT Format DDG'!$2:$2,0))),
INDEX( 'ETPT Format DDG'!$A:$ZZ,,MATCH("Juridiction",'ETPT Format DDG'!2:2,0)),$A$3,
INDEX( 'ETPT Format DDG'!$A:$ZZ,,MATCH("Catégorie",'ETPT Format DDG'!2:2,0)),"Magistrat")</f>
      </c>
      <c r="M79" s="74">
        <f>IF(AND(OR(LEFT(C79,3)="12.",LEFT(E79,3)="12.",LEFT(E79,5)="CET &gt;", IFERROR(L79/$L$6,"")=0),NOT(AND(LEFT(E79,4)="12.8",IFERROR(G79/$G$6,"")&lt;&gt;0)),NOT(AND(LEFT(E79,5)="12.31",IFERROR(L79/$G$6,"")&lt;&gt;0)),NOT(AND(LEFT(E79,5)="12.32",IFERROR(L79/$G$6,"")&lt;&gt;0))),"", IFERROR(L79/$L$6,""))</f>
      </c>
      <c r="N79" s="73">
        <f>SUMIFS(
INDEX('ETPT Format DDG'!$A:$ZZ,,IFERROR(MATCH(E79,'ETPT Format DDG'!$2:$2,0),MATCH(C79,'ETPT Format DDG'!$2:$2,0))),
INDEX( 'ETPT Format DDG'!$A:$ZZ,,MATCH("Fonction agrégat",'ETPT Format DDG'!2:2,0)),"F-TIT",
INDEX( 'ETPT Format DDG'!$A:$ZZ,,MATCH("Juridiction",'ETPT Format DDG'!2:2,0)),$A$3)</f>
      </c>
      <c r="O79" s="72">
        <f>IF(AND(OR(LEFT(C79,3)="12.",LEFT(E79,3)="12.",LEFT(E79,5)="CET &gt;",IFERROR(N79/$N$6,"")=0),NOT(AND(LEFT(E79,4)="12.8",IFERROR(G79/$G$6,"")&lt;&gt;0)),NOT(AND(LEFT(E79,5)="12.31",IFERROR(N79/$G$6,"")&lt;&gt;0)),NOT(AND(LEFT(E79,5)="12.32",IFERROR(N79/$G$6,"")&lt;&gt;0))),"",IFERROR(N79/$N$6,""))</f>
      </c>
      <c r="P79" s="73">
        <f>SUMIFS(
INDEX('ETPT Format DDG'!$A:$FB,,IFERROR(MATCH(E79,'ETPT Format DDG'!$2:$2,0),MATCH(C79,'ETPT Format DDG'!$2:$2,0))),
INDEX( 'ETPT Format DDG'!$A:$ZZ,,MATCH("Fonction agrégat",'ETPT Format DDG'!2:2,0)),"F-PLAC-ADD",
INDEX( 'ETPT Format DDG'!$A:$ZZ,,MATCH("Juridiction",'ETPT Format DDG'!2:2,0)),$A$3)</f>
      </c>
      <c r="Q79" s="73">
        <f>SUMIFS(
INDEX('ETPT Format DDG'!$A:$FB,,IFERROR(MATCH(E79,'ETPT Format DDG'!$2:$2,0),MATCH(C79,'ETPT Format DDG'!$2:$2,0))),
INDEX( 'ETPT Format DDG'!$A:$ZZ,,MATCH("Fonction agrégat",'ETPT Format DDG'!2:2,0)),"F-PLAC-SUB",
INDEX( 'ETPT Format DDG'!$A:$ZZ,,MATCH("Juridiction",'ETPT Format DDG'!2:2,0)),$A$3)</f>
      </c>
      <c r="R79" s="73">
        <f>SUMIFS(
INDEX('ETPT Format DDG'!$A:$FB,,IFERROR(MATCH(E79,'ETPT Format DDG'!$2:$2,0),MATCH(C79,'ETPT Format DDG'!$2:$2,0))),
INDEX( 'ETPT Format DDG'!$A:$ZZ,,MATCH("Fonction agrégat",'ETPT Format DDG'!2:2,0)),"C",
'ETPT Format DDG'!$H:$H,"Greffe",
INDEX( 'ETPT Format DDG'!$A:$ZZ,,MATCH("Juridiction",'ETPT Format DDG'!2:2,0)),$A$3)</f>
      </c>
      <c r="S79" s="71">
        <f>SUMIFS(
INDEX('ETPT Format DDG'!$A:$FB,,IFERROR(MATCH(E79,'ETPT Format DDG'!$2:$2,0),MATCH(C79,'ETPT Format DDG'!$2:$2,0))),
INDEX( 'ETPT Format DDG'!$A:$ZZ,,MATCH("Catégorie",'ETPT Format DDG'!2:2,0)),"Greffe",
INDEX( 'ETPT Format DDG'!$A:$ZZ,,MATCH("Juridiction",'ETPT Format DDG'!2:2,0)),$A$3)</f>
      </c>
      <c r="T79" s="72">
        <f>IF(AND(OR(LEFT(C79,3)="12.",LEFT(E79,3)="12.",LEFT(E79,5)="CET &gt;",IFERROR(S79/$S$6,"")=0),NOT(AND(LEFT(E79,4)="12.8",IFERROR(G79/$G$6,"")&lt;&gt;0)),NOT(AND(LEFT(E79,5)="12.31",IFERROR(S79/$G$6,"")&lt;&gt;0)),NOT(AND(LEFT(E79,5)="12.32",IFERROR(S79/$G$6,"")&lt;&gt;0))),"", IFERROR(S79/$S$6,""))</f>
      </c>
      <c r="U79" s="71">
        <f>SUMIFS(
INDEX('ETPT Format DDG'!$A:$FB,,IFERROR(MATCH(E79,'ETPT Format DDG'!$2:$2,0),MATCH(C79,'ETPT Format DDG'!$2:$2,0))),
INDEX( 'ETPT Format DDG'!$A:$ZZ,,MATCH("Fonction agrégat",'ETPT Format DDG'!2:2,0)),"C",
INDEX( 'ETPT Format DDG'!$A:$ZZ,,MATCH("Juridiction",'ETPT Format DDG'!2:2,0)),$A$3,
INDEX( 'ETPT Format DDG'!$A:$ZZ,,MATCH("Catégorie",'ETPT Format DDG'!2:2,0)),"Autour du magistrat")</f>
      </c>
      <c r="V79" s="74">
        <f>IF(AND(OR(LEFT(C79,3)="12.",LEFT(E79,3)="12.",LEFT(E79,5)="CET &gt;",IFERROR(U79/$U$6,"")=0),NOT(AND(LEFT(E79,4)="12.8",IFERROR(G79/$G$6,"")&lt;&gt;0)),NOT(AND(LEFT(E79,5)="12.31",IFERROR(U79/$G$6,"")&lt;&gt;0)),NOT(AND(LEFT(E79,5)="12.32",IFERROR(U79/$G$6,"")&lt;&gt;0))),"", IFERROR(U79/$U$6,""))</f>
      </c>
    </row>
    <row r="80" ht="16" customHeight="1" spans="1:23" x14ac:dyDescent="0.25">
      <c r="A80" s="40"/>
      <c r="C80" s="68"/>
      <c r="D80" s="68"/>
      <c r="E80" s="69" t="s">
        <v>115</v>
      </c>
      <c r="F80" s="70" t="s">
        <v>115</v>
      </c>
      <c r="G80" s="71">
        <f>SUMIFS(
INDEX('ETPT Format DDG'!$A:$ZZ,,IFERROR(MATCH(E80,'ETPT Format DDG'!$2:$2,0),MATCH(C80,'ETPT Format DDG'!$2:$2,0))),
INDEX( 'ETPT Format DDG'!$A:$ZZ,,MATCH("Fonction agrégat",'ETPT Format DDG'!2:2,0)),"M-TIT",
INDEX( 'ETPT Format DDG'!$A:$ZZ,,MATCH("Juridiction",'ETPT Format DDG'!2:2,0)),$A$3)</f>
      </c>
      <c r="H80" s="72">
        <f>IF(AND(OR(LEFT(C80,3)="12.",LEFT(E80,3)="12.",LEFT(E80,5)="CET &gt;",IFERROR(G80/$G$6,"")=0),NOT(AND(LEFT(E80,4)="12.8",IFERROR(G80/$G$6,"")&lt;&gt;0)),NOT(AND(LEFT(E80,5)="12.31",IFERROR(G80/$G$6,"")&lt;&gt;0)),NOT(AND(LEFT(E80,5)="12.32",IFERROR(G80/$G$6,"")&lt;&gt;0))),"", IFERROR(G80/$G$6,""))</f>
      </c>
      <c r="I80" s="73">
        <f>SUMIFS(
INDEX('ETPT Format DDG'!$A:$ZZ,,IFERROR(MATCH(E80,'ETPT Format DDG'!$2:$2,0),MATCH(C80,'ETPT Format DDG'!$2:$2,0))),
INDEX( 'ETPT Format DDG'!$A:$ZZ,,MATCH("Fonction agrégat",'ETPT Format DDG'!2:2,0)),"M-PLAC-ADD",
INDEX( 'ETPT Format DDG'!$A:$ZZ,,MATCH("Juridiction",'ETPT Format DDG'!2:2,0)),$A$3)</f>
      </c>
      <c r="J80" s="73">
        <f>SUMIFS(
INDEX('ETPT Format DDG'!$A:$ZZ,,IFERROR(MATCH(E80,'ETPT Format DDG'!$2:$2,0),MATCH(C80,'ETPT Format DDG'!$2:$2,0))),
INDEX( 'ETPT Format DDG'!$A:$ZZ,,MATCH("Fonction agrégat",'ETPT Format DDG'!2:2,0)),"M-PLAC-SUB",
INDEX( 'ETPT Format DDG'!$A:$ZZ,,MATCH("Juridiction",'ETPT Format DDG'!2:2,0)),$A$3)</f>
      </c>
      <c r="K80" s="73">
        <f>SUMIFS(
INDEX('ETPT Format DDG'!$A:$ZZ,,IFERROR(MATCH(E80,'ETPT Format DDG'!$2:$2,0),MATCH(C80,'ETPT Format DDG'!$2:$2,0))),
INDEX( 'ETPT Format DDG'!$A:$ZZ,,MATCH("Fonction agrégat",'ETPT Format DDG'!2:2,0)),"M-CONT",
INDEX( 'ETPT Format DDG'!$A:$ZZ,,MATCH("Juridiction",'ETPT Format DDG'!2:2,0)),$A$3,
INDEX( 'ETPT Format DDG'!$A:$ZZ,,MATCH("Catégorie",'ETPT Format DDG'!2:2,0)),"Magistrat")</f>
      </c>
      <c r="L80" s="71">
        <f>SUMIFS(
INDEX('ETPT Format DDG'!$A:$ZZ,,IFERROR(MATCH(E80,'ETPT Format DDG'!$2:$2,0),MATCH(C80,'ETPT Format DDG'!$2:$2,0))),
INDEX( 'ETPT Format DDG'!$A:$ZZ,,MATCH("Juridiction",'ETPT Format DDG'!2:2,0)),$A$3,
INDEX( 'ETPT Format DDG'!$A:$ZZ,,MATCH("Catégorie",'ETPT Format DDG'!2:2,0)),"Magistrat")</f>
      </c>
      <c r="M80" s="74">
        <f>IF(AND(OR(LEFT(C80,3)="12.",LEFT(E80,3)="12.",LEFT(E80,5)="CET &gt;", IFERROR(L80/$L$6,"")=0),NOT(AND(LEFT(E80,4)="12.8",IFERROR(G80/$G$6,"")&lt;&gt;0)),NOT(AND(LEFT(E80,5)="12.31",IFERROR(L80/$G$6,"")&lt;&gt;0)),NOT(AND(LEFT(E80,5)="12.32",IFERROR(L80/$G$6,"")&lt;&gt;0))),"", IFERROR(L80/$L$6,""))</f>
      </c>
      <c r="N80" s="73">
        <f>SUMIFS(
INDEX('ETPT Format DDG'!$A:$ZZ,,IFERROR(MATCH(E80,'ETPT Format DDG'!$2:$2,0),MATCH(C80,'ETPT Format DDG'!$2:$2,0))),
INDEX( 'ETPT Format DDG'!$A:$ZZ,,MATCH("Fonction agrégat",'ETPT Format DDG'!2:2,0)),"F-TIT",
INDEX( 'ETPT Format DDG'!$A:$ZZ,,MATCH("Juridiction",'ETPT Format DDG'!2:2,0)),$A$3)</f>
      </c>
      <c r="O80" s="72">
        <f>IF(AND(OR(LEFT(C80,3)="12.",LEFT(E80,3)="12.",LEFT(E80,5)="CET &gt;",IFERROR(N80/$N$6,"")=0),NOT(AND(LEFT(E80,4)="12.8",IFERROR(G80/$G$6,"")&lt;&gt;0)),NOT(AND(LEFT(E80,5)="12.31",IFERROR(N80/$G$6,"")&lt;&gt;0)),NOT(AND(LEFT(E80,5)="12.32",IFERROR(N80/$G$6,"")&lt;&gt;0))),"",IFERROR(N80/$N$6,""))</f>
      </c>
      <c r="P80" s="73">
        <f>SUMIFS(
INDEX('ETPT Format DDG'!$A:$FB,,IFERROR(MATCH(E80,'ETPT Format DDG'!$2:$2,0),MATCH(C80,'ETPT Format DDG'!$2:$2,0))),
INDEX( 'ETPT Format DDG'!$A:$ZZ,,MATCH("Fonction agrégat",'ETPT Format DDG'!2:2,0)),"F-PLAC-ADD",
INDEX( 'ETPT Format DDG'!$A:$ZZ,,MATCH("Juridiction",'ETPT Format DDG'!2:2,0)),$A$3)</f>
      </c>
      <c r="Q80" s="73">
        <f>SUMIFS(
INDEX('ETPT Format DDG'!$A:$FB,,IFERROR(MATCH(E80,'ETPT Format DDG'!$2:$2,0),MATCH(C80,'ETPT Format DDG'!$2:$2,0))),
INDEX( 'ETPT Format DDG'!$A:$ZZ,,MATCH("Fonction agrégat",'ETPT Format DDG'!2:2,0)),"F-PLAC-SUB",
INDEX( 'ETPT Format DDG'!$A:$ZZ,,MATCH("Juridiction",'ETPT Format DDG'!2:2,0)),$A$3)</f>
      </c>
      <c r="R80" s="73">
        <f>SUMIFS(
INDEX('ETPT Format DDG'!$A:$FB,,IFERROR(MATCH(E80,'ETPT Format DDG'!$2:$2,0),MATCH(C80,'ETPT Format DDG'!$2:$2,0))),
INDEX( 'ETPT Format DDG'!$A:$ZZ,,MATCH("Fonction agrégat",'ETPT Format DDG'!2:2,0)),"C",
'ETPT Format DDG'!$H:$H,"Greffe",
INDEX( 'ETPT Format DDG'!$A:$ZZ,,MATCH("Juridiction",'ETPT Format DDG'!2:2,0)),$A$3)</f>
      </c>
      <c r="S80" s="71">
        <f>SUMIFS(
INDEX('ETPT Format DDG'!$A:$FB,,IFERROR(MATCH(E80,'ETPT Format DDG'!$2:$2,0),MATCH(C80,'ETPT Format DDG'!$2:$2,0))),
INDEX( 'ETPT Format DDG'!$A:$ZZ,,MATCH("Catégorie",'ETPT Format DDG'!2:2,0)),"Greffe",
INDEX( 'ETPT Format DDG'!$A:$ZZ,,MATCH("Juridiction",'ETPT Format DDG'!2:2,0)),$A$3)</f>
      </c>
      <c r="T80" s="72">
        <f>IF(AND(OR(LEFT(C80,3)="12.",LEFT(E80,3)="12.",LEFT(E80,5)="CET &gt;",IFERROR(S80/$S$6,"")=0),NOT(AND(LEFT(E80,4)="12.8",IFERROR(G80/$G$6,"")&lt;&gt;0)),NOT(AND(LEFT(E80,5)="12.31",IFERROR(S80/$G$6,"")&lt;&gt;0)),NOT(AND(LEFT(E80,5)="12.32",IFERROR(S80/$G$6,"")&lt;&gt;0))),"", IFERROR(S80/$S$6,""))</f>
      </c>
      <c r="U80" s="71">
        <f>SUMIFS(
INDEX('ETPT Format DDG'!$A:$FB,,IFERROR(MATCH(E80,'ETPT Format DDG'!$2:$2,0),MATCH(C80,'ETPT Format DDG'!$2:$2,0))),
INDEX( 'ETPT Format DDG'!$A:$ZZ,,MATCH("Fonction agrégat",'ETPT Format DDG'!2:2,0)),"C",
INDEX( 'ETPT Format DDG'!$A:$ZZ,,MATCH("Juridiction",'ETPT Format DDG'!2:2,0)),$A$3,
INDEX( 'ETPT Format DDG'!$A:$ZZ,,MATCH("Catégorie",'ETPT Format DDG'!2:2,0)),"Autour du magistrat")</f>
      </c>
      <c r="V80" s="74">
        <f>IF(AND(OR(LEFT(C80,3)="12.",LEFT(E80,3)="12.",LEFT(E80,5)="CET &gt;",IFERROR(U80/$U$6,"")=0),NOT(AND(LEFT(E80,4)="12.8",IFERROR(G80/$G$6,"")&lt;&gt;0)),NOT(AND(LEFT(E80,5)="12.31",IFERROR(U80/$G$6,"")&lt;&gt;0)),NOT(AND(LEFT(E80,5)="12.32",IFERROR(U80/$G$6,"")&lt;&gt;0))),"", IFERROR(U80/$U$6,""))</f>
      </c>
    </row>
    <row r="81" ht="16" customHeight="1" spans="1:23" x14ac:dyDescent="0.25">
      <c r="A81" s="40"/>
      <c r="C81" s="68"/>
      <c r="D81" s="68"/>
      <c r="E81" s="69" t="s">
        <v>116</v>
      </c>
      <c r="F81" s="70" t="s">
        <v>116</v>
      </c>
      <c r="G81" s="71">
        <f>SUMIFS(
INDEX('ETPT Format DDG'!$A:$ZZ,,IFERROR(MATCH(E81,'ETPT Format DDG'!$2:$2,0),MATCH(C81,'ETPT Format DDG'!$2:$2,0))),
INDEX( 'ETPT Format DDG'!$A:$ZZ,,MATCH("Fonction agrégat",'ETPT Format DDG'!2:2,0)),"M-TIT",
INDEX( 'ETPT Format DDG'!$A:$ZZ,,MATCH("Juridiction",'ETPT Format DDG'!2:2,0)),$A$3)</f>
      </c>
      <c r="H81" s="72">
        <f>IF(AND(OR(LEFT(C81,3)="12.",LEFT(E81,3)="12.",LEFT(E81,5)="CET &gt;",IFERROR(G81/$G$6,"")=0),NOT(AND(LEFT(E81,4)="12.8",IFERROR(G81/$G$6,"")&lt;&gt;0)),NOT(AND(LEFT(E81,5)="12.31",IFERROR(G81/$G$6,"")&lt;&gt;0)),NOT(AND(LEFT(E81,5)="12.32",IFERROR(G81/$G$6,"")&lt;&gt;0))),"", IFERROR(G81/$G$6,""))</f>
      </c>
      <c r="I81" s="73">
        <f>SUMIFS(
INDEX('ETPT Format DDG'!$A:$ZZ,,IFERROR(MATCH(E81,'ETPT Format DDG'!$2:$2,0),MATCH(C81,'ETPT Format DDG'!$2:$2,0))),
INDEX( 'ETPT Format DDG'!$A:$ZZ,,MATCH("Fonction agrégat",'ETPT Format DDG'!2:2,0)),"M-PLAC-ADD",
INDEX( 'ETPT Format DDG'!$A:$ZZ,,MATCH("Juridiction",'ETPT Format DDG'!2:2,0)),$A$3)</f>
      </c>
      <c r="J81" s="73">
        <f>SUMIFS(
INDEX('ETPT Format DDG'!$A:$ZZ,,IFERROR(MATCH(E81,'ETPT Format DDG'!$2:$2,0),MATCH(C81,'ETPT Format DDG'!$2:$2,0))),
INDEX( 'ETPT Format DDG'!$A:$ZZ,,MATCH("Fonction agrégat",'ETPT Format DDG'!2:2,0)),"M-PLAC-SUB",
INDEX( 'ETPT Format DDG'!$A:$ZZ,,MATCH("Juridiction",'ETPT Format DDG'!2:2,0)),$A$3)</f>
      </c>
      <c r="K81" s="73">
        <f>SUMIFS(
INDEX('ETPT Format DDG'!$A:$ZZ,,IFERROR(MATCH(E81,'ETPT Format DDG'!$2:$2,0),MATCH(C81,'ETPT Format DDG'!$2:$2,0))),
INDEX( 'ETPT Format DDG'!$A:$ZZ,,MATCH("Fonction agrégat",'ETPT Format DDG'!2:2,0)),"M-CONT",
INDEX( 'ETPT Format DDG'!$A:$ZZ,,MATCH("Juridiction",'ETPT Format DDG'!2:2,0)),$A$3,
INDEX( 'ETPT Format DDG'!$A:$ZZ,,MATCH("Catégorie",'ETPT Format DDG'!2:2,0)),"Magistrat")</f>
      </c>
      <c r="L81" s="71">
        <f>SUMIFS(
INDEX('ETPT Format DDG'!$A:$ZZ,,IFERROR(MATCH(E81,'ETPT Format DDG'!$2:$2,0),MATCH(C81,'ETPT Format DDG'!$2:$2,0))),
INDEX( 'ETPT Format DDG'!$A:$ZZ,,MATCH("Juridiction",'ETPT Format DDG'!2:2,0)),$A$3,
INDEX( 'ETPT Format DDG'!$A:$ZZ,,MATCH("Catégorie",'ETPT Format DDG'!2:2,0)),"Magistrat")</f>
      </c>
      <c r="M81" s="74">
        <f>IF(AND(OR(LEFT(C81,3)="12.",LEFT(E81,3)="12.",LEFT(E81,5)="CET &gt;", IFERROR(L81/$L$6,"")=0),NOT(AND(LEFT(E81,4)="12.8",IFERROR(G81/$G$6,"")&lt;&gt;0)),NOT(AND(LEFT(E81,5)="12.31",IFERROR(L81/$G$6,"")&lt;&gt;0)),NOT(AND(LEFT(E81,5)="12.32",IFERROR(L81/$G$6,"")&lt;&gt;0))),"", IFERROR(L81/$L$6,""))</f>
      </c>
      <c r="N81" s="73">
        <f>SUMIFS(
INDEX('ETPT Format DDG'!$A:$ZZ,,IFERROR(MATCH(E81,'ETPT Format DDG'!$2:$2,0),MATCH(C81,'ETPT Format DDG'!$2:$2,0))),
INDEX( 'ETPT Format DDG'!$A:$ZZ,,MATCH("Fonction agrégat",'ETPT Format DDG'!2:2,0)),"F-TIT",
INDEX( 'ETPT Format DDG'!$A:$ZZ,,MATCH("Juridiction",'ETPT Format DDG'!2:2,0)),$A$3)</f>
      </c>
      <c r="O81" s="72">
        <f>IF(AND(OR(LEFT(C81,3)="12.",LEFT(E81,3)="12.",LEFT(E81,5)="CET &gt;",IFERROR(N81/$N$6,"")=0),NOT(AND(LEFT(E81,4)="12.8",IFERROR(G81/$G$6,"")&lt;&gt;0)),NOT(AND(LEFT(E81,5)="12.31",IFERROR(N81/$G$6,"")&lt;&gt;0)),NOT(AND(LEFT(E81,5)="12.32",IFERROR(N81/$G$6,"")&lt;&gt;0))),"",IFERROR(N81/$N$6,""))</f>
      </c>
      <c r="P81" s="73">
        <f>SUMIFS(
INDEX('ETPT Format DDG'!$A:$FB,,IFERROR(MATCH(E81,'ETPT Format DDG'!$2:$2,0),MATCH(C81,'ETPT Format DDG'!$2:$2,0))),
INDEX( 'ETPT Format DDG'!$A:$ZZ,,MATCH("Fonction agrégat",'ETPT Format DDG'!2:2,0)),"F-PLAC-ADD",
INDEX( 'ETPT Format DDG'!$A:$ZZ,,MATCH("Juridiction",'ETPT Format DDG'!2:2,0)),$A$3)</f>
      </c>
      <c r="Q81" s="73">
        <f>SUMIFS(
INDEX('ETPT Format DDG'!$A:$FB,,IFERROR(MATCH(E81,'ETPT Format DDG'!$2:$2,0),MATCH(C81,'ETPT Format DDG'!$2:$2,0))),
INDEX( 'ETPT Format DDG'!$A:$ZZ,,MATCH("Fonction agrégat",'ETPT Format DDG'!2:2,0)),"F-PLAC-SUB",
INDEX( 'ETPT Format DDG'!$A:$ZZ,,MATCH("Juridiction",'ETPT Format DDG'!2:2,0)),$A$3)</f>
      </c>
      <c r="R81" s="73">
        <f>SUMIFS(
INDEX('ETPT Format DDG'!$A:$FB,,IFERROR(MATCH(E81,'ETPT Format DDG'!$2:$2,0),MATCH(C81,'ETPT Format DDG'!$2:$2,0))),
INDEX( 'ETPT Format DDG'!$A:$ZZ,,MATCH("Fonction agrégat",'ETPT Format DDG'!2:2,0)),"C",
'ETPT Format DDG'!$H:$H,"Greffe",
INDEX( 'ETPT Format DDG'!$A:$ZZ,,MATCH("Juridiction",'ETPT Format DDG'!2:2,0)),$A$3)</f>
      </c>
      <c r="S81" s="71">
        <f>SUMIFS(
INDEX('ETPT Format DDG'!$A:$FB,,IFERROR(MATCH(E81,'ETPT Format DDG'!$2:$2,0),MATCH(C81,'ETPT Format DDG'!$2:$2,0))),
INDEX( 'ETPT Format DDG'!$A:$ZZ,,MATCH("Catégorie",'ETPT Format DDG'!2:2,0)),"Greffe",
INDEX( 'ETPT Format DDG'!$A:$ZZ,,MATCH("Juridiction",'ETPT Format DDG'!2:2,0)),$A$3)</f>
      </c>
      <c r="T81" s="72">
        <f>IF(AND(OR(LEFT(C81,3)="12.",LEFT(E81,3)="12.",LEFT(E81,5)="CET &gt;",IFERROR(S81/$S$6,"")=0),NOT(AND(LEFT(E81,4)="12.8",IFERROR(G81/$G$6,"")&lt;&gt;0)),NOT(AND(LEFT(E81,5)="12.31",IFERROR(S81/$G$6,"")&lt;&gt;0)),NOT(AND(LEFT(E81,5)="12.32",IFERROR(S81/$G$6,"")&lt;&gt;0))),"", IFERROR(S81/$S$6,""))</f>
      </c>
      <c r="U81" s="71">
        <f>SUMIFS(
INDEX('ETPT Format DDG'!$A:$FB,,IFERROR(MATCH(E81,'ETPT Format DDG'!$2:$2,0),MATCH(C81,'ETPT Format DDG'!$2:$2,0))),
INDEX( 'ETPT Format DDG'!$A:$ZZ,,MATCH("Fonction agrégat",'ETPT Format DDG'!2:2,0)),"C",
INDEX( 'ETPT Format DDG'!$A:$ZZ,,MATCH("Juridiction",'ETPT Format DDG'!2:2,0)),$A$3,
INDEX( 'ETPT Format DDG'!$A:$ZZ,,MATCH("Catégorie",'ETPT Format DDG'!2:2,0)),"Autour du magistrat")</f>
      </c>
      <c r="V81" s="74">
        <f>IF(AND(OR(LEFT(C81,3)="12.",LEFT(E81,3)="12.",LEFT(E81,5)="CET &gt;",IFERROR(U81/$U$6,"")=0),NOT(AND(LEFT(E81,4)="12.8",IFERROR(G81/$G$6,"")&lt;&gt;0)),NOT(AND(LEFT(E81,5)="12.31",IFERROR(U81/$G$6,"")&lt;&gt;0)),NOT(AND(LEFT(E81,5)="12.32",IFERROR(U81/$G$6,"")&lt;&gt;0))),"", IFERROR(U81/$U$6,""))</f>
      </c>
    </row>
    <row r="82" ht="16" customHeight="1" spans="1:23" x14ac:dyDescent="0.25">
      <c r="A82" s="40"/>
      <c r="C82" s="68" t="s">
        <v>117</v>
      </c>
      <c r="D82" s="68" t="s">
        <v>117</v>
      </c>
      <c r="E82" s="69"/>
      <c r="F82" s="70"/>
      <c r="G82" s="71">
        <f>SUMIFS(
INDEX('ETPT Format DDG'!$A:$ZZ,,IFERROR(MATCH(E82,'ETPT Format DDG'!$2:$2,0),MATCH(C82,'ETPT Format DDG'!$2:$2,0))),
INDEX( 'ETPT Format DDG'!$A:$ZZ,,MATCH("Fonction agrégat",'ETPT Format DDG'!2:2,0)),"M-TIT",
INDEX( 'ETPT Format DDG'!$A:$ZZ,,MATCH("Juridiction",'ETPT Format DDG'!2:2,0)),$A$3)</f>
      </c>
      <c r="H82" s="72">
        <f>IF(AND(OR(LEFT(C82,3)="12.",LEFT(E82,3)="12.",LEFT(E82,5)="CET &gt;",IFERROR(G82/$G$6,"")=0),NOT(AND(LEFT(E82,4)="12.8",IFERROR(G82/$G$6,"")&lt;&gt;0)),NOT(AND(LEFT(E82,5)="12.31",IFERROR(G82/$G$6,"")&lt;&gt;0)),NOT(AND(LEFT(E82,5)="12.32",IFERROR(G82/$G$6,"")&lt;&gt;0))),"", IFERROR(G82/$G$6,""))</f>
      </c>
      <c r="I82" s="73">
        <f>SUMIFS(
INDEX('ETPT Format DDG'!$A:$ZZ,,IFERROR(MATCH(E82,'ETPT Format DDG'!$2:$2,0),MATCH(C82,'ETPT Format DDG'!$2:$2,0))),
INDEX( 'ETPT Format DDG'!$A:$ZZ,,MATCH("Fonction agrégat",'ETPT Format DDG'!2:2,0)),"M-PLAC-ADD",
INDEX( 'ETPT Format DDG'!$A:$ZZ,,MATCH("Juridiction",'ETPT Format DDG'!2:2,0)),$A$3)</f>
      </c>
      <c r="J82" s="73">
        <f>SUMIFS(
INDEX('ETPT Format DDG'!$A:$ZZ,,IFERROR(MATCH(E82,'ETPT Format DDG'!$2:$2,0),MATCH(C82,'ETPT Format DDG'!$2:$2,0))),
INDEX( 'ETPT Format DDG'!$A:$ZZ,,MATCH("Fonction agrégat",'ETPT Format DDG'!2:2,0)),"M-PLAC-SUB",
INDEX( 'ETPT Format DDG'!$A:$ZZ,,MATCH("Juridiction",'ETPT Format DDG'!2:2,0)),$A$3)</f>
      </c>
      <c r="K82" s="73">
        <f>SUMIFS(
INDEX('ETPT Format DDG'!$A:$ZZ,,IFERROR(MATCH(E82,'ETPT Format DDG'!$2:$2,0),MATCH(C82,'ETPT Format DDG'!$2:$2,0))),
INDEX( 'ETPT Format DDG'!$A:$ZZ,,MATCH("Fonction agrégat",'ETPT Format DDG'!2:2,0)),"M-CONT",
INDEX( 'ETPT Format DDG'!$A:$ZZ,,MATCH("Juridiction",'ETPT Format DDG'!2:2,0)),$A$3,
INDEX( 'ETPT Format DDG'!$A:$ZZ,,MATCH("Catégorie",'ETPT Format DDG'!2:2,0)),"Magistrat")</f>
      </c>
      <c r="L82" s="71">
        <f>SUMIFS(
INDEX('ETPT Format DDG'!$A:$ZZ,,IFERROR(MATCH(E82,'ETPT Format DDG'!$2:$2,0),MATCH(C82,'ETPT Format DDG'!$2:$2,0))),
INDEX( 'ETPT Format DDG'!$A:$ZZ,,MATCH("Juridiction",'ETPT Format DDG'!2:2,0)),$A$3,
INDEX( 'ETPT Format DDG'!$A:$ZZ,,MATCH("Catégorie",'ETPT Format DDG'!2:2,0)),"Magistrat")</f>
      </c>
      <c r="M82" s="74">
        <f>IF(AND(OR(LEFT(C82,3)="12.",LEFT(E82,3)="12.",LEFT(E82,5)="CET &gt;", IFERROR(L82/$L$6,"")=0),NOT(AND(LEFT(E82,4)="12.8",IFERROR(G82/$G$6,"")&lt;&gt;0)),NOT(AND(LEFT(E82,5)="12.31",IFERROR(L82/$G$6,"")&lt;&gt;0)),NOT(AND(LEFT(E82,5)="12.32",IFERROR(L82/$G$6,"")&lt;&gt;0))),"", IFERROR(L82/$L$6,""))</f>
      </c>
      <c r="N82" s="73">
        <f>SUMIFS(
INDEX('ETPT Format DDG'!$A:$ZZ,,IFERROR(MATCH(E82,'ETPT Format DDG'!$2:$2,0),MATCH(C82,'ETPT Format DDG'!$2:$2,0))),
INDEX( 'ETPT Format DDG'!$A:$ZZ,,MATCH("Fonction agrégat",'ETPT Format DDG'!2:2,0)),"F-TIT",
INDEX( 'ETPT Format DDG'!$A:$ZZ,,MATCH("Juridiction",'ETPT Format DDG'!2:2,0)),$A$3)</f>
      </c>
      <c r="O82" s="72">
        <f>IF(AND(OR(LEFT(C82,3)="12.",LEFT(E82,3)="12.",LEFT(E82,5)="CET &gt;",IFERROR(N82/$N$6,"")=0),NOT(AND(LEFT(E82,4)="12.8",IFERROR(G82/$G$6,"")&lt;&gt;0)),NOT(AND(LEFT(E82,5)="12.31",IFERROR(N82/$G$6,"")&lt;&gt;0)),NOT(AND(LEFT(E82,5)="12.32",IFERROR(N82/$G$6,"")&lt;&gt;0))),"",IFERROR(N82/$N$6,""))</f>
      </c>
      <c r="P82" s="73">
        <f>SUMIFS(
INDEX('ETPT Format DDG'!$A:$FB,,IFERROR(MATCH(E82,'ETPT Format DDG'!$2:$2,0),MATCH(C82,'ETPT Format DDG'!$2:$2,0))),
INDEX( 'ETPT Format DDG'!$A:$ZZ,,MATCH("Fonction agrégat",'ETPT Format DDG'!2:2,0)),"F-PLAC-ADD",
INDEX( 'ETPT Format DDG'!$A:$ZZ,,MATCH("Juridiction",'ETPT Format DDG'!2:2,0)),$A$3)</f>
      </c>
      <c r="Q82" s="73">
        <f>SUMIFS(
INDEX('ETPT Format DDG'!$A:$FB,,IFERROR(MATCH(E82,'ETPT Format DDG'!$2:$2,0),MATCH(C82,'ETPT Format DDG'!$2:$2,0))),
INDEX( 'ETPT Format DDG'!$A:$ZZ,,MATCH("Fonction agrégat",'ETPT Format DDG'!2:2,0)),"F-PLAC-SUB",
INDEX( 'ETPT Format DDG'!$A:$ZZ,,MATCH("Juridiction",'ETPT Format DDG'!2:2,0)),$A$3)</f>
      </c>
      <c r="R82" s="73">
        <f>SUMIFS(
INDEX('ETPT Format DDG'!$A:$FB,,IFERROR(MATCH(E82,'ETPT Format DDG'!$2:$2,0),MATCH(C82,'ETPT Format DDG'!$2:$2,0))),
INDEX( 'ETPT Format DDG'!$A:$ZZ,,MATCH("Fonction agrégat",'ETPT Format DDG'!2:2,0)),"C",
'ETPT Format DDG'!$H:$H,"Greffe",
INDEX( 'ETPT Format DDG'!$A:$ZZ,,MATCH("Juridiction",'ETPT Format DDG'!2:2,0)),$A$3)</f>
      </c>
      <c r="S82" s="71">
        <f>SUMIFS(
INDEX('ETPT Format DDG'!$A:$FB,,IFERROR(MATCH(E82,'ETPT Format DDG'!$2:$2,0),MATCH(C82,'ETPT Format DDG'!$2:$2,0))),
INDEX( 'ETPT Format DDG'!$A:$ZZ,,MATCH("Catégorie",'ETPT Format DDG'!2:2,0)),"Greffe",
INDEX( 'ETPT Format DDG'!$A:$ZZ,,MATCH("Juridiction",'ETPT Format DDG'!2:2,0)),$A$3)</f>
      </c>
      <c r="T82" s="72">
        <f>IF(AND(OR(LEFT(C82,3)="12.",LEFT(E82,3)="12.",LEFT(E82,5)="CET &gt;",IFERROR(S82/$S$6,"")=0),NOT(AND(LEFT(E82,4)="12.8",IFERROR(G82/$G$6,"")&lt;&gt;0)),NOT(AND(LEFT(E82,5)="12.31",IFERROR(S82/$G$6,"")&lt;&gt;0)),NOT(AND(LEFT(E82,5)="12.32",IFERROR(S82/$G$6,"")&lt;&gt;0))),"", IFERROR(S82/$S$6,""))</f>
      </c>
      <c r="U82" s="71">
        <f>SUMIFS(
INDEX('ETPT Format DDG'!$A:$FB,,IFERROR(MATCH(E82,'ETPT Format DDG'!$2:$2,0),MATCH(C82,'ETPT Format DDG'!$2:$2,0))),
INDEX( 'ETPT Format DDG'!$A:$ZZ,,MATCH("Fonction agrégat",'ETPT Format DDG'!2:2,0)),"C",
INDEX( 'ETPT Format DDG'!$A:$ZZ,,MATCH("Juridiction",'ETPT Format DDG'!2:2,0)),$A$3,
INDEX( 'ETPT Format DDG'!$A:$ZZ,,MATCH("Catégorie",'ETPT Format DDG'!2:2,0)),"Autour du magistrat")</f>
      </c>
      <c r="V82" s="74">
        <f>IF(AND(OR(LEFT(C82,3)="12.",LEFT(E82,3)="12.",LEFT(E82,5)="CET &gt;",IFERROR(U82/$U$6,"")=0),NOT(AND(LEFT(E82,4)="12.8",IFERROR(G82/$G$6,"")&lt;&gt;0)),NOT(AND(LEFT(E82,5)="12.31",IFERROR(U82/$G$6,"")&lt;&gt;0)),NOT(AND(LEFT(E82,5)="12.32",IFERROR(U82/$G$6,"")&lt;&gt;0))),"", IFERROR(U82/$U$6,""))</f>
      </c>
    </row>
    <row r="83" ht="16" customHeight="1" spans="1:23" x14ac:dyDescent="0.25">
      <c r="A83" s="40"/>
      <c r="C83" s="68"/>
      <c r="D83" s="68"/>
      <c r="E83" s="69" t="s">
        <v>118</v>
      </c>
      <c r="F83" s="70" t="s">
        <v>118</v>
      </c>
      <c r="G83" s="71">
        <f>SUMIFS(
INDEX('ETPT Format DDG'!$A:$ZZ,,IFERROR(MATCH(E83,'ETPT Format DDG'!$2:$2,0),MATCH(C83,'ETPT Format DDG'!$2:$2,0))),
INDEX( 'ETPT Format DDG'!$A:$ZZ,,MATCH("Fonction agrégat",'ETPT Format DDG'!2:2,0)),"M-TIT",
INDEX( 'ETPT Format DDG'!$A:$ZZ,,MATCH("Juridiction",'ETPT Format DDG'!2:2,0)),$A$3)</f>
      </c>
      <c r="H83" s="72">
        <f>IF(AND(OR(LEFT(C83,3)="12.",LEFT(E83,3)="12.",LEFT(E83,5)="CET &gt;",IFERROR(G83/$G$6,"")=0),NOT(AND(LEFT(E83,4)="12.8",IFERROR(G83/$G$6,"")&lt;&gt;0)),NOT(AND(LEFT(E83,5)="12.31",IFERROR(G83/$G$6,"")&lt;&gt;0)),NOT(AND(LEFT(E83,5)="12.32",IFERROR(G83/$G$6,"")&lt;&gt;0))),"", IFERROR(G83/$G$6,""))</f>
      </c>
      <c r="I83" s="73">
        <f>SUMIFS(
INDEX('ETPT Format DDG'!$A:$ZZ,,IFERROR(MATCH(E83,'ETPT Format DDG'!$2:$2,0),MATCH(C83,'ETPT Format DDG'!$2:$2,0))),
INDEX( 'ETPT Format DDG'!$A:$ZZ,,MATCH("Fonction agrégat",'ETPT Format DDG'!2:2,0)),"M-PLAC-ADD",
INDEX( 'ETPT Format DDG'!$A:$ZZ,,MATCH("Juridiction",'ETPT Format DDG'!2:2,0)),$A$3)</f>
      </c>
      <c r="J83" s="73">
        <f>SUMIFS(
INDEX('ETPT Format DDG'!$A:$ZZ,,IFERROR(MATCH(E83,'ETPT Format DDG'!$2:$2,0),MATCH(C83,'ETPT Format DDG'!$2:$2,0))),
INDEX( 'ETPT Format DDG'!$A:$ZZ,,MATCH("Fonction agrégat",'ETPT Format DDG'!2:2,0)),"M-PLAC-SUB",
INDEX( 'ETPT Format DDG'!$A:$ZZ,,MATCH("Juridiction",'ETPT Format DDG'!2:2,0)),$A$3)</f>
      </c>
      <c r="K83" s="73">
        <f>SUMIFS(
INDEX('ETPT Format DDG'!$A:$ZZ,,IFERROR(MATCH(E83,'ETPT Format DDG'!$2:$2,0),MATCH(C83,'ETPT Format DDG'!$2:$2,0))),
INDEX( 'ETPT Format DDG'!$A:$ZZ,,MATCH("Fonction agrégat",'ETPT Format DDG'!2:2,0)),"M-CONT",
INDEX( 'ETPT Format DDG'!$A:$ZZ,,MATCH("Juridiction",'ETPT Format DDG'!2:2,0)),$A$3,
INDEX( 'ETPT Format DDG'!$A:$ZZ,,MATCH("Catégorie",'ETPT Format DDG'!2:2,0)),"Magistrat")</f>
      </c>
      <c r="L83" s="71">
        <f>SUMIFS(
INDEX('ETPT Format DDG'!$A:$ZZ,,IFERROR(MATCH(E83,'ETPT Format DDG'!$2:$2,0),MATCH(C83,'ETPT Format DDG'!$2:$2,0))),
INDEX( 'ETPT Format DDG'!$A:$ZZ,,MATCH("Juridiction",'ETPT Format DDG'!2:2,0)),$A$3,
INDEX( 'ETPT Format DDG'!$A:$ZZ,,MATCH("Catégorie",'ETPT Format DDG'!2:2,0)),"Magistrat")</f>
      </c>
      <c r="M83" s="74">
        <f>IF(AND(OR(LEFT(C83,3)="12.",LEFT(E83,3)="12.",LEFT(E83,5)="CET &gt;", IFERROR(L83/$L$6,"")=0),NOT(AND(LEFT(E83,4)="12.8",IFERROR(G83/$G$6,"")&lt;&gt;0)),NOT(AND(LEFT(E83,5)="12.31",IFERROR(L83/$G$6,"")&lt;&gt;0)),NOT(AND(LEFT(E83,5)="12.32",IFERROR(L83/$G$6,"")&lt;&gt;0))),"", IFERROR(L83/$L$6,""))</f>
      </c>
      <c r="N83" s="73">
        <f>SUMIFS(
INDEX('ETPT Format DDG'!$A:$ZZ,,IFERROR(MATCH(E83,'ETPT Format DDG'!$2:$2,0),MATCH(C83,'ETPT Format DDG'!$2:$2,0))),
INDEX( 'ETPT Format DDG'!$A:$ZZ,,MATCH("Fonction agrégat",'ETPT Format DDG'!2:2,0)),"F-TIT",
INDEX( 'ETPT Format DDG'!$A:$ZZ,,MATCH("Juridiction",'ETPT Format DDG'!2:2,0)),$A$3)</f>
      </c>
      <c r="O83" s="72">
        <f>IF(AND(OR(LEFT(C83,3)="12.",LEFT(E83,3)="12.",LEFT(E83,5)="CET &gt;",IFERROR(N83/$N$6,"")=0),NOT(AND(LEFT(E83,4)="12.8",IFERROR(G83/$G$6,"")&lt;&gt;0)),NOT(AND(LEFT(E83,5)="12.31",IFERROR(N83/$G$6,"")&lt;&gt;0)),NOT(AND(LEFT(E83,5)="12.32",IFERROR(N83/$G$6,"")&lt;&gt;0))),"",IFERROR(N83/$N$6,""))</f>
      </c>
      <c r="P83" s="73">
        <f>SUMIFS(
INDEX('ETPT Format DDG'!$A:$FB,,IFERROR(MATCH(E83,'ETPT Format DDG'!$2:$2,0),MATCH(C83,'ETPT Format DDG'!$2:$2,0))),
INDEX( 'ETPT Format DDG'!$A:$ZZ,,MATCH("Fonction agrégat",'ETPT Format DDG'!2:2,0)),"F-PLAC-ADD",
INDEX( 'ETPT Format DDG'!$A:$ZZ,,MATCH("Juridiction",'ETPT Format DDG'!2:2,0)),$A$3)</f>
      </c>
      <c r="Q83" s="73">
        <f>SUMIFS(
INDEX('ETPT Format DDG'!$A:$FB,,IFERROR(MATCH(E83,'ETPT Format DDG'!$2:$2,0),MATCH(C83,'ETPT Format DDG'!$2:$2,0))),
INDEX( 'ETPT Format DDG'!$A:$ZZ,,MATCH("Fonction agrégat",'ETPT Format DDG'!2:2,0)),"F-PLAC-SUB",
INDEX( 'ETPT Format DDG'!$A:$ZZ,,MATCH("Juridiction",'ETPT Format DDG'!2:2,0)),$A$3)</f>
      </c>
      <c r="R83" s="73">
        <f>SUMIFS(
INDEX('ETPT Format DDG'!$A:$FB,,IFERROR(MATCH(E83,'ETPT Format DDG'!$2:$2,0),MATCH(C83,'ETPT Format DDG'!$2:$2,0))),
INDEX( 'ETPT Format DDG'!$A:$ZZ,,MATCH("Fonction agrégat",'ETPT Format DDG'!2:2,0)),"C",
'ETPT Format DDG'!$H:$H,"Greffe",
INDEX( 'ETPT Format DDG'!$A:$ZZ,,MATCH("Juridiction",'ETPT Format DDG'!2:2,0)),$A$3)</f>
      </c>
      <c r="S83" s="71">
        <f>SUMIFS(
INDEX('ETPT Format DDG'!$A:$FB,,IFERROR(MATCH(E83,'ETPT Format DDG'!$2:$2,0),MATCH(C83,'ETPT Format DDG'!$2:$2,0))),
INDEX( 'ETPT Format DDG'!$A:$ZZ,,MATCH("Catégorie",'ETPT Format DDG'!2:2,0)),"Greffe",
INDEX( 'ETPT Format DDG'!$A:$ZZ,,MATCH("Juridiction",'ETPT Format DDG'!2:2,0)),$A$3)</f>
      </c>
      <c r="T83" s="72">
        <f>IF(AND(OR(LEFT(C83,3)="12.",LEFT(E83,3)="12.",LEFT(E83,5)="CET &gt;",IFERROR(S83/$S$6,"")=0),NOT(AND(LEFT(E83,4)="12.8",IFERROR(G83/$G$6,"")&lt;&gt;0)),NOT(AND(LEFT(E83,5)="12.31",IFERROR(S83/$G$6,"")&lt;&gt;0)),NOT(AND(LEFT(E83,5)="12.32",IFERROR(S83/$G$6,"")&lt;&gt;0))),"", IFERROR(S83/$S$6,""))</f>
      </c>
      <c r="U83" s="71">
        <f>SUMIFS(
INDEX('ETPT Format DDG'!$A:$FB,,IFERROR(MATCH(E83,'ETPT Format DDG'!$2:$2,0),MATCH(C83,'ETPT Format DDG'!$2:$2,0))),
INDEX( 'ETPT Format DDG'!$A:$ZZ,,MATCH("Fonction agrégat",'ETPT Format DDG'!2:2,0)),"C",
INDEX( 'ETPT Format DDG'!$A:$ZZ,,MATCH("Juridiction",'ETPT Format DDG'!2:2,0)),$A$3,
INDEX( 'ETPT Format DDG'!$A:$ZZ,,MATCH("Catégorie",'ETPT Format DDG'!2:2,0)),"Autour du magistrat")</f>
      </c>
      <c r="V83" s="74">
        <f>IF(AND(OR(LEFT(C83,3)="12.",LEFT(E83,3)="12.",LEFT(E83,5)="CET &gt;",IFERROR(U83/$U$6,"")=0),NOT(AND(LEFT(E83,4)="12.8",IFERROR(G83/$G$6,"")&lt;&gt;0)),NOT(AND(LEFT(E83,5)="12.31",IFERROR(U83/$G$6,"")&lt;&gt;0)),NOT(AND(LEFT(E83,5)="12.32",IFERROR(U83/$G$6,"")&lt;&gt;0))),"", IFERROR(U83/$U$6,""))</f>
      </c>
    </row>
    <row r="84" ht="16" customHeight="1" spans="1:23" x14ac:dyDescent="0.25">
      <c r="A84" s="40"/>
      <c r="C84" s="68"/>
      <c r="D84" s="68"/>
      <c r="E84" s="69" t="s">
        <v>119</v>
      </c>
      <c r="F84" s="70" t="s">
        <v>119</v>
      </c>
      <c r="G84" s="71">
        <f>SUMIFS(
INDEX('ETPT Format DDG'!$A:$ZZ,,IFERROR(MATCH(E84,'ETPT Format DDG'!$2:$2,0),MATCH(C84,'ETPT Format DDG'!$2:$2,0))),
INDEX( 'ETPT Format DDG'!$A:$ZZ,,MATCH("Fonction agrégat",'ETPT Format DDG'!2:2,0)),"M-TIT",
INDEX( 'ETPT Format DDG'!$A:$ZZ,,MATCH("Juridiction",'ETPT Format DDG'!2:2,0)),$A$3)</f>
      </c>
      <c r="H84" s="72">
        <f>IF(AND(OR(LEFT(C84,3)="12.",LEFT(E84,3)="12.",LEFT(E84,5)="CET &gt;",IFERROR(G84/$G$6,"")=0),NOT(AND(LEFT(E84,4)="12.8",IFERROR(G84/$G$6,"")&lt;&gt;0)),NOT(AND(LEFT(E84,5)="12.31",IFERROR(G84/$G$6,"")&lt;&gt;0)),NOT(AND(LEFT(E84,5)="12.32",IFERROR(G84/$G$6,"")&lt;&gt;0))),"", IFERROR(G84/$G$6,""))</f>
      </c>
      <c r="I84" s="73">
        <f>SUMIFS(
INDEX('ETPT Format DDG'!$A:$ZZ,,IFERROR(MATCH(E84,'ETPT Format DDG'!$2:$2,0),MATCH(C84,'ETPT Format DDG'!$2:$2,0))),
INDEX( 'ETPT Format DDG'!$A:$ZZ,,MATCH("Fonction agrégat",'ETPT Format DDG'!2:2,0)),"M-PLAC-ADD",
INDEX( 'ETPT Format DDG'!$A:$ZZ,,MATCH("Juridiction",'ETPT Format DDG'!2:2,0)),$A$3)</f>
      </c>
      <c r="J84" s="73">
        <f>SUMIFS(
INDEX('ETPT Format DDG'!$A:$ZZ,,IFERROR(MATCH(E84,'ETPT Format DDG'!$2:$2,0),MATCH(C84,'ETPT Format DDG'!$2:$2,0))),
INDEX( 'ETPT Format DDG'!$A:$ZZ,,MATCH("Fonction agrégat",'ETPT Format DDG'!2:2,0)),"M-PLAC-SUB",
INDEX( 'ETPT Format DDG'!$A:$ZZ,,MATCH("Juridiction",'ETPT Format DDG'!2:2,0)),$A$3)</f>
      </c>
      <c r="K84" s="73">
        <f>SUMIFS(
INDEX('ETPT Format DDG'!$A:$ZZ,,IFERROR(MATCH(E84,'ETPT Format DDG'!$2:$2,0),MATCH(C84,'ETPT Format DDG'!$2:$2,0))),
INDEX( 'ETPT Format DDG'!$A:$ZZ,,MATCH("Fonction agrégat",'ETPT Format DDG'!2:2,0)),"M-CONT",
INDEX( 'ETPT Format DDG'!$A:$ZZ,,MATCH("Juridiction",'ETPT Format DDG'!2:2,0)),$A$3,
INDEX( 'ETPT Format DDG'!$A:$ZZ,,MATCH("Catégorie",'ETPT Format DDG'!2:2,0)),"Magistrat")</f>
      </c>
      <c r="L84" s="71">
        <f>SUMIFS(
INDEX('ETPT Format DDG'!$A:$ZZ,,IFERROR(MATCH(E84,'ETPT Format DDG'!$2:$2,0),MATCH(C84,'ETPT Format DDG'!$2:$2,0))),
INDEX( 'ETPT Format DDG'!$A:$ZZ,,MATCH("Juridiction",'ETPT Format DDG'!2:2,0)),$A$3,
INDEX( 'ETPT Format DDG'!$A:$ZZ,,MATCH("Catégorie",'ETPT Format DDG'!2:2,0)),"Magistrat")</f>
      </c>
      <c r="M84" s="74">
        <f>IF(AND(OR(LEFT(C84,3)="12.",LEFT(E84,3)="12.",LEFT(E84,5)="CET &gt;", IFERROR(L84/$L$6,"")=0),NOT(AND(LEFT(E84,4)="12.8",IFERROR(G84/$G$6,"")&lt;&gt;0)),NOT(AND(LEFT(E84,5)="12.31",IFERROR(L84/$G$6,"")&lt;&gt;0)),NOT(AND(LEFT(E84,5)="12.32",IFERROR(L84/$G$6,"")&lt;&gt;0))),"", IFERROR(L84/$L$6,""))</f>
      </c>
      <c r="N84" s="73">
        <f>SUMIFS(
INDEX('ETPT Format DDG'!$A:$ZZ,,IFERROR(MATCH(E84,'ETPT Format DDG'!$2:$2,0),MATCH(C84,'ETPT Format DDG'!$2:$2,0))),
INDEX( 'ETPT Format DDG'!$A:$ZZ,,MATCH("Fonction agrégat",'ETPT Format DDG'!2:2,0)),"F-TIT",
INDEX( 'ETPT Format DDG'!$A:$ZZ,,MATCH("Juridiction",'ETPT Format DDG'!2:2,0)),$A$3)</f>
      </c>
      <c r="O84" s="72">
        <f>IF(AND(OR(LEFT(C84,3)="12.",LEFT(E84,3)="12.",LEFT(E84,5)="CET &gt;",IFERROR(N84/$N$6,"")=0),NOT(AND(LEFT(E84,4)="12.8",IFERROR(G84/$G$6,"")&lt;&gt;0)),NOT(AND(LEFT(E84,5)="12.31",IFERROR(N84/$G$6,"")&lt;&gt;0)),NOT(AND(LEFT(E84,5)="12.32",IFERROR(N84/$G$6,"")&lt;&gt;0))),"",IFERROR(N84/$N$6,""))</f>
      </c>
      <c r="P84" s="73">
        <f>SUMIFS(
INDEX('ETPT Format DDG'!$A:$FB,,IFERROR(MATCH(E84,'ETPT Format DDG'!$2:$2,0),MATCH(C84,'ETPT Format DDG'!$2:$2,0))),
INDEX( 'ETPT Format DDG'!$A:$ZZ,,MATCH("Fonction agrégat",'ETPT Format DDG'!2:2,0)),"F-PLAC-ADD",
INDEX( 'ETPT Format DDG'!$A:$ZZ,,MATCH("Juridiction",'ETPT Format DDG'!2:2,0)),$A$3)</f>
      </c>
      <c r="Q84" s="73">
        <f>SUMIFS(
INDEX('ETPT Format DDG'!$A:$FB,,IFERROR(MATCH(E84,'ETPT Format DDG'!$2:$2,0),MATCH(C84,'ETPT Format DDG'!$2:$2,0))),
INDEX( 'ETPT Format DDG'!$A:$ZZ,,MATCH("Fonction agrégat",'ETPT Format DDG'!2:2,0)),"F-PLAC-SUB",
INDEX( 'ETPT Format DDG'!$A:$ZZ,,MATCH("Juridiction",'ETPT Format DDG'!2:2,0)),$A$3)</f>
      </c>
      <c r="R84" s="73">
        <f>SUMIFS(
INDEX('ETPT Format DDG'!$A:$FB,,IFERROR(MATCH(E84,'ETPT Format DDG'!$2:$2,0),MATCH(C84,'ETPT Format DDG'!$2:$2,0))),
INDEX( 'ETPT Format DDG'!$A:$ZZ,,MATCH("Fonction agrégat",'ETPT Format DDG'!2:2,0)),"C",
'ETPT Format DDG'!$H:$H,"Greffe",
INDEX( 'ETPT Format DDG'!$A:$ZZ,,MATCH("Juridiction",'ETPT Format DDG'!2:2,0)),$A$3)</f>
      </c>
      <c r="S84" s="71">
        <f>SUMIFS(
INDEX('ETPT Format DDG'!$A:$FB,,IFERROR(MATCH(E84,'ETPT Format DDG'!$2:$2,0),MATCH(C84,'ETPT Format DDG'!$2:$2,0))),
INDEX( 'ETPT Format DDG'!$A:$ZZ,,MATCH("Catégorie",'ETPT Format DDG'!2:2,0)),"Greffe",
INDEX( 'ETPT Format DDG'!$A:$ZZ,,MATCH("Juridiction",'ETPT Format DDG'!2:2,0)),$A$3)</f>
      </c>
      <c r="T84" s="72">
        <f>IF(AND(OR(LEFT(C84,3)="12.",LEFT(E84,3)="12.",LEFT(E84,5)="CET &gt;",IFERROR(S84/$S$6,"")=0),NOT(AND(LEFT(E84,4)="12.8",IFERROR(G84/$G$6,"")&lt;&gt;0)),NOT(AND(LEFT(E84,5)="12.31",IFERROR(S84/$G$6,"")&lt;&gt;0)),NOT(AND(LEFT(E84,5)="12.32",IFERROR(S84/$G$6,"")&lt;&gt;0))),"", IFERROR(S84/$S$6,""))</f>
      </c>
      <c r="U84" s="71">
        <f>SUMIFS(
INDEX('ETPT Format DDG'!$A:$FB,,IFERROR(MATCH(E84,'ETPT Format DDG'!$2:$2,0),MATCH(C84,'ETPT Format DDG'!$2:$2,0))),
INDEX( 'ETPT Format DDG'!$A:$ZZ,,MATCH("Fonction agrégat",'ETPT Format DDG'!2:2,0)),"C",
INDEX( 'ETPT Format DDG'!$A:$ZZ,,MATCH("Juridiction",'ETPT Format DDG'!2:2,0)),$A$3,
INDEX( 'ETPT Format DDG'!$A:$ZZ,,MATCH("Catégorie",'ETPT Format DDG'!2:2,0)),"Autour du magistrat")</f>
      </c>
      <c r="V84" s="74">
        <f>IF(AND(OR(LEFT(C84,3)="12.",LEFT(E84,3)="12.",LEFT(E84,5)="CET &gt;",IFERROR(U84/$U$6,"")=0),NOT(AND(LEFT(E84,4)="12.8",IFERROR(G84/$G$6,"")&lt;&gt;0)),NOT(AND(LEFT(E84,5)="12.31",IFERROR(U84/$G$6,"")&lt;&gt;0)),NOT(AND(LEFT(E84,5)="12.32",IFERROR(U84/$G$6,"")&lt;&gt;0))),"", IFERROR(U84/$U$6,""))</f>
      </c>
    </row>
    <row r="85" ht="16" customHeight="1" spans="1:23" x14ac:dyDescent="0.25">
      <c r="A85" s="40"/>
      <c r="C85" s="68"/>
      <c r="D85" s="68"/>
      <c r="E85" s="69" t="s">
        <v>120</v>
      </c>
      <c r="F85" s="70" t="s">
        <v>120</v>
      </c>
      <c r="G85" s="71">
        <f>SUMIFS(
INDEX('ETPT Format DDG'!$A:$ZZ,,IFERROR(MATCH(E85,'ETPT Format DDG'!$2:$2,0),MATCH(C85,'ETPT Format DDG'!$2:$2,0))),
INDEX( 'ETPT Format DDG'!$A:$ZZ,,MATCH("Fonction agrégat",'ETPT Format DDG'!2:2,0)),"M-TIT",
INDEX( 'ETPT Format DDG'!$A:$ZZ,,MATCH("Juridiction",'ETPT Format DDG'!2:2,0)),$A$3)</f>
      </c>
      <c r="H85" s="72">
        <f>IF(AND(OR(LEFT(C85,3)="12.",LEFT(E85,3)="12.",LEFT(E85,5)="CET &gt;",IFERROR(G85/$G$6,"")=0),NOT(AND(LEFT(E85,4)="12.8",IFERROR(G85/$G$6,"")&lt;&gt;0)),NOT(AND(LEFT(E85,5)="12.31",IFERROR(G85/$G$6,"")&lt;&gt;0)),NOT(AND(LEFT(E85,5)="12.32",IFERROR(G85/$G$6,"")&lt;&gt;0))),"", IFERROR(G85/$G$6,""))</f>
      </c>
      <c r="I85" s="73">
        <f>SUMIFS(
INDEX('ETPT Format DDG'!$A:$ZZ,,IFERROR(MATCH(E85,'ETPT Format DDG'!$2:$2,0),MATCH(C85,'ETPT Format DDG'!$2:$2,0))),
INDEX( 'ETPT Format DDG'!$A:$ZZ,,MATCH("Fonction agrégat",'ETPT Format DDG'!2:2,0)),"M-PLAC-ADD",
INDEX( 'ETPT Format DDG'!$A:$ZZ,,MATCH("Juridiction",'ETPT Format DDG'!2:2,0)),$A$3)</f>
      </c>
      <c r="J85" s="73">
        <f>SUMIFS(
INDEX('ETPT Format DDG'!$A:$ZZ,,IFERROR(MATCH(E85,'ETPT Format DDG'!$2:$2,0),MATCH(C85,'ETPT Format DDG'!$2:$2,0))),
INDEX( 'ETPT Format DDG'!$A:$ZZ,,MATCH("Fonction agrégat",'ETPT Format DDG'!2:2,0)),"M-PLAC-SUB",
INDEX( 'ETPT Format DDG'!$A:$ZZ,,MATCH("Juridiction",'ETPT Format DDG'!2:2,0)),$A$3)</f>
      </c>
      <c r="K85" s="73">
        <f>SUMIFS(
INDEX('ETPT Format DDG'!$A:$ZZ,,IFERROR(MATCH(E85,'ETPT Format DDG'!$2:$2,0),MATCH(C85,'ETPT Format DDG'!$2:$2,0))),
INDEX( 'ETPT Format DDG'!$A:$ZZ,,MATCH("Fonction agrégat",'ETPT Format DDG'!2:2,0)),"M-CONT",
INDEX( 'ETPT Format DDG'!$A:$ZZ,,MATCH("Juridiction",'ETPT Format DDG'!2:2,0)),$A$3,
INDEX( 'ETPT Format DDG'!$A:$ZZ,,MATCH("Catégorie",'ETPT Format DDG'!2:2,0)),"Magistrat")</f>
      </c>
      <c r="L85" s="71">
        <f>SUMIFS(
INDEX('ETPT Format DDG'!$A:$ZZ,,IFERROR(MATCH(E85,'ETPT Format DDG'!$2:$2,0),MATCH(C85,'ETPT Format DDG'!$2:$2,0))),
INDEX( 'ETPT Format DDG'!$A:$ZZ,,MATCH("Juridiction",'ETPT Format DDG'!2:2,0)),$A$3,
INDEX( 'ETPT Format DDG'!$A:$ZZ,,MATCH("Catégorie",'ETPT Format DDG'!2:2,0)),"Magistrat")</f>
      </c>
      <c r="M85" s="74">
        <f>IF(AND(OR(LEFT(C85,3)="12.",LEFT(E85,3)="12.",LEFT(E85,5)="CET &gt;", IFERROR(L85/$L$6,"")=0),NOT(AND(LEFT(E85,4)="12.8",IFERROR(G85/$G$6,"")&lt;&gt;0)),NOT(AND(LEFT(E85,5)="12.31",IFERROR(L85/$G$6,"")&lt;&gt;0)),NOT(AND(LEFT(E85,5)="12.32",IFERROR(L85/$G$6,"")&lt;&gt;0))),"", IFERROR(L85/$L$6,""))</f>
      </c>
      <c r="N85" s="73">
        <f>SUMIFS(
INDEX('ETPT Format DDG'!$A:$ZZ,,IFERROR(MATCH(E85,'ETPT Format DDG'!$2:$2,0),MATCH(C85,'ETPT Format DDG'!$2:$2,0))),
INDEX( 'ETPT Format DDG'!$A:$ZZ,,MATCH("Fonction agrégat",'ETPT Format DDG'!2:2,0)),"F-TIT",
INDEX( 'ETPT Format DDG'!$A:$ZZ,,MATCH("Juridiction",'ETPT Format DDG'!2:2,0)),$A$3)</f>
      </c>
      <c r="O85" s="72">
        <f>IF(AND(OR(LEFT(C85,3)="12.",LEFT(E85,3)="12.",LEFT(E85,5)="CET &gt;",IFERROR(N85/$N$6,"")=0),NOT(AND(LEFT(E85,4)="12.8",IFERROR(G85/$G$6,"")&lt;&gt;0)),NOT(AND(LEFT(E85,5)="12.31",IFERROR(N85/$G$6,"")&lt;&gt;0)),NOT(AND(LEFT(E85,5)="12.32",IFERROR(N85/$G$6,"")&lt;&gt;0))),"",IFERROR(N85/$N$6,""))</f>
      </c>
      <c r="P85" s="73">
        <f>SUMIFS(
INDEX('ETPT Format DDG'!$A:$FB,,IFERROR(MATCH(E85,'ETPT Format DDG'!$2:$2,0),MATCH(C85,'ETPT Format DDG'!$2:$2,0))),
INDEX( 'ETPT Format DDG'!$A:$ZZ,,MATCH("Fonction agrégat",'ETPT Format DDG'!2:2,0)),"F-PLAC-ADD",
INDEX( 'ETPT Format DDG'!$A:$ZZ,,MATCH("Juridiction",'ETPT Format DDG'!2:2,0)),$A$3)</f>
      </c>
      <c r="Q85" s="73">
        <f>SUMIFS(
INDEX('ETPT Format DDG'!$A:$FB,,IFERROR(MATCH(E85,'ETPT Format DDG'!$2:$2,0),MATCH(C85,'ETPT Format DDG'!$2:$2,0))),
INDEX( 'ETPT Format DDG'!$A:$ZZ,,MATCH("Fonction agrégat",'ETPT Format DDG'!2:2,0)),"F-PLAC-SUB",
INDEX( 'ETPT Format DDG'!$A:$ZZ,,MATCH("Juridiction",'ETPT Format DDG'!2:2,0)),$A$3)</f>
      </c>
      <c r="R85" s="73">
        <f>SUMIFS(
INDEX('ETPT Format DDG'!$A:$FB,,IFERROR(MATCH(E85,'ETPT Format DDG'!$2:$2,0),MATCH(C85,'ETPT Format DDG'!$2:$2,0))),
INDEX( 'ETPT Format DDG'!$A:$ZZ,,MATCH("Fonction agrégat",'ETPT Format DDG'!2:2,0)),"C",
'ETPT Format DDG'!$H:$H,"Greffe",
INDEX( 'ETPT Format DDG'!$A:$ZZ,,MATCH("Juridiction",'ETPT Format DDG'!2:2,0)),$A$3)</f>
      </c>
      <c r="S85" s="71">
        <f>SUMIFS(
INDEX('ETPT Format DDG'!$A:$FB,,IFERROR(MATCH(E85,'ETPT Format DDG'!$2:$2,0),MATCH(C85,'ETPT Format DDG'!$2:$2,0))),
INDEX( 'ETPT Format DDG'!$A:$ZZ,,MATCH("Catégorie",'ETPT Format DDG'!2:2,0)),"Greffe",
INDEX( 'ETPT Format DDG'!$A:$ZZ,,MATCH("Juridiction",'ETPT Format DDG'!2:2,0)),$A$3)</f>
      </c>
      <c r="T85" s="72">
        <f>IF(AND(OR(LEFT(C85,3)="12.",LEFT(E85,3)="12.",LEFT(E85,5)="CET &gt;",IFERROR(S85/$S$6,"")=0),NOT(AND(LEFT(E85,4)="12.8",IFERROR(G85/$G$6,"")&lt;&gt;0)),NOT(AND(LEFT(E85,5)="12.31",IFERROR(S85/$G$6,"")&lt;&gt;0)),NOT(AND(LEFT(E85,5)="12.32",IFERROR(S85/$G$6,"")&lt;&gt;0))),"", IFERROR(S85/$S$6,""))</f>
      </c>
      <c r="U85" s="71">
        <f>SUMIFS(
INDEX('ETPT Format DDG'!$A:$FB,,IFERROR(MATCH(E85,'ETPT Format DDG'!$2:$2,0),MATCH(C85,'ETPT Format DDG'!$2:$2,0))),
INDEX( 'ETPT Format DDG'!$A:$ZZ,,MATCH("Fonction agrégat",'ETPT Format DDG'!2:2,0)),"C",
INDEX( 'ETPT Format DDG'!$A:$ZZ,,MATCH("Juridiction",'ETPT Format DDG'!2:2,0)),$A$3,
INDEX( 'ETPT Format DDG'!$A:$ZZ,,MATCH("Catégorie",'ETPT Format DDG'!2:2,0)),"Autour du magistrat")</f>
      </c>
      <c r="V85" s="74">
        <f>IF(AND(OR(LEFT(C85,3)="12.",LEFT(E85,3)="12.",LEFT(E85,5)="CET &gt;",IFERROR(U85/$U$6,"")=0),NOT(AND(LEFT(E85,4)="12.8",IFERROR(G85/$G$6,"")&lt;&gt;0)),NOT(AND(LEFT(E85,5)="12.31",IFERROR(U85/$G$6,"")&lt;&gt;0)),NOT(AND(LEFT(E85,5)="12.32",IFERROR(U85/$G$6,"")&lt;&gt;0))),"", IFERROR(U85/$U$6,""))</f>
      </c>
    </row>
    <row r="86" ht="16" customHeight="1" spans="1:23" x14ac:dyDescent="0.25">
      <c r="A86" s="40"/>
      <c r="C86" s="68"/>
      <c r="D86" s="68"/>
      <c r="E86" s="69" t="s">
        <v>121</v>
      </c>
      <c r="F86" s="70" t="s">
        <v>121</v>
      </c>
      <c r="G86" s="71">
        <f>SUMIFS(
INDEX('ETPT Format DDG'!$A:$ZZ,,IFERROR(MATCH(E86,'ETPT Format DDG'!$2:$2,0),MATCH(C86,'ETPT Format DDG'!$2:$2,0))),
INDEX( 'ETPT Format DDG'!$A:$ZZ,,MATCH("Fonction agrégat",'ETPT Format DDG'!2:2,0)),"M-TIT",
INDEX( 'ETPT Format DDG'!$A:$ZZ,,MATCH("Juridiction",'ETPT Format DDG'!2:2,0)),$A$3)</f>
      </c>
      <c r="H86" s="72">
        <f>IF(AND(OR(LEFT(C86,3)="12.",LEFT(E86,3)="12.",LEFT(E86,5)="CET &gt;",IFERROR(G86/$G$6,"")=0),NOT(AND(LEFT(E86,4)="12.8",IFERROR(G86/$G$6,"")&lt;&gt;0)),NOT(AND(LEFT(E86,5)="12.31",IFERROR(G86/$G$6,"")&lt;&gt;0)),NOT(AND(LEFT(E86,5)="12.32",IFERROR(G86/$G$6,"")&lt;&gt;0))),"", IFERROR(G86/$G$6,""))</f>
      </c>
      <c r="I86" s="73">
        <f>SUMIFS(
INDEX('ETPT Format DDG'!$A:$ZZ,,IFERROR(MATCH(E86,'ETPT Format DDG'!$2:$2,0),MATCH(C86,'ETPT Format DDG'!$2:$2,0))),
INDEX( 'ETPT Format DDG'!$A:$ZZ,,MATCH("Fonction agrégat",'ETPT Format DDG'!2:2,0)),"M-PLAC-ADD",
INDEX( 'ETPT Format DDG'!$A:$ZZ,,MATCH("Juridiction",'ETPT Format DDG'!2:2,0)),$A$3)</f>
      </c>
      <c r="J86" s="73">
        <f>SUMIFS(
INDEX('ETPT Format DDG'!$A:$ZZ,,IFERROR(MATCH(E86,'ETPT Format DDG'!$2:$2,0),MATCH(C86,'ETPT Format DDG'!$2:$2,0))),
INDEX( 'ETPT Format DDG'!$A:$ZZ,,MATCH("Fonction agrégat",'ETPT Format DDG'!2:2,0)),"M-PLAC-SUB",
INDEX( 'ETPT Format DDG'!$A:$ZZ,,MATCH("Juridiction",'ETPT Format DDG'!2:2,0)),$A$3)</f>
      </c>
      <c r="K86" s="73">
        <f>SUMIFS(
INDEX('ETPT Format DDG'!$A:$ZZ,,IFERROR(MATCH(E86,'ETPT Format DDG'!$2:$2,0),MATCH(C86,'ETPT Format DDG'!$2:$2,0))),
INDEX( 'ETPT Format DDG'!$A:$ZZ,,MATCH("Fonction agrégat",'ETPT Format DDG'!2:2,0)),"M-CONT",
INDEX( 'ETPT Format DDG'!$A:$ZZ,,MATCH("Juridiction",'ETPT Format DDG'!2:2,0)),$A$3,
INDEX( 'ETPT Format DDG'!$A:$ZZ,,MATCH("Catégorie",'ETPT Format DDG'!2:2,0)),"Magistrat")</f>
      </c>
      <c r="L86" s="71">
        <f>SUMIFS(
INDEX('ETPT Format DDG'!$A:$ZZ,,IFERROR(MATCH(E86,'ETPT Format DDG'!$2:$2,0),MATCH(C86,'ETPT Format DDG'!$2:$2,0))),
INDEX( 'ETPT Format DDG'!$A:$ZZ,,MATCH("Juridiction",'ETPT Format DDG'!2:2,0)),$A$3,
INDEX( 'ETPT Format DDG'!$A:$ZZ,,MATCH("Catégorie",'ETPT Format DDG'!2:2,0)),"Magistrat")</f>
      </c>
      <c r="M86" s="74">
        <f>IF(AND(OR(LEFT(C86,3)="12.",LEFT(E86,3)="12.",LEFT(E86,5)="CET &gt;", IFERROR(L86/$L$6,"")=0),NOT(AND(LEFT(E86,4)="12.8",IFERROR(G86/$G$6,"")&lt;&gt;0)),NOT(AND(LEFT(E86,5)="12.31",IFERROR(L86/$G$6,"")&lt;&gt;0)),NOT(AND(LEFT(E86,5)="12.32",IFERROR(L86/$G$6,"")&lt;&gt;0))),"", IFERROR(L86/$L$6,""))</f>
      </c>
      <c r="N86" s="73">
        <f>SUMIFS(
INDEX('ETPT Format DDG'!$A:$ZZ,,IFERROR(MATCH(E86,'ETPT Format DDG'!$2:$2,0),MATCH(C86,'ETPT Format DDG'!$2:$2,0))),
INDEX( 'ETPT Format DDG'!$A:$ZZ,,MATCH("Fonction agrégat",'ETPT Format DDG'!2:2,0)),"F-TIT",
INDEX( 'ETPT Format DDG'!$A:$ZZ,,MATCH("Juridiction",'ETPT Format DDG'!2:2,0)),$A$3)</f>
      </c>
      <c r="O86" s="72">
        <f>IF(AND(OR(LEFT(C86,3)="12.",LEFT(E86,3)="12.",LEFT(E86,5)="CET &gt;",IFERROR(N86/$N$6,"")=0),NOT(AND(LEFT(E86,4)="12.8",IFERROR(G86/$G$6,"")&lt;&gt;0)),NOT(AND(LEFT(E86,5)="12.31",IFERROR(N86/$G$6,"")&lt;&gt;0)),NOT(AND(LEFT(E86,5)="12.32",IFERROR(N86/$G$6,"")&lt;&gt;0))),"",IFERROR(N86/$N$6,""))</f>
      </c>
      <c r="P86" s="73">
        <f>SUMIFS(
INDEX('ETPT Format DDG'!$A:$FB,,IFERROR(MATCH(E86,'ETPT Format DDG'!$2:$2,0),MATCH(C86,'ETPT Format DDG'!$2:$2,0))),
INDEX( 'ETPT Format DDG'!$A:$ZZ,,MATCH("Fonction agrégat",'ETPT Format DDG'!2:2,0)),"F-PLAC-ADD",
INDEX( 'ETPT Format DDG'!$A:$ZZ,,MATCH("Juridiction",'ETPT Format DDG'!2:2,0)),$A$3)</f>
      </c>
      <c r="Q86" s="73">
        <f>SUMIFS(
INDEX('ETPT Format DDG'!$A:$FB,,IFERROR(MATCH(E86,'ETPT Format DDG'!$2:$2,0),MATCH(C86,'ETPT Format DDG'!$2:$2,0))),
INDEX( 'ETPT Format DDG'!$A:$ZZ,,MATCH("Fonction agrégat",'ETPT Format DDG'!2:2,0)),"F-PLAC-SUB",
INDEX( 'ETPT Format DDG'!$A:$ZZ,,MATCH("Juridiction",'ETPT Format DDG'!2:2,0)),$A$3)</f>
      </c>
      <c r="R86" s="73">
        <f>SUMIFS(
INDEX('ETPT Format DDG'!$A:$FB,,IFERROR(MATCH(E86,'ETPT Format DDG'!$2:$2,0),MATCH(C86,'ETPT Format DDG'!$2:$2,0))),
INDEX( 'ETPT Format DDG'!$A:$ZZ,,MATCH("Fonction agrégat",'ETPT Format DDG'!2:2,0)),"C",
'ETPT Format DDG'!$H:$H,"Greffe",
INDEX( 'ETPT Format DDG'!$A:$ZZ,,MATCH("Juridiction",'ETPT Format DDG'!2:2,0)),$A$3)</f>
      </c>
      <c r="S86" s="71">
        <f>SUMIFS(
INDEX('ETPT Format DDG'!$A:$FB,,IFERROR(MATCH(E86,'ETPT Format DDG'!$2:$2,0),MATCH(C86,'ETPT Format DDG'!$2:$2,0))),
INDEX( 'ETPT Format DDG'!$A:$ZZ,,MATCH("Catégorie",'ETPT Format DDG'!2:2,0)),"Greffe",
INDEX( 'ETPT Format DDG'!$A:$ZZ,,MATCH("Juridiction",'ETPT Format DDG'!2:2,0)),$A$3)</f>
      </c>
      <c r="T86" s="72">
        <f>IF(AND(OR(LEFT(C86,3)="12.",LEFT(E86,3)="12.",LEFT(E86,5)="CET &gt;",IFERROR(S86/$S$6,"")=0),NOT(AND(LEFT(E86,4)="12.8",IFERROR(G86/$G$6,"")&lt;&gt;0)),NOT(AND(LEFT(E86,5)="12.31",IFERROR(S86/$G$6,"")&lt;&gt;0)),NOT(AND(LEFT(E86,5)="12.32",IFERROR(S86/$G$6,"")&lt;&gt;0))),"", IFERROR(S86/$S$6,""))</f>
      </c>
      <c r="U86" s="71">
        <f>SUMIFS(
INDEX('ETPT Format DDG'!$A:$FB,,IFERROR(MATCH(E86,'ETPT Format DDG'!$2:$2,0),MATCH(C86,'ETPT Format DDG'!$2:$2,0))),
INDEX( 'ETPT Format DDG'!$A:$ZZ,,MATCH("Fonction agrégat",'ETPT Format DDG'!2:2,0)),"C",
INDEX( 'ETPT Format DDG'!$A:$ZZ,,MATCH("Juridiction",'ETPT Format DDG'!2:2,0)),$A$3,
INDEX( 'ETPT Format DDG'!$A:$ZZ,,MATCH("Catégorie",'ETPT Format DDG'!2:2,0)),"Autour du magistrat")</f>
      </c>
      <c r="V86" s="74">
        <f>IF(AND(OR(LEFT(C86,3)="12.",LEFT(E86,3)="12.",LEFT(E86,5)="CET &gt;",IFERROR(U86/$U$6,"")=0),NOT(AND(LEFT(E86,4)="12.8",IFERROR(G86/$G$6,"")&lt;&gt;0)),NOT(AND(LEFT(E86,5)="12.31",IFERROR(U86/$G$6,"")&lt;&gt;0)),NOT(AND(LEFT(E86,5)="12.32",IFERROR(U86/$G$6,"")&lt;&gt;0))),"", IFERROR(U86/$U$6,""))</f>
      </c>
    </row>
    <row r="87" ht="16" customHeight="1" spans="1:23" x14ac:dyDescent="0.25">
      <c r="A87" s="40"/>
      <c r="C87" s="68" t="s">
        <v>122</v>
      </c>
      <c r="D87" s="68" t="s">
        <v>122</v>
      </c>
      <c r="E87" s="69"/>
      <c r="F87" s="70"/>
      <c r="G87" s="71">
        <f>SUMIFS(
INDEX('ETPT Format DDG'!$A:$ZZ,,IFERROR(MATCH(E87,'ETPT Format DDG'!$2:$2,0),MATCH(C87,'ETPT Format DDG'!$2:$2,0))),
INDEX( 'ETPT Format DDG'!$A:$ZZ,,MATCH("Fonction agrégat",'ETPT Format DDG'!2:2,0)),"M-TIT",
INDEX( 'ETPT Format DDG'!$A:$ZZ,,MATCH("Juridiction",'ETPT Format DDG'!2:2,0)),$A$3)</f>
      </c>
      <c r="H87" s="72">
        <f>IF(AND(OR(LEFT(C87,3)="12.",LEFT(E87,3)="12.",LEFT(E87,5)="CET &gt;",IFERROR(G87/$G$6,"")=0),NOT(AND(LEFT(E87,4)="12.8",IFERROR(G87/$G$6,"")&lt;&gt;0)),NOT(AND(LEFT(E87,5)="12.31",IFERROR(G87/$G$6,"")&lt;&gt;0)),NOT(AND(LEFT(E87,5)="12.32",IFERROR(G87/$G$6,"")&lt;&gt;0))),"", IFERROR(G87/$G$6,""))</f>
      </c>
      <c r="I87" s="73">
        <f>SUMIFS(
INDEX('ETPT Format DDG'!$A:$ZZ,,IFERROR(MATCH(E87,'ETPT Format DDG'!$2:$2,0),MATCH(C87,'ETPT Format DDG'!$2:$2,0))),
INDEX( 'ETPT Format DDG'!$A:$ZZ,,MATCH("Fonction agrégat",'ETPT Format DDG'!2:2,0)),"M-PLAC-ADD",
INDEX( 'ETPT Format DDG'!$A:$ZZ,,MATCH("Juridiction",'ETPT Format DDG'!2:2,0)),$A$3)</f>
      </c>
      <c r="J87" s="73">
        <f>SUMIFS(
INDEX('ETPT Format DDG'!$A:$ZZ,,IFERROR(MATCH(E87,'ETPT Format DDG'!$2:$2,0),MATCH(C87,'ETPT Format DDG'!$2:$2,0))),
INDEX( 'ETPT Format DDG'!$A:$ZZ,,MATCH("Fonction agrégat",'ETPT Format DDG'!2:2,0)),"M-PLAC-SUB",
INDEX( 'ETPT Format DDG'!$A:$ZZ,,MATCH("Juridiction",'ETPT Format DDG'!2:2,0)),$A$3)</f>
      </c>
      <c r="K87" s="73">
        <f>SUMIFS(
INDEX('ETPT Format DDG'!$A:$ZZ,,IFERROR(MATCH(E87,'ETPT Format DDG'!$2:$2,0),MATCH(C87,'ETPT Format DDG'!$2:$2,0))),
INDEX( 'ETPT Format DDG'!$A:$ZZ,,MATCH("Fonction agrégat",'ETPT Format DDG'!2:2,0)),"M-CONT",
INDEX( 'ETPT Format DDG'!$A:$ZZ,,MATCH("Juridiction",'ETPT Format DDG'!2:2,0)),$A$3,
INDEX( 'ETPT Format DDG'!$A:$ZZ,,MATCH("Catégorie",'ETPT Format DDG'!2:2,0)),"Magistrat")</f>
      </c>
      <c r="L87" s="71">
        <f>SUMIFS(
INDEX('ETPT Format DDG'!$A:$ZZ,,IFERROR(MATCH(E87,'ETPT Format DDG'!$2:$2,0),MATCH(C87,'ETPT Format DDG'!$2:$2,0))),
INDEX( 'ETPT Format DDG'!$A:$ZZ,,MATCH("Juridiction",'ETPT Format DDG'!2:2,0)),$A$3,
INDEX( 'ETPT Format DDG'!$A:$ZZ,,MATCH("Catégorie",'ETPT Format DDG'!2:2,0)),"Magistrat")</f>
      </c>
      <c r="M87" s="74">
        <f>IF(AND(OR(LEFT(C87,3)="12.",LEFT(E87,3)="12.",LEFT(E87,5)="CET &gt;", IFERROR(L87/$L$6,"")=0),NOT(AND(LEFT(E87,4)="12.8",IFERROR(G87/$G$6,"")&lt;&gt;0)),NOT(AND(LEFT(E87,5)="12.31",IFERROR(L87/$G$6,"")&lt;&gt;0)),NOT(AND(LEFT(E87,5)="12.32",IFERROR(L87/$G$6,"")&lt;&gt;0))),"", IFERROR(L87/$L$6,""))</f>
      </c>
      <c r="N87" s="73">
        <f>SUMIFS(
INDEX('ETPT Format DDG'!$A:$ZZ,,IFERROR(MATCH(E87,'ETPT Format DDG'!$2:$2,0),MATCH(C87,'ETPT Format DDG'!$2:$2,0))),
INDEX( 'ETPT Format DDG'!$A:$ZZ,,MATCH("Fonction agrégat",'ETPT Format DDG'!2:2,0)),"F-TIT",
INDEX( 'ETPT Format DDG'!$A:$ZZ,,MATCH("Juridiction",'ETPT Format DDG'!2:2,0)),$A$3)</f>
      </c>
      <c r="O87" s="72">
        <f>IF(AND(OR(LEFT(C87,3)="12.",LEFT(E87,3)="12.",LEFT(E87,5)="CET &gt;",IFERROR(N87/$N$6,"")=0),NOT(AND(LEFT(E87,4)="12.8",IFERROR(G87/$G$6,"")&lt;&gt;0)),NOT(AND(LEFT(E87,5)="12.31",IFERROR(N87/$G$6,"")&lt;&gt;0)),NOT(AND(LEFT(E87,5)="12.32",IFERROR(N87/$G$6,"")&lt;&gt;0))),"",IFERROR(N87/$N$6,""))</f>
      </c>
      <c r="P87" s="73">
        <f>SUMIFS(
INDEX('ETPT Format DDG'!$A:$FB,,IFERROR(MATCH(E87,'ETPT Format DDG'!$2:$2,0),MATCH(C87,'ETPT Format DDG'!$2:$2,0))),
INDEX( 'ETPT Format DDG'!$A:$ZZ,,MATCH("Fonction agrégat",'ETPT Format DDG'!2:2,0)),"F-PLAC-ADD",
INDEX( 'ETPT Format DDG'!$A:$ZZ,,MATCH("Juridiction",'ETPT Format DDG'!2:2,0)),$A$3)</f>
      </c>
      <c r="Q87" s="73">
        <f>SUMIFS(
INDEX('ETPT Format DDG'!$A:$FB,,IFERROR(MATCH(E87,'ETPT Format DDG'!$2:$2,0),MATCH(C87,'ETPT Format DDG'!$2:$2,0))),
INDEX( 'ETPT Format DDG'!$A:$ZZ,,MATCH("Fonction agrégat",'ETPT Format DDG'!2:2,0)),"F-PLAC-SUB",
INDEX( 'ETPT Format DDG'!$A:$ZZ,,MATCH("Juridiction",'ETPT Format DDG'!2:2,0)),$A$3)</f>
      </c>
      <c r="R87" s="73">
        <f>SUMIFS(
INDEX('ETPT Format DDG'!$A:$FB,,IFERROR(MATCH(E87,'ETPT Format DDG'!$2:$2,0),MATCH(C87,'ETPT Format DDG'!$2:$2,0))),
INDEX( 'ETPT Format DDG'!$A:$ZZ,,MATCH("Fonction agrégat",'ETPT Format DDG'!2:2,0)),"C",
'ETPT Format DDG'!$H:$H,"Greffe",
INDEX( 'ETPT Format DDG'!$A:$ZZ,,MATCH("Juridiction",'ETPT Format DDG'!2:2,0)),$A$3)</f>
      </c>
      <c r="S87" s="71">
        <f>SUMIFS(
INDEX('ETPT Format DDG'!$A:$FB,,IFERROR(MATCH(E87,'ETPT Format DDG'!$2:$2,0),MATCH(C87,'ETPT Format DDG'!$2:$2,0))),
INDEX( 'ETPT Format DDG'!$A:$ZZ,,MATCH("Catégorie",'ETPT Format DDG'!2:2,0)),"Greffe",
INDEX( 'ETPT Format DDG'!$A:$ZZ,,MATCH("Juridiction",'ETPT Format DDG'!2:2,0)),$A$3)</f>
      </c>
      <c r="T87" s="72">
        <f>IF(AND(OR(LEFT(C87,3)="12.",LEFT(E87,3)="12.",LEFT(E87,5)="CET &gt;",IFERROR(S87/$S$6,"")=0),NOT(AND(LEFT(E87,4)="12.8",IFERROR(G87/$G$6,"")&lt;&gt;0)),NOT(AND(LEFT(E87,5)="12.31",IFERROR(S87/$G$6,"")&lt;&gt;0)),NOT(AND(LEFT(E87,5)="12.32",IFERROR(S87/$G$6,"")&lt;&gt;0))),"", IFERROR(S87/$S$6,""))</f>
      </c>
      <c r="U87" s="71">
        <f>SUMIFS(
INDEX('ETPT Format DDG'!$A:$FB,,IFERROR(MATCH(E87,'ETPT Format DDG'!$2:$2,0),MATCH(C87,'ETPT Format DDG'!$2:$2,0))),
INDEX( 'ETPT Format DDG'!$A:$ZZ,,MATCH("Fonction agrégat",'ETPT Format DDG'!2:2,0)),"C",
INDEX( 'ETPT Format DDG'!$A:$ZZ,,MATCH("Juridiction",'ETPT Format DDG'!2:2,0)),$A$3,
INDEX( 'ETPT Format DDG'!$A:$ZZ,,MATCH("Catégorie",'ETPT Format DDG'!2:2,0)),"Autour du magistrat")</f>
      </c>
      <c r="V87" s="74">
        <f>IF(AND(OR(LEFT(C87,3)="12.",LEFT(E87,3)="12.",LEFT(E87,5)="CET &gt;",IFERROR(U87/$U$6,"")=0),NOT(AND(LEFT(E87,4)="12.8",IFERROR(G87/$G$6,"")&lt;&gt;0)),NOT(AND(LEFT(E87,5)="12.31",IFERROR(U87/$G$6,"")&lt;&gt;0)),NOT(AND(LEFT(E87,5)="12.32",IFERROR(U87/$G$6,"")&lt;&gt;0))),"", IFERROR(U87/$U$6,""))</f>
      </c>
    </row>
    <row r="88" ht="16" customHeight="1" spans="1:23" x14ac:dyDescent="0.25">
      <c r="A88" s="40"/>
      <c r="C88" s="68"/>
      <c r="D88" s="68"/>
      <c r="E88" s="69" t="s">
        <v>123</v>
      </c>
      <c r="F88" s="70" t="s">
        <v>123</v>
      </c>
      <c r="G88" s="71">
        <f>SUMIFS(
INDEX('ETPT Format DDG'!$A:$ZZ,,IFERROR(MATCH(E88,'ETPT Format DDG'!$2:$2,0),MATCH(C88,'ETPT Format DDG'!$2:$2,0))),
INDEX( 'ETPT Format DDG'!$A:$ZZ,,MATCH("Fonction agrégat",'ETPT Format DDG'!2:2,0)),"M-TIT",
INDEX( 'ETPT Format DDG'!$A:$ZZ,,MATCH("Juridiction",'ETPT Format DDG'!2:2,0)),$A$3)</f>
      </c>
      <c r="H88" s="72">
        <f>IF(AND(OR(LEFT(C88,3)="12.",LEFT(E88,3)="12.",LEFT(E88,5)="CET &gt;",IFERROR(G88/$G$6,"")=0),NOT(AND(LEFT(E88,4)="12.8",IFERROR(G88/$G$6,"")&lt;&gt;0)),NOT(AND(LEFT(E88,5)="12.31",IFERROR(G88/$G$6,"")&lt;&gt;0)),NOT(AND(LEFT(E88,5)="12.32",IFERROR(G88/$G$6,"")&lt;&gt;0))),"", IFERROR(G88/$G$6,""))</f>
      </c>
      <c r="I88" s="73">
        <f>SUMIFS(
INDEX('ETPT Format DDG'!$A:$ZZ,,IFERROR(MATCH(E88,'ETPT Format DDG'!$2:$2,0),MATCH(C88,'ETPT Format DDG'!$2:$2,0))),
INDEX( 'ETPT Format DDG'!$A:$ZZ,,MATCH("Fonction agrégat",'ETPT Format DDG'!2:2,0)),"M-PLAC-ADD",
INDEX( 'ETPT Format DDG'!$A:$ZZ,,MATCH("Juridiction",'ETPT Format DDG'!2:2,0)),$A$3)</f>
      </c>
      <c r="J88" s="73">
        <f>SUMIFS(
INDEX('ETPT Format DDG'!$A:$ZZ,,IFERROR(MATCH(E88,'ETPT Format DDG'!$2:$2,0),MATCH(C88,'ETPT Format DDG'!$2:$2,0))),
INDEX( 'ETPT Format DDG'!$A:$ZZ,,MATCH("Fonction agrégat",'ETPT Format DDG'!2:2,0)),"M-PLAC-SUB",
INDEX( 'ETPT Format DDG'!$A:$ZZ,,MATCH("Juridiction",'ETPT Format DDG'!2:2,0)),$A$3)</f>
      </c>
      <c r="K88" s="73">
        <f>SUMIFS(
INDEX('ETPT Format DDG'!$A:$ZZ,,IFERROR(MATCH(E88,'ETPT Format DDG'!$2:$2,0),MATCH(C88,'ETPT Format DDG'!$2:$2,0))),
INDEX( 'ETPT Format DDG'!$A:$ZZ,,MATCH("Fonction agrégat",'ETPT Format DDG'!2:2,0)),"M-CONT",
INDEX( 'ETPT Format DDG'!$A:$ZZ,,MATCH("Juridiction",'ETPT Format DDG'!2:2,0)),$A$3,
INDEX( 'ETPT Format DDG'!$A:$ZZ,,MATCH("Catégorie",'ETPT Format DDG'!2:2,0)),"Magistrat")</f>
      </c>
      <c r="L88" s="71">
        <f>SUMIFS(
INDEX('ETPT Format DDG'!$A:$ZZ,,IFERROR(MATCH(E88,'ETPT Format DDG'!$2:$2,0),MATCH(C88,'ETPT Format DDG'!$2:$2,0))),
INDEX( 'ETPT Format DDG'!$A:$ZZ,,MATCH("Juridiction",'ETPT Format DDG'!2:2,0)),$A$3,
INDEX( 'ETPT Format DDG'!$A:$ZZ,,MATCH("Catégorie",'ETPT Format DDG'!2:2,0)),"Magistrat")</f>
      </c>
      <c r="M88" s="74">
        <f>IF(AND(OR(LEFT(C88,3)="12.",LEFT(E88,3)="12.",LEFT(E88,5)="CET &gt;", IFERROR(L88/$L$6,"")=0),NOT(AND(LEFT(E88,4)="12.8",IFERROR(G88/$G$6,"")&lt;&gt;0)),NOT(AND(LEFT(E88,5)="12.31",IFERROR(L88/$G$6,"")&lt;&gt;0)),NOT(AND(LEFT(E88,5)="12.32",IFERROR(L88/$G$6,"")&lt;&gt;0))),"", IFERROR(L88/$L$6,""))</f>
      </c>
      <c r="N88" s="73">
        <f>SUMIFS(
INDEX('ETPT Format DDG'!$A:$ZZ,,IFERROR(MATCH(E88,'ETPT Format DDG'!$2:$2,0),MATCH(C88,'ETPT Format DDG'!$2:$2,0))),
INDEX( 'ETPT Format DDG'!$A:$ZZ,,MATCH("Fonction agrégat",'ETPT Format DDG'!2:2,0)),"F-TIT",
INDEX( 'ETPT Format DDG'!$A:$ZZ,,MATCH("Juridiction",'ETPT Format DDG'!2:2,0)),$A$3)</f>
      </c>
      <c r="O88" s="72">
        <f>IF(AND(OR(LEFT(C88,3)="12.",LEFT(E88,3)="12.",LEFT(E88,5)="CET &gt;",IFERROR(N88/$N$6,"")=0),NOT(AND(LEFT(E88,4)="12.8",IFERROR(G88/$G$6,"")&lt;&gt;0)),NOT(AND(LEFT(E88,5)="12.31",IFERROR(N88/$G$6,"")&lt;&gt;0)),NOT(AND(LEFT(E88,5)="12.32",IFERROR(N88/$G$6,"")&lt;&gt;0))),"",IFERROR(N88/$N$6,""))</f>
      </c>
      <c r="P88" s="73">
        <f>SUMIFS(
INDEX('ETPT Format DDG'!$A:$FB,,IFERROR(MATCH(E88,'ETPT Format DDG'!$2:$2,0),MATCH(C88,'ETPT Format DDG'!$2:$2,0))),
INDEX( 'ETPT Format DDG'!$A:$ZZ,,MATCH("Fonction agrégat",'ETPT Format DDG'!2:2,0)),"F-PLAC-ADD",
INDEX( 'ETPT Format DDG'!$A:$ZZ,,MATCH("Juridiction",'ETPT Format DDG'!2:2,0)),$A$3)</f>
      </c>
      <c r="Q88" s="73">
        <f>SUMIFS(
INDEX('ETPT Format DDG'!$A:$FB,,IFERROR(MATCH(E88,'ETPT Format DDG'!$2:$2,0),MATCH(C88,'ETPT Format DDG'!$2:$2,0))),
INDEX( 'ETPT Format DDG'!$A:$ZZ,,MATCH("Fonction agrégat",'ETPT Format DDG'!2:2,0)),"F-PLAC-SUB",
INDEX( 'ETPT Format DDG'!$A:$ZZ,,MATCH("Juridiction",'ETPT Format DDG'!2:2,0)),$A$3)</f>
      </c>
      <c r="R88" s="73">
        <f>SUMIFS(
INDEX('ETPT Format DDG'!$A:$FB,,IFERROR(MATCH(E88,'ETPT Format DDG'!$2:$2,0),MATCH(C88,'ETPT Format DDG'!$2:$2,0))),
INDEX( 'ETPT Format DDG'!$A:$ZZ,,MATCH("Fonction agrégat",'ETPT Format DDG'!2:2,0)),"C",
'ETPT Format DDG'!$H:$H,"Greffe",
INDEX( 'ETPT Format DDG'!$A:$ZZ,,MATCH("Juridiction",'ETPT Format DDG'!2:2,0)),$A$3)</f>
      </c>
      <c r="S88" s="71">
        <f>SUMIFS(
INDEX('ETPT Format DDG'!$A:$FB,,IFERROR(MATCH(E88,'ETPT Format DDG'!$2:$2,0),MATCH(C88,'ETPT Format DDG'!$2:$2,0))),
INDEX( 'ETPT Format DDG'!$A:$ZZ,,MATCH("Catégorie",'ETPT Format DDG'!2:2,0)),"Greffe",
INDEX( 'ETPT Format DDG'!$A:$ZZ,,MATCH("Juridiction",'ETPT Format DDG'!2:2,0)),$A$3)</f>
      </c>
      <c r="T88" s="72">
        <f>IF(AND(OR(LEFT(C88,3)="12.",LEFT(E88,3)="12.",LEFT(E88,5)="CET &gt;",IFERROR(S88/$S$6,"")=0),NOT(AND(LEFT(E88,4)="12.8",IFERROR(G88/$G$6,"")&lt;&gt;0)),NOT(AND(LEFT(E88,5)="12.31",IFERROR(S88/$G$6,"")&lt;&gt;0)),NOT(AND(LEFT(E88,5)="12.32",IFERROR(S88/$G$6,"")&lt;&gt;0))),"", IFERROR(S88/$S$6,""))</f>
      </c>
      <c r="U88" s="71">
        <f>SUMIFS(
INDEX('ETPT Format DDG'!$A:$FB,,IFERROR(MATCH(E88,'ETPT Format DDG'!$2:$2,0),MATCH(C88,'ETPT Format DDG'!$2:$2,0))),
INDEX( 'ETPT Format DDG'!$A:$ZZ,,MATCH("Fonction agrégat",'ETPT Format DDG'!2:2,0)),"C",
INDEX( 'ETPT Format DDG'!$A:$ZZ,,MATCH("Juridiction",'ETPT Format DDG'!2:2,0)),$A$3,
INDEX( 'ETPT Format DDG'!$A:$ZZ,,MATCH("Catégorie",'ETPT Format DDG'!2:2,0)),"Autour du magistrat")</f>
      </c>
      <c r="V88" s="74">
        <f>IF(AND(OR(LEFT(C88,3)="12.",LEFT(E88,3)="12.",LEFT(E88,5)="CET &gt;",IFERROR(U88/$U$6,"")=0),NOT(AND(LEFT(E88,4)="12.8",IFERROR(G88/$G$6,"")&lt;&gt;0)),NOT(AND(LEFT(E88,5)="12.31",IFERROR(U88/$G$6,"")&lt;&gt;0)),NOT(AND(LEFT(E88,5)="12.32",IFERROR(U88/$G$6,"")&lt;&gt;0))),"", IFERROR(U88/$U$6,""))</f>
      </c>
    </row>
    <row r="89" ht="16" customHeight="1" spans="1:23" x14ac:dyDescent="0.25">
      <c r="A89" s="40"/>
      <c r="C89" s="68"/>
      <c r="D89" s="68"/>
      <c r="E89" s="69" t="s">
        <v>124</v>
      </c>
      <c r="F89" s="70" t="s">
        <v>124</v>
      </c>
      <c r="G89" s="71">
        <f>SUMIFS(
INDEX('ETPT Format DDG'!$A:$ZZ,,IFERROR(MATCH(E89,'ETPT Format DDG'!$2:$2,0),MATCH(C89,'ETPT Format DDG'!$2:$2,0))),
INDEX( 'ETPT Format DDG'!$A:$ZZ,,MATCH("Fonction agrégat",'ETPT Format DDG'!2:2,0)),"M-TIT",
INDEX( 'ETPT Format DDG'!$A:$ZZ,,MATCH("Juridiction",'ETPT Format DDG'!2:2,0)),$A$3)</f>
      </c>
      <c r="H89" s="72">
        <f>IF(AND(OR(LEFT(C89,3)="12.",LEFT(E89,3)="12.",LEFT(E89,5)="CET &gt;",IFERROR(G89/$G$6,"")=0),NOT(AND(LEFT(E89,4)="12.8",IFERROR(G89/$G$6,"")&lt;&gt;0)),NOT(AND(LEFT(E89,5)="12.31",IFERROR(G89/$G$6,"")&lt;&gt;0)),NOT(AND(LEFT(E89,5)="12.32",IFERROR(G89/$G$6,"")&lt;&gt;0))),"", IFERROR(G89/$G$6,""))</f>
      </c>
      <c r="I89" s="73">
        <f>SUMIFS(
INDEX('ETPT Format DDG'!$A:$ZZ,,IFERROR(MATCH(E89,'ETPT Format DDG'!$2:$2,0),MATCH(C89,'ETPT Format DDG'!$2:$2,0))),
INDEX( 'ETPT Format DDG'!$A:$ZZ,,MATCH("Fonction agrégat",'ETPT Format DDG'!2:2,0)),"M-PLAC-ADD",
INDEX( 'ETPT Format DDG'!$A:$ZZ,,MATCH("Juridiction",'ETPT Format DDG'!2:2,0)),$A$3)</f>
      </c>
      <c r="J89" s="73">
        <f>SUMIFS(
INDEX('ETPT Format DDG'!$A:$ZZ,,IFERROR(MATCH(E89,'ETPT Format DDG'!$2:$2,0),MATCH(C89,'ETPT Format DDG'!$2:$2,0))),
INDEX( 'ETPT Format DDG'!$A:$ZZ,,MATCH("Fonction agrégat",'ETPT Format DDG'!2:2,0)),"M-PLAC-SUB",
INDEX( 'ETPT Format DDG'!$A:$ZZ,,MATCH("Juridiction",'ETPT Format DDG'!2:2,0)),$A$3)</f>
      </c>
      <c r="K89" s="73">
        <f>SUMIFS(
INDEX('ETPT Format DDG'!$A:$ZZ,,IFERROR(MATCH(E89,'ETPT Format DDG'!$2:$2,0),MATCH(C89,'ETPT Format DDG'!$2:$2,0))),
INDEX( 'ETPT Format DDG'!$A:$ZZ,,MATCH("Fonction agrégat",'ETPT Format DDG'!2:2,0)),"M-CONT",
INDEX( 'ETPT Format DDG'!$A:$ZZ,,MATCH("Juridiction",'ETPT Format DDG'!2:2,0)),$A$3,
INDEX( 'ETPT Format DDG'!$A:$ZZ,,MATCH("Catégorie",'ETPT Format DDG'!2:2,0)),"Magistrat")</f>
      </c>
      <c r="L89" s="71">
        <f>SUMIFS(
INDEX('ETPT Format DDG'!$A:$ZZ,,IFERROR(MATCH(E89,'ETPT Format DDG'!$2:$2,0),MATCH(C89,'ETPT Format DDG'!$2:$2,0))),
INDEX( 'ETPT Format DDG'!$A:$ZZ,,MATCH("Juridiction",'ETPT Format DDG'!2:2,0)),$A$3,
INDEX( 'ETPT Format DDG'!$A:$ZZ,,MATCH("Catégorie",'ETPT Format DDG'!2:2,0)),"Magistrat")</f>
      </c>
      <c r="M89" s="74">
        <f>IF(AND(OR(LEFT(C89,3)="12.",LEFT(E89,3)="12.",LEFT(E89,5)="CET &gt;", IFERROR(L89/$L$6,"")=0),NOT(AND(LEFT(E89,4)="12.8",IFERROR(G89/$G$6,"")&lt;&gt;0)),NOT(AND(LEFT(E89,5)="12.31",IFERROR(L89/$G$6,"")&lt;&gt;0)),NOT(AND(LEFT(E89,5)="12.32",IFERROR(L89/$G$6,"")&lt;&gt;0))),"", IFERROR(L89/$L$6,""))</f>
      </c>
      <c r="N89" s="73">
        <f>SUMIFS(
INDEX('ETPT Format DDG'!$A:$ZZ,,IFERROR(MATCH(E89,'ETPT Format DDG'!$2:$2,0),MATCH(C89,'ETPT Format DDG'!$2:$2,0))),
INDEX( 'ETPT Format DDG'!$A:$ZZ,,MATCH("Fonction agrégat",'ETPT Format DDG'!2:2,0)),"F-TIT",
INDEX( 'ETPT Format DDG'!$A:$ZZ,,MATCH("Juridiction",'ETPT Format DDG'!2:2,0)),$A$3)</f>
      </c>
      <c r="O89" s="72">
        <f>IF(AND(OR(LEFT(C89,3)="12.",LEFT(E89,3)="12.",LEFT(E89,5)="CET &gt;",IFERROR(N89/$N$6,"")=0),NOT(AND(LEFT(E89,4)="12.8",IFERROR(G89/$G$6,"")&lt;&gt;0)),NOT(AND(LEFT(E89,5)="12.31",IFERROR(N89/$G$6,"")&lt;&gt;0)),NOT(AND(LEFT(E89,5)="12.32",IFERROR(N89/$G$6,"")&lt;&gt;0))),"",IFERROR(N89/$N$6,""))</f>
      </c>
      <c r="P89" s="73">
        <f>SUMIFS(
INDEX('ETPT Format DDG'!$A:$FB,,IFERROR(MATCH(E89,'ETPT Format DDG'!$2:$2,0),MATCH(C89,'ETPT Format DDG'!$2:$2,0))),
INDEX( 'ETPT Format DDG'!$A:$ZZ,,MATCH("Fonction agrégat",'ETPT Format DDG'!2:2,0)),"F-PLAC-ADD",
INDEX( 'ETPT Format DDG'!$A:$ZZ,,MATCH("Juridiction",'ETPT Format DDG'!2:2,0)),$A$3)</f>
      </c>
      <c r="Q89" s="73">
        <f>SUMIFS(
INDEX('ETPT Format DDG'!$A:$FB,,IFERROR(MATCH(E89,'ETPT Format DDG'!$2:$2,0),MATCH(C89,'ETPT Format DDG'!$2:$2,0))),
INDEX( 'ETPT Format DDG'!$A:$ZZ,,MATCH("Fonction agrégat",'ETPT Format DDG'!2:2,0)),"F-PLAC-SUB",
INDEX( 'ETPT Format DDG'!$A:$ZZ,,MATCH("Juridiction",'ETPT Format DDG'!2:2,0)),$A$3)</f>
      </c>
      <c r="R89" s="73">
        <f>SUMIFS(
INDEX('ETPT Format DDG'!$A:$FB,,IFERROR(MATCH(E89,'ETPT Format DDG'!$2:$2,0),MATCH(C89,'ETPT Format DDG'!$2:$2,0))),
INDEX( 'ETPT Format DDG'!$A:$ZZ,,MATCH("Fonction agrégat",'ETPT Format DDG'!2:2,0)),"C",
'ETPT Format DDG'!$H:$H,"Greffe",
INDEX( 'ETPT Format DDG'!$A:$ZZ,,MATCH("Juridiction",'ETPT Format DDG'!2:2,0)),$A$3)</f>
      </c>
      <c r="S89" s="71">
        <f>SUMIFS(
INDEX('ETPT Format DDG'!$A:$FB,,IFERROR(MATCH(E89,'ETPT Format DDG'!$2:$2,0),MATCH(C89,'ETPT Format DDG'!$2:$2,0))),
INDEX( 'ETPT Format DDG'!$A:$ZZ,,MATCH("Catégorie",'ETPT Format DDG'!2:2,0)),"Greffe",
INDEX( 'ETPT Format DDG'!$A:$ZZ,,MATCH("Juridiction",'ETPT Format DDG'!2:2,0)),$A$3)</f>
      </c>
      <c r="T89" s="72">
        <f>IF(AND(OR(LEFT(C89,3)="12.",LEFT(E89,3)="12.",LEFT(E89,5)="CET &gt;",IFERROR(S89/$S$6,"")=0),NOT(AND(LEFT(E89,4)="12.8",IFERROR(G89/$G$6,"")&lt;&gt;0)),NOT(AND(LEFT(E89,5)="12.31",IFERROR(S89/$G$6,"")&lt;&gt;0)),NOT(AND(LEFT(E89,5)="12.32",IFERROR(S89/$G$6,"")&lt;&gt;0))),"", IFERROR(S89/$S$6,""))</f>
      </c>
      <c r="U89" s="71">
        <f>SUMIFS(
INDEX('ETPT Format DDG'!$A:$FB,,IFERROR(MATCH(E89,'ETPT Format DDG'!$2:$2,0),MATCH(C89,'ETPT Format DDG'!$2:$2,0))),
INDEX( 'ETPT Format DDG'!$A:$ZZ,,MATCH("Fonction agrégat",'ETPT Format DDG'!2:2,0)),"C",
INDEX( 'ETPT Format DDG'!$A:$ZZ,,MATCH("Juridiction",'ETPT Format DDG'!2:2,0)),$A$3,
INDEX( 'ETPT Format DDG'!$A:$ZZ,,MATCH("Catégorie",'ETPT Format DDG'!2:2,0)),"Autour du magistrat")</f>
      </c>
      <c r="V89" s="74">
        <f>IF(AND(OR(LEFT(C89,3)="12.",LEFT(E89,3)="12.",LEFT(E89,5)="CET &gt;",IFERROR(U89/$U$6,"")=0),NOT(AND(LEFT(E89,4)="12.8",IFERROR(G89/$G$6,"")&lt;&gt;0)),NOT(AND(LEFT(E89,5)="12.31",IFERROR(U89/$G$6,"")&lt;&gt;0)),NOT(AND(LEFT(E89,5)="12.32",IFERROR(U89/$G$6,"")&lt;&gt;0))),"", IFERROR(U89/$U$6,""))</f>
      </c>
    </row>
    <row r="90" ht="16" customHeight="1" spans="1:23" x14ac:dyDescent="0.25">
      <c r="A90" s="40"/>
      <c r="C90" s="68" t="s">
        <v>125</v>
      </c>
      <c r="D90" s="68" t="s">
        <v>125</v>
      </c>
      <c r="E90" s="69"/>
      <c r="F90" s="70"/>
      <c r="G90" s="71">
        <f>SUMIFS(
INDEX('ETPT Format DDG'!$A:$ZZ,,IFERROR(MATCH(E90,'ETPT Format DDG'!$2:$2,0),MATCH(C90,'ETPT Format DDG'!$2:$2,0))),
INDEX( 'ETPT Format DDG'!$A:$ZZ,,MATCH("Fonction agrégat",'ETPT Format DDG'!2:2,0)),"M-TIT",
INDEX( 'ETPT Format DDG'!$A:$ZZ,,MATCH("Juridiction",'ETPT Format DDG'!2:2,0)),$A$3)</f>
      </c>
      <c r="H90" s="72">
        <f>IF(AND(OR(LEFT(C90,3)="12.",LEFT(E90,3)="12.",LEFT(E90,5)="CET &gt;",IFERROR(G90/$G$6,"")=0),NOT(AND(LEFT(E90,4)="12.8",IFERROR(G90/$G$6,"")&lt;&gt;0)),NOT(AND(LEFT(E90,5)="12.31",IFERROR(G90/$G$6,"")&lt;&gt;0)),NOT(AND(LEFT(E90,5)="12.32",IFERROR(G90/$G$6,"")&lt;&gt;0))),"", IFERROR(G90/$G$6,""))</f>
      </c>
      <c r="I90" s="73">
        <f>SUMIFS(
INDEX('ETPT Format DDG'!$A:$ZZ,,IFERROR(MATCH(E90,'ETPT Format DDG'!$2:$2,0),MATCH(C90,'ETPT Format DDG'!$2:$2,0))),
INDEX( 'ETPT Format DDG'!$A:$ZZ,,MATCH("Fonction agrégat",'ETPT Format DDG'!2:2,0)),"M-PLAC-ADD",
INDEX( 'ETPT Format DDG'!$A:$ZZ,,MATCH("Juridiction",'ETPT Format DDG'!2:2,0)),$A$3)</f>
      </c>
      <c r="J90" s="73">
        <f>SUMIFS(
INDEX('ETPT Format DDG'!$A:$ZZ,,IFERROR(MATCH(E90,'ETPT Format DDG'!$2:$2,0),MATCH(C90,'ETPT Format DDG'!$2:$2,0))),
INDEX( 'ETPT Format DDG'!$A:$ZZ,,MATCH("Fonction agrégat",'ETPT Format DDG'!2:2,0)),"M-PLAC-SUB",
INDEX( 'ETPT Format DDG'!$A:$ZZ,,MATCH("Juridiction",'ETPT Format DDG'!2:2,0)),$A$3)</f>
      </c>
      <c r="K90" s="73">
        <f>SUMIFS(
INDEX('ETPT Format DDG'!$A:$ZZ,,IFERROR(MATCH(E90,'ETPT Format DDG'!$2:$2,0),MATCH(C90,'ETPT Format DDG'!$2:$2,0))),
INDEX( 'ETPT Format DDG'!$A:$ZZ,,MATCH("Fonction agrégat",'ETPT Format DDG'!2:2,0)),"M-CONT",
INDEX( 'ETPT Format DDG'!$A:$ZZ,,MATCH("Juridiction",'ETPT Format DDG'!2:2,0)),$A$3,
INDEX( 'ETPT Format DDG'!$A:$ZZ,,MATCH("Catégorie",'ETPT Format DDG'!2:2,0)),"Magistrat")</f>
      </c>
      <c r="L90" s="71">
        <f>SUMIFS(
INDEX('ETPT Format DDG'!$A:$ZZ,,IFERROR(MATCH(E90,'ETPT Format DDG'!$2:$2,0),MATCH(C90,'ETPT Format DDG'!$2:$2,0))),
INDEX( 'ETPT Format DDG'!$A:$ZZ,,MATCH("Juridiction",'ETPT Format DDG'!2:2,0)),$A$3,
INDEX( 'ETPT Format DDG'!$A:$ZZ,,MATCH("Catégorie",'ETPT Format DDG'!2:2,0)),"Magistrat")</f>
      </c>
      <c r="M90" s="74">
        <f>IF(AND(OR(LEFT(C90,3)="12.",LEFT(E90,3)="12.",LEFT(E90,5)="CET &gt;", IFERROR(L90/$L$6,"")=0),NOT(AND(LEFT(E90,4)="12.8",IFERROR(G90/$G$6,"")&lt;&gt;0)),NOT(AND(LEFT(E90,5)="12.31",IFERROR(L90/$G$6,"")&lt;&gt;0)),NOT(AND(LEFT(E90,5)="12.32",IFERROR(L90/$G$6,"")&lt;&gt;0))),"", IFERROR(L90/$L$6,""))</f>
      </c>
      <c r="N90" s="73">
        <f>SUMIFS(
INDEX('ETPT Format DDG'!$A:$ZZ,,IFERROR(MATCH(E90,'ETPT Format DDG'!$2:$2,0),MATCH(C90,'ETPT Format DDG'!$2:$2,0))),
INDEX( 'ETPT Format DDG'!$A:$ZZ,,MATCH("Fonction agrégat",'ETPT Format DDG'!2:2,0)),"F-TIT",
INDEX( 'ETPT Format DDG'!$A:$ZZ,,MATCH("Juridiction",'ETPT Format DDG'!2:2,0)),$A$3)</f>
      </c>
      <c r="O90" s="72">
        <f>IF(AND(OR(LEFT(C90,3)="12.",LEFT(E90,3)="12.",LEFT(E90,5)="CET &gt;",IFERROR(N90/$N$6,"")=0),NOT(AND(LEFT(E90,4)="12.8",IFERROR(G90/$G$6,"")&lt;&gt;0)),NOT(AND(LEFT(E90,5)="12.31",IFERROR(N90/$G$6,"")&lt;&gt;0)),NOT(AND(LEFT(E90,5)="12.32",IFERROR(N90/$G$6,"")&lt;&gt;0))),"",IFERROR(N90/$N$6,""))</f>
      </c>
      <c r="P90" s="73">
        <f>SUMIFS(
INDEX('ETPT Format DDG'!$A:$FB,,IFERROR(MATCH(E90,'ETPT Format DDG'!$2:$2,0),MATCH(C90,'ETPT Format DDG'!$2:$2,0))),
INDEX( 'ETPT Format DDG'!$A:$ZZ,,MATCH("Fonction agrégat",'ETPT Format DDG'!2:2,0)),"F-PLAC-ADD",
INDEX( 'ETPT Format DDG'!$A:$ZZ,,MATCH("Juridiction",'ETPT Format DDG'!2:2,0)),$A$3)</f>
      </c>
      <c r="Q90" s="73">
        <f>SUMIFS(
INDEX('ETPT Format DDG'!$A:$FB,,IFERROR(MATCH(E90,'ETPT Format DDG'!$2:$2,0),MATCH(C90,'ETPT Format DDG'!$2:$2,0))),
INDEX( 'ETPT Format DDG'!$A:$ZZ,,MATCH("Fonction agrégat",'ETPT Format DDG'!2:2,0)),"F-PLAC-SUB",
INDEX( 'ETPT Format DDG'!$A:$ZZ,,MATCH("Juridiction",'ETPT Format DDG'!2:2,0)),$A$3)</f>
      </c>
      <c r="R90" s="73">
        <f>SUMIFS(
INDEX('ETPT Format DDG'!$A:$FB,,IFERROR(MATCH(E90,'ETPT Format DDG'!$2:$2,0),MATCH(C90,'ETPT Format DDG'!$2:$2,0))),
INDEX( 'ETPT Format DDG'!$A:$ZZ,,MATCH("Fonction agrégat",'ETPT Format DDG'!2:2,0)),"C",
'ETPT Format DDG'!$H:$H,"Greffe",
INDEX( 'ETPT Format DDG'!$A:$ZZ,,MATCH("Juridiction",'ETPT Format DDG'!2:2,0)),$A$3)</f>
      </c>
      <c r="S90" s="71">
        <f>SUMIFS(
INDEX('ETPT Format DDG'!$A:$FB,,IFERROR(MATCH(E90,'ETPT Format DDG'!$2:$2,0),MATCH(C90,'ETPT Format DDG'!$2:$2,0))),
INDEX( 'ETPT Format DDG'!$A:$ZZ,,MATCH("Catégorie",'ETPT Format DDG'!2:2,0)),"Greffe",
INDEX( 'ETPT Format DDG'!$A:$ZZ,,MATCH("Juridiction",'ETPT Format DDG'!2:2,0)),$A$3)</f>
      </c>
      <c r="T90" s="72">
        <f>IF(AND(OR(LEFT(C90,3)="12.",LEFT(E90,3)="12.",LEFT(E90,5)="CET &gt;",IFERROR(S90/$S$6,"")=0),NOT(AND(LEFT(E90,4)="12.8",IFERROR(G90/$G$6,"")&lt;&gt;0)),NOT(AND(LEFT(E90,5)="12.31",IFERROR(S90/$G$6,"")&lt;&gt;0)),NOT(AND(LEFT(E90,5)="12.32",IFERROR(S90/$G$6,"")&lt;&gt;0))),"", IFERROR(S90/$S$6,""))</f>
      </c>
      <c r="U90" s="71">
        <f>SUMIFS(
INDEX('ETPT Format DDG'!$A:$FB,,IFERROR(MATCH(E90,'ETPT Format DDG'!$2:$2,0),MATCH(C90,'ETPT Format DDG'!$2:$2,0))),
INDEX( 'ETPT Format DDG'!$A:$ZZ,,MATCH("Fonction agrégat",'ETPT Format DDG'!2:2,0)),"C",
INDEX( 'ETPT Format DDG'!$A:$ZZ,,MATCH("Juridiction",'ETPT Format DDG'!2:2,0)),$A$3,
INDEX( 'ETPT Format DDG'!$A:$ZZ,,MATCH("Catégorie",'ETPT Format DDG'!2:2,0)),"Autour du magistrat")</f>
      </c>
      <c r="V90" s="74">
        <f>IF(AND(OR(LEFT(C90,3)="12.",LEFT(E90,3)="12.",LEFT(E90,5)="CET &gt;",IFERROR(U90/$U$6,"")=0),NOT(AND(LEFT(E90,4)="12.8",IFERROR(G90/$G$6,"")&lt;&gt;0)),NOT(AND(LEFT(E90,5)="12.31",IFERROR(U90/$G$6,"")&lt;&gt;0)),NOT(AND(LEFT(E90,5)="12.32",IFERROR(U90/$G$6,"")&lt;&gt;0))),"", IFERROR(U90/$U$6,""))</f>
      </c>
    </row>
    <row r="91" ht="16" customHeight="1" spans="1:23" x14ac:dyDescent="0.25">
      <c r="A91" s="40"/>
      <c r="C91" s="68"/>
      <c r="D91" s="68"/>
      <c r="E91" s="69" t="s">
        <v>126</v>
      </c>
      <c r="F91" s="70" t="s">
        <v>126</v>
      </c>
      <c r="G91" s="71">
        <f>SUMIFS(
INDEX('ETPT Format DDG'!$A:$ZZ,,IFERROR(MATCH(E91,'ETPT Format DDG'!$2:$2,0),MATCH(C91,'ETPT Format DDG'!$2:$2,0))),
INDEX( 'ETPT Format DDG'!$A:$ZZ,,MATCH("Fonction agrégat",'ETPT Format DDG'!2:2,0)),"M-TIT",
INDEX( 'ETPT Format DDG'!$A:$ZZ,,MATCH("Juridiction",'ETPT Format DDG'!2:2,0)),$A$3)</f>
      </c>
      <c r="H91" s="72">
        <f>IF(AND(OR(LEFT(C91,3)="12.",LEFT(E91,3)="12.",LEFT(E91,5)="CET &gt;",IFERROR(G91/$G$6,"")=0),NOT(AND(LEFT(E91,4)="12.8",IFERROR(G91/$G$6,"")&lt;&gt;0)),NOT(AND(LEFT(E91,5)="12.31",IFERROR(G91/$G$6,"")&lt;&gt;0)),NOT(AND(LEFT(E91,5)="12.32",IFERROR(G91/$G$6,"")&lt;&gt;0))),"", IFERROR(G91/$G$6,""))</f>
      </c>
      <c r="I91" s="73">
        <f>SUMIFS(
INDEX('ETPT Format DDG'!$A:$ZZ,,IFERROR(MATCH(E91,'ETPT Format DDG'!$2:$2,0),MATCH(C91,'ETPT Format DDG'!$2:$2,0))),
INDEX( 'ETPT Format DDG'!$A:$ZZ,,MATCH("Fonction agrégat",'ETPT Format DDG'!2:2,0)),"M-PLAC-ADD",
INDEX( 'ETPT Format DDG'!$A:$ZZ,,MATCH("Juridiction",'ETPT Format DDG'!2:2,0)),$A$3)</f>
      </c>
      <c r="J91" s="73">
        <f>SUMIFS(
INDEX('ETPT Format DDG'!$A:$ZZ,,IFERROR(MATCH(E91,'ETPT Format DDG'!$2:$2,0),MATCH(C91,'ETPT Format DDG'!$2:$2,0))),
INDEX( 'ETPT Format DDG'!$A:$ZZ,,MATCH("Fonction agrégat",'ETPT Format DDG'!2:2,0)),"M-PLAC-SUB",
INDEX( 'ETPT Format DDG'!$A:$ZZ,,MATCH("Juridiction",'ETPT Format DDG'!2:2,0)),$A$3)</f>
      </c>
      <c r="K91" s="73">
        <f>SUMIFS(
INDEX('ETPT Format DDG'!$A:$ZZ,,IFERROR(MATCH(E91,'ETPT Format DDG'!$2:$2,0),MATCH(C91,'ETPT Format DDG'!$2:$2,0))),
INDEX( 'ETPT Format DDG'!$A:$ZZ,,MATCH("Fonction agrégat",'ETPT Format DDG'!2:2,0)),"M-CONT",
INDEX( 'ETPT Format DDG'!$A:$ZZ,,MATCH("Juridiction",'ETPT Format DDG'!2:2,0)),$A$3,
INDEX( 'ETPT Format DDG'!$A:$ZZ,,MATCH("Catégorie",'ETPT Format DDG'!2:2,0)),"Magistrat")</f>
      </c>
      <c r="L91" s="71">
        <f>SUMIFS(
INDEX('ETPT Format DDG'!$A:$ZZ,,IFERROR(MATCH(E91,'ETPT Format DDG'!$2:$2,0),MATCH(C91,'ETPT Format DDG'!$2:$2,0))),
INDEX( 'ETPT Format DDG'!$A:$ZZ,,MATCH("Juridiction",'ETPT Format DDG'!2:2,0)),$A$3,
INDEX( 'ETPT Format DDG'!$A:$ZZ,,MATCH("Catégorie",'ETPT Format DDG'!2:2,0)),"Magistrat")</f>
      </c>
      <c r="M91" s="74">
        <f>IF(AND(OR(LEFT(C91,3)="12.",LEFT(E91,3)="12.",LEFT(E91,5)="CET &gt;", IFERROR(L91/$L$6,"")=0),NOT(AND(LEFT(E91,4)="12.8",IFERROR(G91/$G$6,"")&lt;&gt;0)),NOT(AND(LEFT(E91,5)="12.31",IFERROR(L91/$G$6,"")&lt;&gt;0)),NOT(AND(LEFT(E91,5)="12.32",IFERROR(L91/$G$6,"")&lt;&gt;0))),"", IFERROR(L91/$L$6,""))</f>
      </c>
      <c r="N91" s="73">
        <f>SUMIFS(
INDEX('ETPT Format DDG'!$A:$ZZ,,IFERROR(MATCH(E91,'ETPT Format DDG'!$2:$2,0),MATCH(C91,'ETPT Format DDG'!$2:$2,0))),
INDEX( 'ETPT Format DDG'!$A:$ZZ,,MATCH("Fonction agrégat",'ETPT Format DDG'!2:2,0)),"F-TIT",
INDEX( 'ETPT Format DDG'!$A:$ZZ,,MATCH("Juridiction",'ETPT Format DDG'!2:2,0)),$A$3)</f>
      </c>
      <c r="O91" s="72">
        <f>IF(AND(OR(LEFT(C91,3)="12.",LEFT(E91,3)="12.",LEFT(E91,5)="CET &gt;",IFERROR(N91/$N$6,"")=0),NOT(AND(LEFT(E91,4)="12.8",IFERROR(G91/$G$6,"")&lt;&gt;0)),NOT(AND(LEFT(E91,5)="12.31",IFERROR(N91/$G$6,"")&lt;&gt;0)),NOT(AND(LEFT(E91,5)="12.32",IFERROR(N91/$G$6,"")&lt;&gt;0))),"",IFERROR(N91/$N$6,""))</f>
      </c>
      <c r="P91" s="73">
        <f>SUMIFS(
INDEX('ETPT Format DDG'!$A:$FB,,IFERROR(MATCH(E91,'ETPT Format DDG'!$2:$2,0),MATCH(C91,'ETPT Format DDG'!$2:$2,0))),
INDEX( 'ETPT Format DDG'!$A:$ZZ,,MATCH("Fonction agrégat",'ETPT Format DDG'!2:2,0)),"F-PLAC-ADD",
INDEX( 'ETPT Format DDG'!$A:$ZZ,,MATCH("Juridiction",'ETPT Format DDG'!2:2,0)),$A$3)</f>
      </c>
      <c r="Q91" s="73">
        <f>SUMIFS(
INDEX('ETPT Format DDG'!$A:$FB,,IFERROR(MATCH(E91,'ETPT Format DDG'!$2:$2,0),MATCH(C91,'ETPT Format DDG'!$2:$2,0))),
INDEX( 'ETPT Format DDG'!$A:$ZZ,,MATCH("Fonction agrégat",'ETPT Format DDG'!2:2,0)),"F-PLAC-SUB",
INDEX( 'ETPT Format DDG'!$A:$ZZ,,MATCH("Juridiction",'ETPT Format DDG'!2:2,0)),$A$3)</f>
      </c>
      <c r="R91" s="73">
        <f>SUMIFS(
INDEX('ETPT Format DDG'!$A:$FB,,IFERROR(MATCH(E91,'ETPT Format DDG'!$2:$2,0),MATCH(C91,'ETPT Format DDG'!$2:$2,0))),
INDEX( 'ETPT Format DDG'!$A:$ZZ,,MATCH("Fonction agrégat",'ETPT Format DDG'!2:2,0)),"C",
'ETPT Format DDG'!$H:$H,"Greffe",
INDEX( 'ETPT Format DDG'!$A:$ZZ,,MATCH("Juridiction",'ETPT Format DDG'!2:2,0)),$A$3)</f>
      </c>
      <c r="S91" s="71">
        <f>SUMIFS(
INDEX('ETPT Format DDG'!$A:$FB,,IFERROR(MATCH(E91,'ETPT Format DDG'!$2:$2,0),MATCH(C91,'ETPT Format DDG'!$2:$2,0))),
INDEX( 'ETPT Format DDG'!$A:$ZZ,,MATCH("Catégorie",'ETPT Format DDG'!2:2,0)),"Greffe",
INDEX( 'ETPT Format DDG'!$A:$ZZ,,MATCH("Juridiction",'ETPT Format DDG'!2:2,0)),$A$3)</f>
      </c>
      <c r="T91" s="72">
        <f>IF(AND(OR(LEFT(C91,3)="12.",LEFT(E91,3)="12.",LEFT(E91,5)="CET &gt;",IFERROR(S91/$S$6,"")=0),NOT(AND(LEFT(E91,4)="12.8",IFERROR(G91/$G$6,"")&lt;&gt;0)),NOT(AND(LEFT(E91,5)="12.31",IFERROR(S91/$G$6,"")&lt;&gt;0)),NOT(AND(LEFT(E91,5)="12.32",IFERROR(S91/$G$6,"")&lt;&gt;0))),"", IFERROR(S91/$S$6,""))</f>
      </c>
      <c r="U91" s="71">
        <f>SUMIFS(
INDEX('ETPT Format DDG'!$A:$FB,,IFERROR(MATCH(E91,'ETPT Format DDG'!$2:$2,0),MATCH(C91,'ETPT Format DDG'!$2:$2,0))),
INDEX( 'ETPT Format DDG'!$A:$ZZ,,MATCH("Fonction agrégat",'ETPT Format DDG'!2:2,0)),"C",
INDEX( 'ETPT Format DDG'!$A:$ZZ,,MATCH("Juridiction",'ETPT Format DDG'!2:2,0)),$A$3,
INDEX( 'ETPT Format DDG'!$A:$ZZ,,MATCH("Catégorie",'ETPT Format DDG'!2:2,0)),"Autour du magistrat")</f>
      </c>
      <c r="V91" s="74">
        <f>IF(AND(OR(LEFT(C91,3)="12.",LEFT(E91,3)="12.",LEFT(E91,5)="CET &gt;",IFERROR(U91/$U$6,"")=0),NOT(AND(LEFT(E91,4)="12.8",IFERROR(G91/$G$6,"")&lt;&gt;0)),NOT(AND(LEFT(E91,5)="12.31",IFERROR(U91/$G$6,"")&lt;&gt;0)),NOT(AND(LEFT(E91,5)="12.32",IFERROR(U91/$G$6,"")&lt;&gt;0))),"", IFERROR(U91/$U$6,""))</f>
      </c>
    </row>
    <row r="92" ht="16" customHeight="1" spans="1:23" x14ac:dyDescent="0.25">
      <c r="A92" s="40"/>
      <c r="C92" s="68"/>
      <c r="D92" s="68"/>
      <c r="E92" s="69" t="s">
        <v>127</v>
      </c>
      <c r="F92" s="70" t="s">
        <v>127</v>
      </c>
      <c r="G92" s="71">
        <f>SUMIFS(
INDEX('ETPT Format DDG'!$A:$ZZ,,IFERROR(MATCH(E92,'ETPT Format DDG'!$2:$2,0),MATCH(C92,'ETPT Format DDG'!$2:$2,0))),
INDEX( 'ETPT Format DDG'!$A:$ZZ,,MATCH("Fonction agrégat",'ETPT Format DDG'!2:2,0)),"M-TIT",
INDEX( 'ETPT Format DDG'!$A:$ZZ,,MATCH("Juridiction",'ETPT Format DDG'!2:2,0)),$A$3)</f>
      </c>
      <c r="H92" s="72">
        <f>IF(AND(OR(LEFT(C92,3)="12.",LEFT(E92,3)="12.",LEFT(E92,5)="CET &gt;",IFERROR(G92/$G$6,"")=0),NOT(AND(LEFT(E92,4)="12.8",IFERROR(G92/$G$6,"")&lt;&gt;0)),NOT(AND(LEFT(E92,5)="12.31",IFERROR(G92/$G$6,"")&lt;&gt;0)),NOT(AND(LEFT(E92,5)="12.32",IFERROR(G92/$G$6,"")&lt;&gt;0))),"", IFERROR(G92/$G$6,""))</f>
      </c>
      <c r="I92" s="73">
        <f>SUMIFS(
INDEX('ETPT Format DDG'!$A:$ZZ,,IFERROR(MATCH(E92,'ETPT Format DDG'!$2:$2,0),MATCH(C92,'ETPT Format DDG'!$2:$2,0))),
INDEX( 'ETPT Format DDG'!$A:$ZZ,,MATCH("Fonction agrégat",'ETPT Format DDG'!2:2,0)),"M-PLAC-ADD",
INDEX( 'ETPT Format DDG'!$A:$ZZ,,MATCH("Juridiction",'ETPT Format DDG'!2:2,0)),$A$3)</f>
      </c>
      <c r="J92" s="73">
        <f>SUMIFS(
INDEX('ETPT Format DDG'!$A:$ZZ,,IFERROR(MATCH(E92,'ETPT Format DDG'!$2:$2,0),MATCH(C92,'ETPT Format DDG'!$2:$2,0))),
INDEX( 'ETPT Format DDG'!$A:$ZZ,,MATCH("Fonction agrégat",'ETPT Format DDG'!2:2,0)),"M-PLAC-SUB",
INDEX( 'ETPT Format DDG'!$A:$ZZ,,MATCH("Juridiction",'ETPT Format DDG'!2:2,0)),$A$3)</f>
      </c>
      <c r="K92" s="73">
        <f>SUMIFS(
INDEX('ETPT Format DDG'!$A:$ZZ,,IFERROR(MATCH(E92,'ETPT Format DDG'!$2:$2,0),MATCH(C92,'ETPT Format DDG'!$2:$2,0))),
INDEX( 'ETPT Format DDG'!$A:$ZZ,,MATCH("Fonction agrégat",'ETPT Format DDG'!2:2,0)),"M-CONT",
INDEX( 'ETPT Format DDG'!$A:$ZZ,,MATCH("Juridiction",'ETPT Format DDG'!2:2,0)),$A$3,
INDEX( 'ETPT Format DDG'!$A:$ZZ,,MATCH("Catégorie",'ETPT Format DDG'!2:2,0)),"Magistrat")</f>
      </c>
      <c r="L92" s="71">
        <f>SUMIFS(
INDEX('ETPT Format DDG'!$A:$ZZ,,IFERROR(MATCH(E92,'ETPT Format DDG'!$2:$2,0),MATCH(C92,'ETPT Format DDG'!$2:$2,0))),
INDEX( 'ETPT Format DDG'!$A:$ZZ,,MATCH("Juridiction",'ETPT Format DDG'!2:2,0)),$A$3,
INDEX( 'ETPT Format DDG'!$A:$ZZ,,MATCH("Catégorie",'ETPT Format DDG'!2:2,0)),"Magistrat")</f>
      </c>
      <c r="M92" s="74">
        <f>IF(AND(OR(LEFT(C92,3)="12.",LEFT(E92,3)="12.",LEFT(E92,5)="CET &gt;", IFERROR(L92/$L$6,"")=0),NOT(AND(LEFT(E92,4)="12.8",IFERROR(G92/$G$6,"")&lt;&gt;0)),NOT(AND(LEFT(E92,5)="12.31",IFERROR(L92/$G$6,"")&lt;&gt;0)),NOT(AND(LEFT(E92,5)="12.32",IFERROR(L92/$G$6,"")&lt;&gt;0))),"", IFERROR(L92/$L$6,""))</f>
      </c>
      <c r="N92" s="73">
        <f>SUMIFS(
INDEX('ETPT Format DDG'!$A:$ZZ,,IFERROR(MATCH(E92,'ETPT Format DDG'!$2:$2,0),MATCH(C92,'ETPT Format DDG'!$2:$2,0))),
INDEX( 'ETPT Format DDG'!$A:$ZZ,,MATCH("Fonction agrégat",'ETPT Format DDG'!2:2,0)),"F-TIT",
INDEX( 'ETPT Format DDG'!$A:$ZZ,,MATCH("Juridiction",'ETPT Format DDG'!2:2,0)),$A$3)</f>
      </c>
      <c r="O92" s="72">
        <f>IF(AND(OR(LEFT(C92,3)="12.",LEFT(E92,3)="12.",LEFT(E92,5)="CET &gt;",IFERROR(N92/$N$6,"")=0),NOT(AND(LEFT(E92,4)="12.8",IFERROR(G92/$G$6,"")&lt;&gt;0)),NOT(AND(LEFT(E92,5)="12.31",IFERROR(N92/$G$6,"")&lt;&gt;0)),NOT(AND(LEFT(E92,5)="12.32",IFERROR(N92/$G$6,"")&lt;&gt;0))),"",IFERROR(N92/$N$6,""))</f>
      </c>
      <c r="P92" s="73">
        <f>SUMIFS(
INDEX('ETPT Format DDG'!$A:$FB,,IFERROR(MATCH(E92,'ETPT Format DDG'!$2:$2,0),MATCH(C92,'ETPT Format DDG'!$2:$2,0))),
INDEX( 'ETPT Format DDG'!$A:$ZZ,,MATCH("Fonction agrégat",'ETPT Format DDG'!2:2,0)),"F-PLAC-ADD",
INDEX( 'ETPT Format DDG'!$A:$ZZ,,MATCH("Juridiction",'ETPT Format DDG'!2:2,0)),$A$3)</f>
      </c>
      <c r="Q92" s="73">
        <f>SUMIFS(
INDEX('ETPT Format DDG'!$A:$FB,,IFERROR(MATCH(E92,'ETPT Format DDG'!$2:$2,0),MATCH(C92,'ETPT Format DDG'!$2:$2,0))),
INDEX( 'ETPT Format DDG'!$A:$ZZ,,MATCH("Fonction agrégat",'ETPT Format DDG'!2:2,0)),"F-PLAC-SUB",
INDEX( 'ETPT Format DDG'!$A:$ZZ,,MATCH("Juridiction",'ETPT Format DDG'!2:2,0)),$A$3)</f>
      </c>
      <c r="R92" s="73">
        <f>SUMIFS(
INDEX('ETPT Format DDG'!$A:$FB,,IFERROR(MATCH(E92,'ETPT Format DDG'!$2:$2,0),MATCH(C92,'ETPT Format DDG'!$2:$2,0))),
INDEX( 'ETPT Format DDG'!$A:$ZZ,,MATCH("Fonction agrégat",'ETPT Format DDG'!2:2,0)),"C",
'ETPT Format DDG'!$H:$H,"Greffe",
INDEX( 'ETPT Format DDG'!$A:$ZZ,,MATCH("Juridiction",'ETPT Format DDG'!2:2,0)),$A$3)</f>
      </c>
      <c r="S92" s="71">
        <f>SUMIFS(
INDEX('ETPT Format DDG'!$A:$FB,,IFERROR(MATCH(E92,'ETPT Format DDG'!$2:$2,0),MATCH(C92,'ETPT Format DDG'!$2:$2,0))),
INDEX( 'ETPT Format DDG'!$A:$ZZ,,MATCH("Catégorie",'ETPT Format DDG'!2:2,0)),"Greffe",
INDEX( 'ETPT Format DDG'!$A:$ZZ,,MATCH("Juridiction",'ETPT Format DDG'!2:2,0)),$A$3)</f>
      </c>
      <c r="T92" s="72">
        <f>IF(AND(OR(LEFT(C92,3)="12.",LEFT(E92,3)="12.",LEFT(E92,5)="CET &gt;",IFERROR(S92/$S$6,"")=0),NOT(AND(LEFT(E92,4)="12.8",IFERROR(G92/$G$6,"")&lt;&gt;0)),NOT(AND(LEFT(E92,5)="12.31",IFERROR(S92/$G$6,"")&lt;&gt;0)),NOT(AND(LEFT(E92,5)="12.32",IFERROR(S92/$G$6,"")&lt;&gt;0))),"", IFERROR(S92/$S$6,""))</f>
      </c>
      <c r="U92" s="71">
        <f>SUMIFS(
INDEX('ETPT Format DDG'!$A:$FB,,IFERROR(MATCH(E92,'ETPT Format DDG'!$2:$2,0),MATCH(C92,'ETPT Format DDG'!$2:$2,0))),
INDEX( 'ETPT Format DDG'!$A:$ZZ,,MATCH("Fonction agrégat",'ETPT Format DDG'!2:2,0)),"C",
INDEX( 'ETPT Format DDG'!$A:$ZZ,,MATCH("Juridiction",'ETPT Format DDG'!2:2,0)),$A$3,
INDEX( 'ETPT Format DDG'!$A:$ZZ,,MATCH("Catégorie",'ETPT Format DDG'!2:2,0)),"Autour du magistrat")</f>
      </c>
      <c r="V92" s="74">
        <f>IF(AND(OR(LEFT(C92,3)="12.",LEFT(E92,3)="12.",LEFT(E92,5)="CET &gt;",IFERROR(U92/$U$6,"")=0),NOT(AND(LEFT(E92,4)="12.8",IFERROR(G92/$G$6,"")&lt;&gt;0)),NOT(AND(LEFT(E92,5)="12.31",IFERROR(U92/$G$6,"")&lt;&gt;0)),NOT(AND(LEFT(E92,5)="12.32",IFERROR(U92/$G$6,"")&lt;&gt;0))),"", IFERROR(U92/$U$6,""))</f>
      </c>
    </row>
    <row r="93" ht="16" customHeight="1" spans="1:23" x14ac:dyDescent="0.25">
      <c r="A93" s="40"/>
      <c r="C93" s="68"/>
      <c r="D93" s="68"/>
      <c r="E93" s="69" t="s">
        <v>128</v>
      </c>
      <c r="F93" s="70" t="s">
        <v>128</v>
      </c>
      <c r="G93" s="71">
        <f>SUMIFS(
INDEX('ETPT Format DDG'!$A:$ZZ,,IFERROR(MATCH(E93,'ETPT Format DDG'!$2:$2,0),MATCH(C93,'ETPT Format DDG'!$2:$2,0))),
INDEX( 'ETPT Format DDG'!$A:$ZZ,,MATCH("Fonction agrégat",'ETPT Format DDG'!2:2,0)),"M-TIT",
INDEX( 'ETPT Format DDG'!$A:$ZZ,,MATCH("Juridiction",'ETPT Format DDG'!2:2,0)),$A$3)</f>
      </c>
      <c r="H93" s="72">
        <f>IF(AND(OR(LEFT(C93,3)="12.",LEFT(E93,3)="12.",LEFT(E93,5)="CET &gt;",IFERROR(G93/$G$6,"")=0),NOT(AND(LEFT(E93,4)="12.8",IFERROR(G93/$G$6,"")&lt;&gt;0)),NOT(AND(LEFT(E93,5)="12.31",IFERROR(G93/$G$6,"")&lt;&gt;0)),NOT(AND(LEFT(E93,5)="12.32",IFERROR(G93/$G$6,"")&lt;&gt;0))),"", IFERROR(G93/$G$6,""))</f>
      </c>
      <c r="I93" s="73">
        <f>SUMIFS(
INDEX('ETPT Format DDG'!$A:$ZZ,,IFERROR(MATCH(E93,'ETPT Format DDG'!$2:$2,0),MATCH(C93,'ETPT Format DDG'!$2:$2,0))),
INDEX( 'ETPT Format DDG'!$A:$ZZ,,MATCH("Fonction agrégat",'ETPT Format DDG'!2:2,0)),"M-PLAC-ADD",
INDEX( 'ETPT Format DDG'!$A:$ZZ,,MATCH("Juridiction",'ETPT Format DDG'!2:2,0)),$A$3)</f>
      </c>
      <c r="J93" s="73">
        <f>SUMIFS(
INDEX('ETPT Format DDG'!$A:$ZZ,,IFERROR(MATCH(E93,'ETPT Format DDG'!$2:$2,0),MATCH(C93,'ETPT Format DDG'!$2:$2,0))),
INDEX( 'ETPT Format DDG'!$A:$ZZ,,MATCH("Fonction agrégat",'ETPT Format DDG'!2:2,0)),"M-PLAC-SUB",
INDEX( 'ETPT Format DDG'!$A:$ZZ,,MATCH("Juridiction",'ETPT Format DDG'!2:2,0)),$A$3)</f>
      </c>
      <c r="K93" s="73">
        <f>SUMIFS(
INDEX('ETPT Format DDG'!$A:$ZZ,,IFERROR(MATCH(E93,'ETPT Format DDG'!$2:$2,0),MATCH(C93,'ETPT Format DDG'!$2:$2,0))),
INDEX( 'ETPT Format DDG'!$A:$ZZ,,MATCH("Fonction agrégat",'ETPT Format DDG'!2:2,0)),"M-CONT",
INDEX( 'ETPT Format DDG'!$A:$ZZ,,MATCH("Juridiction",'ETPT Format DDG'!2:2,0)),$A$3,
INDEX( 'ETPT Format DDG'!$A:$ZZ,,MATCH("Catégorie",'ETPT Format DDG'!2:2,0)),"Magistrat")</f>
      </c>
      <c r="L93" s="71">
        <f>SUMIFS(
INDEX('ETPT Format DDG'!$A:$ZZ,,IFERROR(MATCH(E93,'ETPT Format DDG'!$2:$2,0),MATCH(C93,'ETPT Format DDG'!$2:$2,0))),
INDEX( 'ETPT Format DDG'!$A:$ZZ,,MATCH("Juridiction",'ETPT Format DDG'!2:2,0)),$A$3,
INDEX( 'ETPT Format DDG'!$A:$ZZ,,MATCH("Catégorie",'ETPT Format DDG'!2:2,0)),"Magistrat")</f>
      </c>
      <c r="M93" s="74">
        <f>IF(AND(OR(LEFT(C93,3)="12.",LEFT(E93,3)="12.",LEFT(E93,5)="CET &gt;", IFERROR(L93/$L$6,"")=0),NOT(AND(LEFT(E93,4)="12.8",IFERROR(G93/$G$6,"")&lt;&gt;0)),NOT(AND(LEFT(E93,5)="12.31",IFERROR(L93/$G$6,"")&lt;&gt;0)),NOT(AND(LEFT(E93,5)="12.32",IFERROR(L93/$G$6,"")&lt;&gt;0))),"", IFERROR(L93/$L$6,""))</f>
      </c>
      <c r="N93" s="73">
        <f>SUMIFS(
INDEX('ETPT Format DDG'!$A:$ZZ,,IFERROR(MATCH(E93,'ETPT Format DDG'!$2:$2,0),MATCH(C93,'ETPT Format DDG'!$2:$2,0))),
INDEX( 'ETPT Format DDG'!$A:$ZZ,,MATCH("Fonction agrégat",'ETPT Format DDG'!2:2,0)),"F-TIT",
INDEX( 'ETPT Format DDG'!$A:$ZZ,,MATCH("Juridiction",'ETPT Format DDG'!2:2,0)),$A$3)</f>
      </c>
      <c r="O93" s="72">
        <f>IF(AND(OR(LEFT(C93,3)="12.",LEFT(E93,3)="12.",LEFT(E93,5)="CET &gt;",IFERROR(N93/$N$6,"")=0),NOT(AND(LEFT(E93,4)="12.8",IFERROR(G93/$G$6,"")&lt;&gt;0)),NOT(AND(LEFT(E93,5)="12.31",IFERROR(N93/$G$6,"")&lt;&gt;0)),NOT(AND(LEFT(E93,5)="12.32",IFERROR(N93/$G$6,"")&lt;&gt;0))),"",IFERROR(N93/$N$6,""))</f>
      </c>
      <c r="P93" s="73">
        <f>SUMIFS(
INDEX('ETPT Format DDG'!$A:$FB,,IFERROR(MATCH(E93,'ETPT Format DDG'!$2:$2,0),MATCH(C93,'ETPT Format DDG'!$2:$2,0))),
INDEX( 'ETPT Format DDG'!$A:$ZZ,,MATCH("Fonction agrégat",'ETPT Format DDG'!2:2,0)),"F-PLAC-ADD",
INDEX( 'ETPT Format DDG'!$A:$ZZ,,MATCH("Juridiction",'ETPT Format DDG'!2:2,0)),$A$3)</f>
      </c>
      <c r="Q93" s="73">
        <f>SUMIFS(
INDEX('ETPT Format DDG'!$A:$FB,,IFERROR(MATCH(E93,'ETPT Format DDG'!$2:$2,0),MATCH(C93,'ETPT Format DDG'!$2:$2,0))),
INDEX( 'ETPT Format DDG'!$A:$ZZ,,MATCH("Fonction agrégat",'ETPT Format DDG'!2:2,0)),"F-PLAC-SUB",
INDEX( 'ETPT Format DDG'!$A:$ZZ,,MATCH("Juridiction",'ETPT Format DDG'!2:2,0)),$A$3)</f>
      </c>
      <c r="R93" s="73">
        <f>SUMIFS(
INDEX('ETPT Format DDG'!$A:$FB,,IFERROR(MATCH(E93,'ETPT Format DDG'!$2:$2,0),MATCH(C93,'ETPT Format DDG'!$2:$2,0))),
INDEX( 'ETPT Format DDG'!$A:$ZZ,,MATCH("Fonction agrégat",'ETPT Format DDG'!2:2,0)),"C",
'ETPT Format DDG'!$H:$H,"Greffe",
INDEX( 'ETPT Format DDG'!$A:$ZZ,,MATCH("Juridiction",'ETPT Format DDG'!2:2,0)),$A$3)</f>
      </c>
      <c r="S93" s="71">
        <f>SUMIFS(
INDEX('ETPT Format DDG'!$A:$FB,,IFERROR(MATCH(E93,'ETPT Format DDG'!$2:$2,0),MATCH(C93,'ETPT Format DDG'!$2:$2,0))),
INDEX( 'ETPT Format DDG'!$A:$ZZ,,MATCH("Catégorie",'ETPT Format DDG'!2:2,0)),"Greffe",
INDEX( 'ETPT Format DDG'!$A:$ZZ,,MATCH("Juridiction",'ETPT Format DDG'!2:2,0)),$A$3)</f>
      </c>
      <c r="T93" s="72">
        <f>IF(AND(OR(LEFT(C93,3)="12.",LEFT(E93,3)="12.",LEFT(E93,5)="CET &gt;",IFERROR(S93/$S$6,"")=0),NOT(AND(LEFT(E93,4)="12.8",IFERROR(G93/$G$6,"")&lt;&gt;0)),NOT(AND(LEFT(E93,5)="12.31",IFERROR(S93/$G$6,"")&lt;&gt;0)),NOT(AND(LEFT(E93,5)="12.32",IFERROR(S93/$G$6,"")&lt;&gt;0))),"", IFERROR(S93/$S$6,""))</f>
      </c>
      <c r="U93" s="71">
        <f>SUMIFS(
INDEX('ETPT Format DDG'!$A:$FB,,IFERROR(MATCH(E93,'ETPT Format DDG'!$2:$2,0),MATCH(C93,'ETPT Format DDG'!$2:$2,0))),
INDEX( 'ETPT Format DDG'!$A:$ZZ,,MATCH("Fonction agrégat",'ETPT Format DDG'!2:2,0)),"C",
INDEX( 'ETPT Format DDG'!$A:$ZZ,,MATCH("Juridiction",'ETPT Format DDG'!2:2,0)),$A$3,
INDEX( 'ETPT Format DDG'!$A:$ZZ,,MATCH("Catégorie",'ETPT Format DDG'!2:2,0)),"Autour du magistrat")</f>
      </c>
      <c r="V93" s="74">
        <f>IF(AND(OR(LEFT(C93,3)="12.",LEFT(E93,3)="12.",LEFT(E93,5)="CET &gt;",IFERROR(U93/$U$6,"")=0),NOT(AND(LEFT(E93,4)="12.8",IFERROR(G93/$G$6,"")&lt;&gt;0)),NOT(AND(LEFT(E93,5)="12.31",IFERROR(U93/$G$6,"")&lt;&gt;0)),NOT(AND(LEFT(E93,5)="12.32",IFERROR(U93/$G$6,"")&lt;&gt;0))),"", IFERROR(U93/$U$6,""))</f>
      </c>
    </row>
    <row r="94" ht="16" customHeight="1" spans="1:23" x14ac:dyDescent="0.25">
      <c r="A94" s="40"/>
      <c r="C94" s="68"/>
      <c r="D94" s="68"/>
      <c r="E94" s="69" t="s">
        <v>129</v>
      </c>
      <c r="F94" s="70" t="s">
        <v>129</v>
      </c>
      <c r="G94" s="71">
        <f>SUMIFS(
INDEX('ETPT Format DDG'!$A:$ZZ,,IFERROR(MATCH(E94,'ETPT Format DDG'!$2:$2,0),MATCH(C94,'ETPT Format DDG'!$2:$2,0))),
INDEX( 'ETPT Format DDG'!$A:$ZZ,,MATCH("Fonction agrégat",'ETPT Format DDG'!2:2,0)),"M-TIT",
INDEX( 'ETPT Format DDG'!$A:$ZZ,,MATCH("Juridiction",'ETPT Format DDG'!2:2,0)),$A$3)</f>
      </c>
      <c r="H94" s="72">
        <f>IF(AND(OR(LEFT(C94,3)="12.",LEFT(E94,3)="12.",LEFT(E94,5)="CET &gt;",IFERROR(G94/$G$6,"")=0),NOT(AND(LEFT(E94,4)="12.8",IFERROR(G94/$G$6,"")&lt;&gt;0)),NOT(AND(LEFT(E94,5)="12.31",IFERROR(G94/$G$6,"")&lt;&gt;0)),NOT(AND(LEFT(E94,5)="12.32",IFERROR(G94/$G$6,"")&lt;&gt;0))),"", IFERROR(G94/$G$6,""))</f>
      </c>
      <c r="I94" s="73">
        <f>SUMIFS(
INDEX('ETPT Format DDG'!$A:$ZZ,,IFERROR(MATCH(E94,'ETPT Format DDG'!$2:$2,0),MATCH(C94,'ETPT Format DDG'!$2:$2,0))),
INDEX( 'ETPT Format DDG'!$A:$ZZ,,MATCH("Fonction agrégat",'ETPT Format DDG'!2:2,0)),"M-PLAC-ADD",
INDEX( 'ETPT Format DDG'!$A:$ZZ,,MATCH("Juridiction",'ETPT Format DDG'!2:2,0)),$A$3)</f>
      </c>
      <c r="J94" s="73">
        <f>SUMIFS(
INDEX('ETPT Format DDG'!$A:$ZZ,,IFERROR(MATCH(E94,'ETPT Format DDG'!$2:$2,0),MATCH(C94,'ETPT Format DDG'!$2:$2,0))),
INDEX( 'ETPT Format DDG'!$A:$ZZ,,MATCH("Fonction agrégat",'ETPT Format DDG'!2:2,0)),"M-PLAC-SUB",
INDEX( 'ETPT Format DDG'!$A:$ZZ,,MATCH("Juridiction",'ETPT Format DDG'!2:2,0)),$A$3)</f>
      </c>
      <c r="K94" s="73">
        <f>SUMIFS(
INDEX('ETPT Format DDG'!$A:$ZZ,,IFERROR(MATCH(E94,'ETPT Format DDG'!$2:$2,0),MATCH(C94,'ETPT Format DDG'!$2:$2,0))),
INDEX( 'ETPT Format DDG'!$A:$ZZ,,MATCH("Fonction agrégat",'ETPT Format DDG'!2:2,0)),"M-CONT",
INDEX( 'ETPT Format DDG'!$A:$ZZ,,MATCH("Juridiction",'ETPT Format DDG'!2:2,0)),$A$3,
INDEX( 'ETPT Format DDG'!$A:$ZZ,,MATCH("Catégorie",'ETPT Format DDG'!2:2,0)),"Magistrat")</f>
      </c>
      <c r="L94" s="71">
        <f>SUMIFS(
INDEX('ETPT Format DDG'!$A:$ZZ,,IFERROR(MATCH(E94,'ETPT Format DDG'!$2:$2,0),MATCH(C94,'ETPT Format DDG'!$2:$2,0))),
INDEX( 'ETPT Format DDG'!$A:$ZZ,,MATCH("Juridiction",'ETPT Format DDG'!2:2,0)),$A$3,
INDEX( 'ETPT Format DDG'!$A:$ZZ,,MATCH("Catégorie",'ETPT Format DDG'!2:2,0)),"Magistrat")</f>
      </c>
      <c r="M94" s="74">
        <f>IF(AND(OR(LEFT(C94,3)="12.",LEFT(E94,3)="12.",LEFT(E94,5)="CET &gt;", IFERROR(L94/$L$6,"")=0),NOT(AND(LEFT(E94,4)="12.8",IFERROR(G94/$G$6,"")&lt;&gt;0)),NOT(AND(LEFT(E94,5)="12.31",IFERROR(L94/$G$6,"")&lt;&gt;0)),NOT(AND(LEFT(E94,5)="12.32",IFERROR(L94/$G$6,"")&lt;&gt;0))),"", IFERROR(L94/$L$6,""))</f>
      </c>
      <c r="N94" s="73">
        <f>SUMIFS(
INDEX('ETPT Format DDG'!$A:$ZZ,,IFERROR(MATCH(E94,'ETPT Format DDG'!$2:$2,0),MATCH(C94,'ETPT Format DDG'!$2:$2,0))),
INDEX( 'ETPT Format DDG'!$A:$ZZ,,MATCH("Fonction agrégat",'ETPT Format DDG'!2:2,0)),"F-TIT",
INDEX( 'ETPT Format DDG'!$A:$ZZ,,MATCH("Juridiction",'ETPT Format DDG'!2:2,0)),$A$3)</f>
      </c>
      <c r="O94" s="72">
        <f>IF(AND(OR(LEFT(C94,3)="12.",LEFT(E94,3)="12.",LEFT(E94,5)="CET &gt;",IFERROR(N94/$N$6,"")=0),NOT(AND(LEFT(E94,4)="12.8",IFERROR(G94/$G$6,"")&lt;&gt;0)),NOT(AND(LEFT(E94,5)="12.31",IFERROR(N94/$G$6,"")&lt;&gt;0)),NOT(AND(LEFT(E94,5)="12.32",IFERROR(N94/$G$6,"")&lt;&gt;0))),"",IFERROR(N94/$N$6,""))</f>
      </c>
      <c r="P94" s="73">
        <f>SUMIFS(
INDEX('ETPT Format DDG'!$A:$FB,,IFERROR(MATCH(E94,'ETPT Format DDG'!$2:$2,0),MATCH(C94,'ETPT Format DDG'!$2:$2,0))),
INDEX( 'ETPT Format DDG'!$A:$ZZ,,MATCH("Fonction agrégat",'ETPT Format DDG'!2:2,0)),"F-PLAC-ADD",
INDEX( 'ETPT Format DDG'!$A:$ZZ,,MATCH("Juridiction",'ETPT Format DDG'!2:2,0)),$A$3)</f>
      </c>
      <c r="Q94" s="73">
        <f>SUMIFS(
INDEX('ETPT Format DDG'!$A:$FB,,IFERROR(MATCH(E94,'ETPT Format DDG'!$2:$2,0),MATCH(C94,'ETPT Format DDG'!$2:$2,0))),
INDEX( 'ETPT Format DDG'!$A:$ZZ,,MATCH("Fonction agrégat",'ETPT Format DDG'!2:2,0)),"F-PLAC-SUB",
INDEX( 'ETPT Format DDG'!$A:$ZZ,,MATCH("Juridiction",'ETPT Format DDG'!2:2,0)),$A$3)</f>
      </c>
      <c r="R94" s="73">
        <f>SUMIFS(
INDEX('ETPT Format DDG'!$A:$FB,,IFERROR(MATCH(E94,'ETPT Format DDG'!$2:$2,0),MATCH(C94,'ETPT Format DDG'!$2:$2,0))),
INDEX( 'ETPT Format DDG'!$A:$ZZ,,MATCH("Fonction agrégat",'ETPT Format DDG'!2:2,0)),"C",
'ETPT Format DDG'!$H:$H,"Greffe",
INDEX( 'ETPT Format DDG'!$A:$ZZ,,MATCH("Juridiction",'ETPT Format DDG'!2:2,0)),$A$3)</f>
      </c>
      <c r="S94" s="71">
        <f>SUMIFS(
INDEX('ETPT Format DDG'!$A:$FB,,IFERROR(MATCH(E94,'ETPT Format DDG'!$2:$2,0),MATCH(C94,'ETPT Format DDG'!$2:$2,0))),
INDEX( 'ETPT Format DDG'!$A:$ZZ,,MATCH("Catégorie",'ETPT Format DDG'!2:2,0)),"Greffe",
INDEX( 'ETPT Format DDG'!$A:$ZZ,,MATCH("Juridiction",'ETPT Format DDG'!2:2,0)),$A$3)</f>
      </c>
      <c r="T94" s="72">
        <f>IF(AND(OR(LEFT(C94,3)="12.",LEFT(E94,3)="12.",LEFT(E94,5)="CET &gt;",IFERROR(S94/$S$6,"")=0),NOT(AND(LEFT(E94,4)="12.8",IFERROR(G94/$G$6,"")&lt;&gt;0)),NOT(AND(LEFT(E94,5)="12.31",IFERROR(S94/$G$6,"")&lt;&gt;0)),NOT(AND(LEFT(E94,5)="12.32",IFERROR(S94/$G$6,"")&lt;&gt;0))),"", IFERROR(S94/$S$6,""))</f>
      </c>
      <c r="U94" s="71">
        <f>SUMIFS(
INDEX('ETPT Format DDG'!$A:$FB,,IFERROR(MATCH(E94,'ETPT Format DDG'!$2:$2,0),MATCH(C94,'ETPT Format DDG'!$2:$2,0))),
INDEX( 'ETPT Format DDG'!$A:$ZZ,,MATCH("Fonction agrégat",'ETPT Format DDG'!2:2,0)),"C",
INDEX( 'ETPT Format DDG'!$A:$ZZ,,MATCH("Juridiction",'ETPT Format DDG'!2:2,0)),$A$3,
INDEX( 'ETPT Format DDG'!$A:$ZZ,,MATCH("Catégorie",'ETPT Format DDG'!2:2,0)),"Autour du magistrat")</f>
      </c>
      <c r="V94" s="74">
        <f>IF(AND(OR(LEFT(C94,3)="12.",LEFT(E94,3)="12.",LEFT(E94,5)="CET &gt;",IFERROR(U94/$U$6,"")=0),NOT(AND(LEFT(E94,4)="12.8",IFERROR(G94/$G$6,"")&lt;&gt;0)),NOT(AND(LEFT(E94,5)="12.31",IFERROR(U94/$G$6,"")&lt;&gt;0)),NOT(AND(LEFT(E94,5)="12.32",IFERROR(U94/$G$6,"")&lt;&gt;0))),"", IFERROR(U94/$U$6,""))</f>
      </c>
    </row>
    <row r="95" ht="16" customHeight="1" spans="1:23" x14ac:dyDescent="0.25">
      <c r="A95" s="40"/>
      <c r="C95" s="68"/>
      <c r="D95" s="68"/>
      <c r="E95" s="69" t="s">
        <v>130</v>
      </c>
      <c r="F95" s="70" t="s">
        <v>130</v>
      </c>
      <c r="G95" s="71">
        <f>SUMIFS(
INDEX('ETPT Format DDG'!$A:$ZZ,,IFERROR(MATCH(E95,'ETPT Format DDG'!$2:$2,0),MATCH(C95,'ETPT Format DDG'!$2:$2,0))),
INDEX( 'ETPT Format DDG'!$A:$ZZ,,MATCH("Fonction agrégat",'ETPT Format DDG'!2:2,0)),"M-TIT",
INDEX( 'ETPT Format DDG'!$A:$ZZ,,MATCH("Juridiction",'ETPT Format DDG'!2:2,0)),$A$3)</f>
      </c>
      <c r="H95" s="72">
        <f>IF(AND(OR(LEFT(C95,3)="12.",LEFT(E95,3)="12.",LEFT(E95,5)="CET &gt;",IFERROR(G95/$G$6,"")=0),NOT(AND(LEFT(E95,4)="12.8",IFERROR(G95/$G$6,"")&lt;&gt;0)),NOT(AND(LEFT(E95,5)="12.31",IFERROR(G95/$G$6,"")&lt;&gt;0)),NOT(AND(LEFT(E95,5)="12.32",IFERROR(G95/$G$6,"")&lt;&gt;0))),"", IFERROR(G95/$G$6,""))</f>
      </c>
      <c r="I95" s="73">
        <f>SUMIFS(
INDEX('ETPT Format DDG'!$A:$ZZ,,IFERROR(MATCH(E95,'ETPT Format DDG'!$2:$2,0),MATCH(C95,'ETPT Format DDG'!$2:$2,0))),
INDEX( 'ETPT Format DDG'!$A:$ZZ,,MATCH("Fonction agrégat",'ETPT Format DDG'!2:2,0)),"M-PLAC-ADD",
INDEX( 'ETPT Format DDG'!$A:$ZZ,,MATCH("Juridiction",'ETPT Format DDG'!2:2,0)),$A$3)</f>
      </c>
      <c r="J95" s="73">
        <f>SUMIFS(
INDEX('ETPT Format DDG'!$A:$ZZ,,IFERROR(MATCH(E95,'ETPT Format DDG'!$2:$2,0),MATCH(C95,'ETPT Format DDG'!$2:$2,0))),
INDEX( 'ETPT Format DDG'!$A:$ZZ,,MATCH("Fonction agrégat",'ETPT Format DDG'!2:2,0)),"M-PLAC-SUB",
INDEX( 'ETPT Format DDG'!$A:$ZZ,,MATCH("Juridiction",'ETPT Format DDG'!2:2,0)),$A$3)</f>
      </c>
      <c r="K95" s="73">
        <f>SUMIFS(
INDEX('ETPT Format DDG'!$A:$ZZ,,IFERROR(MATCH(E95,'ETPT Format DDG'!$2:$2,0),MATCH(C95,'ETPT Format DDG'!$2:$2,0))),
INDEX( 'ETPT Format DDG'!$A:$ZZ,,MATCH("Fonction agrégat",'ETPT Format DDG'!2:2,0)),"M-CONT",
INDEX( 'ETPT Format DDG'!$A:$ZZ,,MATCH("Juridiction",'ETPT Format DDG'!2:2,0)),$A$3,
INDEX( 'ETPT Format DDG'!$A:$ZZ,,MATCH("Catégorie",'ETPT Format DDG'!2:2,0)),"Magistrat")</f>
      </c>
      <c r="L95" s="71">
        <f>SUMIFS(
INDEX('ETPT Format DDG'!$A:$ZZ,,IFERROR(MATCH(E95,'ETPT Format DDG'!$2:$2,0),MATCH(C95,'ETPT Format DDG'!$2:$2,0))),
INDEX( 'ETPT Format DDG'!$A:$ZZ,,MATCH("Juridiction",'ETPT Format DDG'!2:2,0)),$A$3,
INDEX( 'ETPT Format DDG'!$A:$ZZ,,MATCH("Catégorie",'ETPT Format DDG'!2:2,0)),"Magistrat")</f>
      </c>
      <c r="M95" s="74">
        <f>IF(AND(OR(LEFT(C95,3)="12.",LEFT(E95,3)="12.",LEFT(E95,5)="CET &gt;", IFERROR(L95/$L$6,"")=0),NOT(AND(LEFT(E95,4)="12.8",IFERROR(G95/$G$6,"")&lt;&gt;0)),NOT(AND(LEFT(E95,5)="12.31",IFERROR(L95/$G$6,"")&lt;&gt;0)),NOT(AND(LEFT(E95,5)="12.32",IFERROR(L95/$G$6,"")&lt;&gt;0))),"", IFERROR(L95/$L$6,""))</f>
      </c>
      <c r="N95" s="73">
        <f>SUMIFS(
INDEX('ETPT Format DDG'!$A:$ZZ,,IFERROR(MATCH(E95,'ETPT Format DDG'!$2:$2,0),MATCH(C95,'ETPT Format DDG'!$2:$2,0))),
INDEX( 'ETPT Format DDG'!$A:$ZZ,,MATCH("Fonction agrégat",'ETPT Format DDG'!2:2,0)),"F-TIT",
INDEX( 'ETPT Format DDG'!$A:$ZZ,,MATCH("Juridiction",'ETPT Format DDG'!2:2,0)),$A$3)</f>
      </c>
      <c r="O95" s="72">
        <f>IF(AND(OR(LEFT(C95,3)="12.",LEFT(E95,3)="12.",LEFT(E95,5)="CET &gt;",IFERROR(N95/$N$6,"")=0),NOT(AND(LEFT(E95,4)="12.8",IFERROR(G95/$G$6,"")&lt;&gt;0)),NOT(AND(LEFT(E95,5)="12.31",IFERROR(N95/$G$6,"")&lt;&gt;0)),NOT(AND(LEFT(E95,5)="12.32",IFERROR(N95/$G$6,"")&lt;&gt;0))),"",IFERROR(N95/$N$6,""))</f>
      </c>
      <c r="P95" s="73">
        <f>SUMIFS(
INDEX('ETPT Format DDG'!$A:$FB,,IFERROR(MATCH(E95,'ETPT Format DDG'!$2:$2,0),MATCH(C95,'ETPT Format DDG'!$2:$2,0))),
INDEX( 'ETPT Format DDG'!$A:$ZZ,,MATCH("Fonction agrégat",'ETPT Format DDG'!2:2,0)),"F-PLAC-ADD",
INDEX( 'ETPT Format DDG'!$A:$ZZ,,MATCH("Juridiction",'ETPT Format DDG'!2:2,0)),$A$3)</f>
      </c>
      <c r="Q95" s="73">
        <f>SUMIFS(
INDEX('ETPT Format DDG'!$A:$FB,,IFERROR(MATCH(E95,'ETPT Format DDG'!$2:$2,0),MATCH(C95,'ETPT Format DDG'!$2:$2,0))),
INDEX( 'ETPT Format DDG'!$A:$ZZ,,MATCH("Fonction agrégat",'ETPT Format DDG'!2:2,0)),"F-PLAC-SUB",
INDEX( 'ETPT Format DDG'!$A:$ZZ,,MATCH("Juridiction",'ETPT Format DDG'!2:2,0)),$A$3)</f>
      </c>
      <c r="R95" s="73">
        <f>SUMIFS(
INDEX('ETPT Format DDG'!$A:$FB,,IFERROR(MATCH(E95,'ETPT Format DDG'!$2:$2,0),MATCH(C95,'ETPT Format DDG'!$2:$2,0))),
INDEX( 'ETPT Format DDG'!$A:$ZZ,,MATCH("Fonction agrégat",'ETPT Format DDG'!2:2,0)),"C",
'ETPT Format DDG'!$H:$H,"Greffe",
INDEX( 'ETPT Format DDG'!$A:$ZZ,,MATCH("Juridiction",'ETPT Format DDG'!2:2,0)),$A$3)</f>
      </c>
      <c r="S95" s="71">
        <f>SUMIFS(
INDEX('ETPT Format DDG'!$A:$FB,,IFERROR(MATCH(E95,'ETPT Format DDG'!$2:$2,0),MATCH(C95,'ETPT Format DDG'!$2:$2,0))),
INDEX( 'ETPT Format DDG'!$A:$ZZ,,MATCH("Catégorie",'ETPT Format DDG'!2:2,0)),"Greffe",
INDEX( 'ETPT Format DDG'!$A:$ZZ,,MATCH("Juridiction",'ETPT Format DDG'!2:2,0)),$A$3)</f>
      </c>
      <c r="T95" s="72">
        <f>IF(AND(OR(LEFT(C95,3)="12.",LEFT(E95,3)="12.",LEFT(E95,5)="CET &gt;",IFERROR(S95/$S$6,"")=0),NOT(AND(LEFT(E95,4)="12.8",IFERROR(G95/$G$6,"")&lt;&gt;0)),NOT(AND(LEFT(E95,5)="12.31",IFERROR(S95/$G$6,"")&lt;&gt;0)),NOT(AND(LEFT(E95,5)="12.32",IFERROR(S95/$G$6,"")&lt;&gt;0))),"", IFERROR(S95/$S$6,""))</f>
      </c>
      <c r="U95" s="71">
        <f>SUMIFS(
INDEX('ETPT Format DDG'!$A:$FB,,IFERROR(MATCH(E95,'ETPT Format DDG'!$2:$2,0),MATCH(C95,'ETPT Format DDG'!$2:$2,0))),
INDEX( 'ETPT Format DDG'!$A:$ZZ,,MATCH("Fonction agrégat",'ETPT Format DDG'!2:2,0)),"C",
INDEX( 'ETPT Format DDG'!$A:$ZZ,,MATCH("Juridiction",'ETPT Format DDG'!2:2,0)),$A$3,
INDEX( 'ETPT Format DDG'!$A:$ZZ,,MATCH("Catégorie",'ETPT Format DDG'!2:2,0)),"Autour du magistrat")</f>
      </c>
      <c r="V95" s="74">
        <f>IF(AND(OR(LEFT(C95,3)="12.",LEFT(E95,3)="12.",LEFT(E95,5)="CET &gt;",IFERROR(U95/$U$6,"")=0),NOT(AND(LEFT(E95,4)="12.8",IFERROR(G95/$G$6,"")&lt;&gt;0)),NOT(AND(LEFT(E95,5)="12.31",IFERROR(U95/$G$6,"")&lt;&gt;0)),NOT(AND(LEFT(E95,5)="12.32",IFERROR(U95/$G$6,"")&lt;&gt;0))),"", IFERROR(U95/$U$6,""))</f>
      </c>
    </row>
    <row r="96" ht="16" customHeight="1" spans="1:23" x14ac:dyDescent="0.25">
      <c r="A96" s="40"/>
      <c r="C96" s="68"/>
      <c r="D96" s="68"/>
      <c r="E96" s="69" t="s">
        <v>131</v>
      </c>
      <c r="F96" s="70" t="s">
        <v>131</v>
      </c>
      <c r="G96" s="71">
        <f>SUMIFS(
INDEX('ETPT Format DDG'!$A:$ZZ,,IFERROR(MATCH(E96,'ETPT Format DDG'!$2:$2,0),MATCH(C96,'ETPT Format DDG'!$2:$2,0))),
INDEX( 'ETPT Format DDG'!$A:$ZZ,,MATCH("Fonction agrégat",'ETPT Format DDG'!2:2,0)),"M-TIT",
INDEX( 'ETPT Format DDG'!$A:$ZZ,,MATCH("Juridiction",'ETPT Format DDG'!2:2,0)),$A$3)</f>
      </c>
      <c r="H96" s="72">
        <f>IF(AND(OR(LEFT(C96,3)="12.",LEFT(E96,3)="12.",LEFT(E96,5)="CET &gt;",IFERROR(G96/$G$6,"")=0),NOT(AND(LEFT(E96,4)="12.8",IFERROR(G96/$G$6,"")&lt;&gt;0)),NOT(AND(LEFT(E96,5)="12.31",IFERROR(G96/$G$6,"")&lt;&gt;0)),NOT(AND(LEFT(E96,5)="12.32",IFERROR(G96/$G$6,"")&lt;&gt;0))),"", IFERROR(G96/$G$6,""))</f>
      </c>
      <c r="I96" s="73">
        <f>SUMIFS(
INDEX('ETPT Format DDG'!$A:$ZZ,,IFERROR(MATCH(E96,'ETPT Format DDG'!$2:$2,0),MATCH(C96,'ETPT Format DDG'!$2:$2,0))),
INDEX( 'ETPT Format DDG'!$A:$ZZ,,MATCH("Fonction agrégat",'ETPT Format DDG'!2:2,0)),"M-PLAC-ADD",
INDEX( 'ETPT Format DDG'!$A:$ZZ,,MATCH("Juridiction",'ETPT Format DDG'!2:2,0)),$A$3)</f>
      </c>
      <c r="J96" s="73">
        <f>SUMIFS(
INDEX('ETPT Format DDG'!$A:$ZZ,,IFERROR(MATCH(E96,'ETPT Format DDG'!$2:$2,0),MATCH(C96,'ETPT Format DDG'!$2:$2,0))),
INDEX( 'ETPT Format DDG'!$A:$ZZ,,MATCH("Fonction agrégat",'ETPT Format DDG'!2:2,0)),"M-PLAC-SUB",
INDEX( 'ETPT Format DDG'!$A:$ZZ,,MATCH("Juridiction",'ETPT Format DDG'!2:2,0)),$A$3)</f>
      </c>
      <c r="K96" s="73">
        <f>SUMIFS(
INDEX('ETPT Format DDG'!$A:$ZZ,,IFERROR(MATCH(E96,'ETPT Format DDG'!$2:$2,0),MATCH(C96,'ETPT Format DDG'!$2:$2,0))),
INDEX( 'ETPT Format DDG'!$A:$ZZ,,MATCH("Fonction agrégat",'ETPT Format DDG'!2:2,0)),"M-CONT",
INDEX( 'ETPT Format DDG'!$A:$ZZ,,MATCH("Juridiction",'ETPT Format DDG'!2:2,0)),$A$3,
INDEX( 'ETPT Format DDG'!$A:$ZZ,,MATCH("Catégorie",'ETPT Format DDG'!2:2,0)),"Magistrat")</f>
      </c>
      <c r="L96" s="71">
        <f>SUMIFS(
INDEX('ETPT Format DDG'!$A:$ZZ,,IFERROR(MATCH(E96,'ETPT Format DDG'!$2:$2,0),MATCH(C96,'ETPT Format DDG'!$2:$2,0))),
INDEX( 'ETPT Format DDG'!$A:$ZZ,,MATCH("Juridiction",'ETPT Format DDG'!2:2,0)),$A$3,
INDEX( 'ETPT Format DDG'!$A:$ZZ,,MATCH("Catégorie",'ETPT Format DDG'!2:2,0)),"Magistrat")</f>
      </c>
      <c r="M96" s="74">
        <f>IF(AND(OR(LEFT(C96,3)="12.",LEFT(E96,3)="12.",LEFT(E96,5)="CET &gt;", IFERROR(L96/$L$6,"")=0),NOT(AND(LEFT(E96,4)="12.8",IFERROR(G96/$G$6,"")&lt;&gt;0)),NOT(AND(LEFT(E96,5)="12.31",IFERROR(L96/$G$6,"")&lt;&gt;0)),NOT(AND(LEFT(E96,5)="12.32",IFERROR(L96/$G$6,"")&lt;&gt;0))),"", IFERROR(L96/$L$6,""))</f>
      </c>
      <c r="N96" s="73">
        <f>SUMIFS(
INDEX('ETPT Format DDG'!$A:$ZZ,,IFERROR(MATCH(E96,'ETPT Format DDG'!$2:$2,0),MATCH(C96,'ETPT Format DDG'!$2:$2,0))),
INDEX( 'ETPT Format DDG'!$A:$ZZ,,MATCH("Fonction agrégat",'ETPT Format DDG'!2:2,0)),"F-TIT",
INDEX( 'ETPT Format DDG'!$A:$ZZ,,MATCH("Juridiction",'ETPT Format DDG'!2:2,0)),$A$3)</f>
      </c>
      <c r="O96" s="72">
        <f>IF(AND(OR(LEFT(C96,3)="12.",LEFT(E96,3)="12.",LEFT(E96,5)="CET &gt;",IFERROR(N96/$N$6,"")=0),NOT(AND(LEFT(E96,4)="12.8",IFERROR(G96/$G$6,"")&lt;&gt;0)),NOT(AND(LEFT(E96,5)="12.31",IFERROR(N96/$G$6,"")&lt;&gt;0)),NOT(AND(LEFT(E96,5)="12.32",IFERROR(N96/$G$6,"")&lt;&gt;0))),"",IFERROR(N96/$N$6,""))</f>
      </c>
      <c r="P96" s="73">
        <f>SUMIFS(
INDEX('ETPT Format DDG'!$A:$FB,,IFERROR(MATCH(E96,'ETPT Format DDG'!$2:$2,0),MATCH(C96,'ETPT Format DDG'!$2:$2,0))),
INDEX( 'ETPT Format DDG'!$A:$ZZ,,MATCH("Fonction agrégat",'ETPT Format DDG'!2:2,0)),"F-PLAC-ADD",
INDEX( 'ETPT Format DDG'!$A:$ZZ,,MATCH("Juridiction",'ETPT Format DDG'!2:2,0)),$A$3)</f>
      </c>
      <c r="Q96" s="73">
        <f>SUMIFS(
INDEX('ETPT Format DDG'!$A:$FB,,IFERROR(MATCH(E96,'ETPT Format DDG'!$2:$2,0),MATCH(C96,'ETPT Format DDG'!$2:$2,0))),
INDEX( 'ETPT Format DDG'!$A:$ZZ,,MATCH("Fonction agrégat",'ETPT Format DDG'!2:2,0)),"F-PLAC-SUB",
INDEX( 'ETPT Format DDG'!$A:$ZZ,,MATCH("Juridiction",'ETPT Format DDG'!2:2,0)),$A$3)</f>
      </c>
      <c r="R96" s="73">
        <f>SUMIFS(
INDEX('ETPT Format DDG'!$A:$FB,,IFERROR(MATCH(E96,'ETPT Format DDG'!$2:$2,0),MATCH(C96,'ETPT Format DDG'!$2:$2,0))),
INDEX( 'ETPT Format DDG'!$A:$ZZ,,MATCH("Fonction agrégat",'ETPT Format DDG'!2:2,0)),"C",
'ETPT Format DDG'!$H:$H,"Greffe",
INDEX( 'ETPT Format DDG'!$A:$ZZ,,MATCH("Juridiction",'ETPT Format DDG'!2:2,0)),$A$3)</f>
      </c>
      <c r="S96" s="71">
        <f>SUMIFS(
INDEX('ETPT Format DDG'!$A:$FB,,IFERROR(MATCH(E96,'ETPT Format DDG'!$2:$2,0),MATCH(C96,'ETPT Format DDG'!$2:$2,0))),
INDEX( 'ETPT Format DDG'!$A:$ZZ,,MATCH("Catégorie",'ETPT Format DDG'!2:2,0)),"Greffe",
INDEX( 'ETPT Format DDG'!$A:$ZZ,,MATCH("Juridiction",'ETPT Format DDG'!2:2,0)),$A$3)</f>
      </c>
      <c r="T96" s="72">
        <f>IF(AND(OR(LEFT(C96,3)="12.",LEFT(E96,3)="12.",LEFT(E96,5)="CET &gt;",IFERROR(S96/$S$6,"")=0),NOT(AND(LEFT(E96,4)="12.8",IFERROR(G96/$G$6,"")&lt;&gt;0)),NOT(AND(LEFT(E96,5)="12.31",IFERROR(S96/$G$6,"")&lt;&gt;0)),NOT(AND(LEFT(E96,5)="12.32",IFERROR(S96/$G$6,"")&lt;&gt;0))),"", IFERROR(S96/$S$6,""))</f>
      </c>
      <c r="U96" s="71">
        <f>SUMIFS(
INDEX('ETPT Format DDG'!$A:$FB,,IFERROR(MATCH(E96,'ETPT Format DDG'!$2:$2,0),MATCH(C96,'ETPT Format DDG'!$2:$2,0))),
INDEX( 'ETPT Format DDG'!$A:$ZZ,,MATCH("Fonction agrégat",'ETPT Format DDG'!2:2,0)),"C",
INDEX( 'ETPT Format DDG'!$A:$ZZ,,MATCH("Juridiction",'ETPT Format DDG'!2:2,0)),$A$3,
INDEX( 'ETPT Format DDG'!$A:$ZZ,,MATCH("Catégorie",'ETPT Format DDG'!2:2,0)),"Autour du magistrat")</f>
      </c>
      <c r="V96" s="74">
        <f>IF(AND(OR(LEFT(C96,3)="12.",LEFT(E96,3)="12.",LEFT(E96,5)="CET &gt;",IFERROR(U96/$U$6,"")=0),NOT(AND(LEFT(E96,4)="12.8",IFERROR(G96/$G$6,"")&lt;&gt;0)),NOT(AND(LEFT(E96,5)="12.31",IFERROR(U96/$G$6,"")&lt;&gt;0)),NOT(AND(LEFT(E96,5)="12.32",IFERROR(U96/$G$6,"")&lt;&gt;0))),"", IFERROR(U96/$U$6,""))</f>
      </c>
    </row>
    <row r="97" ht="16" customHeight="1" spans="1:23" x14ac:dyDescent="0.25">
      <c r="A97" s="40"/>
      <c r="C97" s="68"/>
      <c r="D97" s="68"/>
      <c r="E97" s="69" t="s">
        <v>132</v>
      </c>
      <c r="F97" s="70" t="s">
        <v>132</v>
      </c>
      <c r="G97" s="71">
        <f>SUMIFS(
INDEX('ETPT Format DDG'!$A:$ZZ,,IFERROR(MATCH(E97,'ETPT Format DDG'!$2:$2,0),MATCH(C97,'ETPT Format DDG'!$2:$2,0))),
INDEX( 'ETPT Format DDG'!$A:$ZZ,,MATCH("Fonction agrégat",'ETPT Format DDG'!2:2,0)),"M-TIT",
INDEX( 'ETPT Format DDG'!$A:$ZZ,,MATCH("Juridiction",'ETPT Format DDG'!2:2,0)),$A$3)</f>
      </c>
      <c r="H97" s="72">
        <f>IF(AND(OR(LEFT(C97,3)="12.",LEFT(E97,3)="12.",LEFT(E97,5)="CET &gt;",IFERROR(G97/$G$6,"")=0),NOT(AND(LEFT(E97,4)="12.8",IFERROR(G97/$G$6,"")&lt;&gt;0)),NOT(AND(LEFT(E97,5)="12.31",IFERROR(G97/$G$6,"")&lt;&gt;0)),NOT(AND(LEFT(E97,5)="12.32",IFERROR(G97/$G$6,"")&lt;&gt;0))),"", IFERROR(G97/$G$6,""))</f>
      </c>
      <c r="I97" s="73">
        <f>SUMIFS(
INDEX('ETPT Format DDG'!$A:$ZZ,,IFERROR(MATCH(E97,'ETPT Format DDG'!$2:$2,0),MATCH(C97,'ETPT Format DDG'!$2:$2,0))),
INDEX( 'ETPT Format DDG'!$A:$ZZ,,MATCH("Fonction agrégat",'ETPT Format DDG'!2:2,0)),"M-PLAC-ADD",
INDEX( 'ETPT Format DDG'!$A:$ZZ,,MATCH("Juridiction",'ETPT Format DDG'!2:2,0)),$A$3)</f>
      </c>
      <c r="J97" s="73">
        <f>SUMIFS(
INDEX('ETPT Format DDG'!$A:$ZZ,,IFERROR(MATCH(E97,'ETPT Format DDG'!$2:$2,0),MATCH(C97,'ETPT Format DDG'!$2:$2,0))),
INDEX( 'ETPT Format DDG'!$A:$ZZ,,MATCH("Fonction agrégat",'ETPT Format DDG'!2:2,0)),"M-PLAC-SUB",
INDEX( 'ETPT Format DDG'!$A:$ZZ,,MATCH("Juridiction",'ETPT Format DDG'!2:2,0)),$A$3)</f>
      </c>
      <c r="K97" s="73">
        <f>SUMIFS(
INDEX('ETPT Format DDG'!$A:$ZZ,,IFERROR(MATCH(E97,'ETPT Format DDG'!$2:$2,0),MATCH(C97,'ETPT Format DDG'!$2:$2,0))),
INDEX( 'ETPT Format DDG'!$A:$ZZ,,MATCH("Fonction agrégat",'ETPT Format DDG'!2:2,0)),"M-CONT",
INDEX( 'ETPT Format DDG'!$A:$ZZ,,MATCH("Juridiction",'ETPT Format DDG'!2:2,0)),$A$3,
INDEX( 'ETPT Format DDG'!$A:$ZZ,,MATCH("Catégorie",'ETPT Format DDG'!2:2,0)),"Magistrat")</f>
      </c>
      <c r="L97" s="71">
        <f>SUMIFS(
INDEX('ETPT Format DDG'!$A:$ZZ,,IFERROR(MATCH(E97,'ETPT Format DDG'!$2:$2,0),MATCH(C97,'ETPT Format DDG'!$2:$2,0))),
INDEX( 'ETPT Format DDG'!$A:$ZZ,,MATCH("Juridiction",'ETPT Format DDG'!2:2,0)),$A$3,
INDEX( 'ETPT Format DDG'!$A:$ZZ,,MATCH("Catégorie",'ETPT Format DDG'!2:2,0)),"Magistrat")</f>
      </c>
      <c r="M97" s="74">
        <f>IF(AND(OR(LEFT(C97,3)="12.",LEFT(E97,3)="12.",LEFT(E97,5)="CET &gt;", IFERROR(L97/$L$6,"")=0),NOT(AND(LEFT(E97,4)="12.8",IFERROR(G97/$G$6,"")&lt;&gt;0)),NOT(AND(LEFT(E97,5)="12.31",IFERROR(L97/$G$6,"")&lt;&gt;0)),NOT(AND(LEFT(E97,5)="12.32",IFERROR(L97/$G$6,"")&lt;&gt;0))),"", IFERROR(L97/$L$6,""))</f>
      </c>
      <c r="N97" s="73">
        <f>SUMIFS(
INDEX('ETPT Format DDG'!$A:$ZZ,,IFERROR(MATCH(E97,'ETPT Format DDG'!$2:$2,0),MATCH(C97,'ETPT Format DDG'!$2:$2,0))),
INDEX( 'ETPT Format DDG'!$A:$ZZ,,MATCH("Fonction agrégat",'ETPT Format DDG'!2:2,0)),"F-TIT",
INDEX( 'ETPT Format DDG'!$A:$ZZ,,MATCH("Juridiction",'ETPT Format DDG'!2:2,0)),$A$3)</f>
      </c>
      <c r="O97" s="72">
        <f>IF(AND(OR(LEFT(C97,3)="12.",LEFT(E97,3)="12.",LEFT(E97,5)="CET &gt;",IFERROR(N97/$N$6,"")=0),NOT(AND(LEFT(E97,4)="12.8",IFERROR(G97/$G$6,"")&lt;&gt;0)),NOT(AND(LEFT(E97,5)="12.31",IFERROR(N97/$G$6,"")&lt;&gt;0)),NOT(AND(LEFT(E97,5)="12.32",IFERROR(N97/$G$6,"")&lt;&gt;0))),"",IFERROR(N97/$N$6,""))</f>
      </c>
      <c r="P97" s="73">
        <f>SUMIFS(
INDEX('ETPT Format DDG'!$A:$FB,,IFERROR(MATCH(E97,'ETPT Format DDG'!$2:$2,0),MATCH(C97,'ETPT Format DDG'!$2:$2,0))),
INDEX( 'ETPT Format DDG'!$A:$ZZ,,MATCH("Fonction agrégat",'ETPT Format DDG'!2:2,0)),"F-PLAC-ADD",
INDEX( 'ETPT Format DDG'!$A:$ZZ,,MATCH("Juridiction",'ETPT Format DDG'!2:2,0)),$A$3)</f>
      </c>
      <c r="Q97" s="73">
        <f>SUMIFS(
INDEX('ETPT Format DDG'!$A:$FB,,IFERROR(MATCH(E97,'ETPT Format DDG'!$2:$2,0),MATCH(C97,'ETPT Format DDG'!$2:$2,0))),
INDEX( 'ETPT Format DDG'!$A:$ZZ,,MATCH("Fonction agrégat",'ETPT Format DDG'!2:2,0)),"F-PLAC-SUB",
INDEX( 'ETPT Format DDG'!$A:$ZZ,,MATCH("Juridiction",'ETPT Format DDG'!2:2,0)),$A$3)</f>
      </c>
      <c r="R97" s="73">
        <f>SUMIFS(
INDEX('ETPT Format DDG'!$A:$FB,,IFERROR(MATCH(E97,'ETPT Format DDG'!$2:$2,0),MATCH(C97,'ETPT Format DDG'!$2:$2,0))),
INDEX( 'ETPT Format DDG'!$A:$ZZ,,MATCH("Fonction agrégat",'ETPT Format DDG'!2:2,0)),"C",
'ETPT Format DDG'!$H:$H,"Greffe",
INDEX( 'ETPT Format DDG'!$A:$ZZ,,MATCH("Juridiction",'ETPT Format DDG'!2:2,0)),$A$3)</f>
      </c>
      <c r="S97" s="71">
        <f>SUMIFS(
INDEX('ETPT Format DDG'!$A:$FB,,IFERROR(MATCH(E97,'ETPT Format DDG'!$2:$2,0),MATCH(C97,'ETPT Format DDG'!$2:$2,0))),
INDEX( 'ETPT Format DDG'!$A:$ZZ,,MATCH("Catégorie",'ETPT Format DDG'!2:2,0)),"Greffe",
INDEX( 'ETPT Format DDG'!$A:$ZZ,,MATCH("Juridiction",'ETPT Format DDG'!2:2,0)),$A$3)</f>
      </c>
      <c r="T97" s="72">
        <f>IF(AND(OR(LEFT(C97,3)="12.",LEFT(E97,3)="12.",LEFT(E97,5)="CET &gt;",IFERROR(S97/$S$6,"")=0),NOT(AND(LEFT(E97,4)="12.8",IFERROR(G97/$G$6,"")&lt;&gt;0)),NOT(AND(LEFT(E97,5)="12.31",IFERROR(S97/$G$6,"")&lt;&gt;0)),NOT(AND(LEFT(E97,5)="12.32",IFERROR(S97/$G$6,"")&lt;&gt;0))),"", IFERROR(S97/$S$6,""))</f>
      </c>
      <c r="U97" s="71">
        <f>SUMIFS(
INDEX('ETPT Format DDG'!$A:$FB,,IFERROR(MATCH(E97,'ETPT Format DDG'!$2:$2,0),MATCH(C97,'ETPT Format DDG'!$2:$2,0))),
INDEX( 'ETPT Format DDG'!$A:$ZZ,,MATCH("Fonction agrégat",'ETPT Format DDG'!2:2,0)),"C",
INDEX( 'ETPT Format DDG'!$A:$ZZ,,MATCH("Juridiction",'ETPT Format DDG'!2:2,0)),$A$3,
INDEX( 'ETPT Format DDG'!$A:$ZZ,,MATCH("Catégorie",'ETPT Format DDG'!2:2,0)),"Autour du magistrat")</f>
      </c>
      <c r="V97" s="74">
        <f>IF(AND(OR(LEFT(C97,3)="12.",LEFT(E97,3)="12.",LEFT(E97,5)="CET &gt;",IFERROR(U97/$U$6,"")=0),NOT(AND(LEFT(E97,4)="12.8",IFERROR(G97/$G$6,"")&lt;&gt;0)),NOT(AND(LEFT(E97,5)="12.31",IFERROR(U97/$G$6,"")&lt;&gt;0)),NOT(AND(LEFT(E97,5)="12.32",IFERROR(U97/$G$6,"")&lt;&gt;0))),"", IFERROR(U97/$U$6,""))</f>
      </c>
    </row>
    <row r="98" ht="16" customHeight="1" spans="1:23" x14ac:dyDescent="0.25">
      <c r="A98" s="40"/>
      <c r="C98" s="68"/>
      <c r="D98" s="68"/>
      <c r="E98" s="69" t="s">
        <v>133</v>
      </c>
      <c r="F98" s="70" t="s">
        <v>133</v>
      </c>
      <c r="G98" s="71">
        <f>SUMIFS(
INDEX('ETPT Format DDG'!$A:$ZZ,,IFERROR(MATCH(E98,'ETPT Format DDG'!$2:$2,0),MATCH(C98,'ETPT Format DDG'!$2:$2,0))),
INDEX( 'ETPT Format DDG'!$A:$ZZ,,MATCH("Fonction agrégat",'ETPT Format DDG'!2:2,0)),"M-TIT",
INDEX( 'ETPT Format DDG'!$A:$ZZ,,MATCH("Juridiction",'ETPT Format DDG'!2:2,0)),$A$3)</f>
      </c>
      <c r="H98" s="72">
        <f>IF(AND(OR(LEFT(C98,3)="12.",LEFT(E98,3)="12.",LEFT(E98,5)="CET &gt;",IFERROR(G98/$G$6,"")=0),NOT(AND(LEFT(E98,4)="12.8",IFERROR(G98/$G$6,"")&lt;&gt;0)),NOT(AND(LEFT(E98,5)="12.31",IFERROR(G98/$G$6,"")&lt;&gt;0)),NOT(AND(LEFT(E98,5)="12.32",IFERROR(G98/$G$6,"")&lt;&gt;0))),"", IFERROR(G98/$G$6,""))</f>
      </c>
      <c r="I98" s="73">
        <f>SUMIFS(
INDEX('ETPT Format DDG'!$A:$ZZ,,IFERROR(MATCH(E98,'ETPT Format DDG'!$2:$2,0),MATCH(C98,'ETPT Format DDG'!$2:$2,0))),
INDEX( 'ETPT Format DDG'!$A:$ZZ,,MATCH("Fonction agrégat",'ETPT Format DDG'!2:2,0)),"M-PLAC-ADD",
INDEX( 'ETPT Format DDG'!$A:$ZZ,,MATCH("Juridiction",'ETPT Format DDG'!2:2,0)),$A$3)</f>
      </c>
      <c r="J98" s="73">
        <f>SUMIFS(
INDEX('ETPT Format DDG'!$A:$ZZ,,IFERROR(MATCH(E98,'ETPT Format DDG'!$2:$2,0),MATCH(C98,'ETPT Format DDG'!$2:$2,0))),
INDEX( 'ETPT Format DDG'!$A:$ZZ,,MATCH("Fonction agrégat",'ETPT Format DDG'!2:2,0)),"M-PLAC-SUB",
INDEX( 'ETPT Format DDG'!$A:$ZZ,,MATCH("Juridiction",'ETPT Format DDG'!2:2,0)),$A$3)</f>
      </c>
      <c r="K98" s="73">
        <f>SUMIFS(
INDEX('ETPT Format DDG'!$A:$ZZ,,IFERROR(MATCH(E98,'ETPT Format DDG'!$2:$2,0),MATCH(C98,'ETPT Format DDG'!$2:$2,0))),
INDEX( 'ETPT Format DDG'!$A:$ZZ,,MATCH("Fonction agrégat",'ETPT Format DDG'!2:2,0)),"M-CONT",
INDEX( 'ETPT Format DDG'!$A:$ZZ,,MATCH("Juridiction",'ETPT Format DDG'!2:2,0)),$A$3,
INDEX( 'ETPT Format DDG'!$A:$ZZ,,MATCH("Catégorie",'ETPT Format DDG'!2:2,0)),"Magistrat")</f>
      </c>
      <c r="L98" s="71">
        <f>SUMIFS(
INDEX('ETPT Format DDG'!$A:$ZZ,,IFERROR(MATCH(E98,'ETPT Format DDG'!$2:$2,0),MATCH(C98,'ETPT Format DDG'!$2:$2,0))),
INDEX( 'ETPT Format DDG'!$A:$ZZ,,MATCH("Juridiction",'ETPT Format DDG'!2:2,0)),$A$3,
INDEX( 'ETPT Format DDG'!$A:$ZZ,,MATCH("Catégorie",'ETPT Format DDG'!2:2,0)),"Magistrat")</f>
      </c>
      <c r="M98" s="74">
        <f>IF(AND(OR(LEFT(C98,3)="12.",LEFT(E98,3)="12.",LEFT(E98,5)="CET &gt;", IFERROR(L98/$L$6,"")=0),NOT(AND(LEFT(E98,4)="12.8",IFERROR(G98/$G$6,"")&lt;&gt;0)),NOT(AND(LEFT(E98,5)="12.31",IFERROR(L98/$G$6,"")&lt;&gt;0)),NOT(AND(LEFT(E98,5)="12.32",IFERROR(L98/$G$6,"")&lt;&gt;0))),"", IFERROR(L98/$L$6,""))</f>
      </c>
      <c r="N98" s="73">
        <f>SUMIFS(
INDEX('ETPT Format DDG'!$A:$ZZ,,IFERROR(MATCH(E98,'ETPT Format DDG'!$2:$2,0),MATCH(C98,'ETPT Format DDG'!$2:$2,0))),
INDEX( 'ETPT Format DDG'!$A:$ZZ,,MATCH("Fonction agrégat",'ETPT Format DDG'!2:2,0)),"F-TIT",
INDEX( 'ETPT Format DDG'!$A:$ZZ,,MATCH("Juridiction",'ETPT Format DDG'!2:2,0)),$A$3)</f>
      </c>
      <c r="O98" s="72">
        <f>IF(AND(OR(LEFT(C98,3)="12.",LEFT(E98,3)="12.",LEFT(E98,5)="CET &gt;",IFERROR(N98/$N$6,"")=0),NOT(AND(LEFT(E98,4)="12.8",IFERROR(G98/$G$6,"")&lt;&gt;0)),NOT(AND(LEFT(E98,5)="12.31",IFERROR(N98/$G$6,"")&lt;&gt;0)),NOT(AND(LEFT(E98,5)="12.32",IFERROR(N98/$G$6,"")&lt;&gt;0))),"",IFERROR(N98/$N$6,""))</f>
      </c>
      <c r="P98" s="73">
        <f>SUMIFS(
INDEX('ETPT Format DDG'!$A:$FB,,IFERROR(MATCH(E98,'ETPT Format DDG'!$2:$2,0),MATCH(C98,'ETPT Format DDG'!$2:$2,0))),
INDEX( 'ETPT Format DDG'!$A:$ZZ,,MATCH("Fonction agrégat",'ETPT Format DDG'!2:2,0)),"F-PLAC-ADD",
INDEX( 'ETPT Format DDG'!$A:$ZZ,,MATCH("Juridiction",'ETPT Format DDG'!2:2,0)),$A$3)</f>
      </c>
      <c r="Q98" s="73">
        <f>SUMIFS(
INDEX('ETPT Format DDG'!$A:$FB,,IFERROR(MATCH(E98,'ETPT Format DDG'!$2:$2,0),MATCH(C98,'ETPT Format DDG'!$2:$2,0))),
INDEX( 'ETPT Format DDG'!$A:$ZZ,,MATCH("Fonction agrégat",'ETPT Format DDG'!2:2,0)),"F-PLAC-SUB",
INDEX( 'ETPT Format DDG'!$A:$ZZ,,MATCH("Juridiction",'ETPT Format DDG'!2:2,0)),$A$3)</f>
      </c>
      <c r="R98" s="73">
        <f>SUMIFS(
INDEX('ETPT Format DDG'!$A:$FB,,IFERROR(MATCH(E98,'ETPT Format DDG'!$2:$2,0),MATCH(C98,'ETPT Format DDG'!$2:$2,0))),
INDEX( 'ETPT Format DDG'!$A:$ZZ,,MATCH("Fonction agrégat",'ETPT Format DDG'!2:2,0)),"C",
'ETPT Format DDG'!$H:$H,"Greffe",
INDEX( 'ETPT Format DDG'!$A:$ZZ,,MATCH("Juridiction",'ETPT Format DDG'!2:2,0)),$A$3)</f>
      </c>
      <c r="S98" s="71">
        <f>SUMIFS(
INDEX('ETPT Format DDG'!$A:$FB,,IFERROR(MATCH(E98,'ETPT Format DDG'!$2:$2,0),MATCH(C98,'ETPT Format DDG'!$2:$2,0))),
INDEX( 'ETPT Format DDG'!$A:$ZZ,,MATCH("Catégorie",'ETPT Format DDG'!2:2,0)),"Greffe",
INDEX( 'ETPT Format DDG'!$A:$ZZ,,MATCH("Juridiction",'ETPT Format DDG'!2:2,0)),$A$3)</f>
      </c>
      <c r="T98" s="72">
        <f>IF(AND(OR(LEFT(C98,3)="12.",LEFT(E98,3)="12.",LEFT(E98,5)="CET &gt;",IFERROR(S98/$S$6,"")=0),NOT(AND(LEFT(E98,4)="12.8",IFERROR(G98/$G$6,"")&lt;&gt;0)),NOT(AND(LEFT(E98,5)="12.31",IFERROR(S98/$G$6,"")&lt;&gt;0)),NOT(AND(LEFT(E98,5)="12.32",IFERROR(S98/$G$6,"")&lt;&gt;0))),"", IFERROR(S98/$S$6,""))</f>
      </c>
      <c r="U98" s="71">
        <f>SUMIFS(
INDEX('ETPT Format DDG'!$A:$FB,,IFERROR(MATCH(E98,'ETPT Format DDG'!$2:$2,0),MATCH(C98,'ETPT Format DDG'!$2:$2,0))),
INDEX( 'ETPT Format DDG'!$A:$ZZ,,MATCH("Fonction agrégat",'ETPT Format DDG'!2:2,0)),"C",
INDEX( 'ETPT Format DDG'!$A:$ZZ,,MATCH("Juridiction",'ETPT Format DDG'!2:2,0)),$A$3,
INDEX( 'ETPT Format DDG'!$A:$ZZ,,MATCH("Catégorie",'ETPT Format DDG'!2:2,0)),"Autour du magistrat")</f>
      </c>
      <c r="V98" s="74">
        <f>IF(AND(OR(LEFT(C98,3)="12.",LEFT(E98,3)="12.",LEFT(E98,5)="CET &gt;",IFERROR(U98/$U$6,"")=0),NOT(AND(LEFT(E98,4)="12.8",IFERROR(G98/$G$6,"")&lt;&gt;0)),NOT(AND(LEFT(E98,5)="12.31",IFERROR(U98/$G$6,"")&lt;&gt;0)),NOT(AND(LEFT(E98,5)="12.32",IFERROR(U98/$G$6,"")&lt;&gt;0))),"", IFERROR(U98/$U$6,""))</f>
      </c>
    </row>
    <row r="99" ht="16" customHeight="1" spans="1:23" x14ac:dyDescent="0.25">
      <c r="A99" s="40"/>
      <c r="C99" s="68"/>
      <c r="D99" s="68"/>
      <c r="E99" s="69" t="s">
        <v>134</v>
      </c>
      <c r="F99" s="70" t="s">
        <v>134</v>
      </c>
      <c r="G99" s="71">
        <f>SUMIFS(
INDEX('ETPT Format DDG'!$A:$ZZ,,IFERROR(MATCH(E99,'ETPT Format DDG'!$2:$2,0),MATCH(C99,'ETPT Format DDG'!$2:$2,0))),
INDEX( 'ETPT Format DDG'!$A:$ZZ,,MATCH("Fonction agrégat",'ETPT Format DDG'!2:2,0)),"M-TIT",
INDEX( 'ETPT Format DDG'!$A:$ZZ,,MATCH("Juridiction",'ETPT Format DDG'!2:2,0)),$A$3)</f>
      </c>
      <c r="H99" s="72">
        <f>IF(AND(OR(LEFT(C99,3)="12.",LEFT(E99,3)="12.",LEFT(E99,5)="CET &gt;",IFERROR(G99/$G$6,"")=0),NOT(AND(LEFT(E99,4)="12.8",IFERROR(G99/$G$6,"")&lt;&gt;0)),NOT(AND(LEFT(E99,5)="12.31",IFERROR(G99/$G$6,"")&lt;&gt;0)),NOT(AND(LEFT(E99,5)="12.32",IFERROR(G99/$G$6,"")&lt;&gt;0))),"", IFERROR(G99/$G$6,""))</f>
      </c>
      <c r="I99" s="73">
        <f>SUMIFS(
INDEX('ETPT Format DDG'!$A:$ZZ,,IFERROR(MATCH(E99,'ETPT Format DDG'!$2:$2,0),MATCH(C99,'ETPT Format DDG'!$2:$2,0))),
INDEX( 'ETPT Format DDG'!$A:$ZZ,,MATCH("Fonction agrégat",'ETPT Format DDG'!2:2,0)),"M-PLAC-ADD",
INDEX( 'ETPT Format DDG'!$A:$ZZ,,MATCH("Juridiction",'ETPT Format DDG'!2:2,0)),$A$3)</f>
      </c>
      <c r="J99" s="73">
        <f>SUMIFS(
INDEX('ETPT Format DDG'!$A:$ZZ,,IFERROR(MATCH(E99,'ETPT Format DDG'!$2:$2,0),MATCH(C99,'ETPT Format DDG'!$2:$2,0))),
INDEX( 'ETPT Format DDG'!$A:$ZZ,,MATCH("Fonction agrégat",'ETPT Format DDG'!2:2,0)),"M-PLAC-SUB",
INDEX( 'ETPT Format DDG'!$A:$ZZ,,MATCH("Juridiction",'ETPT Format DDG'!2:2,0)),$A$3)</f>
      </c>
      <c r="K99" s="73">
        <f>SUMIFS(
INDEX('ETPT Format DDG'!$A:$ZZ,,IFERROR(MATCH(E99,'ETPT Format DDG'!$2:$2,0),MATCH(C99,'ETPT Format DDG'!$2:$2,0))),
INDEX( 'ETPT Format DDG'!$A:$ZZ,,MATCH("Fonction agrégat",'ETPT Format DDG'!2:2,0)),"M-CONT",
INDEX( 'ETPT Format DDG'!$A:$ZZ,,MATCH("Juridiction",'ETPT Format DDG'!2:2,0)),$A$3,
INDEX( 'ETPT Format DDG'!$A:$ZZ,,MATCH("Catégorie",'ETPT Format DDG'!2:2,0)),"Magistrat")</f>
      </c>
      <c r="L99" s="71">
        <f>SUMIFS(
INDEX('ETPT Format DDG'!$A:$ZZ,,IFERROR(MATCH(E99,'ETPT Format DDG'!$2:$2,0),MATCH(C99,'ETPT Format DDG'!$2:$2,0))),
INDEX( 'ETPT Format DDG'!$A:$ZZ,,MATCH("Juridiction",'ETPT Format DDG'!2:2,0)),$A$3,
INDEX( 'ETPT Format DDG'!$A:$ZZ,,MATCH("Catégorie",'ETPT Format DDG'!2:2,0)),"Magistrat")</f>
      </c>
      <c r="M99" s="74">
        <f>IF(AND(OR(LEFT(C99,3)="12.",LEFT(E99,3)="12.",LEFT(E99,5)="CET &gt;", IFERROR(L99/$L$6,"")=0),NOT(AND(LEFT(E99,4)="12.8",IFERROR(G99/$G$6,"")&lt;&gt;0)),NOT(AND(LEFT(E99,5)="12.31",IFERROR(L99/$G$6,"")&lt;&gt;0)),NOT(AND(LEFT(E99,5)="12.32",IFERROR(L99/$G$6,"")&lt;&gt;0))),"", IFERROR(L99/$L$6,""))</f>
      </c>
      <c r="N99" s="73">
        <f>SUMIFS(
INDEX('ETPT Format DDG'!$A:$ZZ,,IFERROR(MATCH(E99,'ETPT Format DDG'!$2:$2,0),MATCH(C99,'ETPT Format DDG'!$2:$2,0))),
INDEX( 'ETPT Format DDG'!$A:$ZZ,,MATCH("Fonction agrégat",'ETPT Format DDG'!2:2,0)),"F-TIT",
INDEX( 'ETPT Format DDG'!$A:$ZZ,,MATCH("Juridiction",'ETPT Format DDG'!2:2,0)),$A$3)</f>
      </c>
      <c r="O99" s="72">
        <f>IF(AND(OR(LEFT(C99,3)="12.",LEFT(E99,3)="12.",LEFT(E99,5)="CET &gt;",IFERROR(N99/$N$6,"")=0),NOT(AND(LEFT(E99,4)="12.8",IFERROR(G99/$G$6,"")&lt;&gt;0)),NOT(AND(LEFT(E99,5)="12.31",IFERROR(N99/$G$6,"")&lt;&gt;0)),NOT(AND(LEFT(E99,5)="12.32",IFERROR(N99/$G$6,"")&lt;&gt;0))),"",IFERROR(N99/$N$6,""))</f>
      </c>
      <c r="P99" s="73">
        <f>SUMIFS(
INDEX('ETPT Format DDG'!$A:$FB,,IFERROR(MATCH(E99,'ETPT Format DDG'!$2:$2,0),MATCH(C99,'ETPT Format DDG'!$2:$2,0))),
INDEX( 'ETPT Format DDG'!$A:$ZZ,,MATCH("Fonction agrégat",'ETPT Format DDG'!2:2,0)),"F-PLAC-ADD",
INDEX( 'ETPT Format DDG'!$A:$ZZ,,MATCH("Juridiction",'ETPT Format DDG'!2:2,0)),$A$3)</f>
      </c>
      <c r="Q99" s="73">
        <f>SUMIFS(
INDEX('ETPT Format DDG'!$A:$FB,,IFERROR(MATCH(E99,'ETPT Format DDG'!$2:$2,0),MATCH(C99,'ETPT Format DDG'!$2:$2,0))),
INDEX( 'ETPT Format DDG'!$A:$ZZ,,MATCH("Fonction agrégat",'ETPT Format DDG'!2:2,0)),"F-PLAC-SUB",
INDEX( 'ETPT Format DDG'!$A:$ZZ,,MATCH("Juridiction",'ETPT Format DDG'!2:2,0)),$A$3)</f>
      </c>
      <c r="R99" s="73">
        <f>SUMIFS(
INDEX('ETPT Format DDG'!$A:$FB,,IFERROR(MATCH(E99,'ETPT Format DDG'!$2:$2,0),MATCH(C99,'ETPT Format DDG'!$2:$2,0))),
INDEX( 'ETPT Format DDG'!$A:$ZZ,,MATCH("Fonction agrégat",'ETPT Format DDG'!2:2,0)),"C",
'ETPT Format DDG'!$H:$H,"Greffe",
INDEX( 'ETPT Format DDG'!$A:$ZZ,,MATCH("Juridiction",'ETPT Format DDG'!2:2,0)),$A$3)</f>
      </c>
      <c r="S99" s="71">
        <f>SUMIFS(
INDEX('ETPT Format DDG'!$A:$FB,,IFERROR(MATCH(E99,'ETPT Format DDG'!$2:$2,0),MATCH(C99,'ETPT Format DDG'!$2:$2,0))),
INDEX( 'ETPT Format DDG'!$A:$ZZ,,MATCH("Catégorie",'ETPT Format DDG'!2:2,0)),"Greffe",
INDEX( 'ETPT Format DDG'!$A:$ZZ,,MATCH("Juridiction",'ETPT Format DDG'!2:2,0)),$A$3)</f>
      </c>
      <c r="T99" s="72">
        <f>IF(AND(OR(LEFT(C99,3)="12.",LEFT(E99,3)="12.",LEFT(E99,5)="CET &gt;",IFERROR(S99/$S$6,"")=0),NOT(AND(LEFT(E99,4)="12.8",IFERROR(G99/$G$6,"")&lt;&gt;0)),NOT(AND(LEFT(E99,5)="12.31",IFERROR(S99/$G$6,"")&lt;&gt;0)),NOT(AND(LEFT(E99,5)="12.32",IFERROR(S99/$G$6,"")&lt;&gt;0))),"", IFERROR(S99/$S$6,""))</f>
      </c>
      <c r="U99" s="71">
        <f>SUMIFS(
INDEX('ETPT Format DDG'!$A:$FB,,IFERROR(MATCH(E99,'ETPT Format DDG'!$2:$2,0),MATCH(C99,'ETPT Format DDG'!$2:$2,0))),
INDEX( 'ETPT Format DDG'!$A:$ZZ,,MATCH("Fonction agrégat",'ETPT Format DDG'!2:2,0)),"C",
INDEX( 'ETPT Format DDG'!$A:$ZZ,,MATCH("Juridiction",'ETPT Format DDG'!2:2,0)),$A$3,
INDEX( 'ETPT Format DDG'!$A:$ZZ,,MATCH("Catégorie",'ETPT Format DDG'!2:2,0)),"Autour du magistrat")</f>
      </c>
      <c r="V99" s="74">
        <f>IF(AND(OR(LEFT(C99,3)="12.",LEFT(E99,3)="12.",LEFT(E99,5)="CET &gt;",IFERROR(U99/$U$6,"")=0),NOT(AND(LEFT(E99,4)="12.8",IFERROR(G99/$G$6,"")&lt;&gt;0)),NOT(AND(LEFT(E99,5)="12.31",IFERROR(U99/$G$6,"")&lt;&gt;0)),NOT(AND(LEFT(E99,5)="12.32",IFERROR(U99/$G$6,"")&lt;&gt;0))),"", IFERROR(U99/$U$6,""))</f>
      </c>
    </row>
    <row r="100" ht="16" customHeight="1" spans="1:23" x14ac:dyDescent="0.25">
      <c r="A100" s="40"/>
      <c r="C100" s="68"/>
      <c r="D100" s="68"/>
      <c r="E100" s="69" t="s">
        <v>135</v>
      </c>
      <c r="F100" s="70" t="s">
        <v>135</v>
      </c>
      <c r="G100" s="71">
        <f>SUMIFS(
INDEX('ETPT Format DDG'!$A:$ZZ,,IFERROR(MATCH(E100,'ETPT Format DDG'!$2:$2,0),MATCH(C100,'ETPT Format DDG'!$2:$2,0))),
INDEX( 'ETPT Format DDG'!$A:$ZZ,,MATCH("Fonction agrégat",'ETPT Format DDG'!2:2,0)),"M-TIT",
INDEX( 'ETPT Format DDG'!$A:$ZZ,,MATCH("Juridiction",'ETPT Format DDG'!2:2,0)),$A$3)</f>
      </c>
      <c r="H100" s="72">
        <f>IF(AND(OR(LEFT(C100,3)="12.",LEFT(E100,3)="12.",LEFT(E100,5)="CET &gt;",IFERROR(G100/$G$6,"")=0),NOT(AND(LEFT(E100,4)="12.8",IFERROR(G100/$G$6,"")&lt;&gt;0)),NOT(AND(LEFT(E100,5)="12.31",IFERROR(G100/$G$6,"")&lt;&gt;0)),NOT(AND(LEFT(E100,5)="12.32",IFERROR(G100/$G$6,"")&lt;&gt;0))),"", IFERROR(G100/$G$6,""))</f>
      </c>
      <c r="I100" s="73">
        <f>SUMIFS(
INDEX('ETPT Format DDG'!$A:$ZZ,,IFERROR(MATCH(E100,'ETPT Format DDG'!$2:$2,0),MATCH(C100,'ETPT Format DDG'!$2:$2,0))),
INDEX( 'ETPT Format DDG'!$A:$ZZ,,MATCH("Fonction agrégat",'ETPT Format DDG'!2:2,0)),"M-PLAC-ADD",
INDEX( 'ETPT Format DDG'!$A:$ZZ,,MATCH("Juridiction",'ETPT Format DDG'!2:2,0)),$A$3)</f>
      </c>
      <c r="J100" s="73">
        <f>SUMIFS(
INDEX('ETPT Format DDG'!$A:$ZZ,,IFERROR(MATCH(E100,'ETPT Format DDG'!$2:$2,0),MATCH(C100,'ETPT Format DDG'!$2:$2,0))),
INDEX( 'ETPT Format DDG'!$A:$ZZ,,MATCH("Fonction agrégat",'ETPT Format DDG'!2:2,0)),"M-PLAC-SUB",
INDEX( 'ETPT Format DDG'!$A:$ZZ,,MATCH("Juridiction",'ETPT Format DDG'!2:2,0)),$A$3)</f>
      </c>
      <c r="K100" s="73">
        <f>SUMIFS(
INDEX('ETPT Format DDG'!$A:$ZZ,,IFERROR(MATCH(E100,'ETPT Format DDG'!$2:$2,0),MATCH(C100,'ETPT Format DDG'!$2:$2,0))),
INDEX( 'ETPT Format DDG'!$A:$ZZ,,MATCH("Fonction agrégat",'ETPT Format DDG'!2:2,0)),"M-CONT",
INDEX( 'ETPT Format DDG'!$A:$ZZ,,MATCH("Juridiction",'ETPT Format DDG'!2:2,0)),$A$3,
INDEX( 'ETPT Format DDG'!$A:$ZZ,,MATCH("Catégorie",'ETPT Format DDG'!2:2,0)),"Magistrat")</f>
      </c>
      <c r="L100" s="71">
        <f>SUMIFS(
INDEX('ETPT Format DDG'!$A:$ZZ,,IFERROR(MATCH(E100,'ETPT Format DDG'!$2:$2,0),MATCH(C100,'ETPT Format DDG'!$2:$2,0))),
INDEX( 'ETPT Format DDG'!$A:$ZZ,,MATCH("Juridiction",'ETPT Format DDG'!2:2,0)),$A$3,
INDEX( 'ETPT Format DDG'!$A:$ZZ,,MATCH("Catégorie",'ETPT Format DDG'!2:2,0)),"Magistrat")</f>
      </c>
      <c r="M100" s="74">
        <f>IF(AND(OR(LEFT(C100,3)="12.",LEFT(E100,3)="12.",LEFT(E100,5)="CET &gt;", IFERROR(L100/$L$6,"")=0),NOT(AND(LEFT(E100,4)="12.8",IFERROR(G100/$G$6,"")&lt;&gt;0)),NOT(AND(LEFT(E100,5)="12.31",IFERROR(L100/$G$6,"")&lt;&gt;0)),NOT(AND(LEFT(E100,5)="12.32",IFERROR(L100/$G$6,"")&lt;&gt;0))),"", IFERROR(L100/$L$6,""))</f>
      </c>
      <c r="N100" s="73">
        <f>SUMIFS(
INDEX('ETPT Format DDG'!$A:$ZZ,,IFERROR(MATCH(E100,'ETPT Format DDG'!$2:$2,0),MATCH(C100,'ETPT Format DDG'!$2:$2,0))),
INDEX( 'ETPT Format DDG'!$A:$ZZ,,MATCH("Fonction agrégat",'ETPT Format DDG'!2:2,0)),"F-TIT",
INDEX( 'ETPT Format DDG'!$A:$ZZ,,MATCH("Juridiction",'ETPT Format DDG'!2:2,0)),$A$3)</f>
      </c>
      <c r="O100" s="72">
        <f>IF(AND(OR(LEFT(C100,3)="12.",LEFT(E100,3)="12.",LEFT(E100,5)="CET &gt;",IFERROR(N100/$N$6,"")=0),NOT(AND(LEFT(E100,4)="12.8",IFERROR(G100/$G$6,"")&lt;&gt;0)),NOT(AND(LEFT(E100,5)="12.31",IFERROR(N100/$G$6,"")&lt;&gt;0)),NOT(AND(LEFT(E100,5)="12.32",IFERROR(N100/$G$6,"")&lt;&gt;0))),"",IFERROR(N100/$N$6,""))</f>
      </c>
      <c r="P100" s="73">
        <f>SUMIFS(
INDEX('ETPT Format DDG'!$A:$FB,,IFERROR(MATCH(E100,'ETPT Format DDG'!$2:$2,0),MATCH(C100,'ETPT Format DDG'!$2:$2,0))),
INDEX( 'ETPT Format DDG'!$A:$ZZ,,MATCH("Fonction agrégat",'ETPT Format DDG'!2:2,0)),"F-PLAC-ADD",
INDEX( 'ETPT Format DDG'!$A:$ZZ,,MATCH("Juridiction",'ETPT Format DDG'!2:2,0)),$A$3)</f>
      </c>
      <c r="Q100" s="73">
        <f>SUMIFS(
INDEX('ETPT Format DDG'!$A:$FB,,IFERROR(MATCH(E100,'ETPT Format DDG'!$2:$2,0),MATCH(C100,'ETPT Format DDG'!$2:$2,0))),
INDEX( 'ETPT Format DDG'!$A:$ZZ,,MATCH("Fonction agrégat",'ETPT Format DDG'!2:2,0)),"F-PLAC-SUB",
INDEX( 'ETPT Format DDG'!$A:$ZZ,,MATCH("Juridiction",'ETPT Format DDG'!2:2,0)),$A$3)</f>
      </c>
      <c r="R100" s="73">
        <f>SUMIFS(
INDEX('ETPT Format DDG'!$A:$FB,,IFERROR(MATCH(E100,'ETPT Format DDG'!$2:$2,0),MATCH(C100,'ETPT Format DDG'!$2:$2,0))),
INDEX( 'ETPT Format DDG'!$A:$ZZ,,MATCH("Fonction agrégat",'ETPT Format DDG'!2:2,0)),"C",
'ETPT Format DDG'!$H:$H,"Greffe",
INDEX( 'ETPT Format DDG'!$A:$ZZ,,MATCH("Juridiction",'ETPT Format DDG'!2:2,0)),$A$3)</f>
      </c>
      <c r="S100" s="71">
        <f>SUMIFS(
INDEX('ETPT Format DDG'!$A:$FB,,IFERROR(MATCH(E100,'ETPT Format DDG'!$2:$2,0),MATCH(C100,'ETPT Format DDG'!$2:$2,0))),
INDEX( 'ETPT Format DDG'!$A:$ZZ,,MATCH("Catégorie",'ETPT Format DDG'!2:2,0)),"Greffe",
INDEX( 'ETPT Format DDG'!$A:$ZZ,,MATCH("Juridiction",'ETPT Format DDG'!2:2,0)),$A$3)</f>
      </c>
      <c r="T100" s="72">
        <f>IF(AND(OR(LEFT(C100,3)="12.",LEFT(E100,3)="12.",LEFT(E100,5)="CET &gt;",IFERROR(S100/$S$6,"")=0),NOT(AND(LEFT(E100,4)="12.8",IFERROR(G100/$G$6,"")&lt;&gt;0)),NOT(AND(LEFT(E100,5)="12.31",IFERROR(S100/$G$6,"")&lt;&gt;0)),NOT(AND(LEFT(E100,5)="12.32",IFERROR(S100/$G$6,"")&lt;&gt;0))),"", IFERROR(S100/$S$6,""))</f>
      </c>
      <c r="U100" s="71">
        <f>SUMIFS(
INDEX('ETPT Format DDG'!$A:$FB,,IFERROR(MATCH(E100,'ETPT Format DDG'!$2:$2,0),MATCH(C100,'ETPT Format DDG'!$2:$2,0))),
INDEX( 'ETPT Format DDG'!$A:$ZZ,,MATCH("Fonction agrégat",'ETPT Format DDG'!2:2,0)),"C",
INDEX( 'ETPT Format DDG'!$A:$ZZ,,MATCH("Juridiction",'ETPT Format DDG'!2:2,0)),$A$3,
INDEX( 'ETPT Format DDG'!$A:$ZZ,,MATCH("Catégorie",'ETPT Format DDG'!2:2,0)),"Autour du magistrat")</f>
      </c>
      <c r="V100" s="74">
        <f>IF(AND(OR(LEFT(C100,3)="12.",LEFT(E100,3)="12.",LEFT(E100,5)="CET &gt;",IFERROR(U100/$U$6,"")=0),NOT(AND(LEFT(E100,4)="12.8",IFERROR(G100/$G$6,"")&lt;&gt;0)),NOT(AND(LEFT(E100,5)="12.31",IFERROR(U100/$G$6,"")&lt;&gt;0)),NOT(AND(LEFT(E100,5)="12.32",IFERROR(U100/$G$6,"")&lt;&gt;0))),"", IFERROR(U100/$U$6,""))</f>
      </c>
    </row>
    <row r="101" ht="16" customHeight="1" spans="1:23" x14ac:dyDescent="0.25">
      <c r="A101" s="40"/>
      <c r="C101" s="68"/>
      <c r="D101" s="68"/>
      <c r="E101" s="69" t="s">
        <v>136</v>
      </c>
      <c r="F101" s="70" t="s">
        <v>136</v>
      </c>
      <c r="G101" s="71">
        <f>SUMIFS(
INDEX('ETPT Format DDG'!$A:$ZZ,,IFERROR(MATCH(E101,'ETPT Format DDG'!$2:$2,0),MATCH(C101,'ETPT Format DDG'!$2:$2,0))),
INDEX( 'ETPT Format DDG'!$A:$ZZ,,MATCH("Fonction agrégat",'ETPT Format DDG'!2:2,0)),"M-TIT",
INDEX( 'ETPT Format DDG'!$A:$ZZ,,MATCH("Juridiction",'ETPT Format DDG'!2:2,0)),$A$3)</f>
      </c>
      <c r="H101" s="72">
        <f>IF(AND(OR(LEFT(C101,3)="12.",LEFT(E101,3)="12.",LEFT(E101,5)="CET &gt;",IFERROR(G101/$G$6,"")=0),NOT(AND(LEFT(E101,4)="12.8",IFERROR(G101/$G$6,"")&lt;&gt;0)),NOT(AND(LEFT(E101,5)="12.31",IFERROR(G101/$G$6,"")&lt;&gt;0)),NOT(AND(LEFT(E101,5)="12.32",IFERROR(G101/$G$6,"")&lt;&gt;0))),"", IFERROR(G101/$G$6,""))</f>
      </c>
      <c r="I101" s="73">
        <f>SUMIFS(
INDEX('ETPT Format DDG'!$A:$ZZ,,IFERROR(MATCH(E101,'ETPT Format DDG'!$2:$2,0),MATCH(C101,'ETPT Format DDG'!$2:$2,0))),
INDEX( 'ETPT Format DDG'!$A:$ZZ,,MATCH("Fonction agrégat",'ETPT Format DDG'!2:2,0)),"M-PLAC-ADD",
INDEX( 'ETPT Format DDG'!$A:$ZZ,,MATCH("Juridiction",'ETPT Format DDG'!2:2,0)),$A$3)</f>
      </c>
      <c r="J101" s="73">
        <f>SUMIFS(
INDEX('ETPT Format DDG'!$A:$ZZ,,IFERROR(MATCH(E101,'ETPT Format DDG'!$2:$2,0),MATCH(C101,'ETPT Format DDG'!$2:$2,0))),
INDEX( 'ETPT Format DDG'!$A:$ZZ,,MATCH("Fonction agrégat",'ETPT Format DDG'!2:2,0)),"M-PLAC-SUB",
INDEX( 'ETPT Format DDG'!$A:$ZZ,,MATCH("Juridiction",'ETPT Format DDG'!2:2,0)),$A$3)</f>
      </c>
      <c r="K101" s="73">
        <f>SUMIFS(
INDEX('ETPT Format DDG'!$A:$ZZ,,IFERROR(MATCH(E101,'ETPT Format DDG'!$2:$2,0),MATCH(C101,'ETPT Format DDG'!$2:$2,0))),
INDEX( 'ETPT Format DDG'!$A:$ZZ,,MATCH("Fonction agrégat",'ETPT Format DDG'!2:2,0)),"M-CONT",
INDEX( 'ETPT Format DDG'!$A:$ZZ,,MATCH("Juridiction",'ETPT Format DDG'!2:2,0)),$A$3,
INDEX( 'ETPT Format DDG'!$A:$ZZ,,MATCH("Catégorie",'ETPT Format DDG'!2:2,0)),"Magistrat")</f>
      </c>
      <c r="L101" s="71">
        <f>SUMIFS(
INDEX('ETPT Format DDG'!$A:$ZZ,,IFERROR(MATCH(E101,'ETPT Format DDG'!$2:$2,0),MATCH(C101,'ETPT Format DDG'!$2:$2,0))),
INDEX( 'ETPT Format DDG'!$A:$ZZ,,MATCH("Juridiction",'ETPT Format DDG'!2:2,0)),$A$3,
INDEX( 'ETPT Format DDG'!$A:$ZZ,,MATCH("Catégorie",'ETPT Format DDG'!2:2,0)),"Magistrat")</f>
      </c>
      <c r="M101" s="74">
        <f>IF(AND(OR(LEFT(C101,3)="12.",LEFT(E101,3)="12.",LEFT(E101,5)="CET &gt;", IFERROR(L101/$L$6,"")=0),NOT(AND(LEFT(E101,4)="12.8",IFERROR(G101/$G$6,"")&lt;&gt;0)),NOT(AND(LEFT(E101,5)="12.31",IFERROR(L101/$G$6,"")&lt;&gt;0)),NOT(AND(LEFT(E101,5)="12.32",IFERROR(L101/$G$6,"")&lt;&gt;0))),"", IFERROR(L101/$L$6,""))</f>
      </c>
      <c r="N101" s="73">
        <f>SUMIFS(
INDEX('ETPT Format DDG'!$A:$ZZ,,IFERROR(MATCH(E101,'ETPT Format DDG'!$2:$2,0),MATCH(C101,'ETPT Format DDG'!$2:$2,0))),
INDEX( 'ETPT Format DDG'!$A:$ZZ,,MATCH("Fonction agrégat",'ETPT Format DDG'!2:2,0)),"F-TIT",
INDEX( 'ETPT Format DDG'!$A:$ZZ,,MATCH("Juridiction",'ETPT Format DDG'!2:2,0)),$A$3)</f>
      </c>
      <c r="O101" s="72">
        <f>IF(AND(OR(LEFT(C101,3)="12.",LEFT(E101,3)="12.",LEFT(E101,5)="CET &gt;",IFERROR(N101/$N$6,"")=0),NOT(AND(LEFT(E101,4)="12.8",IFERROR(G101/$G$6,"")&lt;&gt;0)),NOT(AND(LEFT(E101,5)="12.31",IFERROR(N101/$G$6,"")&lt;&gt;0)),NOT(AND(LEFT(E101,5)="12.32",IFERROR(N101/$G$6,"")&lt;&gt;0))),"",IFERROR(N101/$N$6,""))</f>
      </c>
      <c r="P101" s="73">
        <f>SUMIFS(
INDEX('ETPT Format DDG'!$A:$FB,,IFERROR(MATCH(E101,'ETPT Format DDG'!$2:$2,0),MATCH(C101,'ETPT Format DDG'!$2:$2,0))),
INDEX( 'ETPT Format DDG'!$A:$ZZ,,MATCH("Fonction agrégat",'ETPT Format DDG'!2:2,0)),"F-PLAC-ADD",
INDEX( 'ETPT Format DDG'!$A:$ZZ,,MATCH("Juridiction",'ETPT Format DDG'!2:2,0)),$A$3)</f>
      </c>
      <c r="Q101" s="73">
        <f>SUMIFS(
INDEX('ETPT Format DDG'!$A:$FB,,IFERROR(MATCH(E101,'ETPT Format DDG'!$2:$2,0),MATCH(C101,'ETPT Format DDG'!$2:$2,0))),
INDEX( 'ETPT Format DDG'!$A:$ZZ,,MATCH("Fonction agrégat",'ETPT Format DDG'!2:2,0)),"F-PLAC-SUB",
INDEX( 'ETPT Format DDG'!$A:$ZZ,,MATCH("Juridiction",'ETPT Format DDG'!2:2,0)),$A$3)</f>
      </c>
      <c r="R101" s="73">
        <f>SUMIFS(
INDEX('ETPT Format DDG'!$A:$FB,,IFERROR(MATCH(E101,'ETPT Format DDG'!$2:$2,0),MATCH(C101,'ETPT Format DDG'!$2:$2,0))),
INDEX( 'ETPT Format DDG'!$A:$ZZ,,MATCH("Fonction agrégat",'ETPT Format DDG'!2:2,0)),"C",
'ETPT Format DDG'!$H:$H,"Greffe",
INDEX( 'ETPT Format DDG'!$A:$ZZ,,MATCH("Juridiction",'ETPT Format DDG'!2:2,0)),$A$3)</f>
      </c>
      <c r="S101" s="71">
        <f>SUMIFS(
INDEX('ETPT Format DDG'!$A:$FB,,IFERROR(MATCH(E101,'ETPT Format DDG'!$2:$2,0),MATCH(C101,'ETPT Format DDG'!$2:$2,0))),
INDEX( 'ETPT Format DDG'!$A:$ZZ,,MATCH("Catégorie",'ETPT Format DDG'!2:2,0)),"Greffe",
INDEX( 'ETPT Format DDG'!$A:$ZZ,,MATCH("Juridiction",'ETPT Format DDG'!2:2,0)),$A$3)</f>
      </c>
      <c r="T101" s="72">
        <f>IF(AND(OR(LEFT(C101,3)="12.",LEFT(E101,3)="12.",LEFT(E101,5)="CET &gt;",IFERROR(S101/$S$6,"")=0),NOT(AND(LEFT(E101,4)="12.8",IFERROR(G101/$G$6,"")&lt;&gt;0)),NOT(AND(LEFT(E101,5)="12.31",IFERROR(S101/$G$6,"")&lt;&gt;0)),NOT(AND(LEFT(E101,5)="12.32",IFERROR(S101/$G$6,"")&lt;&gt;0))),"", IFERROR(S101/$S$6,""))</f>
      </c>
      <c r="U101" s="71">
        <f>SUMIFS(
INDEX('ETPT Format DDG'!$A:$FB,,IFERROR(MATCH(E101,'ETPT Format DDG'!$2:$2,0),MATCH(C101,'ETPT Format DDG'!$2:$2,0))),
INDEX( 'ETPT Format DDG'!$A:$ZZ,,MATCH("Fonction agrégat",'ETPT Format DDG'!2:2,0)),"C",
INDEX( 'ETPT Format DDG'!$A:$ZZ,,MATCH("Juridiction",'ETPT Format DDG'!2:2,0)),$A$3,
INDEX( 'ETPT Format DDG'!$A:$ZZ,,MATCH("Catégorie",'ETPT Format DDG'!2:2,0)),"Autour du magistrat")</f>
      </c>
      <c r="V101" s="74">
        <f>IF(AND(OR(LEFT(C101,3)="12.",LEFT(E101,3)="12.",LEFT(E101,5)="CET &gt;",IFERROR(U101/$U$6,"")=0),NOT(AND(LEFT(E101,4)="12.8",IFERROR(G101/$G$6,"")&lt;&gt;0)),NOT(AND(LEFT(E101,5)="12.31",IFERROR(U101/$G$6,"")&lt;&gt;0)),NOT(AND(LEFT(E101,5)="12.32",IFERROR(U101/$G$6,"")&lt;&gt;0))),"", IFERROR(U101/$U$6,""))</f>
      </c>
    </row>
    <row r="102" ht="16" customHeight="1" spans="1:23" x14ac:dyDescent="0.25">
      <c r="A102" s="40"/>
      <c r="C102" s="68" t="s">
        <v>1080</v>
      </c>
      <c r="D102" s="68" t="s">
        <v>1080</v>
      </c>
      <c r="E102" s="69"/>
      <c r="F102" s="70"/>
      <c r="G102" s="71">
        <f>SUMIFS(
INDEX('ETPT Format DDG'!$A:$ZZ,,IFERROR(MATCH(E102,'ETPT Format DDG'!$2:$2,0),MATCH(C102,'ETPT Format DDG'!$2:$2,0))),
INDEX( 'ETPT Format DDG'!$A:$ZZ,,MATCH("Fonction agrégat",'ETPT Format DDG'!2:2,0)),"M-TIT",
INDEX( 'ETPT Format DDG'!$A:$ZZ,,MATCH("Juridiction",'ETPT Format DDG'!2:2,0)),$A$3)</f>
      </c>
      <c r="H102" s="72">
        <f>IF(AND(OR(LEFT(C102,3)="12.",LEFT(E102,3)="12.",LEFT(E102,5)="CET &gt;",IFERROR(G102/$G$6,"")=0),NOT(AND(LEFT(E102,4)="12.8",IFERROR(G102/$G$6,"")&lt;&gt;0)),NOT(AND(LEFT(E102,5)="12.31",IFERROR(G102/$G$6,"")&lt;&gt;0)),NOT(AND(LEFT(E102,5)="12.32",IFERROR(G102/$G$6,"")&lt;&gt;0))),"", IFERROR(G102/$G$6,""))</f>
      </c>
      <c r="I102" s="73">
        <f>SUMIFS(
INDEX('ETPT Format DDG'!$A:$ZZ,,IFERROR(MATCH(E102,'ETPT Format DDG'!$2:$2,0),MATCH(C102,'ETPT Format DDG'!$2:$2,0))),
INDEX( 'ETPT Format DDG'!$A:$ZZ,,MATCH("Fonction agrégat",'ETPT Format DDG'!2:2,0)),"M-PLAC-ADD",
INDEX( 'ETPT Format DDG'!$A:$ZZ,,MATCH("Juridiction",'ETPT Format DDG'!2:2,0)),$A$3)</f>
      </c>
      <c r="J102" s="73">
        <f>SUMIFS(
INDEX('ETPT Format DDG'!$A:$ZZ,,IFERROR(MATCH(E102,'ETPT Format DDG'!$2:$2,0),MATCH(C102,'ETPT Format DDG'!$2:$2,0))),
INDEX( 'ETPT Format DDG'!$A:$ZZ,,MATCH("Fonction agrégat",'ETPT Format DDG'!2:2,0)),"M-PLAC-SUB",
INDEX( 'ETPT Format DDG'!$A:$ZZ,,MATCH("Juridiction",'ETPT Format DDG'!2:2,0)),$A$3)</f>
      </c>
      <c r="K102" s="73">
        <f>SUMIFS(
INDEX('ETPT Format DDG'!$A:$ZZ,,IFERROR(MATCH(E102,'ETPT Format DDG'!$2:$2,0),MATCH(C102,'ETPT Format DDG'!$2:$2,0))),
INDEX( 'ETPT Format DDG'!$A:$ZZ,,MATCH("Fonction agrégat",'ETPT Format DDG'!2:2,0)),"M-CONT",
INDEX( 'ETPT Format DDG'!$A:$ZZ,,MATCH("Juridiction",'ETPT Format DDG'!2:2,0)),$A$3,
INDEX( 'ETPT Format DDG'!$A:$ZZ,,MATCH("Catégorie",'ETPT Format DDG'!2:2,0)),"Magistrat")</f>
      </c>
      <c r="L102" s="71">
        <f>SUMIFS(
INDEX('ETPT Format DDG'!$A:$ZZ,,IFERROR(MATCH(E102,'ETPT Format DDG'!$2:$2,0),MATCH(C102,'ETPT Format DDG'!$2:$2,0))),
INDEX( 'ETPT Format DDG'!$A:$ZZ,,MATCH("Juridiction",'ETPT Format DDG'!2:2,0)),$A$3,
INDEX( 'ETPT Format DDG'!$A:$ZZ,,MATCH("Catégorie",'ETPT Format DDG'!2:2,0)),"Magistrat")</f>
      </c>
      <c r="M102" s="74">
        <f>IF(AND(OR(LEFT(C102,3)="12.",LEFT(E102,3)="12.",LEFT(E102,5)="CET &gt;", IFERROR(L102/$L$6,"")=0),NOT(AND(LEFT(E102,4)="12.8",IFERROR(G102/$G$6,"")&lt;&gt;0)),NOT(AND(LEFT(E102,5)="12.31",IFERROR(L102/$G$6,"")&lt;&gt;0)),NOT(AND(LEFT(E102,5)="12.32",IFERROR(L102/$G$6,"")&lt;&gt;0))),"", IFERROR(L102/$L$6,""))</f>
      </c>
      <c r="N102" s="73">
        <f>SUMIFS(
INDEX('ETPT Format DDG'!$A:$ZZ,,IFERROR(MATCH(E102,'ETPT Format DDG'!$2:$2,0),MATCH(C102,'ETPT Format DDG'!$2:$2,0))),
INDEX( 'ETPT Format DDG'!$A:$ZZ,,MATCH("Fonction agrégat",'ETPT Format DDG'!2:2,0)),"F-TIT",
INDEX( 'ETPT Format DDG'!$A:$ZZ,,MATCH("Juridiction",'ETPT Format DDG'!2:2,0)),$A$3)</f>
      </c>
      <c r="O102" s="72">
        <f>IF(AND(OR(LEFT(C102,3)="12.",LEFT(E102,3)="12.",LEFT(E102,5)="CET &gt;",IFERROR(N102/$N$6,"")=0),NOT(AND(LEFT(E102,4)="12.8",IFERROR(G102/$G$6,"")&lt;&gt;0)),NOT(AND(LEFT(E102,5)="12.31",IFERROR(N102/$G$6,"")&lt;&gt;0)),NOT(AND(LEFT(E102,5)="12.32",IFERROR(N102/$G$6,"")&lt;&gt;0))),"",IFERROR(N102/$N$6,""))</f>
      </c>
      <c r="P102" s="73">
        <f>SUMIFS(
INDEX('ETPT Format DDG'!$A:$FB,,IFERROR(MATCH(E102,'ETPT Format DDG'!$2:$2,0),MATCH(C102,'ETPT Format DDG'!$2:$2,0))),
INDEX( 'ETPT Format DDG'!$A:$ZZ,,MATCH("Fonction agrégat",'ETPT Format DDG'!2:2,0)),"F-PLAC-ADD",
INDEX( 'ETPT Format DDG'!$A:$ZZ,,MATCH("Juridiction",'ETPT Format DDG'!2:2,0)),$A$3)</f>
      </c>
      <c r="Q102" s="73">
        <f>SUMIFS(
INDEX('ETPT Format DDG'!$A:$FB,,IFERROR(MATCH(E102,'ETPT Format DDG'!$2:$2,0),MATCH(C102,'ETPT Format DDG'!$2:$2,0))),
INDEX( 'ETPT Format DDG'!$A:$ZZ,,MATCH("Fonction agrégat",'ETPT Format DDG'!2:2,0)),"F-PLAC-SUB",
INDEX( 'ETPT Format DDG'!$A:$ZZ,,MATCH("Juridiction",'ETPT Format DDG'!2:2,0)),$A$3)</f>
      </c>
      <c r="R102" s="73">
        <f>SUMIFS(
INDEX('ETPT Format DDG'!$A:$FB,,IFERROR(MATCH(E102,'ETPT Format DDG'!$2:$2,0),MATCH(C102,'ETPT Format DDG'!$2:$2,0))),
INDEX( 'ETPT Format DDG'!$A:$ZZ,,MATCH("Fonction agrégat",'ETPT Format DDG'!2:2,0)),"C",
'ETPT Format DDG'!$H:$H,"Greffe",
INDEX( 'ETPT Format DDG'!$A:$ZZ,,MATCH("Juridiction",'ETPT Format DDG'!2:2,0)),$A$3)</f>
      </c>
      <c r="S102" s="71">
        <f>SUMIFS(
INDEX('ETPT Format DDG'!$A:$FB,,IFERROR(MATCH(E102,'ETPT Format DDG'!$2:$2,0),MATCH(C102,'ETPT Format DDG'!$2:$2,0))),
INDEX( 'ETPT Format DDG'!$A:$ZZ,,MATCH("Catégorie",'ETPT Format DDG'!2:2,0)),"Greffe",
INDEX( 'ETPT Format DDG'!$A:$ZZ,,MATCH("Juridiction",'ETPT Format DDG'!2:2,0)),$A$3)</f>
      </c>
      <c r="T102" s="72">
        <f>IF(AND(OR(LEFT(C102,3)="12.",LEFT(E102,3)="12.",LEFT(E102,5)="CET &gt;",IFERROR(S102/$S$6,"")=0),NOT(AND(LEFT(E102,4)="12.8",IFERROR(G102/$G$6,"")&lt;&gt;0)),NOT(AND(LEFT(E102,5)="12.31",IFERROR(S102/$G$6,"")&lt;&gt;0)),NOT(AND(LEFT(E102,5)="12.32",IFERROR(S102/$G$6,"")&lt;&gt;0))),"", IFERROR(S102/$S$6,""))</f>
      </c>
      <c r="U102" s="71">
        <f>SUMIFS(
INDEX('ETPT Format DDG'!$A:$FB,,IFERROR(MATCH(E102,'ETPT Format DDG'!$2:$2,0),MATCH(C102,'ETPT Format DDG'!$2:$2,0))),
INDEX( 'ETPT Format DDG'!$A:$ZZ,,MATCH("Fonction agrégat",'ETPT Format DDG'!2:2,0)),"C",
INDEX( 'ETPT Format DDG'!$A:$ZZ,,MATCH("Juridiction",'ETPT Format DDG'!2:2,0)),$A$3,
INDEX( 'ETPT Format DDG'!$A:$ZZ,,MATCH("Catégorie",'ETPT Format DDG'!2:2,0)),"Autour du magistrat")</f>
      </c>
      <c r="V102" s="74">
        <f>IF(AND(OR(LEFT(C102,3)="12.",LEFT(E102,3)="12.",LEFT(E102,5)="CET &gt;",IFERROR(U102/$U$6,"")=0),NOT(AND(LEFT(E102,4)="12.8",IFERROR(G102/$G$6,"")&lt;&gt;0)),NOT(AND(LEFT(E102,5)="12.31",IFERROR(U102/$G$6,"")&lt;&gt;0)),NOT(AND(LEFT(E102,5)="12.32",IFERROR(U102/$G$6,"")&lt;&gt;0))),"", IFERROR(U102/$U$6,""))</f>
      </c>
    </row>
    <row r="103" ht="16" customHeight="1" spans="1:23" x14ac:dyDescent="0.25">
      <c r="A103" s="40"/>
      <c r="C103" s="68"/>
      <c r="D103" s="68"/>
      <c r="E103" s="69" t="s">
        <v>143</v>
      </c>
      <c r="F103" s="70" t="s">
        <v>143</v>
      </c>
      <c r="G103" s="71">
        <f>SUMIFS(
INDEX('ETPT Format DDG'!$A:$ZZ,,IFERROR(MATCH(E103,'ETPT Format DDG'!$2:$2,0),MATCH(C103,'ETPT Format DDG'!$2:$2,0))),
INDEX( 'ETPT Format DDG'!$A:$ZZ,,MATCH("Fonction agrégat",'ETPT Format DDG'!2:2,0)),"M-TIT",
INDEX( 'ETPT Format DDG'!$A:$ZZ,,MATCH("Juridiction",'ETPT Format DDG'!2:2,0)),$A$3)</f>
      </c>
      <c r="H103" s="72">
        <f>IF(AND(OR(LEFT(C103,3)="12.",LEFT(E103,3)="12.",LEFT(E103,5)="CET &gt;",IFERROR(G103/$G$6,"")=0),NOT(AND(LEFT(E103,4)="12.8",IFERROR(G103/$G$6,"")&lt;&gt;0)),NOT(AND(LEFT(E103,5)="12.31",IFERROR(G103/$G$6,"")&lt;&gt;0)),NOT(AND(LEFT(E103,5)="12.32",IFERROR(G103/$G$6,"")&lt;&gt;0))),"", IFERROR(G103/$G$6,""))</f>
      </c>
      <c r="I103" s="73">
        <f>SUMIFS(
INDEX('ETPT Format DDG'!$A:$ZZ,,IFERROR(MATCH(E103,'ETPT Format DDG'!$2:$2,0),MATCH(C103,'ETPT Format DDG'!$2:$2,0))),
INDEX( 'ETPT Format DDG'!$A:$ZZ,,MATCH("Fonction agrégat",'ETPT Format DDG'!2:2,0)),"M-PLAC-ADD",
INDEX( 'ETPT Format DDG'!$A:$ZZ,,MATCH("Juridiction",'ETPT Format DDG'!2:2,0)),$A$3)</f>
      </c>
      <c r="J103" s="73">
        <f>SUMIFS(
INDEX('ETPT Format DDG'!$A:$ZZ,,IFERROR(MATCH(E103,'ETPT Format DDG'!$2:$2,0),MATCH(C103,'ETPT Format DDG'!$2:$2,0))),
INDEX( 'ETPT Format DDG'!$A:$ZZ,,MATCH("Fonction agrégat",'ETPT Format DDG'!2:2,0)),"M-PLAC-SUB",
INDEX( 'ETPT Format DDG'!$A:$ZZ,,MATCH("Juridiction",'ETPT Format DDG'!2:2,0)),$A$3)</f>
      </c>
      <c r="K103" s="73">
        <f>SUMIFS(
INDEX('ETPT Format DDG'!$A:$ZZ,,IFERROR(MATCH(E103,'ETPT Format DDG'!$2:$2,0),MATCH(C103,'ETPT Format DDG'!$2:$2,0))),
INDEX( 'ETPT Format DDG'!$A:$ZZ,,MATCH("Fonction agrégat",'ETPT Format DDG'!2:2,0)),"M-CONT",
INDEX( 'ETPT Format DDG'!$A:$ZZ,,MATCH("Juridiction",'ETPT Format DDG'!2:2,0)),$A$3,
INDEX( 'ETPT Format DDG'!$A:$ZZ,,MATCH("Catégorie",'ETPT Format DDG'!2:2,0)),"Magistrat")</f>
      </c>
      <c r="L103" s="71">
        <f>SUMIFS(
INDEX('ETPT Format DDG'!$A:$ZZ,,IFERROR(MATCH(E103,'ETPT Format DDG'!$2:$2,0),MATCH(C103,'ETPT Format DDG'!$2:$2,0))),
INDEX( 'ETPT Format DDG'!$A:$ZZ,,MATCH("Juridiction",'ETPT Format DDG'!2:2,0)),$A$3,
INDEX( 'ETPT Format DDG'!$A:$ZZ,,MATCH("Catégorie",'ETPT Format DDG'!2:2,0)),"Magistrat")</f>
      </c>
      <c r="M103" s="74">
        <f>IF(AND(OR(LEFT(C103,3)="12.",LEFT(E103,3)="12.",LEFT(E103,5)="CET &gt;", IFERROR(L103/$L$6,"")=0),NOT(AND(LEFT(E103,4)="12.8",IFERROR(G103/$G$6,"")&lt;&gt;0)),NOT(AND(LEFT(E103,5)="12.31",IFERROR(L103/$G$6,"")&lt;&gt;0)),NOT(AND(LEFT(E103,5)="12.32",IFERROR(L103/$G$6,"")&lt;&gt;0))),"", IFERROR(L103/$L$6,""))</f>
      </c>
      <c r="N103" s="73">
        <f>SUMIFS(
INDEX('ETPT Format DDG'!$A:$ZZ,,IFERROR(MATCH(E103,'ETPT Format DDG'!$2:$2,0),MATCH(C103,'ETPT Format DDG'!$2:$2,0))),
INDEX( 'ETPT Format DDG'!$A:$ZZ,,MATCH("Fonction agrégat",'ETPT Format DDG'!2:2,0)),"F-TIT",
INDEX( 'ETPT Format DDG'!$A:$ZZ,,MATCH("Juridiction",'ETPT Format DDG'!2:2,0)),$A$3)</f>
      </c>
      <c r="O103" s="72">
        <f>IF(AND(OR(LEFT(C103,3)="12.",LEFT(E103,3)="12.",LEFT(E103,5)="CET &gt;",IFERROR(N103/$N$6,"")=0),NOT(AND(LEFT(E103,4)="12.8",IFERROR(G103/$G$6,"")&lt;&gt;0)),NOT(AND(LEFT(E103,5)="12.31",IFERROR(N103/$G$6,"")&lt;&gt;0)),NOT(AND(LEFT(E103,5)="12.32",IFERROR(N103/$G$6,"")&lt;&gt;0))),"",IFERROR(N103/$N$6,""))</f>
      </c>
      <c r="P103" s="73">
        <f>SUMIFS(
INDEX('ETPT Format DDG'!$A:$FB,,IFERROR(MATCH(E103,'ETPT Format DDG'!$2:$2,0),MATCH(C103,'ETPT Format DDG'!$2:$2,0))),
INDEX( 'ETPT Format DDG'!$A:$ZZ,,MATCH("Fonction agrégat",'ETPT Format DDG'!2:2,0)),"F-PLAC-ADD",
INDEX( 'ETPT Format DDG'!$A:$ZZ,,MATCH("Juridiction",'ETPT Format DDG'!2:2,0)),$A$3)</f>
      </c>
      <c r="Q103" s="73">
        <f>SUMIFS(
INDEX('ETPT Format DDG'!$A:$FB,,IFERROR(MATCH(E103,'ETPT Format DDG'!$2:$2,0),MATCH(C103,'ETPT Format DDG'!$2:$2,0))),
INDEX( 'ETPT Format DDG'!$A:$ZZ,,MATCH("Fonction agrégat",'ETPT Format DDG'!2:2,0)),"F-PLAC-SUB",
INDEX( 'ETPT Format DDG'!$A:$ZZ,,MATCH("Juridiction",'ETPT Format DDG'!2:2,0)),$A$3)</f>
      </c>
      <c r="R103" s="73">
        <f>SUMIFS(
INDEX('ETPT Format DDG'!$A:$FB,,IFERROR(MATCH(E103,'ETPT Format DDG'!$2:$2,0),MATCH(C103,'ETPT Format DDG'!$2:$2,0))),
INDEX( 'ETPT Format DDG'!$A:$ZZ,,MATCH("Fonction agrégat",'ETPT Format DDG'!2:2,0)),"C",
'ETPT Format DDG'!$H:$H,"Greffe",
INDEX( 'ETPT Format DDG'!$A:$ZZ,,MATCH("Juridiction",'ETPT Format DDG'!2:2,0)),$A$3)</f>
      </c>
      <c r="S103" s="71">
        <f>SUMIFS(
INDEX('ETPT Format DDG'!$A:$FB,,IFERROR(MATCH(E103,'ETPT Format DDG'!$2:$2,0),MATCH(C103,'ETPT Format DDG'!$2:$2,0))),
INDEX( 'ETPT Format DDG'!$A:$ZZ,,MATCH("Catégorie",'ETPT Format DDG'!2:2,0)),"Greffe",
INDEX( 'ETPT Format DDG'!$A:$ZZ,,MATCH("Juridiction",'ETPT Format DDG'!2:2,0)),$A$3)</f>
      </c>
      <c r="T103" s="72">
        <f>IF(AND(OR(LEFT(C103,3)="12.",LEFT(E103,3)="12.",LEFT(E103,5)="CET &gt;",IFERROR(S103/$S$6,"")=0),NOT(AND(LEFT(E103,4)="12.8",IFERROR(G103/$G$6,"")&lt;&gt;0)),NOT(AND(LEFT(E103,5)="12.31",IFERROR(S103/$G$6,"")&lt;&gt;0)),NOT(AND(LEFT(E103,5)="12.32",IFERROR(S103/$G$6,"")&lt;&gt;0))),"", IFERROR(S103/$S$6,""))</f>
      </c>
      <c r="U103" s="71">
        <f>SUMIFS(
INDEX('ETPT Format DDG'!$A:$FB,,IFERROR(MATCH(E103,'ETPT Format DDG'!$2:$2,0),MATCH(C103,'ETPT Format DDG'!$2:$2,0))),
INDEX( 'ETPT Format DDG'!$A:$ZZ,,MATCH("Fonction agrégat",'ETPT Format DDG'!2:2,0)),"C",
INDEX( 'ETPT Format DDG'!$A:$ZZ,,MATCH("Juridiction",'ETPT Format DDG'!2:2,0)),$A$3,
INDEX( 'ETPT Format DDG'!$A:$ZZ,,MATCH("Catégorie",'ETPT Format DDG'!2:2,0)),"Autour du magistrat")</f>
      </c>
      <c r="V103" s="74">
        <f>IF(AND(OR(LEFT(C103,3)="12.",LEFT(E103,3)="12.",LEFT(E103,5)="CET &gt;",IFERROR(U103/$U$6,"")=0),NOT(AND(LEFT(E103,4)="12.8",IFERROR(G103/$G$6,"")&lt;&gt;0)),NOT(AND(LEFT(E103,5)="12.31",IFERROR(U103/$G$6,"")&lt;&gt;0)),NOT(AND(LEFT(E103,5)="12.32",IFERROR(U103/$G$6,"")&lt;&gt;0))),"", IFERROR(U103/$U$6,""))</f>
      </c>
    </row>
    <row r="104" ht="16" customHeight="1" spans="1:23" x14ac:dyDescent="0.25">
      <c r="A104" s="40"/>
      <c r="C104" s="68"/>
      <c r="D104" s="68"/>
      <c r="E104" s="69" t="s">
        <v>144</v>
      </c>
      <c r="F104" s="70" t="s">
        <v>144</v>
      </c>
      <c r="G104" s="71">
        <f>SUMIFS(
INDEX('ETPT Format DDG'!$A:$ZZ,,IFERROR(MATCH(E104,'ETPT Format DDG'!$2:$2,0),MATCH(C104,'ETPT Format DDG'!$2:$2,0))),
INDEX( 'ETPT Format DDG'!$A:$ZZ,,MATCH("Fonction agrégat",'ETPT Format DDG'!2:2,0)),"M-TIT",
INDEX( 'ETPT Format DDG'!$A:$ZZ,,MATCH("Juridiction",'ETPT Format DDG'!2:2,0)),$A$3)</f>
      </c>
      <c r="H104" s="72">
        <f>IF(AND(OR(LEFT(C104,3)="12.",LEFT(E104,3)="12.",LEFT(E104,5)="CET &gt;",IFERROR(G104/$G$6,"")=0),NOT(AND(LEFT(E104,4)="12.8",IFERROR(G104/$G$6,"")&lt;&gt;0)),NOT(AND(LEFT(E104,5)="12.31",IFERROR(G104/$G$6,"")&lt;&gt;0)),NOT(AND(LEFT(E104,5)="12.32",IFERROR(G104/$G$6,"")&lt;&gt;0))),"", IFERROR(G104/$G$6,""))</f>
      </c>
      <c r="I104" s="73">
        <f>SUMIFS(
INDEX('ETPT Format DDG'!$A:$ZZ,,IFERROR(MATCH(E104,'ETPT Format DDG'!$2:$2,0),MATCH(C104,'ETPT Format DDG'!$2:$2,0))),
INDEX( 'ETPT Format DDG'!$A:$ZZ,,MATCH("Fonction agrégat",'ETPT Format DDG'!2:2,0)),"M-PLAC-ADD",
INDEX( 'ETPT Format DDG'!$A:$ZZ,,MATCH("Juridiction",'ETPT Format DDG'!2:2,0)),$A$3)</f>
      </c>
      <c r="J104" s="73">
        <f>SUMIFS(
INDEX('ETPT Format DDG'!$A:$ZZ,,IFERROR(MATCH(E104,'ETPT Format DDG'!$2:$2,0),MATCH(C104,'ETPT Format DDG'!$2:$2,0))),
INDEX( 'ETPT Format DDG'!$A:$ZZ,,MATCH("Fonction agrégat",'ETPT Format DDG'!2:2,0)),"M-PLAC-SUB",
INDEX( 'ETPT Format DDG'!$A:$ZZ,,MATCH("Juridiction",'ETPT Format DDG'!2:2,0)),$A$3)</f>
      </c>
      <c r="K104" s="73">
        <f>SUMIFS(
INDEX('ETPT Format DDG'!$A:$ZZ,,IFERROR(MATCH(E104,'ETPT Format DDG'!$2:$2,0),MATCH(C104,'ETPT Format DDG'!$2:$2,0))),
INDEX( 'ETPT Format DDG'!$A:$ZZ,,MATCH("Fonction agrégat",'ETPT Format DDG'!2:2,0)),"M-CONT",
INDEX( 'ETPT Format DDG'!$A:$ZZ,,MATCH("Juridiction",'ETPT Format DDG'!2:2,0)),$A$3,
INDEX( 'ETPT Format DDG'!$A:$ZZ,,MATCH("Catégorie",'ETPT Format DDG'!2:2,0)),"Magistrat")</f>
      </c>
      <c r="L104" s="71">
        <f>SUMIFS(
INDEX('ETPT Format DDG'!$A:$ZZ,,IFERROR(MATCH(E104,'ETPT Format DDG'!$2:$2,0),MATCH(C104,'ETPT Format DDG'!$2:$2,0))),
INDEX( 'ETPT Format DDG'!$A:$ZZ,,MATCH("Juridiction",'ETPT Format DDG'!2:2,0)),$A$3,
INDEX( 'ETPT Format DDG'!$A:$ZZ,,MATCH("Catégorie",'ETPT Format DDG'!2:2,0)),"Magistrat")</f>
      </c>
      <c r="M104" s="74">
        <f>IF(AND(OR(LEFT(C104,3)="12.",LEFT(E104,3)="12.",LEFT(E104,5)="CET &gt;", IFERROR(L104/$L$6,"")=0),NOT(AND(LEFT(E104,4)="12.8",IFERROR(G104/$G$6,"")&lt;&gt;0)),NOT(AND(LEFT(E104,5)="12.31",IFERROR(L104/$G$6,"")&lt;&gt;0)),NOT(AND(LEFT(E104,5)="12.32",IFERROR(L104/$G$6,"")&lt;&gt;0))),"", IFERROR(L104/$L$6,""))</f>
      </c>
      <c r="N104" s="73">
        <f>SUMIFS(
INDEX('ETPT Format DDG'!$A:$ZZ,,IFERROR(MATCH(E104,'ETPT Format DDG'!$2:$2,0),MATCH(C104,'ETPT Format DDG'!$2:$2,0))),
INDEX( 'ETPT Format DDG'!$A:$ZZ,,MATCH("Fonction agrégat",'ETPT Format DDG'!2:2,0)),"F-TIT",
INDEX( 'ETPT Format DDG'!$A:$ZZ,,MATCH("Juridiction",'ETPT Format DDG'!2:2,0)),$A$3)</f>
      </c>
      <c r="O104" s="72">
        <f>IF(AND(OR(LEFT(C104,3)="12.",LEFT(E104,3)="12.",LEFT(E104,5)="CET &gt;",IFERROR(N104/$N$6,"")=0),NOT(AND(LEFT(E104,4)="12.8",IFERROR(G104/$G$6,"")&lt;&gt;0)),NOT(AND(LEFT(E104,5)="12.31",IFERROR(N104/$G$6,"")&lt;&gt;0)),NOT(AND(LEFT(E104,5)="12.32",IFERROR(N104/$G$6,"")&lt;&gt;0))),"",IFERROR(N104/$N$6,""))</f>
      </c>
      <c r="P104" s="73">
        <f>SUMIFS(
INDEX('ETPT Format DDG'!$A:$FB,,IFERROR(MATCH(E104,'ETPT Format DDG'!$2:$2,0),MATCH(C104,'ETPT Format DDG'!$2:$2,0))),
INDEX( 'ETPT Format DDG'!$A:$ZZ,,MATCH("Fonction agrégat",'ETPT Format DDG'!2:2,0)),"F-PLAC-ADD",
INDEX( 'ETPT Format DDG'!$A:$ZZ,,MATCH("Juridiction",'ETPT Format DDG'!2:2,0)),$A$3)</f>
      </c>
      <c r="Q104" s="73">
        <f>SUMIFS(
INDEX('ETPT Format DDG'!$A:$FB,,IFERROR(MATCH(E104,'ETPT Format DDG'!$2:$2,0),MATCH(C104,'ETPT Format DDG'!$2:$2,0))),
INDEX( 'ETPT Format DDG'!$A:$ZZ,,MATCH("Fonction agrégat",'ETPT Format DDG'!2:2,0)),"F-PLAC-SUB",
INDEX( 'ETPT Format DDG'!$A:$ZZ,,MATCH("Juridiction",'ETPT Format DDG'!2:2,0)),$A$3)</f>
      </c>
      <c r="R104" s="73">
        <f>SUMIFS(
INDEX('ETPT Format DDG'!$A:$FB,,IFERROR(MATCH(E104,'ETPT Format DDG'!$2:$2,0),MATCH(C104,'ETPT Format DDG'!$2:$2,0))),
INDEX( 'ETPT Format DDG'!$A:$ZZ,,MATCH("Fonction agrégat",'ETPT Format DDG'!2:2,0)),"C",
'ETPT Format DDG'!$H:$H,"Greffe",
INDEX( 'ETPT Format DDG'!$A:$ZZ,,MATCH("Juridiction",'ETPT Format DDG'!2:2,0)),$A$3)</f>
      </c>
      <c r="S104" s="71">
        <f>SUMIFS(
INDEX('ETPT Format DDG'!$A:$FB,,IFERROR(MATCH(E104,'ETPT Format DDG'!$2:$2,0),MATCH(C104,'ETPT Format DDG'!$2:$2,0))),
INDEX( 'ETPT Format DDG'!$A:$ZZ,,MATCH("Catégorie",'ETPT Format DDG'!2:2,0)),"Greffe",
INDEX( 'ETPT Format DDG'!$A:$ZZ,,MATCH("Juridiction",'ETPT Format DDG'!2:2,0)),$A$3)</f>
      </c>
      <c r="T104" s="72">
        <f>IF(AND(OR(LEFT(C104,3)="12.",LEFT(E104,3)="12.",LEFT(E104,5)="CET &gt;",IFERROR(S104/$S$6,"")=0),NOT(AND(LEFT(E104,4)="12.8",IFERROR(G104/$G$6,"")&lt;&gt;0)),NOT(AND(LEFT(E104,5)="12.31",IFERROR(S104/$G$6,"")&lt;&gt;0)),NOT(AND(LEFT(E104,5)="12.32",IFERROR(S104/$G$6,"")&lt;&gt;0))),"", IFERROR(S104/$S$6,""))</f>
      </c>
      <c r="U104" s="71">
        <f>SUMIFS(
INDEX('ETPT Format DDG'!$A:$FB,,IFERROR(MATCH(E104,'ETPT Format DDG'!$2:$2,0),MATCH(C104,'ETPT Format DDG'!$2:$2,0))),
INDEX( 'ETPT Format DDG'!$A:$ZZ,,MATCH("Fonction agrégat",'ETPT Format DDG'!2:2,0)),"C",
INDEX( 'ETPT Format DDG'!$A:$ZZ,,MATCH("Juridiction",'ETPT Format DDG'!2:2,0)),$A$3,
INDEX( 'ETPT Format DDG'!$A:$ZZ,,MATCH("Catégorie",'ETPT Format DDG'!2:2,0)),"Autour du magistrat")</f>
      </c>
      <c r="V104" s="74">
        <f>IF(AND(OR(LEFT(C104,3)="12.",LEFT(E104,3)="12.",LEFT(E104,5)="CET &gt;",IFERROR(U104/$U$6,"")=0),NOT(AND(LEFT(E104,4)="12.8",IFERROR(G104/$G$6,"")&lt;&gt;0)),NOT(AND(LEFT(E104,5)="12.31",IFERROR(U104/$G$6,"")&lt;&gt;0)),NOT(AND(LEFT(E104,5)="12.32",IFERROR(U104/$G$6,"")&lt;&gt;0))),"", IFERROR(U104/$U$6,""))</f>
      </c>
    </row>
    <row r="105" ht="16" customHeight="1" spans="1:23" x14ac:dyDescent="0.25">
      <c r="A105" s="40"/>
      <c r="C105" s="68"/>
      <c r="D105" s="68"/>
      <c r="E105" s="69" t="s">
        <v>145</v>
      </c>
      <c r="F105" s="70" t="s">
        <v>145</v>
      </c>
      <c r="G105" s="71">
        <f>SUMIFS(
INDEX('ETPT Format DDG'!$A:$ZZ,,IFERROR(MATCH(E105,'ETPT Format DDG'!$2:$2,0),MATCH(C105,'ETPT Format DDG'!$2:$2,0))),
INDEX( 'ETPT Format DDG'!$A:$ZZ,,MATCH("Fonction agrégat",'ETPT Format DDG'!2:2,0)),"M-TIT",
INDEX( 'ETPT Format DDG'!$A:$ZZ,,MATCH("Juridiction",'ETPT Format DDG'!2:2,0)),$A$3)</f>
      </c>
      <c r="H105" s="72">
        <f>IF(AND(OR(LEFT(C105,3)="12.",LEFT(E105,3)="12.",LEFT(E105,5)="CET &gt;",IFERROR(G105/$G$6,"")=0),NOT(AND(LEFT(E105,4)="12.8",IFERROR(G105/$G$6,"")&lt;&gt;0)),NOT(AND(LEFT(E105,5)="12.31",IFERROR(G105/$G$6,"")&lt;&gt;0)),NOT(AND(LEFT(E105,5)="12.32",IFERROR(G105/$G$6,"")&lt;&gt;0))),"", IFERROR(G105/$G$6,""))</f>
      </c>
      <c r="I105" s="73">
        <f>SUMIFS(
INDEX('ETPT Format DDG'!$A:$ZZ,,IFERROR(MATCH(E105,'ETPT Format DDG'!$2:$2,0),MATCH(C105,'ETPT Format DDG'!$2:$2,0))),
INDEX( 'ETPT Format DDG'!$A:$ZZ,,MATCH("Fonction agrégat",'ETPT Format DDG'!2:2,0)),"M-PLAC-ADD",
INDEX( 'ETPT Format DDG'!$A:$ZZ,,MATCH("Juridiction",'ETPT Format DDG'!2:2,0)),$A$3)</f>
      </c>
      <c r="J105" s="73">
        <f>SUMIFS(
INDEX('ETPT Format DDG'!$A:$ZZ,,IFERROR(MATCH(E105,'ETPT Format DDG'!$2:$2,0),MATCH(C105,'ETPT Format DDG'!$2:$2,0))),
INDEX( 'ETPT Format DDG'!$A:$ZZ,,MATCH("Fonction agrégat",'ETPT Format DDG'!2:2,0)),"M-PLAC-SUB",
INDEX( 'ETPT Format DDG'!$A:$ZZ,,MATCH("Juridiction",'ETPT Format DDG'!2:2,0)),$A$3)</f>
      </c>
      <c r="K105" s="73">
        <f>SUMIFS(
INDEX('ETPT Format DDG'!$A:$ZZ,,IFERROR(MATCH(E105,'ETPT Format DDG'!$2:$2,0),MATCH(C105,'ETPT Format DDG'!$2:$2,0))),
INDEX( 'ETPT Format DDG'!$A:$ZZ,,MATCH("Fonction agrégat",'ETPT Format DDG'!2:2,0)),"M-CONT",
INDEX( 'ETPT Format DDG'!$A:$ZZ,,MATCH("Juridiction",'ETPT Format DDG'!2:2,0)),$A$3,
INDEX( 'ETPT Format DDG'!$A:$ZZ,,MATCH("Catégorie",'ETPT Format DDG'!2:2,0)),"Magistrat")</f>
      </c>
      <c r="L105" s="71">
        <f>SUMIFS(
INDEX('ETPT Format DDG'!$A:$ZZ,,IFERROR(MATCH(E105,'ETPT Format DDG'!$2:$2,0),MATCH(C105,'ETPT Format DDG'!$2:$2,0))),
INDEX( 'ETPT Format DDG'!$A:$ZZ,,MATCH("Juridiction",'ETPT Format DDG'!2:2,0)),$A$3,
INDEX( 'ETPT Format DDG'!$A:$ZZ,,MATCH("Catégorie",'ETPT Format DDG'!2:2,0)),"Magistrat")</f>
      </c>
      <c r="M105" s="74">
        <f>IF(AND(OR(LEFT(C105,3)="12.",LEFT(E105,3)="12.",LEFT(E105,5)="CET &gt;", IFERROR(L105/$L$6,"")=0),NOT(AND(LEFT(E105,4)="12.8",IFERROR(G105/$G$6,"")&lt;&gt;0)),NOT(AND(LEFT(E105,5)="12.31",IFERROR(L105/$G$6,"")&lt;&gt;0)),NOT(AND(LEFT(E105,5)="12.32",IFERROR(L105/$G$6,"")&lt;&gt;0))),"", IFERROR(L105/$L$6,""))</f>
      </c>
      <c r="N105" s="73">
        <f>SUMIFS(
INDEX('ETPT Format DDG'!$A:$ZZ,,IFERROR(MATCH(E105,'ETPT Format DDG'!$2:$2,0),MATCH(C105,'ETPT Format DDG'!$2:$2,0))),
INDEX( 'ETPT Format DDG'!$A:$ZZ,,MATCH("Fonction agrégat",'ETPT Format DDG'!2:2,0)),"F-TIT",
INDEX( 'ETPT Format DDG'!$A:$ZZ,,MATCH("Juridiction",'ETPT Format DDG'!2:2,0)),$A$3)</f>
      </c>
      <c r="O105" s="72">
        <f>IF(AND(OR(LEFT(C105,3)="12.",LEFT(E105,3)="12.",LEFT(E105,5)="CET &gt;",IFERROR(N105/$N$6,"")=0),NOT(AND(LEFT(E105,4)="12.8",IFERROR(G105/$G$6,"")&lt;&gt;0)),NOT(AND(LEFT(E105,5)="12.31",IFERROR(N105/$G$6,"")&lt;&gt;0)),NOT(AND(LEFT(E105,5)="12.32",IFERROR(N105/$G$6,"")&lt;&gt;0))),"",IFERROR(N105/$N$6,""))</f>
      </c>
      <c r="P105" s="73">
        <f>SUMIFS(
INDEX('ETPT Format DDG'!$A:$FB,,IFERROR(MATCH(E105,'ETPT Format DDG'!$2:$2,0),MATCH(C105,'ETPT Format DDG'!$2:$2,0))),
INDEX( 'ETPT Format DDG'!$A:$ZZ,,MATCH("Fonction agrégat",'ETPT Format DDG'!2:2,0)),"F-PLAC-ADD",
INDEX( 'ETPT Format DDG'!$A:$ZZ,,MATCH("Juridiction",'ETPT Format DDG'!2:2,0)),$A$3)</f>
      </c>
      <c r="Q105" s="73">
        <f>SUMIFS(
INDEX('ETPT Format DDG'!$A:$FB,,IFERROR(MATCH(E105,'ETPT Format DDG'!$2:$2,0),MATCH(C105,'ETPT Format DDG'!$2:$2,0))),
INDEX( 'ETPT Format DDG'!$A:$ZZ,,MATCH("Fonction agrégat",'ETPT Format DDG'!2:2,0)),"F-PLAC-SUB",
INDEX( 'ETPT Format DDG'!$A:$ZZ,,MATCH("Juridiction",'ETPT Format DDG'!2:2,0)),$A$3)</f>
      </c>
      <c r="R105" s="73">
        <f>SUMIFS(
INDEX('ETPT Format DDG'!$A:$FB,,IFERROR(MATCH(E105,'ETPT Format DDG'!$2:$2,0),MATCH(C105,'ETPT Format DDG'!$2:$2,0))),
INDEX( 'ETPT Format DDG'!$A:$ZZ,,MATCH("Fonction agrégat",'ETPT Format DDG'!2:2,0)),"C",
'ETPT Format DDG'!$H:$H,"Greffe",
INDEX( 'ETPT Format DDG'!$A:$ZZ,,MATCH("Juridiction",'ETPT Format DDG'!2:2,0)),$A$3)</f>
      </c>
      <c r="S105" s="71">
        <f>SUMIFS(
INDEX('ETPT Format DDG'!$A:$FB,,IFERROR(MATCH(E105,'ETPT Format DDG'!$2:$2,0),MATCH(C105,'ETPT Format DDG'!$2:$2,0))),
INDEX( 'ETPT Format DDG'!$A:$ZZ,,MATCH("Catégorie",'ETPT Format DDG'!2:2,0)),"Greffe",
INDEX( 'ETPT Format DDG'!$A:$ZZ,,MATCH("Juridiction",'ETPT Format DDG'!2:2,0)),$A$3)</f>
      </c>
      <c r="T105" s="72">
        <f>IF(AND(OR(LEFT(C105,3)="12.",LEFT(E105,3)="12.",LEFT(E105,5)="CET &gt;",IFERROR(S105/$S$6,"")=0),NOT(AND(LEFT(E105,4)="12.8",IFERROR(G105/$G$6,"")&lt;&gt;0)),NOT(AND(LEFT(E105,5)="12.31",IFERROR(S105/$G$6,"")&lt;&gt;0)),NOT(AND(LEFT(E105,5)="12.32",IFERROR(S105/$G$6,"")&lt;&gt;0))),"", IFERROR(S105/$S$6,""))</f>
      </c>
      <c r="U105" s="71">
        <f>SUMIFS(
INDEX('ETPT Format DDG'!$A:$FB,,IFERROR(MATCH(E105,'ETPT Format DDG'!$2:$2,0),MATCH(C105,'ETPT Format DDG'!$2:$2,0))),
INDEX( 'ETPT Format DDG'!$A:$ZZ,,MATCH("Fonction agrégat",'ETPT Format DDG'!2:2,0)),"C",
INDEX( 'ETPT Format DDG'!$A:$ZZ,,MATCH("Juridiction",'ETPT Format DDG'!2:2,0)),$A$3,
INDEX( 'ETPT Format DDG'!$A:$ZZ,,MATCH("Catégorie",'ETPT Format DDG'!2:2,0)),"Autour du magistrat")</f>
      </c>
      <c r="V105" s="74">
        <f>IF(AND(OR(LEFT(C105,3)="12.",LEFT(E105,3)="12.",LEFT(E105,5)="CET &gt;",IFERROR(U105/$U$6,"")=0),NOT(AND(LEFT(E105,4)="12.8",IFERROR(G105/$G$6,"")&lt;&gt;0)),NOT(AND(LEFT(E105,5)="12.31",IFERROR(U105/$G$6,"")&lt;&gt;0)),NOT(AND(LEFT(E105,5)="12.32",IFERROR(U105/$G$6,"")&lt;&gt;0))),"", IFERROR(U105/$U$6,""))</f>
      </c>
    </row>
    <row r="106" ht="16" customHeight="1" spans="1:23" x14ac:dyDescent="0.25">
      <c r="A106" s="40"/>
      <c r="C106" s="68"/>
      <c r="D106" s="68"/>
      <c r="E106" s="69" t="s">
        <v>146</v>
      </c>
      <c r="F106" s="70" t="s">
        <v>146</v>
      </c>
      <c r="G106" s="71">
        <f>SUMIFS(
INDEX('ETPT Format DDG'!$A:$ZZ,,IFERROR(MATCH(E106,'ETPT Format DDG'!$2:$2,0),MATCH(C106,'ETPT Format DDG'!$2:$2,0))),
INDEX( 'ETPT Format DDG'!$A:$ZZ,,MATCH("Fonction agrégat",'ETPT Format DDG'!2:2,0)),"M-TIT",
INDEX( 'ETPT Format DDG'!$A:$ZZ,,MATCH("Juridiction",'ETPT Format DDG'!2:2,0)),$A$3)</f>
      </c>
      <c r="H106" s="72">
        <f>IF(AND(OR(LEFT(C106,3)="12.",LEFT(E106,3)="12.",LEFT(E106,5)="CET &gt;",IFERROR(G106/$G$6,"")=0),NOT(AND(LEFT(E106,4)="12.8",IFERROR(G106/$G$6,"")&lt;&gt;0)),NOT(AND(LEFT(E106,5)="12.31",IFERROR(G106/$G$6,"")&lt;&gt;0)),NOT(AND(LEFT(E106,5)="12.32",IFERROR(G106/$G$6,"")&lt;&gt;0))),"", IFERROR(G106/$G$6,""))</f>
      </c>
      <c r="I106" s="73">
        <f>SUMIFS(
INDEX('ETPT Format DDG'!$A:$ZZ,,IFERROR(MATCH(E106,'ETPT Format DDG'!$2:$2,0),MATCH(C106,'ETPT Format DDG'!$2:$2,0))),
INDEX( 'ETPT Format DDG'!$A:$ZZ,,MATCH("Fonction agrégat",'ETPT Format DDG'!2:2,0)),"M-PLAC-ADD",
INDEX( 'ETPT Format DDG'!$A:$ZZ,,MATCH("Juridiction",'ETPT Format DDG'!2:2,0)),$A$3)</f>
      </c>
      <c r="J106" s="73">
        <f>SUMIFS(
INDEX('ETPT Format DDG'!$A:$ZZ,,IFERROR(MATCH(E106,'ETPT Format DDG'!$2:$2,0),MATCH(C106,'ETPT Format DDG'!$2:$2,0))),
INDEX( 'ETPT Format DDG'!$A:$ZZ,,MATCH("Fonction agrégat",'ETPT Format DDG'!2:2,0)),"M-PLAC-SUB",
INDEX( 'ETPT Format DDG'!$A:$ZZ,,MATCH("Juridiction",'ETPT Format DDG'!2:2,0)),$A$3)</f>
      </c>
      <c r="K106" s="73">
        <f>SUMIFS(
INDEX('ETPT Format DDG'!$A:$ZZ,,IFERROR(MATCH(E106,'ETPT Format DDG'!$2:$2,0),MATCH(C106,'ETPT Format DDG'!$2:$2,0))),
INDEX( 'ETPT Format DDG'!$A:$ZZ,,MATCH("Fonction agrégat",'ETPT Format DDG'!2:2,0)),"M-CONT",
INDEX( 'ETPT Format DDG'!$A:$ZZ,,MATCH("Juridiction",'ETPT Format DDG'!2:2,0)),$A$3,
INDEX( 'ETPT Format DDG'!$A:$ZZ,,MATCH("Catégorie",'ETPT Format DDG'!2:2,0)),"Magistrat")</f>
      </c>
      <c r="L106" s="71">
        <f>SUMIFS(
INDEX('ETPT Format DDG'!$A:$ZZ,,IFERROR(MATCH(E106,'ETPT Format DDG'!$2:$2,0),MATCH(C106,'ETPT Format DDG'!$2:$2,0))),
INDEX( 'ETPT Format DDG'!$A:$ZZ,,MATCH("Juridiction",'ETPT Format DDG'!2:2,0)),$A$3,
INDEX( 'ETPT Format DDG'!$A:$ZZ,,MATCH("Catégorie",'ETPT Format DDG'!2:2,0)),"Magistrat")</f>
      </c>
      <c r="M106" s="74">
        <f>IF(AND(OR(LEFT(C106,3)="12.",LEFT(E106,3)="12.",LEFT(E106,5)="CET &gt;", IFERROR(L106/$L$6,"")=0),NOT(AND(LEFT(E106,4)="12.8",IFERROR(G106/$G$6,"")&lt;&gt;0)),NOT(AND(LEFT(E106,5)="12.31",IFERROR(L106/$G$6,"")&lt;&gt;0)),NOT(AND(LEFT(E106,5)="12.32",IFERROR(L106/$G$6,"")&lt;&gt;0))),"", IFERROR(L106/$L$6,""))</f>
      </c>
      <c r="N106" s="73">
        <f>SUMIFS(
INDEX('ETPT Format DDG'!$A:$ZZ,,IFERROR(MATCH(E106,'ETPT Format DDG'!$2:$2,0),MATCH(C106,'ETPT Format DDG'!$2:$2,0))),
INDEX( 'ETPT Format DDG'!$A:$ZZ,,MATCH("Fonction agrégat",'ETPT Format DDG'!2:2,0)),"F-TIT",
INDEX( 'ETPT Format DDG'!$A:$ZZ,,MATCH("Juridiction",'ETPT Format DDG'!2:2,0)),$A$3)</f>
      </c>
      <c r="O106" s="72">
        <f>IF(AND(OR(LEFT(C106,3)="12.",LEFT(E106,3)="12.",LEFT(E106,5)="CET &gt;",IFERROR(N106/$N$6,"")=0),NOT(AND(LEFT(E106,4)="12.8",IFERROR(G106/$G$6,"")&lt;&gt;0)),NOT(AND(LEFT(E106,5)="12.31",IFERROR(N106/$G$6,"")&lt;&gt;0)),NOT(AND(LEFT(E106,5)="12.32",IFERROR(N106/$G$6,"")&lt;&gt;0))),"",IFERROR(N106/$N$6,""))</f>
      </c>
      <c r="P106" s="73">
        <f>SUMIFS(
INDEX('ETPT Format DDG'!$A:$FB,,IFERROR(MATCH(E106,'ETPT Format DDG'!$2:$2,0),MATCH(C106,'ETPT Format DDG'!$2:$2,0))),
INDEX( 'ETPT Format DDG'!$A:$ZZ,,MATCH("Fonction agrégat",'ETPT Format DDG'!2:2,0)),"F-PLAC-ADD",
INDEX( 'ETPT Format DDG'!$A:$ZZ,,MATCH("Juridiction",'ETPT Format DDG'!2:2,0)),$A$3)</f>
      </c>
      <c r="Q106" s="73">
        <f>SUMIFS(
INDEX('ETPT Format DDG'!$A:$FB,,IFERROR(MATCH(E106,'ETPT Format DDG'!$2:$2,0),MATCH(C106,'ETPT Format DDG'!$2:$2,0))),
INDEX( 'ETPT Format DDG'!$A:$ZZ,,MATCH("Fonction agrégat",'ETPT Format DDG'!2:2,0)),"F-PLAC-SUB",
INDEX( 'ETPT Format DDG'!$A:$ZZ,,MATCH("Juridiction",'ETPT Format DDG'!2:2,0)),$A$3)</f>
      </c>
      <c r="R106" s="73">
        <f>SUMIFS(
INDEX('ETPT Format DDG'!$A:$FB,,IFERROR(MATCH(E106,'ETPT Format DDG'!$2:$2,0),MATCH(C106,'ETPT Format DDG'!$2:$2,0))),
INDEX( 'ETPT Format DDG'!$A:$ZZ,,MATCH("Fonction agrégat",'ETPT Format DDG'!2:2,0)),"C",
'ETPT Format DDG'!$H:$H,"Greffe",
INDEX( 'ETPT Format DDG'!$A:$ZZ,,MATCH("Juridiction",'ETPT Format DDG'!2:2,0)),$A$3)</f>
      </c>
      <c r="S106" s="71">
        <f>SUMIFS(
INDEX('ETPT Format DDG'!$A:$FB,,IFERROR(MATCH(E106,'ETPT Format DDG'!$2:$2,0),MATCH(C106,'ETPT Format DDG'!$2:$2,0))),
INDEX( 'ETPT Format DDG'!$A:$ZZ,,MATCH("Catégorie",'ETPT Format DDG'!2:2,0)),"Greffe",
INDEX( 'ETPT Format DDG'!$A:$ZZ,,MATCH("Juridiction",'ETPT Format DDG'!2:2,0)),$A$3)</f>
      </c>
      <c r="T106" s="72">
        <f>IF(AND(OR(LEFT(C106,3)="12.",LEFT(E106,3)="12.",LEFT(E106,5)="CET &gt;",IFERROR(S106/$S$6,"")=0),NOT(AND(LEFT(E106,4)="12.8",IFERROR(G106/$G$6,"")&lt;&gt;0)),NOT(AND(LEFT(E106,5)="12.31",IFERROR(S106/$G$6,"")&lt;&gt;0)),NOT(AND(LEFT(E106,5)="12.32",IFERROR(S106/$G$6,"")&lt;&gt;0))),"", IFERROR(S106/$S$6,""))</f>
      </c>
      <c r="U106" s="71">
        <f>SUMIFS(
INDEX('ETPT Format DDG'!$A:$FB,,IFERROR(MATCH(E106,'ETPT Format DDG'!$2:$2,0),MATCH(C106,'ETPT Format DDG'!$2:$2,0))),
INDEX( 'ETPT Format DDG'!$A:$ZZ,,MATCH("Fonction agrégat",'ETPT Format DDG'!2:2,0)),"C",
INDEX( 'ETPT Format DDG'!$A:$ZZ,,MATCH("Juridiction",'ETPT Format DDG'!2:2,0)),$A$3,
INDEX( 'ETPT Format DDG'!$A:$ZZ,,MATCH("Catégorie",'ETPT Format DDG'!2:2,0)),"Autour du magistrat")</f>
      </c>
      <c r="V106" s="74">
        <f>IF(AND(OR(LEFT(C106,3)="12.",LEFT(E106,3)="12.",LEFT(E106,5)="CET &gt;",IFERROR(U106/$U$6,"")=0),NOT(AND(LEFT(E106,4)="12.8",IFERROR(G106/$G$6,"")&lt;&gt;0)),NOT(AND(LEFT(E106,5)="12.31",IFERROR(U106/$G$6,"")&lt;&gt;0)),NOT(AND(LEFT(E106,5)="12.32",IFERROR(U106/$G$6,"")&lt;&gt;0))),"", IFERROR(U106/$U$6,""))</f>
      </c>
    </row>
    <row r="107" ht="16" customHeight="1" spans="1:23" x14ac:dyDescent="0.25">
      <c r="A107" s="40"/>
      <c r="C107" s="68"/>
      <c r="D107" s="68"/>
      <c r="E107" s="69" t="s">
        <v>147</v>
      </c>
      <c r="F107" s="70" t="s">
        <v>147</v>
      </c>
      <c r="G107" s="71">
        <f>SUMIFS(
INDEX('ETPT Format DDG'!$A:$ZZ,,IFERROR(MATCH(E107,'ETPT Format DDG'!$2:$2,0),MATCH(C107,'ETPT Format DDG'!$2:$2,0))),
INDEX( 'ETPT Format DDG'!$A:$ZZ,,MATCH("Fonction agrégat",'ETPT Format DDG'!2:2,0)),"M-TIT",
INDEX( 'ETPT Format DDG'!$A:$ZZ,,MATCH("Juridiction",'ETPT Format DDG'!2:2,0)),$A$3)</f>
      </c>
      <c r="H107" s="72">
        <f>IF(AND(OR(LEFT(C107,3)="12.",LEFT(E107,3)="12.",LEFT(E107,5)="CET &gt;",IFERROR(G107/$G$6,"")=0),NOT(AND(LEFT(E107,4)="12.8",IFERROR(G107/$G$6,"")&lt;&gt;0)),NOT(AND(LEFT(E107,5)="12.31",IFERROR(G107/$G$6,"")&lt;&gt;0)),NOT(AND(LEFT(E107,5)="12.32",IFERROR(G107/$G$6,"")&lt;&gt;0))),"", IFERROR(G107/$G$6,""))</f>
      </c>
      <c r="I107" s="73">
        <f>SUMIFS(
INDEX('ETPT Format DDG'!$A:$ZZ,,IFERROR(MATCH(E107,'ETPT Format DDG'!$2:$2,0),MATCH(C107,'ETPT Format DDG'!$2:$2,0))),
INDEX( 'ETPT Format DDG'!$A:$ZZ,,MATCH("Fonction agrégat",'ETPT Format DDG'!2:2,0)),"M-PLAC-ADD",
INDEX( 'ETPT Format DDG'!$A:$ZZ,,MATCH("Juridiction",'ETPT Format DDG'!2:2,0)),$A$3)</f>
      </c>
      <c r="J107" s="73">
        <f>SUMIFS(
INDEX('ETPT Format DDG'!$A:$ZZ,,IFERROR(MATCH(E107,'ETPT Format DDG'!$2:$2,0),MATCH(C107,'ETPT Format DDG'!$2:$2,0))),
INDEX( 'ETPT Format DDG'!$A:$ZZ,,MATCH("Fonction agrégat",'ETPT Format DDG'!2:2,0)),"M-PLAC-SUB",
INDEX( 'ETPT Format DDG'!$A:$ZZ,,MATCH("Juridiction",'ETPT Format DDG'!2:2,0)),$A$3)</f>
      </c>
      <c r="K107" s="73">
        <f>SUMIFS(
INDEX('ETPT Format DDG'!$A:$ZZ,,IFERROR(MATCH(E107,'ETPT Format DDG'!$2:$2,0),MATCH(C107,'ETPT Format DDG'!$2:$2,0))),
INDEX( 'ETPT Format DDG'!$A:$ZZ,,MATCH("Fonction agrégat",'ETPT Format DDG'!2:2,0)),"M-CONT",
INDEX( 'ETPT Format DDG'!$A:$ZZ,,MATCH("Juridiction",'ETPT Format DDG'!2:2,0)),$A$3,
INDEX( 'ETPT Format DDG'!$A:$ZZ,,MATCH("Catégorie",'ETPT Format DDG'!2:2,0)),"Magistrat")</f>
      </c>
      <c r="L107" s="71">
        <f>SUMIFS(
INDEX('ETPT Format DDG'!$A:$ZZ,,IFERROR(MATCH(E107,'ETPT Format DDG'!$2:$2,0),MATCH(C107,'ETPT Format DDG'!$2:$2,0))),
INDEX( 'ETPT Format DDG'!$A:$ZZ,,MATCH("Juridiction",'ETPT Format DDG'!2:2,0)),$A$3,
INDEX( 'ETPT Format DDG'!$A:$ZZ,,MATCH("Catégorie",'ETPT Format DDG'!2:2,0)),"Magistrat")</f>
      </c>
      <c r="M107" s="74">
        <f>IF(AND(OR(LEFT(C107,3)="12.",LEFT(E107,3)="12.",LEFT(E107,5)="CET &gt;", IFERROR(L107/$L$6,"")=0),NOT(AND(LEFT(E107,4)="12.8",IFERROR(G107/$G$6,"")&lt;&gt;0)),NOT(AND(LEFT(E107,5)="12.31",IFERROR(L107/$G$6,"")&lt;&gt;0)),NOT(AND(LEFT(E107,5)="12.32",IFERROR(L107/$G$6,"")&lt;&gt;0))),"", IFERROR(L107/$L$6,""))</f>
      </c>
      <c r="N107" s="73">
        <f>SUMIFS(
INDEX('ETPT Format DDG'!$A:$ZZ,,IFERROR(MATCH(E107,'ETPT Format DDG'!$2:$2,0),MATCH(C107,'ETPT Format DDG'!$2:$2,0))),
INDEX( 'ETPT Format DDG'!$A:$ZZ,,MATCH("Fonction agrégat",'ETPT Format DDG'!2:2,0)),"F-TIT",
INDEX( 'ETPT Format DDG'!$A:$ZZ,,MATCH("Juridiction",'ETPT Format DDG'!2:2,0)),$A$3)</f>
      </c>
      <c r="O107" s="72">
        <f>IF(AND(OR(LEFT(C107,3)="12.",LEFT(E107,3)="12.",LEFT(E107,5)="CET &gt;",IFERROR(N107/$N$6,"")=0),NOT(AND(LEFT(E107,4)="12.8",IFERROR(G107/$G$6,"")&lt;&gt;0)),NOT(AND(LEFT(E107,5)="12.31",IFERROR(N107/$G$6,"")&lt;&gt;0)),NOT(AND(LEFT(E107,5)="12.32",IFERROR(N107/$G$6,"")&lt;&gt;0))),"",IFERROR(N107/$N$6,""))</f>
      </c>
      <c r="P107" s="73">
        <f>SUMIFS(
INDEX('ETPT Format DDG'!$A:$FB,,IFERROR(MATCH(E107,'ETPT Format DDG'!$2:$2,0),MATCH(C107,'ETPT Format DDG'!$2:$2,0))),
INDEX( 'ETPT Format DDG'!$A:$ZZ,,MATCH("Fonction agrégat",'ETPT Format DDG'!2:2,0)),"F-PLAC-ADD",
INDEX( 'ETPT Format DDG'!$A:$ZZ,,MATCH("Juridiction",'ETPT Format DDG'!2:2,0)),$A$3)</f>
      </c>
      <c r="Q107" s="73">
        <f>SUMIFS(
INDEX('ETPT Format DDG'!$A:$FB,,IFERROR(MATCH(E107,'ETPT Format DDG'!$2:$2,0),MATCH(C107,'ETPT Format DDG'!$2:$2,0))),
INDEX( 'ETPT Format DDG'!$A:$ZZ,,MATCH("Fonction agrégat",'ETPT Format DDG'!2:2,0)),"F-PLAC-SUB",
INDEX( 'ETPT Format DDG'!$A:$ZZ,,MATCH("Juridiction",'ETPT Format DDG'!2:2,0)),$A$3)</f>
      </c>
      <c r="R107" s="73">
        <f>SUMIFS(
INDEX('ETPT Format DDG'!$A:$FB,,IFERROR(MATCH(E107,'ETPT Format DDG'!$2:$2,0),MATCH(C107,'ETPT Format DDG'!$2:$2,0))),
INDEX( 'ETPT Format DDG'!$A:$ZZ,,MATCH("Fonction agrégat",'ETPT Format DDG'!2:2,0)),"C",
'ETPT Format DDG'!$H:$H,"Greffe",
INDEX( 'ETPT Format DDG'!$A:$ZZ,,MATCH("Juridiction",'ETPT Format DDG'!2:2,0)),$A$3)</f>
      </c>
      <c r="S107" s="71">
        <f>SUMIFS(
INDEX('ETPT Format DDG'!$A:$FB,,IFERROR(MATCH(E107,'ETPT Format DDG'!$2:$2,0),MATCH(C107,'ETPT Format DDG'!$2:$2,0))),
INDEX( 'ETPT Format DDG'!$A:$ZZ,,MATCH("Catégorie",'ETPT Format DDG'!2:2,0)),"Greffe",
INDEX( 'ETPT Format DDG'!$A:$ZZ,,MATCH("Juridiction",'ETPT Format DDG'!2:2,0)),$A$3)</f>
      </c>
      <c r="T107" s="72">
        <f>IF(AND(OR(LEFT(C107,3)="12.",LEFT(E107,3)="12.",LEFT(E107,5)="CET &gt;",IFERROR(S107/$S$6,"")=0),NOT(AND(LEFT(E107,4)="12.8",IFERROR(G107/$G$6,"")&lt;&gt;0)),NOT(AND(LEFT(E107,5)="12.31",IFERROR(S107/$G$6,"")&lt;&gt;0)),NOT(AND(LEFT(E107,5)="12.32",IFERROR(S107/$G$6,"")&lt;&gt;0))),"", IFERROR(S107/$S$6,""))</f>
      </c>
      <c r="U107" s="71">
        <f>SUMIFS(
INDEX('ETPT Format DDG'!$A:$FB,,IFERROR(MATCH(E107,'ETPT Format DDG'!$2:$2,0),MATCH(C107,'ETPT Format DDG'!$2:$2,0))),
INDEX( 'ETPT Format DDG'!$A:$ZZ,,MATCH("Fonction agrégat",'ETPT Format DDG'!2:2,0)),"C",
INDEX( 'ETPT Format DDG'!$A:$ZZ,,MATCH("Juridiction",'ETPT Format DDG'!2:2,0)),$A$3,
INDEX( 'ETPT Format DDG'!$A:$ZZ,,MATCH("Catégorie",'ETPT Format DDG'!2:2,0)),"Autour du magistrat")</f>
      </c>
      <c r="V107" s="74">
        <f>IF(AND(OR(LEFT(C107,3)="12.",LEFT(E107,3)="12.",LEFT(E107,5)="CET &gt;",IFERROR(U107/$U$6,"")=0),NOT(AND(LEFT(E107,4)="12.8",IFERROR(G107/$G$6,"")&lt;&gt;0)),NOT(AND(LEFT(E107,5)="12.31",IFERROR(U107/$G$6,"")&lt;&gt;0)),NOT(AND(LEFT(E107,5)="12.32",IFERROR(U107/$G$6,"")&lt;&gt;0))),"", IFERROR(U107/$U$6,""))</f>
      </c>
    </row>
    <row r="108" ht="16" customHeight="1" spans="1:23" x14ac:dyDescent="0.25">
      <c r="A108" s="40"/>
      <c r="C108" s="68"/>
      <c r="D108" s="68"/>
      <c r="E108" s="69" t="s">
        <v>148</v>
      </c>
      <c r="F108" s="70" t="s">
        <v>148</v>
      </c>
      <c r="G108" s="71">
        <f>SUMIFS(
INDEX('ETPT Format DDG'!$A:$ZZ,,IFERROR(MATCH(E108,'ETPT Format DDG'!$2:$2,0),MATCH(C108,'ETPT Format DDG'!$2:$2,0))),
INDEX( 'ETPT Format DDG'!$A:$ZZ,,MATCH("Fonction agrégat",'ETPT Format DDG'!2:2,0)),"M-TIT",
INDEX( 'ETPT Format DDG'!$A:$ZZ,,MATCH("Juridiction",'ETPT Format DDG'!2:2,0)),$A$3)</f>
      </c>
      <c r="H108" s="72">
        <f>IF(AND(OR(LEFT(C108,3)="12.",LEFT(E108,3)="12.",LEFT(E108,5)="CET &gt;",IFERROR(G108/$G$6,"")=0),NOT(AND(LEFT(E108,4)="12.8",IFERROR(G108/$G$6,"")&lt;&gt;0)),NOT(AND(LEFT(E108,5)="12.31",IFERROR(G108/$G$6,"")&lt;&gt;0)),NOT(AND(LEFT(E108,5)="12.32",IFERROR(G108/$G$6,"")&lt;&gt;0))),"", IFERROR(G108/$G$6,""))</f>
      </c>
      <c r="I108" s="73">
        <f>SUMIFS(
INDEX('ETPT Format DDG'!$A:$ZZ,,IFERROR(MATCH(E108,'ETPT Format DDG'!$2:$2,0),MATCH(C108,'ETPT Format DDG'!$2:$2,0))),
INDEX( 'ETPT Format DDG'!$A:$ZZ,,MATCH("Fonction agrégat",'ETPT Format DDG'!2:2,0)),"M-PLAC-ADD",
INDEX( 'ETPT Format DDG'!$A:$ZZ,,MATCH("Juridiction",'ETPT Format DDG'!2:2,0)),$A$3)</f>
      </c>
      <c r="J108" s="73">
        <f>SUMIFS(
INDEX('ETPT Format DDG'!$A:$ZZ,,IFERROR(MATCH(E108,'ETPT Format DDG'!$2:$2,0),MATCH(C108,'ETPT Format DDG'!$2:$2,0))),
INDEX( 'ETPT Format DDG'!$A:$ZZ,,MATCH("Fonction agrégat",'ETPT Format DDG'!2:2,0)),"M-PLAC-SUB",
INDEX( 'ETPT Format DDG'!$A:$ZZ,,MATCH("Juridiction",'ETPT Format DDG'!2:2,0)),$A$3)</f>
      </c>
      <c r="K108" s="73">
        <f>SUMIFS(
INDEX('ETPT Format DDG'!$A:$ZZ,,IFERROR(MATCH(E108,'ETPT Format DDG'!$2:$2,0),MATCH(C108,'ETPT Format DDG'!$2:$2,0))),
INDEX( 'ETPT Format DDG'!$A:$ZZ,,MATCH("Fonction agrégat",'ETPT Format DDG'!2:2,0)),"M-CONT",
INDEX( 'ETPT Format DDG'!$A:$ZZ,,MATCH("Juridiction",'ETPT Format DDG'!2:2,0)),$A$3,
INDEX( 'ETPT Format DDG'!$A:$ZZ,,MATCH("Catégorie",'ETPT Format DDG'!2:2,0)),"Magistrat")</f>
      </c>
      <c r="L108" s="71">
        <f>SUMIFS(
INDEX('ETPT Format DDG'!$A:$ZZ,,IFERROR(MATCH(E108,'ETPT Format DDG'!$2:$2,0),MATCH(C108,'ETPT Format DDG'!$2:$2,0))),
INDEX( 'ETPT Format DDG'!$A:$ZZ,,MATCH("Juridiction",'ETPT Format DDG'!2:2,0)),$A$3,
INDEX( 'ETPT Format DDG'!$A:$ZZ,,MATCH("Catégorie",'ETPT Format DDG'!2:2,0)),"Magistrat")</f>
      </c>
      <c r="M108" s="74">
        <f>IF(AND(OR(LEFT(C108,3)="12.",LEFT(E108,3)="12.",LEFT(E108,5)="CET &gt;", IFERROR(L108/$L$6,"")=0),NOT(AND(LEFT(E108,4)="12.8",IFERROR(G108/$G$6,"")&lt;&gt;0)),NOT(AND(LEFT(E108,5)="12.31",IFERROR(L108/$G$6,"")&lt;&gt;0)),NOT(AND(LEFT(E108,5)="12.32",IFERROR(L108/$G$6,"")&lt;&gt;0))),"", IFERROR(L108/$L$6,""))</f>
      </c>
      <c r="N108" s="73">
        <f>SUMIFS(
INDEX('ETPT Format DDG'!$A:$ZZ,,IFERROR(MATCH(E108,'ETPT Format DDG'!$2:$2,0),MATCH(C108,'ETPT Format DDG'!$2:$2,0))),
INDEX( 'ETPT Format DDG'!$A:$ZZ,,MATCH("Fonction agrégat",'ETPT Format DDG'!2:2,0)),"F-TIT",
INDEX( 'ETPT Format DDG'!$A:$ZZ,,MATCH("Juridiction",'ETPT Format DDG'!2:2,0)),$A$3)</f>
      </c>
      <c r="O108" s="72">
        <f>IF(AND(OR(LEFT(C108,3)="12.",LEFT(E108,3)="12.",LEFT(E108,5)="CET &gt;",IFERROR(N108/$N$6,"")=0),NOT(AND(LEFT(E108,4)="12.8",IFERROR(G108/$G$6,"")&lt;&gt;0)),NOT(AND(LEFT(E108,5)="12.31",IFERROR(N108/$G$6,"")&lt;&gt;0)),NOT(AND(LEFT(E108,5)="12.32",IFERROR(N108/$G$6,"")&lt;&gt;0))),"",IFERROR(N108/$N$6,""))</f>
      </c>
      <c r="P108" s="73">
        <f>SUMIFS(
INDEX('ETPT Format DDG'!$A:$FB,,IFERROR(MATCH(E108,'ETPT Format DDG'!$2:$2,0),MATCH(C108,'ETPT Format DDG'!$2:$2,0))),
INDEX( 'ETPT Format DDG'!$A:$ZZ,,MATCH("Fonction agrégat",'ETPT Format DDG'!2:2,0)),"F-PLAC-ADD",
INDEX( 'ETPT Format DDG'!$A:$ZZ,,MATCH("Juridiction",'ETPT Format DDG'!2:2,0)),$A$3)</f>
      </c>
      <c r="Q108" s="73">
        <f>SUMIFS(
INDEX('ETPT Format DDG'!$A:$FB,,IFERROR(MATCH(E108,'ETPT Format DDG'!$2:$2,0),MATCH(C108,'ETPT Format DDG'!$2:$2,0))),
INDEX( 'ETPT Format DDG'!$A:$ZZ,,MATCH("Fonction agrégat",'ETPT Format DDG'!2:2,0)),"F-PLAC-SUB",
INDEX( 'ETPT Format DDG'!$A:$ZZ,,MATCH("Juridiction",'ETPT Format DDG'!2:2,0)),$A$3)</f>
      </c>
      <c r="R108" s="73">
        <f>SUMIFS(
INDEX('ETPT Format DDG'!$A:$FB,,IFERROR(MATCH(E108,'ETPT Format DDG'!$2:$2,0),MATCH(C108,'ETPT Format DDG'!$2:$2,0))),
INDEX( 'ETPT Format DDG'!$A:$ZZ,,MATCH("Fonction agrégat",'ETPT Format DDG'!2:2,0)),"C",
'ETPT Format DDG'!$H:$H,"Greffe",
INDEX( 'ETPT Format DDG'!$A:$ZZ,,MATCH("Juridiction",'ETPT Format DDG'!2:2,0)),$A$3)</f>
      </c>
      <c r="S108" s="71">
        <f>SUMIFS(
INDEX('ETPT Format DDG'!$A:$FB,,IFERROR(MATCH(E108,'ETPT Format DDG'!$2:$2,0),MATCH(C108,'ETPT Format DDG'!$2:$2,0))),
INDEX( 'ETPT Format DDG'!$A:$ZZ,,MATCH("Catégorie",'ETPT Format DDG'!2:2,0)),"Greffe",
INDEX( 'ETPT Format DDG'!$A:$ZZ,,MATCH("Juridiction",'ETPT Format DDG'!2:2,0)),$A$3)</f>
      </c>
      <c r="T108" s="72">
        <f>IF(AND(OR(LEFT(C108,3)="12.",LEFT(E108,3)="12.",LEFT(E108,5)="CET &gt;",IFERROR(S108/$S$6,"")=0),NOT(AND(LEFT(E108,4)="12.8",IFERROR(G108/$G$6,"")&lt;&gt;0)),NOT(AND(LEFT(E108,5)="12.31",IFERROR(S108/$G$6,"")&lt;&gt;0)),NOT(AND(LEFT(E108,5)="12.32",IFERROR(S108/$G$6,"")&lt;&gt;0))),"", IFERROR(S108/$S$6,""))</f>
      </c>
      <c r="U108" s="71">
        <f>SUMIFS(
INDEX('ETPT Format DDG'!$A:$FB,,IFERROR(MATCH(E108,'ETPT Format DDG'!$2:$2,0),MATCH(C108,'ETPT Format DDG'!$2:$2,0))),
INDEX( 'ETPT Format DDG'!$A:$ZZ,,MATCH("Fonction agrégat",'ETPT Format DDG'!2:2,0)),"C",
INDEX( 'ETPT Format DDG'!$A:$ZZ,,MATCH("Juridiction",'ETPT Format DDG'!2:2,0)),$A$3,
INDEX( 'ETPT Format DDG'!$A:$ZZ,,MATCH("Catégorie",'ETPT Format DDG'!2:2,0)),"Autour du magistrat")</f>
      </c>
      <c r="V108" s="74">
        <f>IF(AND(OR(LEFT(C108,3)="12.",LEFT(E108,3)="12.",LEFT(E108,5)="CET &gt;",IFERROR(U108/$U$6,"")=0),NOT(AND(LEFT(E108,4)="12.8",IFERROR(G108/$G$6,"")&lt;&gt;0)),NOT(AND(LEFT(E108,5)="12.31",IFERROR(U108/$G$6,"")&lt;&gt;0)),NOT(AND(LEFT(E108,5)="12.32",IFERROR(U108/$G$6,"")&lt;&gt;0))),"", IFERROR(U108/$U$6,""))</f>
      </c>
    </row>
    <row r="109" ht="16" customHeight="1" spans="1:23" x14ac:dyDescent="0.25">
      <c r="A109" s="40"/>
      <c r="C109" s="68"/>
      <c r="D109" s="68"/>
      <c r="E109" s="69" t="s">
        <v>149</v>
      </c>
      <c r="F109" s="70" t="s">
        <v>149</v>
      </c>
      <c r="G109" s="71">
        <f>SUMIFS(
INDEX('ETPT Format DDG'!$A:$ZZ,,IFERROR(MATCH(E109,'ETPT Format DDG'!$2:$2,0),MATCH(C109,'ETPT Format DDG'!$2:$2,0))),
INDEX( 'ETPT Format DDG'!$A:$ZZ,,MATCH("Fonction agrégat",'ETPT Format DDG'!2:2,0)),"M-TIT",
INDEX( 'ETPT Format DDG'!$A:$ZZ,,MATCH("Juridiction",'ETPT Format DDG'!2:2,0)),$A$3)</f>
      </c>
      <c r="H109" s="72">
        <f>IF(AND(OR(LEFT(C109,3)="12.",LEFT(E109,3)="12.",LEFT(E109,5)="CET &gt;",IFERROR(G109/$G$6,"")=0),NOT(AND(LEFT(E109,4)="12.8",IFERROR(G109/$G$6,"")&lt;&gt;0)),NOT(AND(LEFT(E109,5)="12.31",IFERROR(G109/$G$6,"")&lt;&gt;0)),NOT(AND(LEFT(E109,5)="12.32",IFERROR(G109/$G$6,"")&lt;&gt;0))),"", IFERROR(G109/$G$6,""))</f>
      </c>
      <c r="I109" s="73">
        <f>SUMIFS(
INDEX('ETPT Format DDG'!$A:$ZZ,,IFERROR(MATCH(E109,'ETPT Format DDG'!$2:$2,0),MATCH(C109,'ETPT Format DDG'!$2:$2,0))),
INDEX( 'ETPT Format DDG'!$A:$ZZ,,MATCH("Fonction agrégat",'ETPT Format DDG'!2:2,0)),"M-PLAC-ADD",
INDEX( 'ETPT Format DDG'!$A:$ZZ,,MATCH("Juridiction",'ETPT Format DDG'!2:2,0)),$A$3)</f>
      </c>
      <c r="J109" s="73">
        <f>SUMIFS(
INDEX('ETPT Format DDG'!$A:$ZZ,,IFERROR(MATCH(E109,'ETPT Format DDG'!$2:$2,0),MATCH(C109,'ETPT Format DDG'!$2:$2,0))),
INDEX( 'ETPT Format DDG'!$A:$ZZ,,MATCH("Fonction agrégat",'ETPT Format DDG'!2:2,0)),"M-PLAC-SUB",
INDEX( 'ETPT Format DDG'!$A:$ZZ,,MATCH("Juridiction",'ETPT Format DDG'!2:2,0)),$A$3)</f>
      </c>
      <c r="K109" s="73">
        <f>SUMIFS(
INDEX('ETPT Format DDG'!$A:$ZZ,,IFERROR(MATCH(E109,'ETPT Format DDG'!$2:$2,0),MATCH(C109,'ETPT Format DDG'!$2:$2,0))),
INDEX( 'ETPT Format DDG'!$A:$ZZ,,MATCH("Fonction agrégat",'ETPT Format DDG'!2:2,0)),"M-CONT",
INDEX( 'ETPT Format DDG'!$A:$ZZ,,MATCH("Juridiction",'ETPT Format DDG'!2:2,0)),$A$3,
INDEX( 'ETPT Format DDG'!$A:$ZZ,,MATCH("Catégorie",'ETPT Format DDG'!2:2,0)),"Magistrat")</f>
      </c>
      <c r="L109" s="71">
        <f>SUMIFS(
INDEX('ETPT Format DDG'!$A:$ZZ,,IFERROR(MATCH(E109,'ETPT Format DDG'!$2:$2,0),MATCH(C109,'ETPT Format DDG'!$2:$2,0))),
INDEX( 'ETPT Format DDG'!$A:$ZZ,,MATCH("Juridiction",'ETPT Format DDG'!2:2,0)),$A$3,
INDEX( 'ETPT Format DDG'!$A:$ZZ,,MATCH("Catégorie",'ETPT Format DDG'!2:2,0)),"Magistrat")</f>
      </c>
      <c r="M109" s="74">
        <f>IF(AND(OR(LEFT(C109,3)="12.",LEFT(E109,3)="12.",LEFT(E109,5)="CET &gt;", IFERROR(L109/$L$6,"")=0),NOT(AND(LEFT(E109,4)="12.8",IFERROR(G109/$G$6,"")&lt;&gt;0)),NOT(AND(LEFT(E109,5)="12.31",IFERROR(L109/$G$6,"")&lt;&gt;0)),NOT(AND(LEFT(E109,5)="12.32",IFERROR(L109/$G$6,"")&lt;&gt;0))),"", IFERROR(L109/$L$6,""))</f>
      </c>
      <c r="N109" s="73">
        <f>SUMIFS(
INDEX('ETPT Format DDG'!$A:$ZZ,,IFERROR(MATCH(E109,'ETPT Format DDG'!$2:$2,0),MATCH(C109,'ETPT Format DDG'!$2:$2,0))),
INDEX( 'ETPT Format DDG'!$A:$ZZ,,MATCH("Fonction agrégat",'ETPT Format DDG'!2:2,0)),"F-TIT",
INDEX( 'ETPT Format DDG'!$A:$ZZ,,MATCH("Juridiction",'ETPT Format DDG'!2:2,0)),$A$3)</f>
      </c>
      <c r="O109" s="72">
        <f>IF(AND(OR(LEFT(C109,3)="12.",LEFT(E109,3)="12.",LEFT(E109,5)="CET &gt;",IFERROR(N109/$N$6,"")=0),NOT(AND(LEFT(E109,4)="12.8",IFERROR(G109/$G$6,"")&lt;&gt;0)),NOT(AND(LEFT(E109,5)="12.31",IFERROR(N109/$G$6,"")&lt;&gt;0)),NOT(AND(LEFT(E109,5)="12.32",IFERROR(N109/$G$6,"")&lt;&gt;0))),"",IFERROR(N109/$N$6,""))</f>
      </c>
      <c r="P109" s="73">
        <f>SUMIFS(
INDEX('ETPT Format DDG'!$A:$FB,,IFERROR(MATCH(E109,'ETPT Format DDG'!$2:$2,0),MATCH(C109,'ETPT Format DDG'!$2:$2,0))),
INDEX( 'ETPT Format DDG'!$A:$ZZ,,MATCH("Fonction agrégat",'ETPT Format DDG'!2:2,0)),"F-PLAC-ADD",
INDEX( 'ETPT Format DDG'!$A:$ZZ,,MATCH("Juridiction",'ETPT Format DDG'!2:2,0)),$A$3)</f>
      </c>
      <c r="Q109" s="73">
        <f>SUMIFS(
INDEX('ETPT Format DDG'!$A:$FB,,IFERROR(MATCH(E109,'ETPT Format DDG'!$2:$2,0),MATCH(C109,'ETPT Format DDG'!$2:$2,0))),
INDEX( 'ETPT Format DDG'!$A:$ZZ,,MATCH("Fonction agrégat",'ETPT Format DDG'!2:2,0)),"F-PLAC-SUB",
INDEX( 'ETPT Format DDG'!$A:$ZZ,,MATCH("Juridiction",'ETPT Format DDG'!2:2,0)),$A$3)</f>
      </c>
      <c r="R109" s="73">
        <f>SUMIFS(
INDEX('ETPT Format DDG'!$A:$FB,,IFERROR(MATCH(E109,'ETPT Format DDG'!$2:$2,0),MATCH(C109,'ETPT Format DDG'!$2:$2,0))),
INDEX( 'ETPT Format DDG'!$A:$ZZ,,MATCH("Fonction agrégat",'ETPT Format DDG'!2:2,0)),"C",
'ETPT Format DDG'!$H:$H,"Greffe",
INDEX( 'ETPT Format DDG'!$A:$ZZ,,MATCH("Juridiction",'ETPT Format DDG'!2:2,0)),$A$3)</f>
      </c>
      <c r="S109" s="71">
        <f>SUMIFS(
INDEX('ETPT Format DDG'!$A:$FB,,IFERROR(MATCH(E109,'ETPT Format DDG'!$2:$2,0),MATCH(C109,'ETPT Format DDG'!$2:$2,0))),
INDEX( 'ETPT Format DDG'!$A:$ZZ,,MATCH("Catégorie",'ETPT Format DDG'!2:2,0)),"Greffe",
INDEX( 'ETPT Format DDG'!$A:$ZZ,,MATCH("Juridiction",'ETPT Format DDG'!2:2,0)),$A$3)</f>
      </c>
      <c r="T109" s="72">
        <f>IF(AND(OR(LEFT(C109,3)="12.",LEFT(E109,3)="12.",LEFT(E109,5)="CET &gt;",IFERROR(S109/$S$6,"")=0),NOT(AND(LEFT(E109,4)="12.8",IFERROR(G109/$G$6,"")&lt;&gt;0)),NOT(AND(LEFT(E109,5)="12.31",IFERROR(S109/$G$6,"")&lt;&gt;0)),NOT(AND(LEFT(E109,5)="12.32",IFERROR(S109/$G$6,"")&lt;&gt;0))),"", IFERROR(S109/$S$6,""))</f>
      </c>
      <c r="U109" s="71">
        <f>SUMIFS(
INDEX('ETPT Format DDG'!$A:$FB,,IFERROR(MATCH(E109,'ETPT Format DDG'!$2:$2,0),MATCH(C109,'ETPT Format DDG'!$2:$2,0))),
INDEX( 'ETPT Format DDG'!$A:$ZZ,,MATCH("Fonction agrégat",'ETPT Format DDG'!2:2,0)),"C",
INDEX( 'ETPT Format DDG'!$A:$ZZ,,MATCH("Juridiction",'ETPT Format DDG'!2:2,0)),$A$3,
INDEX( 'ETPT Format DDG'!$A:$ZZ,,MATCH("Catégorie",'ETPT Format DDG'!2:2,0)),"Autour du magistrat")</f>
      </c>
      <c r="V109" s="74">
        <f>IF(AND(OR(LEFT(C109,3)="12.",LEFT(E109,3)="12.",LEFT(E109,5)="CET &gt;",IFERROR(U109/$U$6,"")=0),NOT(AND(LEFT(E109,4)="12.8",IFERROR(G109/$G$6,"")&lt;&gt;0)),NOT(AND(LEFT(E109,5)="12.31",IFERROR(U109/$G$6,"")&lt;&gt;0)),NOT(AND(LEFT(E109,5)="12.32",IFERROR(U109/$G$6,"")&lt;&gt;0))),"", IFERROR(U109/$U$6,""))</f>
      </c>
    </row>
    <row r="110" ht="16" customHeight="1" spans="1:23" x14ac:dyDescent="0.25">
      <c r="A110" s="40"/>
      <c r="C110" s="68"/>
      <c r="D110" s="68"/>
      <c r="E110" s="69" t="s">
        <v>1081</v>
      </c>
      <c r="F110" s="70" t="s">
        <v>1081</v>
      </c>
      <c r="G110" s="71">
        <f>SUMIFS(
INDEX('ETPT Format DDG'!$A:$ZZ,,IFERROR(MATCH(E110,'ETPT Format DDG'!$2:$2,0),MATCH(C110,'ETPT Format DDG'!$2:$2,0))),
INDEX( 'ETPT Format DDG'!$A:$ZZ,,MATCH("Fonction agrégat",'ETPT Format DDG'!2:2,0)),"M-TIT",
INDEX( 'ETPT Format DDG'!$A:$ZZ,,MATCH("Juridiction",'ETPT Format DDG'!2:2,0)),$A$3)</f>
      </c>
      <c r="H110" s="72">
        <f>IF(AND(OR(LEFT(C110,3)="12.",LEFT(E110,3)="12.",LEFT(E110,5)="CET &gt;",IFERROR(G110/$G$6,"")=0),NOT(AND(LEFT(E110,4)="12.8",IFERROR(G110/$G$6,"")&lt;&gt;0)),NOT(AND(LEFT(E110,5)="12.31",IFERROR(G110/$G$6,"")&lt;&gt;0)),NOT(AND(LEFT(E110,5)="12.32",IFERROR(G110/$G$6,"")&lt;&gt;0))),"", IFERROR(G110/$G$6,""))</f>
      </c>
      <c r="I110" s="73">
        <f>SUMIFS(
INDEX('ETPT Format DDG'!$A:$ZZ,,IFERROR(MATCH(E110,'ETPT Format DDG'!$2:$2,0),MATCH(C110,'ETPT Format DDG'!$2:$2,0))),
INDEX( 'ETPT Format DDG'!$A:$ZZ,,MATCH("Fonction agrégat",'ETPT Format DDG'!2:2,0)),"M-PLAC-ADD",
INDEX( 'ETPT Format DDG'!$A:$ZZ,,MATCH("Juridiction",'ETPT Format DDG'!2:2,0)),$A$3)</f>
      </c>
      <c r="J110" s="73">
        <f>SUMIFS(
INDEX('ETPT Format DDG'!$A:$ZZ,,IFERROR(MATCH(E110,'ETPT Format DDG'!$2:$2,0),MATCH(C110,'ETPT Format DDG'!$2:$2,0))),
INDEX( 'ETPT Format DDG'!$A:$ZZ,,MATCH("Fonction agrégat",'ETPT Format DDG'!2:2,0)),"M-PLAC-SUB",
INDEX( 'ETPT Format DDG'!$A:$ZZ,,MATCH("Juridiction",'ETPT Format DDG'!2:2,0)),$A$3)</f>
      </c>
      <c r="K110" s="73">
        <f>SUMIFS(
INDEX('ETPT Format DDG'!$A:$ZZ,,IFERROR(MATCH(E110,'ETPT Format DDG'!$2:$2,0),MATCH(C110,'ETPT Format DDG'!$2:$2,0))),
INDEX( 'ETPT Format DDG'!$A:$ZZ,,MATCH("Fonction agrégat",'ETPT Format DDG'!2:2,0)),"M-CONT",
INDEX( 'ETPT Format DDG'!$A:$ZZ,,MATCH("Juridiction",'ETPT Format DDG'!2:2,0)),$A$3,
INDEX( 'ETPT Format DDG'!$A:$ZZ,,MATCH("Catégorie",'ETPT Format DDG'!2:2,0)),"Magistrat")</f>
      </c>
      <c r="L110" s="71">
        <f>SUMIFS(
INDEX('ETPT Format DDG'!$A:$ZZ,,IFERROR(MATCH(E110,'ETPT Format DDG'!$2:$2,0),MATCH(C110,'ETPT Format DDG'!$2:$2,0))),
INDEX( 'ETPT Format DDG'!$A:$ZZ,,MATCH("Juridiction",'ETPT Format DDG'!2:2,0)),$A$3,
INDEX( 'ETPT Format DDG'!$A:$ZZ,,MATCH("Catégorie",'ETPT Format DDG'!2:2,0)),"Magistrat")</f>
      </c>
      <c r="M110" s="74">
        <f>IF(AND(OR(LEFT(C110,3)="12.",LEFT(E110,3)="12.",LEFT(E110,5)="CET &gt;", IFERROR(L110/$L$6,"")=0),NOT(AND(LEFT(E110,4)="12.8",IFERROR(G110/$G$6,"")&lt;&gt;0)),NOT(AND(LEFT(E110,5)="12.31",IFERROR(L110/$G$6,"")&lt;&gt;0)),NOT(AND(LEFT(E110,5)="12.32",IFERROR(L110/$G$6,"")&lt;&gt;0))),"", IFERROR(L110/$L$6,""))</f>
      </c>
      <c r="N110" s="73">
        <f>SUMIFS(
INDEX('ETPT Format DDG'!$A:$ZZ,,IFERROR(MATCH(E110,'ETPT Format DDG'!$2:$2,0),MATCH(C110,'ETPT Format DDG'!$2:$2,0))),
INDEX( 'ETPT Format DDG'!$A:$ZZ,,MATCH("Fonction agrégat",'ETPT Format DDG'!2:2,0)),"F-TIT",
INDEX( 'ETPT Format DDG'!$A:$ZZ,,MATCH("Juridiction",'ETPT Format DDG'!2:2,0)),$A$3)</f>
      </c>
      <c r="O110" s="72">
        <f>IF(AND(OR(LEFT(C110,3)="12.",LEFT(E110,3)="12.",LEFT(E110,5)="CET &gt;",IFERROR(N110/$N$6,"")=0),NOT(AND(LEFT(E110,4)="12.8",IFERROR(G110/$G$6,"")&lt;&gt;0)),NOT(AND(LEFT(E110,5)="12.31",IFERROR(N110/$G$6,"")&lt;&gt;0)),NOT(AND(LEFT(E110,5)="12.32",IFERROR(N110/$G$6,"")&lt;&gt;0))),"",IFERROR(N110/$N$6,""))</f>
      </c>
      <c r="P110" s="73">
        <f>SUMIFS(
INDEX('ETPT Format DDG'!$A:$FB,,IFERROR(MATCH(E110,'ETPT Format DDG'!$2:$2,0),MATCH(C110,'ETPT Format DDG'!$2:$2,0))),
INDEX( 'ETPT Format DDG'!$A:$ZZ,,MATCH("Fonction agrégat",'ETPT Format DDG'!2:2,0)),"F-PLAC-ADD",
INDEX( 'ETPT Format DDG'!$A:$ZZ,,MATCH("Juridiction",'ETPT Format DDG'!2:2,0)),$A$3)</f>
      </c>
      <c r="Q110" s="73">
        <f>SUMIFS(
INDEX('ETPT Format DDG'!$A:$FB,,IFERROR(MATCH(E110,'ETPT Format DDG'!$2:$2,0),MATCH(C110,'ETPT Format DDG'!$2:$2,0))),
INDEX( 'ETPT Format DDG'!$A:$ZZ,,MATCH("Fonction agrégat",'ETPT Format DDG'!2:2,0)),"F-PLAC-SUB",
INDEX( 'ETPT Format DDG'!$A:$ZZ,,MATCH("Juridiction",'ETPT Format DDG'!2:2,0)),$A$3)</f>
      </c>
      <c r="R110" s="73">
        <f>SUMIFS(
INDEX('ETPT Format DDG'!$A:$FB,,IFERROR(MATCH(E110,'ETPT Format DDG'!$2:$2,0),MATCH(C110,'ETPT Format DDG'!$2:$2,0))),
INDEX( 'ETPT Format DDG'!$A:$ZZ,,MATCH("Fonction agrégat",'ETPT Format DDG'!2:2,0)),"C",
'ETPT Format DDG'!$H:$H,"Greffe",
INDEX( 'ETPT Format DDG'!$A:$ZZ,,MATCH("Juridiction",'ETPT Format DDG'!2:2,0)),$A$3)</f>
      </c>
      <c r="S110" s="71">
        <f>SUMIFS(
INDEX('ETPT Format DDG'!$A:$FB,,IFERROR(MATCH(E110,'ETPT Format DDG'!$2:$2,0),MATCH(C110,'ETPT Format DDG'!$2:$2,0))),
INDEX( 'ETPT Format DDG'!$A:$ZZ,,MATCH("Catégorie",'ETPT Format DDG'!2:2,0)),"Greffe",
INDEX( 'ETPT Format DDG'!$A:$ZZ,,MATCH("Juridiction",'ETPT Format DDG'!2:2,0)),$A$3)</f>
      </c>
      <c r="T110" s="72">
        <f>IF(AND(OR(LEFT(C110,3)="12.",LEFT(E110,3)="12.",LEFT(E110,5)="CET &gt;",IFERROR(S110/$S$6,"")=0),NOT(AND(LEFT(E110,4)="12.8",IFERROR(G110/$G$6,"")&lt;&gt;0)),NOT(AND(LEFT(E110,5)="12.31",IFERROR(S110/$G$6,"")&lt;&gt;0)),NOT(AND(LEFT(E110,5)="12.32",IFERROR(S110/$G$6,"")&lt;&gt;0))),"", IFERROR(S110/$S$6,""))</f>
      </c>
      <c r="U110" s="71">
        <f>SUMIFS(
INDEX('ETPT Format DDG'!$A:$FB,,IFERROR(MATCH(E110,'ETPT Format DDG'!$2:$2,0),MATCH(C110,'ETPT Format DDG'!$2:$2,0))),
INDEX( 'ETPT Format DDG'!$A:$ZZ,,MATCH("Fonction agrégat",'ETPT Format DDG'!2:2,0)),"C",
INDEX( 'ETPT Format DDG'!$A:$ZZ,,MATCH("Juridiction",'ETPT Format DDG'!2:2,0)),$A$3,
INDEX( 'ETPT Format DDG'!$A:$ZZ,,MATCH("Catégorie",'ETPT Format DDG'!2:2,0)),"Autour du magistrat")</f>
      </c>
      <c r="V110" s="74">
        <f>IF(AND(OR(LEFT(C110,3)="12.",LEFT(E110,3)="12.",LEFT(E110,5)="CET &gt;",IFERROR(U110/$U$6,"")=0),NOT(AND(LEFT(E110,4)="12.8",IFERROR(G110/$G$6,"")&lt;&gt;0)),NOT(AND(LEFT(E110,5)="12.31",IFERROR(U110/$G$6,"")&lt;&gt;0)),NOT(AND(LEFT(E110,5)="12.32",IFERROR(U110/$G$6,"")&lt;&gt;0))),"", IFERROR(U110/$U$6,""))</f>
      </c>
    </row>
    <row r="111" ht="16" customHeight="1" spans="1:23" x14ac:dyDescent="0.25">
      <c r="A111" s="40"/>
      <c r="C111" s="68" t="s">
        <v>1083</v>
      </c>
      <c r="D111" s="68" t="s">
        <v>1288</v>
      </c>
      <c r="E111" s="69"/>
      <c r="F111" s="70"/>
      <c r="G111" s="71">
        <f>SUMIFS(
INDEX('ETPT Format DDG'!$A:$ZZ,,IFERROR(MATCH(E111,'ETPT Format DDG'!$2:$2,0),MATCH(C111,'ETPT Format DDG'!$2:$2,0))),
INDEX( 'ETPT Format DDG'!$A:$ZZ,,MATCH("Fonction agrégat",'ETPT Format DDG'!2:2,0)),"M-TIT",
INDEX( 'ETPT Format DDG'!$A:$ZZ,,MATCH("Juridiction",'ETPT Format DDG'!2:2,0)),$A$3)</f>
      </c>
      <c r="H111" s="72">
        <f>IF(AND(OR(LEFT(C111,3)="12.",LEFT(E111,3)="12.",LEFT(E111,5)="CET &gt;",IFERROR(G111/$G$6,"")=0),NOT(AND(LEFT(E111,4)="12.8",IFERROR(G111/$G$6,"")&lt;&gt;0)),NOT(AND(LEFT(E111,5)="12.31",IFERROR(G111/$G$6,"")&lt;&gt;0)),NOT(AND(LEFT(E111,5)="12.32",IFERROR(G111/$G$6,"")&lt;&gt;0))),"", IFERROR(G111/$G$6,""))</f>
      </c>
      <c r="I111" s="73">
        <f>SUMIFS(
INDEX('ETPT Format DDG'!$A:$ZZ,,IFERROR(MATCH(E111,'ETPT Format DDG'!$2:$2,0),MATCH(C111,'ETPT Format DDG'!$2:$2,0))),
INDEX( 'ETPT Format DDG'!$A:$ZZ,,MATCH("Fonction agrégat",'ETPT Format DDG'!2:2,0)),"M-PLAC-ADD",
INDEX( 'ETPT Format DDG'!$A:$ZZ,,MATCH("Juridiction",'ETPT Format DDG'!2:2,0)),$A$3)</f>
      </c>
      <c r="J111" s="73">
        <f>SUMIFS(
INDEX('ETPT Format DDG'!$A:$ZZ,,IFERROR(MATCH(E111,'ETPT Format DDG'!$2:$2,0),MATCH(C111,'ETPT Format DDG'!$2:$2,0))),
INDEX( 'ETPT Format DDG'!$A:$ZZ,,MATCH("Fonction agrégat",'ETPT Format DDG'!2:2,0)),"M-PLAC-SUB",
INDEX( 'ETPT Format DDG'!$A:$ZZ,,MATCH("Juridiction",'ETPT Format DDG'!2:2,0)),$A$3)</f>
      </c>
      <c r="K111" s="73">
        <f>SUMIFS(
INDEX('ETPT Format DDG'!$A:$ZZ,,IFERROR(MATCH(E111,'ETPT Format DDG'!$2:$2,0),MATCH(C111,'ETPT Format DDG'!$2:$2,0))),
INDEX( 'ETPT Format DDG'!$A:$ZZ,,MATCH("Fonction agrégat",'ETPT Format DDG'!2:2,0)),"M-CONT",
INDEX( 'ETPT Format DDG'!$A:$ZZ,,MATCH("Juridiction",'ETPT Format DDG'!2:2,0)),$A$3,
INDEX( 'ETPT Format DDG'!$A:$ZZ,,MATCH("Catégorie",'ETPT Format DDG'!2:2,0)),"Magistrat")</f>
      </c>
      <c r="L111" s="71">
        <f>SUMIFS(
INDEX('ETPT Format DDG'!$A:$ZZ,,IFERROR(MATCH(E111,'ETPT Format DDG'!$2:$2,0),MATCH(C111,'ETPT Format DDG'!$2:$2,0))),
INDEX( 'ETPT Format DDG'!$A:$ZZ,,MATCH("Juridiction",'ETPT Format DDG'!2:2,0)),$A$3,
INDEX( 'ETPT Format DDG'!$A:$ZZ,,MATCH("Catégorie",'ETPT Format DDG'!2:2,0)),"Magistrat")</f>
      </c>
      <c r="M111" s="74">
        <f>IF(AND(OR(LEFT(C111,3)="12.",LEFT(E111,3)="12.",LEFT(E111,5)="CET &gt;", IFERROR(L111/$L$6,"")=0),NOT(AND(LEFT(E111,4)="12.8",IFERROR(G111/$G$6,"")&lt;&gt;0)),NOT(AND(LEFT(E111,5)="12.31",IFERROR(L111/$G$6,"")&lt;&gt;0)),NOT(AND(LEFT(E111,5)="12.32",IFERROR(L111/$G$6,"")&lt;&gt;0))),"", IFERROR(L111/$L$6,""))</f>
      </c>
      <c r="N111" s="73">
        <f>SUMIFS(
INDEX('ETPT Format DDG'!$A:$ZZ,,IFERROR(MATCH(E111,'ETPT Format DDG'!$2:$2,0),MATCH(C111,'ETPT Format DDG'!$2:$2,0))),
INDEX( 'ETPT Format DDG'!$A:$ZZ,,MATCH("Fonction agrégat",'ETPT Format DDG'!2:2,0)),"F-TIT",
INDEX( 'ETPT Format DDG'!$A:$ZZ,,MATCH("Juridiction",'ETPT Format DDG'!2:2,0)),$A$3)</f>
      </c>
      <c r="O111" s="72">
        <f>IF(AND(OR(LEFT(C111,3)="12.",LEFT(E111,3)="12.",LEFT(E111,5)="CET &gt;",IFERROR(N111/$N$6,"")=0),NOT(AND(LEFT(E111,4)="12.8",IFERROR(G111/$G$6,"")&lt;&gt;0)),NOT(AND(LEFT(E111,5)="12.31",IFERROR(N111/$G$6,"")&lt;&gt;0)),NOT(AND(LEFT(E111,5)="12.32",IFERROR(N111/$G$6,"")&lt;&gt;0))),"",IFERROR(N111/$N$6,""))</f>
      </c>
      <c r="P111" s="73">
        <f>SUMIFS(
INDEX('ETPT Format DDG'!$A:$FB,,IFERROR(MATCH(E111,'ETPT Format DDG'!$2:$2,0),MATCH(C111,'ETPT Format DDG'!$2:$2,0))),
INDEX( 'ETPT Format DDG'!$A:$ZZ,,MATCH("Fonction agrégat",'ETPT Format DDG'!2:2,0)),"F-PLAC-ADD",
INDEX( 'ETPT Format DDG'!$A:$ZZ,,MATCH("Juridiction",'ETPT Format DDG'!2:2,0)),$A$3)</f>
      </c>
      <c r="Q111" s="73">
        <f>SUMIFS(
INDEX('ETPT Format DDG'!$A:$FB,,IFERROR(MATCH(E111,'ETPT Format DDG'!$2:$2,0),MATCH(C111,'ETPT Format DDG'!$2:$2,0))),
INDEX( 'ETPT Format DDG'!$A:$ZZ,,MATCH("Fonction agrégat",'ETPT Format DDG'!2:2,0)),"F-PLAC-SUB",
INDEX( 'ETPT Format DDG'!$A:$ZZ,,MATCH("Juridiction",'ETPT Format DDG'!2:2,0)),$A$3)</f>
      </c>
      <c r="R111" s="73">
        <f>SUMIFS(
INDEX('ETPT Format DDG'!$A:$FB,,IFERROR(MATCH(E111,'ETPT Format DDG'!$2:$2,0),MATCH(C111,'ETPT Format DDG'!$2:$2,0))),
INDEX( 'ETPT Format DDG'!$A:$ZZ,,MATCH("Fonction agrégat",'ETPT Format DDG'!2:2,0)),"C",
'ETPT Format DDG'!$H:$H,"Greffe",
INDEX( 'ETPT Format DDG'!$A:$ZZ,,MATCH("Juridiction",'ETPT Format DDG'!2:2,0)),$A$3)</f>
      </c>
      <c r="S111" s="71">
        <f>SUMIFS(
INDEX('ETPT Format DDG'!$A:$FB,,IFERROR(MATCH(E111,'ETPT Format DDG'!$2:$2,0),MATCH(C111,'ETPT Format DDG'!$2:$2,0))),
INDEX( 'ETPT Format DDG'!$A:$ZZ,,MATCH("Catégorie",'ETPT Format DDG'!2:2,0)),"Greffe",
INDEX( 'ETPT Format DDG'!$A:$ZZ,,MATCH("Juridiction",'ETPT Format DDG'!2:2,0)),$A$3)</f>
      </c>
      <c r="T111" s="72">
        <f>IF(AND(OR(LEFT(C111,3)="12.",LEFT(E111,3)="12.",LEFT(E111,5)="CET &gt;",IFERROR(S111/$S$6,"")=0),NOT(AND(LEFT(E111,4)="12.8",IFERROR(G111/$G$6,"")&lt;&gt;0)),NOT(AND(LEFT(E111,5)="12.31",IFERROR(S111/$G$6,"")&lt;&gt;0)),NOT(AND(LEFT(E111,5)="12.32",IFERROR(S111/$G$6,"")&lt;&gt;0))),"", IFERROR(S111/$S$6,""))</f>
      </c>
      <c r="U111" s="71">
        <f>SUMIFS(
INDEX('ETPT Format DDG'!$A:$FB,,IFERROR(MATCH(E111,'ETPT Format DDG'!$2:$2,0),MATCH(C111,'ETPT Format DDG'!$2:$2,0))),
INDEX( 'ETPT Format DDG'!$A:$ZZ,,MATCH("Fonction agrégat",'ETPT Format DDG'!2:2,0)),"C",
INDEX( 'ETPT Format DDG'!$A:$ZZ,,MATCH("Juridiction",'ETPT Format DDG'!2:2,0)),$A$3,
INDEX( 'ETPT Format DDG'!$A:$ZZ,,MATCH("Catégorie",'ETPT Format DDG'!2:2,0)),"Autour du magistrat")</f>
      </c>
      <c r="V111" s="74">
        <f>IF(AND(OR(LEFT(C111,3)="12.",LEFT(E111,3)="12.",LEFT(E111,5)="CET &gt;",IFERROR(U111/$U$6,"")=0),NOT(AND(LEFT(E111,4)="12.8",IFERROR(G111/$G$6,"")&lt;&gt;0)),NOT(AND(LEFT(E111,5)="12.31",IFERROR(U111/$G$6,"")&lt;&gt;0)),NOT(AND(LEFT(E111,5)="12.32",IFERROR(U111/$G$6,"")&lt;&gt;0))),"", IFERROR(U111/$U$6,""))</f>
      </c>
    </row>
    <row r="112" ht="16" customHeight="1" spans="1:23" x14ac:dyDescent="0.25">
      <c r="A112" s="40"/>
      <c r="C112" s="68"/>
      <c r="D112" s="68"/>
      <c r="E112" s="69" t="s">
        <v>1082</v>
      </c>
      <c r="F112" s="70" t="s">
        <v>1082</v>
      </c>
      <c r="G112" s="71">
        <f>SUMIFS(
INDEX('ETPT Format DDG'!$A:$ZZ,,IFERROR(MATCH(E112,'ETPT Format DDG'!$2:$2,0),MATCH(C112,'ETPT Format DDG'!$2:$2,0))),
INDEX( 'ETPT Format DDG'!$A:$ZZ,,MATCH("Fonction agrégat",'ETPT Format DDG'!2:2,0)),"M-TIT",
INDEX( 'ETPT Format DDG'!$A:$ZZ,,MATCH("Juridiction",'ETPT Format DDG'!2:2,0)),$A$3)</f>
      </c>
      <c r="H112" s="72">
        <f>IF(AND(OR(LEFT(C112,3)="12.",LEFT(E112,3)="12.",LEFT(E112,5)="CET &gt;",IFERROR(G112/$G$6,"")=0),NOT(AND(LEFT(E112,4)="12.8",IFERROR(G112/$G$6,"")&lt;&gt;0)),NOT(AND(LEFT(E112,5)="12.31",IFERROR(G112/$G$6,"")&lt;&gt;0)),NOT(AND(LEFT(E112,5)="12.32",IFERROR(G112/$G$6,"")&lt;&gt;0))),"", IFERROR(G112/$G$6,""))</f>
      </c>
      <c r="I112" s="73">
        <f>SUMIFS(
INDEX('ETPT Format DDG'!$A:$ZZ,,IFERROR(MATCH(E112,'ETPT Format DDG'!$2:$2,0),MATCH(C112,'ETPT Format DDG'!$2:$2,0))),
INDEX( 'ETPT Format DDG'!$A:$ZZ,,MATCH("Fonction agrégat",'ETPT Format DDG'!2:2,0)),"M-PLAC-ADD",
INDEX( 'ETPT Format DDG'!$A:$ZZ,,MATCH("Juridiction",'ETPT Format DDG'!2:2,0)),$A$3)</f>
      </c>
      <c r="J112" s="73">
        <f>SUMIFS(
INDEX('ETPT Format DDG'!$A:$ZZ,,IFERROR(MATCH(E112,'ETPT Format DDG'!$2:$2,0),MATCH(C112,'ETPT Format DDG'!$2:$2,0))),
INDEX( 'ETPT Format DDG'!$A:$ZZ,,MATCH("Fonction agrégat",'ETPT Format DDG'!2:2,0)),"M-PLAC-SUB",
INDEX( 'ETPT Format DDG'!$A:$ZZ,,MATCH("Juridiction",'ETPT Format DDG'!2:2,0)),$A$3)</f>
      </c>
      <c r="K112" s="73">
        <f>SUMIFS(
INDEX('ETPT Format DDG'!$A:$ZZ,,IFERROR(MATCH(E112,'ETPT Format DDG'!$2:$2,0),MATCH(C112,'ETPT Format DDG'!$2:$2,0))),
INDEX( 'ETPT Format DDG'!$A:$ZZ,,MATCH("Fonction agrégat",'ETPT Format DDG'!2:2,0)),"M-CONT",
INDEX( 'ETPT Format DDG'!$A:$ZZ,,MATCH("Juridiction",'ETPT Format DDG'!2:2,0)),$A$3,
INDEX( 'ETPT Format DDG'!$A:$ZZ,,MATCH("Catégorie",'ETPT Format DDG'!2:2,0)),"Magistrat")</f>
      </c>
      <c r="L112" s="71">
        <f>SUMIFS(
INDEX('ETPT Format DDG'!$A:$ZZ,,IFERROR(MATCH(E112,'ETPT Format DDG'!$2:$2,0),MATCH(C112,'ETPT Format DDG'!$2:$2,0))),
INDEX( 'ETPT Format DDG'!$A:$ZZ,,MATCH("Juridiction",'ETPT Format DDG'!2:2,0)),$A$3,
INDEX( 'ETPT Format DDG'!$A:$ZZ,,MATCH("Catégorie",'ETPT Format DDG'!2:2,0)),"Magistrat")</f>
      </c>
      <c r="M112" s="74">
        <f>IF(AND(OR(LEFT(C112,3)="12.",LEFT(E112,3)="12.",LEFT(E112,5)="CET &gt;", IFERROR(L112/$L$6,"")=0),NOT(AND(LEFT(E112,4)="12.8",IFERROR(G112/$G$6,"")&lt;&gt;0)),NOT(AND(LEFT(E112,5)="12.31",IFERROR(L112/$G$6,"")&lt;&gt;0)),NOT(AND(LEFT(E112,5)="12.32",IFERROR(L112/$G$6,"")&lt;&gt;0))),"", IFERROR(L112/$L$6,""))</f>
      </c>
      <c r="N112" s="73">
        <f>SUMIFS(
INDEX('ETPT Format DDG'!$A:$ZZ,,IFERROR(MATCH(E112,'ETPT Format DDG'!$2:$2,0),MATCH(C112,'ETPT Format DDG'!$2:$2,0))),
INDEX( 'ETPT Format DDG'!$A:$ZZ,,MATCH("Fonction agrégat",'ETPT Format DDG'!2:2,0)),"F-TIT",
INDEX( 'ETPT Format DDG'!$A:$ZZ,,MATCH("Juridiction",'ETPT Format DDG'!2:2,0)),$A$3)</f>
      </c>
      <c r="O112" s="72">
        <f>IF(AND(OR(LEFT(C112,3)="12.",LEFT(E112,3)="12.",LEFT(E112,5)="CET &gt;",IFERROR(N112/$N$6,"")=0),NOT(AND(LEFT(E112,4)="12.8",IFERROR(G112/$G$6,"")&lt;&gt;0)),NOT(AND(LEFT(E112,5)="12.31",IFERROR(N112/$G$6,"")&lt;&gt;0)),NOT(AND(LEFT(E112,5)="12.32",IFERROR(N112/$G$6,"")&lt;&gt;0))),"",IFERROR(N112/$N$6,""))</f>
      </c>
      <c r="P112" s="73">
        <f>SUMIFS(
INDEX('ETPT Format DDG'!$A:$FB,,IFERROR(MATCH(E112,'ETPT Format DDG'!$2:$2,0),MATCH(C112,'ETPT Format DDG'!$2:$2,0))),
INDEX( 'ETPT Format DDG'!$A:$ZZ,,MATCH("Fonction agrégat",'ETPT Format DDG'!2:2,0)),"F-PLAC-ADD",
INDEX( 'ETPT Format DDG'!$A:$ZZ,,MATCH("Juridiction",'ETPT Format DDG'!2:2,0)),$A$3)</f>
      </c>
      <c r="Q112" s="73">
        <f>SUMIFS(
INDEX('ETPT Format DDG'!$A:$FB,,IFERROR(MATCH(E112,'ETPT Format DDG'!$2:$2,0),MATCH(C112,'ETPT Format DDG'!$2:$2,0))),
INDEX( 'ETPT Format DDG'!$A:$ZZ,,MATCH("Fonction agrégat",'ETPT Format DDG'!2:2,0)),"F-PLAC-SUB",
INDEX( 'ETPT Format DDG'!$A:$ZZ,,MATCH("Juridiction",'ETPT Format DDG'!2:2,0)),$A$3)</f>
      </c>
      <c r="R112" s="73">
        <f>SUMIFS(
INDEX('ETPT Format DDG'!$A:$FB,,IFERROR(MATCH(E112,'ETPT Format DDG'!$2:$2,0),MATCH(C112,'ETPT Format DDG'!$2:$2,0))),
INDEX( 'ETPT Format DDG'!$A:$ZZ,,MATCH("Fonction agrégat",'ETPT Format DDG'!2:2,0)),"C",
'ETPT Format DDG'!$H:$H,"Greffe",
INDEX( 'ETPT Format DDG'!$A:$ZZ,,MATCH("Juridiction",'ETPT Format DDG'!2:2,0)),$A$3)</f>
      </c>
      <c r="S112" s="71">
        <f>SUMIFS(
INDEX('ETPT Format DDG'!$A:$FB,,IFERROR(MATCH(E112,'ETPT Format DDG'!$2:$2,0),MATCH(C112,'ETPT Format DDG'!$2:$2,0))),
INDEX( 'ETPT Format DDG'!$A:$ZZ,,MATCH("Catégorie",'ETPT Format DDG'!2:2,0)),"Greffe",
INDEX( 'ETPT Format DDG'!$A:$ZZ,,MATCH("Juridiction",'ETPT Format DDG'!2:2,0)),$A$3)</f>
      </c>
      <c r="T112" s="72">
        <f>IF(AND(OR(LEFT(C112,3)="12.",LEFT(E112,3)="12.",LEFT(E112,5)="CET &gt;",IFERROR(S112/$S$6,"")=0),NOT(AND(LEFT(E112,4)="12.8",IFERROR(G112/$G$6,"")&lt;&gt;0)),NOT(AND(LEFT(E112,5)="12.31",IFERROR(S112/$G$6,"")&lt;&gt;0)),NOT(AND(LEFT(E112,5)="12.32",IFERROR(S112/$G$6,"")&lt;&gt;0))),"", IFERROR(S112/$S$6,""))</f>
      </c>
      <c r="U112" s="71">
        <f>SUMIFS(
INDEX('ETPT Format DDG'!$A:$FB,,IFERROR(MATCH(E112,'ETPT Format DDG'!$2:$2,0),MATCH(C112,'ETPT Format DDG'!$2:$2,0))),
INDEX( 'ETPT Format DDG'!$A:$ZZ,,MATCH("Fonction agrégat",'ETPT Format DDG'!2:2,0)),"C",
INDEX( 'ETPT Format DDG'!$A:$ZZ,,MATCH("Juridiction",'ETPT Format DDG'!2:2,0)),$A$3,
INDEX( 'ETPT Format DDG'!$A:$ZZ,,MATCH("Catégorie",'ETPT Format DDG'!2:2,0)),"Autour du magistrat")</f>
      </c>
      <c r="V112" s="74">
        <f>IF(AND(OR(LEFT(C112,3)="12.",LEFT(E112,3)="12.",LEFT(E112,5)="CET &gt;",IFERROR(U112/$U$6,"")=0),NOT(AND(LEFT(E112,4)="12.8",IFERROR(G112/$G$6,"")&lt;&gt;0)),NOT(AND(LEFT(E112,5)="12.31",IFERROR(U112/$G$6,"")&lt;&gt;0)),NOT(AND(LEFT(E112,5)="12.32",IFERROR(U112/$G$6,"")&lt;&gt;0))),"", IFERROR(U112/$U$6,""))</f>
      </c>
    </row>
    <row r="113" ht="16" customHeight="1" spans="1:23" x14ac:dyDescent="0.25">
      <c r="A113" s="40"/>
      <c r="C113" s="68"/>
      <c r="D113" s="68"/>
      <c r="E113" s="69" t="s">
        <v>138</v>
      </c>
      <c r="F113" s="70" t="s">
        <v>138</v>
      </c>
      <c r="G113" s="71">
        <f>SUMIFS(
INDEX('ETPT Format DDG'!$A:$ZZ,,IFERROR(MATCH(E113,'ETPT Format DDG'!$2:$2,0),MATCH(C113,'ETPT Format DDG'!$2:$2,0))),
INDEX( 'ETPT Format DDG'!$A:$ZZ,,MATCH("Fonction agrégat",'ETPT Format DDG'!2:2,0)),"M-TIT",
INDEX( 'ETPT Format DDG'!$A:$ZZ,,MATCH("Juridiction",'ETPT Format DDG'!2:2,0)),$A$3)</f>
      </c>
      <c r="H113" s="72">
        <f>IF(AND(OR(LEFT(C113,3)="12.",LEFT(E113,3)="12.",LEFT(E113,5)="CET &gt;",IFERROR(G113/$G$6,"")=0),NOT(AND(LEFT(E113,4)="12.8",IFERROR(G113/$G$6,"")&lt;&gt;0)),NOT(AND(LEFT(E113,5)="12.31",IFERROR(G113/$G$6,"")&lt;&gt;0)),NOT(AND(LEFT(E113,5)="12.32",IFERROR(G113/$G$6,"")&lt;&gt;0))),"", IFERROR(G113/$G$6,""))</f>
      </c>
      <c r="I113" s="73">
        <f>SUMIFS(
INDEX('ETPT Format DDG'!$A:$ZZ,,IFERROR(MATCH(E113,'ETPT Format DDG'!$2:$2,0),MATCH(C113,'ETPT Format DDG'!$2:$2,0))),
INDEX( 'ETPT Format DDG'!$A:$ZZ,,MATCH("Fonction agrégat",'ETPT Format DDG'!2:2,0)),"M-PLAC-ADD",
INDEX( 'ETPT Format DDG'!$A:$ZZ,,MATCH("Juridiction",'ETPT Format DDG'!2:2,0)),$A$3)</f>
      </c>
      <c r="J113" s="73">
        <f>SUMIFS(
INDEX('ETPT Format DDG'!$A:$ZZ,,IFERROR(MATCH(E113,'ETPT Format DDG'!$2:$2,0),MATCH(C113,'ETPT Format DDG'!$2:$2,0))),
INDEX( 'ETPT Format DDG'!$A:$ZZ,,MATCH("Fonction agrégat",'ETPT Format DDG'!2:2,0)),"M-PLAC-SUB",
INDEX( 'ETPT Format DDG'!$A:$ZZ,,MATCH("Juridiction",'ETPT Format DDG'!2:2,0)),$A$3)</f>
      </c>
      <c r="K113" s="73">
        <f>SUMIFS(
INDEX('ETPT Format DDG'!$A:$ZZ,,IFERROR(MATCH(E113,'ETPT Format DDG'!$2:$2,0),MATCH(C113,'ETPT Format DDG'!$2:$2,0))),
INDEX( 'ETPT Format DDG'!$A:$ZZ,,MATCH("Fonction agrégat",'ETPT Format DDG'!2:2,0)),"M-CONT",
INDEX( 'ETPT Format DDG'!$A:$ZZ,,MATCH("Juridiction",'ETPT Format DDG'!2:2,0)),$A$3,
INDEX( 'ETPT Format DDG'!$A:$ZZ,,MATCH("Catégorie",'ETPT Format DDG'!2:2,0)),"Magistrat")</f>
      </c>
      <c r="L113" s="71">
        <f>SUMIFS(
INDEX('ETPT Format DDG'!$A:$ZZ,,IFERROR(MATCH(E113,'ETPT Format DDG'!$2:$2,0),MATCH(C113,'ETPT Format DDG'!$2:$2,0))),
INDEX( 'ETPT Format DDG'!$A:$ZZ,,MATCH("Juridiction",'ETPT Format DDG'!2:2,0)),$A$3,
INDEX( 'ETPT Format DDG'!$A:$ZZ,,MATCH("Catégorie",'ETPT Format DDG'!2:2,0)),"Magistrat")</f>
      </c>
      <c r="M113" s="74">
        <f>IF(AND(OR(LEFT(C113,3)="12.",LEFT(E113,3)="12.",LEFT(E113,5)="CET &gt;", IFERROR(L113/$L$6,"")=0),NOT(AND(LEFT(E113,4)="12.8",IFERROR(G113/$G$6,"")&lt;&gt;0)),NOT(AND(LEFT(E113,5)="12.31",IFERROR(L113/$G$6,"")&lt;&gt;0)),NOT(AND(LEFT(E113,5)="12.32",IFERROR(L113/$G$6,"")&lt;&gt;0))),"", IFERROR(L113/$L$6,""))</f>
      </c>
      <c r="N113" s="73">
        <f>SUMIFS(
INDEX('ETPT Format DDG'!$A:$ZZ,,IFERROR(MATCH(E113,'ETPT Format DDG'!$2:$2,0),MATCH(C113,'ETPT Format DDG'!$2:$2,0))),
INDEX( 'ETPT Format DDG'!$A:$ZZ,,MATCH("Fonction agrégat",'ETPT Format DDG'!2:2,0)),"F-TIT",
INDEX( 'ETPT Format DDG'!$A:$ZZ,,MATCH("Juridiction",'ETPT Format DDG'!2:2,0)),$A$3)</f>
      </c>
      <c r="O113" s="72">
        <f>IF(AND(OR(LEFT(C113,3)="12.",LEFT(E113,3)="12.",LEFT(E113,5)="CET &gt;",IFERROR(N113/$N$6,"")=0),NOT(AND(LEFT(E113,4)="12.8",IFERROR(G113/$G$6,"")&lt;&gt;0)),NOT(AND(LEFT(E113,5)="12.31",IFERROR(N113/$G$6,"")&lt;&gt;0)),NOT(AND(LEFT(E113,5)="12.32",IFERROR(N113/$G$6,"")&lt;&gt;0))),"",IFERROR(N113/$N$6,""))</f>
      </c>
      <c r="P113" s="73">
        <f>SUMIFS(
INDEX('ETPT Format DDG'!$A:$FB,,IFERROR(MATCH(E113,'ETPT Format DDG'!$2:$2,0),MATCH(C113,'ETPT Format DDG'!$2:$2,0))),
INDEX( 'ETPT Format DDG'!$A:$ZZ,,MATCH("Fonction agrégat",'ETPT Format DDG'!2:2,0)),"F-PLAC-ADD",
INDEX( 'ETPT Format DDG'!$A:$ZZ,,MATCH("Juridiction",'ETPT Format DDG'!2:2,0)),$A$3)</f>
      </c>
      <c r="Q113" s="73">
        <f>SUMIFS(
INDEX('ETPT Format DDG'!$A:$FB,,IFERROR(MATCH(E113,'ETPT Format DDG'!$2:$2,0),MATCH(C113,'ETPT Format DDG'!$2:$2,0))),
INDEX( 'ETPT Format DDG'!$A:$ZZ,,MATCH("Fonction agrégat",'ETPT Format DDG'!2:2,0)),"F-PLAC-SUB",
INDEX( 'ETPT Format DDG'!$A:$ZZ,,MATCH("Juridiction",'ETPT Format DDG'!2:2,0)),$A$3)</f>
      </c>
      <c r="R113" s="73">
        <f>SUMIFS(
INDEX('ETPT Format DDG'!$A:$FB,,IFERROR(MATCH(E113,'ETPT Format DDG'!$2:$2,0),MATCH(C113,'ETPT Format DDG'!$2:$2,0))),
INDEX( 'ETPT Format DDG'!$A:$ZZ,,MATCH("Fonction agrégat",'ETPT Format DDG'!2:2,0)),"C",
'ETPT Format DDG'!$H:$H,"Greffe",
INDEX( 'ETPT Format DDG'!$A:$ZZ,,MATCH("Juridiction",'ETPT Format DDG'!2:2,0)),$A$3)</f>
      </c>
      <c r="S113" s="71">
        <f>SUMIFS(
INDEX('ETPT Format DDG'!$A:$FB,,IFERROR(MATCH(E113,'ETPT Format DDG'!$2:$2,0),MATCH(C113,'ETPT Format DDG'!$2:$2,0))),
INDEX( 'ETPT Format DDG'!$A:$ZZ,,MATCH("Catégorie",'ETPT Format DDG'!2:2,0)),"Greffe",
INDEX( 'ETPT Format DDG'!$A:$ZZ,,MATCH("Juridiction",'ETPT Format DDG'!2:2,0)),$A$3)</f>
      </c>
      <c r="T113" s="72">
        <f>IF(AND(OR(LEFT(C113,3)="12.",LEFT(E113,3)="12.",LEFT(E113,5)="CET &gt;",IFERROR(S113/$S$6,"")=0),NOT(AND(LEFT(E113,4)="12.8",IFERROR(G113/$G$6,"")&lt;&gt;0)),NOT(AND(LEFT(E113,5)="12.31",IFERROR(S113/$G$6,"")&lt;&gt;0)),NOT(AND(LEFT(E113,5)="12.32",IFERROR(S113/$G$6,"")&lt;&gt;0))),"", IFERROR(S113/$S$6,""))</f>
      </c>
      <c r="U113" s="71">
        <f>SUMIFS(
INDEX('ETPT Format DDG'!$A:$FB,,IFERROR(MATCH(E113,'ETPT Format DDG'!$2:$2,0),MATCH(C113,'ETPT Format DDG'!$2:$2,0))),
INDEX( 'ETPT Format DDG'!$A:$ZZ,,MATCH("Fonction agrégat",'ETPT Format DDG'!2:2,0)),"C",
INDEX( 'ETPT Format DDG'!$A:$ZZ,,MATCH("Juridiction",'ETPT Format DDG'!2:2,0)),$A$3,
INDEX( 'ETPT Format DDG'!$A:$ZZ,,MATCH("Catégorie",'ETPT Format DDG'!2:2,0)),"Autour du magistrat")</f>
      </c>
      <c r="V113" s="74">
        <f>IF(AND(OR(LEFT(C113,3)="12.",LEFT(E113,3)="12.",LEFT(E113,5)="CET &gt;",IFERROR(U113/$U$6,"")=0),NOT(AND(LEFT(E113,4)="12.8",IFERROR(G113/$G$6,"")&lt;&gt;0)),NOT(AND(LEFT(E113,5)="12.31",IFERROR(U113/$G$6,"")&lt;&gt;0)),NOT(AND(LEFT(E113,5)="12.32",IFERROR(U113/$G$6,"")&lt;&gt;0))),"", IFERROR(U113/$U$6,""))</f>
      </c>
    </row>
    <row r="114" ht="16" customHeight="1" spans="1:23" x14ac:dyDescent="0.25">
      <c r="A114" s="40"/>
      <c r="C114" s="68"/>
      <c r="D114" s="68"/>
      <c r="E114" s="69" t="s">
        <v>139</v>
      </c>
      <c r="F114" s="70" t="s">
        <v>139</v>
      </c>
      <c r="G114" s="71">
        <f>SUMIFS(
INDEX('ETPT Format DDG'!$A:$ZZ,,IFERROR(MATCH(E114,'ETPT Format DDG'!$2:$2,0),MATCH(C114,'ETPT Format DDG'!$2:$2,0))),
INDEX( 'ETPT Format DDG'!$A:$ZZ,,MATCH("Fonction agrégat",'ETPT Format DDG'!2:2,0)),"M-TIT",
INDEX( 'ETPT Format DDG'!$A:$ZZ,,MATCH("Juridiction",'ETPT Format DDG'!2:2,0)),$A$3)</f>
      </c>
      <c r="H114" s="72">
        <f>IF(AND(OR(LEFT(C114,3)="12.",LEFT(E114,3)="12.",LEFT(E114,5)="CET &gt;",IFERROR(G114/$G$6,"")=0),NOT(AND(LEFT(E114,4)="12.8",IFERROR(G114/$G$6,"")&lt;&gt;0)),NOT(AND(LEFT(E114,5)="12.31",IFERROR(G114/$G$6,"")&lt;&gt;0)),NOT(AND(LEFT(E114,5)="12.32",IFERROR(G114/$G$6,"")&lt;&gt;0))),"", IFERROR(G114/$G$6,""))</f>
      </c>
      <c r="I114" s="73">
        <f>SUMIFS(
INDEX('ETPT Format DDG'!$A:$ZZ,,IFERROR(MATCH(E114,'ETPT Format DDG'!$2:$2,0),MATCH(C114,'ETPT Format DDG'!$2:$2,0))),
INDEX( 'ETPT Format DDG'!$A:$ZZ,,MATCH("Fonction agrégat",'ETPT Format DDG'!2:2,0)),"M-PLAC-ADD",
INDEX( 'ETPT Format DDG'!$A:$ZZ,,MATCH("Juridiction",'ETPT Format DDG'!2:2,0)),$A$3)</f>
      </c>
      <c r="J114" s="73">
        <f>SUMIFS(
INDEX('ETPT Format DDG'!$A:$ZZ,,IFERROR(MATCH(E114,'ETPT Format DDG'!$2:$2,0),MATCH(C114,'ETPT Format DDG'!$2:$2,0))),
INDEX( 'ETPT Format DDG'!$A:$ZZ,,MATCH("Fonction agrégat",'ETPT Format DDG'!2:2,0)),"M-PLAC-SUB",
INDEX( 'ETPT Format DDG'!$A:$ZZ,,MATCH("Juridiction",'ETPT Format DDG'!2:2,0)),$A$3)</f>
      </c>
      <c r="K114" s="73">
        <f>SUMIFS(
INDEX('ETPT Format DDG'!$A:$ZZ,,IFERROR(MATCH(E114,'ETPT Format DDG'!$2:$2,0),MATCH(C114,'ETPT Format DDG'!$2:$2,0))),
INDEX( 'ETPT Format DDG'!$A:$ZZ,,MATCH("Fonction agrégat",'ETPT Format DDG'!2:2,0)),"M-CONT",
INDEX( 'ETPT Format DDG'!$A:$ZZ,,MATCH("Juridiction",'ETPT Format DDG'!2:2,0)),$A$3,
INDEX( 'ETPT Format DDG'!$A:$ZZ,,MATCH("Catégorie",'ETPT Format DDG'!2:2,0)),"Magistrat")</f>
      </c>
      <c r="L114" s="71">
        <f>SUMIFS(
INDEX('ETPT Format DDG'!$A:$ZZ,,IFERROR(MATCH(E114,'ETPT Format DDG'!$2:$2,0),MATCH(C114,'ETPT Format DDG'!$2:$2,0))),
INDEX( 'ETPT Format DDG'!$A:$ZZ,,MATCH("Juridiction",'ETPT Format DDG'!2:2,0)),$A$3,
INDEX( 'ETPT Format DDG'!$A:$ZZ,,MATCH("Catégorie",'ETPT Format DDG'!2:2,0)),"Magistrat")</f>
      </c>
      <c r="M114" s="74">
        <f>IF(AND(OR(LEFT(C114,3)="12.",LEFT(E114,3)="12.",LEFT(E114,5)="CET &gt;", IFERROR(L114/$L$6,"")=0),NOT(AND(LEFT(E114,4)="12.8",IFERROR(G114/$G$6,"")&lt;&gt;0)),NOT(AND(LEFT(E114,5)="12.31",IFERROR(L114/$G$6,"")&lt;&gt;0)),NOT(AND(LEFT(E114,5)="12.32",IFERROR(L114/$G$6,"")&lt;&gt;0))),"", IFERROR(L114/$L$6,""))</f>
      </c>
      <c r="N114" s="73">
        <f>SUMIFS(
INDEX('ETPT Format DDG'!$A:$ZZ,,IFERROR(MATCH(E114,'ETPT Format DDG'!$2:$2,0),MATCH(C114,'ETPT Format DDG'!$2:$2,0))),
INDEX( 'ETPT Format DDG'!$A:$ZZ,,MATCH("Fonction agrégat",'ETPT Format DDG'!2:2,0)),"F-TIT",
INDEX( 'ETPT Format DDG'!$A:$ZZ,,MATCH("Juridiction",'ETPT Format DDG'!2:2,0)),$A$3)</f>
      </c>
      <c r="O114" s="72">
        <f>IF(AND(OR(LEFT(C114,3)="12.",LEFT(E114,3)="12.",LEFT(E114,5)="CET &gt;",IFERROR(N114/$N$6,"")=0),NOT(AND(LEFT(E114,4)="12.8",IFERROR(G114/$G$6,"")&lt;&gt;0)),NOT(AND(LEFT(E114,5)="12.31",IFERROR(N114/$G$6,"")&lt;&gt;0)),NOT(AND(LEFT(E114,5)="12.32",IFERROR(N114/$G$6,"")&lt;&gt;0))),"",IFERROR(N114/$N$6,""))</f>
      </c>
      <c r="P114" s="73">
        <f>SUMIFS(
INDEX('ETPT Format DDG'!$A:$FB,,IFERROR(MATCH(E114,'ETPT Format DDG'!$2:$2,0),MATCH(C114,'ETPT Format DDG'!$2:$2,0))),
INDEX( 'ETPT Format DDG'!$A:$ZZ,,MATCH("Fonction agrégat",'ETPT Format DDG'!2:2,0)),"F-PLAC-ADD",
INDEX( 'ETPT Format DDG'!$A:$ZZ,,MATCH("Juridiction",'ETPT Format DDG'!2:2,0)),$A$3)</f>
      </c>
      <c r="Q114" s="73">
        <f>SUMIFS(
INDEX('ETPT Format DDG'!$A:$FB,,IFERROR(MATCH(E114,'ETPT Format DDG'!$2:$2,0),MATCH(C114,'ETPT Format DDG'!$2:$2,0))),
INDEX( 'ETPT Format DDG'!$A:$ZZ,,MATCH("Fonction agrégat",'ETPT Format DDG'!2:2,0)),"F-PLAC-SUB",
INDEX( 'ETPT Format DDG'!$A:$ZZ,,MATCH("Juridiction",'ETPT Format DDG'!2:2,0)),$A$3)</f>
      </c>
      <c r="R114" s="73">
        <f>SUMIFS(
INDEX('ETPT Format DDG'!$A:$FB,,IFERROR(MATCH(E114,'ETPT Format DDG'!$2:$2,0),MATCH(C114,'ETPT Format DDG'!$2:$2,0))),
INDEX( 'ETPT Format DDG'!$A:$ZZ,,MATCH("Fonction agrégat",'ETPT Format DDG'!2:2,0)),"C",
'ETPT Format DDG'!$H:$H,"Greffe",
INDEX( 'ETPT Format DDG'!$A:$ZZ,,MATCH("Juridiction",'ETPT Format DDG'!2:2,0)),$A$3)</f>
      </c>
      <c r="S114" s="71">
        <f>SUMIFS(
INDEX('ETPT Format DDG'!$A:$FB,,IFERROR(MATCH(E114,'ETPT Format DDG'!$2:$2,0),MATCH(C114,'ETPT Format DDG'!$2:$2,0))),
INDEX( 'ETPT Format DDG'!$A:$ZZ,,MATCH("Catégorie",'ETPT Format DDG'!2:2,0)),"Greffe",
INDEX( 'ETPT Format DDG'!$A:$ZZ,,MATCH("Juridiction",'ETPT Format DDG'!2:2,0)),$A$3)</f>
      </c>
      <c r="T114" s="72">
        <f>IF(AND(OR(LEFT(C114,3)="12.",LEFT(E114,3)="12.",LEFT(E114,5)="CET &gt;",IFERROR(S114/$S$6,"")=0),NOT(AND(LEFT(E114,4)="12.8",IFERROR(G114/$G$6,"")&lt;&gt;0)),NOT(AND(LEFT(E114,5)="12.31",IFERROR(S114/$G$6,"")&lt;&gt;0)),NOT(AND(LEFT(E114,5)="12.32",IFERROR(S114/$G$6,"")&lt;&gt;0))),"", IFERROR(S114/$S$6,""))</f>
      </c>
      <c r="U114" s="71">
        <f>SUMIFS(
INDEX('ETPT Format DDG'!$A:$FB,,IFERROR(MATCH(E114,'ETPT Format DDG'!$2:$2,0),MATCH(C114,'ETPT Format DDG'!$2:$2,0))),
INDEX( 'ETPT Format DDG'!$A:$ZZ,,MATCH("Fonction agrégat",'ETPT Format DDG'!2:2,0)),"C",
INDEX( 'ETPT Format DDG'!$A:$ZZ,,MATCH("Juridiction",'ETPT Format DDG'!2:2,0)),$A$3,
INDEX( 'ETPT Format DDG'!$A:$ZZ,,MATCH("Catégorie",'ETPT Format DDG'!2:2,0)),"Autour du magistrat")</f>
      </c>
      <c r="V114" s="74">
        <f>IF(AND(OR(LEFT(C114,3)="12.",LEFT(E114,3)="12.",LEFT(E114,5)="CET &gt;",IFERROR(U114/$U$6,"")=0),NOT(AND(LEFT(E114,4)="12.8",IFERROR(G114/$G$6,"")&lt;&gt;0)),NOT(AND(LEFT(E114,5)="12.31",IFERROR(U114/$G$6,"")&lt;&gt;0)),NOT(AND(LEFT(E114,5)="12.32",IFERROR(U114/$G$6,"")&lt;&gt;0))),"", IFERROR(U114/$U$6,""))</f>
      </c>
    </row>
    <row r="115" ht="16" customHeight="1" spans="1:23" x14ac:dyDescent="0.25">
      <c r="A115" s="40"/>
      <c r="C115" s="68"/>
      <c r="D115" s="68"/>
      <c r="E115" s="69" t="s">
        <v>141</v>
      </c>
      <c r="F115" s="70" t="s">
        <v>141</v>
      </c>
      <c r="G115" s="71">
        <f>SUMIFS(
INDEX('ETPT Format DDG'!$A:$ZZ,,IFERROR(MATCH(E115,'ETPT Format DDG'!$2:$2,0),MATCH(C115,'ETPT Format DDG'!$2:$2,0))),
INDEX( 'ETPT Format DDG'!$A:$ZZ,,MATCH("Fonction agrégat",'ETPT Format DDG'!2:2,0)),"M-TIT",
INDEX( 'ETPT Format DDG'!$A:$ZZ,,MATCH("Juridiction",'ETPT Format DDG'!2:2,0)),$A$3)</f>
      </c>
      <c r="H115" s="72">
        <f>IF(AND(OR(LEFT(C115,3)="12.",LEFT(E115,3)="12.",LEFT(E115,5)="CET &gt;",IFERROR(G115/$G$6,"")=0),NOT(AND(LEFT(E115,4)="12.8",IFERROR(G115/$G$6,"")&lt;&gt;0)),NOT(AND(LEFT(E115,5)="12.31",IFERROR(G115/$G$6,"")&lt;&gt;0)),NOT(AND(LEFT(E115,5)="12.32",IFERROR(G115/$G$6,"")&lt;&gt;0))),"", IFERROR(G115/$G$6,""))</f>
      </c>
      <c r="I115" s="73">
        <f>SUMIFS(
INDEX('ETPT Format DDG'!$A:$ZZ,,IFERROR(MATCH(E115,'ETPT Format DDG'!$2:$2,0),MATCH(C115,'ETPT Format DDG'!$2:$2,0))),
INDEX( 'ETPT Format DDG'!$A:$ZZ,,MATCH("Fonction agrégat",'ETPT Format DDG'!2:2,0)),"M-PLAC-ADD",
INDEX( 'ETPT Format DDG'!$A:$ZZ,,MATCH("Juridiction",'ETPT Format DDG'!2:2,0)),$A$3)</f>
      </c>
      <c r="J115" s="73">
        <f>SUMIFS(
INDEX('ETPT Format DDG'!$A:$ZZ,,IFERROR(MATCH(E115,'ETPT Format DDG'!$2:$2,0),MATCH(C115,'ETPT Format DDG'!$2:$2,0))),
INDEX( 'ETPT Format DDG'!$A:$ZZ,,MATCH("Fonction agrégat",'ETPT Format DDG'!2:2,0)),"M-PLAC-SUB",
INDEX( 'ETPT Format DDG'!$A:$ZZ,,MATCH("Juridiction",'ETPT Format DDG'!2:2,0)),$A$3)</f>
      </c>
      <c r="K115" s="73">
        <f>SUMIFS(
INDEX('ETPT Format DDG'!$A:$ZZ,,IFERROR(MATCH(E115,'ETPT Format DDG'!$2:$2,0),MATCH(C115,'ETPT Format DDG'!$2:$2,0))),
INDEX( 'ETPT Format DDG'!$A:$ZZ,,MATCH("Fonction agrégat",'ETPT Format DDG'!2:2,0)),"M-CONT",
INDEX( 'ETPT Format DDG'!$A:$ZZ,,MATCH("Juridiction",'ETPT Format DDG'!2:2,0)),$A$3,
INDEX( 'ETPT Format DDG'!$A:$ZZ,,MATCH("Catégorie",'ETPT Format DDG'!2:2,0)),"Magistrat")</f>
      </c>
      <c r="L115" s="71">
        <f>SUMIFS(
INDEX('ETPT Format DDG'!$A:$ZZ,,IFERROR(MATCH(E115,'ETPT Format DDG'!$2:$2,0),MATCH(C115,'ETPT Format DDG'!$2:$2,0))),
INDEX( 'ETPT Format DDG'!$A:$ZZ,,MATCH("Juridiction",'ETPT Format DDG'!2:2,0)),$A$3,
INDEX( 'ETPT Format DDG'!$A:$ZZ,,MATCH("Catégorie",'ETPT Format DDG'!2:2,0)),"Magistrat")</f>
      </c>
      <c r="M115" s="74">
        <f>IF(AND(OR(LEFT(C115,3)="12.",LEFT(E115,3)="12.",LEFT(E115,5)="CET &gt;", IFERROR(L115/$L$6,"")=0),NOT(AND(LEFT(E115,4)="12.8",IFERROR(G115/$G$6,"")&lt;&gt;0)),NOT(AND(LEFT(E115,5)="12.31",IFERROR(L115/$G$6,"")&lt;&gt;0)),NOT(AND(LEFT(E115,5)="12.32",IFERROR(L115/$G$6,"")&lt;&gt;0))),"", IFERROR(L115/$L$6,""))</f>
      </c>
      <c r="N115" s="73">
        <f>SUMIFS(
INDEX('ETPT Format DDG'!$A:$ZZ,,IFERROR(MATCH(E115,'ETPT Format DDG'!$2:$2,0),MATCH(C115,'ETPT Format DDG'!$2:$2,0))),
INDEX( 'ETPT Format DDG'!$A:$ZZ,,MATCH("Fonction agrégat",'ETPT Format DDG'!2:2,0)),"F-TIT",
INDEX( 'ETPT Format DDG'!$A:$ZZ,,MATCH("Juridiction",'ETPT Format DDG'!2:2,0)),$A$3)</f>
      </c>
      <c r="O115" s="72">
        <f>IF(AND(OR(LEFT(C115,3)="12.",LEFT(E115,3)="12.",LEFT(E115,5)="CET &gt;",IFERROR(N115/$N$6,"")=0),NOT(AND(LEFT(E115,4)="12.8",IFERROR(G115/$G$6,"")&lt;&gt;0)),NOT(AND(LEFT(E115,5)="12.31",IFERROR(N115/$G$6,"")&lt;&gt;0)),NOT(AND(LEFT(E115,5)="12.32",IFERROR(N115/$G$6,"")&lt;&gt;0))),"",IFERROR(N115/$N$6,""))</f>
      </c>
      <c r="P115" s="73">
        <f>SUMIFS(
INDEX('ETPT Format DDG'!$A:$FB,,IFERROR(MATCH(E115,'ETPT Format DDG'!$2:$2,0),MATCH(C115,'ETPT Format DDG'!$2:$2,0))),
INDEX( 'ETPT Format DDG'!$A:$ZZ,,MATCH("Fonction agrégat",'ETPT Format DDG'!2:2,0)),"F-PLAC-ADD",
INDEX( 'ETPT Format DDG'!$A:$ZZ,,MATCH("Juridiction",'ETPT Format DDG'!2:2,0)),$A$3)</f>
      </c>
      <c r="Q115" s="73">
        <f>SUMIFS(
INDEX('ETPT Format DDG'!$A:$FB,,IFERROR(MATCH(E115,'ETPT Format DDG'!$2:$2,0),MATCH(C115,'ETPT Format DDG'!$2:$2,0))),
INDEX( 'ETPT Format DDG'!$A:$ZZ,,MATCH("Fonction agrégat",'ETPT Format DDG'!2:2,0)),"F-PLAC-SUB",
INDEX( 'ETPT Format DDG'!$A:$ZZ,,MATCH("Juridiction",'ETPT Format DDG'!2:2,0)),$A$3)</f>
      </c>
      <c r="R115" s="73">
        <f>SUMIFS(
INDEX('ETPT Format DDG'!$A:$FB,,IFERROR(MATCH(E115,'ETPT Format DDG'!$2:$2,0),MATCH(C115,'ETPT Format DDG'!$2:$2,0))),
INDEX( 'ETPT Format DDG'!$A:$ZZ,,MATCH("Fonction agrégat",'ETPT Format DDG'!2:2,0)),"C",
'ETPT Format DDG'!$H:$H,"Greffe",
INDEX( 'ETPT Format DDG'!$A:$ZZ,,MATCH("Juridiction",'ETPT Format DDG'!2:2,0)),$A$3)</f>
      </c>
      <c r="S115" s="71">
        <f>SUMIFS(
INDEX('ETPT Format DDG'!$A:$FB,,IFERROR(MATCH(E115,'ETPT Format DDG'!$2:$2,0),MATCH(C115,'ETPT Format DDG'!$2:$2,0))),
INDEX( 'ETPT Format DDG'!$A:$ZZ,,MATCH("Catégorie",'ETPT Format DDG'!2:2,0)),"Greffe",
INDEX( 'ETPT Format DDG'!$A:$ZZ,,MATCH("Juridiction",'ETPT Format DDG'!2:2,0)),$A$3)</f>
      </c>
      <c r="T115" s="72">
        <f>IF(AND(OR(LEFT(C115,3)="12.",LEFT(E115,3)="12.",LEFT(E115,5)="CET &gt;",IFERROR(S115/$S$6,"")=0),NOT(AND(LEFT(E115,4)="12.8",IFERROR(G115/$G$6,"")&lt;&gt;0)),NOT(AND(LEFT(E115,5)="12.31",IFERROR(S115/$G$6,"")&lt;&gt;0)),NOT(AND(LEFT(E115,5)="12.32",IFERROR(S115/$G$6,"")&lt;&gt;0))),"", IFERROR(S115/$S$6,""))</f>
      </c>
      <c r="U115" s="71">
        <f>SUMIFS(
INDEX('ETPT Format DDG'!$A:$FB,,IFERROR(MATCH(E115,'ETPT Format DDG'!$2:$2,0),MATCH(C115,'ETPT Format DDG'!$2:$2,0))),
INDEX( 'ETPT Format DDG'!$A:$ZZ,,MATCH("Fonction agrégat",'ETPT Format DDG'!2:2,0)),"C",
INDEX( 'ETPT Format DDG'!$A:$ZZ,,MATCH("Juridiction",'ETPT Format DDG'!2:2,0)),$A$3,
INDEX( 'ETPT Format DDG'!$A:$ZZ,,MATCH("Catégorie",'ETPT Format DDG'!2:2,0)),"Autour du magistrat")</f>
      </c>
      <c r="V115" s="74">
        <f>IF(AND(OR(LEFT(C115,3)="12.",LEFT(E115,3)="12.",LEFT(E115,5)="CET &gt;",IFERROR(U115/$U$6,"")=0),NOT(AND(LEFT(E115,4)="12.8",IFERROR(G115/$G$6,"")&lt;&gt;0)),NOT(AND(LEFT(E115,5)="12.31",IFERROR(U115/$G$6,"")&lt;&gt;0)),NOT(AND(LEFT(E115,5)="12.32",IFERROR(U115/$G$6,"")&lt;&gt;0))),"", IFERROR(U115/$U$6,""))</f>
      </c>
    </row>
    <row r="116" ht="16" customHeight="1" spans="1:23" x14ac:dyDescent="0.25">
      <c r="A116" s="40"/>
      <c r="C116" s="68"/>
      <c r="D116" s="68"/>
      <c r="E116" s="69" t="s">
        <v>142</v>
      </c>
      <c r="F116" s="70" t="s">
        <v>142</v>
      </c>
      <c r="G116" s="71">
        <f>SUMIFS(
INDEX('ETPT Format DDG'!$A:$ZZ,,IFERROR(MATCH(E116,'ETPT Format DDG'!$2:$2,0),MATCH(C116,'ETPT Format DDG'!$2:$2,0))),
INDEX( 'ETPT Format DDG'!$A:$ZZ,,MATCH("Fonction agrégat",'ETPT Format DDG'!2:2,0)),"M-TIT",
INDEX( 'ETPT Format DDG'!$A:$ZZ,,MATCH("Juridiction",'ETPT Format DDG'!2:2,0)),$A$3)</f>
      </c>
      <c r="H116" s="72">
        <f>IF(AND(OR(LEFT(C116,3)="12.",LEFT(E116,3)="12.",LEFT(E116,5)="CET &gt;",IFERROR(G116/$G$6,"")=0),NOT(AND(LEFT(E116,4)="12.8",IFERROR(G116/$G$6,"")&lt;&gt;0)),NOT(AND(LEFT(E116,5)="12.31",IFERROR(G116/$G$6,"")&lt;&gt;0)),NOT(AND(LEFT(E116,5)="12.32",IFERROR(G116/$G$6,"")&lt;&gt;0))),"", IFERROR(G116/$G$6,""))</f>
      </c>
      <c r="I116" s="73">
        <f>SUMIFS(
INDEX('ETPT Format DDG'!$A:$ZZ,,IFERROR(MATCH(E116,'ETPT Format DDG'!$2:$2,0),MATCH(C116,'ETPT Format DDG'!$2:$2,0))),
INDEX( 'ETPT Format DDG'!$A:$ZZ,,MATCH("Fonction agrégat",'ETPT Format DDG'!2:2,0)),"M-PLAC-ADD",
INDEX( 'ETPT Format DDG'!$A:$ZZ,,MATCH("Juridiction",'ETPT Format DDG'!2:2,0)),$A$3)</f>
      </c>
      <c r="J116" s="73">
        <f>SUMIFS(
INDEX('ETPT Format DDG'!$A:$ZZ,,IFERROR(MATCH(E116,'ETPT Format DDG'!$2:$2,0),MATCH(C116,'ETPT Format DDG'!$2:$2,0))),
INDEX( 'ETPT Format DDG'!$A:$ZZ,,MATCH("Fonction agrégat",'ETPT Format DDG'!2:2,0)),"M-PLAC-SUB",
INDEX( 'ETPT Format DDG'!$A:$ZZ,,MATCH("Juridiction",'ETPT Format DDG'!2:2,0)),$A$3)</f>
      </c>
      <c r="K116" s="73">
        <f>SUMIFS(
INDEX('ETPT Format DDG'!$A:$ZZ,,IFERROR(MATCH(E116,'ETPT Format DDG'!$2:$2,0),MATCH(C116,'ETPT Format DDG'!$2:$2,0))),
INDEX( 'ETPT Format DDG'!$A:$ZZ,,MATCH("Fonction agrégat",'ETPT Format DDG'!2:2,0)),"M-CONT",
INDEX( 'ETPT Format DDG'!$A:$ZZ,,MATCH("Juridiction",'ETPT Format DDG'!2:2,0)),$A$3,
INDEX( 'ETPT Format DDG'!$A:$ZZ,,MATCH("Catégorie",'ETPT Format DDG'!2:2,0)),"Magistrat")</f>
      </c>
      <c r="L116" s="71">
        <f>SUMIFS(
INDEX('ETPT Format DDG'!$A:$ZZ,,IFERROR(MATCH(E116,'ETPT Format DDG'!$2:$2,0),MATCH(C116,'ETPT Format DDG'!$2:$2,0))),
INDEX( 'ETPT Format DDG'!$A:$ZZ,,MATCH("Juridiction",'ETPT Format DDG'!2:2,0)),$A$3,
INDEX( 'ETPT Format DDG'!$A:$ZZ,,MATCH("Catégorie",'ETPT Format DDG'!2:2,0)),"Magistrat")</f>
      </c>
      <c r="M116" s="74">
        <f>IF(AND(OR(LEFT(C116,3)="12.",LEFT(E116,3)="12.",LEFT(E116,5)="CET &gt;", IFERROR(L116/$L$6,"")=0),NOT(AND(LEFT(E116,4)="12.8",IFERROR(G116/$G$6,"")&lt;&gt;0)),NOT(AND(LEFT(E116,5)="12.31",IFERROR(L116/$G$6,"")&lt;&gt;0)),NOT(AND(LEFT(E116,5)="12.32",IFERROR(L116/$G$6,"")&lt;&gt;0))),"", IFERROR(L116/$L$6,""))</f>
      </c>
      <c r="N116" s="73">
        <f>SUMIFS(
INDEX('ETPT Format DDG'!$A:$ZZ,,IFERROR(MATCH(E116,'ETPT Format DDG'!$2:$2,0),MATCH(C116,'ETPT Format DDG'!$2:$2,0))),
INDEX( 'ETPT Format DDG'!$A:$ZZ,,MATCH("Fonction agrégat",'ETPT Format DDG'!2:2,0)),"F-TIT",
INDEX( 'ETPT Format DDG'!$A:$ZZ,,MATCH("Juridiction",'ETPT Format DDG'!2:2,0)),$A$3)</f>
      </c>
      <c r="O116" s="72">
        <f>IF(AND(OR(LEFT(C116,3)="12.",LEFT(E116,3)="12.",LEFT(E116,5)="CET &gt;",IFERROR(N116/$N$6,"")=0),NOT(AND(LEFT(E116,4)="12.8",IFERROR(G116/$G$6,"")&lt;&gt;0)),NOT(AND(LEFT(E116,5)="12.31",IFERROR(N116/$G$6,"")&lt;&gt;0)),NOT(AND(LEFT(E116,5)="12.32",IFERROR(N116/$G$6,"")&lt;&gt;0))),"",IFERROR(N116/$N$6,""))</f>
      </c>
      <c r="P116" s="73">
        <f>SUMIFS(
INDEX('ETPT Format DDG'!$A:$FB,,IFERROR(MATCH(E116,'ETPT Format DDG'!$2:$2,0),MATCH(C116,'ETPT Format DDG'!$2:$2,0))),
INDEX( 'ETPT Format DDG'!$A:$ZZ,,MATCH("Fonction agrégat",'ETPT Format DDG'!2:2,0)),"F-PLAC-ADD",
INDEX( 'ETPT Format DDG'!$A:$ZZ,,MATCH("Juridiction",'ETPT Format DDG'!2:2,0)),$A$3)</f>
      </c>
      <c r="Q116" s="73">
        <f>SUMIFS(
INDEX('ETPT Format DDG'!$A:$FB,,IFERROR(MATCH(E116,'ETPT Format DDG'!$2:$2,0),MATCH(C116,'ETPT Format DDG'!$2:$2,0))),
INDEX( 'ETPT Format DDG'!$A:$ZZ,,MATCH("Fonction agrégat",'ETPT Format DDG'!2:2,0)),"F-PLAC-SUB",
INDEX( 'ETPT Format DDG'!$A:$ZZ,,MATCH("Juridiction",'ETPT Format DDG'!2:2,0)),$A$3)</f>
      </c>
      <c r="R116" s="73">
        <f>SUMIFS(
INDEX('ETPT Format DDG'!$A:$FB,,IFERROR(MATCH(E116,'ETPT Format DDG'!$2:$2,0),MATCH(C116,'ETPT Format DDG'!$2:$2,0))),
INDEX( 'ETPT Format DDG'!$A:$ZZ,,MATCH("Fonction agrégat",'ETPT Format DDG'!2:2,0)),"C",
'ETPT Format DDG'!$H:$H,"Greffe",
INDEX( 'ETPT Format DDG'!$A:$ZZ,,MATCH("Juridiction",'ETPT Format DDG'!2:2,0)),$A$3)</f>
      </c>
      <c r="S116" s="71">
        <f>SUMIFS(
INDEX('ETPT Format DDG'!$A:$FB,,IFERROR(MATCH(E116,'ETPT Format DDG'!$2:$2,0),MATCH(C116,'ETPT Format DDG'!$2:$2,0))),
INDEX( 'ETPT Format DDG'!$A:$ZZ,,MATCH("Catégorie",'ETPT Format DDG'!2:2,0)),"Greffe",
INDEX( 'ETPT Format DDG'!$A:$ZZ,,MATCH("Juridiction",'ETPT Format DDG'!2:2,0)),$A$3)</f>
      </c>
      <c r="T116" s="72">
        <f>IF(AND(OR(LEFT(C116,3)="12.",LEFT(E116,3)="12.",LEFT(E116,5)="CET &gt;",IFERROR(S116/$S$6,"")=0),NOT(AND(LEFT(E116,4)="12.8",IFERROR(G116/$G$6,"")&lt;&gt;0)),NOT(AND(LEFT(E116,5)="12.31",IFERROR(S116/$G$6,"")&lt;&gt;0)),NOT(AND(LEFT(E116,5)="12.32",IFERROR(S116/$G$6,"")&lt;&gt;0))),"", IFERROR(S116/$S$6,""))</f>
      </c>
      <c r="U116" s="71">
        <f>SUMIFS(
INDEX('ETPT Format DDG'!$A:$FB,,IFERROR(MATCH(E116,'ETPT Format DDG'!$2:$2,0),MATCH(C116,'ETPT Format DDG'!$2:$2,0))),
INDEX( 'ETPT Format DDG'!$A:$ZZ,,MATCH("Fonction agrégat",'ETPT Format DDG'!2:2,0)),"C",
INDEX( 'ETPT Format DDG'!$A:$ZZ,,MATCH("Juridiction",'ETPT Format DDG'!2:2,0)),$A$3,
INDEX( 'ETPT Format DDG'!$A:$ZZ,,MATCH("Catégorie",'ETPT Format DDG'!2:2,0)),"Autour du magistrat")</f>
      </c>
      <c r="V116" s="74">
        <f>IF(AND(OR(LEFT(C116,3)="12.",LEFT(E116,3)="12.",LEFT(E116,5)="CET &gt;",IFERROR(U116/$U$6,"")=0),NOT(AND(LEFT(E116,4)="12.8",IFERROR(G116/$G$6,"")&lt;&gt;0)),NOT(AND(LEFT(E116,5)="12.31",IFERROR(U116/$G$6,"")&lt;&gt;0)),NOT(AND(LEFT(E116,5)="12.32",IFERROR(U116/$G$6,"")&lt;&gt;0))),"", IFERROR(U116/$U$6,""))</f>
      </c>
    </row>
    <row r="117" spans="1:23" x14ac:dyDescent="0.25">
      <c r="G117" s="75"/>
      <c r="H117" s="75"/>
      <c r="I117" s="75"/>
      <c r="J117" s="75"/>
      <c r="K117" s="75"/>
      <c r="L117" s="75"/>
      <c r="M117" s="75"/>
      <c r="N117" s="75"/>
      <c r="O117" s="75"/>
      <c r="P117" s="75"/>
      <c r="Q117" s="75"/>
      <c r="R117" s="75"/>
      <c r="S117" s="75"/>
      <c r="T117" s="75"/>
      <c r="U117" s="75"/>
      <c r="V117" s="75"/>
    </row>
  </sheetData>
  <mergeCells count="3">
    <mergeCell ref="G4:M4"/>
    <mergeCell ref="N4:T4"/>
    <mergeCell ref="U4:V4"/>
  </mergeCells>
  <conditionalFormatting sqref="B4:F4">
    <cfRule type="expression" dxfId="1" priority="16">
      <formula>IF(LEFT($A$3,2)&lt;&gt;"TJ",TRUE,FALSE)</formula>
    </cfRule>
  </conditionalFormatting>
  <conditionalFormatting sqref="C6:V151">
    <cfRule type="expression" dxfId="2" priority="18">
      <formula>AND(ISBLANK($C6)=FALSE,ISBLANK($E6)=TRUE)</formula>
    </cfRule>
  </conditionalFormatting>
  <conditionalFormatting sqref="D1:F1048576">
    <cfRule type="expression" dxfId="3" priority="1">
      <formula>AND($D1="8. TOTAL JUGES D'INSTRUCTION",ROUND(_xlfn.NUMBERVALUE($U1)-_xlfn.NUMBERVALUE($U2)-_xlfn.NUMBERVALUE($U3)-_xlfn.NUMBERVALUE($U4)-_xlfn.NUMBERVALUE($U5)-_xlfn.NUMBERVALUE($U6),3)&lt;&gt;0)</formula>
    </cfRule>
    <cfRule type="expression" dxfId="4" priority="2">
      <formula>AND($D1="8. TOTAL JUGES D'INSTRUCTION",ROUND(_xlfn.NUMBERVALUE($S1)-_xlfn.NUMBERVALUE($S2)-_xlfn.NUMBERVALUE($S3)-_xlfn.NUMBERVALUE($S4)-_xlfn.NUMBERVALUE($S5)-_xlfn.NUMBERVALUE($S6),3)&lt;&gt;0)</formula>
    </cfRule>
    <cfRule type="expression" dxfId="5" priority="7">
      <formula>AND($D1="8. TOTAL JUGES D'INSTRUCTION",ROUND(_xlfn.NUMBERVALUE($L1)-_xlfn.NUMBERVALUE($L2)-_xlfn.NUMBERVALUE($L3)-_xlfn.NUMBERVALUE($L4)-_xlfn.NUMBERVALUE($L5)-_xlfn.NUMBERVALUE($L6),3)&lt;&gt;0)</formula>
    </cfRule>
    <cfRule type="expression" dxfId="6" priority="12">
      <formula>AND($D1="6. TOTAL JUGES DES ENFANTS",OR(ROUND(_xlfn.NUMBERVALUE($L1)-_xlfn.NUMBERVALUE($L2)-_xlfn.NUMBERVALUE($L3),3)&lt;&gt;0,ROUND(_xlfn.NUMBERVALUE($S1)-_xlfn.NUMBERVALUE($S2)-_xlfn.NUMBERVALUE($S3),3)&lt;&gt;0,ROUND(_xlfn.NUMBERVALUE($U1)-_xlfn.NUMBERVALUE($U2)-_xlfn.NUMBERVALUE($U3),3)&lt;&gt;0))</formula>
    </cfRule>
  </conditionalFormatting>
  <conditionalFormatting sqref="D7:F7">
    <cfRule type="expression" dxfId="7" priority="6">
      <formula>OR(ROUND(_xlfn.NUMBERVALUE($L7),3)&lt;&gt;ROUND(_xlfn.NUMBERVALUE($L6),3),ROUND(_xlfn.NUMBERVALUE($S7),3)&lt;&gt;ROUND(_xlfn.NUMBERVALUE($S6),3),ROUND(_xlfn.NUMBERVALUE($U7),3)&lt;&gt;ROUND(_xlfn.NUMBERVALUE($U6),3))</formula>
    </cfRule>
  </conditionalFormatting>
  <conditionalFormatting sqref="G1:M1048576">
    <cfRule type="expression" dxfId="8" priority="11">
      <formula>AND($D1="8. TOTAL JUGES D'INSTRUCTION",ROUND(_xlfn.NUMBERVALUE($L1)-(_xlfn.NUMBERVALUE($L2)+_xlfn.NUMBERVALUE($L3)+_xlfn.NUMBERVALUE($L4)+_xlfn.NUMBERVALUE($L5)+_xlfn.NUMBERVALUE($L6)),3)&lt;&gt;0)</formula>
    </cfRule>
    <cfRule type="expression" dxfId="9" priority="15">
      <formula>AND($D1="6. TOTAL JUGES DES ENFANTS",ROUND(_xlfn.NUMBERVALUE($L1)-(_xlfn.NUMBERVALUE($L2)+_xlfn.NUMBERVALUE($L3)),3)&lt;&gt;0)</formula>
    </cfRule>
  </conditionalFormatting>
  <conditionalFormatting sqref="G7:M7">
    <cfRule type="expression" dxfId="10" priority="5">
      <formula>ROUND(_xlfn.NUMBERVALUE($L7),3)&lt;&gt;ROUND(_xlfn.NUMBERVALUE($L6),3)</formula>
    </cfRule>
  </conditionalFormatting>
  <conditionalFormatting sqref="N1:T1048576">
    <cfRule type="expression" dxfId="11" priority="10">
      <formula>AND($D1="8. TOTAL JUGES D'INSTRUCTION",ROUND(_xlfn.NUMBERVALUE($S1)-_xlfn.NUMBERVALUE($S2)-_xlfn.NUMBERVALUE($S3)-_xlfn.NUMBERVALUE($S4)-_xlfn.NUMBERVALUE($S5)-_xlfn.NUMBERVALUE($S6),3)&lt;&gt;0)</formula>
    </cfRule>
    <cfRule type="expression" dxfId="12" priority="14">
      <formula>AND($D1="6. TOTAL JUGES DES ENFANTS",ROUND(_xlfn.NUMBERVALUE($S1)-_xlfn.NUMBERVALUE($S2)-_xlfn.NUMBERVALUE($S3),3)&lt;&gt;0)</formula>
    </cfRule>
  </conditionalFormatting>
  <conditionalFormatting sqref="N7:T7">
    <cfRule type="expression" dxfId="13" priority="4">
      <formula>ROUND(_xlfn.NUMBERVALUE($S7),3)&lt;&gt;ROUND(_xlfn.NUMBERVALUE($S6),3)</formula>
    </cfRule>
  </conditionalFormatting>
  <conditionalFormatting sqref="U1:V1048576">
    <cfRule type="expression" dxfId="14" priority="9">
      <formula>AND($D1="8. TOTAL JUGES D'INSTRUCTION",ROUND(_xlfn.NUMBERVALUE($U1)-_xlfn.NUMBERVALUE($U2)-_xlfn.NUMBERVALUE($U3)-_xlfn.NUMBERVALUE($U4)-_xlfn.NUMBERVALUE($U5)-_xlfn.NUMBERVALUE($U6),3)&lt;&gt;0)</formula>
    </cfRule>
    <cfRule type="expression" dxfId="15" priority="13">
      <formula>AND($D1="6. TOTAL JUGES DES ENFANTS",ROUND(_xlfn.NUMBERVALUE($U1)-_xlfn.NUMBERVALUE($U2)-_xlfn.NUMBERVALUE($U3),3)&lt;&gt;0)</formula>
    </cfRule>
  </conditionalFormatting>
  <conditionalFormatting sqref="U7:V7">
    <cfRule type="expression" dxfId="16" priority="3">
      <formula>ROUND(_xlfn.NUMBERVALUE($U7),3)&lt;&gt;ROUND(_xlfn.NUMBERVALUE($U6),3)</formula>
    </cfRule>
  </conditionalFormatting>
  <dataValidations count="1">
    <dataValidation type="list" showInputMessage="1" prompt="Selectionner une juridiction pour mettre à jour le tableau de synthèse ci-après" showErrorMessage="1" error="Veuillez selectionner une valeur dans le menu déroulant" sqref="A3">
      <formula1>""</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zoomScale="100" zoomScaleNormal="100">
      <selection activeCell="M30" sqref="M30"/>
    </sheetView>
  </sheetViews>
  <sheetFormatPr defaultRowHeight="13" outlineLevelRow="0" outlineLevelCol="0" x14ac:dyDescent="0.15" defaultColWidth="11" customHeight="1"/>
  <cols>
    <col min="1" max="1" width="8.33203125" style="227" customWidth="1"/>
    <col min="2" max="2" width="25.5" style="228" customWidth="1"/>
    <col min="3" max="4" width="11" style="227" customWidth="1"/>
    <col min="5" max="5" width="19" style="228" customWidth="1"/>
    <col min="6" max="6" width="11" style="227" customWidth="1"/>
    <col min="7" max="7" width="12" style="227" customWidth="1"/>
    <col min="8" max="8" width="27.33203125" style="228" customWidth="1"/>
    <col min="9" max="9" width="12.1640625" style="227" customWidth="1"/>
    <col min="10" max="11" width="22.33203125" style="227" customWidth="1"/>
    <col min="12" max="16384" width="11" style="227" customWidth="1"/>
  </cols>
  <sheetData>
    <row r="1" ht="16" customHeight="1" spans="1:13" s="229" customFormat="1" x14ac:dyDescent="0.25">
      <c r="A1" s="230" t="s">
        <v>2341</v>
      </c>
      <c r="D1" s="230" t="s">
        <v>2342</v>
      </c>
      <c r="G1" s="230" t="s">
        <v>2343</v>
      </c>
      <c r="I1" s="231" t="s">
        <v>2344</v>
      </c>
      <c r="M1" s="3" t="s">
        <v>2345</v>
      </c>
    </row>
    <row r="2" ht="16" customHeight="1" spans="13:13" x14ac:dyDescent="0.25">
      <c r="M2" s="3" t="s">
        <v>2345</v>
      </c>
    </row>
    <row r="3" ht="16" customHeight="1" spans="2:13" x14ac:dyDescent="0.25">
      <c r="B3" s="232"/>
      <c r="E3" s="232"/>
      <c r="H3" s="233"/>
      <c r="M3" s="3" t="s">
        <v>2345</v>
      </c>
    </row>
    <row r="4" ht="16" customHeight="1" spans="2:13" x14ac:dyDescent="0.25">
      <c r="B4" s="232"/>
      <c r="E4" s="232"/>
      <c r="H4" s="233"/>
      <c r="M4" s="3" t="s">
        <v>2345</v>
      </c>
    </row>
    <row r="5" ht="16" customHeight="1" spans="2:13" x14ac:dyDescent="0.25">
      <c r="B5" s="232"/>
      <c r="E5" s="232"/>
      <c r="H5" s="233"/>
      <c r="M5" s="3" t="s">
        <v>2345</v>
      </c>
    </row>
    <row r="6" ht="16" customHeight="1" spans="8:13" x14ac:dyDescent="0.25">
      <c r="H6" s="233"/>
      <c r="M6" s="3" t="s">
        <v>2345</v>
      </c>
    </row>
    <row r="7" ht="16" customHeight="1" spans="8:13" x14ac:dyDescent="0.25">
      <c r="H7" s="233"/>
      <c r="M7" s="3" t="s">
        <v>2345</v>
      </c>
    </row>
    <row r="8" ht="16" customHeight="1" spans="8:13" x14ac:dyDescent="0.25">
      <c r="H8" s="233"/>
      <c r="M8" s="3" t="s">
        <v>2345</v>
      </c>
    </row>
    <row r="9" ht="16" customHeight="1" spans="13:13" x14ac:dyDescent="0.25">
      <c r="M9" s="3" t="s">
        <v>2345</v>
      </c>
    </row>
    <row r="10" ht="16" customHeight="1" spans="13:13" x14ac:dyDescent="0.25">
      <c r="M10" s="3" t="s">
        <v>2345</v>
      </c>
    </row>
    <row r="11" ht="16" customHeight="1" spans="13:13" x14ac:dyDescent="0.25">
      <c r="M11" s="3" t="s">
        <v>2345</v>
      </c>
    </row>
    <row r="12" ht="16" customHeight="1" spans="13:13" x14ac:dyDescent="0.25">
      <c r="M12" s="3" t="s">
        <v>2345</v>
      </c>
    </row>
    <row r="13" ht="16" customHeight="1" spans="13:13" x14ac:dyDescent="0.25">
      <c r="M13" s="3" t="s">
        <v>2345</v>
      </c>
    </row>
    <row r="14" ht="16" customHeight="1" spans="13:13" x14ac:dyDescent="0.25">
      <c r="M14" s="3" t="s">
        <v>2345</v>
      </c>
    </row>
    <row r="15" ht="16" customHeight="1" spans="13:13" x14ac:dyDescent="0.25">
      <c r="M15" s="3" t="s">
        <v>2345</v>
      </c>
    </row>
    <row r="16" ht="16" customHeight="1" spans="13:13" x14ac:dyDescent="0.25">
      <c r="M16" s="3" t="s">
        <v>2345</v>
      </c>
    </row>
    <row r="17" ht="16" customHeight="1" spans="13:13" x14ac:dyDescent="0.25">
      <c r="M17" s="3" t="s">
        <v>2345</v>
      </c>
    </row>
    <row r="18" ht="16" customHeight="1" spans="13:13" x14ac:dyDescent="0.25">
      <c r="M18" s="3" t="s">
        <v>2345</v>
      </c>
    </row>
    <row r="19" ht="16" customHeight="1" spans="13:13" x14ac:dyDescent="0.25">
      <c r="M19" s="3" t="s">
        <v>2345</v>
      </c>
    </row>
    <row r="20" ht="16" customHeight="1" spans="13:13" x14ac:dyDescent="0.25">
      <c r="M20" s="3" t="s">
        <v>2345</v>
      </c>
    </row>
    <row r="21" ht="16" customHeight="1" spans="13:13" x14ac:dyDescent="0.25">
      <c r="M21" s="3" t="s">
        <v>2345</v>
      </c>
    </row>
    <row r="22" ht="16" customHeight="1" spans="13:13" x14ac:dyDescent="0.25">
      <c r="M22" s="3" t="s">
        <v>2345</v>
      </c>
    </row>
    <row r="23" ht="16" customHeight="1" spans="13:13" x14ac:dyDescent="0.25">
      <c r="M23" s="3" t="s">
        <v>2345</v>
      </c>
    </row>
    <row r="24" ht="16" customHeight="1" spans="13:13" x14ac:dyDescent="0.25">
      <c r="M24" s="3" t="s">
        <v>2345</v>
      </c>
    </row>
    <row r="25" ht="16" customHeight="1" spans="13:13" x14ac:dyDescent="0.25">
      <c r="M25" s="3" t="s">
        <v>2345</v>
      </c>
    </row>
    <row r="26" ht="16" customHeight="1" spans="13:13" x14ac:dyDescent="0.25">
      <c r="M26" s="3" t="s">
        <v>2345</v>
      </c>
    </row>
    <row r="27" ht="16" customHeight="1" spans="13:13" x14ac:dyDescent="0.25">
      <c r="M27" s="3" t="s">
        <v>2345</v>
      </c>
    </row>
    <row r="28" ht="16" customHeight="1" spans="13:13" x14ac:dyDescent="0.25">
      <c r="M28" s="3" t="s">
        <v>2345</v>
      </c>
    </row>
    <row r="29" ht="16" customHeight="1" spans="13:13" x14ac:dyDescent="0.25">
      <c r="M29" s="3" t="s">
        <v>2345</v>
      </c>
    </row>
    <row r="30" ht="16" customHeight="1" spans="13:13" x14ac:dyDescent="0.25">
      <c r="M30" s="1" t="s">
        <v>2346</v>
      </c>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6"/>
  <sheetViews>
    <sheetView workbookViewId="0" zoomScale="100" zoomScaleNormal="80">
      <selection activeCell="D3" sqref="D3"/>
    </sheetView>
  </sheetViews>
  <sheetFormatPr defaultRowHeight="15" outlineLevelRow="0" outlineLevelCol="0" x14ac:dyDescent="0.2" defaultColWidth="11"/>
  <cols>
    <col min="1" max="1" style="3" customWidth="1"/>
    <col min="2" max="2" width="28.5" style="3" customWidth="1"/>
    <col min="3" max="3" width="86.1640625" style="3" customWidth="1"/>
    <col min="4" max="4" width="11.6640625" style="3" customWidth="1"/>
    <col min="5" max="5" width="19" style="3" customWidth="1"/>
    <col min="6" max="6" width="17.1640625" style="3" customWidth="1"/>
    <col min="7" max="7" width="17" style="3" customWidth="1"/>
    <col min="8" max="8" width="62.33203125" style="3" customWidth="1"/>
    <col min="9" max="16384" width="11" style="3" customWidth="1"/>
  </cols>
  <sheetData>
    <row r="1" ht="44" customHeight="1" spans="1:8" x14ac:dyDescent="0.25">
      <c r="A1" s="76" t="s">
        <v>1289</v>
      </c>
      <c r="B1" s="77" t="s">
        <v>33</v>
      </c>
      <c r="C1" s="77" t="s">
        <v>1290</v>
      </c>
      <c r="D1" s="77" t="s">
        <v>1291</v>
      </c>
      <c r="E1" s="77" t="s">
        <v>1273</v>
      </c>
      <c r="F1" s="77" t="s">
        <v>1292</v>
      </c>
      <c r="G1" s="77" t="s">
        <v>1293</v>
      </c>
    </row>
    <row r="2" ht="32" customHeight="1" spans="1:8" x14ac:dyDescent="0.25">
      <c r="A2" s="3" t="s">
        <v>1294</v>
      </c>
      <c r="B2" s="3" t="s">
        <v>161</v>
      </c>
      <c r="C2" s="3" t="s">
        <v>1295</v>
      </c>
      <c r="D2" s="78" t="s">
        <v>1296</v>
      </c>
      <c r="E2" s="3" t="s">
        <v>1297</v>
      </c>
      <c r="F2" s="78" t="s">
        <v>1298</v>
      </c>
      <c r="G2" s="78" t="s">
        <v>1088</v>
      </c>
    </row>
    <row r="3" ht="32" customHeight="1" spans="1:8" x14ac:dyDescent="0.25">
      <c r="A3" s="3" t="s">
        <v>1299</v>
      </c>
      <c r="B3" s="3" t="s">
        <v>161</v>
      </c>
      <c r="C3" s="3" t="s">
        <v>1300</v>
      </c>
      <c r="D3" s="78" t="s">
        <v>1296</v>
      </c>
      <c r="E3" s="3" t="s">
        <v>353</v>
      </c>
      <c r="F3" s="78" t="s">
        <v>1298</v>
      </c>
      <c r="G3" s="78" t="s">
        <v>1088</v>
      </c>
    </row>
    <row r="4" ht="32" customHeight="1" spans="1:8" x14ac:dyDescent="0.25">
      <c r="A4" s="3" t="s">
        <v>1301</v>
      </c>
      <c r="B4" s="3" t="s">
        <v>161</v>
      </c>
      <c r="C4" s="3" t="s">
        <v>1302</v>
      </c>
      <c r="D4" s="78" t="s">
        <v>1296</v>
      </c>
      <c r="E4" s="3" t="s">
        <v>197</v>
      </c>
      <c r="F4" s="78" t="s">
        <v>1298</v>
      </c>
      <c r="G4" s="78" t="s">
        <v>1088</v>
      </c>
    </row>
    <row r="5" ht="32" customHeight="1" spans="1:8" x14ac:dyDescent="0.25">
      <c r="A5" s="3" t="s">
        <v>1303</v>
      </c>
      <c r="B5" s="3" t="s">
        <v>161</v>
      </c>
      <c r="C5" s="3" t="s">
        <v>1304</v>
      </c>
      <c r="D5" s="78" t="s">
        <v>1296</v>
      </c>
      <c r="E5" s="3" t="s">
        <v>1305</v>
      </c>
      <c r="F5" s="78" t="s">
        <v>1306</v>
      </c>
      <c r="G5" s="78" t="s">
        <v>1088</v>
      </c>
    </row>
    <row r="6" ht="32" customHeight="1" spans="1:8" x14ac:dyDescent="0.25">
      <c r="A6" s="3" t="s">
        <v>1307</v>
      </c>
      <c r="B6" s="3" t="s">
        <v>161</v>
      </c>
      <c r="C6" s="3" t="s">
        <v>1308</v>
      </c>
      <c r="D6" s="78" t="s">
        <v>1296</v>
      </c>
      <c r="E6" s="3" t="s">
        <v>1309</v>
      </c>
      <c r="F6" s="78" t="s">
        <v>1306</v>
      </c>
      <c r="G6" s="78" t="s">
        <v>1088</v>
      </c>
    </row>
    <row r="7" ht="32" customHeight="1" spans="1:8" x14ac:dyDescent="0.25">
      <c r="A7" s="3" t="s">
        <v>1310</v>
      </c>
      <c r="B7" s="3" t="s">
        <v>161</v>
      </c>
      <c r="C7" s="3" t="s">
        <v>1311</v>
      </c>
      <c r="D7" s="78" t="s">
        <v>1296</v>
      </c>
      <c r="E7" s="3" t="s">
        <v>1312</v>
      </c>
      <c r="F7" s="78" t="s">
        <v>1306</v>
      </c>
      <c r="G7" s="78" t="s">
        <v>1088</v>
      </c>
    </row>
    <row r="8" ht="32" customHeight="1" spans="1:8" x14ac:dyDescent="0.25">
      <c r="A8" s="3" t="s">
        <v>1313</v>
      </c>
      <c r="B8" s="3" t="s">
        <v>161</v>
      </c>
      <c r="C8" s="3" t="s">
        <v>1314</v>
      </c>
      <c r="D8" s="78" t="s">
        <v>1296</v>
      </c>
      <c r="E8" s="3" t="s">
        <v>1315</v>
      </c>
      <c r="F8" s="78" t="s">
        <v>1298</v>
      </c>
      <c r="G8" s="78" t="s">
        <v>1088</v>
      </c>
    </row>
    <row r="9" ht="32" customHeight="1" spans="1:8" x14ac:dyDescent="0.25">
      <c r="A9" s="3" t="s">
        <v>1316</v>
      </c>
      <c r="B9" s="3" t="s">
        <v>161</v>
      </c>
      <c r="C9" s="3" t="s">
        <v>1317</v>
      </c>
      <c r="D9" s="78" t="s">
        <v>1296</v>
      </c>
      <c r="E9" s="3" t="s">
        <v>1318</v>
      </c>
      <c r="F9" s="78" t="s">
        <v>1306</v>
      </c>
      <c r="G9" s="78" t="s">
        <v>1088</v>
      </c>
    </row>
    <row r="10" ht="32" customHeight="1" spans="1:8" x14ac:dyDescent="0.25">
      <c r="A10" s="3" t="s">
        <v>1319</v>
      </c>
      <c r="B10" s="3" t="s">
        <v>161</v>
      </c>
      <c r="C10" s="3" t="s">
        <v>1320</v>
      </c>
      <c r="D10" s="78" t="s">
        <v>1296</v>
      </c>
      <c r="E10" s="3" t="s">
        <v>1321</v>
      </c>
      <c r="F10" s="78" t="s">
        <v>1306</v>
      </c>
      <c r="G10" s="78" t="s">
        <v>1088</v>
      </c>
    </row>
    <row r="11" ht="32" customHeight="1" spans="1:8" x14ac:dyDescent="0.25">
      <c r="A11" s="3" t="s">
        <v>1322</v>
      </c>
      <c r="B11" s="3" t="s">
        <v>161</v>
      </c>
      <c r="C11" s="3" t="s">
        <v>1323</v>
      </c>
      <c r="D11" s="78" t="s">
        <v>1296</v>
      </c>
      <c r="E11" s="3" t="s">
        <v>162</v>
      </c>
      <c r="F11" s="78" t="s">
        <v>1298</v>
      </c>
      <c r="G11" s="78" t="s">
        <v>1088</v>
      </c>
    </row>
    <row r="12" ht="32" customHeight="1" spans="1:8" x14ac:dyDescent="0.25">
      <c r="A12" s="3" t="s">
        <v>1324</v>
      </c>
      <c r="B12" s="3" t="s">
        <v>161</v>
      </c>
      <c r="C12" s="3" t="s">
        <v>1325</v>
      </c>
      <c r="D12" s="78" t="s">
        <v>1296</v>
      </c>
      <c r="E12" s="3" t="s">
        <v>242</v>
      </c>
      <c r="F12" s="78" t="s">
        <v>1306</v>
      </c>
      <c r="G12" s="78" t="s">
        <v>1088</v>
      </c>
    </row>
    <row r="13" ht="32" customHeight="1" spans="1:8" x14ac:dyDescent="0.25">
      <c r="A13" s="3" t="s">
        <v>1326</v>
      </c>
      <c r="B13" s="3" t="s">
        <v>161</v>
      </c>
      <c r="C13" s="3" t="s">
        <v>1327</v>
      </c>
      <c r="D13" s="78" t="s">
        <v>1296</v>
      </c>
      <c r="E13" s="3" t="s">
        <v>218</v>
      </c>
      <c r="F13" s="78" t="s">
        <v>1306</v>
      </c>
      <c r="G13" s="78" t="s">
        <v>1088</v>
      </c>
    </row>
    <row r="14" ht="32" customHeight="1" spans="1:8" x14ac:dyDescent="0.25">
      <c r="A14" s="3" t="s">
        <v>1328</v>
      </c>
      <c r="B14" s="3" t="s">
        <v>161</v>
      </c>
      <c r="C14" s="3" t="s">
        <v>1329</v>
      </c>
      <c r="D14" s="78" t="s">
        <v>1296</v>
      </c>
      <c r="E14" s="3" t="s">
        <v>262</v>
      </c>
      <c r="F14" s="78" t="s">
        <v>1306</v>
      </c>
      <c r="G14" s="78" t="s">
        <v>1088</v>
      </c>
    </row>
    <row r="15" ht="32" customHeight="1" spans="1:8" x14ac:dyDescent="0.25">
      <c r="A15" s="3" t="s">
        <v>1330</v>
      </c>
      <c r="B15" s="3" t="s">
        <v>161</v>
      </c>
      <c r="C15" s="3" t="s">
        <v>1331</v>
      </c>
      <c r="D15" s="78" t="s">
        <v>1296</v>
      </c>
      <c r="E15" s="3" t="s">
        <v>175</v>
      </c>
      <c r="F15" s="78" t="s">
        <v>1306</v>
      </c>
      <c r="G15" s="78" t="s">
        <v>1088</v>
      </c>
    </row>
    <row r="16" ht="32" customHeight="1" spans="1:8" x14ac:dyDescent="0.25">
      <c r="A16" s="3" t="s">
        <v>1332</v>
      </c>
      <c r="B16" s="3" t="s">
        <v>161</v>
      </c>
      <c r="C16" s="3" t="s">
        <v>1333</v>
      </c>
      <c r="D16" s="78" t="s">
        <v>1296</v>
      </c>
      <c r="E16" s="3" t="s">
        <v>181</v>
      </c>
      <c r="F16" s="78" t="s">
        <v>1306</v>
      </c>
      <c r="G16" s="78" t="s">
        <v>1088</v>
      </c>
    </row>
    <row r="17" ht="32" customHeight="1" spans="1:8" x14ac:dyDescent="0.25">
      <c r="A17" s="3" t="s">
        <v>1334</v>
      </c>
      <c r="B17" s="3" t="s">
        <v>161</v>
      </c>
      <c r="C17" s="3" t="s">
        <v>1335</v>
      </c>
      <c r="D17" s="78" t="s">
        <v>1296</v>
      </c>
      <c r="E17" s="3" t="s">
        <v>207</v>
      </c>
      <c r="F17" s="78" t="s">
        <v>1298</v>
      </c>
      <c r="G17" s="78" t="s">
        <v>1088</v>
      </c>
    </row>
    <row r="18" ht="32" customHeight="1" spans="1:8" x14ac:dyDescent="0.25">
      <c r="A18" s="3" t="s">
        <v>1336</v>
      </c>
      <c r="B18" s="3" t="s">
        <v>161</v>
      </c>
      <c r="C18" s="3" t="s">
        <v>1337</v>
      </c>
      <c r="D18" s="78" t="s">
        <v>1296</v>
      </c>
      <c r="E18" s="3" t="s">
        <v>251</v>
      </c>
      <c r="F18" s="78" t="s">
        <v>1306</v>
      </c>
      <c r="G18" s="78" t="s">
        <v>1088</v>
      </c>
    </row>
    <row r="19" ht="32" customHeight="1" spans="1:8" x14ac:dyDescent="0.25">
      <c r="A19" s="3" t="s">
        <v>1338</v>
      </c>
      <c r="B19" s="3" t="s">
        <v>161</v>
      </c>
      <c r="C19" s="3" t="s">
        <v>1339</v>
      </c>
      <c r="D19" s="78" t="s">
        <v>1296</v>
      </c>
      <c r="E19" s="3" t="s">
        <v>256</v>
      </c>
      <c r="F19" s="78" t="s">
        <v>1306</v>
      </c>
      <c r="G19" s="78" t="s">
        <v>1088</v>
      </c>
    </row>
    <row r="20" ht="32" customHeight="1" spans="1:8" x14ac:dyDescent="0.25">
      <c r="A20" s="3" t="s">
        <v>1340</v>
      </c>
      <c r="B20" s="3" t="s">
        <v>161</v>
      </c>
      <c r="C20" s="3" t="s">
        <v>1341</v>
      </c>
      <c r="D20" s="78" t="s">
        <v>1296</v>
      </c>
      <c r="E20" s="3" t="s">
        <v>187</v>
      </c>
      <c r="F20" s="78" t="s">
        <v>1306</v>
      </c>
      <c r="G20" s="78" t="s">
        <v>1088</v>
      </c>
    </row>
    <row r="21" ht="32" customHeight="1" spans="1:8" x14ac:dyDescent="0.25">
      <c r="A21" s="3" t="s">
        <v>1342</v>
      </c>
      <c r="B21" s="3" t="s">
        <v>161</v>
      </c>
      <c r="C21" s="3" t="s">
        <v>1343</v>
      </c>
      <c r="D21" s="78" t="s">
        <v>1296</v>
      </c>
      <c r="E21" s="3" t="s">
        <v>192</v>
      </c>
      <c r="F21" s="78" t="s">
        <v>1306</v>
      </c>
      <c r="G21" s="78" t="s">
        <v>1088</v>
      </c>
    </row>
    <row r="22" ht="32" customHeight="1" spans="1:8" x14ac:dyDescent="0.25">
      <c r="A22" s="3" t="s">
        <v>1344</v>
      </c>
      <c r="B22" s="3" t="s">
        <v>161</v>
      </c>
      <c r="C22" s="3" t="s">
        <v>1345</v>
      </c>
      <c r="D22" s="78" t="s">
        <v>1346</v>
      </c>
      <c r="E22" s="3" t="s">
        <v>325</v>
      </c>
      <c r="F22" s="78"/>
      <c r="G22" s="78" t="s">
        <v>1091</v>
      </c>
    </row>
    <row r="23" ht="32" customHeight="1" spans="1:8" x14ac:dyDescent="0.25">
      <c r="A23" s="3" t="s">
        <v>1347</v>
      </c>
      <c r="B23" s="3" t="s">
        <v>161</v>
      </c>
      <c r="C23" s="3" t="s">
        <v>1348</v>
      </c>
      <c r="D23" s="78" t="s">
        <v>1346</v>
      </c>
      <c r="E23" s="3" t="s">
        <v>1119</v>
      </c>
      <c r="F23" s="78" t="s">
        <v>1349</v>
      </c>
      <c r="G23" s="78" t="s">
        <v>1091</v>
      </c>
    </row>
    <row r="24" ht="32" customHeight="1" spans="1:8" x14ac:dyDescent="0.25">
      <c r="A24" s="3" t="s">
        <v>1350</v>
      </c>
      <c r="B24" s="3" t="s">
        <v>161</v>
      </c>
      <c r="C24" s="3" t="s">
        <v>1351</v>
      </c>
      <c r="D24" s="78" t="s">
        <v>1346</v>
      </c>
      <c r="E24" s="3" t="s">
        <v>1352</v>
      </c>
      <c r="F24" s="78" t="s">
        <v>1353</v>
      </c>
      <c r="G24" s="78" t="s">
        <v>1354</v>
      </c>
    </row>
    <row r="25" ht="32" customHeight="1" spans="1:8" x14ac:dyDescent="0.25">
      <c r="A25" s="3" t="s">
        <v>1355</v>
      </c>
      <c r="B25" s="3" t="s">
        <v>161</v>
      </c>
      <c r="C25" s="3" t="s">
        <v>1356</v>
      </c>
      <c r="D25" s="78" t="s">
        <v>1346</v>
      </c>
      <c r="E25" s="3" t="s">
        <v>168</v>
      </c>
      <c r="F25" s="78"/>
      <c r="G25" s="78" t="s">
        <v>1091</v>
      </c>
    </row>
    <row r="26" ht="32" customHeight="1" spans="1:8" x14ac:dyDescent="0.25">
      <c r="A26" s="3" t="s">
        <v>1357</v>
      </c>
      <c r="B26" s="3" t="s">
        <v>161</v>
      </c>
      <c r="C26" s="3" t="s">
        <v>1358</v>
      </c>
      <c r="D26" s="78" t="s">
        <v>1346</v>
      </c>
      <c r="E26" s="3" t="s">
        <v>1090</v>
      </c>
      <c r="F26" s="78" t="s">
        <v>1349</v>
      </c>
      <c r="G26" s="78" t="s">
        <v>1091</v>
      </c>
    </row>
    <row r="27" ht="32" customHeight="1" spans="1:8" x14ac:dyDescent="0.25">
      <c r="A27" s="3" t="s">
        <v>1359</v>
      </c>
      <c r="B27" s="3" t="s">
        <v>161</v>
      </c>
      <c r="C27" s="3" t="s">
        <v>1360</v>
      </c>
      <c r="D27" s="78" t="s">
        <v>1346</v>
      </c>
      <c r="E27" s="3" t="s">
        <v>1361</v>
      </c>
      <c r="F27" s="78" t="s">
        <v>1353</v>
      </c>
      <c r="G27" s="78" t="s">
        <v>1354</v>
      </c>
    </row>
    <row r="28" ht="32" customHeight="1" spans="1:8" x14ac:dyDescent="0.25">
      <c r="A28" s="3" t="s">
        <v>1362</v>
      </c>
      <c r="B28" s="3" t="s">
        <v>161</v>
      </c>
      <c r="C28" s="3" t="s">
        <v>1363</v>
      </c>
      <c r="D28" s="78" t="s">
        <v>1364</v>
      </c>
      <c r="E28" s="3" t="s">
        <v>1365</v>
      </c>
      <c r="F28" s="78" t="s">
        <v>1084</v>
      </c>
      <c r="G28" s="78" t="s">
        <v>1366</v>
      </c>
    </row>
    <row r="29" ht="32" customHeight="1" spans="1:8" x14ac:dyDescent="0.25">
      <c r="A29" s="3" t="s">
        <v>1367</v>
      </c>
      <c r="B29" s="3" t="s">
        <v>161</v>
      </c>
      <c r="C29" s="3" t="s">
        <v>1368</v>
      </c>
      <c r="D29" s="78" t="s">
        <v>1364</v>
      </c>
      <c r="E29" s="3" t="s">
        <v>1369</v>
      </c>
      <c r="F29" s="78" t="s">
        <v>1084</v>
      </c>
      <c r="G29" s="78" t="s">
        <v>1366</v>
      </c>
    </row>
    <row r="30" ht="32" customHeight="1" spans="1:8" x14ac:dyDescent="0.25">
      <c r="A30" s="3" t="s">
        <v>1370</v>
      </c>
      <c r="B30" s="3" t="s">
        <v>161</v>
      </c>
      <c r="C30" s="3" t="s">
        <v>1371</v>
      </c>
      <c r="D30" s="78" t="s">
        <v>1364</v>
      </c>
      <c r="E30" s="3" t="s">
        <v>1372</v>
      </c>
      <c r="F30" s="78" t="s">
        <v>1084</v>
      </c>
      <c r="G30" s="78" t="s">
        <v>1366</v>
      </c>
    </row>
    <row r="31" ht="32" customHeight="1" spans="1:8" x14ac:dyDescent="0.25">
      <c r="A31" s="3" t="s">
        <v>1373</v>
      </c>
      <c r="B31" s="3" t="s">
        <v>161</v>
      </c>
      <c r="C31" s="3" t="s">
        <v>1374</v>
      </c>
      <c r="D31" s="78" t="s">
        <v>1364</v>
      </c>
      <c r="E31" s="3" t="s">
        <v>1375</v>
      </c>
      <c r="F31" s="78" t="s">
        <v>1084</v>
      </c>
      <c r="G31" s="78" t="s">
        <v>1366</v>
      </c>
    </row>
    <row r="32" ht="32" customHeight="1" spans="1:8" x14ac:dyDescent="0.25">
      <c r="A32" s="3" t="s">
        <v>1376</v>
      </c>
      <c r="B32" s="3" t="s">
        <v>380</v>
      </c>
      <c r="C32" s="3" t="s">
        <v>1377</v>
      </c>
      <c r="D32" s="78" t="s">
        <v>1296</v>
      </c>
      <c r="E32" s="3" t="s">
        <v>1377</v>
      </c>
      <c r="F32" s="78" t="s">
        <v>1378</v>
      </c>
      <c r="G32" s="78" t="s">
        <v>1132</v>
      </c>
    </row>
    <row r="33" ht="32" customHeight="1" spans="1:8" x14ac:dyDescent="0.25">
      <c r="A33" s="3" t="s">
        <v>1379</v>
      </c>
      <c r="B33" s="3" t="s">
        <v>380</v>
      </c>
      <c r="C33" s="3" t="s">
        <v>1380</v>
      </c>
      <c r="D33" s="78" t="s">
        <v>1296</v>
      </c>
      <c r="E33" s="3" t="s">
        <v>1380</v>
      </c>
      <c r="F33" s="78" t="s">
        <v>1378</v>
      </c>
      <c r="G33" s="78" t="s">
        <v>1132</v>
      </c>
    </row>
    <row r="34" ht="32" customHeight="1" spans="1:8" x14ac:dyDescent="0.25">
      <c r="A34" s="3" t="s">
        <v>1381</v>
      </c>
      <c r="B34" s="3" t="s">
        <v>380</v>
      </c>
      <c r="C34" s="3" t="s">
        <v>1382</v>
      </c>
      <c r="D34" s="78" t="s">
        <v>1296</v>
      </c>
      <c r="E34" s="3" t="s">
        <v>1383</v>
      </c>
      <c r="F34" s="78" t="s">
        <v>1378</v>
      </c>
      <c r="G34" s="78" t="s">
        <v>1132</v>
      </c>
    </row>
    <row r="35" ht="32" customHeight="1" spans="1:8" x14ac:dyDescent="0.25">
      <c r="A35" s="3" t="s">
        <v>1384</v>
      </c>
      <c r="B35" s="3" t="s">
        <v>380</v>
      </c>
      <c r="C35" s="3" t="s">
        <v>421</v>
      </c>
      <c r="D35" s="78" t="s">
        <v>1296</v>
      </c>
      <c r="E35" s="3" t="s">
        <v>421</v>
      </c>
      <c r="F35" s="78" t="s">
        <v>1378</v>
      </c>
      <c r="G35" s="78" t="s">
        <v>1132</v>
      </c>
    </row>
    <row r="36" ht="32" customHeight="1" spans="1:8" x14ac:dyDescent="0.25">
      <c r="A36" s="3" t="s">
        <v>1385</v>
      </c>
      <c r="B36" s="3" t="s">
        <v>380</v>
      </c>
      <c r="C36" s="3" t="s">
        <v>586</v>
      </c>
      <c r="D36" s="78" t="s">
        <v>1296</v>
      </c>
      <c r="E36" s="3" t="s">
        <v>586</v>
      </c>
      <c r="F36" s="78" t="s">
        <v>1378</v>
      </c>
      <c r="G36" s="78" t="s">
        <v>1132</v>
      </c>
    </row>
    <row r="37" ht="32" customHeight="1" spans="1:8" x14ac:dyDescent="0.25">
      <c r="A37" s="3" t="s">
        <v>1386</v>
      </c>
      <c r="B37" s="3" t="s">
        <v>380</v>
      </c>
      <c r="C37" s="3" t="s">
        <v>1387</v>
      </c>
      <c r="D37" s="78" t="s">
        <v>1296</v>
      </c>
      <c r="E37" s="3" t="s">
        <v>381</v>
      </c>
      <c r="F37" s="78" t="s">
        <v>1378</v>
      </c>
      <c r="G37" s="78" t="s">
        <v>1132</v>
      </c>
    </row>
    <row r="38" ht="32" customHeight="1" spans="1:8" x14ac:dyDescent="0.25">
      <c r="A38" s="3" t="s">
        <v>1388</v>
      </c>
      <c r="B38" s="3" t="s">
        <v>380</v>
      </c>
      <c r="C38" s="3" t="s">
        <v>1182</v>
      </c>
      <c r="D38" s="78" t="s">
        <v>1346</v>
      </c>
      <c r="E38" s="3" t="s">
        <v>1182</v>
      </c>
      <c r="F38" s="78" t="s">
        <v>1389</v>
      </c>
      <c r="G38" s="78" t="s">
        <v>1183</v>
      </c>
    </row>
    <row r="39" ht="32" customHeight="1" spans="1:8" x14ac:dyDescent="0.25">
      <c r="A39" s="3" t="s">
        <v>1390</v>
      </c>
      <c r="B39" s="3" t="s">
        <v>380</v>
      </c>
      <c r="C39" s="3" t="s">
        <v>1391</v>
      </c>
      <c r="D39" s="78" t="s">
        <v>1346</v>
      </c>
      <c r="E39" s="3" t="s">
        <v>1391</v>
      </c>
      <c r="F39" s="78" t="s">
        <v>1392</v>
      </c>
      <c r="G39" s="78" t="s">
        <v>1393</v>
      </c>
    </row>
    <row r="40" ht="32" customHeight="1" spans="1:8" x14ac:dyDescent="0.25">
      <c r="A40" s="3" t="s">
        <v>1394</v>
      </c>
      <c r="B40" s="3" t="s">
        <v>380</v>
      </c>
      <c r="C40" s="3" t="s">
        <v>714</v>
      </c>
      <c r="D40" s="78" t="s">
        <v>1296</v>
      </c>
      <c r="E40" s="3" t="s">
        <v>714</v>
      </c>
      <c r="F40" s="78" t="s">
        <v>1378</v>
      </c>
      <c r="G40" s="78" t="s">
        <v>1132</v>
      </c>
    </row>
    <row r="41" ht="32" customHeight="1" spans="1:8" x14ac:dyDescent="0.25">
      <c r="A41" s="3" t="s">
        <v>1395</v>
      </c>
      <c r="B41" s="3" t="s">
        <v>380</v>
      </c>
      <c r="C41" s="3" t="s">
        <v>1396</v>
      </c>
      <c r="D41" s="78" t="s">
        <v>1346</v>
      </c>
      <c r="E41" s="3" t="s">
        <v>1397</v>
      </c>
      <c r="F41" s="78" t="s">
        <v>1389</v>
      </c>
      <c r="G41" s="78" t="s">
        <v>1183</v>
      </c>
    </row>
    <row r="42" ht="32" customHeight="1" spans="1:8" x14ac:dyDescent="0.25">
      <c r="A42" s="3" t="s">
        <v>1398</v>
      </c>
      <c r="B42" s="3" t="s">
        <v>380</v>
      </c>
      <c r="C42" s="3" t="s">
        <v>1399</v>
      </c>
      <c r="D42" s="78" t="s">
        <v>1346</v>
      </c>
      <c r="E42" s="3" t="s">
        <v>1400</v>
      </c>
      <c r="F42" s="78" t="s">
        <v>1392</v>
      </c>
      <c r="G42" s="78" t="s">
        <v>1393</v>
      </c>
    </row>
    <row r="43" ht="32" customHeight="1" spans="1:8" x14ac:dyDescent="0.25">
      <c r="A43" s="3" t="s">
        <v>1401</v>
      </c>
      <c r="B43" s="3" t="s">
        <v>380</v>
      </c>
      <c r="C43" s="3" t="s">
        <v>411</v>
      </c>
      <c r="D43" s="78" t="s">
        <v>1296</v>
      </c>
      <c r="E43" s="3" t="s">
        <v>411</v>
      </c>
      <c r="F43" s="78" t="s">
        <v>1378</v>
      </c>
      <c r="G43" s="78" t="s">
        <v>1132</v>
      </c>
    </row>
    <row r="44" ht="32" customHeight="1" spans="1:8" x14ac:dyDescent="0.25">
      <c r="A44" s="3" t="s">
        <v>1402</v>
      </c>
      <c r="B44" s="3" t="s">
        <v>380</v>
      </c>
      <c r="C44" s="3" t="s">
        <v>1215</v>
      </c>
      <c r="D44" s="78" t="s">
        <v>1346</v>
      </c>
      <c r="E44" s="3" t="s">
        <v>1215</v>
      </c>
      <c r="F44" s="78" t="s">
        <v>1389</v>
      </c>
      <c r="G44" s="78" t="s">
        <v>1183</v>
      </c>
    </row>
    <row r="45" ht="32" customHeight="1" spans="1:8" x14ac:dyDescent="0.25">
      <c r="A45" s="3" t="s">
        <v>1403</v>
      </c>
      <c r="B45" s="3" t="s">
        <v>380</v>
      </c>
      <c r="C45" s="3" t="s">
        <v>1404</v>
      </c>
      <c r="D45" s="78" t="s">
        <v>1346</v>
      </c>
      <c r="E45" s="3" t="s">
        <v>1404</v>
      </c>
      <c r="F45" s="78" t="s">
        <v>1392</v>
      </c>
      <c r="G45" s="78" t="s">
        <v>1393</v>
      </c>
    </row>
    <row r="46" ht="32" customHeight="1" spans="1:8" x14ac:dyDescent="0.25">
      <c r="A46" s="3" t="s">
        <v>1405</v>
      </c>
      <c r="B46" s="3" t="s">
        <v>380</v>
      </c>
      <c r="C46" s="3" t="s">
        <v>787</v>
      </c>
      <c r="D46" s="78" t="s">
        <v>1296</v>
      </c>
      <c r="E46" s="3" t="s">
        <v>787</v>
      </c>
      <c r="F46" s="78" t="s">
        <v>1406</v>
      </c>
      <c r="G46" s="78" t="s">
        <v>1132</v>
      </c>
    </row>
    <row r="47" ht="32" customHeight="1" spans="1:8" x14ac:dyDescent="0.25">
      <c r="A47" s="3" t="s">
        <v>1407</v>
      </c>
      <c r="B47" s="3" t="s">
        <v>380</v>
      </c>
      <c r="C47" s="3" t="s">
        <v>1408</v>
      </c>
      <c r="D47" s="78" t="s">
        <v>1346</v>
      </c>
      <c r="E47" s="3" t="s">
        <v>1408</v>
      </c>
      <c r="F47" s="78" t="s">
        <v>1389</v>
      </c>
      <c r="G47" s="78" t="s">
        <v>1183</v>
      </c>
    </row>
    <row r="48" ht="32" customHeight="1" spans="1:8" x14ac:dyDescent="0.25">
      <c r="A48" s="3" t="s">
        <v>1409</v>
      </c>
      <c r="B48" s="3" t="s">
        <v>380</v>
      </c>
      <c r="C48" s="3" t="s">
        <v>1410</v>
      </c>
      <c r="D48" s="78" t="s">
        <v>1346</v>
      </c>
      <c r="E48" s="3" t="s">
        <v>1410</v>
      </c>
      <c r="F48" s="78" t="s">
        <v>1392</v>
      </c>
      <c r="G48" s="78" t="s">
        <v>1393</v>
      </c>
    </row>
    <row r="49" ht="32" customHeight="1" spans="1:8" x14ac:dyDescent="0.25">
      <c r="A49" s="3" t="s">
        <v>1411</v>
      </c>
      <c r="B49" s="3" t="s">
        <v>380</v>
      </c>
      <c r="C49" s="3" t="s">
        <v>1412</v>
      </c>
      <c r="D49" s="78" t="s">
        <v>1346</v>
      </c>
      <c r="E49" s="3" t="s">
        <v>1412</v>
      </c>
      <c r="F49" s="78" t="s">
        <v>1084</v>
      </c>
      <c r="G49" s="78" t="s">
        <v>1183</v>
      </c>
    </row>
    <row r="50" ht="32" customHeight="1" spans="1:8" x14ac:dyDescent="0.25">
      <c r="A50" s="3" t="s">
        <v>1413</v>
      </c>
      <c r="B50" s="3" t="s">
        <v>380</v>
      </c>
      <c r="C50" s="3" t="s">
        <v>1414</v>
      </c>
      <c r="D50" s="78" t="s">
        <v>1346</v>
      </c>
      <c r="E50" s="3" t="s">
        <v>1414</v>
      </c>
      <c r="F50" s="78" t="s">
        <v>1389</v>
      </c>
      <c r="G50" s="78" t="s">
        <v>1183</v>
      </c>
    </row>
    <row r="51" ht="32" customHeight="1" spans="1:8" x14ac:dyDescent="0.25">
      <c r="A51" s="3" t="s">
        <v>1415</v>
      </c>
      <c r="B51" s="3" t="s">
        <v>380</v>
      </c>
      <c r="C51" s="3" t="s">
        <v>1416</v>
      </c>
      <c r="D51" s="78" t="s">
        <v>1346</v>
      </c>
      <c r="E51" s="3" t="s">
        <v>1416</v>
      </c>
      <c r="F51" s="78" t="s">
        <v>1392</v>
      </c>
      <c r="G51" s="78" t="s">
        <v>1393</v>
      </c>
    </row>
    <row r="52" ht="32" customHeight="1" spans="1:8" x14ac:dyDescent="0.25">
      <c r="A52" s="3" t="s">
        <v>1417</v>
      </c>
      <c r="B52" s="3" t="s">
        <v>380</v>
      </c>
      <c r="C52" s="3" t="s">
        <v>624</v>
      </c>
      <c r="D52" s="78" t="s">
        <v>1346</v>
      </c>
      <c r="E52" s="3" t="s">
        <v>624</v>
      </c>
      <c r="F52" s="78"/>
      <c r="G52" s="78" t="s">
        <v>1183</v>
      </c>
    </row>
    <row r="53" ht="32" customHeight="1" spans="1:8" x14ac:dyDescent="0.25">
      <c r="A53" s="3" t="s">
        <v>1418</v>
      </c>
      <c r="B53" s="3" t="s">
        <v>380</v>
      </c>
      <c r="C53" s="3" t="s">
        <v>1419</v>
      </c>
      <c r="D53" s="78" t="s">
        <v>1346</v>
      </c>
      <c r="E53" s="3" t="s">
        <v>1419</v>
      </c>
      <c r="F53" s="78" t="s">
        <v>1420</v>
      </c>
      <c r="G53" s="78" t="s">
        <v>1183</v>
      </c>
    </row>
    <row r="54" ht="32" customHeight="1" spans="1:8" x14ac:dyDescent="0.25">
      <c r="A54" s="3" t="s">
        <v>1421</v>
      </c>
      <c r="B54" s="3" t="s">
        <v>380</v>
      </c>
      <c r="C54" s="3" t="s">
        <v>1422</v>
      </c>
      <c r="D54" s="78" t="s">
        <v>1346</v>
      </c>
      <c r="E54" s="3" t="s">
        <v>1422</v>
      </c>
      <c r="F54" s="78" t="s">
        <v>1423</v>
      </c>
      <c r="G54" s="78" t="s">
        <v>1393</v>
      </c>
    </row>
    <row r="55" ht="32" customHeight="1" spans="1:8" x14ac:dyDescent="0.25">
      <c r="A55" s="3" t="s">
        <v>1424</v>
      </c>
      <c r="B55" s="3" t="s">
        <v>380</v>
      </c>
      <c r="C55" s="3" t="s">
        <v>1425</v>
      </c>
      <c r="D55" s="78" t="s">
        <v>1346</v>
      </c>
      <c r="E55" s="3" t="s">
        <v>1426</v>
      </c>
      <c r="F55" s="78"/>
      <c r="G55" s="78" t="s">
        <v>1183</v>
      </c>
    </row>
    <row r="56" ht="32" customHeight="1" spans="1:8" x14ac:dyDescent="0.25">
      <c r="A56" s="3" t="s">
        <v>1427</v>
      </c>
      <c r="B56" s="3" t="s">
        <v>380</v>
      </c>
      <c r="C56" s="3" t="s">
        <v>780</v>
      </c>
      <c r="D56" s="78" t="s">
        <v>1346</v>
      </c>
      <c r="E56" s="3" t="s">
        <v>780</v>
      </c>
      <c r="F56" s="78"/>
      <c r="G56" s="78" t="s">
        <v>1183</v>
      </c>
    </row>
    <row r="57" ht="32" customHeight="1" spans="1:8" x14ac:dyDescent="0.25">
      <c r="A57" s="3" t="s">
        <v>1428</v>
      </c>
      <c r="B57" s="3" t="s">
        <v>380</v>
      </c>
      <c r="C57" s="3" t="s">
        <v>1429</v>
      </c>
      <c r="D57" s="78" t="s">
        <v>1364</v>
      </c>
      <c r="E57" s="3" t="s">
        <v>1430</v>
      </c>
      <c r="F57" s="78" t="s">
        <v>1378</v>
      </c>
      <c r="G57" s="78" t="s">
        <v>1136</v>
      </c>
    </row>
    <row r="58" ht="32" customHeight="1" spans="1:8" x14ac:dyDescent="0.25">
      <c r="A58" s="3" t="s">
        <v>1431</v>
      </c>
      <c r="B58" s="3" t="s">
        <v>380</v>
      </c>
      <c r="C58" s="3" t="s">
        <v>1429</v>
      </c>
      <c r="D58" s="78" t="s">
        <v>1364</v>
      </c>
      <c r="E58" s="3" t="s">
        <v>1432</v>
      </c>
      <c r="F58" s="78" t="s">
        <v>1432</v>
      </c>
      <c r="G58" s="78" t="s">
        <v>1136</v>
      </c>
    </row>
    <row r="59" ht="32" customHeight="1" spans="1:8" x14ac:dyDescent="0.25">
      <c r="A59" s="3" t="s">
        <v>1433</v>
      </c>
      <c r="B59" s="3" t="s">
        <v>380</v>
      </c>
      <c r="C59" s="3" t="s">
        <v>1429</v>
      </c>
      <c r="D59" s="78" t="s">
        <v>1364</v>
      </c>
      <c r="E59" s="3" t="s">
        <v>1434</v>
      </c>
      <c r="F59" s="78" t="s">
        <v>1434</v>
      </c>
      <c r="G59" s="78" t="s">
        <v>1136</v>
      </c>
    </row>
    <row r="60" ht="32" customHeight="1" spans="1:8" x14ac:dyDescent="0.25">
      <c r="A60" s="3" t="s">
        <v>1435</v>
      </c>
      <c r="B60" s="3" t="s">
        <v>380</v>
      </c>
      <c r="C60" s="3" t="s">
        <v>1436</v>
      </c>
      <c r="D60" s="78" t="s">
        <v>1346</v>
      </c>
      <c r="E60" s="3" t="s">
        <v>1436</v>
      </c>
      <c r="F60" s="78"/>
      <c r="G60" s="78" t="s">
        <v>1183</v>
      </c>
    </row>
    <row r="61" ht="32" customHeight="1" spans="1:8" x14ac:dyDescent="0.25">
      <c r="A61" s="3" t="s">
        <v>1437</v>
      </c>
      <c r="B61" s="3" t="s">
        <v>380</v>
      </c>
      <c r="C61" s="3" t="s">
        <v>1438</v>
      </c>
      <c r="D61" s="78" t="s">
        <v>1346</v>
      </c>
      <c r="E61" s="3" t="s">
        <v>1438</v>
      </c>
      <c r="F61" s="78"/>
      <c r="G61" s="78" t="s">
        <v>1183</v>
      </c>
    </row>
    <row r="62" ht="32" customHeight="1" spans="1:8" x14ac:dyDescent="0.25">
      <c r="A62" s="3" t="s">
        <v>1439</v>
      </c>
      <c r="B62" s="3" t="s">
        <v>380</v>
      </c>
      <c r="C62" s="3" t="s">
        <v>1440</v>
      </c>
      <c r="D62" s="78" t="s">
        <v>1364</v>
      </c>
      <c r="E62" s="3" t="s">
        <v>1441</v>
      </c>
      <c r="F62" s="78" t="s">
        <v>1084</v>
      </c>
      <c r="G62" s="78" t="s">
        <v>1136</v>
      </c>
    </row>
    <row r="63" ht="32" customHeight="1" spans="1:8" x14ac:dyDescent="0.25">
      <c r="A63" s="3" t="s">
        <v>1442</v>
      </c>
      <c r="B63" s="3" t="s">
        <v>380</v>
      </c>
      <c r="C63" s="3" t="s">
        <v>1429</v>
      </c>
      <c r="D63" s="78" t="s">
        <v>1364</v>
      </c>
      <c r="E63" s="3" t="s">
        <v>1443</v>
      </c>
      <c r="F63" s="78" t="s">
        <v>1084</v>
      </c>
      <c r="G63" s="78" t="s">
        <v>1136</v>
      </c>
    </row>
    <row r="64" ht="32" customHeight="1" spans="1:8" x14ac:dyDescent="0.25">
      <c r="A64" s="3" t="s">
        <v>1444</v>
      </c>
      <c r="B64" s="3" t="s">
        <v>380</v>
      </c>
      <c r="C64" s="3" t="s">
        <v>1445</v>
      </c>
      <c r="D64" s="78" t="s">
        <v>1364</v>
      </c>
      <c r="E64" s="3" t="s">
        <v>1446</v>
      </c>
      <c r="F64" s="78" t="s">
        <v>1378</v>
      </c>
      <c r="G64" s="78" t="s">
        <v>1136</v>
      </c>
    </row>
    <row r="65" ht="32" customHeight="1" spans="1:8" x14ac:dyDescent="0.25">
      <c r="A65" s="3" t="s">
        <v>1447</v>
      </c>
      <c r="B65" s="3" t="s">
        <v>380</v>
      </c>
      <c r="C65" s="3" t="s">
        <v>1448</v>
      </c>
      <c r="D65" s="78" t="s">
        <v>1364</v>
      </c>
      <c r="E65" s="3" t="s">
        <v>1449</v>
      </c>
      <c r="F65" s="78" t="s">
        <v>1449</v>
      </c>
      <c r="G65" s="78" t="s">
        <v>1136</v>
      </c>
    </row>
    <row r="66" ht="32" customHeight="1" spans="1:8" x14ac:dyDescent="0.25">
      <c r="A66" s="3" t="s">
        <v>1450</v>
      </c>
      <c r="B66" s="3" t="s">
        <v>380</v>
      </c>
      <c r="C66" s="3" t="s">
        <v>1448</v>
      </c>
      <c r="D66" s="78" t="s">
        <v>1364</v>
      </c>
      <c r="E66" s="3" t="s">
        <v>1135</v>
      </c>
      <c r="F66" s="78" t="s">
        <v>1135</v>
      </c>
      <c r="G66" s="78" t="s">
        <v>1136</v>
      </c>
    </row>
    <row r="67" ht="32" customHeight="1" spans="1:8" x14ac:dyDescent="0.25">
      <c r="A67" s="3" t="s">
        <v>1451</v>
      </c>
      <c r="B67" s="3" t="s">
        <v>380</v>
      </c>
      <c r="C67" s="3" t="s">
        <v>1452</v>
      </c>
      <c r="D67" s="78" t="s">
        <v>1364</v>
      </c>
      <c r="E67" s="3" t="s">
        <v>1453</v>
      </c>
      <c r="F67" s="78" t="s">
        <v>1378</v>
      </c>
      <c r="G67" s="78" t="s">
        <v>1136</v>
      </c>
    </row>
    <row r="68" ht="32" customHeight="1" spans="1:8" x14ac:dyDescent="0.25">
      <c r="A68" s="3" t="s">
        <v>1454</v>
      </c>
      <c r="B68" s="3" t="s">
        <v>380</v>
      </c>
      <c r="C68" s="3" t="s">
        <v>1455</v>
      </c>
      <c r="D68" s="78" t="s">
        <v>1364</v>
      </c>
      <c r="E68" s="3" t="s">
        <v>580</v>
      </c>
      <c r="F68" s="78" t="s">
        <v>1378</v>
      </c>
      <c r="G68" s="78" t="s">
        <v>1136</v>
      </c>
    </row>
    <row r="69" ht="32" customHeight="1" spans="1:8" x14ac:dyDescent="0.25">
      <c r="A69" s="3" t="s">
        <v>1456</v>
      </c>
      <c r="B69" s="3" t="s">
        <v>380</v>
      </c>
      <c r="C69" s="3" t="s">
        <v>1457</v>
      </c>
      <c r="D69" s="78" t="s">
        <v>1364</v>
      </c>
      <c r="E69" s="3" t="s">
        <v>1458</v>
      </c>
      <c r="F69" s="78" t="s">
        <v>1406</v>
      </c>
      <c r="G69" s="78" t="s">
        <v>1136</v>
      </c>
    </row>
    <row r="70" ht="32" customHeight="1" spans="1:8" x14ac:dyDescent="0.25">
      <c r="A70" s="3" t="s">
        <v>1459</v>
      </c>
      <c r="B70" s="3" t="s">
        <v>380</v>
      </c>
      <c r="C70" s="3" t="s">
        <v>1460</v>
      </c>
      <c r="D70" s="78" t="s">
        <v>1364</v>
      </c>
      <c r="E70" s="3" t="s">
        <v>526</v>
      </c>
      <c r="F70" s="78" t="s">
        <v>1084</v>
      </c>
      <c r="G70" s="78" t="s">
        <v>1136</v>
      </c>
    </row>
    <row r="71" ht="32" customHeight="1" spans="1:8" x14ac:dyDescent="0.25">
      <c r="A71" s="3" t="s">
        <v>1461</v>
      </c>
      <c r="B71" s="3" t="s">
        <v>380</v>
      </c>
      <c r="C71" s="3" t="s">
        <v>1448</v>
      </c>
      <c r="D71" s="78" t="s">
        <v>1364</v>
      </c>
      <c r="E71" s="3" t="s">
        <v>391</v>
      </c>
      <c r="F71" s="78" t="s">
        <v>1084</v>
      </c>
      <c r="G71" s="78" t="s">
        <v>1136</v>
      </c>
    </row>
    <row r="72" ht="32" customHeight="1" spans="1:8" x14ac:dyDescent="0.25">
      <c r="A72" s="3" t="s">
        <v>1462</v>
      </c>
      <c r="B72" s="3" t="s">
        <v>380</v>
      </c>
      <c r="C72" s="3" t="s">
        <v>1463</v>
      </c>
      <c r="D72" s="78" t="s">
        <v>1364</v>
      </c>
      <c r="E72" s="3" t="s">
        <v>510</v>
      </c>
      <c r="F72" s="78" t="s">
        <v>1378</v>
      </c>
      <c r="G72" s="78" t="s">
        <v>1136</v>
      </c>
    </row>
    <row r="73" ht="32" customHeight="1" spans="1:8" x14ac:dyDescent="0.25">
      <c r="A73" s="3" t="s">
        <v>1464</v>
      </c>
      <c r="B73" s="3" t="s">
        <v>380</v>
      </c>
      <c r="C73" s="3" t="s">
        <v>1465</v>
      </c>
      <c r="D73" s="78" t="s">
        <v>1364</v>
      </c>
      <c r="E73" s="3" t="s">
        <v>1057</v>
      </c>
      <c r="F73" s="78" t="s">
        <v>1378</v>
      </c>
      <c r="G73" s="78" t="s">
        <v>1136</v>
      </c>
    </row>
    <row r="74" ht="32" customHeight="1" spans="1:8" x14ac:dyDescent="0.25">
      <c r="A74" s="3" t="s">
        <v>1466</v>
      </c>
      <c r="B74" s="3" t="s">
        <v>965</v>
      </c>
      <c r="C74" s="3" t="s">
        <v>1382</v>
      </c>
      <c r="D74" s="78" t="s">
        <v>1364</v>
      </c>
      <c r="E74" s="3" t="s">
        <v>1383</v>
      </c>
      <c r="F74" s="78" t="s">
        <v>1378</v>
      </c>
      <c r="G74" s="78" t="s">
        <v>1136</v>
      </c>
    </row>
    <row r="75" ht="32" customHeight="1" spans="1:8" x14ac:dyDescent="0.25">
      <c r="A75" s="3" t="s">
        <v>1467</v>
      </c>
      <c r="B75" s="3" t="s">
        <v>965</v>
      </c>
      <c r="C75" s="3" t="s">
        <v>1468</v>
      </c>
      <c r="D75" s="78" t="s">
        <v>1364</v>
      </c>
      <c r="E75" s="3" t="s">
        <v>1469</v>
      </c>
      <c r="F75" s="78" t="s">
        <v>1470</v>
      </c>
      <c r="G75" s="78" t="s">
        <v>1136</v>
      </c>
    </row>
    <row r="76" ht="32" customHeight="1" spans="1:8" x14ac:dyDescent="0.25">
      <c r="A76" s="3" t="s">
        <v>1471</v>
      </c>
      <c r="B76" s="3" t="s">
        <v>965</v>
      </c>
      <c r="C76" s="3" t="s">
        <v>1472</v>
      </c>
      <c r="D76" s="78" t="s">
        <v>1364</v>
      </c>
      <c r="E76" s="3" t="s">
        <v>1473</v>
      </c>
      <c r="F76" s="78" t="s">
        <v>1474</v>
      </c>
      <c r="G76" s="78" t="s">
        <v>1136</v>
      </c>
    </row>
    <row r="77" ht="32" customHeight="1" spans="1:8" x14ac:dyDescent="0.25">
      <c r="A77" s="3" t="s">
        <v>1475</v>
      </c>
      <c r="B77" s="3" t="s">
        <v>965</v>
      </c>
      <c r="C77" s="3" t="s">
        <v>1476</v>
      </c>
      <c r="D77" s="78" t="s">
        <v>1364</v>
      </c>
      <c r="E77" s="3" t="s">
        <v>1477</v>
      </c>
      <c r="F77" s="78" t="s">
        <v>1478</v>
      </c>
      <c r="G77" s="78" t="s">
        <v>1136</v>
      </c>
    </row>
    <row r="78" ht="32" customHeight="1" spans="1:8" x14ac:dyDescent="0.25">
      <c r="A78" s="3" t="s">
        <v>1479</v>
      </c>
      <c r="B78" s="3" t="s">
        <v>965</v>
      </c>
      <c r="C78" s="3" t="s">
        <v>1480</v>
      </c>
      <c r="D78" s="78" t="s">
        <v>1364</v>
      </c>
      <c r="E78" s="3" t="s">
        <v>1481</v>
      </c>
      <c r="F78" s="78" t="s">
        <v>1482</v>
      </c>
      <c r="G78" s="78" t="s">
        <v>1136</v>
      </c>
    </row>
    <row r="79" ht="32" customHeight="1" spans="1:8" x14ac:dyDescent="0.25">
      <c r="A79" s="3" t="s">
        <v>1483</v>
      </c>
      <c r="B79" s="3" t="s">
        <v>965</v>
      </c>
      <c r="C79" s="3" t="s">
        <v>1484</v>
      </c>
      <c r="D79" s="78" t="s">
        <v>1364</v>
      </c>
      <c r="E79" s="3" t="s">
        <v>1485</v>
      </c>
      <c r="F79" s="78" t="s">
        <v>1486</v>
      </c>
      <c r="G79" s="78" t="s">
        <v>1136</v>
      </c>
    </row>
    <row r="80" ht="32" customHeight="1" spans="1:8" x14ac:dyDescent="0.25">
      <c r="A80" s="3" t="s">
        <v>1487</v>
      </c>
      <c r="B80" s="3" t="s">
        <v>965</v>
      </c>
      <c r="C80" s="3" t="s">
        <v>1488</v>
      </c>
      <c r="D80" s="78" t="s">
        <v>1364</v>
      </c>
      <c r="E80" s="3" t="s">
        <v>1489</v>
      </c>
      <c r="F80" s="78" t="s">
        <v>1490</v>
      </c>
      <c r="G80" s="78" t="s">
        <v>1136</v>
      </c>
    </row>
    <row r="81" ht="32" customHeight="1" spans="1:8" x14ac:dyDescent="0.25">
      <c r="A81" s="3" t="s">
        <v>1491</v>
      </c>
      <c r="B81" s="3" t="s">
        <v>965</v>
      </c>
      <c r="C81" s="3" t="s">
        <v>1492</v>
      </c>
      <c r="D81" s="78" t="s">
        <v>1364</v>
      </c>
      <c r="E81" s="3" t="s">
        <v>1493</v>
      </c>
      <c r="F81" s="78" t="s">
        <v>1494</v>
      </c>
      <c r="G81" s="78" t="s">
        <v>1136</v>
      </c>
    </row>
    <row r="82" ht="32" customHeight="1" spans="1:8" x14ac:dyDescent="0.25">
      <c r="A82" s="3" t="s">
        <v>1495</v>
      </c>
      <c r="B82" s="3" t="s">
        <v>965</v>
      </c>
      <c r="C82" s="3" t="s">
        <v>1496</v>
      </c>
      <c r="D82" s="78" t="s">
        <v>1364</v>
      </c>
      <c r="E82" s="3" t="s">
        <v>1250</v>
      </c>
      <c r="F82" s="78" t="s">
        <v>1497</v>
      </c>
      <c r="G82" s="78" t="s">
        <v>1136</v>
      </c>
    </row>
    <row r="83" ht="32" customHeight="1" spans="1:8" x14ac:dyDescent="0.25">
      <c r="A83" s="3" t="s">
        <v>1498</v>
      </c>
      <c r="B83" s="3" t="s">
        <v>965</v>
      </c>
      <c r="C83" s="3" t="s">
        <v>1499</v>
      </c>
      <c r="D83" s="78" t="s">
        <v>1364</v>
      </c>
      <c r="E83" s="3" t="s">
        <v>1500</v>
      </c>
      <c r="F83" s="78" t="s">
        <v>1501</v>
      </c>
      <c r="G83" s="78" t="s">
        <v>1136</v>
      </c>
    </row>
    <row r="84" ht="32" customHeight="1" spans="1:8" x14ac:dyDescent="0.25">
      <c r="A84" s="3" t="s">
        <v>1502</v>
      </c>
      <c r="B84" s="3" t="s">
        <v>965</v>
      </c>
      <c r="C84" s="3" t="s">
        <v>1503</v>
      </c>
      <c r="D84" s="78" t="s">
        <v>1364</v>
      </c>
      <c r="E84" s="3" t="s">
        <v>1504</v>
      </c>
      <c r="F84" s="78" t="s">
        <v>1378</v>
      </c>
      <c r="G84" s="78" t="s">
        <v>1136</v>
      </c>
    </row>
    <row r="85" ht="32" customHeight="1" spans="1:8" x14ac:dyDescent="0.25">
      <c r="A85" s="3" t="s">
        <v>1505</v>
      </c>
      <c r="B85" s="3" t="s">
        <v>965</v>
      </c>
      <c r="C85" s="3" t="s">
        <v>1506</v>
      </c>
      <c r="D85" s="78" t="s">
        <v>1364</v>
      </c>
      <c r="E85" s="3" t="s">
        <v>1507</v>
      </c>
      <c r="F85" s="78" t="s">
        <v>1084</v>
      </c>
      <c r="G85" s="78" t="s">
        <v>1136</v>
      </c>
    </row>
    <row r="86" ht="32" customHeight="1" spans="1:8" x14ac:dyDescent="0.25">
      <c r="A86" s="3" t="s">
        <v>1508</v>
      </c>
      <c r="B86" s="3" t="s">
        <v>965</v>
      </c>
      <c r="C86" s="3" t="s">
        <v>1509</v>
      </c>
      <c r="D86" s="78" t="s">
        <v>1364</v>
      </c>
      <c r="E86" s="3" t="s">
        <v>1510</v>
      </c>
      <c r="F86" s="78" t="s">
        <v>1470</v>
      </c>
      <c r="G86" s="78" t="s">
        <v>1136</v>
      </c>
    </row>
    <row r="87" ht="32" customHeight="1" spans="1:8" x14ac:dyDescent="0.25">
      <c r="A87" s="3" t="s">
        <v>1511</v>
      </c>
      <c r="B87" s="3" t="s">
        <v>965</v>
      </c>
      <c r="C87" s="3" t="s">
        <v>1512</v>
      </c>
      <c r="D87" s="78" t="s">
        <v>1364</v>
      </c>
      <c r="E87" s="3" t="s">
        <v>1513</v>
      </c>
      <c r="F87" s="78" t="s">
        <v>1474</v>
      </c>
      <c r="G87" s="78" t="s">
        <v>1136</v>
      </c>
    </row>
    <row r="88" ht="32" customHeight="1" spans="1:8" x14ac:dyDescent="0.25">
      <c r="A88" s="3" t="s">
        <v>1514</v>
      </c>
      <c r="B88" s="3" t="s">
        <v>965</v>
      </c>
      <c r="C88" s="3" t="s">
        <v>1515</v>
      </c>
      <c r="D88" s="78" t="s">
        <v>1364</v>
      </c>
      <c r="E88" s="3" t="s">
        <v>1516</v>
      </c>
      <c r="F88" s="78" t="s">
        <v>1478</v>
      </c>
      <c r="G88" s="78" t="s">
        <v>1136</v>
      </c>
    </row>
    <row r="89" ht="32" customHeight="1" spans="1:8" x14ac:dyDescent="0.25">
      <c r="A89" s="3" t="s">
        <v>1517</v>
      </c>
      <c r="B89" s="3" t="s">
        <v>965</v>
      </c>
      <c r="C89" s="3" t="s">
        <v>1518</v>
      </c>
      <c r="D89" s="78" t="s">
        <v>1364</v>
      </c>
      <c r="E89" s="3" t="s">
        <v>1519</v>
      </c>
      <c r="F89" s="78" t="s">
        <v>1520</v>
      </c>
      <c r="G89" s="78" t="s">
        <v>1136</v>
      </c>
    </row>
    <row r="90" ht="32" customHeight="1" spans="1:8" x14ac:dyDescent="0.25">
      <c r="A90" s="3" t="s">
        <v>1521</v>
      </c>
      <c r="B90" s="3" t="s">
        <v>965</v>
      </c>
      <c r="C90" s="3" t="s">
        <v>1522</v>
      </c>
      <c r="D90" s="78" t="s">
        <v>1364</v>
      </c>
      <c r="E90" s="3" t="s">
        <v>1523</v>
      </c>
      <c r="F90" s="78" t="s">
        <v>1486</v>
      </c>
      <c r="G90" s="78" t="s">
        <v>1136</v>
      </c>
    </row>
    <row r="91" ht="32" customHeight="1" spans="1:8" x14ac:dyDescent="0.25">
      <c r="A91" s="3" t="s">
        <v>1524</v>
      </c>
      <c r="B91" s="3" t="s">
        <v>965</v>
      </c>
      <c r="C91" s="3" t="s">
        <v>1525</v>
      </c>
      <c r="D91" s="78" t="s">
        <v>1364</v>
      </c>
      <c r="E91" s="3" t="s">
        <v>1256</v>
      </c>
      <c r="F91" s="78" t="s">
        <v>1497</v>
      </c>
      <c r="G91" s="78" t="s">
        <v>1136</v>
      </c>
    </row>
    <row r="92" ht="32" customHeight="1" spans="1:8" x14ac:dyDescent="0.25">
      <c r="A92" s="3" t="s">
        <v>1526</v>
      </c>
      <c r="B92" s="3" t="s">
        <v>965</v>
      </c>
      <c r="C92" s="3" t="s">
        <v>1527</v>
      </c>
      <c r="D92" s="78" t="s">
        <v>1364</v>
      </c>
      <c r="E92" s="3" t="s">
        <v>1528</v>
      </c>
      <c r="F92" s="78" t="s">
        <v>1501</v>
      </c>
      <c r="G92" s="78" t="s">
        <v>1136</v>
      </c>
    </row>
    <row r="93" ht="32" customHeight="1" spans="1:8" x14ac:dyDescent="0.25">
      <c r="A93" s="3" t="s">
        <v>1529</v>
      </c>
      <c r="B93" s="3" t="s">
        <v>965</v>
      </c>
      <c r="C93" s="3" t="s">
        <v>1530</v>
      </c>
      <c r="D93" s="78" t="s">
        <v>1364</v>
      </c>
      <c r="E93" s="3" t="s">
        <v>966</v>
      </c>
      <c r="F93" s="78" t="s">
        <v>1084</v>
      </c>
      <c r="G93" s="78" t="s">
        <v>1136</v>
      </c>
    </row>
    <row r="94" ht="32" customHeight="1" spans="1:8" x14ac:dyDescent="0.25">
      <c r="A94" s="3" t="s">
        <v>1531</v>
      </c>
      <c r="B94" s="3" t="s">
        <v>965</v>
      </c>
      <c r="C94" s="3" t="s">
        <v>1448</v>
      </c>
      <c r="D94" s="78" t="s">
        <v>1364</v>
      </c>
      <c r="E94" s="3" t="s">
        <v>1449</v>
      </c>
      <c r="F94" s="78" t="s">
        <v>1449</v>
      </c>
      <c r="G94" s="78" t="s">
        <v>1136</v>
      </c>
    </row>
    <row r="95" ht="32" customHeight="1" spans="1:8" x14ac:dyDescent="0.25">
      <c r="A95" s="3" t="s">
        <v>1532</v>
      </c>
      <c r="B95" s="3" t="s">
        <v>965</v>
      </c>
      <c r="C95" s="3" t="s">
        <v>1448</v>
      </c>
      <c r="D95" s="78" t="s">
        <v>1364</v>
      </c>
      <c r="E95" s="3" t="s">
        <v>1135</v>
      </c>
      <c r="F95" s="78" t="s">
        <v>1135</v>
      </c>
      <c r="G95" s="78" t="s">
        <v>1136</v>
      </c>
    </row>
    <row r="96" ht="32" customHeight="1" spans="1:8" x14ac:dyDescent="0.25">
      <c r="A96" s="3" t="s">
        <v>1533</v>
      </c>
      <c r="B96" s="3" t="s">
        <v>965</v>
      </c>
      <c r="C96" s="3" t="s">
        <v>1534</v>
      </c>
      <c r="D96" s="78" t="s">
        <v>1364</v>
      </c>
      <c r="E96" s="3" t="s">
        <v>995</v>
      </c>
      <c r="F96" s="78"/>
      <c r="G96" s="78" t="s">
        <v>1136</v>
      </c>
    </row>
    <row r="97" ht="32" customHeight="1" spans="1:8" x14ac:dyDescent="0.25">
      <c r="A97" s="3" t="s">
        <v>1535</v>
      </c>
      <c r="B97" s="3" t="s">
        <v>965</v>
      </c>
      <c r="C97" s="3" t="s">
        <v>1536</v>
      </c>
      <c r="D97" s="78" t="s">
        <v>1364</v>
      </c>
      <c r="E97" s="3" t="s">
        <v>980</v>
      </c>
      <c r="F97" s="78" t="s">
        <v>1084</v>
      </c>
      <c r="G97" s="78" t="s">
        <v>1136</v>
      </c>
    </row>
    <row r="98" ht="32" customHeight="1" spans="1:8" x14ac:dyDescent="0.25">
      <c r="A98" s="3" t="s">
        <v>1537</v>
      </c>
      <c r="B98" s="3" t="s">
        <v>965</v>
      </c>
      <c r="C98" s="3" t="s">
        <v>1448</v>
      </c>
      <c r="D98" s="78" t="s">
        <v>1364</v>
      </c>
      <c r="E98" s="3" t="s">
        <v>391</v>
      </c>
      <c r="F98" s="78" t="s">
        <v>1084</v>
      </c>
      <c r="G98" s="78" t="s">
        <v>1136</v>
      </c>
    </row>
    <row r="99" ht="32" customHeight="1" spans="1:8" x14ac:dyDescent="0.25">
      <c r="A99" s="3" t="s">
        <v>1538</v>
      </c>
      <c r="B99" s="3" t="s">
        <v>965</v>
      </c>
      <c r="C99" s="3" t="s">
        <v>1463</v>
      </c>
      <c r="D99" s="78" t="s">
        <v>1364</v>
      </c>
      <c r="E99" s="3" t="s">
        <v>510</v>
      </c>
      <c r="F99" s="78" t="s">
        <v>1378</v>
      </c>
      <c r="G99" s="78" t="s">
        <v>1136</v>
      </c>
    </row>
    <row r="100" ht="32" customHeight="1" spans="1:8" x14ac:dyDescent="0.25">
      <c r="A100" s="3" t="s">
        <v>1539</v>
      </c>
      <c r="B100" s="3" t="s">
        <v>965</v>
      </c>
      <c r="C100" s="3" t="s">
        <v>1465</v>
      </c>
      <c r="D100" s="78" t="s">
        <v>1364</v>
      </c>
      <c r="E100" s="3" t="s">
        <v>1057</v>
      </c>
      <c r="F100" s="78" t="s">
        <v>1378</v>
      </c>
      <c r="G100" s="78" t="s">
        <v>1136</v>
      </c>
    </row>
    <row r="101" ht="32" customHeight="1" spans="1:8" x14ac:dyDescent="0.25">
      <c r="A101" s="3" t="s">
        <v>1540</v>
      </c>
      <c r="B101" s="3" t="s">
        <v>965</v>
      </c>
      <c r="C101" s="3" t="s">
        <v>1541</v>
      </c>
      <c r="D101" s="78" t="s">
        <v>1364</v>
      </c>
      <c r="E101" s="3" t="s">
        <v>1542</v>
      </c>
      <c r="F101" s="78" t="s">
        <v>1084</v>
      </c>
      <c r="G101" s="78" t="s">
        <v>1136</v>
      </c>
    </row>
    <row r="102" spans="1:8" x14ac:dyDescent="0.25">
      <c r="A102" s="3"/>
      <c r="B102" s="3"/>
      <c r="C102" s="3"/>
      <c r="D102" s="3"/>
      <c r="E102" s="3"/>
      <c r="F102" s="3"/>
      <c r="G102" s="3"/>
    </row>
    <row r="140" ht="15.75" customHeight="1" x14ac:dyDescent="0.25"/>
    <row r="141" ht="15.75" customHeight="1" x14ac:dyDescent="0.25"/>
    <row r="142" ht="15.75" customHeight="1" x14ac:dyDescent="0.25"/>
    <row r="143" ht="15.75" customHeight="1" x14ac:dyDescent="0.25"/>
    <row r="144" ht="15.75" customHeight="1" x14ac:dyDescent="0.25"/>
    <row r="155" ht="15.75" customHeight="1" x14ac:dyDescent="0.25"/>
    <row r="156" ht="15.75" customHeight="1" x14ac:dyDescent="0.25"/>
    <row r="157" ht="15.75" customHeight="1" spans="1:8" s="79" customFormat="1" x14ac:dyDescent="0.25">
      <c r="A157" s="79"/>
      <c r="B157" s="3"/>
      <c r="C157" s="3"/>
      <c r="D157" s="3"/>
      <c r="E157" s="3"/>
      <c r="F157" s="3"/>
      <c r="G157" s="3"/>
      <c r="H157" s="3"/>
    </row>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sheetData>
  <autoFilter ref="A1:G1"/>
  <pageMargins left="0.7086614173228347" right="0.7086614173228347" top="0.7480314960629921" bottom="0.7480314960629921" header="0.31496062992125984" footer="0.31496062992125984"/>
  <pageSetup paperSize="8" orientation="landscape" horizontalDpi="4294967295" verticalDpi="4294967295" scale="74" fitToWidth="1" fitToHeight="1" firstPageNumber="1" useFirstPageNumber="1" copies="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27"/>
  <sheetViews>
    <sheetView workbookViewId="0" zoomScale="100" zoomScaleNormal="100">
      <pane xSplit="5" ySplit="1" topLeftCell="G14" activePane="bottomRight" state="frozen"/>
      <selection pane="bottomRight" activeCell="V15" sqref="V15"/>
    </sheetView>
  </sheetViews>
  <sheetFormatPr defaultRowHeight="16" outlineLevelRow="0" outlineLevelCol="0" x14ac:dyDescent="0.2" defaultColWidth="10.83203125" customHeight="1"/>
  <cols>
    <col min="1" max="1" width="5.83203125" style="234" customWidth="1"/>
    <col min="2" max="2" width="17.1640625" style="190" hidden="1" customWidth="1"/>
    <col min="3" max="3" width="6.33203125" style="190" customWidth="1"/>
    <col min="4" max="4" width="6.5" style="234" customWidth="1"/>
    <col min="5" max="5" width="19.5" style="234" customWidth="1"/>
    <col min="6" max="6" width="23" style="190" customWidth="1"/>
    <col min="7" max="7" width="9.33203125" style="190" customWidth="1"/>
    <col min="8" max="8" width="11.33203125" style="190" customWidth="1"/>
    <col min="9" max="9" width="9" style="190" customWidth="1"/>
    <col min="10" max="29" width="9.33203125" style="190" customWidth="1"/>
    <col min="30" max="30" width="11.6640625" style="190" customWidth="1"/>
    <col min="31" max="38" width="9.33203125" style="190" customWidth="1"/>
    <col min="39" max="39" width="7.83203125" style="190" customWidth="1"/>
    <col min="40" max="40" width="8.6640625" style="190" customWidth="1"/>
    <col min="41" max="43" width="9.33203125" style="190" customWidth="1"/>
    <col min="44" max="44" width="10.83203125" style="190" customWidth="1"/>
    <col min="45" max="49" width="9.33203125" style="190" customWidth="1"/>
    <col min="50" max="50" width="15.5" style="190" customWidth="1"/>
    <col min="51" max="51" width="16.5" style="190" customWidth="1"/>
    <col min="52" max="52" width="9.33203125" style="190" customWidth="1"/>
    <col min="53" max="62" width="9.33203125" style="190" hidden="1" customWidth="1"/>
    <col min="63" max="63" width="4" style="190" customWidth="1"/>
    <col min="64" max="16384" width="10.83203125" style="190" customWidth="1"/>
  </cols>
  <sheetData>
    <row r="1" ht="12" customHeight="1" spans="1:41" s="235" customFormat="1" x14ac:dyDescent="0.25">
      <c r="A1" s="236"/>
      <c r="B1" s="237" t="s">
        <v>2115</v>
      </c>
      <c r="C1" s="237"/>
      <c r="D1" s="237"/>
      <c r="E1" s="237"/>
      <c r="F1" s="237"/>
      <c r="G1" s="238"/>
      <c r="H1" s="238"/>
      <c r="I1" s="238"/>
      <c r="J1" s="238"/>
      <c r="K1" s="238"/>
      <c r="L1" s="238"/>
      <c r="M1" s="238"/>
      <c r="N1" s="238"/>
      <c r="O1" s="238"/>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row>
    <row r="2" ht="12" customHeight="1" spans="1:62" s="235" customFormat="1" x14ac:dyDescent="0.25">
      <c r="A2" s="240"/>
      <c r="B2" s="240"/>
      <c r="C2" s="240"/>
      <c r="D2" s="240"/>
      <c r="E2" s="240"/>
      <c r="F2" s="240"/>
      <c r="G2" s="241" t="s">
        <v>2120</v>
      </c>
      <c r="H2" s="241" t="s">
        <v>2120</v>
      </c>
      <c r="I2" s="241" t="s">
        <v>2120</v>
      </c>
      <c r="J2" s="241" t="s">
        <v>2120</v>
      </c>
      <c r="K2" s="241" t="s">
        <v>2120</v>
      </c>
      <c r="L2" s="241" t="s">
        <v>2120</v>
      </c>
      <c r="M2" s="241" t="s">
        <v>2120</v>
      </c>
      <c r="N2" s="241" t="s">
        <v>2120</v>
      </c>
      <c r="O2" s="241" t="s">
        <v>2120</v>
      </c>
      <c r="P2" s="242" t="s">
        <v>2121</v>
      </c>
      <c r="Q2" s="241" t="s">
        <v>2122</v>
      </c>
      <c r="R2" s="241" t="s">
        <v>2122</v>
      </c>
      <c r="S2" s="241" t="s">
        <v>2122</v>
      </c>
      <c r="T2" s="241" t="s">
        <v>2122</v>
      </c>
      <c r="U2" s="241" t="s">
        <v>2122</v>
      </c>
      <c r="V2" s="241" t="s">
        <v>2122</v>
      </c>
      <c r="W2" s="241" t="s">
        <v>2122</v>
      </c>
      <c r="X2" s="241" t="s">
        <v>2122</v>
      </c>
      <c r="Y2" s="241" t="s">
        <v>2122</v>
      </c>
      <c r="Z2" s="241" t="s">
        <v>2122</v>
      </c>
      <c r="AA2" s="241" t="s">
        <v>2122</v>
      </c>
      <c r="AB2" s="241" t="s">
        <v>2122</v>
      </c>
      <c r="AC2" s="241" t="s">
        <v>2122</v>
      </c>
      <c r="AD2" s="241" t="s">
        <v>2122</v>
      </c>
      <c r="AE2" s="242" t="s">
        <v>2123</v>
      </c>
      <c r="AF2" s="241" t="s">
        <v>2124</v>
      </c>
      <c r="AG2" s="241" t="s">
        <v>2124</v>
      </c>
      <c r="AH2" s="241" t="s">
        <v>2124</v>
      </c>
      <c r="AI2" s="241" t="s">
        <v>2124</v>
      </c>
      <c r="AJ2" s="241" t="s">
        <v>2124</v>
      </c>
      <c r="AK2" s="241" t="s">
        <v>2124</v>
      </c>
      <c r="AL2" s="241" t="s">
        <v>2124</v>
      </c>
      <c r="AM2" s="241" t="s">
        <v>2124</v>
      </c>
      <c r="AN2" s="241" t="s">
        <v>2124</v>
      </c>
      <c r="AO2" s="243" t="s">
        <v>2125</v>
      </c>
      <c r="BA2" s="244"/>
      <c r="BB2" s="244"/>
      <c r="BC2" s="244"/>
      <c r="BD2" s="244"/>
      <c r="BE2" s="244"/>
      <c r="BF2" s="244"/>
      <c r="BG2" s="244"/>
      <c r="BH2" s="244"/>
      <c r="BI2" s="244"/>
      <c r="BJ2" s="205"/>
    </row>
    <row r="3" ht="36" customHeight="1" spans="1:62" s="235" customFormat="1" x14ac:dyDescent="0.25">
      <c r="A3" s="240"/>
      <c r="B3" s="240"/>
      <c r="C3" s="240"/>
      <c r="D3" s="240"/>
      <c r="E3" s="240"/>
      <c r="F3" s="240"/>
      <c r="G3" s="241" t="s">
        <v>2140</v>
      </c>
      <c r="H3" s="241" t="s">
        <v>2141</v>
      </c>
      <c r="I3" s="241" t="s">
        <v>2142</v>
      </c>
      <c r="J3" s="241" t="s">
        <v>2143</v>
      </c>
      <c r="K3" s="241" t="s">
        <v>2144</v>
      </c>
      <c r="L3" s="241" t="s">
        <v>2145</v>
      </c>
      <c r="M3" s="241" t="s">
        <v>192</v>
      </c>
      <c r="N3" s="241" t="s">
        <v>256</v>
      </c>
      <c r="O3" s="241" t="s">
        <v>2146</v>
      </c>
      <c r="P3" s="242"/>
      <c r="Q3" s="241" t="s">
        <v>2147</v>
      </c>
      <c r="R3" s="241" t="s">
        <v>2148</v>
      </c>
      <c r="S3" s="241" t="s">
        <v>2149</v>
      </c>
      <c r="T3" s="241" t="s">
        <v>2150</v>
      </c>
      <c r="U3" s="241" t="s">
        <v>2151</v>
      </c>
      <c r="V3" s="241" t="s">
        <v>2152</v>
      </c>
      <c r="W3" s="241" t="s">
        <v>2153</v>
      </c>
      <c r="X3" s="241" t="s">
        <v>2154</v>
      </c>
      <c r="Y3" s="241" t="s">
        <v>2155</v>
      </c>
      <c r="Z3" s="241" t="s">
        <v>2156</v>
      </c>
      <c r="AA3" s="241" t="s">
        <v>2157</v>
      </c>
      <c r="AB3" s="241" t="s">
        <v>2158</v>
      </c>
      <c r="AC3" s="245" t="s">
        <v>2347</v>
      </c>
      <c r="AD3" s="241" t="s">
        <v>2159</v>
      </c>
      <c r="AE3" s="242"/>
      <c r="AF3" s="241" t="s">
        <v>2160</v>
      </c>
      <c r="AG3" s="241" t="s">
        <v>2161</v>
      </c>
      <c r="AH3" s="241" t="s">
        <v>2162</v>
      </c>
      <c r="AI3" s="241" t="s">
        <v>2163</v>
      </c>
      <c r="AJ3" s="241" t="s">
        <v>2164</v>
      </c>
      <c r="AK3" s="241" t="s">
        <v>2165</v>
      </c>
      <c r="AL3" s="241" t="s">
        <v>2166</v>
      </c>
      <c r="AM3" s="241" t="s">
        <v>2167</v>
      </c>
      <c r="AN3" s="241" t="s">
        <v>2168</v>
      </c>
      <c r="AO3" s="246"/>
      <c r="BA3" s="244"/>
      <c r="BB3" s="244"/>
      <c r="BC3" s="244"/>
      <c r="BD3" s="244"/>
      <c r="BE3" s="244"/>
      <c r="BF3" s="244"/>
      <c r="BG3" s="244"/>
      <c r="BH3" s="244"/>
      <c r="BI3" s="244"/>
      <c r="BJ3" s="205"/>
    </row>
    <row r="4" ht="60" customHeight="1" spans="1:62" s="235" customFormat="1" x14ac:dyDescent="0.25">
      <c r="A4" s="247"/>
      <c r="B4" s="248" t="s">
        <v>2169</v>
      </c>
      <c r="C4" s="248" t="s">
        <v>2170</v>
      </c>
      <c r="D4" s="248" t="s">
        <v>37</v>
      </c>
      <c r="E4" s="248" t="s">
        <v>2171</v>
      </c>
      <c r="F4" s="248" t="s">
        <v>2172</v>
      </c>
      <c r="G4" s="241" t="s">
        <v>2188</v>
      </c>
      <c r="H4" s="241" t="s">
        <v>2189</v>
      </c>
      <c r="I4" s="241" t="s">
        <v>2190</v>
      </c>
      <c r="J4" s="241" t="s">
        <v>2191</v>
      </c>
      <c r="K4" s="241" t="s">
        <v>2192</v>
      </c>
      <c r="L4" s="241" t="s">
        <v>2193</v>
      </c>
      <c r="M4" s="241" t="s">
        <v>192</v>
      </c>
      <c r="N4" s="241" t="s">
        <v>2194</v>
      </c>
      <c r="O4" s="241" t="s">
        <v>2348</v>
      </c>
      <c r="P4" s="242"/>
      <c r="Q4" s="241" t="s">
        <v>2196</v>
      </c>
      <c r="R4" s="241" t="s">
        <v>2197</v>
      </c>
      <c r="S4" s="241" t="s">
        <v>2198</v>
      </c>
      <c r="T4" s="241" t="s">
        <v>2199</v>
      </c>
      <c r="U4" s="241" t="s">
        <v>2200</v>
      </c>
      <c r="V4" s="241" t="s">
        <v>2201</v>
      </c>
      <c r="W4" s="241" t="s">
        <v>2202</v>
      </c>
      <c r="X4" s="241" t="s">
        <v>2203</v>
      </c>
      <c r="Y4" s="241" t="s">
        <v>2204</v>
      </c>
      <c r="Z4" s="241" t="s">
        <v>2205</v>
      </c>
      <c r="AA4" s="241" t="s">
        <v>2206</v>
      </c>
      <c r="AB4" s="241" t="s">
        <v>2207</v>
      </c>
      <c r="AC4" s="245" t="s">
        <v>2347</v>
      </c>
      <c r="AD4" s="241" t="s">
        <v>2209</v>
      </c>
      <c r="AE4" s="242"/>
      <c r="AF4" s="241" t="s">
        <v>2210</v>
      </c>
      <c r="AG4" s="241" t="s">
        <v>2211</v>
      </c>
      <c r="AH4" s="241" t="s">
        <v>2212</v>
      </c>
      <c r="AI4" s="241" t="s">
        <v>2213</v>
      </c>
      <c r="AJ4" s="241" t="s">
        <v>2214</v>
      </c>
      <c r="AK4" s="241" t="s">
        <v>2215</v>
      </c>
      <c r="AL4" s="241" t="s">
        <v>2216</v>
      </c>
      <c r="AM4" s="241" t="s">
        <v>2217</v>
      </c>
      <c r="AN4" s="241" t="s">
        <v>2218</v>
      </c>
      <c r="AO4" s="249"/>
      <c r="BA4" s="244"/>
      <c r="BB4" s="244"/>
      <c r="BC4" s="244"/>
      <c r="BD4" s="244"/>
      <c r="BE4" s="244"/>
      <c r="BF4" s="244"/>
      <c r="BG4" s="244"/>
      <c r="BH4" s="244"/>
      <c r="BI4" s="244"/>
      <c r="BJ4" s="205"/>
    </row>
    <row r="5" ht="293" customHeight="1" spans="1:62" s="235" customFormat="1" x14ac:dyDescent="0.25">
      <c r="A5" s="250" t="s">
        <v>2219</v>
      </c>
      <c r="B5" s="251"/>
      <c r="C5" s="251"/>
      <c r="D5" s="252"/>
      <c r="E5" s="252" t="s">
        <v>2220</v>
      </c>
      <c r="F5" s="252" t="s">
        <v>2221</v>
      </c>
      <c r="G5" s="253" t="s">
        <v>2349</v>
      </c>
      <c r="H5" s="253" t="s">
        <v>2350</v>
      </c>
      <c r="I5" s="254"/>
      <c r="J5" s="254"/>
      <c r="K5" s="254"/>
      <c r="L5" s="254"/>
      <c r="M5" s="253"/>
      <c r="N5" s="253" t="s">
        <v>2351</v>
      </c>
      <c r="O5" s="253"/>
      <c r="P5" s="255">
        <f>SUMIF($G$2:O$2,O$2,$G5:O5)</f>
        <v>0</v>
      </c>
      <c r="Q5" s="254"/>
      <c r="R5" s="254"/>
      <c r="S5" s="254"/>
      <c r="T5" s="254"/>
      <c r="U5" s="254"/>
      <c r="V5" s="254"/>
      <c r="W5" s="253" t="s">
        <v>2352</v>
      </c>
      <c r="X5" s="253" t="s">
        <v>2353</v>
      </c>
      <c r="Y5" s="253" t="s">
        <v>2354</v>
      </c>
      <c r="Z5" s="253" t="s">
        <v>2355</v>
      </c>
      <c r="AA5" s="253" t="s">
        <v>2356</v>
      </c>
      <c r="AB5" s="253" t="s">
        <v>2357</v>
      </c>
      <c r="AC5" s="253" t="s">
        <v>2358</v>
      </c>
      <c r="AD5" s="253" t="s">
        <v>2359</v>
      </c>
      <c r="AE5" s="256">
        <f>SUMIF($G$2:AD$2,Y$2,$G5:AD5)</f>
        <v>0</v>
      </c>
      <c r="AF5" s="257"/>
      <c r="AG5" s="257"/>
      <c r="AH5" s="258"/>
      <c r="AI5" s="258"/>
      <c r="AJ5" s="258"/>
      <c r="AK5" s="258"/>
      <c r="AL5" s="258"/>
      <c r="AM5" s="258"/>
      <c r="AN5" s="257"/>
      <c r="AO5" s="256">
        <f>SUMIF($G$2:AN$2,AN$2,$G5:AN5)</f>
        <v>0</v>
      </c>
      <c r="BA5" s="259"/>
      <c r="BB5" s="259"/>
      <c r="BC5" s="260"/>
      <c r="BD5" s="260"/>
      <c r="BE5" s="260"/>
      <c r="BF5" s="260"/>
      <c r="BG5" s="260"/>
      <c r="BH5" s="260"/>
      <c r="BI5" s="259"/>
      <c r="BJ5" s="261"/>
    </row>
    <row r="6" ht="409.6" customHeight="1" spans="1:62" s="235" customFormat="1" x14ac:dyDescent="0.25">
      <c r="A6" s="250" t="s">
        <v>2219</v>
      </c>
      <c r="B6" s="251"/>
      <c r="C6" s="251"/>
      <c r="D6" s="252"/>
      <c r="E6" s="252" t="s">
        <v>2222</v>
      </c>
      <c r="F6" s="252" t="s">
        <v>2223</v>
      </c>
      <c r="G6" s="254"/>
      <c r="H6" s="254"/>
      <c r="I6" s="253" t="s">
        <v>2360</v>
      </c>
      <c r="J6" s="253" t="s">
        <v>2361</v>
      </c>
      <c r="K6" s="253" t="s">
        <v>2362</v>
      </c>
      <c r="L6" s="253" t="s">
        <v>2363</v>
      </c>
      <c r="M6" s="253" t="s">
        <v>2364</v>
      </c>
      <c r="N6" s="253" t="s">
        <v>2365</v>
      </c>
      <c r="O6" s="253" t="s">
        <v>2366</v>
      </c>
      <c r="P6" s="255">
        <f>SUMIF($G$2:O$2,O$2,$G6:O6)</f>
        <v>0</v>
      </c>
      <c r="Q6" s="253" t="s">
        <v>2367</v>
      </c>
      <c r="R6" s="253" t="s">
        <v>2368</v>
      </c>
      <c r="S6" s="253" t="s">
        <v>2369</v>
      </c>
      <c r="T6" s="253" t="s">
        <v>2370</v>
      </c>
      <c r="U6" s="253" t="s">
        <v>2371</v>
      </c>
      <c r="V6" s="253" t="s">
        <v>2372</v>
      </c>
      <c r="W6" s="254"/>
      <c r="X6" s="254"/>
      <c r="Y6" s="254"/>
      <c r="Z6" s="254"/>
      <c r="AA6" s="254"/>
      <c r="AB6" s="253" t="s">
        <v>2373</v>
      </c>
      <c r="AC6" s="253"/>
      <c r="AD6" s="253" t="s">
        <v>2374</v>
      </c>
      <c r="AE6" s="256">
        <f>SUMIF($G$2:AD$2,Y$2,$G6:AD6)</f>
        <v>0</v>
      </c>
      <c r="AF6" s="257"/>
      <c r="AG6" s="258"/>
      <c r="AH6" s="258"/>
      <c r="AI6" s="258"/>
      <c r="AJ6" s="258"/>
      <c r="AK6" s="258"/>
      <c r="AL6" s="258"/>
      <c r="AM6" s="258"/>
      <c r="AN6" s="257"/>
      <c r="AO6" s="256">
        <f>SUMIF($G$2:AN$2,AN$2,$G6:AN6)</f>
        <v>0</v>
      </c>
      <c r="BA6" s="259"/>
      <c r="BB6" s="260"/>
      <c r="BC6" s="260"/>
      <c r="BD6" s="260"/>
      <c r="BE6" s="260"/>
      <c r="BF6" s="260"/>
      <c r="BG6" s="260"/>
      <c r="BH6" s="260"/>
      <c r="BI6" s="259"/>
      <c r="BJ6" s="261"/>
    </row>
    <row r="7" ht="48" customHeight="1" spans="1:62" s="235" customFormat="1" x14ac:dyDescent="0.25">
      <c r="A7" s="250" t="s">
        <v>2219</v>
      </c>
      <c r="B7" s="251"/>
      <c r="C7" s="251"/>
      <c r="D7" s="252"/>
      <c r="E7" s="252" t="s">
        <v>2225</v>
      </c>
      <c r="F7" s="252" t="s">
        <v>2226</v>
      </c>
      <c r="G7" s="254"/>
      <c r="H7" s="253" t="s">
        <v>2375</v>
      </c>
      <c r="I7" s="253" t="s">
        <v>2376</v>
      </c>
      <c r="J7" s="254"/>
      <c r="K7" s="254"/>
      <c r="L7" s="254"/>
      <c r="M7" s="253" t="s">
        <v>2377</v>
      </c>
      <c r="N7" s="253" t="s">
        <v>2378</v>
      </c>
      <c r="O7" s="253" t="s">
        <v>2379</v>
      </c>
      <c r="P7" s="255">
        <f>SUMIF($G$2:O$2,O$2,$G7:O7)</f>
        <v>0</v>
      </c>
      <c r="Q7" s="254"/>
      <c r="R7" s="254"/>
      <c r="S7" s="254"/>
      <c r="T7" s="254"/>
      <c r="U7" s="254"/>
      <c r="V7" s="254"/>
      <c r="W7" s="254"/>
      <c r="X7" s="254"/>
      <c r="Y7" s="254"/>
      <c r="Z7" s="254"/>
      <c r="AA7" s="254"/>
      <c r="AB7" s="254"/>
      <c r="AC7" s="254"/>
      <c r="AD7" s="253" t="s">
        <v>2380</v>
      </c>
      <c r="AE7" s="256">
        <f>SUMIF($G$2:AD$2,Y$2,$G7:AD7)</f>
        <v>0</v>
      </c>
      <c r="AF7" s="257"/>
      <c r="AG7" s="257"/>
      <c r="AH7" s="257"/>
      <c r="AI7" s="257"/>
      <c r="AJ7" s="257"/>
      <c r="AK7" s="257"/>
      <c r="AL7" s="257"/>
      <c r="AM7" s="257"/>
      <c r="AN7" s="262"/>
      <c r="AO7" s="256">
        <f>SUMIF($G$2:AN$2,AN$2,$G7:AN7)</f>
        <v>0</v>
      </c>
      <c r="BA7" s="259"/>
      <c r="BB7" s="259"/>
      <c r="BC7" s="259"/>
      <c r="BD7" s="259"/>
      <c r="BE7" s="259"/>
      <c r="BF7" s="259"/>
      <c r="BG7" s="259"/>
      <c r="BH7" s="259"/>
      <c r="BI7" s="263"/>
      <c r="BJ7" s="261"/>
    </row>
    <row r="8" ht="63" customHeight="1" spans="1:62" s="235" customFormat="1" x14ac:dyDescent="0.25">
      <c r="A8" s="250" t="s">
        <v>2219</v>
      </c>
      <c r="B8" s="251"/>
      <c r="C8" s="251"/>
      <c r="D8" s="252"/>
      <c r="E8" s="252" t="s">
        <v>2229</v>
      </c>
      <c r="F8" s="252" t="s">
        <v>2230</v>
      </c>
      <c r="G8" s="264"/>
      <c r="H8" s="253" t="s">
        <v>2381</v>
      </c>
      <c r="I8" s="253" t="s">
        <v>2382</v>
      </c>
      <c r="J8" s="264"/>
      <c r="K8" s="264"/>
      <c r="L8" s="264"/>
      <c r="M8" s="253" t="s">
        <v>2383</v>
      </c>
      <c r="N8" s="253" t="s">
        <v>2384</v>
      </c>
      <c r="O8" s="253" t="s">
        <v>2385</v>
      </c>
      <c r="P8" s="255">
        <f>SUMIF($G$2:O$2,O$2,$G8:O8)</f>
        <v>0</v>
      </c>
      <c r="Q8" s="254"/>
      <c r="R8" s="254"/>
      <c r="S8" s="254"/>
      <c r="T8" s="254"/>
      <c r="U8" s="254"/>
      <c r="V8" s="254"/>
      <c r="W8" s="254"/>
      <c r="X8" s="254"/>
      <c r="Y8" s="254"/>
      <c r="Z8" s="254"/>
      <c r="AA8" s="254"/>
      <c r="AB8" s="254"/>
      <c r="AC8" s="254"/>
      <c r="AD8" s="253" t="s">
        <v>2386</v>
      </c>
      <c r="AE8" s="256">
        <f>SUMIF($G$2:AD$2,Y$2,$G8:AD8)</f>
        <v>0</v>
      </c>
      <c r="AF8" s="257"/>
      <c r="AG8" s="257"/>
      <c r="AH8" s="257"/>
      <c r="AI8" s="257"/>
      <c r="AJ8" s="257"/>
      <c r="AK8" s="257"/>
      <c r="AL8" s="257"/>
      <c r="AM8" s="257"/>
      <c r="AN8" s="257"/>
      <c r="AO8" s="256">
        <f>SUMIF($G$2:AN$2,AN$2,$G8:AN8)</f>
        <v>0</v>
      </c>
      <c r="BA8" s="259"/>
      <c r="BB8" s="259"/>
      <c r="BC8" s="259"/>
      <c r="BD8" s="259"/>
      <c r="BE8" s="259"/>
      <c r="BF8" s="259"/>
      <c r="BG8" s="259"/>
      <c r="BH8" s="259"/>
      <c r="BI8" s="259"/>
      <c r="BJ8" s="261"/>
    </row>
    <row r="9" ht="156" customHeight="1" spans="1:62" s="235" customFormat="1" x14ac:dyDescent="0.25">
      <c r="A9" s="250" t="s">
        <v>2219</v>
      </c>
      <c r="B9" s="251"/>
      <c r="C9" s="251"/>
      <c r="D9" s="252"/>
      <c r="E9" s="252" t="s">
        <v>2231</v>
      </c>
      <c r="F9" s="252" t="s">
        <v>2232</v>
      </c>
      <c r="G9" s="265"/>
      <c r="H9" s="253" t="s">
        <v>2387</v>
      </c>
      <c r="I9" s="253" t="s">
        <v>2388</v>
      </c>
      <c r="J9" s="266"/>
      <c r="K9" s="266"/>
      <c r="L9" s="266"/>
      <c r="M9" s="253" t="s">
        <v>2389</v>
      </c>
      <c r="N9" s="253" t="s">
        <v>2390</v>
      </c>
      <c r="O9" s="253" t="s">
        <v>2391</v>
      </c>
      <c r="P9" s="267">
        <f>SUMIF($G$2:O$2,O$2,$G9:O9)</f>
        <v>0</v>
      </c>
      <c r="Q9" s="254"/>
      <c r="R9" s="254"/>
      <c r="S9" s="254"/>
      <c r="T9" s="254"/>
      <c r="U9" s="254"/>
      <c r="V9" s="254"/>
      <c r="W9" s="254"/>
      <c r="X9" s="254"/>
      <c r="Y9" s="254"/>
      <c r="Z9" s="254"/>
      <c r="AA9" s="254"/>
      <c r="AB9" s="254"/>
      <c r="AC9" s="254"/>
      <c r="AD9" s="253" t="s">
        <v>2392</v>
      </c>
      <c r="AE9" s="256">
        <f>SUMIF($G$2:AD$2,Y$2,$G9:AD9)</f>
        <v>0</v>
      </c>
      <c r="AF9" s="257"/>
      <c r="AG9" s="257"/>
      <c r="AH9" s="257"/>
      <c r="AI9" s="257"/>
      <c r="AJ9" s="257"/>
      <c r="AK9" s="257"/>
      <c r="AL9" s="257"/>
      <c r="AM9" s="257"/>
      <c r="AN9" s="257"/>
      <c r="AO9" s="256">
        <f>SUMIF($G$2:AN$2,AN$2,$G9:AN9)</f>
        <v>0</v>
      </c>
      <c r="BA9" s="259"/>
      <c r="BB9" s="259"/>
      <c r="BC9" s="259"/>
      <c r="BD9" s="259"/>
      <c r="BE9" s="259"/>
      <c r="BF9" s="259"/>
      <c r="BG9" s="259"/>
      <c r="BH9" s="259"/>
      <c r="BI9" s="259"/>
      <c r="BJ9" s="261"/>
    </row>
    <row r="10" ht="72" customHeight="1" spans="1:62" s="235" customFormat="1" x14ac:dyDescent="0.25">
      <c r="A10" s="250" t="s">
        <v>2219</v>
      </c>
      <c r="B10" s="251"/>
      <c r="C10" s="251"/>
      <c r="D10" s="252"/>
      <c r="E10" s="252" t="s">
        <v>2233</v>
      </c>
      <c r="F10" s="252" t="s">
        <v>2234</v>
      </c>
      <c r="G10" s="265"/>
      <c r="H10" s="253" t="s">
        <v>2393</v>
      </c>
      <c r="I10" s="253" t="s">
        <v>2394</v>
      </c>
      <c r="J10" s="266"/>
      <c r="K10" s="266"/>
      <c r="L10" s="266"/>
      <c r="M10" s="253" t="s">
        <v>2395</v>
      </c>
      <c r="N10" s="253" t="s">
        <v>2396</v>
      </c>
      <c r="O10" s="253" t="s">
        <v>2397</v>
      </c>
      <c r="P10" s="267">
        <f>SUMIF($G$2:O$2,O$2,$G10:O10)</f>
        <v>0</v>
      </c>
      <c r="Q10" s="254"/>
      <c r="R10" s="254"/>
      <c r="S10" s="254"/>
      <c r="T10" s="254"/>
      <c r="U10" s="254"/>
      <c r="V10" s="254"/>
      <c r="W10" s="254"/>
      <c r="X10" s="254"/>
      <c r="Y10" s="254"/>
      <c r="Z10" s="254"/>
      <c r="AA10" s="254"/>
      <c r="AB10" s="254"/>
      <c r="AC10" s="254"/>
      <c r="AD10" s="253" t="s">
        <v>2398</v>
      </c>
      <c r="AE10" s="256">
        <f>SUMIF($G$2:AD$2,Y$2,$G10:AD10)</f>
        <v>0</v>
      </c>
      <c r="AF10" s="257"/>
      <c r="AG10" s="257"/>
      <c r="AH10" s="257"/>
      <c r="AI10" s="257"/>
      <c r="AJ10" s="257"/>
      <c r="AK10" s="257"/>
      <c r="AL10" s="257"/>
      <c r="AM10" s="257"/>
      <c r="AN10" s="257"/>
      <c r="AO10" s="256">
        <f>SUMIF($G$2:AN$2,AN$2,$G10:AN10)</f>
        <v>0</v>
      </c>
      <c r="BA10" s="259"/>
      <c r="BB10" s="259"/>
      <c r="BC10" s="259"/>
      <c r="BD10" s="259"/>
      <c r="BE10" s="259"/>
      <c r="BF10" s="259"/>
      <c r="BG10" s="259"/>
      <c r="BH10" s="259"/>
      <c r="BI10" s="259"/>
      <c r="BJ10" s="261"/>
    </row>
    <row r="11" ht="72" customHeight="1" spans="1:62" s="235" customFormat="1" x14ac:dyDescent="0.25">
      <c r="A11" s="250" t="s">
        <v>2219</v>
      </c>
      <c r="B11" s="251"/>
      <c r="C11" s="251"/>
      <c r="D11" s="252"/>
      <c r="E11" s="252" t="s">
        <v>2235</v>
      </c>
      <c r="F11" s="252" t="s">
        <v>2236</v>
      </c>
      <c r="G11" s="265"/>
      <c r="H11" s="253" t="s">
        <v>2399</v>
      </c>
      <c r="I11" s="253" t="s">
        <v>2400</v>
      </c>
      <c r="J11" s="266"/>
      <c r="K11" s="266"/>
      <c r="L11" s="266"/>
      <c r="M11" s="253" t="s">
        <v>2401</v>
      </c>
      <c r="N11" s="253" t="s">
        <v>2402</v>
      </c>
      <c r="O11" s="253" t="s">
        <v>2403</v>
      </c>
      <c r="P11" s="267">
        <f>SUMIF($G$2:O$2,O$2,$G11:O11)</f>
        <v>0</v>
      </c>
      <c r="Q11" s="254"/>
      <c r="R11" s="254"/>
      <c r="S11" s="254"/>
      <c r="T11" s="254"/>
      <c r="U11" s="254"/>
      <c r="V11" s="254"/>
      <c r="W11" s="254"/>
      <c r="X11" s="254"/>
      <c r="Y11" s="254"/>
      <c r="Z11" s="254"/>
      <c r="AA11" s="254"/>
      <c r="AB11" s="254"/>
      <c r="AC11" s="254"/>
      <c r="AD11" s="253" t="s">
        <v>2404</v>
      </c>
      <c r="AE11" s="256">
        <f>SUMIF($G$2:AD$2,Y$2,$G11:AD11)</f>
        <v>0</v>
      </c>
      <c r="AF11" s="257"/>
      <c r="AG11" s="257"/>
      <c r="AH11" s="257"/>
      <c r="AI11" s="257"/>
      <c r="AJ11" s="257"/>
      <c r="AK11" s="257"/>
      <c r="AL11" s="257"/>
      <c r="AM11" s="257"/>
      <c r="AN11" s="257"/>
      <c r="AO11" s="256">
        <f>SUMIF($G$2:AN$2,AN$2,$G11:AN11)</f>
        <v>0</v>
      </c>
      <c r="BA11" s="259"/>
      <c r="BB11" s="259"/>
      <c r="BC11" s="259"/>
      <c r="BD11" s="259"/>
      <c r="BE11" s="259"/>
      <c r="BF11" s="259"/>
      <c r="BG11" s="259"/>
      <c r="BH11" s="259"/>
      <c r="BI11" s="259"/>
      <c r="BJ11" s="261"/>
    </row>
    <row r="12" ht="72" customHeight="1" spans="1:62" s="235" customFormat="1" x14ac:dyDescent="0.25">
      <c r="A12" s="250" t="s">
        <v>2219</v>
      </c>
      <c r="B12" s="251"/>
      <c r="C12" s="251"/>
      <c r="D12" s="252"/>
      <c r="E12" s="252" t="s">
        <v>2237</v>
      </c>
      <c r="F12" s="252" t="s">
        <v>2238</v>
      </c>
      <c r="G12" s="265"/>
      <c r="H12" s="253" t="s">
        <v>2405</v>
      </c>
      <c r="I12" s="253" t="s">
        <v>2406</v>
      </c>
      <c r="J12" s="266"/>
      <c r="K12" s="266"/>
      <c r="L12" s="266"/>
      <c r="M12" s="253" t="s">
        <v>2407</v>
      </c>
      <c r="N12" s="253" t="s">
        <v>2408</v>
      </c>
      <c r="O12" s="253" t="s">
        <v>2409</v>
      </c>
      <c r="P12" s="267">
        <f>SUMIF($G$2:O$2,O$2,$G12:O12)</f>
        <v>0</v>
      </c>
      <c r="Q12" s="254"/>
      <c r="R12" s="254"/>
      <c r="S12" s="254"/>
      <c r="T12" s="254"/>
      <c r="U12" s="254"/>
      <c r="V12" s="254"/>
      <c r="W12" s="254"/>
      <c r="X12" s="254"/>
      <c r="Y12" s="254"/>
      <c r="Z12" s="254"/>
      <c r="AA12" s="254"/>
      <c r="AB12" s="254"/>
      <c r="AC12" s="254"/>
      <c r="AD12" s="253" t="s">
        <v>2410</v>
      </c>
      <c r="AE12" s="256">
        <f>SUMIF($G$2:AD$2,Y$2,$G12:AD12)</f>
        <v>0</v>
      </c>
      <c r="AF12" s="257"/>
      <c r="AG12" s="257"/>
      <c r="AH12" s="257"/>
      <c r="AI12" s="257"/>
      <c r="AJ12" s="257"/>
      <c r="AK12" s="257"/>
      <c r="AL12" s="257"/>
      <c r="AM12" s="257"/>
      <c r="AN12" s="257"/>
      <c r="AO12" s="256">
        <f>SUMIF($G$2:AN$2,AN$2,$G12:AN12)</f>
        <v>0</v>
      </c>
      <c r="BA12" s="259"/>
      <c r="BB12" s="259"/>
      <c r="BC12" s="259"/>
      <c r="BD12" s="259"/>
      <c r="BE12" s="259"/>
      <c r="BF12" s="259"/>
      <c r="BG12" s="259"/>
      <c r="BH12" s="259"/>
      <c r="BI12" s="259"/>
      <c r="BJ12" s="261"/>
    </row>
    <row r="13" ht="79" customHeight="1" spans="1:62" s="235" customFormat="1" x14ac:dyDescent="0.25">
      <c r="A13" s="250" t="s">
        <v>2219</v>
      </c>
      <c r="B13" s="251"/>
      <c r="C13" s="251"/>
      <c r="D13" s="252"/>
      <c r="E13" s="252" t="s">
        <v>2239</v>
      </c>
      <c r="F13" s="252" t="s">
        <v>2240</v>
      </c>
      <c r="G13" s="268"/>
      <c r="H13" s="253" t="s">
        <v>2411</v>
      </c>
      <c r="I13" s="253" t="s">
        <v>2412</v>
      </c>
      <c r="J13" s="266"/>
      <c r="K13" s="266"/>
      <c r="L13" s="266"/>
      <c r="M13" s="253" t="s">
        <v>2413</v>
      </c>
      <c r="N13" s="253" t="s">
        <v>2414</v>
      </c>
      <c r="O13" s="253" t="s">
        <v>2415</v>
      </c>
      <c r="P13" s="255">
        <f>SUMIF($G$2:O$2,O$2,$G13:O13)</f>
        <v>0</v>
      </c>
      <c r="Q13" s="254"/>
      <c r="R13" s="254"/>
      <c r="S13" s="254"/>
      <c r="T13" s="254"/>
      <c r="U13" s="254"/>
      <c r="V13" s="254"/>
      <c r="W13" s="254"/>
      <c r="X13" s="254"/>
      <c r="Y13" s="254"/>
      <c r="Z13" s="254"/>
      <c r="AA13" s="254"/>
      <c r="AB13" s="253" t="s">
        <v>2416</v>
      </c>
      <c r="AC13" s="253"/>
      <c r="AD13" s="253" t="s">
        <v>2417</v>
      </c>
      <c r="AE13" s="256">
        <f>SUMIF($G$2:AD$2,Y$2,$G13:AD13)</f>
        <v>0</v>
      </c>
      <c r="AF13" s="257"/>
      <c r="AG13" s="257"/>
      <c r="AH13" s="257"/>
      <c r="AI13" s="257"/>
      <c r="AJ13" s="257"/>
      <c r="AK13" s="257"/>
      <c r="AL13" s="257"/>
      <c r="AM13" s="257"/>
      <c r="AN13" s="257"/>
      <c r="AO13" s="256">
        <f>SUMIF($G$2:AN$2,AN$2,$G13:AN13)</f>
        <v>0</v>
      </c>
      <c r="BA13" s="259"/>
      <c r="BB13" s="259"/>
      <c r="BC13" s="259"/>
      <c r="BD13" s="259"/>
      <c r="BE13" s="259"/>
      <c r="BF13" s="259"/>
      <c r="BG13" s="259"/>
      <c r="BH13" s="259"/>
      <c r="BI13" s="259"/>
      <c r="BJ13" s="261"/>
    </row>
    <row r="14" ht="245" customHeight="1" spans="1:62" s="235" customFormat="1" x14ac:dyDescent="0.25">
      <c r="A14" s="250" t="s">
        <v>2219</v>
      </c>
      <c r="B14" s="251"/>
      <c r="C14" s="251"/>
      <c r="D14" s="252"/>
      <c r="E14" s="252" t="s">
        <v>2241</v>
      </c>
      <c r="F14" s="252" t="s">
        <v>2242</v>
      </c>
      <c r="G14" s="253" t="s">
        <v>2418</v>
      </c>
      <c r="H14" s="253" t="s">
        <v>2419</v>
      </c>
      <c r="I14" s="253" t="s">
        <v>2420</v>
      </c>
      <c r="J14" s="253" t="s">
        <v>2421</v>
      </c>
      <c r="K14" s="253" t="s">
        <v>2422</v>
      </c>
      <c r="L14" s="253" t="s">
        <v>2423</v>
      </c>
      <c r="M14" s="253" t="s">
        <v>2424</v>
      </c>
      <c r="N14" s="253" t="s">
        <v>2425</v>
      </c>
      <c r="O14" s="253" t="s">
        <v>2426</v>
      </c>
      <c r="P14" s="255">
        <f>SUMIF($G$2:O$2,O$2,$G14:O14)</f>
        <v>0</v>
      </c>
      <c r="Q14" s="253" t="s">
        <v>2427</v>
      </c>
      <c r="R14" s="253" t="s">
        <v>2428</v>
      </c>
      <c r="S14" s="253" t="s">
        <v>2429</v>
      </c>
      <c r="T14" s="253" t="s">
        <v>2430</v>
      </c>
      <c r="U14" s="253" t="s">
        <v>2431</v>
      </c>
      <c r="V14" s="253" t="s">
        <v>2432</v>
      </c>
      <c r="W14" s="253" t="s">
        <v>2433</v>
      </c>
      <c r="X14" s="253" t="s">
        <v>2434</v>
      </c>
      <c r="Y14" s="253" t="s">
        <v>2435</v>
      </c>
      <c r="Z14" s="253" t="s">
        <v>2436</v>
      </c>
      <c r="AA14" s="253" t="s">
        <v>2437</v>
      </c>
      <c r="AB14" s="254"/>
      <c r="AC14" s="253" t="s">
        <v>2438</v>
      </c>
      <c r="AD14" s="253" t="s">
        <v>2439</v>
      </c>
      <c r="AE14" s="256">
        <f>SUMIF($G$2:AD$2,Y$2,$G14:AD14)</f>
        <v>0</v>
      </c>
      <c r="AF14" s="257"/>
      <c r="AG14" s="257"/>
      <c r="AH14" s="257"/>
      <c r="AI14" s="257"/>
      <c r="AJ14" s="257"/>
      <c r="AK14" s="257"/>
      <c r="AL14" s="257"/>
      <c r="AM14" s="257"/>
      <c r="AN14" s="257"/>
      <c r="AO14" s="256">
        <f>SUMIF($G$2:AN$2,AN$2,$G14:AN14)</f>
        <v>0</v>
      </c>
      <c r="BA14" s="259"/>
      <c r="BB14" s="259"/>
      <c r="BC14" s="259"/>
      <c r="BD14" s="259"/>
      <c r="BE14" s="259"/>
      <c r="BF14" s="259"/>
      <c r="BG14" s="259"/>
      <c r="BH14" s="259"/>
      <c r="BI14" s="259"/>
      <c r="BJ14" s="261"/>
    </row>
    <row r="15" ht="236" customHeight="1" spans="1:62" s="235" customFormat="1" x14ac:dyDescent="0.25">
      <c r="A15" s="250" t="s">
        <v>2219</v>
      </c>
      <c r="B15" s="251"/>
      <c r="C15" s="251"/>
      <c r="D15" s="252"/>
      <c r="E15" s="252" t="s">
        <v>2243</v>
      </c>
      <c r="F15" s="252" t="s">
        <v>2244</v>
      </c>
      <c r="G15" s="253" t="s">
        <v>2440</v>
      </c>
      <c r="H15" s="253" t="s">
        <v>2441</v>
      </c>
      <c r="I15" s="253" t="s">
        <v>2442</v>
      </c>
      <c r="J15" s="253" t="s">
        <v>2443</v>
      </c>
      <c r="K15" s="253" t="s">
        <v>2444</v>
      </c>
      <c r="L15" s="253" t="s">
        <v>2445</v>
      </c>
      <c r="M15" s="253" t="s">
        <v>2446</v>
      </c>
      <c r="N15" s="253" t="s">
        <v>2447</v>
      </c>
      <c r="O15" s="253" t="s">
        <v>2448</v>
      </c>
      <c r="P15" s="255">
        <f>SUMIF($G$2:O$2,O$2,$G15:O15)</f>
        <v>0</v>
      </c>
      <c r="Q15" s="253" t="s">
        <v>2449</v>
      </c>
      <c r="R15" s="253" t="s">
        <v>2450</v>
      </c>
      <c r="S15" s="253" t="s">
        <v>2451</v>
      </c>
      <c r="T15" s="253" t="s">
        <v>2452</v>
      </c>
      <c r="U15" s="253" t="s">
        <v>2453</v>
      </c>
      <c r="V15" s="253" t="s">
        <v>2454</v>
      </c>
      <c r="W15" s="253" t="s">
        <v>2455</v>
      </c>
      <c r="X15" s="253" t="s">
        <v>2456</v>
      </c>
      <c r="Y15" s="253" t="s">
        <v>2457</v>
      </c>
      <c r="Z15" s="253" t="s">
        <v>2458</v>
      </c>
      <c r="AA15" s="253" t="s">
        <v>2459</v>
      </c>
      <c r="AB15" s="254"/>
      <c r="AC15" s="253" t="s">
        <v>2460</v>
      </c>
      <c r="AD15" s="253" t="s">
        <v>2461</v>
      </c>
      <c r="AE15" s="256">
        <f>SUMIF($G$2:AD$2,Y$2,$G15:AD15)</f>
        <v>0</v>
      </c>
      <c r="AF15" s="257"/>
      <c r="AG15" s="257"/>
      <c r="AH15" s="257"/>
      <c r="AI15" s="257"/>
      <c r="AJ15" s="257"/>
      <c r="AK15" s="257"/>
      <c r="AL15" s="257"/>
      <c r="AM15" s="257"/>
      <c r="AN15" s="257"/>
      <c r="AO15" s="256">
        <f>SUMIF($G$2:AN$2,AN$2,$G15:AN15)</f>
        <v>0</v>
      </c>
      <c r="BA15" s="259"/>
      <c r="BB15" s="259"/>
      <c r="BC15" s="259"/>
      <c r="BD15" s="259"/>
      <c r="BE15" s="259"/>
      <c r="BF15" s="259"/>
      <c r="BG15" s="259"/>
      <c r="BH15" s="259"/>
      <c r="BI15" s="259"/>
      <c r="BJ15" s="261"/>
    </row>
    <row r="16" ht="12" customHeight="1" spans="1:62" s="235" customFormat="1" x14ac:dyDescent="0.25">
      <c r="A16" s="250"/>
      <c r="B16" s="269"/>
      <c r="C16" s="269"/>
      <c r="D16" s="270"/>
      <c r="E16" s="270"/>
      <c r="F16" s="271" t="s">
        <v>2245</v>
      </c>
      <c r="G16" s="256">
        <f>SUMIF($C$5:$C15,$C15,G$5:G15)</f>
        <v>0</v>
      </c>
      <c r="H16" s="256">
        <f>SUMIF($C$5:$C15,$C15,H$5:H15)</f>
        <v>0</v>
      </c>
      <c r="I16" s="256">
        <f>SUMIF($C$5:$C15,$C15,I$5:I15)</f>
        <v>0</v>
      </c>
      <c r="J16" s="256">
        <f>SUMIF($C$5:$C15,$C15,J$5:J15)</f>
        <v>0</v>
      </c>
      <c r="K16" s="256">
        <f>SUMIF($C$5:$C15,$C15,K$5:K15)</f>
        <v>0</v>
      </c>
      <c r="L16" s="256">
        <f>SUMIF($C$5:$C15,$C15,L$5:L15)</f>
        <v>0</v>
      </c>
      <c r="M16" s="256">
        <f>SUMIF($C$5:$C15,$C15,M$5:M15)</f>
        <v>0</v>
      </c>
      <c r="N16" s="256">
        <f>SUMIF($C$5:$C15,$C15,N$5:N15)</f>
        <v>0</v>
      </c>
      <c r="O16" s="256">
        <f>SUMIF($C$5:$C15,$C15,O$5:O15)</f>
        <v>0</v>
      </c>
      <c r="P16" s="256">
        <f>SUMIF($C$5:$C15,$C15,P$5:P15)</f>
        <v>0</v>
      </c>
      <c r="Q16" s="256">
        <f>SUMIF($C$5:$C15,$C15,Q$5:Q15)</f>
        <v>0</v>
      </c>
      <c r="R16" s="256">
        <f>SUMIF($C$5:$C15,$C15,R$5:R15)</f>
        <v>0</v>
      </c>
      <c r="S16" s="256">
        <f>SUMIF($C$5:$C15,$C15,S$5:S15)</f>
        <v>0</v>
      </c>
      <c r="T16" s="256">
        <f>SUMIF($C$5:$C15,$C15,T$5:T15)</f>
        <v>0</v>
      </c>
      <c r="U16" s="256">
        <f>SUMIF($C$5:$C15,$C15,U$5:U15)</f>
        <v>0</v>
      </c>
      <c r="V16" s="256">
        <f>SUMIF($C$5:$C15,$C15,V$5:V15)</f>
        <v>0</v>
      </c>
      <c r="W16" s="256">
        <f>SUMIF($C$5:$C15,$C15,W$5:W15)</f>
        <v>0</v>
      </c>
      <c r="X16" s="256">
        <f>SUMIF($C$5:$C15,$C15,X$5:X15)</f>
        <v>0</v>
      </c>
      <c r="Y16" s="256">
        <f>SUMIF($C$5:$C15,$C15,Y$5:Y15)</f>
        <v>0</v>
      </c>
      <c r="Z16" s="256">
        <f>SUMIF($C$5:$C15,$C15,Z$5:Z15)</f>
        <v>0</v>
      </c>
      <c r="AA16" s="256">
        <f>SUMIF($C$5:$C15,$C15,AA$5:AA15)</f>
        <v>0</v>
      </c>
      <c r="AB16" s="256">
        <f>SUMIF($C$5:$C15,$C15,AB$5:AB15)</f>
        <v>0</v>
      </c>
      <c r="AC16" s="256"/>
      <c r="AD16" s="256">
        <f>SUMIF($C$5:$C15,$C15,AD$5:AD15)</f>
        <v>0</v>
      </c>
      <c r="AE16" s="256">
        <f>SUMIF($C$5:$C15,$C15,AE$5:AE15)</f>
        <v>0</v>
      </c>
      <c r="AF16" s="256">
        <f>SUMIF($C$5:$C15,$C15,AF$5:AF15)</f>
        <v>0</v>
      </c>
      <c r="AG16" s="256">
        <f>SUMIF($C$5:$C15,$C15,AG$5:AG15)</f>
        <v>0</v>
      </c>
      <c r="AH16" s="256">
        <f>SUMIF($C$5:$C15,$C15,AH$5:AH15)</f>
        <v>0</v>
      </c>
      <c r="AI16" s="256">
        <f>SUMIF($C$5:$C15,$C15,AI$5:AI15)</f>
        <v>0</v>
      </c>
      <c r="AJ16" s="256">
        <f>SUMIF($C$5:$C15,$C15,AJ$5:AJ15)</f>
        <v>0</v>
      </c>
      <c r="AK16" s="256">
        <f>SUMIF($C$5:$C15,$C15,AK$5:AK15)</f>
        <v>0</v>
      </c>
      <c r="AL16" s="256">
        <f>SUMIF($C$5:$C15,$C15,AL$5:AL15)</f>
        <v>0</v>
      </c>
      <c r="AM16" s="256">
        <f>SUMIF($C$5:$C15,$C15,AM$5:AM15)</f>
        <v>0</v>
      </c>
      <c r="AN16" s="256">
        <f>SUMIF($C$5:$C15,$C15,AN$5:AN15)</f>
        <v>0</v>
      </c>
      <c r="AO16" s="256">
        <f>SUMIF($C$5:$C15,$C15,AO$5:AO15)</f>
        <v>0</v>
      </c>
      <c r="BA16" s="272"/>
      <c r="BB16" s="272"/>
      <c r="BC16" s="272"/>
      <c r="BD16" s="272"/>
      <c r="BE16" s="272"/>
      <c r="BF16" s="272"/>
      <c r="BG16" s="272"/>
      <c r="BH16" s="272"/>
      <c r="BI16" s="272"/>
      <c r="BJ16" s="261"/>
    </row>
    <row r="17" ht="16" customHeight="1" spans="1:52" x14ac:dyDescent="0.25">
      <c r="A17" s="234"/>
      <c r="B17" s="190"/>
      <c r="C17" s="190"/>
      <c r="D17" s="234"/>
      <c r="E17" s="234"/>
      <c r="F17" s="234"/>
      <c r="G17" s="190"/>
      <c r="H17" s="190"/>
      <c r="I17" s="190"/>
      <c r="J17" s="190"/>
      <c r="K17" s="190"/>
      <c r="L17" s="190"/>
      <c r="M17" s="190"/>
      <c r="N17" s="190"/>
      <c r="O17" s="190"/>
      <c r="P17" s="190"/>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235"/>
      <c r="AS17" s="235"/>
      <c r="AT17" s="235"/>
      <c r="AU17" s="235"/>
      <c r="AV17" s="235"/>
      <c r="AW17" s="235"/>
      <c r="AX17" s="235"/>
      <c r="AY17" s="235"/>
      <c r="AZ17" s="235"/>
    </row>
    <row r="18" ht="16" customHeight="1" spans="1:43" x14ac:dyDescent="0.25">
      <c r="A18" s="234"/>
      <c r="B18" s="190"/>
      <c r="C18" s="190"/>
      <c r="D18" s="234"/>
      <c r="E18" s="234"/>
      <c r="F18" s="234"/>
      <c r="G18" s="190"/>
      <c r="H18" s="190"/>
      <c r="I18" s="190"/>
      <c r="J18" s="190"/>
      <c r="K18" s="190"/>
      <c r="L18" s="190"/>
      <c r="M18" s="190"/>
      <c r="N18" s="190"/>
      <c r="O18" s="190"/>
      <c r="P18" s="190"/>
      <c r="Q18" s="190"/>
      <c r="R18" s="190"/>
      <c r="S18" s="190"/>
      <c r="T18" s="190"/>
      <c r="U18" s="190"/>
      <c r="V18" s="190"/>
      <c r="W18" s="190"/>
      <c r="X18" s="190"/>
      <c r="Y18" s="190"/>
      <c r="Z18" s="190"/>
      <c r="AA18" s="190"/>
      <c r="AB18" s="190"/>
      <c r="AC18" s="190"/>
      <c r="AD18" s="190"/>
      <c r="AE18" s="190"/>
      <c r="AF18" s="190"/>
      <c r="AG18" s="190"/>
      <c r="AH18" s="190"/>
      <c r="AI18" s="190"/>
      <c r="AJ18" s="190"/>
      <c r="AK18" s="190"/>
      <c r="AL18" s="190"/>
      <c r="AM18" s="190"/>
      <c r="AN18" s="190"/>
      <c r="AO18" s="190"/>
      <c r="AP18" s="190"/>
      <c r="AQ18" s="190"/>
    </row>
    <row r="19" ht="180" customHeight="1" spans="1:43" x14ac:dyDescent="0.25">
      <c r="A19" s="234"/>
      <c r="B19" s="190"/>
      <c r="C19" s="190"/>
      <c r="D19" s="234"/>
      <c r="E19" s="234"/>
      <c r="F19" s="234"/>
      <c r="G19" s="190"/>
      <c r="H19" s="190"/>
      <c r="I19" s="190"/>
      <c r="J19" s="190"/>
      <c r="K19" s="190"/>
      <c r="L19" s="190"/>
      <c r="M19" s="190"/>
      <c r="N19" s="190"/>
      <c r="O19" s="190"/>
      <c r="P19" s="190"/>
      <c r="Q19" s="190"/>
      <c r="R19" s="190"/>
      <c r="S19" s="190"/>
      <c r="T19" s="190"/>
      <c r="U19" s="190"/>
      <c r="V19" s="190"/>
      <c r="W19" s="190"/>
      <c r="X19" s="190"/>
      <c r="Y19" s="190"/>
      <c r="Z19" s="190"/>
      <c r="AA19" s="190"/>
      <c r="AB19" s="273" t="s">
        <v>2249</v>
      </c>
      <c r="AC19" s="273"/>
      <c r="AD19" s="253" t="s">
        <v>2462</v>
      </c>
      <c r="AE19" s="190"/>
      <c r="AF19" s="190"/>
      <c r="AG19" s="190"/>
      <c r="AH19" s="190"/>
      <c r="AI19" s="190"/>
      <c r="AJ19" s="190"/>
      <c r="AK19" s="190"/>
      <c r="AL19" s="190"/>
      <c r="AM19" s="190"/>
      <c r="AN19" s="190"/>
      <c r="AO19" s="190"/>
      <c r="AP19" s="190"/>
      <c r="AQ19" s="190"/>
    </row>
    <row r="20" spans="1:43" x14ac:dyDescent="0.25">
      <c r="A20" s="234"/>
      <c r="B20" s="190"/>
      <c r="C20" s="190"/>
      <c r="D20" s="234"/>
      <c r="E20" s="234"/>
      <c r="F20" s="234"/>
      <c r="G20" s="190"/>
      <c r="H20" s="190"/>
      <c r="I20" s="190"/>
      <c r="J20" s="190"/>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row>
    <row r="21" spans="1:43" x14ac:dyDescent="0.25">
      <c r="A21" s="234"/>
      <c r="B21" s="190"/>
      <c r="C21" s="190"/>
      <c r="D21" s="234"/>
      <c r="E21" s="234"/>
      <c r="F21" s="234"/>
      <c r="G21" s="190"/>
      <c r="H21" s="190"/>
      <c r="I21" s="190"/>
      <c r="J21" s="190"/>
      <c r="K21" s="190"/>
      <c r="L21" s="190"/>
      <c r="M21" s="190"/>
      <c r="N21" s="190"/>
      <c r="O21" s="190"/>
      <c r="P21" s="190"/>
      <c r="Q21" s="190"/>
      <c r="R21" s="190"/>
      <c r="S21" s="190"/>
      <c r="T21" s="190"/>
      <c r="U21" s="190"/>
      <c r="V21" s="190"/>
      <c r="W21" s="190"/>
      <c r="X21" s="190"/>
      <c r="Y21" s="190"/>
      <c r="Z21" s="190"/>
      <c r="AA21" s="190"/>
      <c r="AB21" s="190"/>
      <c r="AC21" s="190"/>
      <c r="AD21" s="190"/>
      <c r="AE21" s="190"/>
      <c r="AF21" s="190"/>
      <c r="AG21" s="190"/>
      <c r="AH21" s="190"/>
      <c r="AI21" s="190"/>
      <c r="AJ21" s="190"/>
      <c r="AK21" s="190"/>
      <c r="AL21" s="190"/>
      <c r="AM21" s="190"/>
      <c r="AN21" s="190"/>
      <c r="AO21" s="190"/>
      <c r="AP21" s="190"/>
      <c r="AQ21" s="190"/>
    </row>
    <row r="22" spans="1:43" x14ac:dyDescent="0.25">
      <c r="A22" s="234"/>
      <c r="B22" s="190"/>
      <c r="C22" s="190"/>
      <c r="D22" s="234"/>
      <c r="E22" s="234"/>
      <c r="F22" s="234"/>
      <c r="G22" s="190"/>
      <c r="H22" s="190"/>
      <c r="I22" s="190"/>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row>
    <row r="23" spans="1:43" x14ac:dyDescent="0.25">
      <c r="A23" s="234"/>
      <c r="B23" s="190"/>
      <c r="C23" s="190"/>
      <c r="D23" s="234"/>
      <c r="E23" s="234"/>
      <c r="F23" s="234"/>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row>
    <row r="24" spans="1:43" x14ac:dyDescent="0.25">
      <c r="A24" s="234"/>
      <c r="B24" s="190"/>
      <c r="C24" s="190"/>
      <c r="D24" s="234"/>
      <c r="E24" s="234"/>
      <c r="F24" s="234"/>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row>
    <row r="25" spans="1:43" x14ac:dyDescent="0.25">
      <c r="A25" s="234"/>
      <c r="B25" s="190"/>
      <c r="C25" s="190"/>
      <c r="D25" s="234"/>
      <c r="E25" s="234"/>
      <c r="F25" s="234"/>
      <c r="G25" s="190"/>
      <c r="H25" s="190"/>
      <c r="I25" s="190"/>
      <c r="J25" s="190"/>
      <c r="K25" s="190"/>
      <c r="L25" s="190"/>
      <c r="M25" s="190"/>
      <c r="N25" s="190"/>
      <c r="O25" s="190"/>
      <c r="P25" s="190"/>
      <c r="Q25" s="190"/>
      <c r="R25" s="190"/>
      <c r="S25" s="190"/>
      <c r="T25" s="190"/>
      <c r="U25" s="190"/>
      <c r="V25" s="190"/>
      <c r="W25" s="190"/>
      <c r="X25" s="190"/>
      <c r="Y25" s="190"/>
      <c r="Z25" s="190"/>
      <c r="AA25" s="190"/>
      <c r="AB25" s="190"/>
      <c r="AC25" s="190"/>
      <c r="AD25" s="190"/>
      <c r="AE25" s="190"/>
      <c r="AF25" s="190"/>
      <c r="AG25" s="190"/>
      <c r="AH25" s="190"/>
      <c r="AI25" s="190"/>
      <c r="AJ25" s="190"/>
      <c r="AK25" s="190"/>
      <c r="AL25" s="190"/>
      <c r="AM25" s="190"/>
      <c r="AN25" s="190"/>
      <c r="AO25" s="190"/>
      <c r="AP25" s="190"/>
      <c r="AQ25" s="190"/>
    </row>
    <row r="26" spans="1:43" x14ac:dyDescent="0.25">
      <c r="A26" s="234"/>
      <c r="B26" s="190"/>
      <c r="C26" s="190"/>
      <c r="D26" s="234"/>
      <c r="E26" s="234"/>
      <c r="F26" s="234"/>
      <c r="G26" s="190"/>
      <c r="H26" s="190"/>
      <c r="I26" s="190"/>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row>
    <row r="27" spans="1:43" x14ac:dyDescent="0.25">
      <c r="A27" s="234"/>
      <c r="B27" s="190"/>
      <c r="C27" s="190"/>
      <c r="D27" s="234"/>
      <c r="E27" s="234"/>
      <c r="F27" s="234"/>
      <c r="G27" s="190"/>
      <c r="H27" s="190"/>
      <c r="I27" s="190"/>
      <c r="J27" s="190"/>
      <c r="K27" s="190"/>
      <c r="L27" s="190"/>
      <c r="M27" s="190"/>
      <c r="N27" s="190"/>
      <c r="O27" s="190"/>
      <c r="P27" s="190"/>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row>
  </sheetData>
  <mergeCells count="5">
    <mergeCell ref="B1:F1"/>
    <mergeCell ref="P2:P4"/>
    <mergeCell ref="AE2:AE4"/>
    <mergeCell ref="AO2:AO4"/>
    <mergeCell ref="BJ2:BJ4"/>
  </mergeCells>
  <pageMargins left="0.7086614173228347" right="0.7086614173228347" top="0.7480314960629921" bottom="0.7480314960629921" header="0.31496062992125984" footer="0.31496062992125984"/>
  <pageSetup paperSize="8" orientation="landscape" horizontalDpi="4294967295" verticalDpi="4294967295" scale="29" fitToWidth="1" fitToHeight="1" firstPageNumber="1" useFirstPageNumber="1" copies="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XFD24"/>
  <sheetViews>
    <sheetView workbookViewId="0" zoomScale="130" zoomScaleNormal="130">
      <pane xSplit="3" ySplit="1" topLeftCell="P4" activePane="bottomRight" state="frozen"/>
      <selection pane="bottomRight" activeCell="V15" sqref="V15"/>
    </sheetView>
  </sheetViews>
  <sheetFormatPr defaultRowHeight="16" outlineLevelRow="0" outlineLevelCol="0" x14ac:dyDescent="0.2" defaultColWidth="11" customHeight="1"/>
  <cols>
    <col min="1" max="1" width="6" style="91" hidden="1" customWidth="1"/>
    <col min="2" max="2" width="17.1640625" style="91" hidden="1" customWidth="1"/>
    <col min="3" max="3" width="6.33203125" style="91" customWidth="1"/>
    <col min="4" max="4" width="14.6640625" style="91" customWidth="1"/>
    <col min="5" max="5" width="6.5" style="91" customWidth="1"/>
    <col min="6" max="6" width="45" style="91" customWidth="1"/>
    <col min="7" max="8" width="9.33203125" style="91" customWidth="1"/>
    <col min="9" max="9" width="9.5" style="91" customWidth="1"/>
    <col min="10" max="10" width="9" style="91" customWidth="1"/>
    <col min="11" max="33" width="9.33203125" style="91" customWidth="1"/>
    <col min="34" max="34" width="8.5" style="91" customWidth="1"/>
    <col min="35" max="35" width="7.33203125" style="91" customWidth="1"/>
    <col min="36" max="58" width="9.33203125" style="91" customWidth="1"/>
    <col min="59" max="59" width="4" style="91" customWidth="1"/>
    <col min="60" max="16384" width="11" style="91" customWidth="1"/>
  </cols>
  <sheetData>
    <row r="1" ht="23.5" customHeight="1" spans="1:16384" s="92" customFormat="1" x14ac:dyDescent="0.25">
      <c r="A1" s="92"/>
      <c r="B1" s="93" t="s">
        <v>2115</v>
      </c>
      <c r="C1" s="93"/>
      <c r="D1" s="93"/>
      <c r="E1" s="93"/>
      <c r="F1" s="93"/>
      <c r="G1" s="93"/>
      <c r="H1" s="93"/>
      <c r="I1" s="93"/>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c r="DA1" s="92"/>
      <c r="DB1" s="92"/>
      <c r="DC1" s="92"/>
      <c r="DD1" s="92"/>
      <c r="DE1" s="92"/>
      <c r="DF1" s="92"/>
      <c r="DG1" s="92"/>
      <c r="DH1" s="92"/>
      <c r="DI1" s="92"/>
      <c r="DJ1" s="92"/>
      <c r="DK1" s="92"/>
      <c r="DL1" s="92"/>
      <c r="DM1" s="92"/>
      <c r="DN1" s="92"/>
      <c r="DO1" s="92"/>
      <c r="DP1" s="92"/>
      <c r="DQ1" s="92"/>
      <c r="DR1" s="92"/>
      <c r="DS1" s="92"/>
      <c r="DT1" s="92"/>
      <c r="DU1" s="92"/>
      <c r="DV1" s="92"/>
      <c r="DW1" s="92"/>
      <c r="DX1" s="92"/>
      <c r="DY1" s="92"/>
      <c r="DZ1" s="92"/>
      <c r="EA1" s="92"/>
      <c r="EB1" s="92"/>
      <c r="EC1" s="92"/>
      <c r="ED1" s="92"/>
      <c r="EE1" s="92"/>
      <c r="EF1" s="92"/>
      <c r="EG1" s="92"/>
      <c r="EH1" s="92"/>
      <c r="EI1" s="92"/>
      <c r="EJ1" s="92"/>
      <c r="EK1" s="92"/>
      <c r="EL1" s="92"/>
      <c r="EM1" s="92"/>
      <c r="EN1" s="92"/>
      <c r="EO1" s="92"/>
      <c r="EP1" s="92"/>
      <c r="EQ1" s="92"/>
      <c r="ER1" s="92"/>
      <c r="ES1" s="92"/>
      <c r="ET1" s="92"/>
      <c r="EU1" s="92"/>
      <c r="EV1" s="92"/>
      <c r="EW1" s="92"/>
      <c r="EX1" s="92"/>
      <c r="EY1" s="92"/>
      <c r="EZ1" s="92"/>
      <c r="FA1" s="92"/>
      <c r="FB1" s="92"/>
      <c r="FC1" s="92"/>
      <c r="FD1" s="92"/>
      <c r="FE1" s="92"/>
      <c r="FF1" s="92"/>
      <c r="FG1" s="92"/>
      <c r="FH1" s="92"/>
      <c r="FI1" s="92"/>
      <c r="FJ1" s="92"/>
      <c r="FK1" s="92"/>
      <c r="FL1" s="92"/>
      <c r="FM1" s="92"/>
      <c r="FN1" s="92"/>
      <c r="FO1" s="92"/>
      <c r="FP1" s="92"/>
      <c r="FQ1" s="92"/>
      <c r="FR1" s="92"/>
      <c r="FS1" s="92"/>
      <c r="FT1" s="92"/>
      <c r="FU1" s="92"/>
      <c r="FV1" s="92"/>
      <c r="FW1" s="92"/>
      <c r="FX1" s="92"/>
      <c r="FY1" s="92"/>
      <c r="FZ1" s="92"/>
      <c r="GA1" s="92"/>
      <c r="GB1" s="92"/>
      <c r="GC1" s="92"/>
      <c r="GD1" s="92"/>
      <c r="GE1" s="92"/>
      <c r="GF1" s="92"/>
      <c r="GG1" s="92"/>
      <c r="GH1" s="92"/>
      <c r="GI1" s="92"/>
      <c r="GJ1" s="92"/>
      <c r="GK1" s="92"/>
      <c r="GL1" s="92"/>
      <c r="GM1" s="92"/>
      <c r="GN1" s="92"/>
      <c r="GO1" s="92"/>
      <c r="GP1" s="92"/>
      <c r="GQ1" s="92"/>
      <c r="GR1" s="92"/>
      <c r="GS1" s="92"/>
      <c r="GT1" s="92"/>
      <c r="GU1" s="92"/>
      <c r="GV1" s="92"/>
      <c r="GW1" s="92"/>
      <c r="GX1" s="92"/>
      <c r="GY1" s="92"/>
      <c r="GZ1" s="92"/>
      <c r="HA1" s="92"/>
      <c r="HB1" s="92"/>
      <c r="HC1" s="92"/>
      <c r="HD1" s="92"/>
      <c r="HE1" s="92"/>
      <c r="HF1" s="92"/>
      <c r="HG1" s="92"/>
      <c r="HH1" s="92"/>
      <c r="HI1" s="92"/>
      <c r="HJ1" s="92"/>
      <c r="HK1" s="92"/>
      <c r="HL1" s="92"/>
      <c r="HM1" s="92"/>
      <c r="HN1" s="92"/>
      <c r="HO1" s="92"/>
      <c r="HP1" s="92"/>
      <c r="HQ1" s="92"/>
      <c r="HR1" s="92"/>
      <c r="HS1" s="92"/>
      <c r="HT1" s="92"/>
      <c r="HU1" s="92"/>
      <c r="HV1" s="92"/>
      <c r="HW1" s="92"/>
      <c r="HX1" s="92"/>
      <c r="HY1" s="92"/>
      <c r="HZ1" s="92"/>
      <c r="IA1" s="92"/>
      <c r="IB1" s="92"/>
      <c r="IC1" s="92"/>
      <c r="ID1" s="92"/>
      <c r="IE1" s="92"/>
      <c r="IF1" s="92"/>
      <c r="IG1" s="92"/>
      <c r="IH1" s="92"/>
      <c r="II1" s="92"/>
      <c r="IJ1" s="92"/>
      <c r="IK1" s="92"/>
      <c r="IL1" s="92"/>
      <c r="IM1" s="92"/>
      <c r="IN1" s="92"/>
      <c r="IO1" s="92"/>
      <c r="IP1" s="92"/>
      <c r="IQ1" s="92"/>
      <c r="IR1" s="92"/>
      <c r="IS1" s="92"/>
      <c r="IT1" s="92"/>
      <c r="IU1" s="92"/>
      <c r="IV1" s="92"/>
      <c r="IW1" s="92"/>
      <c r="IX1" s="92"/>
      <c r="IY1" s="92"/>
      <c r="IZ1" s="92"/>
      <c r="JA1" s="92"/>
      <c r="JB1" s="92"/>
      <c r="JC1" s="92"/>
      <c r="JD1" s="92"/>
      <c r="JE1" s="92"/>
      <c r="JF1" s="92"/>
      <c r="JG1" s="92"/>
      <c r="JH1" s="92"/>
      <c r="JI1" s="92"/>
      <c r="JJ1" s="92"/>
      <c r="JK1" s="92"/>
      <c r="JL1" s="92"/>
      <c r="JM1" s="92"/>
      <c r="JN1" s="92"/>
      <c r="JO1" s="92"/>
      <c r="JP1" s="92"/>
      <c r="JQ1" s="92"/>
      <c r="JR1" s="92"/>
      <c r="JS1" s="92"/>
      <c r="JT1" s="92"/>
      <c r="JU1" s="92"/>
      <c r="JV1" s="92"/>
      <c r="JW1" s="92"/>
      <c r="JX1" s="92"/>
      <c r="JY1" s="92"/>
      <c r="JZ1" s="92"/>
      <c r="KA1" s="92"/>
      <c r="KB1" s="92"/>
      <c r="KC1" s="92"/>
      <c r="KD1" s="92"/>
      <c r="KE1" s="92"/>
      <c r="KF1" s="92"/>
      <c r="KG1" s="92"/>
      <c r="KH1" s="92"/>
      <c r="KI1" s="92"/>
      <c r="KJ1" s="92"/>
      <c r="KK1" s="92"/>
      <c r="KL1" s="92"/>
      <c r="KM1" s="92"/>
      <c r="KN1" s="92"/>
      <c r="KO1" s="92"/>
      <c r="KP1" s="92"/>
      <c r="KQ1" s="92"/>
      <c r="KR1" s="92"/>
      <c r="KS1" s="92"/>
      <c r="KT1" s="92"/>
      <c r="KU1" s="92"/>
      <c r="KV1" s="92"/>
      <c r="KW1" s="92"/>
      <c r="KX1" s="92"/>
      <c r="KY1" s="92"/>
      <c r="KZ1" s="92"/>
      <c r="LA1" s="92"/>
      <c r="LB1" s="92"/>
      <c r="LC1" s="92"/>
      <c r="LD1" s="92"/>
      <c r="LE1" s="92"/>
      <c r="LF1" s="92"/>
      <c r="LG1" s="92"/>
      <c r="LH1" s="92"/>
      <c r="LI1" s="92"/>
      <c r="LJ1" s="92"/>
      <c r="LK1" s="92"/>
      <c r="LL1" s="92"/>
      <c r="LM1" s="92"/>
      <c r="LN1" s="92"/>
      <c r="LO1" s="92"/>
      <c r="LP1" s="92"/>
      <c r="LQ1" s="92"/>
      <c r="LR1" s="92"/>
      <c r="LS1" s="92"/>
      <c r="LT1" s="92"/>
      <c r="LU1" s="92"/>
      <c r="LV1" s="92"/>
      <c r="LW1" s="92"/>
      <c r="LX1" s="92"/>
      <c r="LY1" s="92"/>
      <c r="LZ1" s="92"/>
      <c r="MA1" s="92"/>
      <c r="MB1" s="92"/>
      <c r="MC1" s="92"/>
      <c r="MD1" s="92"/>
      <c r="ME1" s="92"/>
      <c r="MF1" s="92"/>
      <c r="MG1" s="92"/>
      <c r="MH1" s="92"/>
      <c r="MI1" s="92"/>
      <c r="MJ1" s="92"/>
      <c r="MK1" s="92"/>
      <c r="ML1" s="92"/>
      <c r="MM1" s="92"/>
      <c r="MN1" s="92"/>
      <c r="MO1" s="92"/>
      <c r="MP1" s="92"/>
      <c r="MQ1" s="92"/>
      <c r="MR1" s="92"/>
      <c r="MS1" s="92"/>
      <c r="MT1" s="92"/>
      <c r="MU1" s="92"/>
      <c r="MV1" s="92"/>
      <c r="MW1" s="92"/>
      <c r="MX1" s="92"/>
      <c r="MY1" s="92"/>
      <c r="MZ1" s="92"/>
      <c r="NA1" s="92"/>
      <c r="NB1" s="92"/>
      <c r="NC1" s="92"/>
      <c r="ND1" s="92"/>
      <c r="NE1" s="92"/>
      <c r="NF1" s="92"/>
      <c r="NG1" s="92"/>
      <c r="NH1" s="92"/>
      <c r="NI1" s="92"/>
      <c r="NJ1" s="92"/>
      <c r="NK1" s="92"/>
      <c r="NL1" s="92"/>
      <c r="NM1" s="92"/>
      <c r="NN1" s="92"/>
      <c r="NO1" s="92"/>
      <c r="NP1" s="92"/>
      <c r="NQ1" s="92"/>
      <c r="NR1" s="92"/>
      <c r="NS1" s="92"/>
      <c r="NT1" s="92"/>
      <c r="NU1" s="92"/>
      <c r="NV1" s="92"/>
      <c r="NW1" s="92"/>
      <c r="NX1" s="92"/>
      <c r="NY1" s="92"/>
      <c r="NZ1" s="92"/>
      <c r="OA1" s="92"/>
      <c r="OB1" s="92"/>
      <c r="OC1" s="92"/>
      <c r="OD1" s="92"/>
      <c r="OE1" s="92"/>
      <c r="OF1" s="92"/>
      <c r="OG1" s="92"/>
      <c r="OH1" s="92"/>
      <c r="OI1" s="92"/>
      <c r="OJ1" s="92"/>
      <c r="OK1" s="92"/>
      <c r="OL1" s="92"/>
      <c r="OM1" s="92"/>
      <c r="ON1" s="92"/>
      <c r="OO1" s="92"/>
      <c r="OP1" s="92"/>
      <c r="OQ1" s="92"/>
      <c r="OR1" s="92"/>
      <c r="OS1" s="92"/>
      <c r="OT1" s="92"/>
      <c r="OU1" s="92"/>
      <c r="OV1" s="92"/>
      <c r="OW1" s="92"/>
      <c r="OX1" s="92"/>
      <c r="OY1" s="92"/>
      <c r="OZ1" s="92"/>
      <c r="PA1" s="92"/>
      <c r="PB1" s="92"/>
      <c r="PC1" s="92"/>
      <c r="PD1" s="92"/>
      <c r="PE1" s="92"/>
      <c r="PF1" s="92"/>
      <c r="PG1" s="92"/>
      <c r="PH1" s="92"/>
      <c r="PI1" s="92"/>
      <c r="PJ1" s="92"/>
      <c r="PK1" s="92"/>
      <c r="PL1" s="92"/>
      <c r="PM1" s="92"/>
      <c r="PN1" s="92"/>
      <c r="PO1" s="92"/>
      <c r="PP1" s="92"/>
      <c r="PQ1" s="92"/>
      <c r="PR1" s="92"/>
      <c r="PS1" s="92"/>
      <c r="PT1" s="92"/>
      <c r="PU1" s="92"/>
      <c r="PV1" s="92"/>
      <c r="PW1" s="92"/>
      <c r="PX1" s="92"/>
      <c r="PY1" s="92"/>
      <c r="PZ1" s="92"/>
      <c r="QA1" s="92"/>
      <c r="QB1" s="92"/>
      <c r="QC1" s="92"/>
      <c r="QD1" s="92"/>
      <c r="QE1" s="92"/>
      <c r="QF1" s="92"/>
      <c r="QG1" s="92"/>
      <c r="QH1" s="92"/>
      <c r="QI1" s="92"/>
      <c r="QJ1" s="92"/>
      <c r="QK1" s="92"/>
      <c r="QL1" s="92"/>
      <c r="QM1" s="92"/>
      <c r="QN1" s="92"/>
      <c r="QO1" s="92"/>
      <c r="QP1" s="92"/>
      <c r="QQ1" s="92"/>
      <c r="QR1" s="92"/>
      <c r="QS1" s="92"/>
      <c r="QT1" s="92"/>
      <c r="QU1" s="92"/>
      <c r="QV1" s="92"/>
      <c r="QW1" s="92"/>
      <c r="QX1" s="92"/>
      <c r="QY1" s="92"/>
      <c r="QZ1" s="92"/>
      <c r="RA1" s="92"/>
      <c r="RB1" s="92"/>
      <c r="RC1" s="92"/>
      <c r="RD1" s="92"/>
      <c r="RE1" s="92"/>
      <c r="RF1" s="92"/>
      <c r="RG1" s="92"/>
      <c r="RH1" s="92"/>
      <c r="RI1" s="92"/>
      <c r="RJ1" s="92"/>
      <c r="RK1" s="92"/>
      <c r="RL1" s="92"/>
      <c r="RM1" s="92"/>
      <c r="RN1" s="92"/>
      <c r="RO1" s="92"/>
      <c r="RP1" s="92"/>
      <c r="RQ1" s="92"/>
      <c r="RR1" s="92"/>
      <c r="RS1" s="92"/>
      <c r="RT1" s="92"/>
      <c r="RU1" s="92"/>
      <c r="RV1" s="92"/>
      <c r="RW1" s="92"/>
      <c r="RX1" s="92"/>
      <c r="RY1" s="92"/>
      <c r="RZ1" s="92"/>
      <c r="SA1" s="92"/>
      <c r="SB1" s="92"/>
      <c r="SC1" s="92"/>
      <c r="SD1" s="92"/>
      <c r="SE1" s="92"/>
      <c r="SF1" s="92"/>
      <c r="SG1" s="92"/>
      <c r="SH1" s="92"/>
      <c r="SI1" s="92"/>
      <c r="SJ1" s="92"/>
      <c r="SK1" s="92"/>
      <c r="SL1" s="92"/>
      <c r="SM1" s="92"/>
      <c r="SN1" s="92"/>
      <c r="SO1" s="92"/>
      <c r="SP1" s="92"/>
      <c r="SQ1" s="92"/>
      <c r="SR1" s="92"/>
      <c r="SS1" s="92"/>
      <c r="ST1" s="92"/>
      <c r="SU1" s="92"/>
      <c r="SV1" s="92"/>
      <c r="SW1" s="92"/>
      <c r="SX1" s="92"/>
      <c r="SY1" s="92"/>
      <c r="SZ1" s="92"/>
      <c r="TA1" s="92"/>
      <c r="TB1" s="92"/>
      <c r="TC1" s="92"/>
      <c r="TD1" s="92"/>
      <c r="TE1" s="92"/>
      <c r="TF1" s="92"/>
      <c r="TG1" s="92"/>
      <c r="TH1" s="92"/>
      <c r="TI1" s="92"/>
      <c r="TJ1" s="92"/>
      <c r="TK1" s="92"/>
      <c r="TL1" s="92"/>
      <c r="TM1" s="92"/>
      <c r="TN1" s="92"/>
      <c r="TO1" s="92"/>
      <c r="TP1" s="92"/>
      <c r="TQ1" s="92"/>
      <c r="TR1" s="92"/>
      <c r="TS1" s="92"/>
      <c r="TT1" s="92"/>
      <c r="TU1" s="92"/>
      <c r="TV1" s="92"/>
      <c r="TW1" s="92"/>
      <c r="TX1" s="92"/>
      <c r="TY1" s="92"/>
      <c r="TZ1" s="92"/>
      <c r="UA1" s="92"/>
      <c r="UB1" s="92"/>
      <c r="UC1" s="92"/>
      <c r="UD1" s="92"/>
      <c r="UE1" s="92"/>
      <c r="UF1" s="92"/>
      <c r="UG1" s="92"/>
      <c r="UH1" s="92"/>
      <c r="UI1" s="92"/>
      <c r="UJ1" s="92"/>
      <c r="UK1" s="92"/>
      <c r="UL1" s="92"/>
      <c r="UM1" s="92"/>
      <c r="UN1" s="92"/>
      <c r="UO1" s="92"/>
      <c r="UP1" s="92"/>
      <c r="UQ1" s="92"/>
      <c r="UR1" s="92"/>
      <c r="US1" s="92"/>
      <c r="UT1" s="92"/>
      <c r="UU1" s="92"/>
      <c r="UV1" s="92"/>
      <c r="UW1" s="92"/>
      <c r="UX1" s="92"/>
      <c r="UY1" s="92"/>
      <c r="UZ1" s="92"/>
      <c r="VA1" s="92"/>
      <c r="VB1" s="92"/>
      <c r="VC1" s="92"/>
      <c r="VD1" s="92"/>
      <c r="VE1" s="92"/>
      <c r="VF1" s="92"/>
      <c r="VG1" s="92"/>
      <c r="VH1" s="92"/>
      <c r="VI1" s="92"/>
      <c r="VJ1" s="92"/>
      <c r="VK1" s="92"/>
      <c r="VL1" s="92"/>
      <c r="VM1" s="92"/>
      <c r="VN1" s="92"/>
      <c r="VO1" s="92"/>
      <c r="VP1" s="92"/>
      <c r="VQ1" s="92"/>
      <c r="VR1" s="92"/>
      <c r="VS1" s="92"/>
      <c r="VT1" s="92"/>
      <c r="VU1" s="92"/>
      <c r="VV1" s="92"/>
      <c r="VW1" s="92"/>
      <c r="VX1" s="92"/>
      <c r="VY1" s="92"/>
      <c r="VZ1" s="92"/>
      <c r="WA1" s="92"/>
      <c r="WB1" s="92"/>
      <c r="WC1" s="92"/>
      <c r="WD1" s="92"/>
      <c r="WE1" s="92"/>
      <c r="WF1" s="92"/>
      <c r="WG1" s="92"/>
      <c r="WH1" s="92"/>
      <c r="WI1" s="92"/>
      <c r="WJ1" s="92"/>
      <c r="WK1" s="92"/>
      <c r="WL1" s="92"/>
      <c r="WM1" s="92"/>
      <c r="WN1" s="92"/>
      <c r="WO1" s="92"/>
      <c r="WP1" s="92"/>
      <c r="WQ1" s="92"/>
      <c r="WR1" s="92"/>
      <c r="WS1" s="92"/>
      <c r="WT1" s="92"/>
      <c r="WU1" s="92"/>
      <c r="WV1" s="92"/>
      <c r="WW1" s="92"/>
      <c r="WX1" s="92"/>
      <c r="WY1" s="92"/>
      <c r="WZ1" s="92"/>
      <c r="XA1" s="92"/>
      <c r="XB1" s="92"/>
      <c r="XC1" s="92"/>
      <c r="XD1" s="92"/>
      <c r="XE1" s="92"/>
      <c r="XF1" s="92"/>
      <c r="XG1" s="92"/>
      <c r="XH1" s="92"/>
      <c r="XI1" s="92"/>
      <c r="XJ1" s="92"/>
      <c r="XK1" s="92"/>
      <c r="XL1" s="92"/>
      <c r="XM1" s="92"/>
      <c r="XN1" s="92"/>
      <c r="XO1" s="92"/>
      <c r="XP1" s="92"/>
      <c r="XQ1" s="92"/>
      <c r="XR1" s="92"/>
      <c r="XS1" s="92"/>
      <c r="XT1" s="92"/>
      <c r="XU1" s="92"/>
      <c r="XV1" s="92"/>
      <c r="XW1" s="92"/>
      <c r="XX1" s="92"/>
      <c r="XY1" s="92"/>
      <c r="XZ1" s="92"/>
      <c r="YA1" s="92"/>
      <c r="YB1" s="92"/>
      <c r="YC1" s="92"/>
      <c r="YD1" s="92"/>
      <c r="YE1" s="92"/>
      <c r="YF1" s="92"/>
      <c r="YG1" s="92"/>
      <c r="YH1" s="92"/>
      <c r="YI1" s="92"/>
      <c r="YJ1" s="92"/>
      <c r="YK1" s="92"/>
      <c r="YL1" s="92"/>
      <c r="YM1" s="92"/>
      <c r="YN1" s="92"/>
      <c r="YO1" s="92"/>
      <c r="YP1" s="92"/>
      <c r="YQ1" s="92"/>
      <c r="YR1" s="92"/>
      <c r="YS1" s="92"/>
      <c r="YT1" s="92"/>
      <c r="YU1" s="92"/>
      <c r="YV1" s="92"/>
      <c r="YW1" s="92"/>
      <c r="YX1" s="92"/>
      <c r="YY1" s="92"/>
      <c r="YZ1" s="92"/>
      <c r="ZA1" s="92"/>
      <c r="ZB1" s="92"/>
      <c r="ZC1" s="92"/>
      <c r="ZD1" s="92"/>
      <c r="ZE1" s="92"/>
      <c r="ZF1" s="92"/>
      <c r="ZG1" s="92"/>
      <c r="ZH1" s="92"/>
      <c r="ZI1" s="92"/>
      <c r="ZJ1" s="92"/>
      <c r="ZK1" s="92"/>
      <c r="ZL1" s="92"/>
      <c r="ZM1" s="92"/>
      <c r="ZN1" s="92"/>
      <c r="ZO1" s="92"/>
      <c r="ZP1" s="92"/>
      <c r="ZQ1" s="92"/>
      <c r="ZR1" s="92"/>
      <c r="ZS1" s="92"/>
      <c r="ZT1" s="92"/>
      <c r="ZU1" s="92"/>
      <c r="ZV1" s="92"/>
      <c r="ZW1" s="92"/>
      <c r="ZX1" s="92"/>
      <c r="ZY1" s="92"/>
      <c r="ZZ1" s="92"/>
      <c r="AAA1" s="92"/>
      <c r="AAB1" s="92"/>
      <c r="AAC1" s="92"/>
      <c r="AAD1" s="92"/>
      <c r="AAE1" s="92"/>
      <c r="AAF1" s="92"/>
      <c r="AAG1" s="92"/>
      <c r="AAH1" s="92"/>
      <c r="AAI1" s="92"/>
      <c r="AAJ1" s="92"/>
      <c r="AAK1" s="92"/>
      <c r="AAL1" s="92"/>
      <c r="AAM1" s="92"/>
      <c r="AAN1" s="92"/>
      <c r="AAO1" s="92"/>
      <c r="AAP1" s="92"/>
      <c r="AAQ1" s="92"/>
      <c r="AAR1" s="92"/>
      <c r="AAS1" s="92"/>
      <c r="AAT1" s="92"/>
      <c r="AAU1" s="92"/>
      <c r="AAV1" s="92"/>
      <c r="AAW1" s="92"/>
      <c r="AAX1" s="92"/>
      <c r="AAY1" s="92"/>
      <c r="AAZ1" s="92"/>
      <c r="ABA1" s="92"/>
      <c r="ABB1" s="92"/>
      <c r="ABC1" s="92"/>
      <c r="ABD1" s="92"/>
      <c r="ABE1" s="92"/>
      <c r="ABF1" s="92"/>
      <c r="ABG1" s="92"/>
      <c r="ABH1" s="92"/>
      <c r="ABI1" s="92"/>
      <c r="ABJ1" s="92"/>
      <c r="ABK1" s="92"/>
      <c r="ABL1" s="92"/>
      <c r="ABM1" s="92"/>
      <c r="ABN1" s="92"/>
      <c r="ABO1" s="92"/>
      <c r="ABP1" s="92"/>
      <c r="ABQ1" s="92"/>
      <c r="ABR1" s="92"/>
      <c r="ABS1" s="92"/>
      <c r="ABT1" s="92"/>
      <c r="ABU1" s="92"/>
      <c r="ABV1" s="92"/>
      <c r="ABW1" s="92"/>
      <c r="ABX1" s="92"/>
      <c r="ABY1" s="92"/>
      <c r="ABZ1" s="92"/>
      <c r="ACA1" s="92"/>
      <c r="ACB1" s="92"/>
      <c r="ACC1" s="92"/>
      <c r="ACD1" s="92"/>
      <c r="ACE1" s="92"/>
      <c r="ACF1" s="92"/>
      <c r="ACG1" s="92"/>
      <c r="ACH1" s="92"/>
      <c r="ACI1" s="92"/>
      <c r="ACJ1" s="92"/>
      <c r="ACK1" s="92"/>
      <c r="ACL1" s="92"/>
      <c r="ACM1" s="92"/>
      <c r="ACN1" s="92"/>
      <c r="ACO1" s="92"/>
      <c r="ACP1" s="92"/>
      <c r="ACQ1" s="92"/>
      <c r="ACR1" s="92"/>
      <c r="ACS1" s="92"/>
      <c r="ACT1" s="92"/>
      <c r="ACU1" s="92"/>
      <c r="ACV1" s="92"/>
      <c r="ACW1" s="92"/>
      <c r="ACX1" s="92"/>
      <c r="ACY1" s="92"/>
      <c r="ACZ1" s="92"/>
      <c r="ADA1" s="92"/>
      <c r="ADB1" s="92"/>
      <c r="ADC1" s="92"/>
      <c r="ADD1" s="92"/>
      <c r="ADE1" s="92"/>
      <c r="ADF1" s="92"/>
      <c r="ADG1" s="92"/>
      <c r="ADH1" s="92"/>
      <c r="ADI1" s="92"/>
      <c r="ADJ1" s="92"/>
      <c r="ADK1" s="92"/>
      <c r="ADL1" s="92"/>
      <c r="ADM1" s="92"/>
      <c r="ADN1" s="92"/>
      <c r="ADO1" s="92"/>
      <c r="ADP1" s="92"/>
      <c r="ADQ1" s="92"/>
      <c r="ADR1" s="92"/>
      <c r="ADS1" s="92"/>
      <c r="ADT1" s="92"/>
      <c r="ADU1" s="92"/>
      <c r="ADV1" s="92"/>
      <c r="ADW1" s="92"/>
      <c r="ADX1" s="92"/>
      <c r="ADY1" s="92"/>
      <c r="ADZ1" s="92"/>
      <c r="AEA1" s="92"/>
      <c r="AEB1" s="92"/>
      <c r="AEC1" s="92"/>
      <c r="AED1" s="92"/>
      <c r="AEE1" s="92"/>
      <c r="AEF1" s="92"/>
      <c r="AEG1" s="92"/>
      <c r="AEH1" s="92"/>
      <c r="AEI1" s="92"/>
      <c r="AEJ1" s="92"/>
      <c r="AEK1" s="92"/>
      <c r="AEL1" s="92"/>
      <c r="AEM1" s="92"/>
      <c r="AEN1" s="92"/>
      <c r="AEO1" s="92"/>
      <c r="AEP1" s="92"/>
      <c r="AEQ1" s="92"/>
      <c r="AER1" s="92"/>
      <c r="AES1" s="92"/>
      <c r="AET1" s="92"/>
      <c r="AEU1" s="92"/>
      <c r="AEV1" s="92"/>
      <c r="AEW1" s="92"/>
      <c r="AEX1" s="92"/>
      <c r="AEY1" s="92"/>
      <c r="AEZ1" s="92"/>
      <c r="AFA1" s="92"/>
      <c r="AFB1" s="92"/>
      <c r="AFC1" s="92"/>
      <c r="AFD1" s="92"/>
      <c r="AFE1" s="92"/>
      <c r="AFF1" s="92"/>
      <c r="AFG1" s="92"/>
      <c r="AFH1" s="92"/>
      <c r="AFI1" s="92"/>
      <c r="AFJ1" s="92"/>
      <c r="AFK1" s="92"/>
      <c r="AFL1" s="92"/>
      <c r="AFM1" s="92"/>
      <c r="AFN1" s="92"/>
      <c r="AFO1" s="92"/>
      <c r="AFP1" s="92"/>
      <c r="AFQ1" s="92"/>
      <c r="AFR1" s="92"/>
      <c r="AFS1" s="92"/>
      <c r="AFT1" s="92"/>
      <c r="AFU1" s="92"/>
      <c r="AFV1" s="92"/>
      <c r="AFW1" s="92"/>
      <c r="AFX1" s="92"/>
      <c r="AFY1" s="92"/>
      <c r="AFZ1" s="92"/>
      <c r="AGA1" s="92"/>
      <c r="AGB1" s="92"/>
      <c r="AGC1" s="92"/>
      <c r="AGD1" s="92"/>
      <c r="AGE1" s="92"/>
      <c r="AGF1" s="92"/>
      <c r="AGG1" s="92"/>
      <c r="AGH1" s="92"/>
      <c r="AGI1" s="92"/>
      <c r="AGJ1" s="92"/>
      <c r="AGK1" s="92"/>
      <c r="AGL1" s="92"/>
      <c r="AGM1" s="92"/>
      <c r="AGN1" s="92"/>
      <c r="AGO1" s="92"/>
      <c r="AGP1" s="92"/>
      <c r="AGQ1" s="92"/>
      <c r="AGR1" s="92"/>
      <c r="AGS1" s="92"/>
      <c r="AGT1" s="92"/>
      <c r="AGU1" s="92"/>
      <c r="AGV1" s="92"/>
      <c r="AGW1" s="92"/>
      <c r="AGX1" s="92"/>
      <c r="AGY1" s="92"/>
      <c r="AGZ1" s="92"/>
      <c r="AHA1" s="92"/>
      <c r="AHB1" s="92"/>
      <c r="AHC1" s="92"/>
      <c r="AHD1" s="92"/>
      <c r="AHE1" s="92"/>
      <c r="AHF1" s="92"/>
      <c r="AHG1" s="92"/>
      <c r="AHH1" s="92"/>
      <c r="AHI1" s="92"/>
      <c r="AHJ1" s="92"/>
      <c r="AHK1" s="92"/>
      <c r="AHL1" s="92"/>
      <c r="AHM1" s="92"/>
      <c r="AHN1" s="92"/>
      <c r="AHO1" s="92"/>
      <c r="AHP1" s="92"/>
      <c r="AHQ1" s="92"/>
      <c r="AHR1" s="92"/>
      <c r="AHS1" s="92"/>
      <c r="AHT1" s="92"/>
      <c r="AHU1" s="92"/>
      <c r="AHV1" s="92"/>
      <c r="AHW1" s="92"/>
      <c r="AHX1" s="92"/>
      <c r="AHY1" s="92"/>
      <c r="AHZ1" s="92"/>
      <c r="AIA1" s="92"/>
      <c r="AIB1" s="92"/>
      <c r="AIC1" s="92"/>
      <c r="AID1" s="92"/>
      <c r="AIE1" s="92"/>
      <c r="AIF1" s="92"/>
      <c r="AIG1" s="92"/>
      <c r="AIH1" s="92"/>
      <c r="AII1" s="92"/>
      <c r="AIJ1" s="92"/>
      <c r="AIK1" s="92"/>
      <c r="AIL1" s="92"/>
      <c r="AIM1" s="92"/>
      <c r="AIN1" s="92"/>
      <c r="AIO1" s="92"/>
      <c r="AIP1" s="92"/>
      <c r="AIQ1" s="92"/>
      <c r="AIR1" s="92"/>
      <c r="AIS1" s="92"/>
      <c r="AIT1" s="92"/>
      <c r="AIU1" s="92"/>
      <c r="AIV1" s="92"/>
      <c r="AIW1" s="92"/>
      <c r="AIX1" s="92"/>
      <c r="AIY1" s="92"/>
      <c r="AIZ1" s="92"/>
      <c r="AJA1" s="92"/>
      <c r="AJB1" s="92"/>
      <c r="AJC1" s="92"/>
      <c r="AJD1" s="92"/>
      <c r="AJE1" s="92"/>
      <c r="AJF1" s="92"/>
      <c r="AJG1" s="92"/>
      <c r="AJH1" s="92"/>
      <c r="AJI1" s="92"/>
      <c r="AJJ1" s="92"/>
      <c r="AJK1" s="92"/>
      <c r="AJL1" s="92"/>
      <c r="AJM1" s="92"/>
      <c r="AJN1" s="92"/>
      <c r="AJO1" s="92"/>
      <c r="AJP1" s="92"/>
      <c r="AJQ1" s="92"/>
      <c r="AJR1" s="92"/>
      <c r="AJS1" s="92"/>
      <c r="AJT1" s="92"/>
      <c r="AJU1" s="92"/>
      <c r="AJV1" s="92"/>
      <c r="AJW1" s="92"/>
      <c r="AJX1" s="92"/>
      <c r="AJY1" s="92"/>
      <c r="AJZ1" s="92"/>
      <c r="AKA1" s="92"/>
      <c r="AKB1" s="92"/>
      <c r="AKC1" s="92"/>
      <c r="AKD1" s="92"/>
      <c r="AKE1" s="92"/>
      <c r="AKF1" s="92"/>
      <c r="AKG1" s="92"/>
      <c r="AKH1" s="92"/>
      <c r="AKI1" s="92"/>
      <c r="AKJ1" s="92"/>
      <c r="AKK1" s="92"/>
      <c r="AKL1" s="92"/>
      <c r="AKM1" s="92"/>
      <c r="AKN1" s="92"/>
      <c r="AKO1" s="92"/>
      <c r="AKP1" s="92"/>
      <c r="AKQ1" s="92"/>
      <c r="AKR1" s="92"/>
      <c r="AKS1" s="92"/>
      <c r="AKT1" s="92"/>
      <c r="AKU1" s="92"/>
      <c r="AKV1" s="92"/>
      <c r="AKW1" s="92"/>
      <c r="AKX1" s="92"/>
      <c r="AKY1" s="92"/>
      <c r="AKZ1" s="92"/>
      <c r="ALA1" s="92"/>
      <c r="ALB1" s="92"/>
      <c r="ALC1" s="92"/>
      <c r="ALD1" s="92"/>
      <c r="ALE1" s="92"/>
      <c r="ALF1" s="92"/>
      <c r="ALG1" s="92"/>
      <c r="ALH1" s="92"/>
      <c r="ALI1" s="92"/>
      <c r="ALJ1" s="92"/>
      <c r="ALK1" s="92"/>
      <c r="ALL1" s="92"/>
      <c r="ALM1" s="92"/>
      <c r="ALN1" s="92"/>
      <c r="ALO1" s="92"/>
      <c r="ALP1" s="92"/>
      <c r="ALQ1" s="92"/>
      <c r="ALR1" s="92"/>
      <c r="ALS1" s="92"/>
      <c r="ALT1" s="92"/>
      <c r="ALU1" s="92"/>
      <c r="ALV1" s="92"/>
      <c r="ALW1" s="92"/>
      <c r="ALX1" s="92"/>
      <c r="ALY1" s="92"/>
      <c r="ALZ1" s="92"/>
      <c r="AMA1" s="92"/>
      <c r="AMB1" s="92"/>
      <c r="AMC1" s="92"/>
      <c r="AMD1" s="92"/>
      <c r="AME1" s="92"/>
      <c r="AMF1" s="92"/>
      <c r="AMG1" s="92"/>
      <c r="AMH1" s="92"/>
      <c r="AMI1" s="92"/>
      <c r="AMJ1" s="92"/>
      <c r="AMK1" s="92"/>
      <c r="AML1" s="92"/>
      <c r="AMM1" s="92"/>
      <c r="AMN1" s="92"/>
      <c r="AMO1" s="92"/>
      <c r="AMP1" s="92"/>
      <c r="AMQ1" s="92"/>
      <c r="AMR1" s="92"/>
      <c r="AMS1" s="92"/>
      <c r="AMT1" s="92"/>
      <c r="AMU1" s="92"/>
      <c r="AMV1" s="92"/>
      <c r="AMW1" s="92"/>
      <c r="AMX1" s="92"/>
      <c r="AMY1" s="92"/>
      <c r="AMZ1" s="92"/>
      <c r="ANA1" s="92"/>
      <c r="ANB1" s="92"/>
      <c r="ANC1" s="92"/>
      <c r="AND1" s="92"/>
      <c r="ANE1" s="92"/>
      <c r="ANF1" s="92"/>
      <c r="ANG1" s="92"/>
      <c r="ANH1" s="92"/>
      <c r="ANI1" s="92"/>
      <c r="ANJ1" s="92"/>
      <c r="ANK1" s="92"/>
      <c r="ANL1" s="92"/>
      <c r="ANM1" s="92"/>
      <c r="ANN1" s="92"/>
      <c r="ANO1" s="92"/>
      <c r="ANP1" s="92"/>
      <c r="ANQ1" s="92"/>
      <c r="ANR1" s="92"/>
      <c r="ANS1" s="92"/>
      <c r="ANT1" s="92"/>
      <c r="ANU1" s="92"/>
      <c r="ANV1" s="92"/>
      <c r="ANW1" s="92"/>
      <c r="ANX1" s="92"/>
      <c r="ANY1" s="92"/>
      <c r="ANZ1" s="92"/>
      <c r="AOA1" s="92"/>
      <c r="AOB1" s="92"/>
      <c r="AOC1" s="92"/>
      <c r="AOD1" s="92"/>
      <c r="AOE1" s="92"/>
      <c r="AOF1" s="92"/>
      <c r="AOG1" s="92"/>
      <c r="AOH1" s="92"/>
      <c r="AOI1" s="92"/>
      <c r="AOJ1" s="92"/>
      <c r="AOK1" s="92"/>
      <c r="AOL1" s="92"/>
      <c r="AOM1" s="92"/>
      <c r="AON1" s="92"/>
      <c r="AOO1" s="92"/>
      <c r="AOP1" s="92"/>
      <c r="AOQ1" s="92"/>
      <c r="AOR1" s="92"/>
      <c r="AOS1" s="92"/>
      <c r="AOT1" s="92"/>
      <c r="AOU1" s="92"/>
      <c r="AOV1" s="92"/>
      <c r="AOW1" s="92"/>
      <c r="AOX1" s="92"/>
      <c r="AOY1" s="92"/>
      <c r="AOZ1" s="92"/>
      <c r="APA1" s="92"/>
      <c r="APB1" s="92"/>
      <c r="APC1" s="92"/>
      <c r="APD1" s="92"/>
      <c r="APE1" s="92"/>
      <c r="APF1" s="92"/>
      <c r="APG1" s="92"/>
      <c r="APH1" s="92"/>
      <c r="API1" s="92"/>
      <c r="APJ1" s="92"/>
      <c r="APK1" s="92"/>
      <c r="APL1" s="92"/>
      <c r="APM1" s="92"/>
      <c r="APN1" s="92"/>
      <c r="APO1" s="92"/>
      <c r="APP1" s="92"/>
      <c r="APQ1" s="92"/>
      <c r="APR1" s="92"/>
      <c r="APS1" s="92"/>
      <c r="APT1" s="92"/>
      <c r="APU1" s="92"/>
      <c r="APV1" s="92"/>
      <c r="APW1" s="92"/>
      <c r="APX1" s="92"/>
      <c r="APY1" s="92"/>
      <c r="APZ1" s="92"/>
      <c r="AQA1" s="92"/>
      <c r="AQB1" s="92"/>
      <c r="AQC1" s="92"/>
      <c r="AQD1" s="92"/>
      <c r="AQE1" s="92"/>
      <c r="AQF1" s="92"/>
      <c r="AQG1" s="92"/>
      <c r="AQH1" s="92"/>
      <c r="AQI1" s="92"/>
      <c r="AQJ1" s="92"/>
      <c r="AQK1" s="92"/>
      <c r="AQL1" s="92"/>
      <c r="AQM1" s="92"/>
      <c r="AQN1" s="92"/>
      <c r="AQO1" s="92"/>
      <c r="AQP1" s="92"/>
      <c r="AQQ1" s="92"/>
      <c r="AQR1" s="92"/>
      <c r="AQS1" s="92"/>
      <c r="AQT1" s="92"/>
      <c r="AQU1" s="92"/>
      <c r="AQV1" s="92"/>
      <c r="AQW1" s="92"/>
      <c r="AQX1" s="92"/>
      <c r="AQY1" s="92"/>
      <c r="AQZ1" s="92"/>
      <c r="ARA1" s="92"/>
      <c r="ARB1" s="92"/>
      <c r="ARC1" s="92"/>
      <c r="ARD1" s="92"/>
      <c r="ARE1" s="92"/>
      <c r="ARF1" s="92"/>
      <c r="ARG1" s="92"/>
      <c r="ARH1" s="92"/>
      <c r="ARI1" s="92"/>
      <c r="ARJ1" s="92"/>
      <c r="ARK1" s="92"/>
      <c r="ARL1" s="92"/>
      <c r="ARM1" s="92"/>
      <c r="ARN1" s="92"/>
      <c r="ARO1" s="92"/>
      <c r="ARP1" s="92"/>
      <c r="ARQ1" s="92"/>
      <c r="ARR1" s="92"/>
      <c r="ARS1" s="92"/>
      <c r="ART1" s="92"/>
      <c r="ARU1" s="92"/>
      <c r="ARV1" s="92"/>
      <c r="ARW1" s="92"/>
      <c r="ARX1" s="92"/>
      <c r="ARY1" s="92"/>
      <c r="ARZ1" s="92"/>
      <c r="ASA1" s="92"/>
      <c r="ASB1" s="92"/>
      <c r="ASC1" s="92"/>
      <c r="ASD1" s="92"/>
      <c r="ASE1" s="92"/>
      <c r="ASF1" s="92"/>
      <c r="ASG1" s="92"/>
      <c r="ASH1" s="92"/>
      <c r="ASI1" s="92"/>
      <c r="ASJ1" s="92"/>
      <c r="ASK1" s="92"/>
      <c r="ASL1" s="92"/>
      <c r="ASM1" s="92"/>
      <c r="ASN1" s="92"/>
      <c r="ASO1" s="92"/>
      <c r="ASP1" s="92"/>
      <c r="ASQ1" s="92"/>
      <c r="ASR1" s="92"/>
      <c r="ASS1" s="92"/>
      <c r="AST1" s="92"/>
      <c r="ASU1" s="92"/>
      <c r="ASV1" s="92"/>
      <c r="ASW1" s="92"/>
      <c r="ASX1" s="92"/>
      <c r="ASY1" s="92"/>
      <c r="ASZ1" s="92"/>
      <c r="ATA1" s="92"/>
      <c r="ATB1" s="92"/>
      <c r="ATC1" s="92"/>
      <c r="ATD1" s="92"/>
      <c r="ATE1" s="92"/>
      <c r="ATF1" s="92"/>
      <c r="ATG1" s="92"/>
      <c r="ATH1" s="92"/>
      <c r="ATI1" s="92"/>
      <c r="ATJ1" s="92"/>
      <c r="ATK1" s="92"/>
      <c r="ATL1" s="92"/>
      <c r="ATM1" s="92"/>
      <c r="ATN1" s="92"/>
      <c r="ATO1" s="92"/>
      <c r="ATP1" s="92"/>
      <c r="ATQ1" s="92"/>
      <c r="ATR1" s="92"/>
      <c r="ATS1" s="92"/>
      <c r="ATT1" s="92"/>
      <c r="ATU1" s="92"/>
      <c r="ATV1" s="92"/>
      <c r="ATW1" s="92"/>
      <c r="ATX1" s="92"/>
      <c r="ATY1" s="92"/>
      <c r="ATZ1" s="92"/>
      <c r="AUA1" s="92"/>
      <c r="AUB1" s="92"/>
      <c r="AUC1" s="92"/>
      <c r="AUD1" s="92"/>
      <c r="AUE1" s="92"/>
      <c r="AUF1" s="92"/>
      <c r="AUG1" s="92"/>
      <c r="AUH1" s="92"/>
      <c r="AUI1" s="92"/>
      <c r="AUJ1" s="92"/>
      <c r="AUK1" s="92"/>
      <c r="AUL1" s="92"/>
      <c r="AUM1" s="92"/>
      <c r="AUN1" s="92"/>
      <c r="AUO1" s="92"/>
      <c r="AUP1" s="92"/>
      <c r="AUQ1" s="92"/>
      <c r="AUR1" s="92"/>
      <c r="AUS1" s="92"/>
      <c r="AUT1" s="92"/>
      <c r="AUU1" s="92"/>
      <c r="AUV1" s="92"/>
      <c r="AUW1" s="92"/>
      <c r="AUX1" s="92"/>
      <c r="AUY1" s="92"/>
      <c r="AUZ1" s="92"/>
      <c r="AVA1" s="92"/>
      <c r="AVB1" s="92"/>
      <c r="AVC1" s="92"/>
      <c r="AVD1" s="92"/>
      <c r="AVE1" s="92"/>
      <c r="AVF1" s="92"/>
      <c r="AVG1" s="92"/>
      <c r="AVH1" s="92"/>
      <c r="AVI1" s="92"/>
      <c r="AVJ1" s="92"/>
      <c r="AVK1" s="92"/>
      <c r="AVL1" s="92"/>
      <c r="AVM1" s="92"/>
      <c r="AVN1" s="92"/>
      <c r="AVO1" s="92"/>
      <c r="AVP1" s="92"/>
      <c r="AVQ1" s="92"/>
      <c r="AVR1" s="92"/>
      <c r="AVS1" s="92"/>
      <c r="AVT1" s="92"/>
      <c r="AVU1" s="92"/>
      <c r="AVV1" s="92"/>
      <c r="AVW1" s="92"/>
      <c r="AVX1" s="92"/>
      <c r="AVY1" s="92"/>
      <c r="AVZ1" s="92"/>
      <c r="AWA1" s="92"/>
      <c r="AWB1" s="92"/>
      <c r="AWC1" s="92"/>
      <c r="AWD1" s="92"/>
      <c r="AWE1" s="92"/>
      <c r="AWF1" s="92"/>
      <c r="AWG1" s="92"/>
      <c r="AWH1" s="92"/>
      <c r="AWI1" s="92"/>
      <c r="AWJ1" s="92"/>
      <c r="AWK1" s="92"/>
      <c r="AWL1" s="92"/>
      <c r="AWM1" s="92"/>
      <c r="AWN1" s="92"/>
      <c r="AWO1" s="92"/>
      <c r="AWP1" s="92"/>
      <c r="AWQ1" s="92"/>
      <c r="AWR1" s="92"/>
      <c r="AWS1" s="92"/>
      <c r="AWT1" s="92"/>
      <c r="AWU1" s="92"/>
      <c r="AWV1" s="92"/>
      <c r="AWW1" s="92"/>
      <c r="AWX1" s="92"/>
      <c r="AWY1" s="92"/>
      <c r="AWZ1" s="92"/>
      <c r="AXA1" s="92"/>
      <c r="AXB1" s="92"/>
      <c r="AXC1" s="92"/>
      <c r="AXD1" s="92"/>
      <c r="AXE1" s="92"/>
      <c r="AXF1" s="92"/>
      <c r="AXG1" s="92"/>
      <c r="AXH1" s="92"/>
      <c r="AXI1" s="92"/>
      <c r="AXJ1" s="92"/>
      <c r="AXK1" s="92"/>
      <c r="AXL1" s="92"/>
      <c r="AXM1" s="92"/>
      <c r="AXN1" s="92"/>
      <c r="AXO1" s="92"/>
      <c r="AXP1" s="92"/>
      <c r="AXQ1" s="92"/>
      <c r="AXR1" s="92"/>
      <c r="AXS1" s="92"/>
      <c r="AXT1" s="92"/>
      <c r="AXU1" s="92"/>
      <c r="AXV1" s="92"/>
      <c r="AXW1" s="92"/>
      <c r="AXX1" s="92"/>
      <c r="AXY1" s="92"/>
      <c r="AXZ1" s="92"/>
      <c r="AYA1" s="92"/>
      <c r="AYB1" s="92"/>
      <c r="AYC1" s="92"/>
      <c r="AYD1" s="92"/>
      <c r="AYE1" s="92"/>
      <c r="AYF1" s="92"/>
      <c r="AYG1" s="92"/>
      <c r="AYH1" s="92"/>
      <c r="AYI1" s="92"/>
      <c r="AYJ1" s="92"/>
      <c r="AYK1" s="92"/>
      <c r="AYL1" s="92"/>
      <c r="AYM1" s="92"/>
      <c r="AYN1" s="92"/>
      <c r="AYO1" s="92"/>
      <c r="AYP1" s="92"/>
      <c r="AYQ1" s="92"/>
      <c r="AYR1" s="92"/>
      <c r="AYS1" s="92"/>
      <c r="AYT1" s="92"/>
      <c r="AYU1" s="92"/>
      <c r="AYV1" s="92"/>
      <c r="AYW1" s="92"/>
      <c r="AYX1" s="92"/>
      <c r="AYY1" s="92"/>
      <c r="AYZ1" s="92"/>
      <c r="AZA1" s="92"/>
      <c r="AZB1" s="92"/>
      <c r="AZC1" s="92"/>
      <c r="AZD1" s="92"/>
      <c r="AZE1" s="92"/>
      <c r="AZF1" s="92"/>
      <c r="AZG1" s="92"/>
      <c r="AZH1" s="92"/>
      <c r="AZI1" s="92"/>
      <c r="AZJ1" s="92"/>
      <c r="AZK1" s="92"/>
      <c r="AZL1" s="92"/>
      <c r="AZM1" s="92"/>
      <c r="AZN1" s="92"/>
      <c r="AZO1" s="92"/>
      <c r="AZP1" s="92"/>
      <c r="AZQ1" s="92"/>
      <c r="AZR1" s="92"/>
      <c r="AZS1" s="92"/>
      <c r="AZT1" s="92"/>
      <c r="AZU1" s="92"/>
      <c r="AZV1" s="92"/>
      <c r="AZW1" s="92"/>
      <c r="AZX1" s="92"/>
      <c r="AZY1" s="92"/>
      <c r="AZZ1" s="92"/>
      <c r="BAA1" s="92"/>
      <c r="BAB1" s="92"/>
      <c r="BAC1" s="92"/>
      <c r="BAD1" s="92"/>
      <c r="BAE1" s="92"/>
      <c r="BAF1" s="92"/>
      <c r="BAG1" s="92"/>
      <c r="BAH1" s="92"/>
      <c r="BAI1" s="92"/>
      <c r="BAJ1" s="92"/>
      <c r="BAK1" s="92"/>
      <c r="BAL1" s="92"/>
      <c r="BAM1" s="92"/>
      <c r="BAN1" s="92"/>
      <c r="BAO1" s="92"/>
      <c r="BAP1" s="92"/>
      <c r="BAQ1" s="92"/>
      <c r="BAR1" s="92"/>
      <c r="BAS1" s="92"/>
      <c r="BAT1" s="92"/>
      <c r="BAU1" s="92"/>
      <c r="BAV1" s="92"/>
      <c r="BAW1" s="92"/>
      <c r="BAX1" s="92"/>
      <c r="BAY1" s="92"/>
      <c r="BAZ1" s="92"/>
      <c r="BBA1" s="92"/>
      <c r="BBB1" s="92"/>
      <c r="BBC1" s="92"/>
      <c r="BBD1" s="92"/>
      <c r="BBE1" s="92"/>
      <c r="BBF1" s="92"/>
      <c r="BBG1" s="92"/>
      <c r="BBH1" s="92"/>
      <c r="BBI1" s="92"/>
      <c r="BBJ1" s="92"/>
      <c r="BBK1" s="92"/>
      <c r="BBL1" s="92"/>
      <c r="BBM1" s="92"/>
      <c r="BBN1" s="92"/>
      <c r="BBO1" s="92"/>
      <c r="BBP1" s="92"/>
      <c r="BBQ1" s="92"/>
      <c r="BBR1" s="92"/>
      <c r="BBS1" s="92"/>
      <c r="BBT1" s="92"/>
      <c r="BBU1" s="92"/>
      <c r="BBV1" s="92"/>
      <c r="BBW1" s="92"/>
      <c r="BBX1" s="92"/>
      <c r="BBY1" s="92"/>
      <c r="BBZ1" s="92"/>
      <c r="BCA1" s="92"/>
      <c r="BCB1" s="92"/>
      <c r="BCC1" s="92"/>
      <c r="BCD1" s="92"/>
      <c r="BCE1" s="92"/>
      <c r="BCF1" s="92"/>
      <c r="BCG1" s="92"/>
      <c r="BCH1" s="92"/>
      <c r="BCI1" s="92"/>
      <c r="BCJ1" s="92"/>
      <c r="BCK1" s="92"/>
      <c r="BCL1" s="92"/>
      <c r="BCM1" s="92"/>
      <c r="BCN1" s="92"/>
      <c r="BCO1" s="92"/>
      <c r="BCP1" s="92"/>
      <c r="BCQ1" s="92"/>
      <c r="BCR1" s="92"/>
      <c r="BCS1" s="92"/>
      <c r="BCT1" s="92"/>
      <c r="BCU1" s="92"/>
      <c r="BCV1" s="92"/>
      <c r="BCW1" s="92"/>
      <c r="BCX1" s="92"/>
      <c r="BCY1" s="92"/>
      <c r="BCZ1" s="92"/>
      <c r="BDA1" s="92"/>
      <c r="BDB1" s="92"/>
      <c r="BDC1" s="92"/>
      <c r="BDD1" s="92"/>
      <c r="BDE1" s="92"/>
      <c r="BDF1" s="92"/>
      <c r="BDG1" s="92"/>
      <c r="BDH1" s="92"/>
      <c r="BDI1" s="92"/>
      <c r="BDJ1" s="92"/>
      <c r="BDK1" s="92"/>
      <c r="BDL1" s="92"/>
      <c r="BDM1" s="92"/>
      <c r="BDN1" s="92"/>
      <c r="BDO1" s="92"/>
      <c r="BDP1" s="92"/>
      <c r="BDQ1" s="92"/>
      <c r="BDR1" s="92"/>
      <c r="BDS1" s="92"/>
      <c r="BDT1" s="92"/>
      <c r="BDU1" s="92"/>
      <c r="BDV1" s="92"/>
      <c r="BDW1" s="92"/>
      <c r="BDX1" s="92"/>
      <c r="BDY1" s="92"/>
      <c r="BDZ1" s="92"/>
      <c r="BEA1" s="92"/>
      <c r="BEB1" s="92"/>
      <c r="BEC1" s="92"/>
      <c r="BED1" s="92"/>
      <c r="BEE1" s="92"/>
      <c r="BEF1" s="92"/>
      <c r="BEG1" s="92"/>
      <c r="BEH1" s="92"/>
      <c r="BEI1" s="92"/>
      <c r="BEJ1" s="92"/>
      <c r="BEK1" s="92"/>
      <c r="BEL1" s="92"/>
      <c r="BEM1" s="92"/>
      <c r="BEN1" s="92"/>
      <c r="BEO1" s="92"/>
      <c r="BEP1" s="92"/>
      <c r="BEQ1" s="92"/>
      <c r="BER1" s="92"/>
      <c r="BES1" s="92"/>
      <c r="BET1" s="92"/>
      <c r="BEU1" s="92"/>
      <c r="BEV1" s="92"/>
      <c r="BEW1" s="92"/>
      <c r="BEX1" s="92"/>
      <c r="BEY1" s="92"/>
      <c r="BEZ1" s="92"/>
      <c r="BFA1" s="92"/>
      <c r="BFB1" s="92"/>
      <c r="BFC1" s="92"/>
      <c r="BFD1" s="92"/>
      <c r="BFE1" s="92"/>
      <c r="BFF1" s="92"/>
      <c r="BFG1" s="92"/>
      <c r="BFH1" s="92"/>
      <c r="BFI1" s="92"/>
      <c r="BFJ1" s="92"/>
      <c r="BFK1" s="92"/>
      <c r="BFL1" s="92"/>
      <c r="BFM1" s="92"/>
      <c r="BFN1" s="92"/>
      <c r="BFO1" s="92"/>
      <c r="BFP1" s="92"/>
      <c r="BFQ1" s="92"/>
      <c r="BFR1" s="92"/>
      <c r="BFS1" s="92"/>
      <c r="BFT1" s="92"/>
      <c r="BFU1" s="92"/>
      <c r="BFV1" s="92"/>
      <c r="BFW1" s="92"/>
      <c r="BFX1" s="92"/>
      <c r="BFY1" s="92"/>
      <c r="BFZ1" s="92"/>
      <c r="BGA1" s="92"/>
      <c r="BGB1" s="92"/>
      <c r="BGC1" s="92"/>
      <c r="BGD1" s="92"/>
      <c r="BGE1" s="92"/>
      <c r="BGF1" s="92"/>
      <c r="BGG1" s="92"/>
      <c r="BGH1" s="92"/>
      <c r="BGI1" s="92"/>
      <c r="BGJ1" s="92"/>
      <c r="BGK1" s="92"/>
      <c r="BGL1" s="92"/>
      <c r="BGM1" s="92"/>
      <c r="BGN1" s="92"/>
      <c r="BGO1" s="92"/>
      <c r="BGP1" s="92"/>
      <c r="BGQ1" s="92"/>
      <c r="BGR1" s="92"/>
      <c r="BGS1" s="92"/>
      <c r="BGT1" s="92"/>
      <c r="BGU1" s="92"/>
      <c r="BGV1" s="92"/>
      <c r="BGW1" s="92"/>
      <c r="BGX1" s="92"/>
      <c r="BGY1" s="92"/>
      <c r="BGZ1" s="92"/>
      <c r="BHA1" s="92"/>
      <c r="BHB1" s="92"/>
      <c r="BHC1" s="92"/>
      <c r="BHD1" s="92"/>
      <c r="BHE1" s="92"/>
      <c r="BHF1" s="92"/>
      <c r="BHG1" s="92"/>
      <c r="BHH1" s="92"/>
      <c r="BHI1" s="92"/>
      <c r="BHJ1" s="92"/>
      <c r="BHK1" s="92"/>
      <c r="BHL1" s="92"/>
      <c r="BHM1" s="92"/>
      <c r="BHN1" s="92"/>
      <c r="BHO1" s="92"/>
      <c r="BHP1" s="92"/>
      <c r="BHQ1" s="92"/>
      <c r="BHR1" s="92"/>
      <c r="BHS1" s="92"/>
      <c r="BHT1" s="92"/>
      <c r="BHU1" s="92"/>
      <c r="BHV1" s="92"/>
      <c r="BHW1" s="92"/>
      <c r="BHX1" s="92"/>
      <c r="BHY1" s="92"/>
      <c r="BHZ1" s="92"/>
      <c r="BIA1" s="92"/>
      <c r="BIB1" s="92"/>
      <c r="BIC1" s="92"/>
      <c r="BID1" s="92"/>
      <c r="BIE1" s="92"/>
      <c r="BIF1" s="92"/>
      <c r="BIG1" s="92"/>
      <c r="BIH1" s="92"/>
      <c r="BII1" s="92"/>
      <c r="BIJ1" s="92"/>
      <c r="BIK1" s="92"/>
      <c r="BIL1" s="92"/>
      <c r="BIM1" s="92"/>
      <c r="BIN1" s="92"/>
      <c r="BIO1" s="92"/>
      <c r="BIP1" s="92"/>
      <c r="BIQ1" s="92"/>
      <c r="BIR1" s="92"/>
      <c r="BIS1" s="92"/>
      <c r="BIT1" s="92"/>
      <c r="BIU1" s="92"/>
      <c r="BIV1" s="92"/>
      <c r="BIW1" s="92"/>
      <c r="BIX1" s="92"/>
      <c r="BIY1" s="92"/>
      <c r="BIZ1" s="92"/>
      <c r="BJA1" s="92"/>
      <c r="BJB1" s="92"/>
      <c r="BJC1" s="92"/>
      <c r="BJD1" s="92"/>
      <c r="BJE1" s="92"/>
      <c r="BJF1" s="92"/>
      <c r="BJG1" s="92"/>
      <c r="BJH1" s="92"/>
      <c r="BJI1" s="92"/>
      <c r="BJJ1" s="92"/>
      <c r="BJK1" s="92"/>
      <c r="BJL1" s="92"/>
      <c r="BJM1" s="92"/>
      <c r="BJN1" s="92"/>
      <c r="BJO1" s="92"/>
      <c r="BJP1" s="92"/>
      <c r="BJQ1" s="92"/>
      <c r="BJR1" s="92"/>
      <c r="BJS1" s="92"/>
      <c r="BJT1" s="92"/>
      <c r="BJU1" s="92"/>
      <c r="BJV1" s="92"/>
      <c r="BJW1" s="92"/>
      <c r="BJX1" s="92"/>
      <c r="BJY1" s="92"/>
      <c r="BJZ1" s="92"/>
      <c r="BKA1" s="92"/>
      <c r="BKB1" s="92"/>
      <c r="BKC1" s="92"/>
      <c r="BKD1" s="92"/>
      <c r="BKE1" s="92"/>
      <c r="BKF1" s="92"/>
      <c r="BKG1" s="92"/>
      <c r="BKH1" s="92"/>
      <c r="BKI1" s="92"/>
      <c r="BKJ1" s="92"/>
      <c r="BKK1" s="92"/>
      <c r="BKL1" s="92"/>
      <c r="BKM1" s="92"/>
      <c r="BKN1" s="92"/>
      <c r="BKO1" s="92"/>
      <c r="BKP1" s="92"/>
      <c r="BKQ1" s="92"/>
      <c r="BKR1" s="92"/>
      <c r="BKS1" s="92"/>
      <c r="BKT1" s="92"/>
      <c r="BKU1" s="92"/>
      <c r="BKV1" s="92"/>
      <c r="BKW1" s="92"/>
      <c r="BKX1" s="92"/>
      <c r="BKY1" s="92"/>
      <c r="BKZ1" s="92"/>
      <c r="BLA1" s="92"/>
      <c r="BLB1" s="92"/>
      <c r="BLC1" s="92"/>
      <c r="BLD1" s="92"/>
      <c r="BLE1" s="92"/>
      <c r="BLF1" s="92"/>
      <c r="BLG1" s="92"/>
      <c r="BLH1" s="92"/>
      <c r="BLI1" s="92"/>
      <c r="BLJ1" s="92"/>
      <c r="BLK1" s="92"/>
      <c r="BLL1" s="92"/>
      <c r="BLM1" s="92"/>
      <c r="BLN1" s="92"/>
      <c r="BLO1" s="92"/>
      <c r="BLP1" s="92"/>
      <c r="BLQ1" s="92"/>
      <c r="BLR1" s="92"/>
      <c r="BLS1" s="92"/>
      <c r="BLT1" s="92"/>
      <c r="BLU1" s="92"/>
      <c r="BLV1" s="92"/>
      <c r="BLW1" s="92"/>
      <c r="BLX1" s="92"/>
      <c r="BLY1" s="92"/>
      <c r="BLZ1" s="92"/>
      <c r="BMA1" s="92"/>
      <c r="BMB1" s="92"/>
      <c r="BMC1" s="92"/>
      <c r="BMD1" s="92"/>
      <c r="BME1" s="92"/>
      <c r="BMF1" s="92"/>
      <c r="BMG1" s="92"/>
      <c r="BMH1" s="92"/>
      <c r="BMI1" s="92"/>
      <c r="BMJ1" s="92"/>
      <c r="BMK1" s="92"/>
      <c r="BML1" s="92"/>
      <c r="BMM1" s="92"/>
      <c r="BMN1" s="92"/>
      <c r="BMO1" s="92"/>
      <c r="BMP1" s="92"/>
      <c r="BMQ1" s="92"/>
      <c r="BMR1" s="92"/>
      <c r="BMS1" s="92"/>
      <c r="BMT1" s="92"/>
      <c r="BMU1" s="92"/>
      <c r="BMV1" s="92"/>
      <c r="BMW1" s="92"/>
      <c r="BMX1" s="92"/>
      <c r="BMY1" s="92"/>
      <c r="BMZ1" s="92"/>
      <c r="BNA1" s="92"/>
      <c r="BNB1" s="92"/>
      <c r="BNC1" s="92"/>
      <c r="BND1" s="92"/>
      <c r="BNE1" s="92"/>
      <c r="BNF1" s="92"/>
      <c r="BNG1" s="92"/>
      <c r="BNH1" s="92"/>
      <c r="BNI1" s="92"/>
      <c r="BNJ1" s="92"/>
      <c r="BNK1" s="92"/>
      <c r="BNL1" s="92"/>
      <c r="BNM1" s="92"/>
      <c r="BNN1" s="92"/>
      <c r="BNO1" s="92"/>
      <c r="BNP1" s="92"/>
      <c r="BNQ1" s="92"/>
      <c r="BNR1" s="92"/>
      <c r="BNS1" s="92"/>
      <c r="BNT1" s="92"/>
      <c r="BNU1" s="92"/>
      <c r="BNV1" s="92"/>
      <c r="BNW1" s="92"/>
      <c r="BNX1" s="92"/>
      <c r="BNY1" s="92"/>
      <c r="BNZ1" s="92"/>
      <c r="BOA1" s="92"/>
      <c r="BOB1" s="92"/>
      <c r="BOC1" s="92"/>
      <c r="BOD1" s="92"/>
      <c r="BOE1" s="92"/>
      <c r="BOF1" s="92"/>
      <c r="BOG1" s="92"/>
      <c r="BOH1" s="92"/>
      <c r="BOI1" s="92"/>
      <c r="BOJ1" s="92"/>
      <c r="BOK1" s="92"/>
      <c r="BOL1" s="92"/>
      <c r="BOM1" s="92"/>
      <c r="BON1" s="92"/>
      <c r="BOO1" s="92"/>
      <c r="BOP1" s="92"/>
      <c r="BOQ1" s="92"/>
      <c r="BOR1" s="92"/>
      <c r="BOS1" s="92"/>
      <c r="BOT1" s="92"/>
      <c r="BOU1" s="92"/>
      <c r="BOV1" s="92"/>
      <c r="BOW1" s="92"/>
      <c r="BOX1" s="92"/>
      <c r="BOY1" s="92"/>
      <c r="BOZ1" s="92"/>
      <c r="BPA1" s="92"/>
      <c r="BPB1" s="92"/>
      <c r="BPC1" s="92"/>
      <c r="BPD1" s="92"/>
      <c r="BPE1" s="92"/>
      <c r="BPF1" s="92"/>
      <c r="BPG1" s="92"/>
      <c r="BPH1" s="92"/>
      <c r="BPI1" s="92"/>
      <c r="BPJ1" s="92"/>
      <c r="BPK1" s="92"/>
      <c r="BPL1" s="92"/>
      <c r="BPM1" s="92"/>
      <c r="BPN1" s="92"/>
      <c r="BPO1" s="92"/>
      <c r="BPP1" s="92"/>
      <c r="BPQ1" s="92"/>
      <c r="BPR1" s="92"/>
      <c r="BPS1" s="92"/>
      <c r="BPT1" s="92"/>
      <c r="BPU1" s="92"/>
      <c r="BPV1" s="92"/>
      <c r="BPW1" s="92"/>
      <c r="BPX1" s="92"/>
      <c r="BPY1" s="92"/>
      <c r="BPZ1" s="92"/>
      <c r="BQA1" s="92"/>
      <c r="BQB1" s="92"/>
      <c r="BQC1" s="92"/>
      <c r="BQD1" s="92"/>
      <c r="BQE1" s="92"/>
      <c r="BQF1" s="92"/>
      <c r="BQG1" s="92"/>
      <c r="BQH1" s="92"/>
      <c r="BQI1" s="92"/>
      <c r="BQJ1" s="92"/>
      <c r="BQK1" s="92"/>
      <c r="BQL1" s="92"/>
      <c r="BQM1" s="92"/>
      <c r="BQN1" s="92"/>
      <c r="BQO1" s="92"/>
      <c r="BQP1" s="92"/>
      <c r="BQQ1" s="92"/>
      <c r="BQR1" s="92"/>
      <c r="BQS1" s="92"/>
      <c r="BQT1" s="92"/>
      <c r="BQU1" s="92"/>
      <c r="BQV1" s="92"/>
      <c r="BQW1" s="92"/>
      <c r="BQX1" s="92"/>
      <c r="BQY1" s="92"/>
      <c r="BQZ1" s="92"/>
      <c r="BRA1" s="92"/>
      <c r="BRB1" s="92"/>
      <c r="BRC1" s="92"/>
      <c r="BRD1" s="92"/>
      <c r="BRE1" s="92"/>
      <c r="BRF1" s="92"/>
      <c r="BRG1" s="92"/>
      <c r="BRH1" s="92"/>
      <c r="BRI1" s="92"/>
      <c r="BRJ1" s="92"/>
      <c r="BRK1" s="92"/>
      <c r="BRL1" s="92"/>
      <c r="BRM1" s="92"/>
      <c r="BRN1" s="92"/>
      <c r="BRO1" s="92"/>
      <c r="BRP1" s="92"/>
      <c r="BRQ1" s="92"/>
      <c r="BRR1" s="92"/>
      <c r="BRS1" s="92"/>
      <c r="BRT1" s="92"/>
      <c r="BRU1" s="92"/>
      <c r="BRV1" s="92"/>
      <c r="BRW1" s="92"/>
      <c r="BRX1" s="92"/>
      <c r="BRY1" s="92"/>
      <c r="BRZ1" s="92"/>
      <c r="BSA1" s="92"/>
      <c r="BSB1" s="92"/>
      <c r="BSC1" s="92"/>
      <c r="BSD1" s="92"/>
      <c r="BSE1" s="92"/>
      <c r="BSF1" s="92"/>
      <c r="BSG1" s="92"/>
      <c r="BSH1" s="92"/>
      <c r="BSI1" s="92"/>
      <c r="BSJ1" s="92"/>
      <c r="BSK1" s="92"/>
      <c r="BSL1" s="92"/>
      <c r="BSM1" s="92"/>
      <c r="BSN1" s="92"/>
      <c r="BSO1" s="92"/>
      <c r="BSP1" s="92"/>
      <c r="BSQ1" s="92"/>
      <c r="BSR1" s="92"/>
      <c r="BSS1" s="92"/>
      <c r="BST1" s="92"/>
      <c r="BSU1" s="92"/>
      <c r="BSV1" s="92"/>
      <c r="BSW1" s="92"/>
      <c r="BSX1" s="92"/>
      <c r="BSY1" s="92"/>
      <c r="BSZ1" s="92"/>
      <c r="BTA1" s="92"/>
      <c r="BTB1" s="92"/>
      <c r="BTC1" s="92"/>
      <c r="BTD1" s="92"/>
      <c r="BTE1" s="92"/>
      <c r="BTF1" s="92"/>
      <c r="BTG1" s="92"/>
      <c r="BTH1" s="92"/>
      <c r="BTI1" s="92"/>
      <c r="BTJ1" s="92"/>
      <c r="BTK1" s="92"/>
      <c r="BTL1" s="92"/>
      <c r="BTM1" s="92"/>
      <c r="BTN1" s="92"/>
      <c r="BTO1" s="92"/>
      <c r="BTP1" s="92"/>
      <c r="BTQ1" s="92"/>
      <c r="BTR1" s="92"/>
      <c r="BTS1" s="92"/>
      <c r="BTT1" s="92"/>
      <c r="BTU1" s="92"/>
      <c r="BTV1" s="92"/>
      <c r="BTW1" s="92"/>
      <c r="BTX1" s="92"/>
      <c r="BTY1" s="92"/>
      <c r="BTZ1" s="92"/>
      <c r="BUA1" s="92"/>
      <c r="BUB1" s="92"/>
      <c r="BUC1" s="92"/>
      <c r="BUD1" s="92"/>
      <c r="BUE1" s="92"/>
      <c r="BUF1" s="92"/>
      <c r="BUG1" s="92"/>
      <c r="BUH1" s="92"/>
      <c r="BUI1" s="92"/>
      <c r="BUJ1" s="92"/>
      <c r="BUK1" s="92"/>
      <c r="BUL1" s="92"/>
      <c r="BUM1" s="92"/>
      <c r="BUN1" s="92"/>
      <c r="BUO1" s="92"/>
      <c r="BUP1" s="92"/>
      <c r="BUQ1" s="92"/>
      <c r="BUR1" s="92"/>
      <c r="BUS1" s="92"/>
      <c r="BUT1" s="92"/>
      <c r="BUU1" s="92"/>
      <c r="BUV1" s="92"/>
      <c r="BUW1" s="92"/>
      <c r="BUX1" s="92"/>
      <c r="BUY1" s="92"/>
      <c r="BUZ1" s="92"/>
      <c r="BVA1" s="92"/>
      <c r="BVB1" s="92"/>
      <c r="BVC1" s="92"/>
      <c r="BVD1" s="92"/>
      <c r="BVE1" s="92"/>
      <c r="BVF1" s="92"/>
      <c r="BVG1" s="92"/>
      <c r="BVH1" s="92"/>
      <c r="BVI1" s="92"/>
      <c r="BVJ1" s="92"/>
      <c r="BVK1" s="92"/>
      <c r="BVL1" s="92"/>
      <c r="BVM1" s="92"/>
      <c r="BVN1" s="92"/>
      <c r="BVO1" s="92"/>
      <c r="BVP1" s="92"/>
      <c r="BVQ1" s="92"/>
      <c r="BVR1" s="92"/>
      <c r="BVS1" s="92"/>
      <c r="BVT1" s="92"/>
      <c r="BVU1" s="92"/>
      <c r="BVV1" s="92"/>
      <c r="BVW1" s="92"/>
      <c r="BVX1" s="92"/>
      <c r="BVY1" s="92"/>
      <c r="BVZ1" s="92"/>
      <c r="BWA1" s="92"/>
      <c r="BWB1" s="92"/>
      <c r="BWC1" s="92"/>
      <c r="BWD1" s="92"/>
      <c r="BWE1" s="92"/>
      <c r="BWF1" s="92"/>
      <c r="BWG1" s="92"/>
      <c r="BWH1" s="92"/>
      <c r="BWI1" s="92"/>
      <c r="BWJ1" s="92"/>
      <c r="BWK1" s="92"/>
      <c r="BWL1" s="92"/>
      <c r="BWM1" s="92"/>
      <c r="BWN1" s="92"/>
      <c r="BWO1" s="92"/>
      <c r="BWP1" s="92"/>
      <c r="BWQ1" s="92"/>
      <c r="BWR1" s="92"/>
      <c r="BWS1" s="92"/>
      <c r="BWT1" s="92"/>
      <c r="BWU1" s="92"/>
      <c r="BWV1" s="92"/>
      <c r="BWW1" s="92"/>
      <c r="BWX1" s="92"/>
      <c r="BWY1" s="92"/>
      <c r="BWZ1" s="92"/>
      <c r="BXA1" s="92"/>
      <c r="BXB1" s="92"/>
      <c r="BXC1" s="92"/>
      <c r="BXD1" s="92"/>
      <c r="BXE1" s="92"/>
      <c r="BXF1" s="92"/>
      <c r="BXG1" s="92"/>
      <c r="BXH1" s="92"/>
      <c r="BXI1" s="92"/>
      <c r="BXJ1" s="92"/>
      <c r="BXK1" s="92"/>
      <c r="BXL1" s="92"/>
      <c r="BXM1" s="92"/>
      <c r="BXN1" s="92"/>
      <c r="BXO1" s="92"/>
      <c r="BXP1" s="92"/>
      <c r="BXQ1" s="92"/>
      <c r="BXR1" s="92"/>
      <c r="BXS1" s="92"/>
      <c r="BXT1" s="92"/>
      <c r="BXU1" s="92"/>
      <c r="BXV1" s="92"/>
      <c r="BXW1" s="92"/>
      <c r="BXX1" s="92"/>
      <c r="BXY1" s="92"/>
      <c r="BXZ1" s="92"/>
      <c r="BYA1" s="92"/>
      <c r="BYB1" s="92"/>
      <c r="BYC1" s="92"/>
      <c r="BYD1" s="92"/>
      <c r="BYE1" s="92"/>
      <c r="BYF1" s="92"/>
      <c r="BYG1" s="92"/>
      <c r="BYH1" s="92"/>
      <c r="BYI1" s="92"/>
      <c r="BYJ1" s="92"/>
      <c r="BYK1" s="92"/>
      <c r="BYL1" s="92"/>
      <c r="BYM1" s="92"/>
      <c r="BYN1" s="92"/>
      <c r="BYO1" s="92"/>
      <c r="BYP1" s="92"/>
      <c r="BYQ1" s="92"/>
      <c r="BYR1" s="92"/>
      <c r="BYS1" s="92"/>
      <c r="BYT1" s="92"/>
      <c r="BYU1" s="92"/>
      <c r="BYV1" s="92"/>
      <c r="BYW1" s="92"/>
      <c r="BYX1" s="92"/>
      <c r="BYY1" s="92"/>
      <c r="BYZ1" s="92"/>
      <c r="BZA1" s="92"/>
      <c r="BZB1" s="92"/>
      <c r="BZC1" s="92"/>
      <c r="BZD1" s="92"/>
      <c r="BZE1" s="92"/>
      <c r="BZF1" s="92"/>
      <c r="BZG1" s="92"/>
      <c r="BZH1" s="92"/>
      <c r="BZI1" s="92"/>
      <c r="BZJ1" s="92"/>
      <c r="BZK1" s="92"/>
      <c r="BZL1" s="92"/>
      <c r="BZM1" s="92"/>
      <c r="BZN1" s="92"/>
      <c r="BZO1" s="92"/>
      <c r="BZP1" s="92"/>
      <c r="BZQ1" s="92"/>
      <c r="BZR1" s="92"/>
      <c r="BZS1" s="92"/>
      <c r="BZT1" s="92"/>
      <c r="BZU1" s="92"/>
      <c r="BZV1" s="92"/>
      <c r="BZW1" s="92"/>
      <c r="BZX1" s="92"/>
      <c r="BZY1" s="92"/>
      <c r="BZZ1" s="92"/>
      <c r="CAA1" s="92"/>
      <c r="CAB1" s="92"/>
      <c r="CAC1" s="92"/>
      <c r="CAD1" s="92"/>
      <c r="CAE1" s="92"/>
      <c r="CAF1" s="92"/>
      <c r="CAG1" s="92"/>
      <c r="CAH1" s="92"/>
      <c r="CAI1" s="92"/>
      <c r="CAJ1" s="92"/>
      <c r="CAK1" s="92"/>
      <c r="CAL1" s="92"/>
      <c r="CAM1" s="92"/>
      <c r="CAN1" s="92"/>
      <c r="CAO1" s="92"/>
      <c r="CAP1" s="92"/>
      <c r="CAQ1" s="92"/>
      <c r="CAR1" s="92"/>
      <c r="CAS1" s="92"/>
      <c r="CAT1" s="92"/>
      <c r="CAU1" s="92"/>
      <c r="CAV1" s="92"/>
      <c r="CAW1" s="92"/>
      <c r="CAX1" s="92"/>
      <c r="CAY1" s="92"/>
      <c r="CAZ1" s="92"/>
      <c r="CBA1" s="92"/>
      <c r="CBB1" s="92"/>
      <c r="CBC1" s="92"/>
      <c r="CBD1" s="92"/>
      <c r="CBE1" s="92"/>
      <c r="CBF1" s="92"/>
      <c r="CBG1" s="92"/>
      <c r="CBH1" s="92"/>
      <c r="CBI1" s="92"/>
      <c r="CBJ1" s="92"/>
      <c r="CBK1" s="92"/>
      <c r="CBL1" s="92"/>
      <c r="CBM1" s="92"/>
      <c r="CBN1" s="92"/>
      <c r="CBO1" s="92"/>
      <c r="CBP1" s="92"/>
      <c r="CBQ1" s="92"/>
      <c r="CBR1" s="92"/>
      <c r="CBS1" s="92"/>
      <c r="CBT1" s="92"/>
      <c r="CBU1" s="92"/>
      <c r="CBV1" s="92"/>
      <c r="CBW1" s="92"/>
      <c r="CBX1" s="92"/>
      <c r="CBY1" s="92"/>
      <c r="CBZ1" s="92"/>
      <c r="CCA1" s="92"/>
      <c r="CCB1" s="92"/>
      <c r="CCC1" s="92"/>
      <c r="CCD1" s="92"/>
      <c r="CCE1" s="92"/>
      <c r="CCF1" s="92"/>
      <c r="CCG1" s="92"/>
      <c r="CCH1" s="92"/>
      <c r="CCI1" s="92"/>
      <c r="CCJ1" s="92"/>
      <c r="CCK1" s="92"/>
      <c r="CCL1" s="92"/>
      <c r="CCM1" s="92"/>
      <c r="CCN1" s="92"/>
      <c r="CCO1" s="92"/>
      <c r="CCP1" s="92"/>
      <c r="CCQ1" s="92"/>
      <c r="CCR1" s="92"/>
      <c r="CCS1" s="92"/>
      <c r="CCT1" s="92"/>
      <c r="CCU1" s="92"/>
      <c r="CCV1" s="92"/>
      <c r="CCW1" s="92"/>
      <c r="CCX1" s="92"/>
      <c r="CCY1" s="92"/>
      <c r="CCZ1" s="92"/>
      <c r="CDA1" s="92"/>
      <c r="CDB1" s="92"/>
      <c r="CDC1" s="92"/>
      <c r="CDD1" s="92"/>
      <c r="CDE1" s="92"/>
      <c r="CDF1" s="92"/>
      <c r="CDG1" s="92"/>
      <c r="CDH1" s="92"/>
      <c r="CDI1" s="92"/>
      <c r="CDJ1" s="92"/>
      <c r="CDK1" s="92"/>
      <c r="CDL1" s="92"/>
      <c r="CDM1" s="92"/>
      <c r="CDN1" s="92"/>
      <c r="CDO1" s="92"/>
      <c r="CDP1" s="92"/>
      <c r="CDQ1" s="92"/>
      <c r="CDR1" s="92"/>
      <c r="CDS1" s="92"/>
      <c r="CDT1" s="92"/>
      <c r="CDU1" s="92"/>
      <c r="CDV1" s="92"/>
      <c r="CDW1" s="92"/>
      <c r="CDX1" s="92"/>
      <c r="CDY1" s="92"/>
      <c r="CDZ1" s="92"/>
      <c r="CEA1" s="92"/>
      <c r="CEB1" s="92"/>
      <c r="CEC1" s="92"/>
      <c r="CED1" s="92"/>
      <c r="CEE1" s="92"/>
      <c r="CEF1" s="92"/>
      <c r="CEG1" s="92"/>
      <c r="CEH1" s="92"/>
      <c r="CEI1" s="92"/>
      <c r="CEJ1" s="92"/>
      <c r="CEK1" s="92"/>
      <c r="CEL1" s="92"/>
      <c r="CEM1" s="92"/>
      <c r="CEN1" s="92"/>
      <c r="CEO1" s="92"/>
      <c r="CEP1" s="92"/>
      <c r="CEQ1" s="92"/>
      <c r="CER1" s="92"/>
      <c r="CES1" s="92"/>
      <c r="CET1" s="92"/>
      <c r="CEU1" s="92"/>
      <c r="CEV1" s="92"/>
      <c r="CEW1" s="92"/>
      <c r="CEX1" s="92"/>
      <c r="CEY1" s="92"/>
      <c r="CEZ1" s="92"/>
      <c r="CFA1" s="92"/>
      <c r="CFB1" s="92"/>
      <c r="CFC1" s="92"/>
      <c r="CFD1" s="92"/>
      <c r="CFE1" s="92"/>
      <c r="CFF1" s="92"/>
      <c r="CFG1" s="92"/>
      <c r="CFH1" s="92"/>
      <c r="CFI1" s="92"/>
      <c r="CFJ1" s="92"/>
      <c r="CFK1" s="92"/>
      <c r="CFL1" s="92"/>
      <c r="CFM1" s="92"/>
      <c r="CFN1" s="92"/>
      <c r="CFO1" s="92"/>
      <c r="CFP1" s="92"/>
      <c r="CFQ1" s="92"/>
      <c r="CFR1" s="92"/>
      <c r="CFS1" s="92"/>
      <c r="CFT1" s="92"/>
      <c r="CFU1" s="92"/>
      <c r="CFV1" s="92"/>
      <c r="CFW1" s="92"/>
      <c r="CFX1" s="92"/>
      <c r="CFY1" s="92"/>
      <c r="CFZ1" s="92"/>
      <c r="CGA1" s="92"/>
      <c r="CGB1" s="92"/>
      <c r="CGC1" s="92"/>
      <c r="CGD1" s="92"/>
      <c r="CGE1" s="92"/>
      <c r="CGF1" s="92"/>
      <c r="CGG1" s="92"/>
      <c r="CGH1" s="92"/>
      <c r="CGI1" s="92"/>
      <c r="CGJ1" s="92"/>
      <c r="CGK1" s="92"/>
      <c r="CGL1" s="92"/>
      <c r="CGM1" s="92"/>
      <c r="CGN1" s="92"/>
      <c r="CGO1" s="92"/>
      <c r="CGP1" s="92"/>
      <c r="CGQ1" s="92"/>
      <c r="CGR1" s="92"/>
      <c r="CGS1" s="92"/>
      <c r="CGT1" s="92"/>
      <c r="CGU1" s="92"/>
      <c r="CGV1" s="92"/>
      <c r="CGW1" s="92"/>
      <c r="CGX1" s="92"/>
      <c r="CGY1" s="92"/>
      <c r="CGZ1" s="92"/>
      <c r="CHA1" s="92"/>
      <c r="CHB1" s="92"/>
      <c r="CHC1" s="92"/>
      <c r="CHD1" s="92"/>
      <c r="CHE1" s="92"/>
      <c r="CHF1" s="92"/>
      <c r="CHG1" s="92"/>
      <c r="CHH1" s="92"/>
      <c r="CHI1" s="92"/>
      <c r="CHJ1" s="92"/>
      <c r="CHK1" s="92"/>
      <c r="CHL1" s="92"/>
      <c r="CHM1" s="92"/>
      <c r="CHN1" s="92"/>
      <c r="CHO1" s="92"/>
      <c r="CHP1" s="92"/>
      <c r="CHQ1" s="92"/>
      <c r="CHR1" s="92"/>
      <c r="CHS1" s="92"/>
      <c r="CHT1" s="92"/>
      <c r="CHU1" s="92"/>
      <c r="CHV1" s="92"/>
      <c r="CHW1" s="92"/>
      <c r="CHX1" s="92"/>
      <c r="CHY1" s="92"/>
      <c r="CHZ1" s="92"/>
      <c r="CIA1" s="92"/>
      <c r="CIB1" s="92"/>
      <c r="CIC1" s="92"/>
      <c r="CID1" s="92"/>
      <c r="CIE1" s="92"/>
      <c r="CIF1" s="92"/>
      <c r="CIG1" s="92"/>
      <c r="CIH1" s="92"/>
      <c r="CII1" s="92"/>
      <c r="CIJ1" s="92"/>
      <c r="CIK1" s="92"/>
      <c r="CIL1" s="92"/>
      <c r="CIM1" s="92"/>
      <c r="CIN1" s="92"/>
      <c r="CIO1" s="92"/>
      <c r="CIP1" s="92"/>
      <c r="CIQ1" s="92"/>
      <c r="CIR1" s="92"/>
      <c r="CIS1" s="92"/>
      <c r="CIT1" s="92"/>
      <c r="CIU1" s="92"/>
      <c r="CIV1" s="92"/>
      <c r="CIW1" s="92"/>
      <c r="CIX1" s="92"/>
      <c r="CIY1" s="92"/>
      <c r="CIZ1" s="92"/>
      <c r="CJA1" s="92"/>
      <c r="CJB1" s="92"/>
      <c r="CJC1" s="92"/>
      <c r="CJD1" s="92"/>
      <c r="CJE1" s="92"/>
      <c r="CJF1" s="92"/>
      <c r="CJG1" s="92"/>
      <c r="CJH1" s="92"/>
      <c r="CJI1" s="92"/>
      <c r="CJJ1" s="92"/>
      <c r="CJK1" s="92"/>
      <c r="CJL1" s="92"/>
      <c r="CJM1" s="92"/>
      <c r="CJN1" s="92"/>
      <c r="CJO1" s="92"/>
      <c r="CJP1" s="92"/>
      <c r="CJQ1" s="92"/>
      <c r="CJR1" s="92"/>
      <c r="CJS1" s="92"/>
      <c r="CJT1" s="92"/>
      <c r="CJU1" s="92"/>
      <c r="CJV1" s="92"/>
      <c r="CJW1" s="92"/>
      <c r="CJX1" s="92"/>
      <c r="CJY1" s="92"/>
      <c r="CJZ1" s="92"/>
      <c r="CKA1" s="92"/>
      <c r="CKB1" s="92"/>
      <c r="CKC1" s="92"/>
      <c r="CKD1" s="92"/>
      <c r="CKE1" s="92"/>
      <c r="CKF1" s="92"/>
      <c r="CKG1" s="92"/>
      <c r="CKH1" s="92"/>
      <c r="CKI1" s="92"/>
      <c r="CKJ1" s="92"/>
      <c r="CKK1" s="92"/>
      <c r="CKL1" s="92"/>
      <c r="CKM1" s="92"/>
      <c r="CKN1" s="92"/>
      <c r="CKO1" s="92"/>
      <c r="CKP1" s="92"/>
      <c r="CKQ1" s="92"/>
      <c r="CKR1" s="92"/>
      <c r="CKS1" s="92"/>
      <c r="CKT1" s="92"/>
      <c r="CKU1" s="92"/>
      <c r="CKV1" s="92"/>
      <c r="CKW1" s="92"/>
      <c r="CKX1" s="92"/>
      <c r="CKY1" s="92"/>
      <c r="CKZ1" s="92"/>
      <c r="CLA1" s="92"/>
      <c r="CLB1" s="92"/>
      <c r="CLC1" s="92"/>
      <c r="CLD1" s="92"/>
      <c r="CLE1" s="92"/>
      <c r="CLF1" s="92"/>
      <c r="CLG1" s="92"/>
      <c r="CLH1" s="92"/>
      <c r="CLI1" s="92"/>
      <c r="CLJ1" s="92"/>
      <c r="CLK1" s="92"/>
      <c r="CLL1" s="92"/>
      <c r="CLM1" s="92"/>
      <c r="CLN1" s="92"/>
      <c r="CLO1" s="92"/>
      <c r="CLP1" s="92"/>
      <c r="CLQ1" s="92"/>
      <c r="CLR1" s="92"/>
      <c r="CLS1" s="92"/>
      <c r="CLT1" s="92"/>
      <c r="CLU1" s="92"/>
      <c r="CLV1" s="92"/>
      <c r="CLW1" s="92"/>
      <c r="CLX1" s="92"/>
      <c r="CLY1" s="92"/>
      <c r="CLZ1" s="92"/>
      <c r="CMA1" s="92"/>
      <c r="CMB1" s="92"/>
      <c r="CMC1" s="92"/>
      <c r="CMD1" s="92"/>
      <c r="CME1" s="92"/>
      <c r="CMF1" s="92"/>
      <c r="CMG1" s="92"/>
      <c r="CMH1" s="92"/>
      <c r="CMI1" s="92"/>
      <c r="CMJ1" s="92"/>
      <c r="CMK1" s="92"/>
      <c r="CML1" s="92"/>
      <c r="CMM1" s="92"/>
      <c r="CMN1" s="92"/>
      <c r="CMO1" s="92"/>
      <c r="CMP1" s="92"/>
      <c r="CMQ1" s="92"/>
      <c r="CMR1" s="92"/>
      <c r="CMS1" s="92"/>
      <c r="CMT1" s="92"/>
      <c r="CMU1" s="92"/>
      <c r="CMV1" s="92"/>
      <c r="CMW1" s="92"/>
      <c r="CMX1" s="92"/>
      <c r="CMY1" s="92"/>
      <c r="CMZ1" s="92"/>
      <c r="CNA1" s="92"/>
      <c r="CNB1" s="92"/>
      <c r="CNC1" s="92"/>
      <c r="CND1" s="92"/>
      <c r="CNE1" s="92"/>
      <c r="CNF1" s="92"/>
      <c r="CNG1" s="92"/>
      <c r="CNH1" s="92"/>
      <c r="CNI1" s="92"/>
      <c r="CNJ1" s="92"/>
      <c r="CNK1" s="92"/>
      <c r="CNL1" s="92"/>
      <c r="CNM1" s="92"/>
      <c r="CNN1" s="92"/>
      <c r="CNO1" s="92"/>
      <c r="CNP1" s="92"/>
      <c r="CNQ1" s="92"/>
      <c r="CNR1" s="92"/>
      <c r="CNS1" s="92"/>
      <c r="CNT1" s="92"/>
      <c r="CNU1" s="92"/>
      <c r="CNV1" s="92"/>
      <c r="CNW1" s="92"/>
      <c r="CNX1" s="92"/>
      <c r="CNY1" s="92"/>
      <c r="CNZ1" s="92"/>
      <c r="COA1" s="92"/>
      <c r="COB1" s="92"/>
      <c r="COC1" s="92"/>
      <c r="COD1" s="92"/>
      <c r="COE1" s="92"/>
      <c r="COF1" s="92"/>
      <c r="COG1" s="92"/>
      <c r="COH1" s="92"/>
      <c r="COI1" s="92"/>
      <c r="COJ1" s="92"/>
      <c r="COK1" s="92"/>
      <c r="COL1" s="92"/>
      <c r="COM1" s="92"/>
      <c r="CON1" s="92"/>
      <c r="COO1" s="92"/>
      <c r="COP1" s="92"/>
      <c r="COQ1" s="92"/>
      <c r="COR1" s="92"/>
      <c r="COS1" s="92"/>
      <c r="COT1" s="92"/>
      <c r="COU1" s="92"/>
      <c r="COV1" s="92"/>
      <c r="COW1" s="92"/>
      <c r="COX1" s="92"/>
      <c r="COY1" s="92"/>
      <c r="COZ1" s="92"/>
      <c r="CPA1" s="92"/>
      <c r="CPB1" s="92"/>
      <c r="CPC1" s="92"/>
      <c r="CPD1" s="92"/>
      <c r="CPE1" s="92"/>
      <c r="CPF1" s="92"/>
      <c r="CPG1" s="92"/>
      <c r="CPH1" s="92"/>
      <c r="CPI1" s="92"/>
      <c r="CPJ1" s="92"/>
      <c r="CPK1" s="92"/>
      <c r="CPL1" s="92"/>
      <c r="CPM1" s="92"/>
      <c r="CPN1" s="92"/>
      <c r="CPO1" s="92"/>
      <c r="CPP1" s="92"/>
      <c r="CPQ1" s="92"/>
      <c r="CPR1" s="92"/>
      <c r="CPS1" s="92"/>
      <c r="CPT1" s="92"/>
      <c r="CPU1" s="92"/>
      <c r="CPV1" s="92"/>
      <c r="CPW1" s="92"/>
      <c r="CPX1" s="92"/>
      <c r="CPY1" s="92"/>
      <c r="CPZ1" s="92"/>
      <c r="CQA1" s="92"/>
      <c r="CQB1" s="92"/>
      <c r="CQC1" s="92"/>
      <c r="CQD1" s="92"/>
      <c r="CQE1" s="92"/>
      <c r="CQF1" s="92"/>
      <c r="CQG1" s="92"/>
      <c r="CQH1" s="92"/>
      <c r="CQI1" s="92"/>
      <c r="CQJ1" s="92"/>
      <c r="CQK1" s="92"/>
      <c r="CQL1" s="92"/>
      <c r="CQM1" s="92"/>
      <c r="CQN1" s="92"/>
      <c r="CQO1" s="92"/>
      <c r="CQP1" s="92"/>
      <c r="CQQ1" s="92"/>
      <c r="CQR1" s="92"/>
      <c r="CQS1" s="92"/>
      <c r="CQT1" s="92"/>
      <c r="CQU1" s="92"/>
      <c r="CQV1" s="92"/>
      <c r="CQW1" s="92"/>
      <c r="CQX1" s="92"/>
      <c r="CQY1" s="92"/>
      <c r="CQZ1" s="92"/>
      <c r="CRA1" s="92"/>
      <c r="CRB1" s="92"/>
      <c r="CRC1" s="92"/>
      <c r="CRD1" s="92"/>
      <c r="CRE1" s="92"/>
      <c r="CRF1" s="92"/>
      <c r="CRG1" s="92"/>
      <c r="CRH1" s="92"/>
      <c r="CRI1" s="92"/>
      <c r="CRJ1" s="92"/>
      <c r="CRK1" s="92"/>
      <c r="CRL1" s="92"/>
      <c r="CRM1" s="92"/>
      <c r="CRN1" s="92"/>
      <c r="CRO1" s="92"/>
      <c r="CRP1" s="92"/>
      <c r="CRQ1" s="92"/>
      <c r="CRR1" s="92"/>
      <c r="CRS1" s="92"/>
      <c r="CRT1" s="92"/>
      <c r="CRU1" s="92"/>
      <c r="CRV1" s="92"/>
      <c r="CRW1" s="92"/>
      <c r="CRX1" s="92"/>
      <c r="CRY1" s="92"/>
      <c r="CRZ1" s="92"/>
      <c r="CSA1" s="92"/>
      <c r="CSB1" s="92"/>
      <c r="CSC1" s="92"/>
      <c r="CSD1" s="92"/>
      <c r="CSE1" s="92"/>
      <c r="CSF1" s="92"/>
      <c r="CSG1" s="92"/>
      <c r="CSH1" s="92"/>
      <c r="CSI1" s="92"/>
      <c r="CSJ1" s="92"/>
      <c r="CSK1" s="92"/>
      <c r="CSL1" s="92"/>
      <c r="CSM1" s="92"/>
      <c r="CSN1" s="92"/>
      <c r="CSO1" s="92"/>
      <c r="CSP1" s="92"/>
      <c r="CSQ1" s="92"/>
      <c r="CSR1" s="92"/>
      <c r="CSS1" s="92"/>
      <c r="CST1" s="92"/>
      <c r="CSU1" s="92"/>
      <c r="CSV1" s="92"/>
      <c r="CSW1" s="92"/>
      <c r="CSX1" s="92"/>
      <c r="CSY1" s="92"/>
      <c r="CSZ1" s="92"/>
      <c r="CTA1" s="92"/>
      <c r="CTB1" s="92"/>
      <c r="CTC1" s="92"/>
      <c r="CTD1" s="92"/>
      <c r="CTE1" s="92"/>
      <c r="CTF1" s="92"/>
      <c r="CTG1" s="92"/>
      <c r="CTH1" s="92"/>
      <c r="CTI1" s="92"/>
      <c r="CTJ1" s="92"/>
      <c r="CTK1" s="92"/>
      <c r="CTL1" s="92"/>
      <c r="CTM1" s="92"/>
      <c r="CTN1" s="92"/>
      <c r="CTO1" s="92"/>
      <c r="CTP1" s="92"/>
      <c r="CTQ1" s="92"/>
      <c r="CTR1" s="92"/>
      <c r="CTS1" s="92"/>
      <c r="CTT1" s="92"/>
      <c r="CTU1" s="92"/>
      <c r="CTV1" s="92"/>
      <c r="CTW1" s="92"/>
      <c r="CTX1" s="92"/>
      <c r="CTY1" s="92"/>
      <c r="CTZ1" s="92"/>
      <c r="CUA1" s="92"/>
      <c r="CUB1" s="92"/>
      <c r="CUC1" s="92"/>
      <c r="CUD1" s="92"/>
      <c r="CUE1" s="92"/>
      <c r="CUF1" s="92"/>
      <c r="CUG1" s="92"/>
      <c r="CUH1" s="92"/>
      <c r="CUI1" s="92"/>
      <c r="CUJ1" s="92"/>
      <c r="CUK1" s="92"/>
      <c r="CUL1" s="92"/>
      <c r="CUM1" s="92"/>
      <c r="CUN1" s="92"/>
      <c r="CUO1" s="92"/>
      <c r="CUP1" s="92"/>
      <c r="CUQ1" s="92"/>
      <c r="CUR1" s="92"/>
      <c r="CUS1" s="92"/>
      <c r="CUT1" s="92"/>
      <c r="CUU1" s="92"/>
      <c r="CUV1" s="92"/>
      <c r="CUW1" s="92"/>
      <c r="CUX1" s="92"/>
      <c r="CUY1" s="92"/>
      <c r="CUZ1" s="92"/>
      <c r="CVA1" s="92"/>
      <c r="CVB1" s="92"/>
      <c r="CVC1" s="92"/>
      <c r="CVD1" s="92"/>
      <c r="CVE1" s="92"/>
      <c r="CVF1" s="92"/>
      <c r="CVG1" s="92"/>
      <c r="CVH1" s="92"/>
      <c r="CVI1" s="92"/>
      <c r="CVJ1" s="92"/>
      <c r="CVK1" s="92"/>
      <c r="CVL1" s="92"/>
      <c r="CVM1" s="92"/>
      <c r="CVN1" s="92"/>
      <c r="CVO1" s="92"/>
      <c r="CVP1" s="92"/>
      <c r="CVQ1" s="92"/>
      <c r="CVR1" s="92"/>
      <c r="CVS1" s="92"/>
      <c r="CVT1" s="92"/>
      <c r="CVU1" s="92"/>
      <c r="CVV1" s="92"/>
      <c r="CVW1" s="92"/>
      <c r="CVX1" s="92"/>
      <c r="CVY1" s="92"/>
      <c r="CVZ1" s="92"/>
      <c r="CWA1" s="92"/>
      <c r="CWB1" s="92"/>
      <c r="CWC1" s="92"/>
      <c r="CWD1" s="92"/>
      <c r="CWE1" s="92"/>
      <c r="CWF1" s="92"/>
      <c r="CWG1" s="92"/>
      <c r="CWH1" s="92"/>
      <c r="CWI1" s="92"/>
      <c r="CWJ1" s="92"/>
      <c r="CWK1" s="92"/>
      <c r="CWL1" s="92"/>
      <c r="CWM1" s="92"/>
      <c r="CWN1" s="92"/>
      <c r="CWO1" s="92"/>
      <c r="CWP1" s="92"/>
      <c r="CWQ1" s="92"/>
      <c r="CWR1" s="92"/>
      <c r="CWS1" s="92"/>
      <c r="CWT1" s="92"/>
      <c r="CWU1" s="92"/>
      <c r="CWV1" s="92"/>
      <c r="CWW1" s="92"/>
      <c r="CWX1" s="92"/>
      <c r="CWY1" s="92"/>
      <c r="CWZ1" s="92"/>
      <c r="CXA1" s="92"/>
      <c r="CXB1" s="92"/>
      <c r="CXC1" s="92"/>
      <c r="CXD1" s="92"/>
      <c r="CXE1" s="92"/>
      <c r="CXF1" s="92"/>
      <c r="CXG1" s="92"/>
      <c r="CXH1" s="92"/>
      <c r="CXI1" s="92"/>
      <c r="CXJ1" s="92"/>
      <c r="CXK1" s="92"/>
      <c r="CXL1" s="92"/>
      <c r="CXM1" s="92"/>
      <c r="CXN1" s="92"/>
      <c r="CXO1" s="92"/>
      <c r="CXP1" s="92"/>
      <c r="CXQ1" s="92"/>
      <c r="CXR1" s="92"/>
      <c r="CXS1" s="92"/>
      <c r="CXT1" s="92"/>
      <c r="CXU1" s="92"/>
      <c r="CXV1" s="92"/>
      <c r="CXW1" s="92"/>
      <c r="CXX1" s="92"/>
      <c r="CXY1" s="92"/>
      <c r="CXZ1" s="92"/>
      <c r="CYA1" s="92"/>
      <c r="CYB1" s="92"/>
      <c r="CYC1" s="92"/>
      <c r="CYD1" s="92"/>
      <c r="CYE1" s="92"/>
      <c r="CYF1" s="92"/>
      <c r="CYG1" s="92"/>
      <c r="CYH1" s="92"/>
      <c r="CYI1" s="92"/>
      <c r="CYJ1" s="92"/>
      <c r="CYK1" s="92"/>
      <c r="CYL1" s="92"/>
      <c r="CYM1" s="92"/>
      <c r="CYN1" s="92"/>
      <c r="CYO1" s="92"/>
      <c r="CYP1" s="92"/>
      <c r="CYQ1" s="92"/>
      <c r="CYR1" s="92"/>
      <c r="CYS1" s="92"/>
      <c r="CYT1" s="92"/>
      <c r="CYU1" s="92"/>
      <c r="CYV1" s="92"/>
      <c r="CYW1" s="92"/>
      <c r="CYX1" s="92"/>
      <c r="CYY1" s="92"/>
      <c r="CYZ1" s="92"/>
      <c r="CZA1" s="92"/>
      <c r="CZB1" s="92"/>
      <c r="CZC1" s="92"/>
      <c r="CZD1" s="92"/>
      <c r="CZE1" s="92"/>
      <c r="CZF1" s="92"/>
      <c r="CZG1" s="92"/>
      <c r="CZH1" s="92"/>
      <c r="CZI1" s="92"/>
      <c r="CZJ1" s="92"/>
      <c r="CZK1" s="92"/>
      <c r="CZL1" s="92"/>
      <c r="CZM1" s="92"/>
      <c r="CZN1" s="92"/>
      <c r="CZO1" s="92"/>
      <c r="CZP1" s="92"/>
      <c r="CZQ1" s="92"/>
      <c r="CZR1" s="92"/>
      <c r="CZS1" s="92"/>
      <c r="CZT1" s="92"/>
      <c r="CZU1" s="92"/>
      <c r="CZV1" s="92"/>
      <c r="CZW1" s="92"/>
      <c r="CZX1" s="92"/>
      <c r="CZY1" s="92"/>
      <c r="CZZ1" s="92"/>
      <c r="DAA1" s="92"/>
      <c r="DAB1" s="92"/>
      <c r="DAC1" s="92"/>
      <c r="DAD1" s="92"/>
      <c r="DAE1" s="92"/>
      <c r="DAF1" s="92"/>
      <c r="DAG1" s="92"/>
      <c r="DAH1" s="92"/>
      <c r="DAI1" s="92"/>
      <c r="DAJ1" s="92"/>
      <c r="DAK1" s="92"/>
      <c r="DAL1" s="92"/>
      <c r="DAM1" s="92"/>
      <c r="DAN1" s="92"/>
      <c r="DAO1" s="92"/>
      <c r="DAP1" s="92"/>
      <c r="DAQ1" s="92"/>
      <c r="DAR1" s="92"/>
      <c r="DAS1" s="92"/>
      <c r="DAT1" s="92"/>
      <c r="DAU1" s="92"/>
      <c r="DAV1" s="92"/>
      <c r="DAW1" s="92"/>
      <c r="DAX1" s="92"/>
      <c r="DAY1" s="92"/>
      <c r="DAZ1" s="92"/>
      <c r="DBA1" s="92"/>
      <c r="DBB1" s="92"/>
      <c r="DBC1" s="92"/>
      <c r="DBD1" s="92"/>
      <c r="DBE1" s="92"/>
      <c r="DBF1" s="92"/>
      <c r="DBG1" s="92"/>
      <c r="DBH1" s="92"/>
      <c r="DBI1" s="92"/>
      <c r="DBJ1" s="92"/>
      <c r="DBK1" s="92"/>
      <c r="DBL1" s="92"/>
      <c r="DBM1" s="92"/>
      <c r="DBN1" s="92"/>
      <c r="DBO1" s="92"/>
      <c r="DBP1" s="92"/>
      <c r="DBQ1" s="92"/>
      <c r="DBR1" s="92"/>
      <c r="DBS1" s="92"/>
      <c r="DBT1" s="92"/>
      <c r="DBU1" s="92"/>
      <c r="DBV1" s="92"/>
      <c r="DBW1" s="92"/>
      <c r="DBX1" s="92"/>
      <c r="DBY1" s="92"/>
      <c r="DBZ1" s="92"/>
      <c r="DCA1" s="92"/>
      <c r="DCB1" s="92"/>
      <c r="DCC1" s="92"/>
      <c r="DCD1" s="92"/>
      <c r="DCE1" s="92"/>
      <c r="DCF1" s="92"/>
      <c r="DCG1" s="92"/>
      <c r="DCH1" s="92"/>
      <c r="DCI1" s="92"/>
      <c r="DCJ1" s="92"/>
      <c r="DCK1" s="92"/>
      <c r="DCL1" s="92"/>
      <c r="DCM1" s="92"/>
      <c r="DCN1" s="92"/>
      <c r="DCO1" s="92"/>
      <c r="DCP1" s="92"/>
      <c r="DCQ1" s="92"/>
      <c r="DCR1" s="92"/>
      <c r="DCS1" s="92"/>
      <c r="DCT1" s="92"/>
      <c r="DCU1" s="92"/>
      <c r="DCV1" s="92"/>
      <c r="DCW1" s="92"/>
      <c r="DCX1" s="92"/>
      <c r="DCY1" s="92"/>
      <c r="DCZ1" s="92"/>
      <c r="DDA1" s="92"/>
      <c r="DDB1" s="92"/>
      <c r="DDC1" s="92"/>
      <c r="DDD1" s="92"/>
      <c r="DDE1" s="92"/>
      <c r="DDF1" s="92"/>
      <c r="DDG1" s="92"/>
      <c r="DDH1" s="92"/>
      <c r="DDI1" s="92"/>
      <c r="DDJ1" s="92"/>
      <c r="DDK1" s="92"/>
      <c r="DDL1" s="92"/>
      <c r="DDM1" s="92"/>
      <c r="DDN1" s="92"/>
      <c r="DDO1" s="92"/>
      <c r="DDP1" s="92"/>
      <c r="DDQ1" s="92"/>
      <c r="DDR1" s="92"/>
      <c r="DDS1" s="92"/>
      <c r="DDT1" s="92"/>
      <c r="DDU1" s="92"/>
      <c r="DDV1" s="92"/>
      <c r="DDW1" s="92"/>
      <c r="DDX1" s="92"/>
      <c r="DDY1" s="92"/>
      <c r="DDZ1" s="92"/>
      <c r="DEA1" s="92"/>
      <c r="DEB1" s="92"/>
      <c r="DEC1" s="92"/>
      <c r="DED1" s="92"/>
      <c r="DEE1" s="92"/>
      <c r="DEF1" s="92"/>
      <c r="DEG1" s="92"/>
      <c r="DEH1" s="92"/>
      <c r="DEI1" s="92"/>
      <c r="DEJ1" s="92"/>
      <c r="DEK1" s="92"/>
      <c r="DEL1" s="92"/>
      <c r="DEM1" s="92"/>
      <c r="DEN1" s="92"/>
      <c r="DEO1" s="92"/>
      <c r="DEP1" s="92"/>
      <c r="DEQ1" s="92"/>
      <c r="DER1" s="92"/>
      <c r="DES1" s="92"/>
      <c r="DET1" s="92"/>
      <c r="DEU1" s="92"/>
      <c r="DEV1" s="92"/>
      <c r="DEW1" s="92"/>
      <c r="DEX1" s="92"/>
      <c r="DEY1" s="92"/>
      <c r="DEZ1" s="92"/>
      <c r="DFA1" s="92"/>
      <c r="DFB1" s="92"/>
      <c r="DFC1" s="92"/>
      <c r="DFD1" s="92"/>
      <c r="DFE1" s="92"/>
      <c r="DFF1" s="92"/>
      <c r="DFG1" s="92"/>
      <c r="DFH1" s="92"/>
      <c r="DFI1" s="92"/>
      <c r="DFJ1" s="92"/>
      <c r="DFK1" s="92"/>
      <c r="DFL1" s="92"/>
      <c r="DFM1" s="92"/>
      <c r="DFN1" s="92"/>
      <c r="DFO1" s="92"/>
      <c r="DFP1" s="92"/>
      <c r="DFQ1" s="92"/>
      <c r="DFR1" s="92"/>
      <c r="DFS1" s="92"/>
      <c r="DFT1" s="92"/>
      <c r="DFU1" s="92"/>
      <c r="DFV1" s="92"/>
      <c r="DFW1" s="92"/>
      <c r="DFX1" s="92"/>
      <c r="DFY1" s="92"/>
      <c r="DFZ1" s="92"/>
      <c r="DGA1" s="92"/>
      <c r="DGB1" s="92"/>
      <c r="DGC1" s="92"/>
      <c r="DGD1" s="92"/>
      <c r="DGE1" s="92"/>
      <c r="DGF1" s="92"/>
      <c r="DGG1" s="92"/>
      <c r="DGH1" s="92"/>
      <c r="DGI1" s="92"/>
      <c r="DGJ1" s="92"/>
      <c r="DGK1" s="92"/>
      <c r="DGL1" s="92"/>
      <c r="DGM1" s="92"/>
      <c r="DGN1" s="92"/>
      <c r="DGO1" s="92"/>
      <c r="DGP1" s="92"/>
      <c r="DGQ1" s="92"/>
      <c r="DGR1" s="92"/>
      <c r="DGS1" s="92"/>
      <c r="DGT1" s="92"/>
      <c r="DGU1" s="92"/>
      <c r="DGV1" s="92"/>
      <c r="DGW1" s="92"/>
      <c r="DGX1" s="92"/>
      <c r="DGY1" s="92"/>
      <c r="DGZ1" s="92"/>
      <c r="DHA1" s="92"/>
      <c r="DHB1" s="92"/>
      <c r="DHC1" s="92"/>
      <c r="DHD1" s="92"/>
      <c r="DHE1" s="92"/>
      <c r="DHF1" s="92"/>
      <c r="DHG1" s="92"/>
      <c r="DHH1" s="92"/>
      <c r="DHI1" s="92"/>
      <c r="DHJ1" s="92"/>
      <c r="DHK1" s="92"/>
      <c r="DHL1" s="92"/>
      <c r="DHM1" s="92"/>
      <c r="DHN1" s="92"/>
      <c r="DHO1" s="92"/>
      <c r="DHP1" s="92"/>
      <c r="DHQ1" s="92"/>
      <c r="DHR1" s="92"/>
      <c r="DHS1" s="92"/>
      <c r="DHT1" s="92"/>
      <c r="DHU1" s="92"/>
      <c r="DHV1" s="92"/>
      <c r="DHW1" s="92"/>
      <c r="DHX1" s="92"/>
      <c r="DHY1" s="92"/>
      <c r="DHZ1" s="92"/>
      <c r="DIA1" s="92"/>
      <c r="DIB1" s="92"/>
      <c r="DIC1" s="92"/>
      <c r="DID1" s="92"/>
      <c r="DIE1" s="92"/>
      <c r="DIF1" s="92"/>
      <c r="DIG1" s="92"/>
      <c r="DIH1" s="92"/>
      <c r="DII1" s="92"/>
      <c r="DIJ1" s="92"/>
      <c r="DIK1" s="92"/>
      <c r="DIL1" s="92"/>
      <c r="DIM1" s="92"/>
      <c r="DIN1" s="92"/>
      <c r="DIO1" s="92"/>
      <c r="DIP1" s="92"/>
      <c r="DIQ1" s="92"/>
      <c r="DIR1" s="92"/>
      <c r="DIS1" s="92"/>
      <c r="DIT1" s="92"/>
      <c r="DIU1" s="92"/>
      <c r="DIV1" s="92"/>
      <c r="DIW1" s="92"/>
      <c r="DIX1" s="92"/>
      <c r="DIY1" s="92"/>
      <c r="DIZ1" s="92"/>
      <c r="DJA1" s="92"/>
      <c r="DJB1" s="92"/>
      <c r="DJC1" s="92"/>
      <c r="DJD1" s="92"/>
      <c r="DJE1" s="92"/>
      <c r="DJF1" s="92"/>
      <c r="DJG1" s="92"/>
      <c r="DJH1" s="92"/>
      <c r="DJI1" s="92"/>
      <c r="DJJ1" s="92"/>
      <c r="DJK1" s="92"/>
      <c r="DJL1" s="92"/>
      <c r="DJM1" s="92"/>
      <c r="DJN1" s="92"/>
      <c r="DJO1" s="92"/>
      <c r="DJP1" s="92"/>
      <c r="DJQ1" s="92"/>
      <c r="DJR1" s="92"/>
      <c r="DJS1" s="92"/>
      <c r="DJT1" s="92"/>
      <c r="DJU1" s="92"/>
      <c r="DJV1" s="92"/>
      <c r="DJW1" s="92"/>
      <c r="DJX1" s="92"/>
      <c r="DJY1" s="92"/>
      <c r="DJZ1" s="92"/>
      <c r="DKA1" s="92"/>
      <c r="DKB1" s="92"/>
      <c r="DKC1" s="92"/>
      <c r="DKD1" s="92"/>
      <c r="DKE1" s="92"/>
      <c r="DKF1" s="92"/>
      <c r="DKG1" s="92"/>
      <c r="DKH1" s="92"/>
      <c r="DKI1" s="92"/>
      <c r="DKJ1" s="92"/>
      <c r="DKK1" s="92"/>
      <c r="DKL1" s="92"/>
      <c r="DKM1" s="92"/>
      <c r="DKN1" s="92"/>
      <c r="DKO1" s="92"/>
      <c r="DKP1" s="92"/>
      <c r="DKQ1" s="92"/>
      <c r="DKR1" s="92"/>
      <c r="DKS1" s="92"/>
      <c r="DKT1" s="92"/>
      <c r="DKU1" s="92"/>
      <c r="DKV1" s="92"/>
      <c r="DKW1" s="92"/>
      <c r="DKX1" s="92"/>
      <c r="DKY1" s="92"/>
      <c r="DKZ1" s="92"/>
      <c r="DLA1" s="92"/>
      <c r="DLB1" s="92"/>
      <c r="DLC1" s="92"/>
      <c r="DLD1" s="92"/>
      <c r="DLE1" s="92"/>
      <c r="DLF1" s="92"/>
      <c r="DLG1" s="92"/>
      <c r="DLH1" s="92"/>
      <c r="DLI1" s="92"/>
      <c r="DLJ1" s="92"/>
      <c r="DLK1" s="92"/>
      <c r="DLL1" s="92"/>
      <c r="DLM1" s="92"/>
      <c r="DLN1" s="92"/>
      <c r="DLO1" s="92"/>
      <c r="DLP1" s="92"/>
      <c r="DLQ1" s="92"/>
      <c r="DLR1" s="92"/>
      <c r="DLS1" s="92"/>
      <c r="DLT1" s="92"/>
      <c r="DLU1" s="92"/>
      <c r="DLV1" s="92"/>
      <c r="DLW1" s="92"/>
      <c r="DLX1" s="92"/>
      <c r="DLY1" s="92"/>
      <c r="DLZ1" s="92"/>
      <c r="DMA1" s="92"/>
      <c r="DMB1" s="92"/>
      <c r="DMC1" s="92"/>
      <c r="DMD1" s="92"/>
      <c r="DME1" s="92"/>
      <c r="DMF1" s="92"/>
      <c r="DMG1" s="92"/>
      <c r="DMH1" s="92"/>
      <c r="DMI1" s="92"/>
      <c r="DMJ1" s="92"/>
      <c r="DMK1" s="92"/>
      <c r="DML1" s="92"/>
      <c r="DMM1" s="92"/>
      <c r="DMN1" s="92"/>
      <c r="DMO1" s="92"/>
      <c r="DMP1" s="92"/>
      <c r="DMQ1" s="92"/>
      <c r="DMR1" s="92"/>
      <c r="DMS1" s="92"/>
      <c r="DMT1" s="92"/>
      <c r="DMU1" s="92"/>
      <c r="DMV1" s="92"/>
      <c r="DMW1" s="92"/>
      <c r="DMX1" s="92"/>
      <c r="DMY1" s="92"/>
      <c r="DMZ1" s="92"/>
      <c r="DNA1" s="92"/>
      <c r="DNB1" s="92"/>
      <c r="DNC1" s="92"/>
      <c r="DND1" s="92"/>
      <c r="DNE1" s="92"/>
      <c r="DNF1" s="92"/>
      <c r="DNG1" s="92"/>
      <c r="DNH1" s="92"/>
      <c r="DNI1" s="92"/>
      <c r="DNJ1" s="92"/>
      <c r="DNK1" s="92"/>
      <c r="DNL1" s="92"/>
      <c r="DNM1" s="92"/>
      <c r="DNN1" s="92"/>
      <c r="DNO1" s="92"/>
      <c r="DNP1" s="92"/>
      <c r="DNQ1" s="92"/>
      <c r="DNR1" s="92"/>
      <c r="DNS1" s="92"/>
      <c r="DNT1" s="92"/>
      <c r="DNU1" s="92"/>
      <c r="DNV1" s="92"/>
      <c r="DNW1" s="92"/>
      <c r="DNX1" s="92"/>
      <c r="DNY1" s="92"/>
      <c r="DNZ1" s="92"/>
      <c r="DOA1" s="92"/>
      <c r="DOB1" s="92"/>
      <c r="DOC1" s="92"/>
      <c r="DOD1" s="92"/>
      <c r="DOE1" s="92"/>
      <c r="DOF1" s="92"/>
      <c r="DOG1" s="92"/>
      <c r="DOH1" s="92"/>
      <c r="DOI1" s="92"/>
      <c r="DOJ1" s="92"/>
      <c r="DOK1" s="92"/>
      <c r="DOL1" s="92"/>
      <c r="DOM1" s="92"/>
      <c r="DON1" s="92"/>
      <c r="DOO1" s="92"/>
      <c r="DOP1" s="92"/>
      <c r="DOQ1" s="92"/>
      <c r="DOR1" s="92"/>
      <c r="DOS1" s="92"/>
      <c r="DOT1" s="92"/>
      <c r="DOU1" s="92"/>
      <c r="DOV1" s="92"/>
      <c r="DOW1" s="92"/>
      <c r="DOX1" s="92"/>
      <c r="DOY1" s="92"/>
      <c r="DOZ1" s="92"/>
      <c r="DPA1" s="92"/>
      <c r="DPB1" s="92"/>
      <c r="DPC1" s="92"/>
      <c r="DPD1" s="92"/>
      <c r="DPE1" s="92"/>
      <c r="DPF1" s="92"/>
      <c r="DPG1" s="92"/>
      <c r="DPH1" s="92"/>
      <c r="DPI1" s="92"/>
      <c r="DPJ1" s="92"/>
      <c r="DPK1" s="92"/>
      <c r="DPL1" s="92"/>
      <c r="DPM1" s="92"/>
      <c r="DPN1" s="92"/>
      <c r="DPO1" s="92"/>
      <c r="DPP1" s="92"/>
      <c r="DPQ1" s="92"/>
      <c r="DPR1" s="92"/>
      <c r="DPS1" s="92"/>
      <c r="DPT1" s="92"/>
      <c r="DPU1" s="92"/>
      <c r="DPV1" s="92"/>
      <c r="DPW1" s="92"/>
      <c r="DPX1" s="92"/>
      <c r="DPY1" s="92"/>
      <c r="DPZ1" s="92"/>
      <c r="DQA1" s="92"/>
      <c r="DQB1" s="92"/>
      <c r="DQC1" s="92"/>
      <c r="DQD1" s="92"/>
      <c r="DQE1" s="92"/>
      <c r="DQF1" s="92"/>
      <c r="DQG1" s="92"/>
      <c r="DQH1" s="92"/>
      <c r="DQI1" s="92"/>
      <c r="DQJ1" s="92"/>
      <c r="DQK1" s="92"/>
      <c r="DQL1" s="92"/>
      <c r="DQM1" s="92"/>
      <c r="DQN1" s="92"/>
      <c r="DQO1" s="92"/>
      <c r="DQP1" s="92"/>
      <c r="DQQ1" s="92"/>
      <c r="DQR1" s="92"/>
      <c r="DQS1" s="92"/>
      <c r="DQT1" s="92"/>
      <c r="DQU1" s="92"/>
      <c r="DQV1" s="92"/>
      <c r="DQW1" s="92"/>
      <c r="DQX1" s="92"/>
      <c r="DQY1" s="92"/>
      <c r="DQZ1" s="92"/>
      <c r="DRA1" s="92"/>
      <c r="DRB1" s="92"/>
      <c r="DRC1" s="92"/>
      <c r="DRD1" s="92"/>
      <c r="DRE1" s="92"/>
      <c r="DRF1" s="92"/>
      <c r="DRG1" s="92"/>
      <c r="DRH1" s="92"/>
      <c r="DRI1" s="92"/>
      <c r="DRJ1" s="92"/>
      <c r="DRK1" s="92"/>
      <c r="DRL1" s="92"/>
      <c r="DRM1" s="92"/>
      <c r="DRN1" s="92"/>
      <c r="DRO1" s="92"/>
      <c r="DRP1" s="92"/>
      <c r="DRQ1" s="92"/>
      <c r="DRR1" s="92"/>
      <c r="DRS1" s="92"/>
      <c r="DRT1" s="92"/>
      <c r="DRU1" s="92"/>
      <c r="DRV1" s="92"/>
      <c r="DRW1" s="92"/>
      <c r="DRX1" s="92"/>
      <c r="DRY1" s="92"/>
      <c r="DRZ1" s="92"/>
      <c r="DSA1" s="92"/>
      <c r="DSB1" s="92"/>
      <c r="DSC1" s="92"/>
      <c r="DSD1" s="92"/>
      <c r="DSE1" s="92"/>
      <c r="DSF1" s="92"/>
      <c r="DSG1" s="92"/>
      <c r="DSH1" s="92"/>
      <c r="DSI1" s="92"/>
      <c r="DSJ1" s="92"/>
      <c r="DSK1" s="92"/>
      <c r="DSL1" s="92"/>
      <c r="DSM1" s="92"/>
      <c r="DSN1" s="92"/>
      <c r="DSO1" s="92"/>
      <c r="DSP1" s="92"/>
      <c r="DSQ1" s="92"/>
      <c r="DSR1" s="92"/>
      <c r="DSS1" s="92"/>
      <c r="DST1" s="92"/>
      <c r="DSU1" s="92"/>
      <c r="DSV1" s="92"/>
      <c r="DSW1" s="92"/>
      <c r="DSX1" s="92"/>
      <c r="DSY1" s="92"/>
      <c r="DSZ1" s="92"/>
      <c r="DTA1" s="92"/>
      <c r="DTB1" s="92"/>
      <c r="DTC1" s="92"/>
      <c r="DTD1" s="92"/>
      <c r="DTE1" s="92"/>
      <c r="DTF1" s="92"/>
      <c r="DTG1" s="92"/>
      <c r="DTH1" s="92"/>
      <c r="DTI1" s="92"/>
      <c r="DTJ1" s="92"/>
      <c r="DTK1" s="92"/>
      <c r="DTL1" s="92"/>
      <c r="DTM1" s="92"/>
      <c r="DTN1" s="92"/>
      <c r="DTO1" s="92"/>
      <c r="DTP1" s="92"/>
      <c r="DTQ1" s="92"/>
      <c r="DTR1" s="92"/>
      <c r="DTS1" s="92"/>
      <c r="DTT1" s="92"/>
      <c r="DTU1" s="92"/>
      <c r="DTV1" s="92"/>
      <c r="DTW1" s="92"/>
      <c r="DTX1" s="92"/>
      <c r="DTY1" s="92"/>
      <c r="DTZ1" s="92"/>
      <c r="DUA1" s="92"/>
      <c r="DUB1" s="92"/>
      <c r="DUC1" s="92"/>
      <c r="DUD1" s="92"/>
      <c r="DUE1" s="92"/>
      <c r="DUF1" s="92"/>
      <c r="DUG1" s="92"/>
      <c r="DUH1" s="92"/>
      <c r="DUI1" s="92"/>
      <c r="DUJ1" s="92"/>
      <c r="DUK1" s="92"/>
      <c r="DUL1" s="92"/>
      <c r="DUM1" s="92"/>
      <c r="DUN1" s="92"/>
      <c r="DUO1" s="92"/>
      <c r="DUP1" s="92"/>
      <c r="DUQ1" s="92"/>
      <c r="DUR1" s="92"/>
      <c r="DUS1" s="92"/>
      <c r="DUT1" s="92"/>
      <c r="DUU1" s="92"/>
      <c r="DUV1" s="92"/>
      <c r="DUW1" s="92"/>
      <c r="DUX1" s="92"/>
      <c r="DUY1" s="92"/>
      <c r="DUZ1" s="92"/>
      <c r="DVA1" s="92"/>
      <c r="DVB1" s="92"/>
      <c r="DVC1" s="92"/>
      <c r="DVD1" s="92"/>
      <c r="DVE1" s="92"/>
      <c r="DVF1" s="92"/>
      <c r="DVG1" s="92"/>
      <c r="DVH1" s="92"/>
      <c r="DVI1" s="92"/>
      <c r="DVJ1" s="92"/>
      <c r="DVK1" s="92"/>
      <c r="DVL1" s="92"/>
      <c r="DVM1" s="92"/>
      <c r="DVN1" s="92"/>
      <c r="DVO1" s="92"/>
      <c r="DVP1" s="92"/>
      <c r="DVQ1" s="92"/>
      <c r="DVR1" s="92"/>
      <c r="DVS1" s="92"/>
      <c r="DVT1" s="92"/>
      <c r="DVU1" s="92"/>
      <c r="DVV1" s="92"/>
      <c r="DVW1" s="92"/>
      <c r="DVX1" s="92"/>
      <c r="DVY1" s="92"/>
      <c r="DVZ1" s="92"/>
      <c r="DWA1" s="92"/>
      <c r="DWB1" s="92"/>
      <c r="DWC1" s="92"/>
      <c r="DWD1" s="92"/>
      <c r="DWE1" s="92"/>
      <c r="DWF1" s="92"/>
      <c r="DWG1" s="92"/>
      <c r="DWH1" s="92"/>
      <c r="DWI1" s="92"/>
      <c r="DWJ1" s="92"/>
      <c r="DWK1" s="92"/>
      <c r="DWL1" s="92"/>
      <c r="DWM1" s="92"/>
      <c r="DWN1" s="92"/>
      <c r="DWO1" s="92"/>
      <c r="DWP1" s="92"/>
      <c r="DWQ1" s="92"/>
      <c r="DWR1" s="92"/>
      <c r="DWS1" s="92"/>
      <c r="DWT1" s="92"/>
      <c r="DWU1" s="92"/>
      <c r="DWV1" s="92"/>
      <c r="DWW1" s="92"/>
      <c r="DWX1" s="92"/>
      <c r="DWY1" s="92"/>
      <c r="DWZ1" s="92"/>
      <c r="DXA1" s="92"/>
      <c r="DXB1" s="92"/>
      <c r="DXC1" s="92"/>
      <c r="DXD1" s="92"/>
      <c r="DXE1" s="92"/>
      <c r="DXF1" s="92"/>
      <c r="DXG1" s="92"/>
      <c r="DXH1" s="92"/>
      <c r="DXI1" s="92"/>
      <c r="DXJ1" s="92"/>
      <c r="DXK1" s="92"/>
      <c r="DXL1" s="92"/>
      <c r="DXM1" s="92"/>
      <c r="DXN1" s="92"/>
      <c r="DXO1" s="92"/>
      <c r="DXP1" s="92"/>
      <c r="DXQ1" s="92"/>
      <c r="DXR1" s="92"/>
      <c r="DXS1" s="92"/>
      <c r="DXT1" s="92"/>
      <c r="DXU1" s="92"/>
      <c r="DXV1" s="92"/>
      <c r="DXW1" s="92"/>
      <c r="DXX1" s="92"/>
      <c r="DXY1" s="92"/>
      <c r="DXZ1" s="92"/>
      <c r="DYA1" s="92"/>
      <c r="DYB1" s="92"/>
      <c r="DYC1" s="92"/>
      <c r="DYD1" s="92"/>
      <c r="DYE1" s="92"/>
      <c r="DYF1" s="92"/>
      <c r="DYG1" s="92"/>
      <c r="DYH1" s="92"/>
      <c r="DYI1" s="92"/>
      <c r="DYJ1" s="92"/>
      <c r="DYK1" s="92"/>
      <c r="DYL1" s="92"/>
      <c r="DYM1" s="92"/>
      <c r="DYN1" s="92"/>
      <c r="DYO1" s="92"/>
      <c r="DYP1" s="92"/>
      <c r="DYQ1" s="92"/>
      <c r="DYR1" s="92"/>
      <c r="DYS1" s="92"/>
      <c r="DYT1" s="92"/>
      <c r="DYU1" s="92"/>
      <c r="DYV1" s="92"/>
      <c r="DYW1" s="92"/>
      <c r="DYX1" s="92"/>
      <c r="DYY1" s="92"/>
      <c r="DYZ1" s="92"/>
      <c r="DZA1" s="92"/>
      <c r="DZB1" s="92"/>
      <c r="DZC1" s="92"/>
      <c r="DZD1" s="92"/>
      <c r="DZE1" s="92"/>
      <c r="DZF1" s="92"/>
      <c r="DZG1" s="92"/>
      <c r="DZH1" s="92"/>
      <c r="DZI1" s="92"/>
      <c r="DZJ1" s="92"/>
      <c r="DZK1" s="92"/>
      <c r="DZL1" s="92"/>
      <c r="DZM1" s="92"/>
      <c r="DZN1" s="92"/>
      <c r="DZO1" s="92"/>
      <c r="DZP1" s="92"/>
      <c r="DZQ1" s="92"/>
      <c r="DZR1" s="92"/>
      <c r="DZS1" s="92"/>
      <c r="DZT1" s="92"/>
      <c r="DZU1" s="92"/>
      <c r="DZV1" s="92"/>
      <c r="DZW1" s="92"/>
      <c r="DZX1" s="92"/>
      <c r="DZY1" s="92"/>
      <c r="DZZ1" s="92"/>
      <c r="EAA1" s="92"/>
      <c r="EAB1" s="92"/>
      <c r="EAC1" s="92"/>
      <c r="EAD1" s="92"/>
      <c r="EAE1" s="92"/>
      <c r="EAF1" s="92"/>
      <c r="EAG1" s="92"/>
      <c r="EAH1" s="92"/>
      <c r="EAI1" s="92"/>
      <c r="EAJ1" s="92"/>
      <c r="EAK1" s="92"/>
      <c r="EAL1" s="92"/>
      <c r="EAM1" s="92"/>
      <c r="EAN1" s="92"/>
      <c r="EAO1" s="92"/>
      <c r="EAP1" s="92"/>
      <c r="EAQ1" s="92"/>
      <c r="EAR1" s="92"/>
      <c r="EAS1" s="92"/>
      <c r="EAT1" s="92"/>
      <c r="EAU1" s="92"/>
      <c r="EAV1" s="92"/>
      <c r="EAW1" s="92"/>
      <c r="EAX1" s="92"/>
      <c r="EAY1" s="92"/>
      <c r="EAZ1" s="92"/>
      <c r="EBA1" s="92"/>
      <c r="EBB1" s="92"/>
      <c r="EBC1" s="92"/>
      <c r="EBD1" s="92"/>
      <c r="EBE1" s="92"/>
      <c r="EBF1" s="92"/>
      <c r="EBG1" s="92"/>
      <c r="EBH1" s="92"/>
      <c r="EBI1" s="92"/>
      <c r="EBJ1" s="92"/>
      <c r="EBK1" s="92"/>
      <c r="EBL1" s="92"/>
      <c r="EBM1" s="92"/>
      <c r="EBN1" s="92"/>
      <c r="EBO1" s="92"/>
      <c r="EBP1" s="92"/>
      <c r="EBQ1" s="92"/>
      <c r="EBR1" s="92"/>
      <c r="EBS1" s="92"/>
      <c r="EBT1" s="92"/>
      <c r="EBU1" s="92"/>
      <c r="EBV1" s="92"/>
      <c r="EBW1" s="92"/>
      <c r="EBX1" s="92"/>
      <c r="EBY1" s="92"/>
      <c r="EBZ1" s="92"/>
      <c r="ECA1" s="92"/>
      <c r="ECB1" s="92"/>
      <c r="ECC1" s="92"/>
      <c r="ECD1" s="92"/>
      <c r="ECE1" s="92"/>
      <c r="ECF1" s="92"/>
      <c r="ECG1" s="92"/>
      <c r="ECH1" s="92"/>
      <c r="ECI1" s="92"/>
      <c r="ECJ1" s="92"/>
      <c r="ECK1" s="92"/>
      <c r="ECL1" s="92"/>
      <c r="ECM1" s="92"/>
      <c r="ECN1" s="92"/>
      <c r="ECO1" s="92"/>
      <c r="ECP1" s="92"/>
      <c r="ECQ1" s="92"/>
      <c r="ECR1" s="92"/>
      <c r="ECS1" s="92"/>
      <c r="ECT1" s="92"/>
      <c r="ECU1" s="92"/>
      <c r="ECV1" s="92"/>
      <c r="ECW1" s="92"/>
      <c r="ECX1" s="92"/>
      <c r="ECY1" s="92"/>
      <c r="ECZ1" s="92"/>
      <c r="EDA1" s="92"/>
      <c r="EDB1" s="92"/>
      <c r="EDC1" s="92"/>
      <c r="EDD1" s="92"/>
      <c r="EDE1" s="92"/>
      <c r="EDF1" s="92"/>
      <c r="EDG1" s="92"/>
      <c r="EDH1" s="92"/>
      <c r="EDI1" s="92"/>
      <c r="EDJ1" s="92"/>
      <c r="EDK1" s="92"/>
      <c r="EDL1" s="92"/>
      <c r="EDM1" s="92"/>
      <c r="EDN1" s="92"/>
      <c r="EDO1" s="92"/>
      <c r="EDP1" s="92"/>
      <c r="EDQ1" s="92"/>
      <c r="EDR1" s="92"/>
      <c r="EDS1" s="92"/>
      <c r="EDT1" s="92"/>
      <c r="EDU1" s="92"/>
      <c r="EDV1" s="92"/>
      <c r="EDW1" s="92"/>
      <c r="EDX1" s="92"/>
      <c r="EDY1" s="92"/>
      <c r="EDZ1" s="92"/>
      <c r="EEA1" s="92"/>
      <c r="EEB1" s="92"/>
      <c r="EEC1" s="92"/>
      <c r="EED1" s="92"/>
      <c r="EEE1" s="92"/>
      <c r="EEF1" s="92"/>
      <c r="EEG1" s="92"/>
      <c r="EEH1" s="92"/>
      <c r="EEI1" s="92"/>
      <c r="EEJ1" s="92"/>
      <c r="EEK1" s="92"/>
      <c r="EEL1" s="92"/>
      <c r="EEM1" s="92"/>
      <c r="EEN1" s="92"/>
      <c r="EEO1" s="92"/>
      <c r="EEP1" s="92"/>
      <c r="EEQ1" s="92"/>
      <c r="EER1" s="92"/>
      <c r="EES1" s="92"/>
      <c r="EET1" s="92"/>
      <c r="EEU1" s="92"/>
      <c r="EEV1" s="92"/>
      <c r="EEW1" s="92"/>
      <c r="EEX1" s="92"/>
      <c r="EEY1" s="92"/>
      <c r="EEZ1" s="92"/>
      <c r="EFA1" s="92"/>
      <c r="EFB1" s="92"/>
      <c r="EFC1" s="92"/>
      <c r="EFD1" s="92"/>
      <c r="EFE1" s="92"/>
      <c r="EFF1" s="92"/>
      <c r="EFG1" s="92"/>
      <c r="EFH1" s="92"/>
      <c r="EFI1" s="92"/>
      <c r="EFJ1" s="92"/>
      <c r="EFK1" s="92"/>
      <c r="EFL1" s="92"/>
      <c r="EFM1" s="92"/>
      <c r="EFN1" s="92"/>
      <c r="EFO1" s="92"/>
      <c r="EFP1" s="92"/>
      <c r="EFQ1" s="92"/>
      <c r="EFR1" s="92"/>
      <c r="EFS1" s="92"/>
      <c r="EFT1" s="92"/>
      <c r="EFU1" s="92"/>
      <c r="EFV1" s="92"/>
      <c r="EFW1" s="92"/>
      <c r="EFX1" s="92"/>
      <c r="EFY1" s="92"/>
      <c r="EFZ1" s="92"/>
      <c r="EGA1" s="92"/>
      <c r="EGB1" s="92"/>
      <c r="EGC1" s="92"/>
      <c r="EGD1" s="92"/>
      <c r="EGE1" s="92"/>
      <c r="EGF1" s="92"/>
      <c r="EGG1" s="92"/>
      <c r="EGH1" s="92"/>
      <c r="EGI1" s="92"/>
      <c r="EGJ1" s="92"/>
      <c r="EGK1" s="92"/>
      <c r="EGL1" s="92"/>
      <c r="EGM1" s="92"/>
      <c r="EGN1" s="92"/>
      <c r="EGO1" s="92"/>
      <c r="EGP1" s="92"/>
      <c r="EGQ1" s="92"/>
      <c r="EGR1" s="92"/>
      <c r="EGS1" s="92"/>
      <c r="EGT1" s="92"/>
      <c r="EGU1" s="92"/>
      <c r="EGV1" s="92"/>
      <c r="EGW1" s="92"/>
      <c r="EGX1" s="92"/>
      <c r="EGY1" s="92"/>
      <c r="EGZ1" s="92"/>
      <c r="EHA1" s="92"/>
      <c r="EHB1" s="92"/>
      <c r="EHC1" s="92"/>
      <c r="EHD1" s="92"/>
      <c r="EHE1" s="92"/>
      <c r="EHF1" s="92"/>
      <c r="EHG1" s="92"/>
      <c r="EHH1" s="92"/>
      <c r="EHI1" s="92"/>
      <c r="EHJ1" s="92"/>
      <c r="EHK1" s="92"/>
      <c r="EHL1" s="92"/>
      <c r="EHM1" s="92"/>
      <c r="EHN1" s="92"/>
      <c r="EHO1" s="92"/>
      <c r="EHP1" s="92"/>
      <c r="EHQ1" s="92"/>
      <c r="EHR1" s="92"/>
      <c r="EHS1" s="92"/>
      <c r="EHT1" s="92"/>
      <c r="EHU1" s="92"/>
      <c r="EHV1" s="92"/>
      <c r="EHW1" s="92"/>
      <c r="EHX1" s="92"/>
      <c r="EHY1" s="92"/>
      <c r="EHZ1" s="92"/>
      <c r="EIA1" s="92"/>
      <c r="EIB1" s="92"/>
      <c r="EIC1" s="92"/>
      <c r="EID1" s="92"/>
      <c r="EIE1" s="92"/>
      <c r="EIF1" s="92"/>
      <c r="EIG1" s="92"/>
      <c r="EIH1" s="92"/>
      <c r="EII1" s="92"/>
      <c r="EIJ1" s="92"/>
      <c r="EIK1" s="92"/>
      <c r="EIL1" s="92"/>
      <c r="EIM1" s="92"/>
      <c r="EIN1" s="92"/>
      <c r="EIO1" s="92"/>
      <c r="EIP1" s="92"/>
      <c r="EIQ1" s="92"/>
      <c r="EIR1" s="92"/>
      <c r="EIS1" s="92"/>
      <c r="EIT1" s="92"/>
      <c r="EIU1" s="92"/>
      <c r="EIV1" s="92"/>
      <c r="EIW1" s="92"/>
      <c r="EIX1" s="92"/>
      <c r="EIY1" s="92"/>
      <c r="EIZ1" s="92"/>
      <c r="EJA1" s="92"/>
      <c r="EJB1" s="92"/>
      <c r="EJC1" s="92"/>
      <c r="EJD1" s="92"/>
      <c r="EJE1" s="92"/>
      <c r="EJF1" s="92"/>
      <c r="EJG1" s="92"/>
      <c r="EJH1" s="92"/>
      <c r="EJI1" s="92"/>
      <c r="EJJ1" s="92"/>
      <c r="EJK1" s="92"/>
      <c r="EJL1" s="92"/>
      <c r="EJM1" s="92"/>
      <c r="EJN1" s="92"/>
      <c r="EJO1" s="92"/>
      <c r="EJP1" s="92"/>
      <c r="EJQ1" s="92"/>
      <c r="EJR1" s="92"/>
      <c r="EJS1" s="92"/>
      <c r="EJT1" s="92"/>
      <c r="EJU1" s="92"/>
      <c r="EJV1" s="92"/>
      <c r="EJW1" s="92"/>
      <c r="EJX1" s="92"/>
      <c r="EJY1" s="92"/>
      <c r="EJZ1" s="92"/>
      <c r="EKA1" s="92"/>
      <c r="EKB1" s="92"/>
      <c r="EKC1" s="92"/>
      <c r="EKD1" s="92"/>
      <c r="EKE1" s="92"/>
      <c r="EKF1" s="92"/>
      <c r="EKG1" s="92"/>
      <c r="EKH1" s="92"/>
      <c r="EKI1" s="92"/>
      <c r="EKJ1" s="92"/>
      <c r="EKK1" s="92"/>
      <c r="EKL1" s="92"/>
      <c r="EKM1" s="92"/>
      <c r="EKN1" s="92"/>
      <c r="EKO1" s="92"/>
      <c r="EKP1" s="92"/>
      <c r="EKQ1" s="92"/>
      <c r="EKR1" s="92"/>
      <c r="EKS1" s="92"/>
      <c r="EKT1" s="92"/>
      <c r="EKU1" s="92"/>
      <c r="EKV1" s="92"/>
      <c r="EKW1" s="92"/>
      <c r="EKX1" s="92"/>
      <c r="EKY1" s="92"/>
      <c r="EKZ1" s="92"/>
      <c r="ELA1" s="92"/>
      <c r="ELB1" s="92"/>
      <c r="ELC1" s="92"/>
      <c r="ELD1" s="92"/>
      <c r="ELE1" s="92"/>
      <c r="ELF1" s="92"/>
      <c r="ELG1" s="92"/>
      <c r="ELH1" s="92"/>
      <c r="ELI1" s="92"/>
      <c r="ELJ1" s="92"/>
      <c r="ELK1" s="92"/>
      <c r="ELL1" s="92"/>
      <c r="ELM1" s="92"/>
      <c r="ELN1" s="92"/>
      <c r="ELO1" s="92"/>
      <c r="ELP1" s="92"/>
      <c r="ELQ1" s="92"/>
      <c r="ELR1" s="92"/>
      <c r="ELS1" s="92"/>
      <c r="ELT1" s="92"/>
      <c r="ELU1" s="92"/>
      <c r="ELV1" s="92"/>
      <c r="ELW1" s="92"/>
      <c r="ELX1" s="92"/>
      <c r="ELY1" s="92"/>
      <c r="ELZ1" s="92"/>
      <c r="EMA1" s="92"/>
      <c r="EMB1" s="92"/>
      <c r="EMC1" s="92"/>
      <c r="EMD1" s="92"/>
      <c r="EME1" s="92"/>
      <c r="EMF1" s="92"/>
      <c r="EMG1" s="92"/>
      <c r="EMH1" s="92"/>
      <c r="EMI1" s="92"/>
      <c r="EMJ1" s="92"/>
      <c r="EMK1" s="92"/>
      <c r="EML1" s="92"/>
      <c r="EMM1" s="92"/>
      <c r="EMN1" s="92"/>
      <c r="EMO1" s="92"/>
      <c r="EMP1" s="92"/>
      <c r="EMQ1" s="92"/>
      <c r="EMR1" s="92"/>
      <c r="EMS1" s="92"/>
      <c r="EMT1" s="92"/>
      <c r="EMU1" s="92"/>
      <c r="EMV1" s="92"/>
      <c r="EMW1" s="92"/>
      <c r="EMX1" s="92"/>
      <c r="EMY1" s="92"/>
      <c r="EMZ1" s="92"/>
      <c r="ENA1" s="92"/>
      <c r="ENB1" s="92"/>
      <c r="ENC1" s="92"/>
      <c r="END1" s="92"/>
      <c r="ENE1" s="92"/>
      <c r="ENF1" s="92"/>
      <c r="ENG1" s="92"/>
      <c r="ENH1" s="92"/>
      <c r="ENI1" s="92"/>
      <c r="ENJ1" s="92"/>
      <c r="ENK1" s="92"/>
      <c r="ENL1" s="92"/>
      <c r="ENM1" s="92"/>
      <c r="ENN1" s="92"/>
      <c r="ENO1" s="92"/>
      <c r="ENP1" s="92"/>
      <c r="ENQ1" s="92"/>
      <c r="ENR1" s="92"/>
      <c r="ENS1" s="92"/>
      <c r="ENT1" s="92"/>
      <c r="ENU1" s="92"/>
      <c r="ENV1" s="92"/>
      <c r="ENW1" s="92"/>
      <c r="ENX1" s="92"/>
      <c r="ENY1" s="92"/>
      <c r="ENZ1" s="92"/>
      <c r="EOA1" s="92"/>
      <c r="EOB1" s="92"/>
      <c r="EOC1" s="92"/>
      <c r="EOD1" s="92"/>
      <c r="EOE1" s="92"/>
      <c r="EOF1" s="92"/>
      <c r="EOG1" s="92"/>
      <c r="EOH1" s="92"/>
      <c r="EOI1" s="92"/>
      <c r="EOJ1" s="92"/>
      <c r="EOK1" s="92"/>
      <c r="EOL1" s="92"/>
      <c r="EOM1" s="92"/>
      <c r="EON1" s="92"/>
      <c r="EOO1" s="92"/>
      <c r="EOP1" s="92"/>
      <c r="EOQ1" s="92"/>
      <c r="EOR1" s="92"/>
      <c r="EOS1" s="92"/>
      <c r="EOT1" s="92"/>
      <c r="EOU1" s="92"/>
      <c r="EOV1" s="92"/>
      <c r="EOW1" s="92"/>
      <c r="EOX1" s="92"/>
      <c r="EOY1" s="92"/>
      <c r="EOZ1" s="92"/>
      <c r="EPA1" s="92"/>
      <c r="EPB1" s="92"/>
      <c r="EPC1" s="92"/>
      <c r="EPD1" s="92"/>
      <c r="EPE1" s="92"/>
      <c r="EPF1" s="92"/>
      <c r="EPG1" s="92"/>
      <c r="EPH1" s="92"/>
      <c r="EPI1" s="92"/>
      <c r="EPJ1" s="92"/>
      <c r="EPK1" s="92"/>
      <c r="EPL1" s="92"/>
      <c r="EPM1" s="92"/>
      <c r="EPN1" s="92"/>
      <c r="EPO1" s="92"/>
      <c r="EPP1" s="92"/>
      <c r="EPQ1" s="92"/>
      <c r="EPR1" s="92"/>
      <c r="EPS1" s="92"/>
      <c r="EPT1" s="92"/>
      <c r="EPU1" s="92"/>
      <c r="EPV1" s="92"/>
      <c r="EPW1" s="92"/>
      <c r="EPX1" s="92"/>
      <c r="EPY1" s="92"/>
      <c r="EPZ1" s="92"/>
      <c r="EQA1" s="92"/>
      <c r="EQB1" s="92"/>
      <c r="EQC1" s="92"/>
      <c r="EQD1" s="92"/>
      <c r="EQE1" s="92"/>
      <c r="EQF1" s="92"/>
      <c r="EQG1" s="92"/>
      <c r="EQH1" s="92"/>
      <c r="EQI1" s="92"/>
      <c r="EQJ1" s="92"/>
      <c r="EQK1" s="92"/>
      <c r="EQL1" s="92"/>
      <c r="EQM1" s="92"/>
      <c r="EQN1" s="92"/>
      <c r="EQO1" s="92"/>
      <c r="EQP1" s="92"/>
      <c r="EQQ1" s="92"/>
      <c r="EQR1" s="92"/>
      <c r="EQS1" s="92"/>
      <c r="EQT1" s="92"/>
      <c r="EQU1" s="92"/>
      <c r="EQV1" s="92"/>
      <c r="EQW1" s="92"/>
      <c r="EQX1" s="92"/>
      <c r="EQY1" s="92"/>
      <c r="EQZ1" s="92"/>
      <c r="ERA1" s="92"/>
      <c r="ERB1" s="92"/>
      <c r="ERC1" s="92"/>
      <c r="ERD1" s="92"/>
      <c r="ERE1" s="92"/>
      <c r="ERF1" s="92"/>
      <c r="ERG1" s="92"/>
      <c r="ERH1" s="92"/>
      <c r="ERI1" s="92"/>
      <c r="ERJ1" s="92"/>
      <c r="ERK1" s="92"/>
      <c r="ERL1" s="92"/>
      <c r="ERM1" s="92"/>
      <c r="ERN1" s="92"/>
      <c r="ERO1" s="92"/>
      <c r="ERP1" s="92"/>
      <c r="ERQ1" s="92"/>
      <c r="ERR1" s="92"/>
      <c r="ERS1" s="92"/>
      <c r="ERT1" s="92"/>
      <c r="ERU1" s="92"/>
      <c r="ERV1" s="92"/>
      <c r="ERW1" s="92"/>
      <c r="ERX1" s="92"/>
      <c r="ERY1" s="92"/>
      <c r="ERZ1" s="92"/>
      <c r="ESA1" s="92"/>
      <c r="ESB1" s="92"/>
      <c r="ESC1" s="92"/>
      <c r="ESD1" s="92"/>
      <c r="ESE1" s="92"/>
      <c r="ESF1" s="92"/>
      <c r="ESG1" s="92"/>
      <c r="ESH1" s="92"/>
      <c r="ESI1" s="92"/>
      <c r="ESJ1" s="92"/>
      <c r="ESK1" s="92"/>
      <c r="ESL1" s="92"/>
      <c r="ESM1" s="92"/>
      <c r="ESN1" s="92"/>
      <c r="ESO1" s="92"/>
      <c r="ESP1" s="92"/>
      <c r="ESQ1" s="92"/>
      <c r="ESR1" s="92"/>
      <c r="ESS1" s="92"/>
      <c r="EST1" s="92"/>
      <c r="ESU1" s="92"/>
      <c r="ESV1" s="92"/>
      <c r="ESW1" s="92"/>
      <c r="ESX1" s="92"/>
      <c r="ESY1" s="92"/>
      <c r="ESZ1" s="92"/>
      <c r="ETA1" s="92"/>
      <c r="ETB1" s="92"/>
      <c r="ETC1" s="92"/>
      <c r="ETD1" s="92"/>
      <c r="ETE1" s="92"/>
      <c r="ETF1" s="92"/>
      <c r="ETG1" s="92"/>
      <c r="ETH1" s="92"/>
      <c r="ETI1" s="92"/>
      <c r="ETJ1" s="92"/>
      <c r="ETK1" s="92"/>
      <c r="ETL1" s="92"/>
      <c r="ETM1" s="92"/>
      <c r="ETN1" s="92"/>
      <c r="ETO1" s="92"/>
      <c r="ETP1" s="92"/>
      <c r="ETQ1" s="92"/>
      <c r="ETR1" s="92"/>
      <c r="ETS1" s="92"/>
      <c r="ETT1" s="92"/>
      <c r="ETU1" s="92"/>
      <c r="ETV1" s="92"/>
      <c r="ETW1" s="92"/>
      <c r="ETX1" s="92"/>
      <c r="ETY1" s="92"/>
      <c r="ETZ1" s="92"/>
      <c r="EUA1" s="92"/>
      <c r="EUB1" s="92"/>
      <c r="EUC1" s="92"/>
      <c r="EUD1" s="92"/>
      <c r="EUE1" s="92"/>
      <c r="EUF1" s="92"/>
      <c r="EUG1" s="92"/>
      <c r="EUH1" s="92"/>
      <c r="EUI1" s="92"/>
      <c r="EUJ1" s="92"/>
      <c r="EUK1" s="92"/>
      <c r="EUL1" s="92"/>
      <c r="EUM1" s="92"/>
      <c r="EUN1" s="92"/>
      <c r="EUO1" s="92"/>
      <c r="EUP1" s="92"/>
      <c r="EUQ1" s="92"/>
      <c r="EUR1" s="92"/>
      <c r="EUS1" s="92"/>
      <c r="EUT1" s="92"/>
      <c r="EUU1" s="92"/>
      <c r="EUV1" s="92"/>
      <c r="EUW1" s="92"/>
      <c r="EUX1" s="92"/>
      <c r="EUY1" s="92"/>
      <c r="EUZ1" s="92"/>
      <c r="EVA1" s="92"/>
      <c r="EVB1" s="92"/>
      <c r="EVC1" s="92"/>
      <c r="EVD1" s="92"/>
      <c r="EVE1" s="92"/>
      <c r="EVF1" s="92"/>
      <c r="EVG1" s="92"/>
      <c r="EVH1" s="92"/>
      <c r="EVI1" s="92"/>
      <c r="EVJ1" s="92"/>
      <c r="EVK1" s="92"/>
      <c r="EVL1" s="92"/>
      <c r="EVM1" s="92"/>
      <c r="EVN1" s="92"/>
      <c r="EVO1" s="92"/>
      <c r="EVP1" s="92"/>
      <c r="EVQ1" s="92"/>
      <c r="EVR1" s="92"/>
      <c r="EVS1" s="92"/>
      <c r="EVT1" s="92"/>
      <c r="EVU1" s="92"/>
      <c r="EVV1" s="92"/>
      <c r="EVW1" s="92"/>
      <c r="EVX1" s="92"/>
      <c r="EVY1" s="92"/>
      <c r="EVZ1" s="92"/>
      <c r="EWA1" s="92"/>
      <c r="EWB1" s="92"/>
      <c r="EWC1" s="92"/>
      <c r="EWD1" s="92"/>
      <c r="EWE1" s="92"/>
      <c r="EWF1" s="92"/>
      <c r="EWG1" s="92"/>
      <c r="EWH1" s="92"/>
      <c r="EWI1" s="92"/>
      <c r="EWJ1" s="92"/>
      <c r="EWK1" s="92"/>
      <c r="EWL1" s="92"/>
      <c r="EWM1" s="92"/>
      <c r="EWN1" s="92"/>
      <c r="EWO1" s="92"/>
      <c r="EWP1" s="92"/>
      <c r="EWQ1" s="92"/>
      <c r="EWR1" s="92"/>
      <c r="EWS1" s="92"/>
      <c r="EWT1" s="92"/>
      <c r="EWU1" s="92"/>
      <c r="EWV1" s="92"/>
      <c r="EWW1" s="92"/>
      <c r="EWX1" s="92"/>
      <c r="EWY1" s="92"/>
      <c r="EWZ1" s="92"/>
      <c r="EXA1" s="92"/>
      <c r="EXB1" s="92"/>
      <c r="EXC1" s="92"/>
      <c r="EXD1" s="92"/>
      <c r="EXE1" s="92"/>
      <c r="EXF1" s="92"/>
      <c r="EXG1" s="92"/>
      <c r="EXH1" s="92"/>
      <c r="EXI1" s="92"/>
      <c r="EXJ1" s="92"/>
      <c r="EXK1" s="92"/>
      <c r="EXL1" s="92"/>
      <c r="EXM1" s="92"/>
      <c r="EXN1" s="92"/>
      <c r="EXO1" s="92"/>
      <c r="EXP1" s="92"/>
      <c r="EXQ1" s="92"/>
      <c r="EXR1" s="92"/>
      <c r="EXS1" s="92"/>
      <c r="EXT1" s="92"/>
      <c r="EXU1" s="92"/>
      <c r="EXV1" s="92"/>
      <c r="EXW1" s="92"/>
      <c r="EXX1" s="92"/>
      <c r="EXY1" s="92"/>
      <c r="EXZ1" s="92"/>
      <c r="EYA1" s="92"/>
      <c r="EYB1" s="92"/>
      <c r="EYC1" s="92"/>
      <c r="EYD1" s="92"/>
      <c r="EYE1" s="92"/>
      <c r="EYF1" s="92"/>
      <c r="EYG1" s="92"/>
      <c r="EYH1" s="92"/>
      <c r="EYI1" s="92"/>
      <c r="EYJ1" s="92"/>
      <c r="EYK1" s="92"/>
      <c r="EYL1" s="92"/>
      <c r="EYM1" s="92"/>
      <c r="EYN1" s="92"/>
      <c r="EYO1" s="92"/>
      <c r="EYP1" s="92"/>
      <c r="EYQ1" s="92"/>
      <c r="EYR1" s="92"/>
      <c r="EYS1" s="92"/>
      <c r="EYT1" s="92"/>
      <c r="EYU1" s="92"/>
      <c r="EYV1" s="92"/>
      <c r="EYW1" s="92"/>
      <c r="EYX1" s="92"/>
      <c r="EYY1" s="92"/>
      <c r="EYZ1" s="92"/>
      <c r="EZA1" s="92"/>
      <c r="EZB1" s="92"/>
      <c r="EZC1" s="92"/>
      <c r="EZD1" s="92"/>
      <c r="EZE1" s="92"/>
      <c r="EZF1" s="92"/>
      <c r="EZG1" s="92"/>
      <c r="EZH1" s="92"/>
      <c r="EZI1" s="92"/>
      <c r="EZJ1" s="92"/>
      <c r="EZK1" s="92"/>
      <c r="EZL1" s="92"/>
      <c r="EZM1" s="92"/>
      <c r="EZN1" s="92"/>
      <c r="EZO1" s="92"/>
      <c r="EZP1" s="92"/>
      <c r="EZQ1" s="92"/>
      <c r="EZR1" s="92"/>
      <c r="EZS1" s="92"/>
      <c r="EZT1" s="92"/>
      <c r="EZU1" s="92"/>
      <c r="EZV1" s="92"/>
      <c r="EZW1" s="92"/>
      <c r="EZX1" s="92"/>
      <c r="EZY1" s="92"/>
      <c r="EZZ1" s="92"/>
      <c r="FAA1" s="92"/>
      <c r="FAB1" s="92"/>
      <c r="FAC1" s="92"/>
      <c r="FAD1" s="92"/>
      <c r="FAE1" s="92"/>
      <c r="FAF1" s="92"/>
      <c r="FAG1" s="92"/>
      <c r="FAH1" s="92"/>
      <c r="FAI1" s="92"/>
      <c r="FAJ1" s="92"/>
      <c r="FAK1" s="92"/>
      <c r="FAL1" s="92"/>
      <c r="FAM1" s="92"/>
      <c r="FAN1" s="92"/>
      <c r="FAO1" s="92"/>
      <c r="FAP1" s="92"/>
      <c r="FAQ1" s="92"/>
      <c r="FAR1" s="92"/>
      <c r="FAS1" s="92"/>
      <c r="FAT1" s="92"/>
      <c r="FAU1" s="92"/>
      <c r="FAV1" s="92"/>
      <c r="FAW1" s="92"/>
      <c r="FAX1" s="92"/>
      <c r="FAY1" s="92"/>
      <c r="FAZ1" s="92"/>
      <c r="FBA1" s="92"/>
      <c r="FBB1" s="92"/>
      <c r="FBC1" s="92"/>
      <c r="FBD1" s="92"/>
      <c r="FBE1" s="92"/>
      <c r="FBF1" s="92"/>
      <c r="FBG1" s="92"/>
      <c r="FBH1" s="92"/>
      <c r="FBI1" s="92"/>
      <c r="FBJ1" s="92"/>
      <c r="FBK1" s="92"/>
      <c r="FBL1" s="92"/>
      <c r="FBM1" s="92"/>
      <c r="FBN1" s="92"/>
      <c r="FBO1" s="92"/>
      <c r="FBP1" s="92"/>
      <c r="FBQ1" s="92"/>
      <c r="FBR1" s="92"/>
      <c r="FBS1" s="92"/>
      <c r="FBT1" s="92"/>
      <c r="FBU1" s="92"/>
      <c r="FBV1" s="92"/>
      <c r="FBW1" s="92"/>
      <c r="FBX1" s="92"/>
      <c r="FBY1" s="92"/>
      <c r="FBZ1" s="92"/>
      <c r="FCA1" s="92"/>
      <c r="FCB1" s="92"/>
      <c r="FCC1" s="92"/>
      <c r="FCD1" s="92"/>
      <c r="FCE1" s="92"/>
      <c r="FCF1" s="92"/>
      <c r="FCG1" s="92"/>
      <c r="FCH1" s="92"/>
      <c r="FCI1" s="92"/>
      <c r="FCJ1" s="92"/>
      <c r="FCK1" s="92"/>
      <c r="FCL1" s="92"/>
      <c r="FCM1" s="92"/>
      <c r="FCN1" s="92"/>
      <c r="FCO1" s="92"/>
      <c r="FCP1" s="92"/>
      <c r="FCQ1" s="92"/>
      <c r="FCR1" s="92"/>
      <c r="FCS1" s="92"/>
      <c r="FCT1" s="92"/>
      <c r="FCU1" s="92"/>
      <c r="FCV1" s="92"/>
      <c r="FCW1" s="92"/>
      <c r="FCX1" s="92"/>
      <c r="FCY1" s="92"/>
      <c r="FCZ1" s="92"/>
      <c r="FDA1" s="92"/>
      <c r="FDB1" s="92"/>
      <c r="FDC1" s="92"/>
      <c r="FDD1" s="92"/>
      <c r="FDE1" s="92"/>
      <c r="FDF1" s="92"/>
      <c r="FDG1" s="92"/>
      <c r="FDH1" s="92"/>
      <c r="FDI1" s="92"/>
      <c r="FDJ1" s="92"/>
      <c r="FDK1" s="92"/>
      <c r="FDL1" s="92"/>
      <c r="FDM1" s="92"/>
      <c r="FDN1" s="92"/>
      <c r="FDO1" s="92"/>
      <c r="FDP1" s="92"/>
      <c r="FDQ1" s="92"/>
      <c r="FDR1" s="92"/>
      <c r="FDS1" s="92"/>
      <c r="FDT1" s="92"/>
      <c r="FDU1" s="92"/>
      <c r="FDV1" s="92"/>
      <c r="FDW1" s="92"/>
      <c r="FDX1" s="92"/>
      <c r="FDY1" s="92"/>
      <c r="FDZ1" s="92"/>
      <c r="FEA1" s="92"/>
      <c r="FEB1" s="92"/>
      <c r="FEC1" s="92"/>
      <c r="FED1" s="92"/>
      <c r="FEE1" s="92"/>
      <c r="FEF1" s="92"/>
      <c r="FEG1" s="92"/>
      <c r="FEH1" s="92"/>
      <c r="FEI1" s="92"/>
      <c r="FEJ1" s="92"/>
      <c r="FEK1" s="92"/>
      <c r="FEL1" s="92"/>
      <c r="FEM1" s="92"/>
      <c r="FEN1" s="92"/>
      <c r="FEO1" s="92"/>
      <c r="FEP1" s="92"/>
      <c r="FEQ1" s="92"/>
      <c r="FER1" s="92"/>
      <c r="FES1" s="92"/>
      <c r="FET1" s="92"/>
      <c r="FEU1" s="92"/>
      <c r="FEV1" s="92"/>
      <c r="FEW1" s="92"/>
      <c r="FEX1" s="92"/>
      <c r="FEY1" s="92"/>
      <c r="FEZ1" s="92"/>
      <c r="FFA1" s="92"/>
      <c r="FFB1" s="92"/>
      <c r="FFC1" s="92"/>
      <c r="FFD1" s="92"/>
      <c r="FFE1" s="92"/>
      <c r="FFF1" s="92"/>
      <c r="FFG1" s="92"/>
      <c r="FFH1" s="92"/>
      <c r="FFI1" s="92"/>
      <c r="FFJ1" s="92"/>
      <c r="FFK1" s="92"/>
      <c r="FFL1" s="92"/>
      <c r="FFM1" s="92"/>
      <c r="FFN1" s="92"/>
      <c r="FFO1" s="92"/>
      <c r="FFP1" s="92"/>
      <c r="FFQ1" s="92"/>
      <c r="FFR1" s="92"/>
      <c r="FFS1" s="92"/>
      <c r="FFT1" s="92"/>
      <c r="FFU1" s="92"/>
      <c r="FFV1" s="92"/>
      <c r="FFW1" s="92"/>
      <c r="FFX1" s="92"/>
      <c r="FFY1" s="92"/>
      <c r="FFZ1" s="92"/>
      <c r="FGA1" s="92"/>
      <c r="FGB1" s="92"/>
      <c r="FGC1" s="92"/>
      <c r="FGD1" s="92"/>
      <c r="FGE1" s="92"/>
      <c r="FGF1" s="92"/>
      <c r="FGG1" s="92"/>
      <c r="FGH1" s="92"/>
      <c r="FGI1" s="92"/>
      <c r="FGJ1" s="92"/>
      <c r="FGK1" s="92"/>
      <c r="FGL1" s="92"/>
      <c r="FGM1" s="92"/>
      <c r="FGN1" s="92"/>
      <c r="FGO1" s="92"/>
      <c r="FGP1" s="92"/>
      <c r="FGQ1" s="92"/>
      <c r="FGR1" s="92"/>
      <c r="FGS1" s="92"/>
      <c r="FGT1" s="92"/>
      <c r="FGU1" s="92"/>
      <c r="FGV1" s="92"/>
      <c r="FGW1" s="92"/>
      <c r="FGX1" s="92"/>
      <c r="FGY1" s="92"/>
      <c r="FGZ1" s="92"/>
      <c r="FHA1" s="92"/>
      <c r="FHB1" s="92"/>
      <c r="FHC1" s="92"/>
      <c r="FHD1" s="92"/>
      <c r="FHE1" s="92"/>
      <c r="FHF1" s="92"/>
      <c r="FHG1" s="92"/>
      <c r="FHH1" s="92"/>
      <c r="FHI1" s="92"/>
      <c r="FHJ1" s="92"/>
      <c r="FHK1" s="92"/>
      <c r="FHL1" s="92"/>
      <c r="FHM1" s="92"/>
      <c r="FHN1" s="92"/>
      <c r="FHO1" s="92"/>
      <c r="FHP1" s="92"/>
      <c r="FHQ1" s="92"/>
      <c r="FHR1" s="92"/>
      <c r="FHS1" s="92"/>
      <c r="FHT1" s="92"/>
      <c r="FHU1" s="92"/>
      <c r="FHV1" s="92"/>
      <c r="FHW1" s="92"/>
      <c r="FHX1" s="92"/>
      <c r="FHY1" s="92"/>
      <c r="FHZ1" s="92"/>
      <c r="FIA1" s="92"/>
      <c r="FIB1" s="92"/>
      <c r="FIC1" s="92"/>
      <c r="FID1" s="92"/>
      <c r="FIE1" s="92"/>
      <c r="FIF1" s="92"/>
      <c r="FIG1" s="92"/>
      <c r="FIH1" s="92"/>
      <c r="FII1" s="92"/>
      <c r="FIJ1" s="92"/>
      <c r="FIK1" s="92"/>
      <c r="FIL1" s="92"/>
      <c r="FIM1" s="92"/>
      <c r="FIN1" s="92"/>
      <c r="FIO1" s="92"/>
      <c r="FIP1" s="92"/>
      <c r="FIQ1" s="92"/>
      <c r="FIR1" s="92"/>
      <c r="FIS1" s="92"/>
      <c r="FIT1" s="92"/>
      <c r="FIU1" s="92"/>
      <c r="FIV1" s="92"/>
      <c r="FIW1" s="92"/>
      <c r="FIX1" s="92"/>
      <c r="FIY1" s="92"/>
      <c r="FIZ1" s="92"/>
      <c r="FJA1" s="92"/>
      <c r="FJB1" s="92"/>
      <c r="FJC1" s="92"/>
      <c r="FJD1" s="92"/>
      <c r="FJE1" s="92"/>
      <c r="FJF1" s="92"/>
      <c r="FJG1" s="92"/>
      <c r="FJH1" s="92"/>
      <c r="FJI1" s="92"/>
      <c r="FJJ1" s="92"/>
      <c r="FJK1" s="92"/>
      <c r="FJL1" s="92"/>
      <c r="FJM1" s="92"/>
      <c r="FJN1" s="92"/>
      <c r="FJO1" s="92"/>
      <c r="FJP1" s="92"/>
      <c r="FJQ1" s="92"/>
      <c r="FJR1" s="92"/>
      <c r="FJS1" s="92"/>
      <c r="FJT1" s="92"/>
      <c r="FJU1" s="92"/>
      <c r="FJV1" s="92"/>
      <c r="FJW1" s="92"/>
      <c r="FJX1" s="92"/>
      <c r="FJY1" s="92"/>
      <c r="FJZ1" s="92"/>
      <c r="FKA1" s="92"/>
      <c r="FKB1" s="92"/>
      <c r="FKC1" s="92"/>
      <c r="FKD1" s="92"/>
      <c r="FKE1" s="92"/>
      <c r="FKF1" s="92"/>
      <c r="FKG1" s="92"/>
      <c r="FKH1" s="92"/>
      <c r="FKI1" s="92"/>
      <c r="FKJ1" s="92"/>
      <c r="FKK1" s="92"/>
      <c r="FKL1" s="92"/>
      <c r="FKM1" s="92"/>
      <c r="FKN1" s="92"/>
      <c r="FKO1" s="92"/>
      <c r="FKP1" s="92"/>
      <c r="FKQ1" s="92"/>
      <c r="FKR1" s="92"/>
      <c r="FKS1" s="92"/>
      <c r="FKT1" s="92"/>
      <c r="FKU1" s="92"/>
      <c r="FKV1" s="92"/>
      <c r="FKW1" s="92"/>
      <c r="FKX1" s="92"/>
      <c r="FKY1" s="92"/>
      <c r="FKZ1" s="92"/>
      <c r="FLA1" s="92"/>
      <c r="FLB1" s="92"/>
      <c r="FLC1" s="92"/>
      <c r="FLD1" s="92"/>
      <c r="FLE1" s="92"/>
      <c r="FLF1" s="92"/>
      <c r="FLG1" s="92"/>
      <c r="FLH1" s="92"/>
      <c r="FLI1" s="92"/>
      <c r="FLJ1" s="92"/>
      <c r="FLK1" s="92"/>
      <c r="FLL1" s="92"/>
      <c r="FLM1" s="92"/>
      <c r="FLN1" s="92"/>
      <c r="FLO1" s="92"/>
      <c r="FLP1" s="92"/>
      <c r="FLQ1" s="92"/>
      <c r="FLR1" s="92"/>
      <c r="FLS1" s="92"/>
      <c r="FLT1" s="92"/>
      <c r="FLU1" s="92"/>
      <c r="FLV1" s="92"/>
      <c r="FLW1" s="92"/>
      <c r="FLX1" s="92"/>
      <c r="FLY1" s="92"/>
      <c r="FLZ1" s="92"/>
      <c r="FMA1" s="92"/>
      <c r="FMB1" s="92"/>
      <c r="FMC1" s="92"/>
      <c r="FMD1" s="92"/>
      <c r="FME1" s="92"/>
      <c r="FMF1" s="92"/>
      <c r="FMG1" s="92"/>
      <c r="FMH1" s="92"/>
      <c r="FMI1" s="92"/>
      <c r="FMJ1" s="92"/>
      <c r="FMK1" s="92"/>
      <c r="FML1" s="92"/>
      <c r="FMM1" s="92"/>
      <c r="FMN1" s="92"/>
      <c r="FMO1" s="92"/>
      <c r="FMP1" s="92"/>
      <c r="FMQ1" s="92"/>
      <c r="FMR1" s="92"/>
      <c r="FMS1" s="92"/>
      <c r="FMT1" s="92"/>
      <c r="FMU1" s="92"/>
      <c r="FMV1" s="92"/>
      <c r="FMW1" s="92"/>
      <c r="FMX1" s="92"/>
      <c r="FMY1" s="92"/>
      <c r="FMZ1" s="92"/>
      <c r="FNA1" s="92"/>
      <c r="FNB1" s="92"/>
      <c r="FNC1" s="92"/>
      <c r="FND1" s="92"/>
      <c r="FNE1" s="92"/>
      <c r="FNF1" s="92"/>
      <c r="FNG1" s="92"/>
      <c r="FNH1" s="92"/>
      <c r="FNI1" s="92"/>
      <c r="FNJ1" s="92"/>
      <c r="FNK1" s="92"/>
      <c r="FNL1" s="92"/>
      <c r="FNM1" s="92"/>
      <c r="FNN1" s="92"/>
      <c r="FNO1" s="92"/>
      <c r="FNP1" s="92"/>
      <c r="FNQ1" s="92"/>
      <c r="FNR1" s="92"/>
      <c r="FNS1" s="92"/>
      <c r="FNT1" s="92"/>
      <c r="FNU1" s="92"/>
      <c r="FNV1" s="92"/>
      <c r="FNW1" s="92"/>
      <c r="FNX1" s="92"/>
      <c r="FNY1" s="92"/>
      <c r="FNZ1" s="92"/>
      <c r="FOA1" s="92"/>
      <c r="FOB1" s="92"/>
      <c r="FOC1" s="92"/>
      <c r="FOD1" s="92"/>
      <c r="FOE1" s="92"/>
      <c r="FOF1" s="92"/>
      <c r="FOG1" s="92"/>
      <c r="FOH1" s="92"/>
      <c r="FOI1" s="92"/>
      <c r="FOJ1" s="92"/>
      <c r="FOK1" s="92"/>
      <c r="FOL1" s="92"/>
      <c r="FOM1" s="92"/>
      <c r="FON1" s="92"/>
      <c r="FOO1" s="92"/>
      <c r="FOP1" s="92"/>
      <c r="FOQ1" s="92"/>
      <c r="FOR1" s="92"/>
      <c r="FOS1" s="92"/>
      <c r="FOT1" s="92"/>
      <c r="FOU1" s="92"/>
      <c r="FOV1" s="92"/>
      <c r="FOW1" s="92"/>
      <c r="FOX1" s="92"/>
      <c r="FOY1" s="92"/>
      <c r="FOZ1" s="92"/>
      <c r="FPA1" s="92"/>
      <c r="FPB1" s="92"/>
      <c r="FPC1" s="92"/>
      <c r="FPD1" s="92"/>
      <c r="FPE1" s="92"/>
      <c r="FPF1" s="92"/>
      <c r="FPG1" s="92"/>
      <c r="FPH1" s="92"/>
      <c r="FPI1" s="92"/>
      <c r="FPJ1" s="92"/>
      <c r="FPK1" s="92"/>
      <c r="FPL1" s="92"/>
      <c r="FPM1" s="92"/>
      <c r="FPN1" s="92"/>
      <c r="FPO1" s="92"/>
      <c r="FPP1" s="92"/>
      <c r="FPQ1" s="92"/>
      <c r="FPR1" s="92"/>
      <c r="FPS1" s="92"/>
      <c r="FPT1" s="92"/>
      <c r="FPU1" s="92"/>
      <c r="FPV1" s="92"/>
      <c r="FPW1" s="92"/>
      <c r="FPX1" s="92"/>
      <c r="FPY1" s="92"/>
      <c r="FPZ1" s="92"/>
      <c r="FQA1" s="92"/>
      <c r="FQB1" s="92"/>
      <c r="FQC1" s="92"/>
      <c r="FQD1" s="92"/>
      <c r="FQE1" s="92"/>
      <c r="FQF1" s="92"/>
      <c r="FQG1" s="92"/>
      <c r="FQH1" s="92"/>
      <c r="FQI1" s="92"/>
      <c r="FQJ1" s="92"/>
      <c r="FQK1" s="92"/>
      <c r="FQL1" s="92"/>
      <c r="FQM1" s="92"/>
      <c r="FQN1" s="92"/>
      <c r="FQO1" s="92"/>
      <c r="FQP1" s="92"/>
      <c r="FQQ1" s="92"/>
      <c r="FQR1" s="92"/>
      <c r="FQS1" s="92"/>
      <c r="FQT1" s="92"/>
      <c r="FQU1" s="92"/>
      <c r="FQV1" s="92"/>
      <c r="FQW1" s="92"/>
      <c r="FQX1" s="92"/>
      <c r="FQY1" s="92"/>
      <c r="FQZ1" s="92"/>
      <c r="FRA1" s="92"/>
      <c r="FRB1" s="92"/>
      <c r="FRC1" s="92"/>
      <c r="FRD1" s="92"/>
      <c r="FRE1" s="92"/>
      <c r="FRF1" s="92"/>
      <c r="FRG1" s="92"/>
      <c r="FRH1" s="92"/>
      <c r="FRI1" s="92"/>
      <c r="FRJ1" s="92"/>
      <c r="FRK1" s="92"/>
      <c r="FRL1" s="92"/>
      <c r="FRM1" s="92"/>
      <c r="FRN1" s="92"/>
      <c r="FRO1" s="92"/>
      <c r="FRP1" s="92"/>
      <c r="FRQ1" s="92"/>
      <c r="FRR1" s="92"/>
      <c r="FRS1" s="92"/>
      <c r="FRT1" s="92"/>
      <c r="FRU1" s="92"/>
      <c r="FRV1" s="92"/>
      <c r="FRW1" s="92"/>
      <c r="FRX1" s="92"/>
      <c r="FRY1" s="92"/>
      <c r="FRZ1" s="92"/>
      <c r="FSA1" s="92"/>
      <c r="FSB1" s="92"/>
      <c r="FSC1" s="92"/>
      <c r="FSD1" s="92"/>
      <c r="FSE1" s="92"/>
      <c r="FSF1" s="92"/>
      <c r="FSG1" s="92"/>
      <c r="FSH1" s="92"/>
      <c r="FSI1" s="92"/>
      <c r="FSJ1" s="92"/>
      <c r="FSK1" s="92"/>
      <c r="FSL1" s="92"/>
      <c r="FSM1" s="92"/>
      <c r="FSN1" s="92"/>
      <c r="FSO1" s="92"/>
      <c r="FSP1" s="92"/>
      <c r="FSQ1" s="92"/>
      <c r="FSR1" s="92"/>
      <c r="FSS1" s="92"/>
      <c r="FST1" s="92"/>
      <c r="FSU1" s="92"/>
      <c r="FSV1" s="92"/>
      <c r="FSW1" s="92"/>
      <c r="FSX1" s="92"/>
      <c r="FSY1" s="92"/>
      <c r="FSZ1" s="92"/>
      <c r="FTA1" s="92"/>
      <c r="FTB1" s="92"/>
      <c r="FTC1" s="92"/>
      <c r="FTD1" s="92"/>
      <c r="FTE1" s="92"/>
      <c r="FTF1" s="92"/>
      <c r="FTG1" s="92"/>
      <c r="FTH1" s="92"/>
      <c r="FTI1" s="92"/>
      <c r="FTJ1" s="92"/>
      <c r="FTK1" s="92"/>
      <c r="FTL1" s="92"/>
      <c r="FTM1" s="92"/>
      <c r="FTN1" s="92"/>
      <c r="FTO1" s="92"/>
      <c r="FTP1" s="92"/>
      <c r="FTQ1" s="92"/>
      <c r="FTR1" s="92"/>
      <c r="FTS1" s="92"/>
      <c r="FTT1" s="92"/>
      <c r="FTU1" s="92"/>
      <c r="FTV1" s="92"/>
      <c r="FTW1" s="92"/>
      <c r="FTX1" s="92"/>
      <c r="FTY1" s="92"/>
      <c r="FTZ1" s="92"/>
      <c r="FUA1" s="92"/>
      <c r="FUB1" s="92"/>
      <c r="FUC1" s="92"/>
      <c r="FUD1" s="92"/>
      <c r="FUE1" s="92"/>
      <c r="FUF1" s="92"/>
      <c r="FUG1" s="92"/>
      <c r="FUH1" s="92"/>
      <c r="FUI1" s="92"/>
      <c r="FUJ1" s="92"/>
      <c r="FUK1" s="92"/>
      <c r="FUL1" s="92"/>
      <c r="FUM1" s="92"/>
      <c r="FUN1" s="92"/>
      <c r="FUO1" s="92"/>
      <c r="FUP1" s="92"/>
      <c r="FUQ1" s="92"/>
      <c r="FUR1" s="92"/>
      <c r="FUS1" s="92"/>
      <c r="FUT1" s="92"/>
      <c r="FUU1" s="92"/>
      <c r="FUV1" s="92"/>
      <c r="FUW1" s="92"/>
      <c r="FUX1" s="92"/>
      <c r="FUY1" s="92"/>
      <c r="FUZ1" s="92"/>
      <c r="FVA1" s="92"/>
      <c r="FVB1" s="92"/>
      <c r="FVC1" s="92"/>
      <c r="FVD1" s="92"/>
      <c r="FVE1" s="92"/>
      <c r="FVF1" s="92"/>
      <c r="FVG1" s="92"/>
      <c r="FVH1" s="92"/>
      <c r="FVI1" s="92"/>
      <c r="FVJ1" s="92"/>
      <c r="FVK1" s="92"/>
      <c r="FVL1" s="92"/>
      <c r="FVM1" s="92"/>
      <c r="FVN1" s="92"/>
      <c r="FVO1" s="92"/>
      <c r="FVP1" s="92"/>
      <c r="FVQ1" s="92"/>
      <c r="FVR1" s="92"/>
      <c r="FVS1" s="92"/>
      <c r="FVT1" s="92"/>
      <c r="FVU1" s="92"/>
      <c r="FVV1" s="92"/>
      <c r="FVW1" s="92"/>
      <c r="FVX1" s="92"/>
      <c r="FVY1" s="92"/>
      <c r="FVZ1" s="92"/>
      <c r="FWA1" s="92"/>
      <c r="FWB1" s="92"/>
      <c r="FWC1" s="92"/>
      <c r="FWD1" s="92"/>
      <c r="FWE1" s="92"/>
      <c r="FWF1" s="92"/>
      <c r="FWG1" s="92"/>
      <c r="FWH1" s="92"/>
      <c r="FWI1" s="92"/>
      <c r="FWJ1" s="92"/>
      <c r="FWK1" s="92"/>
      <c r="FWL1" s="92"/>
      <c r="FWM1" s="92"/>
      <c r="FWN1" s="92"/>
      <c r="FWO1" s="92"/>
      <c r="FWP1" s="92"/>
      <c r="FWQ1" s="92"/>
      <c r="FWR1" s="92"/>
      <c r="FWS1" s="92"/>
      <c r="FWT1" s="92"/>
      <c r="FWU1" s="92"/>
      <c r="FWV1" s="92"/>
      <c r="FWW1" s="92"/>
      <c r="FWX1" s="92"/>
      <c r="FWY1" s="92"/>
      <c r="FWZ1" s="92"/>
      <c r="FXA1" s="92"/>
      <c r="FXB1" s="92"/>
      <c r="FXC1" s="92"/>
      <c r="FXD1" s="92"/>
      <c r="FXE1" s="92"/>
      <c r="FXF1" s="92"/>
      <c r="FXG1" s="92"/>
      <c r="FXH1" s="92"/>
      <c r="FXI1" s="92"/>
      <c r="FXJ1" s="92"/>
      <c r="FXK1" s="92"/>
      <c r="FXL1" s="92"/>
      <c r="FXM1" s="92"/>
      <c r="FXN1" s="92"/>
      <c r="FXO1" s="92"/>
      <c r="FXP1" s="92"/>
      <c r="FXQ1" s="92"/>
      <c r="FXR1" s="92"/>
      <c r="FXS1" s="92"/>
      <c r="FXT1" s="92"/>
      <c r="FXU1" s="92"/>
      <c r="FXV1" s="92"/>
      <c r="FXW1" s="92"/>
      <c r="FXX1" s="92"/>
      <c r="FXY1" s="92"/>
      <c r="FXZ1" s="92"/>
      <c r="FYA1" s="92"/>
      <c r="FYB1" s="92"/>
      <c r="FYC1" s="92"/>
      <c r="FYD1" s="92"/>
      <c r="FYE1" s="92"/>
      <c r="FYF1" s="92"/>
      <c r="FYG1" s="92"/>
      <c r="FYH1" s="92"/>
      <c r="FYI1" s="92"/>
      <c r="FYJ1" s="92"/>
      <c r="FYK1" s="92"/>
      <c r="FYL1" s="92"/>
      <c r="FYM1" s="92"/>
      <c r="FYN1" s="92"/>
      <c r="FYO1" s="92"/>
      <c r="FYP1" s="92"/>
      <c r="FYQ1" s="92"/>
      <c r="FYR1" s="92"/>
      <c r="FYS1" s="92"/>
      <c r="FYT1" s="92"/>
      <c r="FYU1" s="92"/>
      <c r="FYV1" s="92"/>
      <c r="FYW1" s="92"/>
      <c r="FYX1" s="92"/>
      <c r="FYY1" s="92"/>
      <c r="FYZ1" s="92"/>
      <c r="FZA1" s="92"/>
      <c r="FZB1" s="92"/>
      <c r="FZC1" s="92"/>
      <c r="FZD1" s="92"/>
      <c r="FZE1" s="92"/>
      <c r="FZF1" s="92"/>
      <c r="FZG1" s="92"/>
      <c r="FZH1" s="92"/>
      <c r="FZI1" s="92"/>
      <c r="FZJ1" s="92"/>
      <c r="FZK1" s="92"/>
      <c r="FZL1" s="92"/>
      <c r="FZM1" s="92"/>
      <c r="FZN1" s="92"/>
      <c r="FZO1" s="92"/>
      <c r="FZP1" s="92"/>
      <c r="FZQ1" s="92"/>
      <c r="FZR1" s="92"/>
      <c r="FZS1" s="92"/>
      <c r="FZT1" s="92"/>
      <c r="FZU1" s="92"/>
      <c r="FZV1" s="92"/>
      <c r="FZW1" s="92"/>
      <c r="FZX1" s="92"/>
      <c r="FZY1" s="92"/>
      <c r="FZZ1" s="92"/>
      <c r="GAA1" s="92"/>
      <c r="GAB1" s="92"/>
      <c r="GAC1" s="92"/>
      <c r="GAD1" s="92"/>
      <c r="GAE1" s="92"/>
      <c r="GAF1" s="92"/>
      <c r="GAG1" s="92"/>
      <c r="GAH1" s="92"/>
      <c r="GAI1" s="92"/>
      <c r="GAJ1" s="92"/>
      <c r="GAK1" s="92"/>
      <c r="GAL1" s="92"/>
      <c r="GAM1" s="92"/>
      <c r="GAN1" s="92"/>
      <c r="GAO1" s="92"/>
      <c r="GAP1" s="92"/>
      <c r="GAQ1" s="92"/>
      <c r="GAR1" s="92"/>
      <c r="GAS1" s="92"/>
      <c r="GAT1" s="92"/>
      <c r="GAU1" s="92"/>
      <c r="GAV1" s="92"/>
      <c r="GAW1" s="92"/>
      <c r="GAX1" s="92"/>
      <c r="GAY1" s="92"/>
      <c r="GAZ1" s="92"/>
      <c r="GBA1" s="92"/>
      <c r="GBB1" s="92"/>
      <c r="GBC1" s="92"/>
      <c r="GBD1" s="92"/>
      <c r="GBE1" s="92"/>
      <c r="GBF1" s="92"/>
      <c r="GBG1" s="92"/>
      <c r="GBH1" s="92"/>
      <c r="GBI1" s="92"/>
      <c r="GBJ1" s="92"/>
      <c r="GBK1" s="92"/>
      <c r="GBL1" s="92"/>
      <c r="GBM1" s="92"/>
      <c r="GBN1" s="92"/>
      <c r="GBO1" s="92"/>
      <c r="GBP1" s="92"/>
      <c r="GBQ1" s="92"/>
      <c r="GBR1" s="92"/>
      <c r="GBS1" s="92"/>
      <c r="GBT1" s="92"/>
      <c r="GBU1" s="92"/>
      <c r="GBV1" s="92"/>
      <c r="GBW1" s="92"/>
      <c r="GBX1" s="92"/>
      <c r="GBY1" s="92"/>
      <c r="GBZ1" s="92"/>
      <c r="GCA1" s="92"/>
      <c r="GCB1" s="92"/>
      <c r="GCC1" s="92"/>
      <c r="GCD1" s="92"/>
      <c r="GCE1" s="92"/>
      <c r="GCF1" s="92"/>
      <c r="GCG1" s="92"/>
      <c r="GCH1" s="92"/>
      <c r="GCI1" s="92"/>
      <c r="GCJ1" s="92"/>
      <c r="GCK1" s="92"/>
      <c r="GCL1" s="92"/>
      <c r="GCM1" s="92"/>
      <c r="GCN1" s="92"/>
      <c r="GCO1" s="92"/>
      <c r="GCP1" s="92"/>
      <c r="GCQ1" s="92"/>
      <c r="GCR1" s="92"/>
      <c r="GCS1" s="92"/>
      <c r="GCT1" s="92"/>
      <c r="GCU1" s="92"/>
      <c r="GCV1" s="92"/>
      <c r="GCW1" s="92"/>
      <c r="GCX1" s="92"/>
      <c r="GCY1" s="92"/>
      <c r="GCZ1" s="92"/>
      <c r="GDA1" s="92"/>
      <c r="GDB1" s="92"/>
      <c r="GDC1" s="92"/>
      <c r="GDD1" s="92"/>
      <c r="GDE1" s="92"/>
      <c r="GDF1" s="92"/>
      <c r="GDG1" s="92"/>
      <c r="GDH1" s="92"/>
      <c r="GDI1" s="92"/>
      <c r="GDJ1" s="92"/>
      <c r="GDK1" s="92"/>
      <c r="GDL1" s="92"/>
      <c r="GDM1" s="92"/>
      <c r="GDN1" s="92"/>
      <c r="GDO1" s="92"/>
      <c r="GDP1" s="92"/>
      <c r="GDQ1" s="92"/>
      <c r="GDR1" s="92"/>
      <c r="GDS1" s="92"/>
      <c r="GDT1" s="92"/>
      <c r="GDU1" s="92"/>
      <c r="GDV1" s="92"/>
      <c r="GDW1" s="92"/>
      <c r="GDX1" s="92"/>
      <c r="GDY1" s="92"/>
      <c r="GDZ1" s="92"/>
      <c r="GEA1" s="92"/>
      <c r="GEB1" s="92"/>
      <c r="GEC1" s="92"/>
      <c r="GED1" s="92"/>
      <c r="GEE1" s="92"/>
      <c r="GEF1" s="92"/>
      <c r="GEG1" s="92"/>
      <c r="GEH1" s="92"/>
      <c r="GEI1" s="92"/>
      <c r="GEJ1" s="92"/>
      <c r="GEK1" s="92"/>
      <c r="GEL1" s="92"/>
      <c r="GEM1" s="92"/>
      <c r="GEN1" s="92"/>
      <c r="GEO1" s="92"/>
      <c r="GEP1" s="92"/>
      <c r="GEQ1" s="92"/>
      <c r="GER1" s="92"/>
      <c r="GES1" s="92"/>
      <c r="GET1" s="92"/>
      <c r="GEU1" s="92"/>
      <c r="GEV1" s="92"/>
      <c r="GEW1" s="92"/>
      <c r="GEX1" s="92"/>
      <c r="GEY1" s="92"/>
      <c r="GEZ1" s="92"/>
      <c r="GFA1" s="92"/>
      <c r="GFB1" s="92"/>
      <c r="GFC1" s="92"/>
      <c r="GFD1" s="92"/>
      <c r="GFE1" s="92"/>
      <c r="GFF1" s="92"/>
      <c r="GFG1" s="92"/>
      <c r="GFH1" s="92"/>
      <c r="GFI1" s="92"/>
      <c r="GFJ1" s="92"/>
      <c r="GFK1" s="92"/>
      <c r="GFL1" s="92"/>
      <c r="GFM1" s="92"/>
      <c r="GFN1" s="92"/>
      <c r="GFO1" s="92"/>
      <c r="GFP1" s="92"/>
      <c r="GFQ1" s="92"/>
      <c r="GFR1" s="92"/>
      <c r="GFS1" s="92"/>
      <c r="GFT1" s="92"/>
      <c r="GFU1" s="92"/>
      <c r="GFV1" s="92"/>
      <c r="GFW1" s="92"/>
      <c r="GFX1" s="92"/>
      <c r="GFY1" s="92"/>
      <c r="GFZ1" s="92"/>
      <c r="GGA1" s="92"/>
      <c r="GGB1" s="92"/>
      <c r="GGC1" s="92"/>
      <c r="GGD1" s="92"/>
      <c r="GGE1" s="92"/>
      <c r="GGF1" s="92"/>
      <c r="GGG1" s="92"/>
      <c r="GGH1" s="92"/>
      <c r="GGI1" s="92"/>
      <c r="GGJ1" s="92"/>
      <c r="GGK1" s="92"/>
      <c r="GGL1" s="92"/>
      <c r="GGM1" s="92"/>
      <c r="GGN1" s="92"/>
      <c r="GGO1" s="92"/>
      <c r="GGP1" s="92"/>
      <c r="GGQ1" s="92"/>
      <c r="GGR1" s="92"/>
      <c r="GGS1" s="92"/>
      <c r="GGT1" s="92"/>
      <c r="GGU1" s="92"/>
      <c r="GGV1" s="92"/>
      <c r="GGW1" s="92"/>
      <c r="GGX1" s="92"/>
      <c r="GGY1" s="92"/>
      <c r="GGZ1" s="92"/>
      <c r="GHA1" s="92"/>
      <c r="GHB1" s="92"/>
      <c r="GHC1" s="92"/>
      <c r="GHD1" s="92"/>
      <c r="GHE1" s="92"/>
      <c r="GHF1" s="92"/>
      <c r="GHG1" s="92"/>
      <c r="GHH1" s="92"/>
      <c r="GHI1" s="92"/>
      <c r="GHJ1" s="92"/>
      <c r="GHK1" s="92"/>
      <c r="GHL1" s="92"/>
      <c r="GHM1" s="92"/>
      <c r="GHN1" s="92"/>
      <c r="GHO1" s="92"/>
      <c r="GHP1" s="92"/>
      <c r="GHQ1" s="92"/>
      <c r="GHR1" s="92"/>
      <c r="GHS1" s="92"/>
      <c r="GHT1" s="92"/>
      <c r="GHU1" s="92"/>
      <c r="GHV1" s="92"/>
      <c r="GHW1" s="92"/>
      <c r="GHX1" s="92"/>
      <c r="GHY1" s="92"/>
      <c r="GHZ1" s="92"/>
      <c r="GIA1" s="92"/>
      <c r="GIB1" s="92"/>
      <c r="GIC1" s="92"/>
      <c r="GID1" s="92"/>
      <c r="GIE1" s="92"/>
      <c r="GIF1" s="92"/>
      <c r="GIG1" s="92"/>
      <c r="GIH1" s="92"/>
      <c r="GII1" s="92"/>
      <c r="GIJ1" s="92"/>
      <c r="GIK1" s="92"/>
      <c r="GIL1" s="92"/>
      <c r="GIM1" s="92"/>
      <c r="GIN1" s="92"/>
      <c r="GIO1" s="92"/>
      <c r="GIP1" s="92"/>
      <c r="GIQ1" s="92"/>
      <c r="GIR1" s="92"/>
      <c r="GIS1" s="92"/>
      <c r="GIT1" s="92"/>
      <c r="GIU1" s="92"/>
      <c r="GIV1" s="92"/>
      <c r="GIW1" s="92"/>
      <c r="GIX1" s="92"/>
      <c r="GIY1" s="92"/>
      <c r="GIZ1" s="92"/>
      <c r="GJA1" s="92"/>
      <c r="GJB1" s="92"/>
      <c r="GJC1" s="92"/>
      <c r="GJD1" s="92"/>
      <c r="GJE1" s="92"/>
      <c r="GJF1" s="92"/>
      <c r="GJG1" s="92"/>
      <c r="GJH1" s="92"/>
      <c r="GJI1" s="92"/>
      <c r="GJJ1" s="92"/>
      <c r="GJK1" s="92"/>
      <c r="GJL1" s="92"/>
      <c r="GJM1" s="92"/>
      <c r="GJN1" s="92"/>
      <c r="GJO1" s="92"/>
      <c r="GJP1" s="92"/>
      <c r="GJQ1" s="92"/>
      <c r="GJR1" s="92"/>
      <c r="GJS1" s="92"/>
      <c r="GJT1" s="92"/>
      <c r="GJU1" s="92"/>
      <c r="GJV1" s="92"/>
      <c r="GJW1" s="92"/>
      <c r="GJX1" s="92"/>
      <c r="GJY1" s="92"/>
      <c r="GJZ1" s="92"/>
      <c r="GKA1" s="92"/>
      <c r="GKB1" s="92"/>
      <c r="GKC1" s="92"/>
      <c r="GKD1" s="92"/>
      <c r="GKE1" s="92"/>
      <c r="GKF1" s="92"/>
      <c r="GKG1" s="92"/>
      <c r="GKH1" s="92"/>
      <c r="GKI1" s="92"/>
      <c r="GKJ1" s="92"/>
      <c r="GKK1" s="92"/>
      <c r="GKL1" s="92"/>
      <c r="GKM1" s="92"/>
      <c r="GKN1" s="92"/>
      <c r="GKO1" s="92"/>
      <c r="GKP1" s="92"/>
      <c r="GKQ1" s="92"/>
      <c r="GKR1" s="92"/>
      <c r="GKS1" s="92"/>
      <c r="GKT1" s="92"/>
      <c r="GKU1" s="92"/>
      <c r="GKV1" s="92"/>
      <c r="GKW1" s="92"/>
      <c r="GKX1" s="92"/>
      <c r="GKY1" s="92"/>
      <c r="GKZ1" s="92"/>
      <c r="GLA1" s="92"/>
      <c r="GLB1" s="92"/>
      <c r="GLC1" s="92"/>
      <c r="GLD1" s="92"/>
      <c r="GLE1" s="92"/>
      <c r="GLF1" s="92"/>
      <c r="GLG1" s="92"/>
      <c r="GLH1" s="92"/>
      <c r="GLI1" s="92"/>
      <c r="GLJ1" s="92"/>
      <c r="GLK1" s="92"/>
      <c r="GLL1" s="92"/>
      <c r="GLM1" s="92"/>
      <c r="GLN1" s="92"/>
      <c r="GLO1" s="92"/>
      <c r="GLP1" s="92"/>
      <c r="GLQ1" s="92"/>
      <c r="GLR1" s="92"/>
      <c r="GLS1" s="92"/>
      <c r="GLT1" s="92"/>
      <c r="GLU1" s="92"/>
      <c r="GLV1" s="92"/>
      <c r="GLW1" s="92"/>
      <c r="GLX1" s="92"/>
      <c r="GLY1" s="92"/>
      <c r="GLZ1" s="92"/>
      <c r="GMA1" s="92"/>
      <c r="GMB1" s="92"/>
      <c r="GMC1" s="92"/>
      <c r="GMD1" s="92"/>
      <c r="GME1" s="92"/>
      <c r="GMF1" s="92"/>
      <c r="GMG1" s="92"/>
      <c r="GMH1" s="92"/>
      <c r="GMI1" s="92"/>
      <c r="GMJ1" s="92"/>
      <c r="GMK1" s="92"/>
      <c r="GML1" s="92"/>
      <c r="GMM1" s="92"/>
      <c r="GMN1" s="92"/>
      <c r="GMO1" s="92"/>
      <c r="GMP1" s="92"/>
      <c r="GMQ1" s="92"/>
      <c r="GMR1" s="92"/>
      <c r="GMS1" s="92"/>
      <c r="GMT1" s="92"/>
      <c r="GMU1" s="92"/>
      <c r="GMV1" s="92"/>
      <c r="GMW1" s="92"/>
      <c r="GMX1" s="92"/>
      <c r="GMY1" s="92"/>
      <c r="GMZ1" s="92"/>
      <c r="GNA1" s="92"/>
      <c r="GNB1" s="92"/>
      <c r="GNC1" s="92"/>
      <c r="GND1" s="92"/>
      <c r="GNE1" s="92"/>
      <c r="GNF1" s="92"/>
      <c r="GNG1" s="92"/>
      <c r="GNH1" s="92"/>
      <c r="GNI1" s="92"/>
      <c r="GNJ1" s="92"/>
      <c r="GNK1" s="92"/>
      <c r="GNL1" s="92"/>
      <c r="GNM1" s="92"/>
      <c r="GNN1" s="92"/>
      <c r="GNO1" s="92"/>
      <c r="GNP1" s="92"/>
      <c r="GNQ1" s="92"/>
      <c r="GNR1" s="92"/>
      <c r="GNS1" s="92"/>
      <c r="GNT1" s="92"/>
      <c r="GNU1" s="92"/>
      <c r="GNV1" s="92"/>
      <c r="GNW1" s="92"/>
      <c r="GNX1" s="92"/>
      <c r="GNY1" s="92"/>
      <c r="GNZ1" s="92"/>
      <c r="GOA1" s="92"/>
      <c r="GOB1" s="92"/>
      <c r="GOC1" s="92"/>
      <c r="GOD1" s="92"/>
      <c r="GOE1" s="92"/>
      <c r="GOF1" s="92"/>
      <c r="GOG1" s="92"/>
      <c r="GOH1" s="92"/>
      <c r="GOI1" s="92"/>
      <c r="GOJ1" s="92"/>
      <c r="GOK1" s="92"/>
      <c r="GOL1" s="92"/>
      <c r="GOM1" s="92"/>
      <c r="GON1" s="92"/>
      <c r="GOO1" s="92"/>
      <c r="GOP1" s="92"/>
      <c r="GOQ1" s="92"/>
      <c r="GOR1" s="92"/>
      <c r="GOS1" s="92"/>
      <c r="GOT1" s="92"/>
      <c r="GOU1" s="92"/>
      <c r="GOV1" s="92"/>
      <c r="GOW1" s="92"/>
      <c r="GOX1" s="92"/>
      <c r="GOY1" s="92"/>
      <c r="GOZ1" s="92"/>
      <c r="GPA1" s="92"/>
      <c r="GPB1" s="92"/>
      <c r="GPC1" s="92"/>
      <c r="GPD1" s="92"/>
      <c r="GPE1" s="92"/>
      <c r="GPF1" s="92"/>
      <c r="GPG1" s="92"/>
      <c r="GPH1" s="92"/>
      <c r="GPI1" s="92"/>
      <c r="GPJ1" s="92"/>
      <c r="GPK1" s="92"/>
      <c r="GPL1" s="92"/>
      <c r="GPM1" s="92"/>
      <c r="GPN1" s="92"/>
      <c r="GPO1" s="92"/>
      <c r="GPP1" s="92"/>
      <c r="GPQ1" s="92"/>
      <c r="GPR1" s="92"/>
      <c r="GPS1" s="92"/>
      <c r="GPT1" s="92"/>
      <c r="GPU1" s="92"/>
      <c r="GPV1" s="92"/>
      <c r="GPW1" s="92"/>
      <c r="GPX1" s="92"/>
      <c r="GPY1" s="92"/>
      <c r="GPZ1" s="92"/>
      <c r="GQA1" s="92"/>
      <c r="GQB1" s="92"/>
      <c r="GQC1" s="92"/>
      <c r="GQD1" s="92"/>
      <c r="GQE1" s="92"/>
      <c r="GQF1" s="92"/>
      <c r="GQG1" s="92"/>
      <c r="GQH1" s="92"/>
      <c r="GQI1" s="92"/>
      <c r="GQJ1" s="92"/>
      <c r="GQK1" s="92"/>
      <c r="GQL1" s="92"/>
      <c r="GQM1" s="92"/>
      <c r="GQN1" s="92"/>
      <c r="GQO1" s="92"/>
      <c r="GQP1" s="92"/>
      <c r="GQQ1" s="92"/>
      <c r="GQR1" s="92"/>
      <c r="GQS1" s="92"/>
      <c r="GQT1" s="92"/>
      <c r="GQU1" s="92"/>
      <c r="GQV1" s="92"/>
      <c r="GQW1" s="92"/>
      <c r="GQX1" s="92"/>
      <c r="GQY1" s="92"/>
      <c r="GQZ1" s="92"/>
      <c r="GRA1" s="92"/>
      <c r="GRB1" s="92"/>
      <c r="GRC1" s="92"/>
      <c r="GRD1" s="92"/>
      <c r="GRE1" s="92"/>
      <c r="GRF1" s="92"/>
      <c r="GRG1" s="92"/>
      <c r="GRH1" s="92"/>
      <c r="GRI1" s="92"/>
      <c r="GRJ1" s="92"/>
      <c r="GRK1" s="92"/>
      <c r="GRL1" s="92"/>
      <c r="GRM1" s="92"/>
      <c r="GRN1" s="92"/>
      <c r="GRO1" s="92"/>
      <c r="GRP1" s="92"/>
      <c r="GRQ1" s="92"/>
      <c r="GRR1" s="92"/>
      <c r="GRS1" s="92"/>
      <c r="GRT1" s="92"/>
      <c r="GRU1" s="92"/>
      <c r="GRV1" s="92"/>
      <c r="GRW1" s="92"/>
      <c r="GRX1" s="92"/>
      <c r="GRY1" s="92"/>
      <c r="GRZ1" s="92"/>
      <c r="GSA1" s="92"/>
      <c r="GSB1" s="92"/>
      <c r="GSC1" s="92"/>
      <c r="GSD1" s="92"/>
      <c r="GSE1" s="92"/>
      <c r="GSF1" s="92"/>
      <c r="GSG1" s="92"/>
      <c r="GSH1" s="92"/>
      <c r="GSI1" s="92"/>
      <c r="GSJ1" s="92"/>
      <c r="GSK1" s="92"/>
      <c r="GSL1" s="92"/>
      <c r="GSM1" s="92"/>
      <c r="GSN1" s="92"/>
      <c r="GSO1" s="92"/>
      <c r="GSP1" s="92"/>
      <c r="GSQ1" s="92"/>
      <c r="GSR1" s="92"/>
      <c r="GSS1" s="92"/>
      <c r="GST1" s="92"/>
      <c r="GSU1" s="92"/>
      <c r="GSV1" s="92"/>
      <c r="GSW1" s="92"/>
      <c r="GSX1" s="92"/>
      <c r="GSY1" s="92"/>
      <c r="GSZ1" s="92"/>
      <c r="GTA1" s="92"/>
      <c r="GTB1" s="92"/>
      <c r="GTC1" s="92"/>
      <c r="GTD1" s="92"/>
      <c r="GTE1" s="92"/>
      <c r="GTF1" s="92"/>
      <c r="GTG1" s="92"/>
      <c r="GTH1" s="92"/>
      <c r="GTI1" s="92"/>
      <c r="GTJ1" s="92"/>
      <c r="GTK1" s="92"/>
      <c r="GTL1" s="92"/>
      <c r="GTM1" s="92"/>
      <c r="GTN1" s="92"/>
      <c r="GTO1" s="92"/>
      <c r="GTP1" s="92"/>
      <c r="GTQ1" s="92"/>
      <c r="GTR1" s="92"/>
      <c r="GTS1" s="92"/>
      <c r="GTT1" s="92"/>
      <c r="GTU1" s="92"/>
      <c r="GTV1" s="92"/>
      <c r="GTW1" s="92"/>
      <c r="GTX1" s="92"/>
      <c r="GTY1" s="92"/>
      <c r="GTZ1" s="92"/>
      <c r="GUA1" s="92"/>
      <c r="GUB1" s="92"/>
      <c r="GUC1" s="92"/>
      <c r="GUD1" s="92"/>
      <c r="GUE1" s="92"/>
      <c r="GUF1" s="92"/>
      <c r="GUG1" s="92"/>
      <c r="GUH1" s="92"/>
      <c r="GUI1" s="92"/>
      <c r="GUJ1" s="92"/>
      <c r="GUK1" s="92"/>
      <c r="GUL1" s="92"/>
      <c r="GUM1" s="92"/>
      <c r="GUN1" s="92"/>
      <c r="GUO1" s="92"/>
      <c r="GUP1" s="92"/>
      <c r="GUQ1" s="92"/>
      <c r="GUR1" s="92"/>
      <c r="GUS1" s="92"/>
      <c r="GUT1" s="92"/>
      <c r="GUU1" s="92"/>
      <c r="GUV1" s="92"/>
      <c r="GUW1" s="92"/>
      <c r="GUX1" s="92"/>
      <c r="GUY1" s="92"/>
      <c r="GUZ1" s="92"/>
      <c r="GVA1" s="92"/>
      <c r="GVB1" s="92"/>
      <c r="GVC1" s="92"/>
      <c r="GVD1" s="92"/>
      <c r="GVE1" s="92"/>
      <c r="GVF1" s="92"/>
      <c r="GVG1" s="92"/>
      <c r="GVH1" s="92"/>
      <c r="GVI1" s="92"/>
      <c r="GVJ1" s="92"/>
      <c r="GVK1" s="92"/>
      <c r="GVL1" s="92"/>
      <c r="GVM1" s="92"/>
      <c r="GVN1" s="92"/>
      <c r="GVO1" s="92"/>
      <c r="GVP1" s="92"/>
      <c r="GVQ1" s="92"/>
      <c r="GVR1" s="92"/>
      <c r="GVS1" s="92"/>
      <c r="GVT1" s="92"/>
      <c r="GVU1" s="92"/>
      <c r="GVV1" s="92"/>
      <c r="GVW1" s="92"/>
      <c r="GVX1" s="92"/>
      <c r="GVY1" s="92"/>
      <c r="GVZ1" s="92"/>
      <c r="GWA1" s="92"/>
      <c r="GWB1" s="92"/>
      <c r="GWC1" s="92"/>
      <c r="GWD1" s="92"/>
      <c r="GWE1" s="92"/>
      <c r="GWF1" s="92"/>
      <c r="GWG1" s="92"/>
      <c r="GWH1" s="92"/>
      <c r="GWI1" s="92"/>
      <c r="GWJ1" s="92"/>
      <c r="GWK1" s="92"/>
      <c r="GWL1" s="92"/>
      <c r="GWM1" s="92"/>
      <c r="GWN1" s="92"/>
      <c r="GWO1" s="92"/>
      <c r="GWP1" s="92"/>
      <c r="GWQ1" s="92"/>
      <c r="GWR1" s="92"/>
      <c r="GWS1" s="92"/>
      <c r="GWT1" s="92"/>
      <c r="GWU1" s="92"/>
      <c r="GWV1" s="92"/>
      <c r="GWW1" s="92"/>
      <c r="GWX1" s="92"/>
      <c r="GWY1" s="92"/>
      <c r="GWZ1" s="92"/>
      <c r="GXA1" s="92"/>
      <c r="GXB1" s="92"/>
      <c r="GXC1" s="92"/>
      <c r="GXD1" s="92"/>
      <c r="GXE1" s="92"/>
      <c r="GXF1" s="92"/>
      <c r="GXG1" s="92"/>
      <c r="GXH1" s="92"/>
      <c r="GXI1" s="92"/>
      <c r="GXJ1" s="92"/>
      <c r="GXK1" s="92"/>
      <c r="GXL1" s="92"/>
      <c r="GXM1" s="92"/>
      <c r="GXN1" s="92"/>
      <c r="GXO1" s="92"/>
      <c r="GXP1" s="92"/>
      <c r="GXQ1" s="92"/>
      <c r="GXR1" s="92"/>
      <c r="GXS1" s="92"/>
      <c r="GXT1" s="92"/>
      <c r="GXU1" s="92"/>
      <c r="GXV1" s="92"/>
      <c r="GXW1" s="92"/>
      <c r="GXX1" s="92"/>
      <c r="GXY1" s="92"/>
      <c r="GXZ1" s="92"/>
      <c r="GYA1" s="92"/>
      <c r="GYB1" s="92"/>
      <c r="GYC1" s="92"/>
      <c r="GYD1" s="92"/>
      <c r="GYE1" s="92"/>
      <c r="GYF1" s="92"/>
      <c r="GYG1" s="92"/>
      <c r="GYH1" s="92"/>
      <c r="GYI1" s="92"/>
      <c r="GYJ1" s="92"/>
      <c r="GYK1" s="92"/>
      <c r="GYL1" s="92"/>
      <c r="GYM1" s="92"/>
      <c r="GYN1" s="92"/>
      <c r="GYO1" s="92"/>
      <c r="GYP1" s="92"/>
      <c r="GYQ1" s="92"/>
      <c r="GYR1" s="92"/>
      <c r="GYS1" s="92"/>
      <c r="GYT1" s="92"/>
      <c r="GYU1" s="92"/>
      <c r="GYV1" s="92"/>
      <c r="GYW1" s="92"/>
      <c r="GYX1" s="92"/>
      <c r="GYY1" s="92"/>
      <c r="GYZ1" s="92"/>
      <c r="GZA1" s="92"/>
      <c r="GZB1" s="92"/>
      <c r="GZC1" s="92"/>
      <c r="GZD1" s="92"/>
      <c r="GZE1" s="92"/>
      <c r="GZF1" s="92"/>
      <c r="GZG1" s="92"/>
      <c r="GZH1" s="92"/>
      <c r="GZI1" s="92"/>
      <c r="GZJ1" s="92"/>
      <c r="GZK1" s="92"/>
      <c r="GZL1" s="92"/>
      <c r="GZM1" s="92"/>
      <c r="GZN1" s="92"/>
      <c r="GZO1" s="92"/>
      <c r="GZP1" s="92"/>
      <c r="GZQ1" s="92"/>
      <c r="GZR1" s="92"/>
      <c r="GZS1" s="92"/>
      <c r="GZT1" s="92"/>
      <c r="GZU1" s="92"/>
      <c r="GZV1" s="92"/>
      <c r="GZW1" s="92"/>
      <c r="GZX1" s="92"/>
      <c r="GZY1" s="92"/>
      <c r="GZZ1" s="92"/>
      <c r="HAA1" s="92"/>
      <c r="HAB1" s="92"/>
      <c r="HAC1" s="92"/>
      <c r="HAD1" s="92"/>
      <c r="HAE1" s="92"/>
      <c r="HAF1" s="92"/>
      <c r="HAG1" s="92"/>
      <c r="HAH1" s="92"/>
      <c r="HAI1" s="92"/>
      <c r="HAJ1" s="92"/>
      <c r="HAK1" s="92"/>
      <c r="HAL1" s="92"/>
      <c r="HAM1" s="92"/>
      <c r="HAN1" s="92"/>
      <c r="HAO1" s="92"/>
      <c r="HAP1" s="92"/>
      <c r="HAQ1" s="92"/>
      <c r="HAR1" s="92"/>
      <c r="HAS1" s="92"/>
      <c r="HAT1" s="92"/>
      <c r="HAU1" s="92"/>
      <c r="HAV1" s="92"/>
      <c r="HAW1" s="92"/>
      <c r="HAX1" s="92"/>
      <c r="HAY1" s="92"/>
      <c r="HAZ1" s="92"/>
      <c r="HBA1" s="92"/>
      <c r="HBB1" s="92"/>
      <c r="HBC1" s="92"/>
      <c r="HBD1" s="92"/>
      <c r="HBE1" s="92"/>
      <c r="HBF1" s="92"/>
      <c r="HBG1" s="92"/>
      <c r="HBH1" s="92"/>
      <c r="HBI1" s="92"/>
      <c r="HBJ1" s="92"/>
      <c r="HBK1" s="92"/>
      <c r="HBL1" s="92"/>
      <c r="HBM1" s="92"/>
      <c r="HBN1" s="92"/>
      <c r="HBO1" s="92"/>
      <c r="HBP1" s="92"/>
      <c r="HBQ1" s="92"/>
      <c r="HBR1" s="92"/>
      <c r="HBS1" s="92"/>
      <c r="HBT1" s="92"/>
      <c r="HBU1" s="92"/>
      <c r="HBV1" s="92"/>
      <c r="HBW1" s="92"/>
      <c r="HBX1" s="92"/>
      <c r="HBY1" s="92"/>
      <c r="HBZ1" s="92"/>
      <c r="HCA1" s="92"/>
      <c r="HCB1" s="92"/>
      <c r="HCC1" s="92"/>
      <c r="HCD1" s="92"/>
      <c r="HCE1" s="92"/>
      <c r="HCF1" s="92"/>
      <c r="HCG1" s="92"/>
      <c r="HCH1" s="92"/>
      <c r="HCI1" s="92"/>
      <c r="HCJ1" s="92"/>
      <c r="HCK1" s="92"/>
      <c r="HCL1" s="92"/>
      <c r="HCM1" s="92"/>
      <c r="HCN1" s="92"/>
      <c r="HCO1" s="92"/>
      <c r="HCP1" s="92"/>
      <c r="HCQ1" s="92"/>
      <c r="HCR1" s="92"/>
      <c r="HCS1" s="92"/>
      <c r="HCT1" s="92"/>
      <c r="HCU1" s="92"/>
      <c r="HCV1" s="92"/>
      <c r="HCW1" s="92"/>
      <c r="HCX1" s="92"/>
      <c r="HCY1" s="92"/>
      <c r="HCZ1" s="92"/>
      <c r="HDA1" s="92"/>
      <c r="HDB1" s="92"/>
      <c r="HDC1" s="92"/>
      <c r="HDD1" s="92"/>
      <c r="HDE1" s="92"/>
      <c r="HDF1" s="92"/>
      <c r="HDG1" s="92"/>
      <c r="HDH1" s="92"/>
      <c r="HDI1" s="92"/>
      <c r="HDJ1" s="92"/>
      <c r="HDK1" s="92"/>
      <c r="HDL1" s="92"/>
      <c r="HDM1" s="92"/>
      <c r="HDN1" s="92"/>
      <c r="HDO1" s="92"/>
      <c r="HDP1" s="92"/>
      <c r="HDQ1" s="92"/>
      <c r="HDR1" s="92"/>
      <c r="HDS1" s="92"/>
      <c r="HDT1" s="92"/>
      <c r="HDU1" s="92"/>
      <c r="HDV1" s="92"/>
      <c r="HDW1" s="92"/>
      <c r="HDX1" s="92"/>
      <c r="HDY1" s="92"/>
      <c r="HDZ1" s="92"/>
      <c r="HEA1" s="92"/>
      <c r="HEB1" s="92"/>
      <c r="HEC1" s="92"/>
      <c r="HED1" s="92"/>
      <c r="HEE1" s="92"/>
      <c r="HEF1" s="92"/>
      <c r="HEG1" s="92"/>
      <c r="HEH1" s="92"/>
      <c r="HEI1" s="92"/>
      <c r="HEJ1" s="92"/>
      <c r="HEK1" s="92"/>
      <c r="HEL1" s="92"/>
      <c r="HEM1" s="92"/>
      <c r="HEN1" s="92"/>
      <c r="HEO1" s="92"/>
      <c r="HEP1" s="92"/>
      <c r="HEQ1" s="92"/>
      <c r="HER1" s="92"/>
      <c r="HES1" s="92"/>
      <c r="HET1" s="92"/>
      <c r="HEU1" s="92"/>
      <c r="HEV1" s="92"/>
      <c r="HEW1" s="92"/>
      <c r="HEX1" s="92"/>
      <c r="HEY1" s="92"/>
      <c r="HEZ1" s="92"/>
      <c r="HFA1" s="92"/>
      <c r="HFB1" s="92"/>
      <c r="HFC1" s="92"/>
      <c r="HFD1" s="92"/>
      <c r="HFE1" s="92"/>
      <c r="HFF1" s="92"/>
      <c r="HFG1" s="92"/>
      <c r="HFH1" s="92"/>
      <c r="HFI1" s="92"/>
      <c r="HFJ1" s="92"/>
      <c r="HFK1" s="92"/>
      <c r="HFL1" s="92"/>
      <c r="HFM1" s="92"/>
      <c r="HFN1" s="92"/>
      <c r="HFO1" s="92"/>
      <c r="HFP1" s="92"/>
      <c r="HFQ1" s="92"/>
      <c r="HFR1" s="92"/>
      <c r="HFS1" s="92"/>
      <c r="HFT1" s="92"/>
      <c r="HFU1" s="92"/>
      <c r="HFV1" s="92"/>
      <c r="HFW1" s="92"/>
      <c r="HFX1" s="92"/>
      <c r="HFY1" s="92"/>
      <c r="HFZ1" s="92"/>
      <c r="HGA1" s="92"/>
      <c r="HGB1" s="92"/>
      <c r="HGC1" s="92"/>
      <c r="HGD1" s="92"/>
      <c r="HGE1" s="92"/>
      <c r="HGF1" s="92"/>
      <c r="HGG1" s="92"/>
      <c r="HGH1" s="92"/>
      <c r="HGI1" s="92"/>
      <c r="HGJ1" s="92"/>
      <c r="HGK1" s="92"/>
      <c r="HGL1" s="92"/>
      <c r="HGM1" s="92"/>
      <c r="HGN1" s="92"/>
      <c r="HGO1" s="92"/>
      <c r="HGP1" s="92"/>
      <c r="HGQ1" s="92"/>
      <c r="HGR1" s="92"/>
      <c r="HGS1" s="92"/>
      <c r="HGT1" s="92"/>
      <c r="HGU1" s="92"/>
      <c r="HGV1" s="92"/>
      <c r="HGW1" s="92"/>
      <c r="HGX1" s="92"/>
      <c r="HGY1" s="92"/>
      <c r="HGZ1" s="92"/>
      <c r="HHA1" s="92"/>
      <c r="HHB1" s="92"/>
      <c r="HHC1" s="92"/>
      <c r="HHD1" s="92"/>
      <c r="HHE1" s="92"/>
      <c r="HHF1" s="92"/>
      <c r="HHG1" s="92"/>
      <c r="HHH1" s="92"/>
      <c r="HHI1" s="92"/>
      <c r="HHJ1" s="92"/>
      <c r="HHK1" s="92"/>
      <c r="HHL1" s="92"/>
      <c r="HHM1" s="92"/>
      <c r="HHN1" s="92"/>
      <c r="HHO1" s="92"/>
      <c r="HHP1" s="92"/>
      <c r="HHQ1" s="92"/>
      <c r="HHR1" s="92"/>
      <c r="HHS1" s="92"/>
      <c r="HHT1" s="92"/>
      <c r="HHU1" s="92"/>
      <c r="HHV1" s="92"/>
      <c r="HHW1" s="92"/>
      <c r="HHX1" s="92"/>
      <c r="HHY1" s="92"/>
      <c r="HHZ1" s="92"/>
      <c r="HIA1" s="92"/>
      <c r="HIB1" s="92"/>
      <c r="HIC1" s="92"/>
      <c r="HID1" s="92"/>
      <c r="HIE1" s="92"/>
      <c r="HIF1" s="92"/>
      <c r="HIG1" s="92"/>
      <c r="HIH1" s="92"/>
      <c r="HII1" s="92"/>
      <c r="HIJ1" s="92"/>
      <c r="HIK1" s="92"/>
      <c r="HIL1" s="92"/>
      <c r="HIM1" s="92"/>
      <c r="HIN1" s="92"/>
      <c r="HIO1" s="92"/>
      <c r="HIP1" s="92"/>
      <c r="HIQ1" s="92"/>
      <c r="HIR1" s="92"/>
      <c r="HIS1" s="92"/>
      <c r="HIT1" s="92"/>
      <c r="HIU1" s="92"/>
      <c r="HIV1" s="92"/>
      <c r="HIW1" s="92"/>
      <c r="HIX1" s="92"/>
      <c r="HIY1" s="92"/>
      <c r="HIZ1" s="92"/>
      <c r="HJA1" s="92"/>
      <c r="HJB1" s="92"/>
      <c r="HJC1" s="92"/>
      <c r="HJD1" s="92"/>
      <c r="HJE1" s="92"/>
      <c r="HJF1" s="92"/>
      <c r="HJG1" s="92"/>
      <c r="HJH1" s="92"/>
      <c r="HJI1" s="92"/>
      <c r="HJJ1" s="92"/>
      <c r="HJK1" s="92"/>
      <c r="HJL1" s="92"/>
      <c r="HJM1" s="92"/>
      <c r="HJN1" s="92"/>
      <c r="HJO1" s="92"/>
      <c r="HJP1" s="92"/>
      <c r="HJQ1" s="92"/>
      <c r="HJR1" s="92"/>
      <c r="HJS1" s="92"/>
      <c r="HJT1" s="92"/>
      <c r="HJU1" s="92"/>
      <c r="HJV1" s="92"/>
      <c r="HJW1" s="92"/>
      <c r="HJX1" s="92"/>
      <c r="HJY1" s="92"/>
      <c r="HJZ1" s="92"/>
      <c r="HKA1" s="92"/>
      <c r="HKB1" s="92"/>
      <c r="HKC1" s="92"/>
      <c r="HKD1" s="92"/>
      <c r="HKE1" s="92"/>
      <c r="HKF1" s="92"/>
      <c r="HKG1" s="92"/>
      <c r="HKH1" s="92"/>
      <c r="HKI1" s="92"/>
      <c r="HKJ1" s="92"/>
      <c r="HKK1" s="92"/>
      <c r="HKL1" s="92"/>
      <c r="HKM1" s="92"/>
      <c r="HKN1" s="92"/>
      <c r="HKO1" s="92"/>
      <c r="HKP1" s="92"/>
      <c r="HKQ1" s="92"/>
      <c r="HKR1" s="92"/>
      <c r="HKS1" s="92"/>
      <c r="HKT1" s="92"/>
      <c r="HKU1" s="92"/>
      <c r="HKV1" s="92"/>
      <c r="HKW1" s="92"/>
      <c r="HKX1" s="92"/>
      <c r="HKY1" s="92"/>
      <c r="HKZ1" s="92"/>
      <c r="HLA1" s="92"/>
      <c r="HLB1" s="92"/>
      <c r="HLC1" s="92"/>
      <c r="HLD1" s="92"/>
      <c r="HLE1" s="92"/>
      <c r="HLF1" s="92"/>
      <c r="HLG1" s="92"/>
      <c r="HLH1" s="92"/>
      <c r="HLI1" s="92"/>
      <c r="HLJ1" s="92"/>
      <c r="HLK1" s="92"/>
      <c r="HLL1" s="92"/>
      <c r="HLM1" s="92"/>
      <c r="HLN1" s="92"/>
      <c r="HLO1" s="92"/>
      <c r="HLP1" s="92"/>
      <c r="HLQ1" s="92"/>
      <c r="HLR1" s="92"/>
      <c r="HLS1" s="92"/>
      <c r="HLT1" s="92"/>
      <c r="HLU1" s="92"/>
      <c r="HLV1" s="92"/>
      <c r="HLW1" s="92"/>
      <c r="HLX1" s="92"/>
      <c r="HLY1" s="92"/>
      <c r="HLZ1" s="92"/>
      <c r="HMA1" s="92"/>
      <c r="HMB1" s="92"/>
      <c r="HMC1" s="92"/>
      <c r="HMD1" s="92"/>
      <c r="HME1" s="92"/>
      <c r="HMF1" s="92"/>
      <c r="HMG1" s="92"/>
      <c r="HMH1" s="92"/>
      <c r="HMI1" s="92"/>
      <c r="HMJ1" s="92"/>
      <c r="HMK1" s="92"/>
      <c r="HML1" s="92"/>
      <c r="HMM1" s="92"/>
      <c r="HMN1" s="92"/>
      <c r="HMO1" s="92"/>
      <c r="HMP1" s="92"/>
      <c r="HMQ1" s="92"/>
      <c r="HMR1" s="92"/>
      <c r="HMS1" s="92"/>
      <c r="HMT1" s="92"/>
      <c r="HMU1" s="92"/>
      <c r="HMV1" s="92"/>
      <c r="HMW1" s="92"/>
      <c r="HMX1" s="92"/>
      <c r="HMY1" s="92"/>
      <c r="HMZ1" s="92"/>
      <c r="HNA1" s="92"/>
      <c r="HNB1" s="92"/>
      <c r="HNC1" s="92"/>
      <c r="HND1" s="92"/>
      <c r="HNE1" s="92"/>
      <c r="HNF1" s="92"/>
      <c r="HNG1" s="92"/>
      <c r="HNH1" s="92"/>
      <c r="HNI1" s="92"/>
      <c r="HNJ1" s="92"/>
      <c r="HNK1" s="92"/>
      <c r="HNL1" s="92"/>
      <c r="HNM1" s="92"/>
      <c r="HNN1" s="92"/>
      <c r="HNO1" s="92"/>
      <c r="HNP1" s="92"/>
      <c r="HNQ1" s="92"/>
      <c r="HNR1" s="92"/>
      <c r="HNS1" s="92"/>
      <c r="HNT1" s="92"/>
      <c r="HNU1" s="92"/>
      <c r="HNV1" s="92"/>
      <c r="HNW1" s="92"/>
      <c r="HNX1" s="92"/>
      <c r="HNY1" s="92"/>
      <c r="HNZ1" s="92"/>
      <c r="HOA1" s="92"/>
      <c r="HOB1" s="92"/>
      <c r="HOC1" s="92"/>
      <c r="HOD1" s="92"/>
      <c r="HOE1" s="92"/>
      <c r="HOF1" s="92"/>
      <c r="HOG1" s="92"/>
      <c r="HOH1" s="92"/>
      <c r="HOI1" s="92"/>
      <c r="HOJ1" s="92"/>
      <c r="HOK1" s="92"/>
      <c r="HOL1" s="92"/>
      <c r="HOM1" s="92"/>
      <c r="HON1" s="92"/>
      <c r="HOO1" s="92"/>
      <c r="HOP1" s="92"/>
      <c r="HOQ1" s="92"/>
      <c r="HOR1" s="92"/>
      <c r="HOS1" s="92"/>
      <c r="HOT1" s="92"/>
      <c r="HOU1" s="92"/>
      <c r="HOV1" s="92"/>
      <c r="HOW1" s="92"/>
      <c r="HOX1" s="92"/>
      <c r="HOY1" s="92"/>
      <c r="HOZ1" s="92"/>
      <c r="HPA1" s="92"/>
      <c r="HPB1" s="92"/>
      <c r="HPC1" s="92"/>
      <c r="HPD1" s="92"/>
      <c r="HPE1" s="92"/>
      <c r="HPF1" s="92"/>
      <c r="HPG1" s="92"/>
      <c r="HPH1" s="92"/>
      <c r="HPI1" s="92"/>
      <c r="HPJ1" s="92"/>
      <c r="HPK1" s="92"/>
      <c r="HPL1" s="92"/>
      <c r="HPM1" s="92"/>
      <c r="HPN1" s="92"/>
      <c r="HPO1" s="92"/>
      <c r="HPP1" s="92"/>
      <c r="HPQ1" s="92"/>
      <c r="HPR1" s="92"/>
      <c r="HPS1" s="92"/>
      <c r="HPT1" s="92"/>
      <c r="HPU1" s="92"/>
      <c r="HPV1" s="92"/>
      <c r="HPW1" s="92"/>
      <c r="HPX1" s="92"/>
      <c r="HPY1" s="92"/>
      <c r="HPZ1" s="92"/>
      <c r="HQA1" s="92"/>
      <c r="HQB1" s="92"/>
      <c r="HQC1" s="92"/>
      <c r="HQD1" s="92"/>
      <c r="HQE1" s="92"/>
      <c r="HQF1" s="92"/>
      <c r="HQG1" s="92"/>
      <c r="HQH1" s="92"/>
      <c r="HQI1" s="92"/>
      <c r="HQJ1" s="92"/>
      <c r="HQK1" s="92"/>
      <c r="HQL1" s="92"/>
      <c r="HQM1" s="92"/>
      <c r="HQN1" s="92"/>
      <c r="HQO1" s="92"/>
      <c r="HQP1" s="92"/>
      <c r="HQQ1" s="92"/>
      <c r="HQR1" s="92"/>
      <c r="HQS1" s="92"/>
      <c r="HQT1" s="92"/>
      <c r="HQU1" s="92"/>
      <c r="HQV1" s="92"/>
      <c r="HQW1" s="92"/>
      <c r="HQX1" s="92"/>
      <c r="HQY1" s="92"/>
      <c r="HQZ1" s="92"/>
      <c r="HRA1" s="92"/>
      <c r="HRB1" s="92"/>
      <c r="HRC1" s="92"/>
      <c r="HRD1" s="92"/>
      <c r="HRE1" s="92"/>
      <c r="HRF1" s="92"/>
      <c r="HRG1" s="92"/>
      <c r="HRH1" s="92"/>
      <c r="HRI1" s="92"/>
      <c r="HRJ1" s="92"/>
      <c r="HRK1" s="92"/>
      <c r="HRL1" s="92"/>
      <c r="HRM1" s="92"/>
      <c r="HRN1" s="92"/>
      <c r="HRO1" s="92"/>
      <c r="HRP1" s="92"/>
      <c r="HRQ1" s="92"/>
      <c r="HRR1" s="92"/>
      <c r="HRS1" s="92"/>
      <c r="HRT1" s="92"/>
      <c r="HRU1" s="92"/>
      <c r="HRV1" s="92"/>
      <c r="HRW1" s="92"/>
      <c r="HRX1" s="92"/>
      <c r="HRY1" s="92"/>
      <c r="HRZ1" s="92"/>
      <c r="HSA1" s="92"/>
      <c r="HSB1" s="92"/>
      <c r="HSC1" s="92"/>
      <c r="HSD1" s="92"/>
      <c r="HSE1" s="92"/>
      <c r="HSF1" s="92"/>
      <c r="HSG1" s="92"/>
      <c r="HSH1" s="92"/>
      <c r="HSI1" s="92"/>
      <c r="HSJ1" s="92"/>
      <c r="HSK1" s="92"/>
      <c r="HSL1" s="92"/>
      <c r="HSM1" s="92"/>
      <c r="HSN1" s="92"/>
      <c r="HSO1" s="92"/>
      <c r="HSP1" s="92"/>
      <c r="HSQ1" s="92"/>
      <c r="HSR1" s="92"/>
      <c r="HSS1" s="92"/>
      <c r="HST1" s="92"/>
      <c r="HSU1" s="92"/>
      <c r="HSV1" s="92"/>
      <c r="HSW1" s="92"/>
      <c r="HSX1" s="92"/>
      <c r="HSY1" s="92"/>
      <c r="HSZ1" s="92"/>
      <c r="HTA1" s="92"/>
      <c r="HTB1" s="92"/>
      <c r="HTC1" s="92"/>
      <c r="HTD1" s="92"/>
      <c r="HTE1" s="92"/>
      <c r="HTF1" s="92"/>
      <c r="HTG1" s="92"/>
      <c r="HTH1" s="92"/>
      <c r="HTI1" s="92"/>
      <c r="HTJ1" s="92"/>
      <c r="HTK1" s="92"/>
      <c r="HTL1" s="92"/>
      <c r="HTM1" s="92"/>
      <c r="HTN1" s="92"/>
      <c r="HTO1" s="92"/>
      <c r="HTP1" s="92"/>
      <c r="HTQ1" s="92"/>
      <c r="HTR1" s="92"/>
      <c r="HTS1" s="92"/>
      <c r="HTT1" s="92"/>
      <c r="HTU1" s="92"/>
      <c r="HTV1" s="92"/>
      <c r="HTW1" s="92"/>
      <c r="HTX1" s="92"/>
      <c r="HTY1" s="92"/>
      <c r="HTZ1" s="92"/>
      <c r="HUA1" s="92"/>
      <c r="HUB1" s="92"/>
      <c r="HUC1" s="92"/>
      <c r="HUD1" s="92"/>
      <c r="HUE1" s="92"/>
      <c r="HUF1" s="92"/>
      <c r="HUG1" s="92"/>
      <c r="HUH1" s="92"/>
      <c r="HUI1" s="92"/>
      <c r="HUJ1" s="92"/>
      <c r="HUK1" s="92"/>
      <c r="HUL1" s="92"/>
      <c r="HUM1" s="92"/>
      <c r="HUN1" s="92"/>
      <c r="HUO1" s="92"/>
      <c r="HUP1" s="92"/>
      <c r="HUQ1" s="92"/>
      <c r="HUR1" s="92"/>
      <c r="HUS1" s="92"/>
      <c r="HUT1" s="92"/>
      <c r="HUU1" s="92"/>
      <c r="HUV1" s="92"/>
      <c r="HUW1" s="92"/>
      <c r="HUX1" s="92"/>
      <c r="HUY1" s="92"/>
      <c r="HUZ1" s="92"/>
      <c r="HVA1" s="92"/>
      <c r="HVB1" s="92"/>
      <c r="HVC1" s="92"/>
      <c r="HVD1" s="92"/>
      <c r="HVE1" s="92"/>
      <c r="HVF1" s="92"/>
      <c r="HVG1" s="92"/>
      <c r="HVH1" s="92"/>
      <c r="HVI1" s="92"/>
      <c r="HVJ1" s="92"/>
      <c r="HVK1" s="92"/>
      <c r="HVL1" s="92"/>
      <c r="HVM1" s="92"/>
      <c r="HVN1" s="92"/>
      <c r="HVO1" s="92"/>
      <c r="HVP1" s="92"/>
      <c r="HVQ1" s="92"/>
      <c r="HVR1" s="92"/>
      <c r="HVS1" s="92"/>
      <c r="HVT1" s="92"/>
      <c r="HVU1" s="92"/>
      <c r="HVV1" s="92"/>
      <c r="HVW1" s="92"/>
      <c r="HVX1" s="92"/>
      <c r="HVY1" s="92"/>
      <c r="HVZ1" s="92"/>
      <c r="HWA1" s="92"/>
      <c r="HWB1" s="92"/>
      <c r="HWC1" s="92"/>
      <c r="HWD1" s="92"/>
      <c r="HWE1" s="92"/>
      <c r="HWF1" s="92"/>
      <c r="HWG1" s="92"/>
      <c r="HWH1" s="92"/>
      <c r="HWI1" s="92"/>
      <c r="HWJ1" s="92"/>
      <c r="HWK1" s="92"/>
      <c r="HWL1" s="92"/>
      <c r="HWM1" s="92"/>
      <c r="HWN1" s="92"/>
      <c r="HWO1" s="92"/>
      <c r="HWP1" s="92"/>
      <c r="HWQ1" s="92"/>
      <c r="HWR1" s="92"/>
      <c r="HWS1" s="92"/>
      <c r="HWT1" s="92"/>
      <c r="HWU1" s="92"/>
      <c r="HWV1" s="92"/>
      <c r="HWW1" s="92"/>
      <c r="HWX1" s="92"/>
      <c r="HWY1" s="92"/>
      <c r="HWZ1" s="92"/>
      <c r="HXA1" s="92"/>
      <c r="HXB1" s="92"/>
      <c r="HXC1" s="92"/>
      <c r="HXD1" s="92"/>
      <c r="HXE1" s="92"/>
      <c r="HXF1" s="92"/>
      <c r="HXG1" s="92"/>
      <c r="HXH1" s="92"/>
      <c r="HXI1" s="92"/>
      <c r="HXJ1" s="92"/>
      <c r="HXK1" s="92"/>
      <c r="HXL1" s="92"/>
      <c r="HXM1" s="92"/>
      <c r="HXN1" s="92"/>
      <c r="HXO1" s="92"/>
      <c r="HXP1" s="92"/>
      <c r="HXQ1" s="92"/>
      <c r="HXR1" s="92"/>
      <c r="HXS1" s="92"/>
      <c r="HXT1" s="92"/>
      <c r="HXU1" s="92"/>
      <c r="HXV1" s="92"/>
      <c r="HXW1" s="92"/>
      <c r="HXX1" s="92"/>
      <c r="HXY1" s="92"/>
      <c r="HXZ1" s="92"/>
      <c r="HYA1" s="92"/>
      <c r="HYB1" s="92"/>
      <c r="HYC1" s="92"/>
      <c r="HYD1" s="92"/>
      <c r="HYE1" s="92"/>
      <c r="HYF1" s="92"/>
      <c r="HYG1" s="92"/>
      <c r="HYH1" s="92"/>
      <c r="HYI1" s="92"/>
      <c r="HYJ1" s="92"/>
      <c r="HYK1" s="92"/>
      <c r="HYL1" s="92"/>
      <c r="HYM1" s="92"/>
      <c r="HYN1" s="92"/>
      <c r="HYO1" s="92"/>
      <c r="HYP1" s="92"/>
      <c r="HYQ1" s="92"/>
      <c r="HYR1" s="92"/>
      <c r="HYS1" s="92"/>
      <c r="HYT1" s="92"/>
      <c r="HYU1" s="92"/>
      <c r="HYV1" s="92"/>
      <c r="HYW1" s="92"/>
      <c r="HYX1" s="92"/>
      <c r="HYY1" s="92"/>
      <c r="HYZ1" s="92"/>
      <c r="HZA1" s="92"/>
      <c r="HZB1" s="92"/>
      <c r="HZC1" s="92"/>
      <c r="HZD1" s="92"/>
      <c r="HZE1" s="92"/>
      <c r="HZF1" s="92"/>
      <c r="HZG1" s="92"/>
      <c r="HZH1" s="92"/>
      <c r="HZI1" s="92"/>
      <c r="HZJ1" s="92"/>
      <c r="HZK1" s="92"/>
      <c r="HZL1" s="92"/>
      <c r="HZM1" s="92"/>
      <c r="HZN1" s="92"/>
      <c r="HZO1" s="92"/>
      <c r="HZP1" s="92"/>
      <c r="HZQ1" s="92"/>
      <c r="HZR1" s="92"/>
      <c r="HZS1" s="92"/>
      <c r="HZT1" s="92"/>
      <c r="HZU1" s="92"/>
      <c r="HZV1" s="92"/>
      <c r="HZW1" s="92"/>
      <c r="HZX1" s="92"/>
      <c r="HZY1" s="92"/>
      <c r="HZZ1" s="92"/>
      <c r="IAA1" s="92"/>
      <c r="IAB1" s="92"/>
      <c r="IAC1" s="92"/>
      <c r="IAD1" s="92"/>
      <c r="IAE1" s="92"/>
      <c r="IAF1" s="92"/>
      <c r="IAG1" s="92"/>
      <c r="IAH1" s="92"/>
      <c r="IAI1" s="92"/>
      <c r="IAJ1" s="92"/>
      <c r="IAK1" s="92"/>
      <c r="IAL1" s="92"/>
      <c r="IAM1" s="92"/>
      <c r="IAN1" s="92"/>
      <c r="IAO1" s="92"/>
      <c r="IAP1" s="92"/>
      <c r="IAQ1" s="92"/>
      <c r="IAR1" s="92"/>
      <c r="IAS1" s="92"/>
      <c r="IAT1" s="92"/>
      <c r="IAU1" s="92"/>
      <c r="IAV1" s="92"/>
      <c r="IAW1" s="92"/>
      <c r="IAX1" s="92"/>
      <c r="IAY1" s="92"/>
      <c r="IAZ1" s="92"/>
      <c r="IBA1" s="92"/>
      <c r="IBB1" s="92"/>
      <c r="IBC1" s="92"/>
      <c r="IBD1" s="92"/>
      <c r="IBE1" s="92"/>
      <c r="IBF1" s="92"/>
      <c r="IBG1" s="92"/>
      <c r="IBH1" s="92"/>
      <c r="IBI1" s="92"/>
      <c r="IBJ1" s="92"/>
      <c r="IBK1" s="92"/>
      <c r="IBL1" s="92"/>
      <c r="IBM1" s="92"/>
      <c r="IBN1" s="92"/>
      <c r="IBO1" s="92"/>
      <c r="IBP1" s="92"/>
      <c r="IBQ1" s="92"/>
      <c r="IBR1" s="92"/>
      <c r="IBS1" s="92"/>
      <c r="IBT1" s="92"/>
      <c r="IBU1" s="92"/>
      <c r="IBV1" s="92"/>
      <c r="IBW1" s="92"/>
      <c r="IBX1" s="92"/>
      <c r="IBY1" s="92"/>
      <c r="IBZ1" s="92"/>
      <c r="ICA1" s="92"/>
      <c r="ICB1" s="92"/>
      <c r="ICC1" s="92"/>
      <c r="ICD1" s="92"/>
      <c r="ICE1" s="92"/>
      <c r="ICF1" s="92"/>
      <c r="ICG1" s="92"/>
      <c r="ICH1" s="92"/>
      <c r="ICI1" s="92"/>
      <c r="ICJ1" s="92"/>
      <c r="ICK1" s="92"/>
      <c r="ICL1" s="92"/>
      <c r="ICM1" s="92"/>
      <c r="ICN1" s="92"/>
      <c r="ICO1" s="92"/>
      <c r="ICP1" s="92"/>
      <c r="ICQ1" s="92"/>
      <c r="ICR1" s="92"/>
      <c r="ICS1" s="92"/>
      <c r="ICT1" s="92"/>
      <c r="ICU1" s="92"/>
      <c r="ICV1" s="92"/>
      <c r="ICW1" s="92"/>
      <c r="ICX1" s="92"/>
      <c r="ICY1" s="92"/>
      <c r="ICZ1" s="92"/>
      <c r="IDA1" s="92"/>
      <c r="IDB1" s="92"/>
      <c r="IDC1" s="92"/>
      <c r="IDD1" s="92"/>
      <c r="IDE1" s="92"/>
      <c r="IDF1" s="92"/>
      <c r="IDG1" s="92"/>
      <c r="IDH1" s="92"/>
      <c r="IDI1" s="92"/>
      <c r="IDJ1" s="92"/>
      <c r="IDK1" s="92"/>
      <c r="IDL1" s="92"/>
      <c r="IDM1" s="92"/>
      <c r="IDN1" s="92"/>
      <c r="IDO1" s="92"/>
      <c r="IDP1" s="92"/>
      <c r="IDQ1" s="92"/>
      <c r="IDR1" s="92"/>
      <c r="IDS1" s="92"/>
      <c r="IDT1" s="92"/>
      <c r="IDU1" s="92"/>
      <c r="IDV1" s="92"/>
      <c r="IDW1" s="92"/>
      <c r="IDX1" s="92"/>
      <c r="IDY1" s="92"/>
      <c r="IDZ1" s="92"/>
      <c r="IEA1" s="92"/>
      <c r="IEB1" s="92"/>
      <c r="IEC1" s="92"/>
      <c r="IED1" s="92"/>
      <c r="IEE1" s="92"/>
      <c r="IEF1" s="92"/>
      <c r="IEG1" s="92"/>
      <c r="IEH1" s="92"/>
      <c r="IEI1" s="92"/>
      <c r="IEJ1" s="92"/>
      <c r="IEK1" s="92"/>
      <c r="IEL1" s="92"/>
      <c r="IEM1" s="92"/>
      <c r="IEN1" s="92"/>
      <c r="IEO1" s="92"/>
      <c r="IEP1" s="92"/>
      <c r="IEQ1" s="92"/>
      <c r="IER1" s="92"/>
      <c r="IES1" s="92"/>
      <c r="IET1" s="92"/>
      <c r="IEU1" s="92"/>
      <c r="IEV1" s="92"/>
      <c r="IEW1" s="92"/>
      <c r="IEX1" s="92"/>
      <c r="IEY1" s="92"/>
      <c r="IEZ1" s="92"/>
      <c r="IFA1" s="92"/>
      <c r="IFB1" s="92"/>
      <c r="IFC1" s="92"/>
      <c r="IFD1" s="92"/>
      <c r="IFE1" s="92"/>
      <c r="IFF1" s="92"/>
      <c r="IFG1" s="92"/>
      <c r="IFH1" s="92"/>
      <c r="IFI1" s="92"/>
      <c r="IFJ1" s="92"/>
      <c r="IFK1" s="92"/>
      <c r="IFL1" s="92"/>
      <c r="IFM1" s="92"/>
      <c r="IFN1" s="92"/>
      <c r="IFO1" s="92"/>
      <c r="IFP1" s="92"/>
      <c r="IFQ1" s="92"/>
      <c r="IFR1" s="92"/>
      <c r="IFS1" s="92"/>
      <c r="IFT1" s="92"/>
      <c r="IFU1" s="92"/>
      <c r="IFV1" s="92"/>
      <c r="IFW1" s="92"/>
      <c r="IFX1" s="92"/>
      <c r="IFY1" s="92"/>
      <c r="IFZ1" s="92"/>
      <c r="IGA1" s="92"/>
      <c r="IGB1" s="92"/>
      <c r="IGC1" s="92"/>
      <c r="IGD1" s="92"/>
      <c r="IGE1" s="92"/>
      <c r="IGF1" s="92"/>
      <c r="IGG1" s="92"/>
      <c r="IGH1" s="92"/>
      <c r="IGI1" s="92"/>
      <c r="IGJ1" s="92"/>
      <c r="IGK1" s="92"/>
      <c r="IGL1" s="92"/>
      <c r="IGM1" s="92"/>
      <c r="IGN1" s="92"/>
      <c r="IGO1" s="92"/>
      <c r="IGP1" s="92"/>
      <c r="IGQ1" s="92"/>
      <c r="IGR1" s="92"/>
      <c r="IGS1" s="92"/>
      <c r="IGT1" s="92"/>
      <c r="IGU1" s="92"/>
      <c r="IGV1" s="92"/>
      <c r="IGW1" s="92"/>
      <c r="IGX1" s="92"/>
      <c r="IGY1" s="92"/>
      <c r="IGZ1" s="92"/>
      <c r="IHA1" s="92"/>
      <c r="IHB1" s="92"/>
      <c r="IHC1" s="92"/>
      <c r="IHD1" s="92"/>
      <c r="IHE1" s="92"/>
      <c r="IHF1" s="92"/>
      <c r="IHG1" s="92"/>
      <c r="IHH1" s="92"/>
      <c r="IHI1" s="92"/>
      <c r="IHJ1" s="92"/>
      <c r="IHK1" s="92"/>
      <c r="IHL1" s="92"/>
      <c r="IHM1" s="92"/>
      <c r="IHN1" s="92"/>
      <c r="IHO1" s="92"/>
      <c r="IHP1" s="92"/>
      <c r="IHQ1" s="92"/>
      <c r="IHR1" s="92"/>
      <c r="IHS1" s="92"/>
      <c r="IHT1" s="92"/>
      <c r="IHU1" s="92"/>
      <c r="IHV1" s="92"/>
      <c r="IHW1" s="92"/>
      <c r="IHX1" s="92"/>
      <c r="IHY1" s="92"/>
      <c r="IHZ1" s="92"/>
      <c r="IIA1" s="92"/>
      <c r="IIB1" s="92"/>
      <c r="IIC1" s="92"/>
      <c r="IID1" s="92"/>
      <c r="IIE1" s="92"/>
      <c r="IIF1" s="92"/>
      <c r="IIG1" s="92"/>
      <c r="IIH1" s="92"/>
      <c r="III1" s="92"/>
      <c r="IIJ1" s="92"/>
      <c r="IIK1" s="92"/>
      <c r="IIL1" s="92"/>
      <c r="IIM1" s="92"/>
      <c r="IIN1" s="92"/>
      <c r="IIO1" s="92"/>
      <c r="IIP1" s="92"/>
      <c r="IIQ1" s="92"/>
      <c r="IIR1" s="92"/>
      <c r="IIS1" s="92"/>
      <c r="IIT1" s="92"/>
      <c r="IIU1" s="92"/>
      <c r="IIV1" s="92"/>
      <c r="IIW1" s="92"/>
      <c r="IIX1" s="92"/>
      <c r="IIY1" s="92"/>
      <c r="IIZ1" s="92"/>
      <c r="IJA1" s="92"/>
      <c r="IJB1" s="92"/>
      <c r="IJC1" s="92"/>
      <c r="IJD1" s="92"/>
      <c r="IJE1" s="92"/>
      <c r="IJF1" s="92"/>
      <c r="IJG1" s="92"/>
      <c r="IJH1" s="92"/>
      <c r="IJI1" s="92"/>
      <c r="IJJ1" s="92"/>
      <c r="IJK1" s="92"/>
      <c r="IJL1" s="92"/>
      <c r="IJM1" s="92"/>
      <c r="IJN1" s="92"/>
      <c r="IJO1" s="92"/>
      <c r="IJP1" s="92"/>
      <c r="IJQ1" s="92"/>
      <c r="IJR1" s="92"/>
      <c r="IJS1" s="92"/>
      <c r="IJT1" s="92"/>
      <c r="IJU1" s="92"/>
      <c r="IJV1" s="92"/>
      <c r="IJW1" s="92"/>
      <c r="IJX1" s="92"/>
      <c r="IJY1" s="92"/>
      <c r="IJZ1" s="92"/>
      <c r="IKA1" s="92"/>
      <c r="IKB1" s="92"/>
      <c r="IKC1" s="92"/>
      <c r="IKD1" s="92"/>
      <c r="IKE1" s="92"/>
      <c r="IKF1" s="92"/>
      <c r="IKG1" s="92"/>
      <c r="IKH1" s="92"/>
      <c r="IKI1" s="92"/>
      <c r="IKJ1" s="92"/>
      <c r="IKK1" s="92"/>
      <c r="IKL1" s="92"/>
      <c r="IKM1" s="92"/>
      <c r="IKN1" s="92"/>
      <c r="IKO1" s="92"/>
      <c r="IKP1" s="92"/>
      <c r="IKQ1" s="92"/>
      <c r="IKR1" s="92"/>
      <c r="IKS1" s="92"/>
      <c r="IKT1" s="92"/>
      <c r="IKU1" s="92"/>
      <c r="IKV1" s="92"/>
      <c r="IKW1" s="92"/>
      <c r="IKX1" s="92"/>
      <c r="IKY1" s="92"/>
      <c r="IKZ1" s="92"/>
      <c r="ILA1" s="92"/>
      <c r="ILB1" s="92"/>
      <c r="ILC1" s="92"/>
      <c r="ILD1" s="92"/>
      <c r="ILE1" s="92"/>
      <c r="ILF1" s="92"/>
      <c r="ILG1" s="92"/>
      <c r="ILH1" s="92"/>
      <c r="ILI1" s="92"/>
      <c r="ILJ1" s="92"/>
      <c r="ILK1" s="92"/>
      <c r="ILL1" s="92"/>
      <c r="ILM1" s="92"/>
      <c r="ILN1" s="92"/>
      <c r="ILO1" s="92"/>
      <c r="ILP1" s="92"/>
      <c r="ILQ1" s="92"/>
      <c r="ILR1" s="92"/>
      <c r="ILS1" s="92"/>
      <c r="ILT1" s="92"/>
      <c r="ILU1" s="92"/>
      <c r="ILV1" s="92"/>
      <c r="ILW1" s="92"/>
      <c r="ILX1" s="92"/>
      <c r="ILY1" s="92"/>
      <c r="ILZ1" s="92"/>
      <c r="IMA1" s="92"/>
      <c r="IMB1" s="92"/>
      <c r="IMC1" s="92"/>
      <c r="IMD1" s="92"/>
      <c r="IME1" s="92"/>
      <c r="IMF1" s="92"/>
      <c r="IMG1" s="92"/>
      <c r="IMH1" s="92"/>
      <c r="IMI1" s="92"/>
      <c r="IMJ1" s="92"/>
      <c r="IMK1" s="92"/>
      <c r="IML1" s="92"/>
      <c r="IMM1" s="92"/>
      <c r="IMN1" s="92"/>
      <c r="IMO1" s="92"/>
      <c r="IMP1" s="92"/>
      <c r="IMQ1" s="92"/>
      <c r="IMR1" s="92"/>
      <c r="IMS1" s="92"/>
      <c r="IMT1" s="92"/>
      <c r="IMU1" s="92"/>
      <c r="IMV1" s="92"/>
      <c r="IMW1" s="92"/>
      <c r="IMX1" s="92"/>
      <c r="IMY1" s="92"/>
      <c r="IMZ1" s="92"/>
      <c r="INA1" s="92"/>
      <c r="INB1" s="92"/>
      <c r="INC1" s="92"/>
      <c r="IND1" s="92"/>
      <c r="INE1" s="92"/>
      <c r="INF1" s="92"/>
      <c r="ING1" s="92"/>
      <c r="INH1" s="92"/>
      <c r="INI1" s="92"/>
      <c r="INJ1" s="92"/>
      <c r="INK1" s="92"/>
      <c r="INL1" s="92"/>
      <c r="INM1" s="92"/>
      <c r="INN1" s="92"/>
      <c r="INO1" s="92"/>
      <c r="INP1" s="92"/>
      <c r="INQ1" s="92"/>
      <c r="INR1" s="92"/>
      <c r="INS1" s="92"/>
      <c r="INT1" s="92"/>
      <c r="INU1" s="92"/>
      <c r="INV1" s="92"/>
      <c r="INW1" s="92"/>
      <c r="INX1" s="92"/>
      <c r="INY1" s="92"/>
      <c r="INZ1" s="92"/>
      <c r="IOA1" s="92"/>
      <c r="IOB1" s="92"/>
      <c r="IOC1" s="92"/>
      <c r="IOD1" s="92"/>
      <c r="IOE1" s="92"/>
      <c r="IOF1" s="92"/>
      <c r="IOG1" s="92"/>
      <c r="IOH1" s="92"/>
      <c r="IOI1" s="92"/>
      <c r="IOJ1" s="92"/>
      <c r="IOK1" s="92"/>
      <c r="IOL1" s="92"/>
      <c r="IOM1" s="92"/>
      <c r="ION1" s="92"/>
      <c r="IOO1" s="92"/>
      <c r="IOP1" s="92"/>
      <c r="IOQ1" s="92"/>
      <c r="IOR1" s="92"/>
      <c r="IOS1" s="92"/>
      <c r="IOT1" s="92"/>
      <c r="IOU1" s="92"/>
      <c r="IOV1" s="92"/>
      <c r="IOW1" s="92"/>
      <c r="IOX1" s="92"/>
      <c r="IOY1" s="92"/>
      <c r="IOZ1" s="92"/>
      <c r="IPA1" s="92"/>
      <c r="IPB1" s="92"/>
      <c r="IPC1" s="92"/>
      <c r="IPD1" s="92"/>
      <c r="IPE1" s="92"/>
      <c r="IPF1" s="92"/>
      <c r="IPG1" s="92"/>
      <c r="IPH1" s="92"/>
      <c r="IPI1" s="92"/>
      <c r="IPJ1" s="92"/>
      <c r="IPK1" s="92"/>
      <c r="IPL1" s="92"/>
      <c r="IPM1" s="92"/>
      <c r="IPN1" s="92"/>
      <c r="IPO1" s="92"/>
      <c r="IPP1" s="92"/>
      <c r="IPQ1" s="92"/>
      <c r="IPR1" s="92"/>
      <c r="IPS1" s="92"/>
      <c r="IPT1" s="92"/>
      <c r="IPU1" s="92"/>
      <c r="IPV1" s="92"/>
      <c r="IPW1" s="92"/>
      <c r="IPX1" s="92"/>
      <c r="IPY1" s="92"/>
      <c r="IPZ1" s="92"/>
      <c r="IQA1" s="92"/>
      <c r="IQB1" s="92"/>
      <c r="IQC1" s="92"/>
      <c r="IQD1" s="92"/>
      <c r="IQE1" s="92"/>
      <c r="IQF1" s="92"/>
      <c r="IQG1" s="92"/>
      <c r="IQH1" s="92"/>
      <c r="IQI1" s="92"/>
      <c r="IQJ1" s="92"/>
      <c r="IQK1" s="92"/>
      <c r="IQL1" s="92"/>
      <c r="IQM1" s="92"/>
      <c r="IQN1" s="92"/>
      <c r="IQO1" s="92"/>
      <c r="IQP1" s="92"/>
      <c r="IQQ1" s="92"/>
      <c r="IQR1" s="92"/>
      <c r="IQS1" s="92"/>
      <c r="IQT1" s="92"/>
      <c r="IQU1" s="92"/>
      <c r="IQV1" s="92"/>
      <c r="IQW1" s="92"/>
      <c r="IQX1" s="92"/>
      <c r="IQY1" s="92"/>
      <c r="IQZ1" s="92"/>
      <c r="IRA1" s="92"/>
      <c r="IRB1" s="92"/>
      <c r="IRC1" s="92"/>
      <c r="IRD1" s="92"/>
      <c r="IRE1" s="92"/>
      <c r="IRF1" s="92"/>
      <c r="IRG1" s="92"/>
      <c r="IRH1" s="92"/>
      <c r="IRI1" s="92"/>
      <c r="IRJ1" s="92"/>
      <c r="IRK1" s="92"/>
      <c r="IRL1" s="92"/>
      <c r="IRM1" s="92"/>
      <c r="IRN1" s="92"/>
      <c r="IRO1" s="92"/>
      <c r="IRP1" s="92"/>
      <c r="IRQ1" s="92"/>
      <c r="IRR1" s="92"/>
      <c r="IRS1" s="92"/>
      <c r="IRT1" s="92"/>
      <c r="IRU1" s="92"/>
      <c r="IRV1" s="92"/>
      <c r="IRW1" s="92"/>
      <c r="IRX1" s="92"/>
      <c r="IRY1" s="92"/>
      <c r="IRZ1" s="92"/>
      <c r="ISA1" s="92"/>
      <c r="ISB1" s="92"/>
      <c r="ISC1" s="92"/>
      <c r="ISD1" s="92"/>
      <c r="ISE1" s="92"/>
      <c r="ISF1" s="92"/>
      <c r="ISG1" s="92"/>
      <c r="ISH1" s="92"/>
      <c r="ISI1" s="92"/>
      <c r="ISJ1" s="92"/>
      <c r="ISK1" s="92"/>
      <c r="ISL1" s="92"/>
      <c r="ISM1" s="92"/>
      <c r="ISN1" s="92"/>
      <c r="ISO1" s="92"/>
      <c r="ISP1" s="92"/>
      <c r="ISQ1" s="92"/>
      <c r="ISR1" s="92"/>
      <c r="ISS1" s="92"/>
      <c r="IST1" s="92"/>
      <c r="ISU1" s="92"/>
      <c r="ISV1" s="92"/>
      <c r="ISW1" s="92"/>
      <c r="ISX1" s="92"/>
      <c r="ISY1" s="92"/>
      <c r="ISZ1" s="92"/>
      <c r="ITA1" s="92"/>
      <c r="ITB1" s="92"/>
      <c r="ITC1" s="92"/>
      <c r="ITD1" s="92"/>
      <c r="ITE1" s="92"/>
      <c r="ITF1" s="92"/>
      <c r="ITG1" s="92"/>
      <c r="ITH1" s="92"/>
      <c r="ITI1" s="92"/>
      <c r="ITJ1" s="92"/>
      <c r="ITK1" s="92"/>
      <c r="ITL1" s="92"/>
      <c r="ITM1" s="92"/>
      <c r="ITN1" s="92"/>
      <c r="ITO1" s="92"/>
      <c r="ITP1" s="92"/>
      <c r="ITQ1" s="92"/>
      <c r="ITR1" s="92"/>
      <c r="ITS1" s="92"/>
      <c r="ITT1" s="92"/>
      <c r="ITU1" s="92"/>
      <c r="ITV1" s="92"/>
      <c r="ITW1" s="92"/>
      <c r="ITX1" s="92"/>
      <c r="ITY1" s="92"/>
      <c r="ITZ1" s="92"/>
      <c r="IUA1" s="92"/>
      <c r="IUB1" s="92"/>
      <c r="IUC1" s="92"/>
      <c r="IUD1" s="92"/>
      <c r="IUE1" s="92"/>
      <c r="IUF1" s="92"/>
      <c r="IUG1" s="92"/>
      <c r="IUH1" s="92"/>
      <c r="IUI1" s="92"/>
      <c r="IUJ1" s="92"/>
      <c r="IUK1" s="92"/>
      <c r="IUL1" s="92"/>
      <c r="IUM1" s="92"/>
      <c r="IUN1" s="92"/>
      <c r="IUO1" s="92"/>
      <c r="IUP1" s="92"/>
      <c r="IUQ1" s="92"/>
      <c r="IUR1" s="92"/>
      <c r="IUS1" s="92"/>
      <c r="IUT1" s="92"/>
      <c r="IUU1" s="92"/>
      <c r="IUV1" s="92"/>
      <c r="IUW1" s="92"/>
      <c r="IUX1" s="92"/>
      <c r="IUY1" s="92"/>
      <c r="IUZ1" s="92"/>
      <c r="IVA1" s="92"/>
      <c r="IVB1" s="92"/>
      <c r="IVC1" s="92"/>
      <c r="IVD1" s="92"/>
      <c r="IVE1" s="92"/>
      <c r="IVF1" s="92"/>
      <c r="IVG1" s="92"/>
      <c r="IVH1" s="92"/>
      <c r="IVI1" s="92"/>
      <c r="IVJ1" s="92"/>
      <c r="IVK1" s="92"/>
      <c r="IVL1" s="92"/>
      <c r="IVM1" s="92"/>
      <c r="IVN1" s="92"/>
      <c r="IVO1" s="92"/>
      <c r="IVP1" s="92"/>
      <c r="IVQ1" s="92"/>
      <c r="IVR1" s="92"/>
      <c r="IVS1" s="92"/>
      <c r="IVT1" s="92"/>
      <c r="IVU1" s="92"/>
      <c r="IVV1" s="92"/>
      <c r="IVW1" s="92"/>
      <c r="IVX1" s="92"/>
      <c r="IVY1" s="92"/>
      <c r="IVZ1" s="92"/>
      <c r="IWA1" s="92"/>
      <c r="IWB1" s="92"/>
      <c r="IWC1" s="92"/>
      <c r="IWD1" s="92"/>
      <c r="IWE1" s="92"/>
      <c r="IWF1" s="92"/>
      <c r="IWG1" s="92"/>
      <c r="IWH1" s="92"/>
      <c r="IWI1" s="92"/>
      <c r="IWJ1" s="92"/>
      <c r="IWK1" s="92"/>
      <c r="IWL1" s="92"/>
      <c r="IWM1" s="92"/>
      <c r="IWN1" s="92"/>
      <c r="IWO1" s="92"/>
      <c r="IWP1" s="92"/>
      <c r="IWQ1" s="92"/>
      <c r="IWR1" s="92"/>
      <c r="IWS1" s="92"/>
      <c r="IWT1" s="92"/>
      <c r="IWU1" s="92"/>
      <c r="IWV1" s="92"/>
      <c r="IWW1" s="92"/>
      <c r="IWX1" s="92"/>
      <c r="IWY1" s="92"/>
      <c r="IWZ1" s="92"/>
      <c r="IXA1" s="92"/>
      <c r="IXB1" s="92"/>
      <c r="IXC1" s="92"/>
      <c r="IXD1" s="92"/>
      <c r="IXE1" s="92"/>
      <c r="IXF1" s="92"/>
      <c r="IXG1" s="92"/>
      <c r="IXH1" s="92"/>
      <c r="IXI1" s="92"/>
      <c r="IXJ1" s="92"/>
      <c r="IXK1" s="92"/>
      <c r="IXL1" s="92"/>
      <c r="IXM1" s="92"/>
      <c r="IXN1" s="92"/>
      <c r="IXO1" s="92"/>
      <c r="IXP1" s="92"/>
      <c r="IXQ1" s="92"/>
      <c r="IXR1" s="92"/>
      <c r="IXS1" s="92"/>
      <c r="IXT1" s="92"/>
      <c r="IXU1" s="92"/>
      <c r="IXV1" s="92"/>
      <c r="IXW1" s="92"/>
      <c r="IXX1" s="92"/>
      <c r="IXY1" s="92"/>
      <c r="IXZ1" s="92"/>
      <c r="IYA1" s="92"/>
      <c r="IYB1" s="92"/>
      <c r="IYC1" s="92"/>
      <c r="IYD1" s="92"/>
      <c r="IYE1" s="92"/>
      <c r="IYF1" s="92"/>
      <c r="IYG1" s="92"/>
      <c r="IYH1" s="92"/>
      <c r="IYI1" s="92"/>
      <c r="IYJ1" s="92"/>
      <c r="IYK1" s="92"/>
      <c r="IYL1" s="92"/>
      <c r="IYM1" s="92"/>
      <c r="IYN1" s="92"/>
      <c r="IYO1" s="92"/>
      <c r="IYP1" s="92"/>
      <c r="IYQ1" s="92"/>
      <c r="IYR1" s="92"/>
      <c r="IYS1" s="92"/>
      <c r="IYT1" s="92"/>
      <c r="IYU1" s="92"/>
      <c r="IYV1" s="92"/>
      <c r="IYW1" s="92"/>
      <c r="IYX1" s="92"/>
      <c r="IYY1" s="92"/>
      <c r="IYZ1" s="92"/>
      <c r="IZA1" s="92"/>
      <c r="IZB1" s="92"/>
      <c r="IZC1" s="92"/>
      <c r="IZD1" s="92"/>
      <c r="IZE1" s="92"/>
      <c r="IZF1" s="92"/>
      <c r="IZG1" s="92"/>
      <c r="IZH1" s="92"/>
      <c r="IZI1" s="92"/>
      <c r="IZJ1" s="92"/>
      <c r="IZK1" s="92"/>
      <c r="IZL1" s="92"/>
      <c r="IZM1" s="92"/>
      <c r="IZN1" s="92"/>
      <c r="IZO1" s="92"/>
      <c r="IZP1" s="92"/>
      <c r="IZQ1" s="92"/>
      <c r="IZR1" s="92"/>
      <c r="IZS1" s="92"/>
      <c r="IZT1" s="92"/>
      <c r="IZU1" s="92"/>
      <c r="IZV1" s="92"/>
      <c r="IZW1" s="92"/>
      <c r="IZX1" s="92"/>
      <c r="IZY1" s="92"/>
      <c r="IZZ1" s="92"/>
      <c r="JAA1" s="92"/>
      <c r="JAB1" s="92"/>
      <c r="JAC1" s="92"/>
      <c r="JAD1" s="92"/>
      <c r="JAE1" s="92"/>
      <c r="JAF1" s="92"/>
      <c r="JAG1" s="92"/>
      <c r="JAH1" s="92"/>
      <c r="JAI1" s="92"/>
      <c r="JAJ1" s="92"/>
      <c r="JAK1" s="92"/>
      <c r="JAL1" s="92"/>
      <c r="JAM1" s="92"/>
      <c r="JAN1" s="92"/>
      <c r="JAO1" s="92"/>
      <c r="JAP1" s="92"/>
      <c r="JAQ1" s="92"/>
      <c r="JAR1" s="92"/>
      <c r="JAS1" s="92"/>
      <c r="JAT1" s="92"/>
      <c r="JAU1" s="92"/>
      <c r="JAV1" s="92"/>
      <c r="JAW1" s="92"/>
      <c r="JAX1" s="92"/>
      <c r="JAY1" s="92"/>
      <c r="JAZ1" s="92"/>
      <c r="JBA1" s="92"/>
      <c r="JBB1" s="92"/>
      <c r="JBC1" s="92"/>
      <c r="JBD1" s="92"/>
      <c r="JBE1" s="92"/>
      <c r="JBF1" s="92"/>
      <c r="JBG1" s="92"/>
      <c r="JBH1" s="92"/>
      <c r="JBI1" s="92"/>
      <c r="JBJ1" s="92"/>
      <c r="JBK1" s="92"/>
      <c r="JBL1" s="92"/>
      <c r="JBM1" s="92"/>
      <c r="JBN1" s="92"/>
      <c r="JBO1" s="92"/>
      <c r="JBP1" s="92"/>
      <c r="JBQ1" s="92"/>
      <c r="JBR1" s="92"/>
      <c r="JBS1" s="92"/>
      <c r="JBT1" s="92"/>
      <c r="JBU1" s="92"/>
      <c r="JBV1" s="92"/>
      <c r="JBW1" s="92"/>
      <c r="JBX1" s="92"/>
      <c r="JBY1" s="92"/>
      <c r="JBZ1" s="92"/>
      <c r="JCA1" s="92"/>
      <c r="JCB1" s="92"/>
      <c r="JCC1" s="92"/>
      <c r="JCD1" s="92"/>
      <c r="JCE1" s="92"/>
      <c r="JCF1" s="92"/>
      <c r="JCG1" s="92"/>
      <c r="JCH1" s="92"/>
      <c r="JCI1" s="92"/>
      <c r="JCJ1" s="92"/>
      <c r="JCK1" s="92"/>
      <c r="JCL1" s="92"/>
      <c r="JCM1" s="92"/>
      <c r="JCN1" s="92"/>
      <c r="JCO1" s="92"/>
      <c r="JCP1" s="92"/>
      <c r="JCQ1" s="92"/>
      <c r="JCR1" s="92"/>
      <c r="JCS1" s="92"/>
      <c r="JCT1" s="92"/>
      <c r="JCU1" s="92"/>
      <c r="JCV1" s="92"/>
      <c r="JCW1" s="92"/>
      <c r="JCX1" s="92"/>
      <c r="JCY1" s="92"/>
      <c r="JCZ1" s="92"/>
      <c r="JDA1" s="92"/>
      <c r="JDB1" s="92"/>
      <c r="JDC1" s="92"/>
      <c r="JDD1" s="92"/>
      <c r="JDE1" s="92"/>
      <c r="JDF1" s="92"/>
      <c r="JDG1" s="92"/>
      <c r="JDH1" s="92"/>
      <c r="JDI1" s="92"/>
      <c r="JDJ1" s="92"/>
      <c r="JDK1" s="92"/>
      <c r="JDL1" s="92"/>
      <c r="JDM1" s="92"/>
      <c r="JDN1" s="92"/>
      <c r="JDO1" s="92"/>
      <c r="JDP1" s="92"/>
      <c r="JDQ1" s="92"/>
      <c r="JDR1" s="92"/>
      <c r="JDS1" s="92"/>
      <c r="JDT1" s="92"/>
      <c r="JDU1" s="92"/>
      <c r="JDV1" s="92"/>
      <c r="JDW1" s="92"/>
      <c r="JDX1" s="92"/>
      <c r="JDY1" s="92"/>
      <c r="JDZ1" s="92"/>
      <c r="JEA1" s="92"/>
      <c r="JEB1" s="92"/>
      <c r="JEC1" s="92"/>
      <c r="JED1" s="92"/>
      <c r="JEE1" s="92"/>
      <c r="JEF1" s="92"/>
      <c r="JEG1" s="92"/>
      <c r="JEH1" s="92"/>
      <c r="JEI1" s="92"/>
      <c r="JEJ1" s="92"/>
      <c r="JEK1" s="92"/>
      <c r="JEL1" s="92"/>
      <c r="JEM1" s="92"/>
      <c r="JEN1" s="92"/>
      <c r="JEO1" s="92"/>
      <c r="JEP1" s="92"/>
      <c r="JEQ1" s="92"/>
      <c r="JER1" s="92"/>
      <c r="JES1" s="92"/>
      <c r="JET1" s="92"/>
      <c r="JEU1" s="92"/>
      <c r="JEV1" s="92"/>
      <c r="JEW1" s="92"/>
      <c r="JEX1" s="92"/>
      <c r="JEY1" s="92"/>
      <c r="JEZ1" s="92"/>
      <c r="JFA1" s="92"/>
      <c r="JFB1" s="92"/>
      <c r="JFC1" s="92"/>
      <c r="JFD1" s="92"/>
      <c r="JFE1" s="92"/>
      <c r="JFF1" s="92"/>
      <c r="JFG1" s="92"/>
      <c r="JFH1" s="92"/>
      <c r="JFI1" s="92"/>
      <c r="JFJ1" s="92"/>
      <c r="JFK1" s="92"/>
      <c r="JFL1" s="92"/>
      <c r="JFM1" s="92"/>
      <c r="JFN1" s="92"/>
      <c r="JFO1" s="92"/>
      <c r="JFP1" s="92"/>
      <c r="JFQ1" s="92"/>
      <c r="JFR1" s="92"/>
      <c r="JFS1" s="92"/>
      <c r="JFT1" s="92"/>
      <c r="JFU1" s="92"/>
      <c r="JFV1" s="92"/>
      <c r="JFW1" s="92"/>
      <c r="JFX1" s="92"/>
      <c r="JFY1" s="92"/>
      <c r="JFZ1" s="92"/>
      <c r="JGA1" s="92"/>
      <c r="JGB1" s="92"/>
      <c r="JGC1" s="92"/>
      <c r="JGD1" s="92"/>
      <c r="JGE1" s="92"/>
      <c r="JGF1" s="92"/>
      <c r="JGG1" s="92"/>
      <c r="JGH1" s="92"/>
      <c r="JGI1" s="92"/>
      <c r="JGJ1" s="92"/>
      <c r="JGK1" s="92"/>
      <c r="JGL1" s="92"/>
      <c r="JGM1" s="92"/>
      <c r="JGN1" s="92"/>
      <c r="JGO1" s="92"/>
      <c r="JGP1" s="92"/>
      <c r="JGQ1" s="92"/>
      <c r="JGR1" s="92"/>
      <c r="JGS1" s="92"/>
      <c r="JGT1" s="92"/>
      <c r="JGU1" s="92"/>
      <c r="JGV1" s="92"/>
      <c r="JGW1" s="92"/>
      <c r="JGX1" s="92"/>
      <c r="JGY1" s="92"/>
      <c r="JGZ1" s="92"/>
      <c r="JHA1" s="92"/>
      <c r="JHB1" s="92"/>
      <c r="JHC1" s="92"/>
      <c r="JHD1" s="92"/>
      <c r="JHE1" s="92"/>
      <c r="JHF1" s="92"/>
      <c r="JHG1" s="92"/>
      <c r="JHH1" s="92"/>
      <c r="JHI1" s="92"/>
      <c r="JHJ1" s="92"/>
      <c r="JHK1" s="92"/>
      <c r="JHL1" s="92"/>
      <c r="JHM1" s="92"/>
      <c r="JHN1" s="92"/>
      <c r="JHO1" s="92"/>
      <c r="JHP1" s="92"/>
      <c r="JHQ1" s="92"/>
      <c r="JHR1" s="92"/>
      <c r="JHS1" s="92"/>
      <c r="JHT1" s="92"/>
      <c r="JHU1" s="92"/>
      <c r="JHV1" s="92"/>
      <c r="JHW1" s="92"/>
      <c r="JHX1" s="92"/>
      <c r="JHY1" s="92"/>
      <c r="JHZ1" s="92"/>
      <c r="JIA1" s="92"/>
      <c r="JIB1" s="92"/>
      <c r="JIC1" s="92"/>
      <c r="JID1" s="92"/>
      <c r="JIE1" s="92"/>
      <c r="JIF1" s="92"/>
      <c r="JIG1" s="92"/>
      <c r="JIH1" s="92"/>
      <c r="JII1" s="92"/>
      <c r="JIJ1" s="92"/>
      <c r="JIK1" s="92"/>
      <c r="JIL1" s="92"/>
      <c r="JIM1" s="92"/>
      <c r="JIN1" s="92"/>
      <c r="JIO1" s="92"/>
      <c r="JIP1" s="92"/>
      <c r="JIQ1" s="92"/>
      <c r="JIR1" s="92"/>
      <c r="JIS1" s="92"/>
      <c r="JIT1" s="92"/>
      <c r="JIU1" s="92"/>
      <c r="JIV1" s="92"/>
      <c r="JIW1" s="92"/>
      <c r="JIX1" s="92"/>
      <c r="JIY1" s="92"/>
      <c r="JIZ1" s="92"/>
      <c r="JJA1" s="92"/>
      <c r="JJB1" s="92"/>
      <c r="JJC1" s="92"/>
      <c r="JJD1" s="92"/>
      <c r="JJE1" s="92"/>
      <c r="JJF1" s="92"/>
      <c r="JJG1" s="92"/>
      <c r="JJH1" s="92"/>
      <c r="JJI1" s="92"/>
      <c r="JJJ1" s="92"/>
      <c r="JJK1" s="92"/>
      <c r="JJL1" s="92"/>
      <c r="JJM1" s="92"/>
      <c r="JJN1" s="92"/>
      <c r="JJO1" s="92"/>
      <c r="JJP1" s="92"/>
      <c r="JJQ1" s="92"/>
      <c r="JJR1" s="92"/>
      <c r="JJS1" s="92"/>
      <c r="JJT1" s="92"/>
      <c r="JJU1" s="92"/>
      <c r="JJV1" s="92"/>
      <c r="JJW1" s="92"/>
      <c r="JJX1" s="92"/>
      <c r="JJY1" s="92"/>
      <c r="JJZ1" s="92"/>
      <c r="JKA1" s="92"/>
      <c r="JKB1" s="92"/>
      <c r="JKC1" s="92"/>
      <c r="JKD1" s="92"/>
      <c r="JKE1" s="92"/>
      <c r="JKF1" s="92"/>
      <c r="JKG1" s="92"/>
      <c r="JKH1" s="92"/>
      <c r="JKI1" s="92"/>
      <c r="JKJ1" s="92"/>
      <c r="JKK1" s="92"/>
      <c r="JKL1" s="92"/>
      <c r="JKM1" s="92"/>
      <c r="JKN1" s="92"/>
      <c r="JKO1" s="92"/>
      <c r="JKP1" s="92"/>
      <c r="JKQ1" s="92"/>
      <c r="JKR1" s="92"/>
      <c r="JKS1" s="92"/>
      <c r="JKT1" s="92"/>
      <c r="JKU1" s="92"/>
      <c r="JKV1" s="92"/>
      <c r="JKW1" s="92"/>
      <c r="JKX1" s="92"/>
      <c r="JKY1" s="92"/>
      <c r="JKZ1" s="92"/>
      <c r="JLA1" s="92"/>
      <c r="JLB1" s="92"/>
      <c r="JLC1" s="92"/>
      <c r="JLD1" s="92"/>
      <c r="JLE1" s="92"/>
      <c r="JLF1" s="92"/>
      <c r="JLG1" s="92"/>
      <c r="JLH1" s="92"/>
      <c r="JLI1" s="92"/>
      <c r="JLJ1" s="92"/>
      <c r="JLK1" s="92"/>
      <c r="JLL1" s="92"/>
      <c r="JLM1" s="92"/>
      <c r="JLN1" s="92"/>
      <c r="JLO1" s="92"/>
      <c r="JLP1" s="92"/>
      <c r="JLQ1" s="92"/>
      <c r="JLR1" s="92"/>
      <c r="JLS1" s="92"/>
      <c r="JLT1" s="92"/>
      <c r="JLU1" s="92"/>
      <c r="JLV1" s="92"/>
      <c r="JLW1" s="92"/>
      <c r="JLX1" s="92"/>
      <c r="JLY1" s="92"/>
      <c r="JLZ1" s="92"/>
      <c r="JMA1" s="92"/>
      <c r="JMB1" s="92"/>
      <c r="JMC1" s="92"/>
      <c r="JMD1" s="92"/>
      <c r="JME1" s="92"/>
      <c r="JMF1" s="92"/>
      <c r="JMG1" s="92"/>
      <c r="JMH1" s="92"/>
      <c r="JMI1" s="92"/>
      <c r="JMJ1" s="92"/>
      <c r="JMK1" s="92"/>
      <c r="JML1" s="92"/>
      <c r="JMM1" s="92"/>
      <c r="JMN1" s="92"/>
      <c r="JMO1" s="92"/>
      <c r="JMP1" s="92"/>
      <c r="JMQ1" s="92"/>
      <c r="JMR1" s="92"/>
      <c r="JMS1" s="92"/>
      <c r="JMT1" s="92"/>
      <c r="JMU1" s="92"/>
      <c r="JMV1" s="92"/>
      <c r="JMW1" s="92"/>
      <c r="JMX1" s="92"/>
      <c r="JMY1" s="92"/>
      <c r="JMZ1" s="92"/>
      <c r="JNA1" s="92"/>
      <c r="JNB1" s="92"/>
      <c r="JNC1" s="92"/>
      <c r="JND1" s="92"/>
      <c r="JNE1" s="92"/>
      <c r="JNF1" s="92"/>
      <c r="JNG1" s="92"/>
      <c r="JNH1" s="92"/>
      <c r="JNI1" s="92"/>
      <c r="JNJ1" s="92"/>
      <c r="JNK1" s="92"/>
      <c r="JNL1" s="92"/>
      <c r="JNM1" s="92"/>
      <c r="JNN1" s="92"/>
      <c r="JNO1" s="92"/>
      <c r="JNP1" s="92"/>
      <c r="JNQ1" s="92"/>
      <c r="JNR1" s="92"/>
      <c r="JNS1" s="92"/>
      <c r="JNT1" s="92"/>
      <c r="JNU1" s="92"/>
      <c r="JNV1" s="92"/>
      <c r="JNW1" s="92"/>
      <c r="JNX1" s="92"/>
      <c r="JNY1" s="92"/>
      <c r="JNZ1" s="92"/>
      <c r="JOA1" s="92"/>
      <c r="JOB1" s="92"/>
      <c r="JOC1" s="92"/>
      <c r="JOD1" s="92"/>
      <c r="JOE1" s="92"/>
      <c r="JOF1" s="92"/>
      <c r="JOG1" s="92"/>
      <c r="JOH1" s="92"/>
      <c r="JOI1" s="92"/>
      <c r="JOJ1" s="92"/>
      <c r="JOK1" s="92"/>
      <c r="JOL1" s="92"/>
      <c r="JOM1" s="92"/>
      <c r="JON1" s="92"/>
      <c r="JOO1" s="92"/>
      <c r="JOP1" s="92"/>
      <c r="JOQ1" s="92"/>
      <c r="JOR1" s="92"/>
      <c r="JOS1" s="92"/>
      <c r="JOT1" s="92"/>
      <c r="JOU1" s="92"/>
      <c r="JOV1" s="92"/>
      <c r="JOW1" s="92"/>
      <c r="JOX1" s="92"/>
      <c r="JOY1" s="92"/>
      <c r="JOZ1" s="92"/>
      <c r="JPA1" s="92"/>
      <c r="JPB1" s="92"/>
      <c r="JPC1" s="92"/>
      <c r="JPD1" s="92"/>
      <c r="JPE1" s="92"/>
      <c r="JPF1" s="92"/>
      <c r="JPG1" s="92"/>
      <c r="JPH1" s="92"/>
      <c r="JPI1" s="92"/>
      <c r="JPJ1" s="92"/>
      <c r="JPK1" s="92"/>
      <c r="JPL1" s="92"/>
      <c r="JPM1" s="92"/>
      <c r="JPN1" s="92"/>
      <c r="JPO1" s="92"/>
      <c r="JPP1" s="92"/>
      <c r="JPQ1" s="92"/>
      <c r="JPR1" s="92"/>
      <c r="JPS1" s="92"/>
      <c r="JPT1" s="92"/>
      <c r="JPU1" s="92"/>
      <c r="JPV1" s="92"/>
      <c r="JPW1" s="92"/>
      <c r="JPX1" s="92"/>
      <c r="JPY1" s="92"/>
      <c r="JPZ1" s="92"/>
      <c r="JQA1" s="92"/>
      <c r="JQB1" s="92"/>
      <c r="JQC1" s="92"/>
      <c r="JQD1" s="92"/>
      <c r="JQE1" s="92"/>
      <c r="JQF1" s="92"/>
      <c r="JQG1" s="92"/>
      <c r="JQH1" s="92"/>
      <c r="JQI1" s="92"/>
      <c r="JQJ1" s="92"/>
      <c r="JQK1" s="92"/>
      <c r="JQL1" s="92"/>
      <c r="JQM1" s="92"/>
      <c r="JQN1" s="92"/>
      <c r="JQO1" s="92"/>
      <c r="JQP1" s="92"/>
      <c r="JQQ1" s="92"/>
      <c r="JQR1" s="92"/>
      <c r="JQS1" s="92"/>
      <c r="JQT1" s="92"/>
      <c r="JQU1" s="92"/>
      <c r="JQV1" s="92"/>
      <c r="JQW1" s="92"/>
      <c r="JQX1" s="92"/>
      <c r="JQY1" s="92"/>
      <c r="JQZ1" s="92"/>
      <c r="JRA1" s="92"/>
      <c r="JRB1" s="92"/>
      <c r="JRC1" s="92"/>
      <c r="JRD1" s="92"/>
      <c r="JRE1" s="92"/>
      <c r="JRF1" s="92"/>
      <c r="JRG1" s="92"/>
      <c r="JRH1" s="92"/>
      <c r="JRI1" s="92"/>
      <c r="JRJ1" s="92"/>
      <c r="JRK1" s="92"/>
      <c r="JRL1" s="92"/>
      <c r="JRM1" s="92"/>
      <c r="JRN1" s="92"/>
      <c r="JRO1" s="92"/>
      <c r="JRP1" s="92"/>
      <c r="JRQ1" s="92"/>
      <c r="JRR1" s="92"/>
      <c r="JRS1" s="92"/>
      <c r="JRT1" s="92"/>
      <c r="JRU1" s="92"/>
      <c r="JRV1" s="92"/>
      <c r="JRW1" s="92"/>
      <c r="JRX1" s="92"/>
      <c r="JRY1" s="92"/>
      <c r="JRZ1" s="92"/>
      <c r="JSA1" s="92"/>
      <c r="JSB1" s="92"/>
      <c r="JSC1" s="92"/>
      <c r="JSD1" s="92"/>
      <c r="JSE1" s="92"/>
      <c r="JSF1" s="92"/>
      <c r="JSG1" s="92"/>
      <c r="JSH1" s="92"/>
      <c r="JSI1" s="92"/>
      <c r="JSJ1" s="92"/>
      <c r="JSK1" s="92"/>
      <c r="JSL1" s="92"/>
      <c r="JSM1" s="92"/>
      <c r="JSN1" s="92"/>
      <c r="JSO1" s="92"/>
      <c r="JSP1" s="92"/>
      <c r="JSQ1" s="92"/>
      <c r="JSR1" s="92"/>
      <c r="JSS1" s="92"/>
      <c r="JST1" s="92"/>
      <c r="JSU1" s="92"/>
      <c r="JSV1" s="92"/>
      <c r="JSW1" s="92"/>
      <c r="JSX1" s="92"/>
      <c r="JSY1" s="92"/>
      <c r="JSZ1" s="92"/>
      <c r="JTA1" s="92"/>
      <c r="JTB1" s="92"/>
      <c r="JTC1" s="92"/>
      <c r="JTD1" s="92"/>
      <c r="JTE1" s="92"/>
      <c r="JTF1" s="92"/>
      <c r="JTG1" s="92"/>
      <c r="JTH1" s="92"/>
      <c r="JTI1" s="92"/>
      <c r="JTJ1" s="92"/>
      <c r="JTK1" s="92"/>
      <c r="JTL1" s="92"/>
      <c r="JTM1" s="92"/>
      <c r="JTN1" s="92"/>
      <c r="JTO1" s="92"/>
      <c r="JTP1" s="92"/>
      <c r="JTQ1" s="92"/>
      <c r="JTR1" s="92"/>
      <c r="JTS1" s="92"/>
      <c r="JTT1" s="92"/>
      <c r="JTU1" s="92"/>
      <c r="JTV1" s="92"/>
      <c r="JTW1" s="92"/>
      <c r="JTX1" s="92"/>
      <c r="JTY1" s="92"/>
      <c r="JTZ1" s="92"/>
      <c r="JUA1" s="92"/>
      <c r="JUB1" s="92"/>
      <c r="JUC1" s="92"/>
      <c r="JUD1" s="92"/>
      <c r="JUE1" s="92"/>
      <c r="JUF1" s="92"/>
      <c r="JUG1" s="92"/>
      <c r="JUH1" s="92"/>
      <c r="JUI1" s="92"/>
      <c r="JUJ1" s="92"/>
      <c r="JUK1" s="92"/>
      <c r="JUL1" s="92"/>
      <c r="JUM1" s="92"/>
      <c r="JUN1" s="92"/>
      <c r="JUO1" s="92"/>
      <c r="JUP1" s="92"/>
      <c r="JUQ1" s="92"/>
      <c r="JUR1" s="92"/>
      <c r="JUS1" s="92"/>
      <c r="JUT1" s="92"/>
      <c r="JUU1" s="92"/>
      <c r="JUV1" s="92"/>
      <c r="JUW1" s="92"/>
      <c r="JUX1" s="92"/>
      <c r="JUY1" s="92"/>
      <c r="JUZ1" s="92"/>
      <c r="JVA1" s="92"/>
      <c r="JVB1" s="92"/>
      <c r="JVC1" s="92"/>
      <c r="JVD1" s="92"/>
      <c r="JVE1" s="92"/>
      <c r="JVF1" s="92"/>
      <c r="JVG1" s="92"/>
      <c r="JVH1" s="92"/>
      <c r="JVI1" s="92"/>
      <c r="JVJ1" s="92"/>
      <c r="JVK1" s="92"/>
      <c r="JVL1" s="92"/>
      <c r="JVM1" s="92"/>
      <c r="JVN1" s="92"/>
      <c r="JVO1" s="92"/>
      <c r="JVP1" s="92"/>
      <c r="JVQ1" s="92"/>
      <c r="JVR1" s="92"/>
      <c r="JVS1" s="92"/>
      <c r="JVT1" s="92"/>
      <c r="JVU1" s="92"/>
      <c r="JVV1" s="92"/>
      <c r="JVW1" s="92"/>
      <c r="JVX1" s="92"/>
      <c r="JVY1" s="92"/>
      <c r="JVZ1" s="92"/>
      <c r="JWA1" s="92"/>
      <c r="JWB1" s="92"/>
      <c r="JWC1" s="92"/>
      <c r="JWD1" s="92"/>
      <c r="JWE1" s="92"/>
      <c r="JWF1" s="92"/>
      <c r="JWG1" s="92"/>
      <c r="JWH1" s="92"/>
      <c r="JWI1" s="92"/>
      <c r="JWJ1" s="92"/>
      <c r="JWK1" s="92"/>
      <c r="JWL1" s="92"/>
      <c r="JWM1" s="92"/>
      <c r="JWN1" s="92"/>
      <c r="JWO1" s="92"/>
      <c r="JWP1" s="92"/>
      <c r="JWQ1" s="92"/>
      <c r="JWR1" s="92"/>
      <c r="JWS1" s="92"/>
      <c r="JWT1" s="92"/>
      <c r="JWU1" s="92"/>
      <c r="JWV1" s="92"/>
      <c r="JWW1" s="92"/>
      <c r="JWX1" s="92"/>
      <c r="JWY1" s="92"/>
      <c r="JWZ1" s="92"/>
      <c r="JXA1" s="92"/>
      <c r="JXB1" s="92"/>
      <c r="JXC1" s="92"/>
      <c r="JXD1" s="92"/>
      <c r="JXE1" s="92"/>
      <c r="JXF1" s="92"/>
      <c r="JXG1" s="92"/>
      <c r="JXH1" s="92"/>
      <c r="JXI1" s="92"/>
      <c r="JXJ1" s="92"/>
      <c r="JXK1" s="92"/>
      <c r="JXL1" s="92"/>
      <c r="JXM1" s="92"/>
      <c r="JXN1" s="92"/>
      <c r="JXO1" s="92"/>
      <c r="JXP1" s="92"/>
      <c r="JXQ1" s="92"/>
      <c r="JXR1" s="92"/>
      <c r="JXS1" s="92"/>
      <c r="JXT1" s="92"/>
      <c r="JXU1" s="92"/>
      <c r="JXV1" s="92"/>
      <c r="JXW1" s="92"/>
      <c r="JXX1" s="92"/>
      <c r="JXY1" s="92"/>
      <c r="JXZ1" s="92"/>
      <c r="JYA1" s="92"/>
      <c r="JYB1" s="92"/>
      <c r="JYC1" s="92"/>
      <c r="JYD1" s="92"/>
      <c r="JYE1" s="92"/>
      <c r="JYF1" s="92"/>
      <c r="JYG1" s="92"/>
      <c r="JYH1" s="92"/>
      <c r="JYI1" s="92"/>
      <c r="JYJ1" s="92"/>
      <c r="JYK1" s="92"/>
      <c r="JYL1" s="92"/>
      <c r="JYM1" s="92"/>
      <c r="JYN1" s="92"/>
      <c r="JYO1" s="92"/>
      <c r="JYP1" s="92"/>
      <c r="JYQ1" s="92"/>
      <c r="JYR1" s="92"/>
      <c r="JYS1" s="92"/>
      <c r="JYT1" s="92"/>
      <c r="JYU1" s="92"/>
      <c r="JYV1" s="92"/>
      <c r="JYW1" s="92"/>
      <c r="JYX1" s="92"/>
      <c r="JYY1" s="92"/>
      <c r="JYZ1" s="92"/>
      <c r="JZA1" s="92"/>
      <c r="JZB1" s="92"/>
      <c r="JZC1" s="92"/>
      <c r="JZD1" s="92"/>
      <c r="JZE1" s="92"/>
      <c r="JZF1" s="92"/>
      <c r="JZG1" s="92"/>
      <c r="JZH1" s="92"/>
      <c r="JZI1" s="92"/>
      <c r="JZJ1" s="92"/>
      <c r="JZK1" s="92"/>
      <c r="JZL1" s="92"/>
      <c r="JZM1" s="92"/>
      <c r="JZN1" s="92"/>
      <c r="JZO1" s="92"/>
      <c r="JZP1" s="92"/>
      <c r="JZQ1" s="92"/>
      <c r="JZR1" s="92"/>
      <c r="JZS1" s="92"/>
      <c r="JZT1" s="92"/>
      <c r="JZU1" s="92"/>
      <c r="JZV1" s="92"/>
      <c r="JZW1" s="92"/>
      <c r="JZX1" s="92"/>
      <c r="JZY1" s="92"/>
      <c r="JZZ1" s="92"/>
      <c r="KAA1" s="92"/>
      <c r="KAB1" s="92"/>
      <c r="KAC1" s="92"/>
      <c r="KAD1" s="92"/>
      <c r="KAE1" s="92"/>
      <c r="KAF1" s="92"/>
      <c r="KAG1" s="92"/>
      <c r="KAH1" s="92"/>
      <c r="KAI1" s="92"/>
      <c r="KAJ1" s="92"/>
      <c r="KAK1" s="92"/>
      <c r="KAL1" s="92"/>
      <c r="KAM1" s="92"/>
      <c r="KAN1" s="92"/>
      <c r="KAO1" s="92"/>
      <c r="KAP1" s="92"/>
      <c r="KAQ1" s="92"/>
      <c r="KAR1" s="92"/>
      <c r="KAS1" s="92"/>
      <c r="KAT1" s="92"/>
      <c r="KAU1" s="92"/>
      <c r="KAV1" s="92"/>
      <c r="KAW1" s="92"/>
      <c r="KAX1" s="92"/>
      <c r="KAY1" s="92"/>
      <c r="KAZ1" s="92"/>
      <c r="KBA1" s="92"/>
      <c r="KBB1" s="92"/>
      <c r="KBC1" s="92"/>
      <c r="KBD1" s="92"/>
      <c r="KBE1" s="92"/>
      <c r="KBF1" s="92"/>
      <c r="KBG1" s="92"/>
      <c r="KBH1" s="92"/>
      <c r="KBI1" s="92"/>
      <c r="KBJ1" s="92"/>
      <c r="KBK1" s="92"/>
      <c r="KBL1" s="92"/>
      <c r="KBM1" s="92"/>
      <c r="KBN1" s="92"/>
      <c r="KBO1" s="92"/>
      <c r="KBP1" s="92"/>
      <c r="KBQ1" s="92"/>
      <c r="KBR1" s="92"/>
      <c r="KBS1" s="92"/>
      <c r="KBT1" s="92"/>
      <c r="KBU1" s="92"/>
      <c r="KBV1" s="92"/>
      <c r="KBW1" s="92"/>
      <c r="KBX1" s="92"/>
      <c r="KBY1" s="92"/>
      <c r="KBZ1" s="92"/>
      <c r="KCA1" s="92"/>
      <c r="KCB1" s="92"/>
      <c r="KCC1" s="92"/>
      <c r="KCD1" s="92"/>
      <c r="KCE1" s="92"/>
      <c r="KCF1" s="92"/>
      <c r="KCG1" s="92"/>
      <c r="KCH1" s="92"/>
      <c r="KCI1" s="92"/>
      <c r="KCJ1" s="92"/>
      <c r="KCK1" s="92"/>
      <c r="KCL1" s="92"/>
      <c r="KCM1" s="92"/>
      <c r="KCN1" s="92"/>
      <c r="KCO1" s="92"/>
      <c r="KCP1" s="92"/>
      <c r="KCQ1" s="92"/>
      <c r="KCR1" s="92"/>
      <c r="KCS1" s="92"/>
      <c r="KCT1" s="92"/>
      <c r="KCU1" s="92"/>
      <c r="KCV1" s="92"/>
      <c r="KCW1" s="92"/>
      <c r="KCX1" s="92"/>
      <c r="KCY1" s="92"/>
      <c r="KCZ1" s="92"/>
      <c r="KDA1" s="92"/>
      <c r="KDB1" s="92"/>
      <c r="KDC1" s="92"/>
      <c r="KDD1" s="92"/>
      <c r="KDE1" s="92"/>
      <c r="KDF1" s="92"/>
      <c r="KDG1" s="92"/>
      <c r="KDH1" s="92"/>
      <c r="KDI1" s="92"/>
      <c r="KDJ1" s="92"/>
      <c r="KDK1" s="92"/>
      <c r="KDL1" s="92"/>
      <c r="KDM1" s="92"/>
      <c r="KDN1" s="92"/>
      <c r="KDO1" s="92"/>
      <c r="KDP1" s="92"/>
      <c r="KDQ1" s="92"/>
      <c r="KDR1" s="92"/>
      <c r="KDS1" s="92"/>
      <c r="KDT1" s="92"/>
      <c r="KDU1" s="92"/>
      <c r="KDV1" s="92"/>
      <c r="KDW1" s="92"/>
      <c r="KDX1" s="92"/>
      <c r="KDY1" s="92"/>
      <c r="KDZ1" s="92"/>
      <c r="KEA1" s="92"/>
      <c r="KEB1" s="92"/>
      <c r="KEC1" s="92"/>
      <c r="KED1" s="92"/>
      <c r="KEE1" s="92"/>
      <c r="KEF1" s="92"/>
      <c r="KEG1" s="92"/>
      <c r="KEH1" s="92"/>
      <c r="KEI1" s="92"/>
      <c r="KEJ1" s="92"/>
      <c r="KEK1" s="92"/>
      <c r="KEL1" s="92"/>
      <c r="KEM1" s="92"/>
      <c r="KEN1" s="92"/>
      <c r="KEO1" s="92"/>
      <c r="KEP1" s="92"/>
      <c r="KEQ1" s="92"/>
      <c r="KER1" s="92"/>
      <c r="KES1" s="92"/>
      <c r="KET1" s="92"/>
      <c r="KEU1" s="92"/>
      <c r="KEV1" s="92"/>
      <c r="KEW1" s="92"/>
      <c r="KEX1" s="92"/>
      <c r="KEY1" s="92"/>
      <c r="KEZ1" s="92"/>
      <c r="KFA1" s="92"/>
      <c r="KFB1" s="92"/>
      <c r="KFC1" s="92"/>
      <c r="KFD1" s="92"/>
      <c r="KFE1" s="92"/>
      <c r="KFF1" s="92"/>
      <c r="KFG1" s="92"/>
      <c r="KFH1" s="92"/>
      <c r="KFI1" s="92"/>
      <c r="KFJ1" s="92"/>
      <c r="KFK1" s="92"/>
      <c r="KFL1" s="92"/>
      <c r="KFM1" s="92"/>
      <c r="KFN1" s="92"/>
      <c r="KFO1" s="92"/>
      <c r="KFP1" s="92"/>
      <c r="KFQ1" s="92"/>
      <c r="KFR1" s="92"/>
      <c r="KFS1" s="92"/>
      <c r="KFT1" s="92"/>
      <c r="KFU1" s="92"/>
      <c r="KFV1" s="92"/>
      <c r="KFW1" s="92"/>
      <c r="KFX1" s="92"/>
      <c r="KFY1" s="92"/>
      <c r="KFZ1" s="92"/>
      <c r="KGA1" s="92"/>
      <c r="KGB1" s="92"/>
      <c r="KGC1" s="92"/>
      <c r="KGD1" s="92"/>
      <c r="KGE1" s="92"/>
      <c r="KGF1" s="92"/>
      <c r="KGG1" s="92"/>
      <c r="KGH1" s="92"/>
      <c r="KGI1" s="92"/>
      <c r="KGJ1" s="92"/>
      <c r="KGK1" s="92"/>
      <c r="KGL1" s="92"/>
      <c r="KGM1" s="92"/>
      <c r="KGN1" s="92"/>
      <c r="KGO1" s="92"/>
      <c r="KGP1" s="92"/>
      <c r="KGQ1" s="92"/>
      <c r="KGR1" s="92"/>
      <c r="KGS1" s="92"/>
      <c r="KGT1" s="92"/>
      <c r="KGU1" s="92"/>
      <c r="KGV1" s="92"/>
      <c r="KGW1" s="92"/>
      <c r="KGX1" s="92"/>
      <c r="KGY1" s="92"/>
      <c r="KGZ1" s="92"/>
      <c r="KHA1" s="92"/>
      <c r="KHB1" s="92"/>
      <c r="KHC1" s="92"/>
      <c r="KHD1" s="92"/>
      <c r="KHE1" s="92"/>
      <c r="KHF1" s="92"/>
      <c r="KHG1" s="92"/>
      <c r="KHH1" s="92"/>
      <c r="KHI1" s="92"/>
      <c r="KHJ1" s="92"/>
      <c r="KHK1" s="92"/>
      <c r="KHL1" s="92"/>
      <c r="KHM1" s="92"/>
      <c r="KHN1" s="92"/>
      <c r="KHO1" s="92"/>
      <c r="KHP1" s="92"/>
      <c r="KHQ1" s="92"/>
      <c r="KHR1" s="92"/>
      <c r="KHS1" s="92"/>
      <c r="KHT1" s="92"/>
      <c r="KHU1" s="92"/>
      <c r="KHV1" s="92"/>
      <c r="KHW1" s="92"/>
      <c r="KHX1" s="92"/>
      <c r="KHY1" s="92"/>
      <c r="KHZ1" s="92"/>
      <c r="KIA1" s="92"/>
      <c r="KIB1" s="92"/>
      <c r="KIC1" s="92"/>
      <c r="KID1" s="92"/>
      <c r="KIE1" s="92"/>
      <c r="KIF1" s="92"/>
      <c r="KIG1" s="92"/>
      <c r="KIH1" s="92"/>
      <c r="KII1" s="92"/>
      <c r="KIJ1" s="92"/>
      <c r="KIK1" s="92"/>
      <c r="KIL1" s="92"/>
      <c r="KIM1" s="92"/>
      <c r="KIN1" s="92"/>
      <c r="KIO1" s="92"/>
      <c r="KIP1" s="92"/>
      <c r="KIQ1" s="92"/>
      <c r="KIR1" s="92"/>
      <c r="KIS1" s="92"/>
      <c r="KIT1" s="92"/>
      <c r="KIU1" s="92"/>
      <c r="KIV1" s="92"/>
      <c r="KIW1" s="92"/>
      <c r="KIX1" s="92"/>
      <c r="KIY1" s="92"/>
      <c r="KIZ1" s="92"/>
      <c r="KJA1" s="92"/>
      <c r="KJB1" s="92"/>
      <c r="KJC1" s="92"/>
      <c r="KJD1" s="92"/>
      <c r="KJE1" s="92"/>
      <c r="KJF1" s="92"/>
      <c r="KJG1" s="92"/>
      <c r="KJH1" s="92"/>
      <c r="KJI1" s="92"/>
      <c r="KJJ1" s="92"/>
      <c r="KJK1" s="92"/>
      <c r="KJL1" s="92"/>
      <c r="KJM1" s="92"/>
      <c r="KJN1" s="92"/>
      <c r="KJO1" s="92"/>
      <c r="KJP1" s="92"/>
      <c r="KJQ1" s="92"/>
      <c r="KJR1" s="92"/>
      <c r="KJS1" s="92"/>
      <c r="KJT1" s="92"/>
      <c r="KJU1" s="92"/>
      <c r="KJV1" s="92"/>
      <c r="KJW1" s="92"/>
      <c r="KJX1" s="92"/>
      <c r="KJY1" s="92"/>
      <c r="KJZ1" s="92"/>
      <c r="KKA1" s="92"/>
      <c r="KKB1" s="92"/>
      <c r="KKC1" s="92"/>
      <c r="KKD1" s="92"/>
      <c r="KKE1" s="92"/>
      <c r="KKF1" s="92"/>
      <c r="KKG1" s="92"/>
      <c r="KKH1" s="92"/>
      <c r="KKI1" s="92"/>
      <c r="KKJ1" s="92"/>
      <c r="KKK1" s="92"/>
      <c r="KKL1" s="92"/>
      <c r="KKM1" s="92"/>
      <c r="KKN1" s="92"/>
      <c r="KKO1" s="92"/>
      <c r="KKP1" s="92"/>
      <c r="KKQ1" s="92"/>
      <c r="KKR1" s="92"/>
      <c r="KKS1" s="92"/>
      <c r="KKT1" s="92"/>
      <c r="KKU1" s="92"/>
      <c r="KKV1" s="92"/>
      <c r="KKW1" s="92"/>
      <c r="KKX1" s="92"/>
      <c r="KKY1" s="92"/>
      <c r="KKZ1" s="92"/>
      <c r="KLA1" s="92"/>
      <c r="KLB1" s="92"/>
      <c r="KLC1" s="92"/>
      <c r="KLD1" s="92"/>
      <c r="KLE1" s="92"/>
      <c r="KLF1" s="92"/>
      <c r="KLG1" s="92"/>
      <c r="KLH1" s="92"/>
      <c r="KLI1" s="92"/>
      <c r="KLJ1" s="92"/>
      <c r="KLK1" s="92"/>
      <c r="KLL1" s="92"/>
      <c r="KLM1" s="92"/>
      <c r="KLN1" s="92"/>
      <c r="KLO1" s="92"/>
      <c r="KLP1" s="92"/>
      <c r="KLQ1" s="92"/>
      <c r="KLR1" s="92"/>
      <c r="KLS1" s="92"/>
      <c r="KLT1" s="92"/>
      <c r="KLU1" s="92"/>
      <c r="KLV1" s="92"/>
      <c r="KLW1" s="92"/>
      <c r="KLX1" s="92"/>
      <c r="KLY1" s="92"/>
      <c r="KLZ1" s="92"/>
      <c r="KMA1" s="92"/>
      <c r="KMB1" s="92"/>
      <c r="KMC1" s="92"/>
      <c r="KMD1" s="92"/>
      <c r="KME1" s="92"/>
      <c r="KMF1" s="92"/>
      <c r="KMG1" s="92"/>
      <c r="KMH1" s="92"/>
      <c r="KMI1" s="92"/>
      <c r="KMJ1" s="92"/>
      <c r="KMK1" s="92"/>
      <c r="KML1" s="92"/>
      <c r="KMM1" s="92"/>
      <c r="KMN1" s="92"/>
      <c r="KMO1" s="92"/>
      <c r="KMP1" s="92"/>
      <c r="KMQ1" s="92"/>
      <c r="KMR1" s="92"/>
      <c r="KMS1" s="92"/>
      <c r="KMT1" s="92"/>
      <c r="KMU1" s="92"/>
      <c r="KMV1" s="92"/>
      <c r="KMW1" s="92"/>
      <c r="KMX1" s="92"/>
      <c r="KMY1" s="92"/>
      <c r="KMZ1" s="92"/>
      <c r="KNA1" s="92"/>
      <c r="KNB1" s="92"/>
      <c r="KNC1" s="92"/>
      <c r="KND1" s="92"/>
      <c r="KNE1" s="92"/>
      <c r="KNF1" s="92"/>
      <c r="KNG1" s="92"/>
      <c r="KNH1" s="92"/>
      <c r="KNI1" s="92"/>
      <c r="KNJ1" s="92"/>
      <c r="KNK1" s="92"/>
      <c r="KNL1" s="92"/>
      <c r="KNM1" s="92"/>
      <c r="KNN1" s="92"/>
      <c r="KNO1" s="92"/>
      <c r="KNP1" s="92"/>
      <c r="KNQ1" s="92"/>
      <c r="KNR1" s="92"/>
      <c r="KNS1" s="92"/>
      <c r="KNT1" s="92"/>
      <c r="KNU1" s="92"/>
      <c r="KNV1" s="92"/>
      <c r="KNW1" s="92"/>
      <c r="KNX1" s="92"/>
      <c r="KNY1" s="92"/>
      <c r="KNZ1" s="92"/>
      <c r="KOA1" s="92"/>
      <c r="KOB1" s="92"/>
      <c r="KOC1" s="92"/>
      <c r="KOD1" s="92"/>
      <c r="KOE1" s="92"/>
      <c r="KOF1" s="92"/>
      <c r="KOG1" s="92"/>
      <c r="KOH1" s="92"/>
      <c r="KOI1" s="92"/>
      <c r="KOJ1" s="92"/>
      <c r="KOK1" s="92"/>
      <c r="KOL1" s="92"/>
      <c r="KOM1" s="92"/>
      <c r="KON1" s="92"/>
      <c r="KOO1" s="92"/>
      <c r="KOP1" s="92"/>
      <c r="KOQ1" s="92"/>
      <c r="KOR1" s="92"/>
      <c r="KOS1" s="92"/>
      <c r="KOT1" s="92"/>
      <c r="KOU1" s="92"/>
      <c r="KOV1" s="92"/>
      <c r="KOW1" s="92"/>
      <c r="KOX1" s="92"/>
      <c r="KOY1" s="92"/>
      <c r="KOZ1" s="92"/>
      <c r="KPA1" s="92"/>
      <c r="KPB1" s="92"/>
      <c r="KPC1" s="92"/>
      <c r="KPD1" s="92"/>
      <c r="KPE1" s="92"/>
      <c r="KPF1" s="92"/>
      <c r="KPG1" s="92"/>
      <c r="KPH1" s="92"/>
      <c r="KPI1" s="92"/>
      <c r="KPJ1" s="92"/>
      <c r="KPK1" s="92"/>
      <c r="KPL1" s="92"/>
      <c r="KPM1" s="92"/>
      <c r="KPN1" s="92"/>
      <c r="KPO1" s="92"/>
      <c r="KPP1" s="92"/>
      <c r="KPQ1" s="92"/>
      <c r="KPR1" s="92"/>
      <c r="KPS1" s="92"/>
      <c r="KPT1" s="92"/>
      <c r="KPU1" s="92"/>
      <c r="KPV1" s="92"/>
      <c r="KPW1" s="92"/>
      <c r="KPX1" s="92"/>
      <c r="KPY1" s="92"/>
      <c r="KPZ1" s="92"/>
      <c r="KQA1" s="92"/>
      <c r="KQB1" s="92"/>
      <c r="KQC1" s="92"/>
      <c r="KQD1" s="92"/>
      <c r="KQE1" s="92"/>
      <c r="KQF1" s="92"/>
      <c r="KQG1" s="92"/>
      <c r="KQH1" s="92"/>
      <c r="KQI1" s="92"/>
      <c r="KQJ1" s="92"/>
      <c r="KQK1" s="92"/>
      <c r="KQL1" s="92"/>
      <c r="KQM1" s="92"/>
      <c r="KQN1" s="92"/>
      <c r="KQO1" s="92"/>
      <c r="KQP1" s="92"/>
      <c r="KQQ1" s="92"/>
      <c r="KQR1" s="92"/>
      <c r="KQS1" s="92"/>
      <c r="KQT1" s="92"/>
      <c r="KQU1" s="92"/>
      <c r="KQV1" s="92"/>
      <c r="KQW1" s="92"/>
      <c r="KQX1" s="92"/>
      <c r="KQY1" s="92"/>
      <c r="KQZ1" s="92"/>
      <c r="KRA1" s="92"/>
      <c r="KRB1" s="92"/>
      <c r="KRC1" s="92"/>
      <c r="KRD1" s="92"/>
      <c r="KRE1" s="92"/>
      <c r="KRF1" s="92"/>
      <c r="KRG1" s="92"/>
      <c r="KRH1" s="92"/>
      <c r="KRI1" s="92"/>
      <c r="KRJ1" s="92"/>
      <c r="KRK1" s="92"/>
      <c r="KRL1" s="92"/>
      <c r="KRM1" s="92"/>
      <c r="KRN1" s="92"/>
      <c r="KRO1" s="92"/>
      <c r="KRP1" s="92"/>
      <c r="KRQ1" s="92"/>
      <c r="KRR1" s="92"/>
      <c r="KRS1" s="92"/>
      <c r="KRT1" s="92"/>
      <c r="KRU1" s="92"/>
      <c r="KRV1" s="92"/>
      <c r="KRW1" s="92"/>
      <c r="KRX1" s="92"/>
      <c r="KRY1" s="92"/>
      <c r="KRZ1" s="92"/>
      <c r="KSA1" s="92"/>
      <c r="KSB1" s="92"/>
      <c r="KSC1" s="92"/>
      <c r="KSD1" s="92"/>
      <c r="KSE1" s="92"/>
      <c r="KSF1" s="92"/>
      <c r="KSG1" s="92"/>
      <c r="KSH1" s="92"/>
      <c r="KSI1" s="92"/>
      <c r="KSJ1" s="92"/>
      <c r="KSK1" s="92"/>
      <c r="KSL1" s="92"/>
      <c r="KSM1" s="92"/>
      <c r="KSN1" s="92"/>
      <c r="KSO1" s="92"/>
      <c r="KSP1" s="92"/>
      <c r="KSQ1" s="92"/>
      <c r="KSR1" s="92"/>
      <c r="KSS1" s="92"/>
      <c r="KST1" s="92"/>
      <c r="KSU1" s="92"/>
      <c r="KSV1" s="92"/>
      <c r="KSW1" s="92"/>
      <c r="KSX1" s="92"/>
      <c r="KSY1" s="92"/>
      <c r="KSZ1" s="92"/>
      <c r="KTA1" s="92"/>
      <c r="KTB1" s="92"/>
      <c r="KTC1" s="92"/>
      <c r="KTD1" s="92"/>
      <c r="KTE1" s="92"/>
      <c r="KTF1" s="92"/>
      <c r="KTG1" s="92"/>
      <c r="KTH1" s="92"/>
      <c r="KTI1" s="92"/>
      <c r="KTJ1" s="92"/>
      <c r="KTK1" s="92"/>
      <c r="KTL1" s="92"/>
      <c r="KTM1" s="92"/>
      <c r="KTN1" s="92"/>
      <c r="KTO1" s="92"/>
      <c r="KTP1" s="92"/>
      <c r="KTQ1" s="92"/>
      <c r="KTR1" s="92"/>
      <c r="KTS1" s="92"/>
      <c r="KTT1" s="92"/>
      <c r="KTU1" s="92"/>
      <c r="KTV1" s="92"/>
      <c r="KTW1" s="92"/>
      <c r="KTX1" s="92"/>
      <c r="KTY1" s="92"/>
      <c r="KTZ1" s="92"/>
      <c r="KUA1" s="92"/>
      <c r="KUB1" s="92"/>
      <c r="KUC1" s="92"/>
      <c r="KUD1" s="92"/>
      <c r="KUE1" s="92"/>
      <c r="KUF1" s="92"/>
      <c r="KUG1" s="92"/>
      <c r="KUH1" s="92"/>
      <c r="KUI1" s="92"/>
      <c r="KUJ1" s="92"/>
      <c r="KUK1" s="92"/>
      <c r="KUL1" s="92"/>
      <c r="KUM1" s="92"/>
      <c r="KUN1" s="92"/>
      <c r="KUO1" s="92"/>
      <c r="KUP1" s="92"/>
      <c r="KUQ1" s="92"/>
      <c r="KUR1" s="92"/>
      <c r="KUS1" s="92"/>
      <c r="KUT1" s="92"/>
      <c r="KUU1" s="92"/>
      <c r="KUV1" s="92"/>
      <c r="KUW1" s="92"/>
      <c r="KUX1" s="92"/>
      <c r="KUY1" s="92"/>
      <c r="KUZ1" s="92"/>
      <c r="KVA1" s="92"/>
      <c r="KVB1" s="92"/>
      <c r="KVC1" s="92"/>
      <c r="KVD1" s="92"/>
      <c r="KVE1" s="92"/>
      <c r="KVF1" s="92"/>
      <c r="KVG1" s="92"/>
      <c r="KVH1" s="92"/>
      <c r="KVI1" s="92"/>
      <c r="KVJ1" s="92"/>
      <c r="KVK1" s="92"/>
      <c r="KVL1" s="92"/>
      <c r="KVM1" s="92"/>
      <c r="KVN1" s="92"/>
      <c r="KVO1" s="92"/>
      <c r="KVP1" s="92"/>
      <c r="KVQ1" s="92"/>
      <c r="KVR1" s="92"/>
      <c r="KVS1" s="92"/>
      <c r="KVT1" s="92"/>
      <c r="KVU1" s="92"/>
      <c r="KVV1" s="92"/>
      <c r="KVW1" s="92"/>
      <c r="KVX1" s="92"/>
      <c r="KVY1" s="92"/>
      <c r="KVZ1" s="92"/>
      <c r="KWA1" s="92"/>
      <c r="KWB1" s="92"/>
      <c r="KWC1" s="92"/>
      <c r="KWD1" s="92"/>
      <c r="KWE1" s="92"/>
      <c r="KWF1" s="92"/>
      <c r="KWG1" s="92"/>
      <c r="KWH1" s="92"/>
      <c r="KWI1" s="92"/>
      <c r="KWJ1" s="92"/>
      <c r="KWK1" s="92"/>
      <c r="KWL1" s="92"/>
      <c r="KWM1" s="92"/>
      <c r="KWN1" s="92"/>
      <c r="KWO1" s="92"/>
      <c r="KWP1" s="92"/>
      <c r="KWQ1" s="92"/>
      <c r="KWR1" s="92"/>
      <c r="KWS1" s="92"/>
      <c r="KWT1" s="92"/>
      <c r="KWU1" s="92"/>
      <c r="KWV1" s="92"/>
      <c r="KWW1" s="92"/>
      <c r="KWX1" s="92"/>
      <c r="KWY1" s="92"/>
      <c r="KWZ1" s="92"/>
      <c r="KXA1" s="92"/>
      <c r="KXB1" s="92"/>
      <c r="KXC1" s="92"/>
      <c r="KXD1" s="92"/>
      <c r="KXE1" s="92"/>
      <c r="KXF1" s="92"/>
      <c r="KXG1" s="92"/>
      <c r="KXH1" s="92"/>
      <c r="KXI1" s="92"/>
      <c r="KXJ1" s="92"/>
      <c r="KXK1" s="92"/>
      <c r="KXL1" s="92"/>
      <c r="KXM1" s="92"/>
      <c r="KXN1" s="92"/>
      <c r="KXO1" s="92"/>
      <c r="KXP1" s="92"/>
      <c r="KXQ1" s="92"/>
      <c r="KXR1" s="92"/>
      <c r="KXS1" s="92"/>
      <c r="KXT1" s="92"/>
      <c r="KXU1" s="92"/>
      <c r="KXV1" s="92"/>
      <c r="KXW1" s="92"/>
      <c r="KXX1" s="92"/>
      <c r="KXY1" s="92"/>
      <c r="KXZ1" s="92"/>
      <c r="KYA1" s="92"/>
      <c r="KYB1" s="92"/>
      <c r="KYC1" s="92"/>
      <c r="KYD1" s="92"/>
      <c r="KYE1" s="92"/>
      <c r="KYF1" s="92"/>
      <c r="KYG1" s="92"/>
      <c r="KYH1" s="92"/>
      <c r="KYI1" s="92"/>
      <c r="KYJ1" s="92"/>
      <c r="KYK1" s="92"/>
      <c r="KYL1" s="92"/>
      <c r="KYM1" s="92"/>
      <c r="KYN1" s="92"/>
      <c r="KYO1" s="92"/>
      <c r="KYP1" s="92"/>
      <c r="KYQ1" s="92"/>
      <c r="KYR1" s="92"/>
      <c r="KYS1" s="92"/>
      <c r="KYT1" s="92"/>
      <c r="KYU1" s="92"/>
      <c r="KYV1" s="92"/>
      <c r="KYW1" s="92"/>
      <c r="KYX1" s="92"/>
      <c r="KYY1" s="92"/>
      <c r="KYZ1" s="92"/>
      <c r="KZA1" s="92"/>
      <c r="KZB1" s="92"/>
      <c r="KZC1" s="92"/>
      <c r="KZD1" s="92"/>
      <c r="KZE1" s="92"/>
      <c r="KZF1" s="92"/>
      <c r="KZG1" s="92"/>
      <c r="KZH1" s="92"/>
      <c r="KZI1" s="92"/>
      <c r="KZJ1" s="92"/>
      <c r="KZK1" s="92"/>
      <c r="KZL1" s="92"/>
      <c r="KZM1" s="92"/>
      <c r="KZN1" s="92"/>
      <c r="KZO1" s="92"/>
      <c r="KZP1" s="92"/>
      <c r="KZQ1" s="92"/>
      <c r="KZR1" s="92"/>
      <c r="KZS1" s="92"/>
      <c r="KZT1" s="92"/>
      <c r="KZU1" s="92"/>
      <c r="KZV1" s="92"/>
      <c r="KZW1" s="92"/>
      <c r="KZX1" s="92"/>
      <c r="KZY1" s="92"/>
      <c r="KZZ1" s="92"/>
      <c r="LAA1" s="92"/>
      <c r="LAB1" s="92"/>
      <c r="LAC1" s="92"/>
      <c r="LAD1" s="92"/>
      <c r="LAE1" s="92"/>
      <c r="LAF1" s="92"/>
      <c r="LAG1" s="92"/>
      <c r="LAH1" s="92"/>
      <c r="LAI1" s="92"/>
      <c r="LAJ1" s="92"/>
      <c r="LAK1" s="92"/>
      <c r="LAL1" s="92"/>
      <c r="LAM1" s="92"/>
      <c r="LAN1" s="92"/>
      <c r="LAO1" s="92"/>
      <c r="LAP1" s="92"/>
      <c r="LAQ1" s="92"/>
      <c r="LAR1" s="92"/>
      <c r="LAS1" s="92"/>
      <c r="LAT1" s="92"/>
      <c r="LAU1" s="92"/>
      <c r="LAV1" s="92"/>
      <c r="LAW1" s="92"/>
      <c r="LAX1" s="92"/>
      <c r="LAY1" s="92"/>
      <c r="LAZ1" s="92"/>
      <c r="LBA1" s="92"/>
      <c r="LBB1" s="92"/>
      <c r="LBC1" s="92"/>
      <c r="LBD1" s="92"/>
      <c r="LBE1" s="92"/>
      <c r="LBF1" s="92"/>
      <c r="LBG1" s="92"/>
      <c r="LBH1" s="92"/>
      <c r="LBI1" s="92"/>
      <c r="LBJ1" s="92"/>
      <c r="LBK1" s="92"/>
      <c r="LBL1" s="92"/>
      <c r="LBM1" s="92"/>
      <c r="LBN1" s="92"/>
      <c r="LBO1" s="92"/>
      <c r="LBP1" s="92"/>
      <c r="LBQ1" s="92"/>
      <c r="LBR1" s="92"/>
      <c r="LBS1" s="92"/>
      <c r="LBT1" s="92"/>
      <c r="LBU1" s="92"/>
      <c r="LBV1" s="92"/>
      <c r="LBW1" s="92"/>
      <c r="LBX1" s="92"/>
      <c r="LBY1" s="92"/>
      <c r="LBZ1" s="92"/>
      <c r="LCA1" s="92"/>
      <c r="LCB1" s="92"/>
      <c r="LCC1" s="92"/>
      <c r="LCD1" s="92"/>
      <c r="LCE1" s="92"/>
      <c r="LCF1" s="92"/>
      <c r="LCG1" s="92"/>
      <c r="LCH1" s="92"/>
      <c r="LCI1" s="92"/>
      <c r="LCJ1" s="92"/>
      <c r="LCK1" s="92"/>
      <c r="LCL1" s="92"/>
      <c r="LCM1" s="92"/>
      <c r="LCN1" s="92"/>
      <c r="LCO1" s="92"/>
      <c r="LCP1" s="92"/>
      <c r="LCQ1" s="92"/>
      <c r="LCR1" s="92"/>
      <c r="LCS1" s="92"/>
      <c r="LCT1" s="92"/>
      <c r="LCU1" s="92"/>
      <c r="LCV1" s="92"/>
      <c r="LCW1" s="92"/>
      <c r="LCX1" s="92"/>
      <c r="LCY1" s="92"/>
      <c r="LCZ1" s="92"/>
      <c r="LDA1" s="92"/>
      <c r="LDB1" s="92"/>
      <c r="LDC1" s="92"/>
      <c r="LDD1" s="92"/>
      <c r="LDE1" s="92"/>
      <c r="LDF1" s="92"/>
      <c r="LDG1" s="92"/>
      <c r="LDH1" s="92"/>
      <c r="LDI1" s="92"/>
      <c r="LDJ1" s="92"/>
      <c r="LDK1" s="92"/>
      <c r="LDL1" s="92"/>
      <c r="LDM1" s="92"/>
      <c r="LDN1" s="92"/>
      <c r="LDO1" s="92"/>
      <c r="LDP1" s="92"/>
      <c r="LDQ1" s="92"/>
      <c r="LDR1" s="92"/>
      <c r="LDS1" s="92"/>
      <c r="LDT1" s="92"/>
      <c r="LDU1" s="92"/>
      <c r="LDV1" s="92"/>
      <c r="LDW1" s="92"/>
      <c r="LDX1" s="92"/>
      <c r="LDY1" s="92"/>
      <c r="LDZ1" s="92"/>
      <c r="LEA1" s="92"/>
      <c r="LEB1" s="92"/>
      <c r="LEC1" s="92"/>
      <c r="LED1" s="92"/>
      <c r="LEE1" s="92"/>
      <c r="LEF1" s="92"/>
      <c r="LEG1" s="92"/>
      <c r="LEH1" s="92"/>
      <c r="LEI1" s="92"/>
      <c r="LEJ1" s="92"/>
      <c r="LEK1" s="92"/>
      <c r="LEL1" s="92"/>
      <c r="LEM1" s="92"/>
      <c r="LEN1" s="92"/>
      <c r="LEO1" s="92"/>
      <c r="LEP1" s="92"/>
      <c r="LEQ1" s="92"/>
      <c r="LER1" s="92"/>
      <c r="LES1" s="92"/>
      <c r="LET1" s="92"/>
      <c r="LEU1" s="92"/>
      <c r="LEV1" s="92"/>
      <c r="LEW1" s="92"/>
      <c r="LEX1" s="92"/>
      <c r="LEY1" s="92"/>
      <c r="LEZ1" s="92"/>
      <c r="LFA1" s="92"/>
      <c r="LFB1" s="92"/>
      <c r="LFC1" s="92"/>
      <c r="LFD1" s="92"/>
      <c r="LFE1" s="92"/>
      <c r="LFF1" s="92"/>
      <c r="LFG1" s="92"/>
      <c r="LFH1" s="92"/>
      <c r="LFI1" s="92"/>
      <c r="LFJ1" s="92"/>
      <c r="LFK1" s="92"/>
      <c r="LFL1" s="92"/>
      <c r="LFM1" s="92"/>
      <c r="LFN1" s="92"/>
      <c r="LFO1" s="92"/>
      <c r="LFP1" s="92"/>
      <c r="LFQ1" s="92"/>
      <c r="LFR1" s="92"/>
      <c r="LFS1" s="92"/>
      <c r="LFT1" s="92"/>
      <c r="LFU1" s="92"/>
      <c r="LFV1" s="92"/>
      <c r="LFW1" s="92"/>
      <c r="LFX1" s="92"/>
      <c r="LFY1" s="92"/>
      <c r="LFZ1" s="92"/>
      <c r="LGA1" s="92"/>
      <c r="LGB1" s="92"/>
      <c r="LGC1" s="92"/>
      <c r="LGD1" s="92"/>
      <c r="LGE1" s="92"/>
      <c r="LGF1" s="92"/>
      <c r="LGG1" s="92"/>
      <c r="LGH1" s="92"/>
      <c r="LGI1" s="92"/>
      <c r="LGJ1" s="92"/>
      <c r="LGK1" s="92"/>
      <c r="LGL1" s="92"/>
      <c r="LGM1" s="92"/>
      <c r="LGN1" s="92"/>
      <c r="LGO1" s="92"/>
      <c r="LGP1" s="92"/>
      <c r="LGQ1" s="92"/>
      <c r="LGR1" s="92"/>
      <c r="LGS1" s="92"/>
      <c r="LGT1" s="92"/>
      <c r="LGU1" s="92"/>
      <c r="LGV1" s="92"/>
      <c r="LGW1" s="92"/>
      <c r="LGX1" s="92"/>
      <c r="LGY1" s="92"/>
      <c r="LGZ1" s="92"/>
      <c r="LHA1" s="92"/>
      <c r="LHB1" s="92"/>
      <c r="LHC1" s="92"/>
      <c r="LHD1" s="92"/>
      <c r="LHE1" s="92"/>
      <c r="LHF1" s="92"/>
      <c r="LHG1" s="92"/>
      <c r="LHH1" s="92"/>
      <c r="LHI1" s="92"/>
      <c r="LHJ1" s="92"/>
      <c r="LHK1" s="92"/>
      <c r="LHL1" s="92"/>
      <c r="LHM1" s="92"/>
      <c r="LHN1" s="92"/>
      <c r="LHO1" s="92"/>
      <c r="LHP1" s="92"/>
      <c r="LHQ1" s="92"/>
      <c r="LHR1" s="92"/>
      <c r="LHS1" s="92"/>
      <c r="LHT1" s="92"/>
      <c r="LHU1" s="92"/>
      <c r="LHV1" s="92"/>
      <c r="LHW1" s="92"/>
      <c r="LHX1" s="92"/>
      <c r="LHY1" s="92"/>
      <c r="LHZ1" s="92"/>
      <c r="LIA1" s="92"/>
      <c r="LIB1" s="92"/>
      <c r="LIC1" s="92"/>
      <c r="LID1" s="92"/>
      <c r="LIE1" s="92"/>
      <c r="LIF1" s="92"/>
      <c r="LIG1" s="92"/>
      <c r="LIH1" s="92"/>
      <c r="LII1" s="92"/>
      <c r="LIJ1" s="92"/>
      <c r="LIK1" s="92"/>
      <c r="LIL1" s="92"/>
      <c r="LIM1" s="92"/>
      <c r="LIN1" s="92"/>
      <c r="LIO1" s="92"/>
      <c r="LIP1" s="92"/>
      <c r="LIQ1" s="92"/>
      <c r="LIR1" s="92"/>
      <c r="LIS1" s="92"/>
      <c r="LIT1" s="92"/>
      <c r="LIU1" s="92"/>
      <c r="LIV1" s="92"/>
      <c r="LIW1" s="92"/>
      <c r="LIX1" s="92"/>
      <c r="LIY1" s="92"/>
      <c r="LIZ1" s="92"/>
      <c r="LJA1" s="92"/>
      <c r="LJB1" s="92"/>
      <c r="LJC1" s="92"/>
      <c r="LJD1" s="92"/>
      <c r="LJE1" s="92"/>
      <c r="LJF1" s="92"/>
      <c r="LJG1" s="92"/>
      <c r="LJH1" s="92"/>
      <c r="LJI1" s="92"/>
      <c r="LJJ1" s="92"/>
      <c r="LJK1" s="92"/>
      <c r="LJL1" s="92"/>
      <c r="LJM1" s="92"/>
      <c r="LJN1" s="92"/>
      <c r="LJO1" s="92"/>
      <c r="LJP1" s="92"/>
      <c r="LJQ1" s="92"/>
      <c r="LJR1" s="92"/>
      <c r="LJS1" s="92"/>
      <c r="LJT1" s="92"/>
      <c r="LJU1" s="92"/>
      <c r="LJV1" s="92"/>
      <c r="LJW1" s="92"/>
      <c r="LJX1" s="92"/>
      <c r="LJY1" s="92"/>
      <c r="LJZ1" s="92"/>
      <c r="LKA1" s="92"/>
      <c r="LKB1" s="92"/>
      <c r="LKC1" s="92"/>
      <c r="LKD1" s="92"/>
      <c r="LKE1" s="92"/>
      <c r="LKF1" s="92"/>
      <c r="LKG1" s="92"/>
      <c r="LKH1" s="92"/>
      <c r="LKI1" s="92"/>
      <c r="LKJ1" s="92"/>
      <c r="LKK1" s="92"/>
      <c r="LKL1" s="92"/>
      <c r="LKM1" s="92"/>
      <c r="LKN1" s="92"/>
      <c r="LKO1" s="92"/>
      <c r="LKP1" s="92"/>
      <c r="LKQ1" s="92"/>
      <c r="LKR1" s="92"/>
      <c r="LKS1" s="92"/>
      <c r="LKT1" s="92"/>
      <c r="LKU1" s="92"/>
      <c r="LKV1" s="92"/>
      <c r="LKW1" s="92"/>
      <c r="LKX1" s="92"/>
      <c r="LKY1" s="92"/>
      <c r="LKZ1" s="92"/>
      <c r="LLA1" s="92"/>
      <c r="LLB1" s="92"/>
      <c r="LLC1" s="92"/>
      <c r="LLD1" s="92"/>
      <c r="LLE1" s="92"/>
      <c r="LLF1" s="92"/>
      <c r="LLG1" s="92"/>
      <c r="LLH1" s="92"/>
      <c r="LLI1" s="92"/>
      <c r="LLJ1" s="92"/>
      <c r="LLK1" s="92"/>
      <c r="LLL1" s="92"/>
      <c r="LLM1" s="92"/>
      <c r="LLN1" s="92"/>
      <c r="LLO1" s="92"/>
      <c r="LLP1" s="92"/>
      <c r="LLQ1" s="92"/>
      <c r="LLR1" s="92"/>
      <c r="LLS1" s="92"/>
      <c r="LLT1" s="92"/>
      <c r="LLU1" s="92"/>
      <c r="LLV1" s="92"/>
      <c r="LLW1" s="92"/>
      <c r="LLX1" s="92"/>
      <c r="LLY1" s="92"/>
      <c r="LLZ1" s="92"/>
      <c r="LMA1" s="92"/>
      <c r="LMB1" s="92"/>
      <c r="LMC1" s="92"/>
      <c r="LMD1" s="92"/>
      <c r="LME1" s="92"/>
      <c r="LMF1" s="92"/>
      <c r="LMG1" s="92"/>
      <c r="LMH1" s="92"/>
      <c r="LMI1" s="92"/>
      <c r="LMJ1" s="92"/>
      <c r="LMK1" s="92"/>
      <c r="LML1" s="92"/>
      <c r="LMM1" s="92"/>
      <c r="LMN1" s="92"/>
      <c r="LMO1" s="92"/>
      <c r="LMP1" s="92"/>
      <c r="LMQ1" s="92"/>
      <c r="LMR1" s="92"/>
      <c r="LMS1" s="92"/>
      <c r="LMT1" s="92"/>
      <c r="LMU1" s="92"/>
      <c r="LMV1" s="92"/>
      <c r="LMW1" s="92"/>
      <c r="LMX1" s="92"/>
      <c r="LMY1" s="92"/>
      <c r="LMZ1" s="92"/>
      <c r="LNA1" s="92"/>
      <c r="LNB1" s="92"/>
      <c r="LNC1" s="92"/>
      <c r="LND1" s="92"/>
      <c r="LNE1" s="92"/>
      <c r="LNF1" s="92"/>
      <c r="LNG1" s="92"/>
      <c r="LNH1" s="92"/>
      <c r="LNI1" s="92"/>
      <c r="LNJ1" s="92"/>
      <c r="LNK1" s="92"/>
      <c r="LNL1" s="92"/>
      <c r="LNM1" s="92"/>
      <c r="LNN1" s="92"/>
      <c r="LNO1" s="92"/>
      <c r="LNP1" s="92"/>
      <c r="LNQ1" s="92"/>
      <c r="LNR1" s="92"/>
      <c r="LNS1" s="92"/>
      <c r="LNT1" s="92"/>
      <c r="LNU1" s="92"/>
      <c r="LNV1" s="92"/>
      <c r="LNW1" s="92"/>
      <c r="LNX1" s="92"/>
      <c r="LNY1" s="92"/>
      <c r="LNZ1" s="92"/>
      <c r="LOA1" s="92"/>
      <c r="LOB1" s="92"/>
      <c r="LOC1" s="92"/>
      <c r="LOD1" s="92"/>
      <c r="LOE1" s="92"/>
      <c r="LOF1" s="92"/>
      <c r="LOG1" s="92"/>
      <c r="LOH1" s="92"/>
      <c r="LOI1" s="92"/>
      <c r="LOJ1" s="92"/>
      <c r="LOK1" s="92"/>
      <c r="LOL1" s="92"/>
      <c r="LOM1" s="92"/>
      <c r="LON1" s="92"/>
      <c r="LOO1" s="92"/>
      <c r="LOP1" s="92"/>
      <c r="LOQ1" s="92"/>
      <c r="LOR1" s="92"/>
      <c r="LOS1" s="92"/>
      <c r="LOT1" s="92"/>
      <c r="LOU1" s="92"/>
      <c r="LOV1" s="92"/>
      <c r="LOW1" s="92"/>
      <c r="LOX1" s="92"/>
      <c r="LOY1" s="92"/>
      <c r="LOZ1" s="92"/>
      <c r="LPA1" s="92"/>
      <c r="LPB1" s="92"/>
      <c r="LPC1" s="92"/>
      <c r="LPD1" s="92"/>
      <c r="LPE1" s="92"/>
      <c r="LPF1" s="92"/>
      <c r="LPG1" s="92"/>
      <c r="LPH1" s="92"/>
      <c r="LPI1" s="92"/>
      <c r="LPJ1" s="92"/>
      <c r="LPK1" s="92"/>
      <c r="LPL1" s="92"/>
      <c r="LPM1" s="92"/>
      <c r="LPN1" s="92"/>
      <c r="LPO1" s="92"/>
      <c r="LPP1" s="92"/>
      <c r="LPQ1" s="92"/>
      <c r="LPR1" s="92"/>
      <c r="LPS1" s="92"/>
      <c r="LPT1" s="92"/>
      <c r="LPU1" s="92"/>
      <c r="LPV1" s="92"/>
      <c r="LPW1" s="92"/>
      <c r="LPX1" s="92"/>
      <c r="LPY1" s="92"/>
      <c r="LPZ1" s="92"/>
      <c r="LQA1" s="92"/>
      <c r="LQB1" s="92"/>
      <c r="LQC1" s="92"/>
      <c r="LQD1" s="92"/>
      <c r="LQE1" s="92"/>
      <c r="LQF1" s="92"/>
      <c r="LQG1" s="92"/>
      <c r="LQH1" s="92"/>
      <c r="LQI1" s="92"/>
      <c r="LQJ1" s="92"/>
      <c r="LQK1" s="92"/>
      <c r="LQL1" s="92"/>
      <c r="LQM1" s="92"/>
      <c r="LQN1" s="92"/>
      <c r="LQO1" s="92"/>
      <c r="LQP1" s="92"/>
      <c r="LQQ1" s="92"/>
      <c r="LQR1" s="92"/>
      <c r="LQS1" s="92"/>
      <c r="LQT1" s="92"/>
      <c r="LQU1" s="92"/>
      <c r="LQV1" s="92"/>
      <c r="LQW1" s="92"/>
      <c r="LQX1" s="92"/>
      <c r="LQY1" s="92"/>
      <c r="LQZ1" s="92"/>
      <c r="LRA1" s="92"/>
      <c r="LRB1" s="92"/>
      <c r="LRC1" s="92"/>
      <c r="LRD1" s="92"/>
      <c r="LRE1" s="92"/>
      <c r="LRF1" s="92"/>
      <c r="LRG1" s="92"/>
      <c r="LRH1" s="92"/>
      <c r="LRI1" s="92"/>
      <c r="LRJ1" s="92"/>
      <c r="LRK1" s="92"/>
      <c r="LRL1" s="92"/>
      <c r="LRM1" s="92"/>
      <c r="LRN1" s="92"/>
      <c r="LRO1" s="92"/>
      <c r="LRP1" s="92"/>
      <c r="LRQ1" s="92"/>
      <c r="LRR1" s="92"/>
      <c r="LRS1" s="92"/>
      <c r="LRT1" s="92"/>
      <c r="LRU1" s="92"/>
      <c r="LRV1" s="92"/>
      <c r="LRW1" s="92"/>
      <c r="LRX1" s="92"/>
      <c r="LRY1" s="92"/>
      <c r="LRZ1" s="92"/>
      <c r="LSA1" s="92"/>
      <c r="LSB1" s="92"/>
      <c r="LSC1" s="92"/>
      <c r="LSD1" s="92"/>
      <c r="LSE1" s="92"/>
      <c r="LSF1" s="92"/>
      <c r="LSG1" s="92"/>
      <c r="LSH1" s="92"/>
      <c r="LSI1" s="92"/>
      <c r="LSJ1" s="92"/>
      <c r="LSK1" s="92"/>
      <c r="LSL1" s="92"/>
      <c r="LSM1" s="92"/>
      <c r="LSN1" s="92"/>
      <c r="LSO1" s="92"/>
      <c r="LSP1" s="92"/>
      <c r="LSQ1" s="92"/>
      <c r="LSR1" s="92"/>
      <c r="LSS1" s="92"/>
      <c r="LST1" s="92"/>
      <c r="LSU1" s="92"/>
      <c r="LSV1" s="92"/>
      <c r="LSW1" s="92"/>
      <c r="LSX1" s="92"/>
      <c r="LSY1" s="92"/>
      <c r="LSZ1" s="92"/>
      <c r="LTA1" s="92"/>
      <c r="LTB1" s="92"/>
      <c r="LTC1" s="92"/>
      <c r="LTD1" s="92"/>
      <c r="LTE1" s="92"/>
      <c r="LTF1" s="92"/>
      <c r="LTG1" s="92"/>
      <c r="LTH1" s="92"/>
      <c r="LTI1" s="92"/>
      <c r="LTJ1" s="92"/>
      <c r="LTK1" s="92"/>
      <c r="LTL1" s="92"/>
      <c r="LTM1" s="92"/>
      <c r="LTN1" s="92"/>
      <c r="LTO1" s="92"/>
      <c r="LTP1" s="92"/>
      <c r="LTQ1" s="92"/>
      <c r="LTR1" s="92"/>
      <c r="LTS1" s="92"/>
      <c r="LTT1" s="92"/>
      <c r="LTU1" s="92"/>
      <c r="LTV1" s="92"/>
      <c r="LTW1" s="92"/>
      <c r="LTX1" s="92"/>
      <c r="LTY1" s="92"/>
      <c r="LTZ1" s="92"/>
      <c r="LUA1" s="92"/>
      <c r="LUB1" s="92"/>
      <c r="LUC1" s="92"/>
      <c r="LUD1" s="92"/>
      <c r="LUE1" s="92"/>
      <c r="LUF1" s="92"/>
      <c r="LUG1" s="92"/>
      <c r="LUH1" s="92"/>
      <c r="LUI1" s="92"/>
      <c r="LUJ1" s="92"/>
      <c r="LUK1" s="92"/>
      <c r="LUL1" s="92"/>
      <c r="LUM1" s="92"/>
      <c r="LUN1" s="92"/>
      <c r="LUO1" s="92"/>
      <c r="LUP1" s="92"/>
      <c r="LUQ1" s="92"/>
      <c r="LUR1" s="92"/>
      <c r="LUS1" s="92"/>
      <c r="LUT1" s="92"/>
      <c r="LUU1" s="92"/>
      <c r="LUV1" s="92"/>
      <c r="LUW1" s="92"/>
      <c r="LUX1" s="92"/>
      <c r="LUY1" s="92"/>
      <c r="LUZ1" s="92"/>
      <c r="LVA1" s="92"/>
      <c r="LVB1" s="92"/>
      <c r="LVC1" s="92"/>
      <c r="LVD1" s="92"/>
      <c r="LVE1" s="92"/>
      <c r="LVF1" s="92"/>
      <c r="LVG1" s="92"/>
      <c r="LVH1" s="92"/>
      <c r="LVI1" s="92"/>
      <c r="LVJ1" s="92"/>
      <c r="LVK1" s="92"/>
      <c r="LVL1" s="92"/>
      <c r="LVM1" s="92"/>
      <c r="LVN1" s="92"/>
      <c r="LVO1" s="92"/>
      <c r="LVP1" s="92"/>
      <c r="LVQ1" s="92"/>
      <c r="LVR1" s="92"/>
      <c r="LVS1" s="92"/>
      <c r="LVT1" s="92"/>
      <c r="LVU1" s="92"/>
      <c r="LVV1" s="92"/>
      <c r="LVW1" s="92"/>
      <c r="LVX1" s="92"/>
      <c r="LVY1" s="92"/>
      <c r="LVZ1" s="92"/>
      <c r="LWA1" s="92"/>
      <c r="LWB1" s="92"/>
      <c r="LWC1" s="92"/>
      <c r="LWD1" s="92"/>
      <c r="LWE1" s="92"/>
      <c r="LWF1" s="92"/>
      <c r="LWG1" s="92"/>
      <c r="LWH1" s="92"/>
      <c r="LWI1" s="92"/>
      <c r="LWJ1" s="92"/>
      <c r="LWK1" s="92"/>
      <c r="LWL1" s="92"/>
      <c r="LWM1" s="92"/>
      <c r="LWN1" s="92"/>
      <c r="LWO1" s="92"/>
      <c r="LWP1" s="92"/>
      <c r="LWQ1" s="92"/>
      <c r="LWR1" s="92"/>
      <c r="LWS1" s="92"/>
      <c r="LWT1" s="92"/>
      <c r="LWU1" s="92"/>
      <c r="LWV1" s="92"/>
      <c r="LWW1" s="92"/>
      <c r="LWX1" s="92"/>
      <c r="LWY1" s="92"/>
      <c r="LWZ1" s="92"/>
      <c r="LXA1" s="92"/>
      <c r="LXB1" s="92"/>
      <c r="LXC1" s="92"/>
      <c r="LXD1" s="92"/>
      <c r="LXE1" s="92"/>
      <c r="LXF1" s="92"/>
      <c r="LXG1" s="92"/>
      <c r="LXH1" s="92"/>
      <c r="LXI1" s="92"/>
      <c r="LXJ1" s="92"/>
      <c r="LXK1" s="92"/>
      <c r="LXL1" s="92"/>
      <c r="LXM1" s="92"/>
      <c r="LXN1" s="92"/>
      <c r="LXO1" s="92"/>
      <c r="LXP1" s="92"/>
      <c r="LXQ1" s="92"/>
      <c r="LXR1" s="92"/>
      <c r="LXS1" s="92"/>
      <c r="LXT1" s="92"/>
      <c r="LXU1" s="92"/>
      <c r="LXV1" s="92"/>
      <c r="LXW1" s="92"/>
      <c r="LXX1" s="92"/>
      <c r="LXY1" s="92"/>
      <c r="LXZ1" s="92"/>
      <c r="LYA1" s="92"/>
      <c r="LYB1" s="92"/>
      <c r="LYC1" s="92"/>
      <c r="LYD1" s="92"/>
      <c r="LYE1" s="92"/>
      <c r="LYF1" s="92"/>
      <c r="LYG1" s="92"/>
      <c r="LYH1" s="92"/>
      <c r="LYI1" s="92"/>
      <c r="LYJ1" s="92"/>
      <c r="LYK1" s="92"/>
      <c r="LYL1" s="92"/>
      <c r="LYM1" s="92"/>
      <c r="LYN1" s="92"/>
      <c r="LYO1" s="92"/>
      <c r="LYP1" s="92"/>
      <c r="LYQ1" s="92"/>
      <c r="LYR1" s="92"/>
      <c r="LYS1" s="92"/>
      <c r="LYT1" s="92"/>
      <c r="LYU1" s="92"/>
      <c r="LYV1" s="92"/>
      <c r="LYW1" s="92"/>
      <c r="LYX1" s="92"/>
      <c r="LYY1" s="92"/>
      <c r="LYZ1" s="92"/>
      <c r="LZA1" s="92"/>
      <c r="LZB1" s="92"/>
      <c r="LZC1" s="92"/>
      <c r="LZD1" s="92"/>
      <c r="LZE1" s="92"/>
      <c r="LZF1" s="92"/>
      <c r="LZG1" s="92"/>
      <c r="LZH1" s="92"/>
      <c r="LZI1" s="92"/>
      <c r="LZJ1" s="92"/>
      <c r="LZK1" s="92"/>
      <c r="LZL1" s="92"/>
      <c r="LZM1" s="92"/>
      <c r="LZN1" s="92"/>
      <c r="LZO1" s="92"/>
      <c r="LZP1" s="92"/>
      <c r="LZQ1" s="92"/>
      <c r="LZR1" s="92"/>
      <c r="LZS1" s="92"/>
      <c r="LZT1" s="92"/>
      <c r="LZU1" s="92"/>
      <c r="LZV1" s="92"/>
      <c r="LZW1" s="92"/>
      <c r="LZX1" s="92"/>
      <c r="LZY1" s="92"/>
      <c r="LZZ1" s="92"/>
      <c r="MAA1" s="92"/>
      <c r="MAB1" s="92"/>
      <c r="MAC1" s="92"/>
      <c r="MAD1" s="92"/>
      <c r="MAE1" s="92"/>
      <c r="MAF1" s="92"/>
      <c r="MAG1" s="92"/>
      <c r="MAH1" s="92"/>
      <c r="MAI1" s="92"/>
      <c r="MAJ1" s="92"/>
      <c r="MAK1" s="92"/>
      <c r="MAL1" s="92"/>
      <c r="MAM1" s="92"/>
      <c r="MAN1" s="92"/>
      <c r="MAO1" s="92"/>
      <c r="MAP1" s="92"/>
      <c r="MAQ1" s="92"/>
      <c r="MAR1" s="92"/>
      <c r="MAS1" s="92"/>
      <c r="MAT1" s="92"/>
      <c r="MAU1" s="92"/>
      <c r="MAV1" s="92"/>
      <c r="MAW1" s="92"/>
      <c r="MAX1" s="92"/>
      <c r="MAY1" s="92"/>
      <c r="MAZ1" s="92"/>
      <c r="MBA1" s="92"/>
      <c r="MBB1" s="92"/>
      <c r="MBC1" s="92"/>
      <c r="MBD1" s="92"/>
      <c r="MBE1" s="92"/>
      <c r="MBF1" s="92"/>
      <c r="MBG1" s="92"/>
      <c r="MBH1" s="92"/>
      <c r="MBI1" s="92"/>
      <c r="MBJ1" s="92"/>
      <c r="MBK1" s="92"/>
      <c r="MBL1" s="92"/>
      <c r="MBM1" s="92"/>
      <c r="MBN1" s="92"/>
      <c r="MBO1" s="92"/>
      <c r="MBP1" s="92"/>
      <c r="MBQ1" s="92"/>
      <c r="MBR1" s="92"/>
      <c r="MBS1" s="92"/>
      <c r="MBT1" s="92"/>
      <c r="MBU1" s="92"/>
      <c r="MBV1" s="92"/>
      <c r="MBW1" s="92"/>
      <c r="MBX1" s="92"/>
      <c r="MBY1" s="92"/>
      <c r="MBZ1" s="92"/>
      <c r="MCA1" s="92"/>
      <c r="MCB1" s="92"/>
      <c r="MCC1" s="92"/>
      <c r="MCD1" s="92"/>
      <c r="MCE1" s="92"/>
      <c r="MCF1" s="92"/>
      <c r="MCG1" s="92"/>
      <c r="MCH1" s="92"/>
      <c r="MCI1" s="92"/>
      <c r="MCJ1" s="92"/>
      <c r="MCK1" s="92"/>
      <c r="MCL1" s="92"/>
      <c r="MCM1" s="92"/>
      <c r="MCN1" s="92"/>
      <c r="MCO1" s="92"/>
      <c r="MCP1" s="92"/>
      <c r="MCQ1" s="92"/>
      <c r="MCR1" s="92"/>
      <c r="MCS1" s="92"/>
      <c r="MCT1" s="92"/>
      <c r="MCU1" s="92"/>
      <c r="MCV1" s="92"/>
      <c r="MCW1" s="92"/>
      <c r="MCX1" s="92"/>
      <c r="MCY1" s="92"/>
      <c r="MCZ1" s="92"/>
      <c r="MDA1" s="92"/>
      <c r="MDB1" s="92"/>
      <c r="MDC1" s="92"/>
      <c r="MDD1" s="92"/>
      <c r="MDE1" s="92"/>
      <c r="MDF1" s="92"/>
      <c r="MDG1" s="92"/>
      <c r="MDH1" s="92"/>
      <c r="MDI1" s="92"/>
      <c r="MDJ1" s="92"/>
      <c r="MDK1" s="92"/>
      <c r="MDL1" s="92"/>
      <c r="MDM1" s="92"/>
      <c r="MDN1" s="92"/>
      <c r="MDO1" s="92"/>
      <c r="MDP1" s="92"/>
      <c r="MDQ1" s="92"/>
      <c r="MDR1" s="92"/>
      <c r="MDS1" s="92"/>
      <c r="MDT1" s="92"/>
      <c r="MDU1" s="92"/>
      <c r="MDV1" s="92"/>
      <c r="MDW1" s="92"/>
      <c r="MDX1" s="92"/>
      <c r="MDY1" s="92"/>
      <c r="MDZ1" s="92"/>
      <c r="MEA1" s="92"/>
      <c r="MEB1" s="92"/>
      <c r="MEC1" s="92"/>
      <c r="MED1" s="92"/>
      <c r="MEE1" s="92"/>
      <c r="MEF1" s="92"/>
      <c r="MEG1" s="92"/>
      <c r="MEH1" s="92"/>
      <c r="MEI1" s="92"/>
      <c r="MEJ1" s="92"/>
      <c r="MEK1" s="92"/>
      <c r="MEL1" s="92"/>
      <c r="MEM1" s="92"/>
      <c r="MEN1" s="92"/>
      <c r="MEO1" s="92"/>
      <c r="MEP1" s="92"/>
      <c r="MEQ1" s="92"/>
      <c r="MER1" s="92"/>
      <c r="MES1" s="92"/>
      <c r="MET1" s="92"/>
      <c r="MEU1" s="92"/>
      <c r="MEV1" s="92"/>
      <c r="MEW1" s="92"/>
      <c r="MEX1" s="92"/>
      <c r="MEY1" s="92"/>
      <c r="MEZ1" s="92"/>
      <c r="MFA1" s="92"/>
      <c r="MFB1" s="92"/>
      <c r="MFC1" s="92"/>
      <c r="MFD1" s="92"/>
      <c r="MFE1" s="92"/>
      <c r="MFF1" s="92"/>
      <c r="MFG1" s="92"/>
      <c r="MFH1" s="92"/>
      <c r="MFI1" s="92"/>
      <c r="MFJ1" s="92"/>
      <c r="MFK1" s="92"/>
      <c r="MFL1" s="92"/>
      <c r="MFM1" s="92"/>
      <c r="MFN1" s="92"/>
      <c r="MFO1" s="92"/>
      <c r="MFP1" s="92"/>
      <c r="MFQ1" s="92"/>
      <c r="MFR1" s="92"/>
      <c r="MFS1" s="92"/>
      <c r="MFT1" s="92"/>
      <c r="MFU1" s="92"/>
      <c r="MFV1" s="92"/>
      <c r="MFW1" s="92"/>
      <c r="MFX1" s="92"/>
      <c r="MFY1" s="92"/>
      <c r="MFZ1" s="92"/>
      <c r="MGA1" s="92"/>
      <c r="MGB1" s="92"/>
      <c r="MGC1" s="92"/>
      <c r="MGD1" s="92"/>
      <c r="MGE1" s="92"/>
      <c r="MGF1" s="92"/>
      <c r="MGG1" s="92"/>
      <c r="MGH1" s="92"/>
      <c r="MGI1" s="92"/>
      <c r="MGJ1" s="92"/>
      <c r="MGK1" s="92"/>
      <c r="MGL1" s="92"/>
      <c r="MGM1" s="92"/>
      <c r="MGN1" s="92"/>
      <c r="MGO1" s="92"/>
      <c r="MGP1" s="92"/>
      <c r="MGQ1" s="92"/>
      <c r="MGR1" s="92"/>
      <c r="MGS1" s="92"/>
      <c r="MGT1" s="92"/>
      <c r="MGU1" s="92"/>
      <c r="MGV1" s="92"/>
      <c r="MGW1" s="92"/>
      <c r="MGX1" s="92"/>
      <c r="MGY1" s="92"/>
      <c r="MGZ1" s="92"/>
      <c r="MHA1" s="92"/>
      <c r="MHB1" s="92"/>
      <c r="MHC1" s="92"/>
      <c r="MHD1" s="92"/>
      <c r="MHE1" s="92"/>
      <c r="MHF1" s="92"/>
      <c r="MHG1" s="92"/>
      <c r="MHH1" s="92"/>
      <c r="MHI1" s="92"/>
      <c r="MHJ1" s="92"/>
      <c r="MHK1" s="92"/>
      <c r="MHL1" s="92"/>
      <c r="MHM1" s="92"/>
      <c r="MHN1" s="92"/>
      <c r="MHO1" s="92"/>
      <c r="MHP1" s="92"/>
      <c r="MHQ1" s="92"/>
      <c r="MHR1" s="92"/>
      <c r="MHS1" s="92"/>
      <c r="MHT1" s="92"/>
      <c r="MHU1" s="92"/>
      <c r="MHV1" s="92"/>
      <c r="MHW1" s="92"/>
      <c r="MHX1" s="92"/>
      <c r="MHY1" s="92"/>
      <c r="MHZ1" s="92"/>
      <c r="MIA1" s="92"/>
      <c r="MIB1" s="92"/>
      <c r="MIC1" s="92"/>
      <c r="MID1" s="92"/>
      <c r="MIE1" s="92"/>
      <c r="MIF1" s="92"/>
      <c r="MIG1" s="92"/>
      <c r="MIH1" s="92"/>
      <c r="MII1" s="92"/>
      <c r="MIJ1" s="92"/>
      <c r="MIK1" s="92"/>
      <c r="MIL1" s="92"/>
      <c r="MIM1" s="92"/>
      <c r="MIN1" s="92"/>
      <c r="MIO1" s="92"/>
      <c r="MIP1" s="92"/>
      <c r="MIQ1" s="92"/>
      <c r="MIR1" s="92"/>
      <c r="MIS1" s="92"/>
      <c r="MIT1" s="92"/>
      <c r="MIU1" s="92"/>
      <c r="MIV1" s="92"/>
      <c r="MIW1" s="92"/>
      <c r="MIX1" s="92"/>
      <c r="MIY1" s="92"/>
      <c r="MIZ1" s="92"/>
      <c r="MJA1" s="92"/>
      <c r="MJB1" s="92"/>
      <c r="MJC1" s="92"/>
      <c r="MJD1" s="92"/>
      <c r="MJE1" s="92"/>
      <c r="MJF1" s="92"/>
      <c r="MJG1" s="92"/>
      <c r="MJH1" s="92"/>
      <c r="MJI1" s="92"/>
      <c r="MJJ1" s="92"/>
      <c r="MJK1" s="92"/>
      <c r="MJL1" s="92"/>
      <c r="MJM1" s="92"/>
      <c r="MJN1" s="92"/>
      <c r="MJO1" s="92"/>
      <c r="MJP1" s="92"/>
      <c r="MJQ1" s="92"/>
      <c r="MJR1" s="92"/>
      <c r="MJS1" s="92"/>
      <c r="MJT1" s="92"/>
      <c r="MJU1" s="92"/>
      <c r="MJV1" s="92"/>
      <c r="MJW1" s="92"/>
      <c r="MJX1" s="92"/>
      <c r="MJY1" s="92"/>
      <c r="MJZ1" s="92"/>
      <c r="MKA1" s="92"/>
      <c r="MKB1" s="92"/>
      <c r="MKC1" s="92"/>
      <c r="MKD1" s="92"/>
      <c r="MKE1" s="92"/>
      <c r="MKF1" s="92"/>
      <c r="MKG1" s="92"/>
      <c r="MKH1" s="92"/>
      <c r="MKI1" s="92"/>
      <c r="MKJ1" s="92"/>
      <c r="MKK1" s="92"/>
      <c r="MKL1" s="92"/>
      <c r="MKM1" s="92"/>
      <c r="MKN1" s="92"/>
      <c r="MKO1" s="92"/>
      <c r="MKP1" s="92"/>
      <c r="MKQ1" s="92"/>
      <c r="MKR1" s="92"/>
      <c r="MKS1" s="92"/>
      <c r="MKT1" s="92"/>
      <c r="MKU1" s="92"/>
      <c r="MKV1" s="92"/>
      <c r="MKW1" s="92"/>
      <c r="MKX1" s="92"/>
      <c r="MKY1" s="92"/>
      <c r="MKZ1" s="92"/>
      <c r="MLA1" s="92"/>
      <c r="MLB1" s="92"/>
      <c r="MLC1" s="92"/>
      <c r="MLD1" s="92"/>
      <c r="MLE1" s="92"/>
      <c r="MLF1" s="92"/>
      <c r="MLG1" s="92"/>
      <c r="MLH1" s="92"/>
      <c r="MLI1" s="92"/>
      <c r="MLJ1" s="92"/>
      <c r="MLK1" s="92"/>
      <c r="MLL1" s="92"/>
      <c r="MLM1" s="92"/>
      <c r="MLN1" s="92"/>
      <c r="MLO1" s="92"/>
      <c r="MLP1" s="92"/>
      <c r="MLQ1" s="92"/>
      <c r="MLR1" s="92"/>
      <c r="MLS1" s="92"/>
      <c r="MLT1" s="92"/>
      <c r="MLU1" s="92"/>
      <c r="MLV1" s="92"/>
      <c r="MLW1" s="92"/>
      <c r="MLX1" s="92"/>
      <c r="MLY1" s="92"/>
      <c r="MLZ1" s="92"/>
      <c r="MMA1" s="92"/>
      <c r="MMB1" s="92"/>
      <c r="MMC1" s="92"/>
      <c r="MMD1" s="92"/>
      <c r="MME1" s="92"/>
      <c r="MMF1" s="92"/>
      <c r="MMG1" s="92"/>
      <c r="MMH1" s="92"/>
      <c r="MMI1" s="92"/>
      <c r="MMJ1" s="92"/>
      <c r="MMK1" s="92"/>
      <c r="MML1" s="92"/>
      <c r="MMM1" s="92"/>
      <c r="MMN1" s="92"/>
      <c r="MMO1" s="92"/>
      <c r="MMP1" s="92"/>
      <c r="MMQ1" s="92"/>
      <c r="MMR1" s="92"/>
      <c r="MMS1" s="92"/>
      <c r="MMT1" s="92"/>
      <c r="MMU1" s="92"/>
      <c r="MMV1" s="92"/>
      <c r="MMW1" s="92"/>
      <c r="MMX1" s="92"/>
      <c r="MMY1" s="92"/>
      <c r="MMZ1" s="92"/>
      <c r="MNA1" s="92"/>
      <c r="MNB1" s="92"/>
      <c r="MNC1" s="92"/>
      <c r="MND1" s="92"/>
      <c r="MNE1" s="92"/>
      <c r="MNF1" s="92"/>
      <c r="MNG1" s="92"/>
      <c r="MNH1" s="92"/>
      <c r="MNI1" s="92"/>
      <c r="MNJ1" s="92"/>
      <c r="MNK1" s="92"/>
      <c r="MNL1" s="92"/>
      <c r="MNM1" s="92"/>
      <c r="MNN1" s="92"/>
      <c r="MNO1" s="92"/>
      <c r="MNP1" s="92"/>
      <c r="MNQ1" s="92"/>
      <c r="MNR1" s="92"/>
      <c r="MNS1" s="92"/>
      <c r="MNT1" s="92"/>
      <c r="MNU1" s="92"/>
      <c r="MNV1" s="92"/>
      <c r="MNW1" s="92"/>
      <c r="MNX1" s="92"/>
      <c r="MNY1" s="92"/>
      <c r="MNZ1" s="92"/>
      <c r="MOA1" s="92"/>
      <c r="MOB1" s="92"/>
      <c r="MOC1" s="92"/>
      <c r="MOD1" s="92"/>
      <c r="MOE1" s="92"/>
      <c r="MOF1" s="92"/>
      <c r="MOG1" s="92"/>
      <c r="MOH1" s="92"/>
      <c r="MOI1" s="92"/>
      <c r="MOJ1" s="92"/>
      <c r="MOK1" s="92"/>
      <c r="MOL1" s="92"/>
      <c r="MOM1" s="92"/>
      <c r="MON1" s="92"/>
      <c r="MOO1" s="92"/>
      <c r="MOP1" s="92"/>
      <c r="MOQ1" s="92"/>
      <c r="MOR1" s="92"/>
      <c r="MOS1" s="92"/>
      <c r="MOT1" s="92"/>
      <c r="MOU1" s="92"/>
      <c r="MOV1" s="92"/>
      <c r="MOW1" s="92"/>
      <c r="MOX1" s="92"/>
      <c r="MOY1" s="92"/>
      <c r="MOZ1" s="92"/>
      <c r="MPA1" s="92"/>
      <c r="MPB1" s="92"/>
      <c r="MPC1" s="92"/>
      <c r="MPD1" s="92"/>
      <c r="MPE1" s="92"/>
      <c r="MPF1" s="92"/>
      <c r="MPG1" s="92"/>
      <c r="MPH1" s="92"/>
      <c r="MPI1" s="92"/>
      <c r="MPJ1" s="92"/>
      <c r="MPK1" s="92"/>
      <c r="MPL1" s="92"/>
      <c r="MPM1" s="92"/>
      <c r="MPN1" s="92"/>
      <c r="MPO1" s="92"/>
      <c r="MPP1" s="92"/>
      <c r="MPQ1" s="92"/>
      <c r="MPR1" s="92"/>
      <c r="MPS1" s="92"/>
      <c r="MPT1" s="92"/>
      <c r="MPU1" s="92"/>
      <c r="MPV1" s="92"/>
      <c r="MPW1" s="92"/>
      <c r="MPX1" s="92"/>
      <c r="MPY1" s="92"/>
      <c r="MPZ1" s="92"/>
      <c r="MQA1" s="92"/>
      <c r="MQB1" s="92"/>
      <c r="MQC1" s="92"/>
      <c r="MQD1" s="92"/>
      <c r="MQE1" s="92"/>
      <c r="MQF1" s="92"/>
      <c r="MQG1" s="92"/>
      <c r="MQH1" s="92"/>
      <c r="MQI1" s="92"/>
      <c r="MQJ1" s="92"/>
      <c r="MQK1" s="92"/>
      <c r="MQL1" s="92"/>
      <c r="MQM1" s="92"/>
      <c r="MQN1" s="92"/>
      <c r="MQO1" s="92"/>
      <c r="MQP1" s="92"/>
      <c r="MQQ1" s="92"/>
      <c r="MQR1" s="92"/>
      <c r="MQS1" s="92"/>
      <c r="MQT1" s="92"/>
      <c r="MQU1" s="92"/>
      <c r="MQV1" s="92"/>
      <c r="MQW1" s="92"/>
      <c r="MQX1" s="92"/>
      <c r="MQY1" s="92"/>
      <c r="MQZ1" s="92"/>
      <c r="MRA1" s="92"/>
      <c r="MRB1" s="92"/>
      <c r="MRC1" s="92"/>
      <c r="MRD1" s="92"/>
      <c r="MRE1" s="92"/>
      <c r="MRF1" s="92"/>
      <c r="MRG1" s="92"/>
      <c r="MRH1" s="92"/>
      <c r="MRI1" s="92"/>
      <c r="MRJ1" s="92"/>
      <c r="MRK1" s="92"/>
      <c r="MRL1" s="92"/>
      <c r="MRM1" s="92"/>
      <c r="MRN1" s="92"/>
      <c r="MRO1" s="92"/>
      <c r="MRP1" s="92"/>
      <c r="MRQ1" s="92"/>
      <c r="MRR1" s="92"/>
      <c r="MRS1" s="92"/>
      <c r="MRT1" s="92"/>
      <c r="MRU1" s="92"/>
      <c r="MRV1" s="92"/>
      <c r="MRW1" s="92"/>
      <c r="MRX1" s="92"/>
      <c r="MRY1" s="92"/>
      <c r="MRZ1" s="92"/>
      <c r="MSA1" s="92"/>
      <c r="MSB1" s="92"/>
      <c r="MSC1" s="92"/>
      <c r="MSD1" s="92"/>
      <c r="MSE1" s="92"/>
      <c r="MSF1" s="92"/>
      <c r="MSG1" s="92"/>
      <c r="MSH1" s="92"/>
      <c r="MSI1" s="92"/>
      <c r="MSJ1" s="92"/>
      <c r="MSK1" s="92"/>
      <c r="MSL1" s="92"/>
      <c r="MSM1" s="92"/>
      <c r="MSN1" s="92"/>
      <c r="MSO1" s="92"/>
      <c r="MSP1" s="92"/>
      <c r="MSQ1" s="92"/>
      <c r="MSR1" s="92"/>
      <c r="MSS1" s="92"/>
      <c r="MST1" s="92"/>
      <c r="MSU1" s="92"/>
      <c r="MSV1" s="92"/>
      <c r="MSW1" s="92"/>
      <c r="MSX1" s="92"/>
      <c r="MSY1" s="92"/>
      <c r="MSZ1" s="92"/>
      <c r="MTA1" s="92"/>
      <c r="MTB1" s="92"/>
      <c r="MTC1" s="92"/>
      <c r="MTD1" s="92"/>
      <c r="MTE1" s="92"/>
      <c r="MTF1" s="92"/>
      <c r="MTG1" s="92"/>
      <c r="MTH1" s="92"/>
      <c r="MTI1" s="92"/>
      <c r="MTJ1" s="92"/>
      <c r="MTK1" s="92"/>
      <c r="MTL1" s="92"/>
      <c r="MTM1" s="92"/>
      <c r="MTN1" s="92"/>
      <c r="MTO1" s="92"/>
      <c r="MTP1" s="92"/>
      <c r="MTQ1" s="92"/>
      <c r="MTR1" s="92"/>
      <c r="MTS1" s="92"/>
      <c r="MTT1" s="92"/>
      <c r="MTU1" s="92"/>
      <c r="MTV1" s="92"/>
      <c r="MTW1" s="92"/>
      <c r="MTX1" s="92"/>
      <c r="MTY1" s="92"/>
      <c r="MTZ1" s="92"/>
      <c r="MUA1" s="92"/>
      <c r="MUB1" s="92"/>
      <c r="MUC1" s="92"/>
      <c r="MUD1" s="92"/>
      <c r="MUE1" s="92"/>
      <c r="MUF1" s="92"/>
      <c r="MUG1" s="92"/>
      <c r="MUH1" s="92"/>
      <c r="MUI1" s="92"/>
      <c r="MUJ1" s="92"/>
      <c r="MUK1" s="92"/>
      <c r="MUL1" s="92"/>
      <c r="MUM1" s="92"/>
      <c r="MUN1" s="92"/>
      <c r="MUO1" s="92"/>
      <c r="MUP1" s="92"/>
      <c r="MUQ1" s="92"/>
      <c r="MUR1" s="92"/>
      <c r="MUS1" s="92"/>
      <c r="MUT1" s="92"/>
      <c r="MUU1" s="92"/>
      <c r="MUV1" s="92"/>
      <c r="MUW1" s="92"/>
      <c r="MUX1" s="92"/>
      <c r="MUY1" s="92"/>
      <c r="MUZ1" s="92"/>
      <c r="MVA1" s="92"/>
      <c r="MVB1" s="92"/>
      <c r="MVC1" s="92"/>
      <c r="MVD1" s="92"/>
      <c r="MVE1" s="92"/>
      <c r="MVF1" s="92"/>
      <c r="MVG1" s="92"/>
      <c r="MVH1" s="92"/>
      <c r="MVI1" s="92"/>
      <c r="MVJ1" s="92"/>
      <c r="MVK1" s="92"/>
      <c r="MVL1" s="92"/>
      <c r="MVM1" s="92"/>
      <c r="MVN1" s="92"/>
      <c r="MVO1" s="92"/>
      <c r="MVP1" s="92"/>
      <c r="MVQ1" s="92"/>
      <c r="MVR1" s="92"/>
      <c r="MVS1" s="92"/>
      <c r="MVT1" s="92"/>
      <c r="MVU1" s="92"/>
      <c r="MVV1" s="92"/>
      <c r="MVW1" s="92"/>
      <c r="MVX1" s="92"/>
      <c r="MVY1" s="92"/>
      <c r="MVZ1" s="92"/>
      <c r="MWA1" s="92"/>
      <c r="MWB1" s="92"/>
      <c r="MWC1" s="92"/>
      <c r="MWD1" s="92"/>
      <c r="MWE1" s="92"/>
      <c r="MWF1" s="92"/>
      <c r="MWG1" s="92"/>
      <c r="MWH1" s="92"/>
      <c r="MWI1" s="92"/>
      <c r="MWJ1" s="92"/>
      <c r="MWK1" s="92"/>
      <c r="MWL1" s="92"/>
      <c r="MWM1" s="92"/>
      <c r="MWN1" s="92"/>
      <c r="MWO1" s="92"/>
      <c r="MWP1" s="92"/>
      <c r="MWQ1" s="92"/>
      <c r="MWR1" s="92"/>
      <c r="MWS1" s="92"/>
      <c r="MWT1" s="92"/>
      <c r="MWU1" s="92"/>
      <c r="MWV1" s="92"/>
      <c r="MWW1" s="92"/>
      <c r="MWX1" s="92"/>
      <c r="MWY1" s="92"/>
      <c r="MWZ1" s="92"/>
      <c r="MXA1" s="92"/>
      <c r="MXB1" s="92"/>
      <c r="MXC1" s="92"/>
      <c r="MXD1" s="92"/>
      <c r="MXE1" s="92"/>
      <c r="MXF1" s="92"/>
      <c r="MXG1" s="92"/>
      <c r="MXH1" s="92"/>
      <c r="MXI1" s="92"/>
      <c r="MXJ1" s="92"/>
      <c r="MXK1" s="92"/>
      <c r="MXL1" s="92"/>
      <c r="MXM1" s="92"/>
      <c r="MXN1" s="92"/>
      <c r="MXO1" s="92"/>
      <c r="MXP1" s="92"/>
      <c r="MXQ1" s="92"/>
      <c r="MXR1" s="92"/>
      <c r="MXS1" s="92"/>
      <c r="MXT1" s="92"/>
      <c r="MXU1" s="92"/>
      <c r="MXV1" s="92"/>
      <c r="MXW1" s="92"/>
      <c r="MXX1" s="92"/>
      <c r="MXY1" s="92"/>
      <c r="MXZ1" s="92"/>
      <c r="MYA1" s="92"/>
      <c r="MYB1" s="92"/>
      <c r="MYC1" s="92"/>
      <c r="MYD1" s="92"/>
      <c r="MYE1" s="92"/>
      <c r="MYF1" s="92"/>
      <c r="MYG1" s="92"/>
      <c r="MYH1" s="92"/>
      <c r="MYI1" s="92"/>
      <c r="MYJ1" s="92"/>
      <c r="MYK1" s="92"/>
      <c r="MYL1" s="92"/>
      <c r="MYM1" s="92"/>
      <c r="MYN1" s="92"/>
      <c r="MYO1" s="92"/>
      <c r="MYP1" s="92"/>
      <c r="MYQ1" s="92"/>
      <c r="MYR1" s="92"/>
      <c r="MYS1" s="92"/>
      <c r="MYT1" s="92"/>
      <c r="MYU1" s="92"/>
      <c r="MYV1" s="92"/>
      <c r="MYW1" s="92"/>
      <c r="MYX1" s="92"/>
      <c r="MYY1" s="92"/>
      <c r="MYZ1" s="92"/>
      <c r="MZA1" s="92"/>
      <c r="MZB1" s="92"/>
      <c r="MZC1" s="92"/>
      <c r="MZD1" s="92"/>
      <c r="MZE1" s="92"/>
      <c r="MZF1" s="92"/>
      <c r="MZG1" s="92"/>
      <c r="MZH1" s="92"/>
      <c r="MZI1" s="92"/>
      <c r="MZJ1" s="92"/>
      <c r="MZK1" s="92"/>
      <c r="MZL1" s="92"/>
      <c r="MZM1" s="92"/>
      <c r="MZN1" s="92"/>
      <c r="MZO1" s="92"/>
      <c r="MZP1" s="92"/>
      <c r="MZQ1" s="92"/>
      <c r="MZR1" s="92"/>
      <c r="MZS1" s="92"/>
      <c r="MZT1" s="92"/>
      <c r="MZU1" s="92"/>
      <c r="MZV1" s="92"/>
      <c r="MZW1" s="92"/>
      <c r="MZX1" s="92"/>
      <c r="MZY1" s="92"/>
      <c r="MZZ1" s="92"/>
      <c r="NAA1" s="92"/>
      <c r="NAB1" s="92"/>
      <c r="NAC1" s="92"/>
      <c r="NAD1" s="92"/>
      <c r="NAE1" s="92"/>
      <c r="NAF1" s="92"/>
      <c r="NAG1" s="92"/>
      <c r="NAH1" s="92"/>
      <c r="NAI1" s="92"/>
      <c r="NAJ1" s="92"/>
      <c r="NAK1" s="92"/>
      <c r="NAL1" s="92"/>
      <c r="NAM1" s="92"/>
      <c r="NAN1" s="92"/>
      <c r="NAO1" s="92"/>
      <c r="NAP1" s="92"/>
      <c r="NAQ1" s="92"/>
      <c r="NAR1" s="92"/>
      <c r="NAS1" s="92"/>
      <c r="NAT1" s="92"/>
      <c r="NAU1" s="92"/>
      <c r="NAV1" s="92"/>
      <c r="NAW1" s="92"/>
      <c r="NAX1" s="92"/>
      <c r="NAY1" s="92"/>
      <c r="NAZ1" s="92"/>
      <c r="NBA1" s="92"/>
      <c r="NBB1" s="92"/>
      <c r="NBC1" s="92"/>
      <c r="NBD1" s="92"/>
      <c r="NBE1" s="92"/>
      <c r="NBF1" s="92"/>
      <c r="NBG1" s="92"/>
      <c r="NBH1" s="92"/>
      <c r="NBI1" s="92"/>
      <c r="NBJ1" s="92"/>
      <c r="NBK1" s="92"/>
      <c r="NBL1" s="92"/>
      <c r="NBM1" s="92"/>
      <c r="NBN1" s="92"/>
      <c r="NBO1" s="92"/>
      <c r="NBP1" s="92"/>
      <c r="NBQ1" s="92"/>
      <c r="NBR1" s="92"/>
      <c r="NBS1" s="92"/>
      <c r="NBT1" s="92"/>
      <c r="NBU1" s="92"/>
      <c r="NBV1" s="92"/>
      <c r="NBW1" s="92"/>
      <c r="NBX1" s="92"/>
      <c r="NBY1" s="92"/>
      <c r="NBZ1" s="92"/>
      <c r="NCA1" s="92"/>
      <c r="NCB1" s="92"/>
      <c r="NCC1" s="92"/>
      <c r="NCD1" s="92"/>
      <c r="NCE1" s="92"/>
      <c r="NCF1" s="92"/>
      <c r="NCG1" s="92"/>
      <c r="NCH1" s="92"/>
      <c r="NCI1" s="92"/>
      <c r="NCJ1" s="92"/>
      <c r="NCK1" s="92"/>
      <c r="NCL1" s="92"/>
      <c r="NCM1" s="92"/>
      <c r="NCN1" s="92"/>
      <c r="NCO1" s="92"/>
      <c r="NCP1" s="92"/>
      <c r="NCQ1" s="92"/>
      <c r="NCR1" s="92"/>
      <c r="NCS1" s="92"/>
      <c r="NCT1" s="92"/>
      <c r="NCU1" s="92"/>
      <c r="NCV1" s="92"/>
      <c r="NCW1" s="92"/>
      <c r="NCX1" s="92"/>
      <c r="NCY1" s="92"/>
      <c r="NCZ1" s="92"/>
      <c r="NDA1" s="92"/>
      <c r="NDB1" s="92"/>
      <c r="NDC1" s="92"/>
      <c r="NDD1" s="92"/>
      <c r="NDE1" s="92"/>
      <c r="NDF1" s="92"/>
      <c r="NDG1" s="92"/>
      <c r="NDH1" s="92"/>
      <c r="NDI1" s="92"/>
      <c r="NDJ1" s="92"/>
      <c r="NDK1" s="92"/>
      <c r="NDL1" s="92"/>
      <c r="NDM1" s="92"/>
      <c r="NDN1" s="92"/>
      <c r="NDO1" s="92"/>
      <c r="NDP1" s="92"/>
      <c r="NDQ1" s="92"/>
      <c r="NDR1" s="92"/>
      <c r="NDS1" s="92"/>
      <c r="NDT1" s="92"/>
      <c r="NDU1" s="92"/>
      <c r="NDV1" s="92"/>
      <c r="NDW1" s="92"/>
      <c r="NDX1" s="92"/>
      <c r="NDY1" s="92"/>
      <c r="NDZ1" s="92"/>
      <c r="NEA1" s="92"/>
      <c r="NEB1" s="92"/>
      <c r="NEC1" s="92"/>
      <c r="NED1" s="92"/>
      <c r="NEE1" s="92"/>
      <c r="NEF1" s="92"/>
      <c r="NEG1" s="92"/>
      <c r="NEH1" s="92"/>
      <c r="NEI1" s="92"/>
      <c r="NEJ1" s="92"/>
      <c r="NEK1" s="92"/>
      <c r="NEL1" s="92"/>
      <c r="NEM1" s="92"/>
      <c r="NEN1" s="92"/>
      <c r="NEO1" s="92"/>
      <c r="NEP1" s="92"/>
      <c r="NEQ1" s="92"/>
      <c r="NER1" s="92"/>
      <c r="NES1" s="92"/>
      <c r="NET1" s="92"/>
      <c r="NEU1" s="92"/>
      <c r="NEV1" s="92"/>
      <c r="NEW1" s="92"/>
      <c r="NEX1" s="92"/>
      <c r="NEY1" s="92"/>
      <c r="NEZ1" s="92"/>
      <c r="NFA1" s="92"/>
      <c r="NFB1" s="92"/>
      <c r="NFC1" s="92"/>
      <c r="NFD1" s="92"/>
      <c r="NFE1" s="92"/>
      <c r="NFF1" s="92"/>
      <c r="NFG1" s="92"/>
      <c r="NFH1" s="92"/>
      <c r="NFI1" s="92"/>
      <c r="NFJ1" s="92"/>
      <c r="NFK1" s="92"/>
      <c r="NFL1" s="92"/>
      <c r="NFM1" s="92"/>
      <c r="NFN1" s="92"/>
      <c r="NFO1" s="92"/>
      <c r="NFP1" s="92"/>
      <c r="NFQ1" s="92"/>
      <c r="NFR1" s="92"/>
      <c r="NFS1" s="92"/>
      <c r="NFT1" s="92"/>
      <c r="NFU1" s="92"/>
      <c r="NFV1" s="92"/>
      <c r="NFW1" s="92"/>
      <c r="NFX1" s="92"/>
      <c r="NFY1" s="92"/>
      <c r="NFZ1" s="92"/>
      <c r="NGA1" s="92"/>
      <c r="NGB1" s="92"/>
      <c r="NGC1" s="92"/>
      <c r="NGD1" s="92"/>
      <c r="NGE1" s="92"/>
      <c r="NGF1" s="92"/>
      <c r="NGG1" s="92"/>
      <c r="NGH1" s="92"/>
      <c r="NGI1" s="92"/>
      <c r="NGJ1" s="92"/>
      <c r="NGK1" s="92"/>
      <c r="NGL1" s="92"/>
      <c r="NGM1" s="92"/>
      <c r="NGN1" s="92"/>
      <c r="NGO1" s="92"/>
      <c r="NGP1" s="92"/>
      <c r="NGQ1" s="92"/>
      <c r="NGR1" s="92"/>
      <c r="NGS1" s="92"/>
      <c r="NGT1" s="92"/>
      <c r="NGU1" s="92"/>
      <c r="NGV1" s="92"/>
      <c r="NGW1" s="92"/>
      <c r="NGX1" s="92"/>
      <c r="NGY1" s="92"/>
      <c r="NGZ1" s="92"/>
      <c r="NHA1" s="92"/>
      <c r="NHB1" s="92"/>
      <c r="NHC1" s="92"/>
      <c r="NHD1" s="92"/>
      <c r="NHE1" s="92"/>
      <c r="NHF1" s="92"/>
      <c r="NHG1" s="92"/>
      <c r="NHH1" s="92"/>
      <c r="NHI1" s="92"/>
      <c r="NHJ1" s="92"/>
      <c r="NHK1" s="92"/>
      <c r="NHL1" s="92"/>
      <c r="NHM1" s="92"/>
      <c r="NHN1" s="92"/>
      <c r="NHO1" s="92"/>
      <c r="NHP1" s="92"/>
      <c r="NHQ1" s="92"/>
      <c r="NHR1" s="92"/>
      <c r="NHS1" s="92"/>
      <c r="NHT1" s="92"/>
      <c r="NHU1" s="92"/>
      <c r="NHV1" s="92"/>
      <c r="NHW1" s="92"/>
      <c r="NHX1" s="92"/>
      <c r="NHY1" s="92"/>
      <c r="NHZ1" s="92"/>
      <c r="NIA1" s="92"/>
      <c r="NIB1" s="92"/>
      <c r="NIC1" s="92"/>
      <c r="NID1" s="92"/>
      <c r="NIE1" s="92"/>
      <c r="NIF1" s="92"/>
      <c r="NIG1" s="92"/>
      <c r="NIH1" s="92"/>
      <c r="NII1" s="92"/>
      <c r="NIJ1" s="92"/>
      <c r="NIK1" s="92"/>
      <c r="NIL1" s="92"/>
      <c r="NIM1" s="92"/>
      <c r="NIN1" s="92"/>
      <c r="NIO1" s="92"/>
      <c r="NIP1" s="92"/>
      <c r="NIQ1" s="92"/>
      <c r="NIR1" s="92"/>
      <c r="NIS1" s="92"/>
      <c r="NIT1" s="92"/>
      <c r="NIU1" s="92"/>
      <c r="NIV1" s="92"/>
      <c r="NIW1" s="92"/>
      <c r="NIX1" s="92"/>
      <c r="NIY1" s="92"/>
      <c r="NIZ1" s="92"/>
      <c r="NJA1" s="92"/>
      <c r="NJB1" s="92"/>
      <c r="NJC1" s="92"/>
      <c r="NJD1" s="92"/>
      <c r="NJE1" s="92"/>
      <c r="NJF1" s="92"/>
      <c r="NJG1" s="92"/>
      <c r="NJH1" s="92"/>
      <c r="NJI1" s="92"/>
      <c r="NJJ1" s="92"/>
      <c r="NJK1" s="92"/>
      <c r="NJL1" s="92"/>
      <c r="NJM1" s="92"/>
      <c r="NJN1" s="92"/>
      <c r="NJO1" s="92"/>
      <c r="NJP1" s="92"/>
      <c r="NJQ1" s="92"/>
      <c r="NJR1" s="92"/>
      <c r="NJS1" s="92"/>
      <c r="NJT1" s="92"/>
      <c r="NJU1" s="92"/>
      <c r="NJV1" s="92"/>
      <c r="NJW1" s="92"/>
      <c r="NJX1" s="92"/>
      <c r="NJY1" s="92"/>
      <c r="NJZ1" s="92"/>
      <c r="NKA1" s="92"/>
      <c r="NKB1" s="92"/>
      <c r="NKC1" s="92"/>
      <c r="NKD1" s="92"/>
      <c r="NKE1" s="92"/>
      <c r="NKF1" s="92"/>
      <c r="NKG1" s="92"/>
      <c r="NKH1" s="92"/>
      <c r="NKI1" s="92"/>
      <c r="NKJ1" s="92"/>
      <c r="NKK1" s="92"/>
      <c r="NKL1" s="92"/>
      <c r="NKM1" s="92"/>
      <c r="NKN1" s="92"/>
      <c r="NKO1" s="92"/>
      <c r="NKP1" s="92"/>
      <c r="NKQ1" s="92"/>
      <c r="NKR1" s="92"/>
      <c r="NKS1" s="92"/>
      <c r="NKT1" s="92"/>
      <c r="NKU1" s="92"/>
      <c r="NKV1" s="92"/>
      <c r="NKW1" s="92"/>
      <c r="NKX1" s="92"/>
      <c r="NKY1" s="92"/>
      <c r="NKZ1" s="92"/>
      <c r="NLA1" s="92"/>
      <c r="NLB1" s="92"/>
      <c r="NLC1" s="92"/>
      <c r="NLD1" s="92"/>
      <c r="NLE1" s="92"/>
      <c r="NLF1" s="92"/>
      <c r="NLG1" s="92"/>
      <c r="NLH1" s="92"/>
      <c r="NLI1" s="92"/>
      <c r="NLJ1" s="92"/>
      <c r="NLK1" s="92"/>
      <c r="NLL1" s="92"/>
      <c r="NLM1" s="92"/>
      <c r="NLN1" s="92"/>
      <c r="NLO1" s="92"/>
      <c r="NLP1" s="92"/>
      <c r="NLQ1" s="92"/>
      <c r="NLR1" s="92"/>
      <c r="NLS1" s="92"/>
      <c r="NLT1" s="92"/>
      <c r="NLU1" s="92"/>
      <c r="NLV1" s="92"/>
      <c r="NLW1" s="92"/>
      <c r="NLX1" s="92"/>
      <c r="NLY1" s="92"/>
      <c r="NLZ1" s="92"/>
      <c r="NMA1" s="92"/>
      <c r="NMB1" s="92"/>
      <c r="NMC1" s="92"/>
      <c r="NMD1" s="92"/>
      <c r="NME1" s="92"/>
      <c r="NMF1" s="92"/>
      <c r="NMG1" s="92"/>
      <c r="NMH1" s="92"/>
      <c r="NMI1" s="92"/>
      <c r="NMJ1" s="92"/>
      <c r="NMK1" s="92"/>
      <c r="NML1" s="92"/>
      <c r="NMM1" s="92"/>
      <c r="NMN1" s="92"/>
      <c r="NMO1" s="92"/>
      <c r="NMP1" s="92"/>
      <c r="NMQ1" s="92"/>
      <c r="NMR1" s="92"/>
      <c r="NMS1" s="92"/>
      <c r="NMT1" s="92"/>
      <c r="NMU1" s="92"/>
      <c r="NMV1" s="92"/>
      <c r="NMW1" s="92"/>
      <c r="NMX1" s="92"/>
      <c r="NMY1" s="92"/>
      <c r="NMZ1" s="92"/>
      <c r="NNA1" s="92"/>
      <c r="NNB1" s="92"/>
      <c r="NNC1" s="92"/>
      <c r="NND1" s="92"/>
      <c r="NNE1" s="92"/>
      <c r="NNF1" s="92"/>
      <c r="NNG1" s="92"/>
      <c r="NNH1" s="92"/>
      <c r="NNI1" s="92"/>
      <c r="NNJ1" s="92"/>
      <c r="NNK1" s="92"/>
      <c r="NNL1" s="92"/>
      <c r="NNM1" s="92"/>
      <c r="NNN1" s="92"/>
      <c r="NNO1" s="92"/>
      <c r="NNP1" s="92"/>
      <c r="NNQ1" s="92"/>
      <c r="NNR1" s="92"/>
      <c r="NNS1" s="92"/>
      <c r="NNT1" s="92"/>
      <c r="NNU1" s="92"/>
      <c r="NNV1" s="92"/>
      <c r="NNW1" s="92"/>
      <c r="NNX1" s="92"/>
      <c r="NNY1" s="92"/>
      <c r="NNZ1" s="92"/>
      <c r="NOA1" s="92"/>
      <c r="NOB1" s="92"/>
      <c r="NOC1" s="92"/>
      <c r="NOD1" s="92"/>
      <c r="NOE1" s="92"/>
      <c r="NOF1" s="92"/>
      <c r="NOG1" s="92"/>
      <c r="NOH1" s="92"/>
      <c r="NOI1" s="92"/>
      <c r="NOJ1" s="92"/>
      <c r="NOK1" s="92"/>
      <c r="NOL1" s="92"/>
      <c r="NOM1" s="92"/>
      <c r="NON1" s="92"/>
      <c r="NOO1" s="92"/>
      <c r="NOP1" s="92"/>
      <c r="NOQ1" s="92"/>
      <c r="NOR1" s="92"/>
      <c r="NOS1" s="92"/>
      <c r="NOT1" s="92"/>
      <c r="NOU1" s="92"/>
      <c r="NOV1" s="92"/>
      <c r="NOW1" s="92"/>
      <c r="NOX1" s="92"/>
      <c r="NOY1" s="92"/>
      <c r="NOZ1" s="92"/>
      <c r="NPA1" s="92"/>
      <c r="NPB1" s="92"/>
      <c r="NPC1" s="92"/>
      <c r="NPD1" s="92"/>
      <c r="NPE1" s="92"/>
      <c r="NPF1" s="92"/>
      <c r="NPG1" s="92"/>
      <c r="NPH1" s="92"/>
      <c r="NPI1" s="92"/>
      <c r="NPJ1" s="92"/>
      <c r="NPK1" s="92"/>
      <c r="NPL1" s="92"/>
      <c r="NPM1" s="92"/>
      <c r="NPN1" s="92"/>
      <c r="NPO1" s="92"/>
      <c r="NPP1" s="92"/>
      <c r="NPQ1" s="92"/>
      <c r="NPR1" s="92"/>
      <c r="NPS1" s="92"/>
      <c r="NPT1" s="92"/>
      <c r="NPU1" s="92"/>
      <c r="NPV1" s="92"/>
      <c r="NPW1" s="92"/>
      <c r="NPX1" s="92"/>
      <c r="NPY1" s="92"/>
      <c r="NPZ1" s="92"/>
      <c r="NQA1" s="92"/>
      <c r="NQB1" s="92"/>
      <c r="NQC1" s="92"/>
      <c r="NQD1" s="92"/>
      <c r="NQE1" s="92"/>
      <c r="NQF1" s="92"/>
      <c r="NQG1" s="92"/>
      <c r="NQH1" s="92"/>
      <c r="NQI1" s="92"/>
      <c r="NQJ1" s="92"/>
      <c r="NQK1" s="92"/>
      <c r="NQL1" s="92"/>
      <c r="NQM1" s="92"/>
      <c r="NQN1" s="92"/>
      <c r="NQO1" s="92"/>
      <c r="NQP1" s="92"/>
      <c r="NQQ1" s="92"/>
      <c r="NQR1" s="92"/>
      <c r="NQS1" s="92"/>
      <c r="NQT1" s="92"/>
      <c r="NQU1" s="92"/>
      <c r="NQV1" s="92"/>
      <c r="NQW1" s="92"/>
      <c r="NQX1" s="92"/>
      <c r="NQY1" s="92"/>
      <c r="NQZ1" s="92"/>
      <c r="NRA1" s="92"/>
      <c r="NRB1" s="92"/>
      <c r="NRC1" s="92"/>
      <c r="NRD1" s="92"/>
      <c r="NRE1" s="92"/>
      <c r="NRF1" s="92"/>
      <c r="NRG1" s="92"/>
      <c r="NRH1" s="92"/>
      <c r="NRI1" s="92"/>
      <c r="NRJ1" s="92"/>
      <c r="NRK1" s="92"/>
      <c r="NRL1" s="92"/>
      <c r="NRM1" s="92"/>
      <c r="NRN1" s="92"/>
      <c r="NRO1" s="92"/>
      <c r="NRP1" s="92"/>
      <c r="NRQ1" s="92"/>
      <c r="NRR1" s="92"/>
      <c r="NRS1" s="92"/>
      <c r="NRT1" s="92"/>
      <c r="NRU1" s="92"/>
      <c r="NRV1" s="92"/>
      <c r="NRW1" s="92"/>
      <c r="NRX1" s="92"/>
      <c r="NRY1" s="92"/>
      <c r="NRZ1" s="92"/>
      <c r="NSA1" s="92"/>
      <c r="NSB1" s="92"/>
      <c r="NSC1" s="92"/>
      <c r="NSD1" s="92"/>
      <c r="NSE1" s="92"/>
      <c r="NSF1" s="92"/>
      <c r="NSG1" s="92"/>
      <c r="NSH1" s="92"/>
      <c r="NSI1" s="92"/>
      <c r="NSJ1" s="92"/>
      <c r="NSK1" s="92"/>
      <c r="NSL1" s="92"/>
      <c r="NSM1" s="92"/>
      <c r="NSN1" s="92"/>
      <c r="NSO1" s="92"/>
      <c r="NSP1" s="92"/>
      <c r="NSQ1" s="92"/>
      <c r="NSR1" s="92"/>
      <c r="NSS1" s="92"/>
      <c r="NST1" s="92"/>
      <c r="NSU1" s="92"/>
      <c r="NSV1" s="92"/>
      <c r="NSW1" s="92"/>
      <c r="NSX1" s="92"/>
      <c r="NSY1" s="92"/>
      <c r="NSZ1" s="92"/>
      <c r="NTA1" s="92"/>
      <c r="NTB1" s="92"/>
      <c r="NTC1" s="92"/>
      <c r="NTD1" s="92"/>
      <c r="NTE1" s="92"/>
      <c r="NTF1" s="92"/>
      <c r="NTG1" s="92"/>
      <c r="NTH1" s="92"/>
      <c r="NTI1" s="92"/>
      <c r="NTJ1" s="92"/>
      <c r="NTK1" s="92"/>
      <c r="NTL1" s="92"/>
      <c r="NTM1" s="92"/>
      <c r="NTN1" s="92"/>
      <c r="NTO1" s="92"/>
      <c r="NTP1" s="92"/>
      <c r="NTQ1" s="92"/>
      <c r="NTR1" s="92"/>
      <c r="NTS1" s="92"/>
      <c r="NTT1" s="92"/>
      <c r="NTU1" s="92"/>
      <c r="NTV1" s="92"/>
      <c r="NTW1" s="92"/>
      <c r="NTX1" s="92"/>
      <c r="NTY1" s="92"/>
      <c r="NTZ1" s="92"/>
      <c r="NUA1" s="92"/>
      <c r="NUB1" s="92"/>
      <c r="NUC1" s="92"/>
      <c r="NUD1" s="92"/>
      <c r="NUE1" s="92"/>
      <c r="NUF1" s="92"/>
      <c r="NUG1" s="92"/>
      <c r="NUH1" s="92"/>
      <c r="NUI1" s="92"/>
      <c r="NUJ1" s="92"/>
      <c r="NUK1" s="92"/>
      <c r="NUL1" s="92"/>
      <c r="NUM1" s="92"/>
      <c r="NUN1" s="92"/>
      <c r="NUO1" s="92"/>
      <c r="NUP1" s="92"/>
      <c r="NUQ1" s="92"/>
      <c r="NUR1" s="92"/>
      <c r="NUS1" s="92"/>
      <c r="NUT1" s="92"/>
      <c r="NUU1" s="92"/>
      <c r="NUV1" s="92"/>
      <c r="NUW1" s="92"/>
      <c r="NUX1" s="92"/>
      <c r="NUY1" s="92"/>
      <c r="NUZ1" s="92"/>
      <c r="NVA1" s="92"/>
      <c r="NVB1" s="92"/>
      <c r="NVC1" s="92"/>
      <c r="NVD1" s="92"/>
      <c r="NVE1" s="92"/>
      <c r="NVF1" s="92"/>
      <c r="NVG1" s="92"/>
      <c r="NVH1" s="92"/>
      <c r="NVI1" s="92"/>
      <c r="NVJ1" s="92"/>
      <c r="NVK1" s="92"/>
      <c r="NVL1" s="92"/>
      <c r="NVM1" s="92"/>
      <c r="NVN1" s="92"/>
      <c r="NVO1" s="92"/>
      <c r="NVP1" s="92"/>
      <c r="NVQ1" s="92"/>
      <c r="NVR1" s="92"/>
      <c r="NVS1" s="92"/>
      <c r="NVT1" s="92"/>
      <c r="NVU1" s="92"/>
      <c r="NVV1" s="92"/>
      <c r="NVW1" s="92"/>
      <c r="NVX1" s="92"/>
      <c r="NVY1" s="92"/>
      <c r="NVZ1" s="92"/>
      <c r="NWA1" s="92"/>
      <c r="NWB1" s="92"/>
      <c r="NWC1" s="92"/>
      <c r="NWD1" s="92"/>
      <c r="NWE1" s="92"/>
      <c r="NWF1" s="92"/>
      <c r="NWG1" s="92"/>
      <c r="NWH1" s="92"/>
      <c r="NWI1" s="92"/>
      <c r="NWJ1" s="92"/>
      <c r="NWK1" s="92"/>
      <c r="NWL1" s="92"/>
      <c r="NWM1" s="92"/>
      <c r="NWN1" s="92"/>
      <c r="NWO1" s="92"/>
      <c r="NWP1" s="92"/>
      <c r="NWQ1" s="92"/>
      <c r="NWR1" s="92"/>
      <c r="NWS1" s="92"/>
      <c r="NWT1" s="92"/>
      <c r="NWU1" s="92"/>
      <c r="NWV1" s="92"/>
      <c r="NWW1" s="92"/>
      <c r="NWX1" s="92"/>
      <c r="NWY1" s="92"/>
      <c r="NWZ1" s="92"/>
      <c r="NXA1" s="92"/>
      <c r="NXB1" s="92"/>
      <c r="NXC1" s="92"/>
      <c r="NXD1" s="92"/>
      <c r="NXE1" s="92"/>
      <c r="NXF1" s="92"/>
      <c r="NXG1" s="92"/>
      <c r="NXH1" s="92"/>
      <c r="NXI1" s="92"/>
      <c r="NXJ1" s="92"/>
      <c r="NXK1" s="92"/>
      <c r="NXL1" s="92"/>
      <c r="NXM1" s="92"/>
      <c r="NXN1" s="92"/>
      <c r="NXO1" s="92"/>
      <c r="NXP1" s="92"/>
      <c r="NXQ1" s="92"/>
      <c r="NXR1" s="92"/>
      <c r="NXS1" s="92"/>
      <c r="NXT1" s="92"/>
      <c r="NXU1" s="92"/>
      <c r="NXV1" s="92"/>
      <c r="NXW1" s="92"/>
      <c r="NXX1" s="92"/>
      <c r="NXY1" s="92"/>
      <c r="NXZ1" s="92"/>
      <c r="NYA1" s="92"/>
      <c r="NYB1" s="92"/>
      <c r="NYC1" s="92"/>
      <c r="NYD1" s="92"/>
      <c r="NYE1" s="92"/>
      <c r="NYF1" s="92"/>
      <c r="NYG1" s="92"/>
      <c r="NYH1" s="92"/>
      <c r="NYI1" s="92"/>
      <c r="NYJ1" s="92"/>
      <c r="NYK1" s="92"/>
      <c r="NYL1" s="92"/>
      <c r="NYM1" s="92"/>
      <c r="NYN1" s="92"/>
      <c r="NYO1" s="92"/>
      <c r="NYP1" s="92"/>
      <c r="NYQ1" s="92"/>
      <c r="NYR1" s="92"/>
      <c r="NYS1" s="92"/>
      <c r="NYT1" s="92"/>
      <c r="NYU1" s="92"/>
      <c r="NYV1" s="92"/>
      <c r="NYW1" s="92"/>
      <c r="NYX1" s="92"/>
      <c r="NYY1" s="92"/>
      <c r="NYZ1" s="92"/>
      <c r="NZA1" s="92"/>
      <c r="NZB1" s="92"/>
      <c r="NZC1" s="92"/>
      <c r="NZD1" s="92"/>
      <c r="NZE1" s="92"/>
      <c r="NZF1" s="92"/>
      <c r="NZG1" s="92"/>
      <c r="NZH1" s="92"/>
      <c r="NZI1" s="92"/>
      <c r="NZJ1" s="92"/>
      <c r="NZK1" s="92"/>
      <c r="NZL1" s="92"/>
      <c r="NZM1" s="92"/>
      <c r="NZN1" s="92"/>
      <c r="NZO1" s="92"/>
      <c r="NZP1" s="92"/>
      <c r="NZQ1" s="92"/>
      <c r="NZR1" s="92"/>
      <c r="NZS1" s="92"/>
      <c r="NZT1" s="92"/>
      <c r="NZU1" s="92"/>
      <c r="NZV1" s="92"/>
      <c r="NZW1" s="92"/>
      <c r="NZX1" s="92"/>
      <c r="NZY1" s="92"/>
      <c r="NZZ1" s="92"/>
      <c r="OAA1" s="92"/>
      <c r="OAB1" s="92"/>
      <c r="OAC1" s="92"/>
      <c r="OAD1" s="92"/>
      <c r="OAE1" s="92"/>
      <c r="OAF1" s="92"/>
      <c r="OAG1" s="92"/>
      <c r="OAH1" s="92"/>
      <c r="OAI1" s="92"/>
      <c r="OAJ1" s="92"/>
      <c r="OAK1" s="92"/>
      <c r="OAL1" s="92"/>
      <c r="OAM1" s="92"/>
      <c r="OAN1" s="92"/>
      <c r="OAO1" s="92"/>
      <c r="OAP1" s="92"/>
      <c r="OAQ1" s="92"/>
      <c r="OAR1" s="92"/>
      <c r="OAS1" s="92"/>
      <c r="OAT1" s="92"/>
      <c r="OAU1" s="92"/>
      <c r="OAV1" s="92"/>
      <c r="OAW1" s="92"/>
      <c r="OAX1" s="92"/>
      <c r="OAY1" s="92"/>
      <c r="OAZ1" s="92"/>
      <c r="OBA1" s="92"/>
      <c r="OBB1" s="92"/>
      <c r="OBC1" s="92"/>
      <c r="OBD1" s="92"/>
      <c r="OBE1" s="92"/>
      <c r="OBF1" s="92"/>
      <c r="OBG1" s="92"/>
      <c r="OBH1" s="92"/>
      <c r="OBI1" s="92"/>
      <c r="OBJ1" s="92"/>
      <c r="OBK1" s="92"/>
      <c r="OBL1" s="92"/>
      <c r="OBM1" s="92"/>
      <c r="OBN1" s="92"/>
      <c r="OBO1" s="92"/>
      <c r="OBP1" s="92"/>
      <c r="OBQ1" s="92"/>
      <c r="OBR1" s="92"/>
      <c r="OBS1" s="92"/>
      <c r="OBT1" s="92"/>
      <c r="OBU1" s="92"/>
      <c r="OBV1" s="92"/>
      <c r="OBW1" s="92"/>
      <c r="OBX1" s="92"/>
      <c r="OBY1" s="92"/>
      <c r="OBZ1" s="92"/>
      <c r="OCA1" s="92"/>
      <c r="OCB1" s="92"/>
      <c r="OCC1" s="92"/>
      <c r="OCD1" s="92"/>
      <c r="OCE1" s="92"/>
      <c r="OCF1" s="92"/>
      <c r="OCG1" s="92"/>
      <c r="OCH1" s="92"/>
      <c r="OCI1" s="92"/>
      <c r="OCJ1" s="92"/>
      <c r="OCK1" s="92"/>
      <c r="OCL1" s="92"/>
      <c r="OCM1" s="92"/>
      <c r="OCN1" s="92"/>
      <c r="OCO1" s="92"/>
      <c r="OCP1" s="92"/>
      <c r="OCQ1" s="92"/>
      <c r="OCR1" s="92"/>
      <c r="OCS1" s="92"/>
      <c r="OCT1" s="92"/>
      <c r="OCU1" s="92"/>
      <c r="OCV1" s="92"/>
      <c r="OCW1" s="92"/>
      <c r="OCX1" s="92"/>
      <c r="OCY1" s="92"/>
      <c r="OCZ1" s="92"/>
      <c r="ODA1" s="92"/>
      <c r="ODB1" s="92"/>
      <c r="ODC1" s="92"/>
      <c r="ODD1" s="92"/>
      <c r="ODE1" s="92"/>
      <c r="ODF1" s="92"/>
      <c r="ODG1" s="92"/>
      <c r="ODH1" s="92"/>
      <c r="ODI1" s="92"/>
      <c r="ODJ1" s="92"/>
      <c r="ODK1" s="92"/>
      <c r="ODL1" s="92"/>
      <c r="ODM1" s="92"/>
      <c r="ODN1" s="92"/>
      <c r="ODO1" s="92"/>
      <c r="ODP1" s="92"/>
      <c r="ODQ1" s="92"/>
      <c r="ODR1" s="92"/>
      <c r="ODS1" s="92"/>
      <c r="ODT1" s="92"/>
      <c r="ODU1" s="92"/>
      <c r="ODV1" s="92"/>
      <c r="ODW1" s="92"/>
      <c r="ODX1" s="92"/>
      <c r="ODY1" s="92"/>
      <c r="ODZ1" s="92"/>
      <c r="OEA1" s="92"/>
      <c r="OEB1" s="92"/>
      <c r="OEC1" s="92"/>
      <c r="OED1" s="92"/>
      <c r="OEE1" s="92"/>
      <c r="OEF1" s="92"/>
      <c r="OEG1" s="92"/>
      <c r="OEH1" s="92"/>
      <c r="OEI1" s="92"/>
      <c r="OEJ1" s="92"/>
      <c r="OEK1" s="92"/>
      <c r="OEL1" s="92"/>
      <c r="OEM1" s="92"/>
      <c r="OEN1" s="92"/>
      <c r="OEO1" s="92"/>
      <c r="OEP1" s="92"/>
      <c r="OEQ1" s="92"/>
      <c r="OER1" s="92"/>
      <c r="OES1" s="92"/>
      <c r="OET1" s="92"/>
      <c r="OEU1" s="92"/>
      <c r="OEV1" s="92"/>
      <c r="OEW1" s="92"/>
      <c r="OEX1" s="92"/>
      <c r="OEY1" s="92"/>
      <c r="OEZ1" s="92"/>
      <c r="OFA1" s="92"/>
      <c r="OFB1" s="92"/>
      <c r="OFC1" s="92"/>
      <c r="OFD1" s="92"/>
      <c r="OFE1" s="92"/>
      <c r="OFF1" s="92"/>
      <c r="OFG1" s="92"/>
      <c r="OFH1" s="92"/>
      <c r="OFI1" s="92"/>
      <c r="OFJ1" s="92"/>
      <c r="OFK1" s="92"/>
      <c r="OFL1" s="92"/>
      <c r="OFM1" s="92"/>
      <c r="OFN1" s="92"/>
      <c r="OFO1" s="92"/>
      <c r="OFP1" s="92"/>
      <c r="OFQ1" s="92"/>
      <c r="OFR1" s="92"/>
      <c r="OFS1" s="92"/>
      <c r="OFT1" s="92"/>
      <c r="OFU1" s="92"/>
      <c r="OFV1" s="92"/>
      <c r="OFW1" s="92"/>
      <c r="OFX1" s="92"/>
      <c r="OFY1" s="92"/>
      <c r="OFZ1" s="92"/>
      <c r="OGA1" s="92"/>
      <c r="OGB1" s="92"/>
      <c r="OGC1" s="92"/>
      <c r="OGD1" s="92"/>
      <c r="OGE1" s="92"/>
      <c r="OGF1" s="92"/>
      <c r="OGG1" s="92"/>
      <c r="OGH1" s="92"/>
      <c r="OGI1" s="92"/>
      <c r="OGJ1" s="92"/>
      <c r="OGK1" s="92"/>
      <c r="OGL1" s="92"/>
      <c r="OGM1" s="92"/>
      <c r="OGN1" s="92"/>
      <c r="OGO1" s="92"/>
      <c r="OGP1" s="92"/>
      <c r="OGQ1" s="92"/>
      <c r="OGR1" s="92"/>
      <c r="OGS1" s="92"/>
      <c r="OGT1" s="92"/>
      <c r="OGU1" s="92"/>
      <c r="OGV1" s="92"/>
      <c r="OGW1" s="92"/>
      <c r="OGX1" s="92"/>
      <c r="OGY1" s="92"/>
      <c r="OGZ1" s="92"/>
      <c r="OHA1" s="92"/>
      <c r="OHB1" s="92"/>
      <c r="OHC1" s="92"/>
      <c r="OHD1" s="92"/>
      <c r="OHE1" s="92"/>
      <c r="OHF1" s="92"/>
      <c r="OHG1" s="92"/>
      <c r="OHH1" s="92"/>
      <c r="OHI1" s="92"/>
      <c r="OHJ1" s="92"/>
      <c r="OHK1" s="92"/>
      <c r="OHL1" s="92"/>
      <c r="OHM1" s="92"/>
      <c r="OHN1" s="92"/>
      <c r="OHO1" s="92"/>
      <c r="OHP1" s="92"/>
      <c r="OHQ1" s="92"/>
      <c r="OHR1" s="92"/>
      <c r="OHS1" s="92"/>
      <c r="OHT1" s="92"/>
      <c r="OHU1" s="92"/>
      <c r="OHV1" s="92"/>
      <c r="OHW1" s="92"/>
      <c r="OHX1" s="92"/>
      <c r="OHY1" s="92"/>
      <c r="OHZ1" s="92"/>
      <c r="OIA1" s="92"/>
      <c r="OIB1" s="92"/>
      <c r="OIC1" s="92"/>
      <c r="OID1" s="92"/>
      <c r="OIE1" s="92"/>
      <c r="OIF1" s="92"/>
      <c r="OIG1" s="92"/>
      <c r="OIH1" s="92"/>
      <c r="OII1" s="92"/>
      <c r="OIJ1" s="92"/>
      <c r="OIK1" s="92"/>
      <c r="OIL1" s="92"/>
      <c r="OIM1" s="92"/>
      <c r="OIN1" s="92"/>
      <c r="OIO1" s="92"/>
      <c r="OIP1" s="92"/>
      <c r="OIQ1" s="92"/>
      <c r="OIR1" s="92"/>
      <c r="OIS1" s="92"/>
      <c r="OIT1" s="92"/>
      <c r="OIU1" s="92"/>
      <c r="OIV1" s="92"/>
      <c r="OIW1" s="92"/>
      <c r="OIX1" s="92"/>
      <c r="OIY1" s="92"/>
      <c r="OIZ1" s="92"/>
      <c r="OJA1" s="92"/>
      <c r="OJB1" s="92"/>
      <c r="OJC1" s="92"/>
      <c r="OJD1" s="92"/>
      <c r="OJE1" s="92"/>
      <c r="OJF1" s="92"/>
      <c r="OJG1" s="92"/>
      <c r="OJH1" s="92"/>
      <c r="OJI1" s="92"/>
      <c r="OJJ1" s="92"/>
      <c r="OJK1" s="92"/>
      <c r="OJL1" s="92"/>
      <c r="OJM1" s="92"/>
      <c r="OJN1" s="92"/>
      <c r="OJO1" s="92"/>
      <c r="OJP1" s="92"/>
      <c r="OJQ1" s="92"/>
      <c r="OJR1" s="92"/>
      <c r="OJS1" s="92"/>
      <c r="OJT1" s="92"/>
      <c r="OJU1" s="92"/>
      <c r="OJV1" s="92"/>
      <c r="OJW1" s="92"/>
      <c r="OJX1" s="92"/>
      <c r="OJY1" s="92"/>
      <c r="OJZ1" s="92"/>
      <c r="OKA1" s="92"/>
      <c r="OKB1" s="92"/>
      <c r="OKC1" s="92"/>
      <c r="OKD1" s="92"/>
      <c r="OKE1" s="92"/>
      <c r="OKF1" s="92"/>
      <c r="OKG1" s="92"/>
      <c r="OKH1" s="92"/>
      <c r="OKI1" s="92"/>
      <c r="OKJ1" s="92"/>
      <c r="OKK1" s="92"/>
      <c r="OKL1" s="92"/>
      <c r="OKM1" s="92"/>
      <c r="OKN1" s="92"/>
      <c r="OKO1" s="92"/>
      <c r="OKP1" s="92"/>
      <c r="OKQ1" s="92"/>
      <c r="OKR1" s="92"/>
      <c r="OKS1" s="92"/>
      <c r="OKT1" s="92"/>
      <c r="OKU1" s="92"/>
      <c r="OKV1" s="92"/>
      <c r="OKW1" s="92"/>
      <c r="OKX1" s="92"/>
      <c r="OKY1" s="92"/>
      <c r="OKZ1" s="92"/>
      <c r="OLA1" s="92"/>
      <c r="OLB1" s="92"/>
      <c r="OLC1" s="92"/>
      <c r="OLD1" s="92"/>
      <c r="OLE1" s="92"/>
      <c r="OLF1" s="92"/>
      <c r="OLG1" s="92"/>
      <c r="OLH1" s="92"/>
      <c r="OLI1" s="92"/>
      <c r="OLJ1" s="92"/>
      <c r="OLK1" s="92"/>
      <c r="OLL1" s="92"/>
      <c r="OLM1" s="92"/>
      <c r="OLN1" s="92"/>
      <c r="OLO1" s="92"/>
      <c r="OLP1" s="92"/>
      <c r="OLQ1" s="92"/>
      <c r="OLR1" s="92"/>
      <c r="OLS1" s="92"/>
      <c r="OLT1" s="92"/>
      <c r="OLU1" s="92"/>
      <c r="OLV1" s="92"/>
      <c r="OLW1" s="92"/>
      <c r="OLX1" s="92"/>
      <c r="OLY1" s="92"/>
      <c r="OLZ1" s="92"/>
      <c r="OMA1" s="92"/>
      <c r="OMB1" s="92"/>
      <c r="OMC1" s="92"/>
      <c r="OMD1" s="92"/>
      <c r="OME1" s="92"/>
      <c r="OMF1" s="92"/>
      <c r="OMG1" s="92"/>
      <c r="OMH1" s="92"/>
      <c r="OMI1" s="92"/>
      <c r="OMJ1" s="92"/>
      <c r="OMK1" s="92"/>
      <c r="OML1" s="92"/>
      <c r="OMM1" s="92"/>
      <c r="OMN1" s="92"/>
      <c r="OMO1" s="92"/>
      <c r="OMP1" s="92"/>
      <c r="OMQ1" s="92"/>
      <c r="OMR1" s="92"/>
      <c r="OMS1" s="92"/>
      <c r="OMT1" s="92"/>
      <c r="OMU1" s="92"/>
      <c r="OMV1" s="92"/>
      <c r="OMW1" s="92"/>
      <c r="OMX1" s="92"/>
      <c r="OMY1" s="92"/>
      <c r="OMZ1" s="92"/>
      <c r="ONA1" s="92"/>
      <c r="ONB1" s="92"/>
      <c r="ONC1" s="92"/>
      <c r="OND1" s="92"/>
      <c r="ONE1" s="92"/>
      <c r="ONF1" s="92"/>
      <c r="ONG1" s="92"/>
      <c r="ONH1" s="92"/>
      <c r="ONI1" s="92"/>
      <c r="ONJ1" s="92"/>
      <c r="ONK1" s="92"/>
      <c r="ONL1" s="92"/>
      <c r="ONM1" s="92"/>
      <c r="ONN1" s="92"/>
      <c r="ONO1" s="92"/>
      <c r="ONP1" s="92"/>
      <c r="ONQ1" s="92"/>
      <c r="ONR1" s="92"/>
      <c r="ONS1" s="92"/>
      <c r="ONT1" s="92"/>
      <c r="ONU1" s="92"/>
      <c r="ONV1" s="92"/>
      <c r="ONW1" s="92"/>
      <c r="ONX1" s="92"/>
      <c r="ONY1" s="92"/>
      <c r="ONZ1" s="92"/>
      <c r="OOA1" s="92"/>
      <c r="OOB1" s="92"/>
      <c r="OOC1" s="92"/>
      <c r="OOD1" s="92"/>
      <c r="OOE1" s="92"/>
      <c r="OOF1" s="92"/>
      <c r="OOG1" s="92"/>
      <c r="OOH1" s="92"/>
      <c r="OOI1" s="92"/>
      <c r="OOJ1" s="92"/>
      <c r="OOK1" s="92"/>
      <c r="OOL1" s="92"/>
      <c r="OOM1" s="92"/>
      <c r="OON1" s="92"/>
      <c r="OOO1" s="92"/>
      <c r="OOP1" s="92"/>
      <c r="OOQ1" s="92"/>
      <c r="OOR1" s="92"/>
      <c r="OOS1" s="92"/>
      <c r="OOT1" s="92"/>
      <c r="OOU1" s="92"/>
      <c r="OOV1" s="92"/>
      <c r="OOW1" s="92"/>
      <c r="OOX1" s="92"/>
      <c r="OOY1" s="92"/>
      <c r="OOZ1" s="92"/>
      <c r="OPA1" s="92"/>
      <c r="OPB1" s="92"/>
      <c r="OPC1" s="92"/>
      <c r="OPD1" s="92"/>
      <c r="OPE1" s="92"/>
      <c r="OPF1" s="92"/>
      <c r="OPG1" s="92"/>
      <c r="OPH1" s="92"/>
      <c r="OPI1" s="92"/>
      <c r="OPJ1" s="92"/>
      <c r="OPK1" s="92"/>
      <c r="OPL1" s="92"/>
      <c r="OPM1" s="92"/>
      <c r="OPN1" s="92"/>
      <c r="OPO1" s="92"/>
      <c r="OPP1" s="92"/>
      <c r="OPQ1" s="92"/>
      <c r="OPR1" s="92"/>
      <c r="OPS1" s="92"/>
      <c r="OPT1" s="92"/>
      <c r="OPU1" s="92"/>
      <c r="OPV1" s="92"/>
      <c r="OPW1" s="92"/>
      <c r="OPX1" s="92"/>
      <c r="OPY1" s="92"/>
      <c r="OPZ1" s="92"/>
      <c r="OQA1" s="92"/>
      <c r="OQB1" s="92"/>
      <c r="OQC1" s="92"/>
      <c r="OQD1" s="92"/>
      <c r="OQE1" s="92"/>
      <c r="OQF1" s="92"/>
      <c r="OQG1" s="92"/>
      <c r="OQH1" s="92"/>
      <c r="OQI1" s="92"/>
      <c r="OQJ1" s="92"/>
      <c r="OQK1" s="92"/>
      <c r="OQL1" s="92"/>
      <c r="OQM1" s="92"/>
      <c r="OQN1" s="92"/>
      <c r="OQO1" s="92"/>
      <c r="OQP1" s="92"/>
      <c r="OQQ1" s="92"/>
      <c r="OQR1" s="92"/>
      <c r="OQS1" s="92"/>
      <c r="OQT1" s="92"/>
      <c r="OQU1" s="92"/>
      <c r="OQV1" s="92"/>
      <c r="OQW1" s="92"/>
      <c r="OQX1" s="92"/>
      <c r="OQY1" s="92"/>
      <c r="OQZ1" s="92"/>
      <c r="ORA1" s="92"/>
      <c r="ORB1" s="92"/>
      <c r="ORC1" s="92"/>
      <c r="ORD1" s="92"/>
      <c r="ORE1" s="92"/>
      <c r="ORF1" s="92"/>
      <c r="ORG1" s="92"/>
      <c r="ORH1" s="92"/>
      <c r="ORI1" s="92"/>
      <c r="ORJ1" s="92"/>
      <c r="ORK1" s="92"/>
      <c r="ORL1" s="92"/>
      <c r="ORM1" s="92"/>
      <c r="ORN1" s="92"/>
      <c r="ORO1" s="92"/>
      <c r="ORP1" s="92"/>
      <c r="ORQ1" s="92"/>
      <c r="ORR1" s="92"/>
      <c r="ORS1" s="92"/>
      <c r="ORT1" s="92"/>
      <c r="ORU1" s="92"/>
      <c r="ORV1" s="92"/>
      <c r="ORW1" s="92"/>
      <c r="ORX1" s="92"/>
      <c r="ORY1" s="92"/>
      <c r="ORZ1" s="92"/>
      <c r="OSA1" s="92"/>
      <c r="OSB1" s="92"/>
      <c r="OSC1" s="92"/>
      <c r="OSD1" s="92"/>
      <c r="OSE1" s="92"/>
      <c r="OSF1" s="92"/>
      <c r="OSG1" s="92"/>
      <c r="OSH1" s="92"/>
      <c r="OSI1" s="92"/>
      <c r="OSJ1" s="92"/>
      <c r="OSK1" s="92"/>
      <c r="OSL1" s="92"/>
      <c r="OSM1" s="92"/>
      <c r="OSN1" s="92"/>
      <c r="OSO1" s="92"/>
      <c r="OSP1" s="92"/>
      <c r="OSQ1" s="92"/>
      <c r="OSR1" s="92"/>
      <c r="OSS1" s="92"/>
      <c r="OST1" s="92"/>
      <c r="OSU1" s="92"/>
      <c r="OSV1" s="92"/>
      <c r="OSW1" s="92"/>
      <c r="OSX1" s="92"/>
      <c r="OSY1" s="92"/>
      <c r="OSZ1" s="92"/>
      <c r="OTA1" s="92"/>
      <c r="OTB1" s="92"/>
      <c r="OTC1" s="92"/>
      <c r="OTD1" s="92"/>
      <c r="OTE1" s="92"/>
      <c r="OTF1" s="92"/>
      <c r="OTG1" s="92"/>
      <c r="OTH1" s="92"/>
      <c r="OTI1" s="92"/>
      <c r="OTJ1" s="92"/>
      <c r="OTK1" s="92"/>
      <c r="OTL1" s="92"/>
      <c r="OTM1" s="92"/>
      <c r="OTN1" s="92"/>
      <c r="OTO1" s="92"/>
      <c r="OTP1" s="92"/>
      <c r="OTQ1" s="92"/>
      <c r="OTR1" s="92"/>
      <c r="OTS1" s="92"/>
      <c r="OTT1" s="92"/>
      <c r="OTU1" s="92"/>
      <c r="OTV1" s="92"/>
      <c r="OTW1" s="92"/>
      <c r="OTX1" s="92"/>
      <c r="OTY1" s="92"/>
      <c r="OTZ1" s="92"/>
      <c r="OUA1" s="92"/>
      <c r="OUB1" s="92"/>
      <c r="OUC1" s="92"/>
      <c r="OUD1" s="92"/>
      <c r="OUE1" s="92"/>
      <c r="OUF1" s="92"/>
      <c r="OUG1" s="92"/>
      <c r="OUH1" s="92"/>
      <c r="OUI1" s="92"/>
      <c r="OUJ1" s="92"/>
      <c r="OUK1" s="92"/>
      <c r="OUL1" s="92"/>
      <c r="OUM1" s="92"/>
      <c r="OUN1" s="92"/>
      <c r="OUO1" s="92"/>
      <c r="OUP1" s="92"/>
      <c r="OUQ1" s="92"/>
      <c r="OUR1" s="92"/>
      <c r="OUS1" s="92"/>
      <c r="OUT1" s="92"/>
      <c r="OUU1" s="92"/>
      <c r="OUV1" s="92"/>
      <c r="OUW1" s="92"/>
      <c r="OUX1" s="92"/>
      <c r="OUY1" s="92"/>
      <c r="OUZ1" s="92"/>
      <c r="OVA1" s="92"/>
      <c r="OVB1" s="92"/>
      <c r="OVC1" s="92"/>
      <c r="OVD1" s="92"/>
      <c r="OVE1" s="92"/>
      <c r="OVF1" s="92"/>
      <c r="OVG1" s="92"/>
      <c r="OVH1" s="92"/>
      <c r="OVI1" s="92"/>
      <c r="OVJ1" s="92"/>
      <c r="OVK1" s="92"/>
      <c r="OVL1" s="92"/>
      <c r="OVM1" s="92"/>
      <c r="OVN1" s="92"/>
      <c r="OVO1" s="92"/>
      <c r="OVP1" s="92"/>
      <c r="OVQ1" s="92"/>
      <c r="OVR1" s="92"/>
      <c r="OVS1" s="92"/>
      <c r="OVT1" s="92"/>
      <c r="OVU1" s="92"/>
      <c r="OVV1" s="92"/>
      <c r="OVW1" s="92"/>
      <c r="OVX1" s="92"/>
      <c r="OVY1" s="92"/>
      <c r="OVZ1" s="92"/>
      <c r="OWA1" s="92"/>
      <c r="OWB1" s="92"/>
      <c r="OWC1" s="92"/>
      <c r="OWD1" s="92"/>
      <c r="OWE1" s="92"/>
      <c r="OWF1" s="92"/>
      <c r="OWG1" s="92"/>
      <c r="OWH1" s="92"/>
      <c r="OWI1" s="92"/>
      <c r="OWJ1" s="92"/>
      <c r="OWK1" s="92"/>
      <c r="OWL1" s="92"/>
      <c r="OWM1" s="92"/>
      <c r="OWN1" s="92"/>
      <c r="OWO1" s="92"/>
      <c r="OWP1" s="92"/>
      <c r="OWQ1" s="92"/>
      <c r="OWR1" s="92"/>
      <c r="OWS1" s="92"/>
      <c r="OWT1" s="92"/>
      <c r="OWU1" s="92"/>
      <c r="OWV1" s="92"/>
      <c r="OWW1" s="92"/>
      <c r="OWX1" s="92"/>
      <c r="OWY1" s="92"/>
      <c r="OWZ1" s="92"/>
      <c r="OXA1" s="92"/>
      <c r="OXB1" s="92"/>
      <c r="OXC1" s="92"/>
      <c r="OXD1" s="92"/>
      <c r="OXE1" s="92"/>
      <c r="OXF1" s="92"/>
      <c r="OXG1" s="92"/>
      <c r="OXH1" s="92"/>
      <c r="OXI1" s="92"/>
      <c r="OXJ1" s="92"/>
      <c r="OXK1" s="92"/>
      <c r="OXL1" s="92"/>
      <c r="OXM1" s="92"/>
      <c r="OXN1" s="92"/>
      <c r="OXO1" s="92"/>
      <c r="OXP1" s="92"/>
      <c r="OXQ1" s="92"/>
      <c r="OXR1" s="92"/>
      <c r="OXS1" s="92"/>
      <c r="OXT1" s="92"/>
      <c r="OXU1" s="92"/>
      <c r="OXV1" s="92"/>
      <c r="OXW1" s="92"/>
      <c r="OXX1" s="92"/>
      <c r="OXY1" s="92"/>
      <c r="OXZ1" s="92"/>
      <c r="OYA1" s="92"/>
      <c r="OYB1" s="92"/>
      <c r="OYC1" s="92"/>
      <c r="OYD1" s="92"/>
      <c r="OYE1" s="92"/>
      <c r="OYF1" s="92"/>
      <c r="OYG1" s="92"/>
      <c r="OYH1" s="92"/>
      <c r="OYI1" s="92"/>
      <c r="OYJ1" s="92"/>
      <c r="OYK1" s="92"/>
      <c r="OYL1" s="92"/>
      <c r="OYM1" s="92"/>
      <c r="OYN1" s="92"/>
      <c r="OYO1" s="92"/>
      <c r="OYP1" s="92"/>
      <c r="OYQ1" s="92"/>
      <c r="OYR1" s="92"/>
      <c r="OYS1" s="92"/>
      <c r="OYT1" s="92"/>
      <c r="OYU1" s="92"/>
      <c r="OYV1" s="92"/>
      <c r="OYW1" s="92"/>
      <c r="OYX1" s="92"/>
      <c r="OYY1" s="92"/>
      <c r="OYZ1" s="92"/>
      <c r="OZA1" s="92"/>
      <c r="OZB1" s="92"/>
      <c r="OZC1" s="92"/>
      <c r="OZD1" s="92"/>
      <c r="OZE1" s="92"/>
      <c r="OZF1" s="92"/>
      <c r="OZG1" s="92"/>
      <c r="OZH1" s="92"/>
      <c r="OZI1" s="92"/>
      <c r="OZJ1" s="92"/>
      <c r="OZK1" s="92"/>
      <c r="OZL1" s="92"/>
      <c r="OZM1" s="92"/>
      <c r="OZN1" s="92"/>
      <c r="OZO1" s="92"/>
      <c r="OZP1" s="92"/>
      <c r="OZQ1" s="92"/>
      <c r="OZR1" s="92"/>
      <c r="OZS1" s="92"/>
      <c r="OZT1" s="92"/>
      <c r="OZU1" s="92"/>
      <c r="OZV1" s="92"/>
      <c r="OZW1" s="92"/>
      <c r="OZX1" s="92"/>
      <c r="OZY1" s="92"/>
      <c r="OZZ1" s="92"/>
      <c r="PAA1" s="92"/>
      <c r="PAB1" s="92"/>
      <c r="PAC1" s="92"/>
      <c r="PAD1" s="92"/>
      <c r="PAE1" s="92"/>
      <c r="PAF1" s="92"/>
      <c r="PAG1" s="92"/>
      <c r="PAH1" s="92"/>
      <c r="PAI1" s="92"/>
      <c r="PAJ1" s="92"/>
      <c r="PAK1" s="92"/>
      <c r="PAL1" s="92"/>
      <c r="PAM1" s="92"/>
      <c r="PAN1" s="92"/>
      <c r="PAO1" s="92"/>
      <c r="PAP1" s="92"/>
      <c r="PAQ1" s="92"/>
      <c r="PAR1" s="92"/>
      <c r="PAS1" s="92"/>
      <c r="PAT1" s="92"/>
      <c r="PAU1" s="92"/>
      <c r="PAV1" s="92"/>
      <c r="PAW1" s="92"/>
      <c r="PAX1" s="92"/>
      <c r="PAY1" s="92"/>
      <c r="PAZ1" s="92"/>
      <c r="PBA1" s="92"/>
      <c r="PBB1" s="92"/>
      <c r="PBC1" s="92"/>
      <c r="PBD1" s="92"/>
      <c r="PBE1" s="92"/>
      <c r="PBF1" s="92"/>
      <c r="PBG1" s="92"/>
      <c r="PBH1" s="92"/>
      <c r="PBI1" s="92"/>
      <c r="PBJ1" s="92"/>
      <c r="PBK1" s="92"/>
      <c r="PBL1" s="92"/>
      <c r="PBM1" s="92"/>
      <c r="PBN1" s="92"/>
      <c r="PBO1" s="92"/>
      <c r="PBP1" s="92"/>
      <c r="PBQ1" s="92"/>
      <c r="PBR1" s="92"/>
      <c r="PBS1" s="92"/>
      <c r="PBT1" s="92"/>
      <c r="PBU1" s="92"/>
      <c r="PBV1" s="92"/>
      <c r="PBW1" s="92"/>
      <c r="PBX1" s="92"/>
      <c r="PBY1" s="92"/>
      <c r="PBZ1" s="92"/>
      <c r="PCA1" s="92"/>
      <c r="PCB1" s="92"/>
      <c r="PCC1" s="92"/>
      <c r="PCD1" s="92"/>
      <c r="PCE1" s="92"/>
      <c r="PCF1" s="92"/>
      <c r="PCG1" s="92"/>
      <c r="PCH1" s="92"/>
      <c r="PCI1" s="92"/>
      <c r="PCJ1" s="92"/>
      <c r="PCK1" s="92"/>
      <c r="PCL1" s="92"/>
      <c r="PCM1" s="92"/>
      <c r="PCN1" s="92"/>
      <c r="PCO1" s="92"/>
      <c r="PCP1" s="92"/>
      <c r="PCQ1" s="92"/>
      <c r="PCR1" s="92"/>
      <c r="PCS1" s="92"/>
      <c r="PCT1" s="92"/>
      <c r="PCU1" s="92"/>
      <c r="PCV1" s="92"/>
      <c r="PCW1" s="92"/>
      <c r="PCX1" s="92"/>
      <c r="PCY1" s="92"/>
      <c r="PCZ1" s="92"/>
      <c r="PDA1" s="92"/>
      <c r="PDB1" s="92"/>
      <c r="PDC1" s="92"/>
      <c r="PDD1" s="92"/>
      <c r="PDE1" s="92"/>
      <c r="PDF1" s="92"/>
      <c r="PDG1" s="92"/>
      <c r="PDH1" s="92"/>
      <c r="PDI1" s="92"/>
      <c r="PDJ1" s="92"/>
      <c r="PDK1" s="92"/>
      <c r="PDL1" s="92"/>
      <c r="PDM1" s="92"/>
      <c r="PDN1" s="92"/>
      <c r="PDO1" s="92"/>
      <c r="PDP1" s="92"/>
      <c r="PDQ1" s="92"/>
      <c r="PDR1" s="92"/>
      <c r="PDS1" s="92"/>
      <c r="PDT1" s="92"/>
      <c r="PDU1" s="92"/>
      <c r="PDV1" s="92"/>
      <c r="PDW1" s="92"/>
      <c r="PDX1" s="92"/>
      <c r="PDY1" s="92"/>
      <c r="PDZ1" s="92"/>
      <c r="PEA1" s="92"/>
      <c r="PEB1" s="92"/>
      <c r="PEC1" s="92"/>
      <c r="PED1" s="92"/>
      <c r="PEE1" s="92"/>
      <c r="PEF1" s="92"/>
      <c r="PEG1" s="92"/>
      <c r="PEH1" s="92"/>
      <c r="PEI1" s="92"/>
      <c r="PEJ1" s="92"/>
      <c r="PEK1" s="92"/>
      <c r="PEL1" s="92"/>
      <c r="PEM1" s="92"/>
      <c r="PEN1" s="92"/>
      <c r="PEO1" s="92"/>
      <c r="PEP1" s="92"/>
      <c r="PEQ1" s="92"/>
      <c r="PER1" s="92"/>
      <c r="PES1" s="92"/>
      <c r="PET1" s="92"/>
      <c r="PEU1" s="92"/>
      <c r="PEV1" s="92"/>
      <c r="PEW1" s="92"/>
      <c r="PEX1" s="92"/>
      <c r="PEY1" s="92"/>
      <c r="PEZ1" s="92"/>
      <c r="PFA1" s="92"/>
      <c r="PFB1" s="92"/>
      <c r="PFC1" s="92"/>
      <c r="PFD1" s="92"/>
      <c r="PFE1" s="92"/>
      <c r="PFF1" s="92"/>
      <c r="PFG1" s="92"/>
      <c r="PFH1" s="92"/>
      <c r="PFI1" s="92"/>
      <c r="PFJ1" s="92"/>
      <c r="PFK1" s="92"/>
      <c r="PFL1" s="92"/>
      <c r="PFM1" s="92"/>
      <c r="PFN1" s="92"/>
      <c r="PFO1" s="92"/>
      <c r="PFP1" s="92"/>
      <c r="PFQ1" s="92"/>
      <c r="PFR1" s="92"/>
      <c r="PFS1" s="92"/>
      <c r="PFT1" s="92"/>
      <c r="PFU1" s="92"/>
      <c r="PFV1" s="92"/>
      <c r="PFW1" s="92"/>
      <c r="PFX1" s="92"/>
      <c r="PFY1" s="92"/>
      <c r="PFZ1" s="92"/>
      <c r="PGA1" s="92"/>
      <c r="PGB1" s="92"/>
      <c r="PGC1" s="92"/>
      <c r="PGD1" s="92"/>
      <c r="PGE1" s="92"/>
      <c r="PGF1" s="92"/>
      <c r="PGG1" s="92"/>
      <c r="PGH1" s="92"/>
      <c r="PGI1" s="92"/>
      <c r="PGJ1" s="92"/>
      <c r="PGK1" s="92"/>
      <c r="PGL1" s="92"/>
      <c r="PGM1" s="92"/>
      <c r="PGN1" s="92"/>
      <c r="PGO1" s="92"/>
      <c r="PGP1" s="92"/>
      <c r="PGQ1" s="92"/>
      <c r="PGR1" s="92"/>
      <c r="PGS1" s="92"/>
      <c r="PGT1" s="92"/>
      <c r="PGU1" s="92"/>
      <c r="PGV1" s="92"/>
      <c r="PGW1" s="92"/>
      <c r="PGX1" s="92"/>
      <c r="PGY1" s="92"/>
      <c r="PGZ1" s="92"/>
      <c r="PHA1" s="92"/>
      <c r="PHB1" s="92"/>
      <c r="PHC1" s="92"/>
      <c r="PHD1" s="92"/>
      <c r="PHE1" s="92"/>
      <c r="PHF1" s="92"/>
      <c r="PHG1" s="92"/>
      <c r="PHH1" s="92"/>
      <c r="PHI1" s="92"/>
      <c r="PHJ1" s="92"/>
      <c r="PHK1" s="92"/>
      <c r="PHL1" s="92"/>
      <c r="PHM1" s="92"/>
      <c r="PHN1" s="92"/>
      <c r="PHO1" s="92"/>
      <c r="PHP1" s="92"/>
      <c r="PHQ1" s="92"/>
      <c r="PHR1" s="92"/>
      <c r="PHS1" s="92"/>
      <c r="PHT1" s="92"/>
      <c r="PHU1" s="92"/>
      <c r="PHV1" s="92"/>
      <c r="PHW1" s="92"/>
      <c r="PHX1" s="92"/>
      <c r="PHY1" s="92"/>
      <c r="PHZ1" s="92"/>
      <c r="PIA1" s="92"/>
      <c r="PIB1" s="92"/>
      <c r="PIC1" s="92"/>
      <c r="PID1" s="92"/>
      <c r="PIE1" s="92"/>
      <c r="PIF1" s="92"/>
      <c r="PIG1" s="92"/>
      <c r="PIH1" s="92"/>
      <c r="PII1" s="92"/>
      <c r="PIJ1" s="92"/>
      <c r="PIK1" s="92"/>
      <c r="PIL1" s="92"/>
      <c r="PIM1" s="92"/>
      <c r="PIN1" s="92"/>
      <c r="PIO1" s="92"/>
      <c r="PIP1" s="92"/>
      <c r="PIQ1" s="92"/>
      <c r="PIR1" s="92"/>
      <c r="PIS1" s="92"/>
      <c r="PIT1" s="92"/>
      <c r="PIU1" s="92"/>
      <c r="PIV1" s="92"/>
      <c r="PIW1" s="92"/>
      <c r="PIX1" s="92"/>
      <c r="PIY1" s="92"/>
      <c r="PIZ1" s="92"/>
      <c r="PJA1" s="92"/>
      <c r="PJB1" s="92"/>
      <c r="PJC1" s="92"/>
      <c r="PJD1" s="92"/>
      <c r="PJE1" s="92"/>
      <c r="PJF1" s="92"/>
      <c r="PJG1" s="92"/>
      <c r="PJH1" s="92"/>
      <c r="PJI1" s="92"/>
      <c r="PJJ1" s="92"/>
      <c r="PJK1" s="92"/>
      <c r="PJL1" s="92"/>
      <c r="PJM1" s="92"/>
      <c r="PJN1" s="92"/>
      <c r="PJO1" s="92"/>
      <c r="PJP1" s="92"/>
      <c r="PJQ1" s="92"/>
      <c r="PJR1" s="92"/>
      <c r="PJS1" s="92"/>
      <c r="PJT1" s="92"/>
      <c r="PJU1" s="92"/>
      <c r="PJV1" s="92"/>
      <c r="PJW1" s="92"/>
      <c r="PJX1" s="92"/>
      <c r="PJY1" s="92"/>
      <c r="PJZ1" s="92"/>
      <c r="PKA1" s="92"/>
      <c r="PKB1" s="92"/>
      <c r="PKC1" s="92"/>
      <c r="PKD1" s="92"/>
      <c r="PKE1" s="92"/>
      <c r="PKF1" s="92"/>
      <c r="PKG1" s="92"/>
      <c r="PKH1" s="92"/>
      <c r="PKI1" s="92"/>
      <c r="PKJ1" s="92"/>
      <c r="PKK1" s="92"/>
      <c r="PKL1" s="92"/>
      <c r="PKM1" s="92"/>
      <c r="PKN1" s="92"/>
      <c r="PKO1" s="92"/>
      <c r="PKP1" s="92"/>
      <c r="PKQ1" s="92"/>
      <c r="PKR1" s="92"/>
      <c r="PKS1" s="92"/>
      <c r="PKT1" s="92"/>
      <c r="PKU1" s="92"/>
      <c r="PKV1" s="92"/>
      <c r="PKW1" s="92"/>
      <c r="PKX1" s="92"/>
      <c r="PKY1" s="92"/>
      <c r="PKZ1" s="92"/>
      <c r="PLA1" s="92"/>
      <c r="PLB1" s="92"/>
      <c r="PLC1" s="92"/>
      <c r="PLD1" s="92"/>
      <c r="PLE1" s="92"/>
      <c r="PLF1" s="92"/>
      <c r="PLG1" s="92"/>
      <c r="PLH1" s="92"/>
      <c r="PLI1" s="92"/>
      <c r="PLJ1" s="92"/>
      <c r="PLK1" s="92"/>
      <c r="PLL1" s="92"/>
      <c r="PLM1" s="92"/>
      <c r="PLN1" s="92"/>
      <c r="PLO1" s="92"/>
      <c r="PLP1" s="92"/>
      <c r="PLQ1" s="92"/>
      <c r="PLR1" s="92"/>
      <c r="PLS1" s="92"/>
      <c r="PLT1" s="92"/>
      <c r="PLU1" s="92"/>
      <c r="PLV1" s="92"/>
      <c r="PLW1" s="92"/>
      <c r="PLX1" s="92"/>
      <c r="PLY1" s="92"/>
      <c r="PLZ1" s="92"/>
      <c r="PMA1" s="92"/>
      <c r="PMB1" s="92"/>
      <c r="PMC1" s="92"/>
      <c r="PMD1" s="92"/>
      <c r="PME1" s="92"/>
      <c r="PMF1" s="92"/>
      <c r="PMG1" s="92"/>
      <c r="PMH1" s="92"/>
      <c r="PMI1" s="92"/>
      <c r="PMJ1" s="92"/>
      <c r="PMK1" s="92"/>
      <c r="PML1" s="92"/>
      <c r="PMM1" s="92"/>
      <c r="PMN1" s="92"/>
      <c r="PMO1" s="92"/>
      <c r="PMP1" s="92"/>
      <c r="PMQ1" s="92"/>
      <c r="PMR1" s="92"/>
      <c r="PMS1" s="92"/>
      <c r="PMT1" s="92"/>
      <c r="PMU1" s="92"/>
      <c r="PMV1" s="92"/>
      <c r="PMW1" s="92"/>
      <c r="PMX1" s="92"/>
      <c r="PMY1" s="92"/>
      <c r="PMZ1" s="92"/>
      <c r="PNA1" s="92"/>
      <c r="PNB1" s="92"/>
      <c r="PNC1" s="92"/>
      <c r="PND1" s="92"/>
      <c r="PNE1" s="92"/>
      <c r="PNF1" s="92"/>
      <c r="PNG1" s="92"/>
      <c r="PNH1" s="92"/>
      <c r="PNI1" s="92"/>
      <c r="PNJ1" s="92"/>
      <c r="PNK1" s="92"/>
      <c r="PNL1" s="92"/>
      <c r="PNM1" s="92"/>
      <c r="PNN1" s="92"/>
      <c r="PNO1" s="92"/>
      <c r="PNP1" s="92"/>
      <c r="PNQ1" s="92"/>
      <c r="PNR1" s="92"/>
      <c r="PNS1" s="92"/>
      <c r="PNT1" s="92"/>
      <c r="PNU1" s="92"/>
      <c r="PNV1" s="92"/>
      <c r="PNW1" s="92"/>
      <c r="PNX1" s="92"/>
      <c r="PNY1" s="92"/>
      <c r="PNZ1" s="92"/>
      <c r="POA1" s="92"/>
      <c r="POB1" s="92"/>
      <c r="POC1" s="92"/>
      <c r="POD1" s="92"/>
      <c r="POE1" s="92"/>
      <c r="POF1" s="92"/>
      <c r="POG1" s="92"/>
      <c r="POH1" s="92"/>
      <c r="POI1" s="92"/>
      <c r="POJ1" s="92"/>
      <c r="POK1" s="92"/>
      <c r="POL1" s="92"/>
      <c r="POM1" s="92"/>
      <c r="PON1" s="92"/>
      <c r="POO1" s="92"/>
      <c r="POP1" s="92"/>
      <c r="POQ1" s="92"/>
      <c r="POR1" s="92"/>
      <c r="POS1" s="92"/>
      <c r="POT1" s="92"/>
      <c r="POU1" s="92"/>
      <c r="POV1" s="92"/>
      <c r="POW1" s="92"/>
      <c r="POX1" s="92"/>
      <c r="POY1" s="92"/>
      <c r="POZ1" s="92"/>
      <c r="PPA1" s="92"/>
      <c r="PPB1" s="92"/>
      <c r="PPC1" s="92"/>
      <c r="PPD1" s="92"/>
      <c r="PPE1" s="92"/>
      <c r="PPF1" s="92"/>
      <c r="PPG1" s="92"/>
      <c r="PPH1" s="92"/>
      <c r="PPI1" s="92"/>
      <c r="PPJ1" s="92"/>
      <c r="PPK1" s="92"/>
      <c r="PPL1" s="92"/>
      <c r="PPM1" s="92"/>
      <c r="PPN1" s="92"/>
      <c r="PPO1" s="92"/>
      <c r="PPP1" s="92"/>
      <c r="PPQ1" s="92"/>
      <c r="PPR1" s="92"/>
      <c r="PPS1" s="92"/>
      <c r="PPT1" s="92"/>
      <c r="PPU1" s="92"/>
      <c r="PPV1" s="92"/>
      <c r="PPW1" s="92"/>
      <c r="PPX1" s="92"/>
      <c r="PPY1" s="92"/>
      <c r="PPZ1" s="92"/>
      <c r="PQA1" s="92"/>
      <c r="PQB1" s="92"/>
      <c r="PQC1" s="92"/>
      <c r="PQD1" s="92"/>
      <c r="PQE1" s="92"/>
      <c r="PQF1" s="92"/>
      <c r="PQG1" s="92"/>
      <c r="PQH1" s="92"/>
      <c r="PQI1" s="92"/>
      <c r="PQJ1" s="92"/>
      <c r="PQK1" s="92"/>
      <c r="PQL1" s="92"/>
      <c r="PQM1" s="92"/>
      <c r="PQN1" s="92"/>
      <c r="PQO1" s="92"/>
      <c r="PQP1" s="92"/>
      <c r="PQQ1" s="92"/>
      <c r="PQR1" s="92"/>
      <c r="PQS1" s="92"/>
      <c r="PQT1" s="92"/>
      <c r="PQU1" s="92"/>
      <c r="PQV1" s="92"/>
      <c r="PQW1" s="92"/>
      <c r="PQX1" s="92"/>
      <c r="PQY1" s="92"/>
      <c r="PQZ1" s="92"/>
      <c r="PRA1" s="92"/>
      <c r="PRB1" s="92"/>
      <c r="PRC1" s="92"/>
      <c r="PRD1" s="92"/>
      <c r="PRE1" s="92"/>
      <c r="PRF1" s="92"/>
      <c r="PRG1" s="92"/>
      <c r="PRH1" s="92"/>
      <c r="PRI1" s="92"/>
      <c r="PRJ1" s="92"/>
      <c r="PRK1" s="92"/>
      <c r="PRL1" s="92"/>
      <c r="PRM1" s="92"/>
      <c r="PRN1" s="92"/>
      <c r="PRO1" s="92"/>
      <c r="PRP1" s="92"/>
      <c r="PRQ1" s="92"/>
      <c r="PRR1" s="92"/>
      <c r="PRS1" s="92"/>
      <c r="PRT1" s="92"/>
      <c r="PRU1" s="92"/>
      <c r="PRV1" s="92"/>
      <c r="PRW1" s="92"/>
      <c r="PRX1" s="92"/>
      <c r="PRY1" s="92"/>
      <c r="PRZ1" s="92"/>
      <c r="PSA1" s="92"/>
      <c r="PSB1" s="92"/>
      <c r="PSC1" s="92"/>
      <c r="PSD1" s="92"/>
      <c r="PSE1" s="92"/>
      <c r="PSF1" s="92"/>
      <c r="PSG1" s="92"/>
      <c r="PSH1" s="92"/>
      <c r="PSI1" s="92"/>
      <c r="PSJ1" s="92"/>
      <c r="PSK1" s="92"/>
      <c r="PSL1" s="92"/>
      <c r="PSM1" s="92"/>
      <c r="PSN1" s="92"/>
      <c r="PSO1" s="92"/>
      <c r="PSP1" s="92"/>
      <c r="PSQ1" s="92"/>
      <c r="PSR1" s="92"/>
      <c r="PSS1" s="92"/>
      <c r="PST1" s="92"/>
      <c r="PSU1" s="92"/>
      <c r="PSV1" s="92"/>
      <c r="PSW1" s="92"/>
      <c r="PSX1" s="92"/>
      <c r="PSY1" s="92"/>
      <c r="PSZ1" s="92"/>
      <c r="PTA1" s="92"/>
      <c r="PTB1" s="92"/>
      <c r="PTC1" s="92"/>
      <c r="PTD1" s="92"/>
      <c r="PTE1" s="92"/>
      <c r="PTF1" s="92"/>
      <c r="PTG1" s="92"/>
      <c r="PTH1" s="92"/>
      <c r="PTI1" s="92"/>
      <c r="PTJ1" s="92"/>
      <c r="PTK1" s="92"/>
      <c r="PTL1" s="92"/>
      <c r="PTM1" s="92"/>
      <c r="PTN1" s="92"/>
      <c r="PTO1" s="92"/>
      <c r="PTP1" s="92"/>
      <c r="PTQ1" s="92"/>
      <c r="PTR1" s="92"/>
      <c r="PTS1" s="92"/>
      <c r="PTT1" s="92"/>
      <c r="PTU1" s="92"/>
      <c r="PTV1" s="92"/>
      <c r="PTW1" s="92"/>
      <c r="PTX1" s="92"/>
      <c r="PTY1" s="92"/>
      <c r="PTZ1" s="92"/>
      <c r="PUA1" s="92"/>
      <c r="PUB1" s="92"/>
      <c r="PUC1" s="92"/>
      <c r="PUD1" s="92"/>
      <c r="PUE1" s="92"/>
      <c r="PUF1" s="92"/>
      <c r="PUG1" s="92"/>
      <c r="PUH1" s="92"/>
      <c r="PUI1" s="92"/>
      <c r="PUJ1" s="92"/>
      <c r="PUK1" s="92"/>
      <c r="PUL1" s="92"/>
      <c r="PUM1" s="92"/>
      <c r="PUN1" s="92"/>
      <c r="PUO1" s="92"/>
      <c r="PUP1" s="92"/>
      <c r="PUQ1" s="92"/>
      <c r="PUR1" s="92"/>
      <c r="PUS1" s="92"/>
      <c r="PUT1" s="92"/>
      <c r="PUU1" s="92"/>
      <c r="PUV1" s="92"/>
      <c r="PUW1" s="92"/>
      <c r="PUX1" s="92"/>
      <c r="PUY1" s="92"/>
      <c r="PUZ1" s="92"/>
      <c r="PVA1" s="92"/>
      <c r="PVB1" s="92"/>
      <c r="PVC1" s="92"/>
      <c r="PVD1" s="92"/>
      <c r="PVE1" s="92"/>
      <c r="PVF1" s="92"/>
      <c r="PVG1" s="92"/>
      <c r="PVH1" s="92"/>
      <c r="PVI1" s="92"/>
      <c r="PVJ1" s="92"/>
      <c r="PVK1" s="92"/>
      <c r="PVL1" s="92"/>
      <c r="PVM1" s="92"/>
      <c r="PVN1" s="92"/>
      <c r="PVO1" s="92"/>
      <c r="PVP1" s="92"/>
      <c r="PVQ1" s="92"/>
      <c r="PVR1" s="92"/>
      <c r="PVS1" s="92"/>
      <c r="PVT1" s="92"/>
      <c r="PVU1" s="92"/>
      <c r="PVV1" s="92"/>
      <c r="PVW1" s="92"/>
      <c r="PVX1" s="92"/>
      <c r="PVY1" s="92"/>
      <c r="PVZ1" s="92"/>
      <c r="PWA1" s="92"/>
      <c r="PWB1" s="92"/>
      <c r="PWC1" s="92"/>
      <c r="PWD1" s="92"/>
      <c r="PWE1" s="92"/>
      <c r="PWF1" s="92"/>
      <c r="PWG1" s="92"/>
      <c r="PWH1" s="92"/>
      <c r="PWI1" s="92"/>
      <c r="PWJ1" s="92"/>
      <c r="PWK1" s="92"/>
      <c r="PWL1" s="92"/>
      <c r="PWM1" s="92"/>
      <c r="PWN1" s="92"/>
      <c r="PWO1" s="92"/>
      <c r="PWP1" s="92"/>
      <c r="PWQ1" s="92"/>
      <c r="PWR1" s="92"/>
      <c r="PWS1" s="92"/>
      <c r="PWT1" s="92"/>
      <c r="PWU1" s="92"/>
      <c r="PWV1" s="92"/>
      <c r="PWW1" s="92"/>
      <c r="PWX1" s="92"/>
      <c r="PWY1" s="92"/>
      <c r="PWZ1" s="92"/>
      <c r="PXA1" s="92"/>
      <c r="PXB1" s="92"/>
      <c r="PXC1" s="92"/>
      <c r="PXD1" s="92"/>
      <c r="PXE1" s="92"/>
      <c r="PXF1" s="92"/>
      <c r="PXG1" s="92"/>
      <c r="PXH1" s="92"/>
      <c r="PXI1" s="92"/>
      <c r="PXJ1" s="92"/>
      <c r="PXK1" s="92"/>
      <c r="PXL1" s="92"/>
      <c r="PXM1" s="92"/>
      <c r="PXN1" s="92"/>
      <c r="PXO1" s="92"/>
      <c r="PXP1" s="92"/>
      <c r="PXQ1" s="92"/>
      <c r="PXR1" s="92"/>
      <c r="PXS1" s="92"/>
      <c r="PXT1" s="92"/>
      <c r="PXU1" s="92"/>
      <c r="PXV1" s="92"/>
      <c r="PXW1" s="92"/>
      <c r="PXX1" s="92"/>
      <c r="PXY1" s="92"/>
      <c r="PXZ1" s="92"/>
      <c r="PYA1" s="92"/>
      <c r="PYB1" s="92"/>
      <c r="PYC1" s="92"/>
      <c r="PYD1" s="92"/>
      <c r="PYE1" s="92"/>
      <c r="PYF1" s="92"/>
      <c r="PYG1" s="92"/>
      <c r="PYH1" s="92"/>
      <c r="PYI1" s="92"/>
      <c r="PYJ1" s="92"/>
      <c r="PYK1" s="92"/>
      <c r="PYL1" s="92"/>
      <c r="PYM1" s="92"/>
      <c r="PYN1" s="92"/>
      <c r="PYO1" s="92"/>
      <c r="PYP1" s="92"/>
      <c r="PYQ1" s="92"/>
      <c r="PYR1" s="92"/>
      <c r="PYS1" s="92"/>
      <c r="PYT1" s="92"/>
      <c r="PYU1" s="92"/>
      <c r="PYV1" s="92"/>
      <c r="PYW1" s="92"/>
      <c r="PYX1" s="92"/>
      <c r="PYY1" s="92"/>
      <c r="PYZ1" s="92"/>
      <c r="PZA1" s="92"/>
      <c r="PZB1" s="92"/>
      <c r="PZC1" s="92"/>
      <c r="PZD1" s="92"/>
      <c r="PZE1" s="92"/>
      <c r="PZF1" s="92"/>
      <c r="PZG1" s="92"/>
      <c r="PZH1" s="92"/>
      <c r="PZI1" s="92"/>
      <c r="PZJ1" s="92"/>
      <c r="PZK1" s="92"/>
      <c r="PZL1" s="92"/>
      <c r="PZM1" s="92"/>
      <c r="PZN1" s="92"/>
      <c r="PZO1" s="92"/>
      <c r="PZP1" s="92"/>
      <c r="PZQ1" s="92"/>
      <c r="PZR1" s="92"/>
      <c r="PZS1" s="92"/>
      <c r="PZT1" s="92"/>
      <c r="PZU1" s="92"/>
      <c r="PZV1" s="92"/>
      <c r="PZW1" s="92"/>
      <c r="PZX1" s="92"/>
      <c r="PZY1" s="92"/>
      <c r="PZZ1" s="92"/>
      <c r="QAA1" s="92"/>
      <c r="QAB1" s="92"/>
      <c r="QAC1" s="92"/>
      <c r="QAD1" s="92"/>
      <c r="QAE1" s="92"/>
      <c r="QAF1" s="92"/>
      <c r="QAG1" s="92"/>
      <c r="QAH1" s="92"/>
      <c r="QAI1" s="92"/>
      <c r="QAJ1" s="92"/>
      <c r="QAK1" s="92"/>
      <c r="QAL1" s="92"/>
      <c r="QAM1" s="92"/>
      <c r="QAN1" s="92"/>
      <c r="QAO1" s="92"/>
      <c r="QAP1" s="92"/>
      <c r="QAQ1" s="92"/>
      <c r="QAR1" s="92"/>
      <c r="QAS1" s="92"/>
      <c r="QAT1" s="92"/>
      <c r="QAU1" s="92"/>
      <c r="QAV1" s="92"/>
      <c r="QAW1" s="92"/>
      <c r="QAX1" s="92"/>
      <c r="QAY1" s="92"/>
      <c r="QAZ1" s="92"/>
      <c r="QBA1" s="92"/>
      <c r="QBB1" s="92"/>
      <c r="QBC1" s="92"/>
      <c r="QBD1" s="92"/>
      <c r="QBE1" s="92"/>
      <c r="QBF1" s="92"/>
      <c r="QBG1" s="92"/>
      <c r="QBH1" s="92"/>
      <c r="QBI1" s="92"/>
      <c r="QBJ1" s="92"/>
      <c r="QBK1" s="92"/>
      <c r="QBL1" s="92"/>
      <c r="QBM1" s="92"/>
      <c r="QBN1" s="92"/>
      <c r="QBO1" s="92"/>
      <c r="QBP1" s="92"/>
      <c r="QBQ1" s="92"/>
      <c r="QBR1" s="92"/>
      <c r="QBS1" s="92"/>
      <c r="QBT1" s="92"/>
      <c r="QBU1" s="92"/>
      <c r="QBV1" s="92"/>
      <c r="QBW1" s="92"/>
      <c r="QBX1" s="92"/>
      <c r="QBY1" s="92"/>
      <c r="QBZ1" s="92"/>
      <c r="QCA1" s="92"/>
      <c r="QCB1" s="92"/>
      <c r="QCC1" s="92"/>
      <c r="QCD1" s="92"/>
      <c r="QCE1" s="92"/>
      <c r="QCF1" s="92"/>
      <c r="QCG1" s="92"/>
      <c r="QCH1" s="92"/>
      <c r="QCI1" s="92"/>
      <c r="QCJ1" s="92"/>
      <c r="QCK1" s="92"/>
      <c r="QCL1" s="92"/>
      <c r="QCM1" s="92"/>
      <c r="QCN1" s="92"/>
      <c r="QCO1" s="92"/>
      <c r="QCP1" s="92"/>
      <c r="QCQ1" s="92"/>
      <c r="QCR1" s="92"/>
      <c r="QCS1" s="92"/>
      <c r="QCT1" s="92"/>
      <c r="QCU1" s="92"/>
      <c r="QCV1" s="92"/>
      <c r="QCW1" s="92"/>
      <c r="QCX1" s="92"/>
      <c r="QCY1" s="92"/>
      <c r="QCZ1" s="92"/>
      <c r="QDA1" s="92"/>
      <c r="QDB1" s="92"/>
      <c r="QDC1" s="92"/>
      <c r="QDD1" s="92"/>
      <c r="QDE1" s="92"/>
      <c r="QDF1" s="92"/>
      <c r="QDG1" s="92"/>
      <c r="QDH1" s="92"/>
      <c r="QDI1" s="92"/>
      <c r="QDJ1" s="92"/>
      <c r="QDK1" s="92"/>
      <c r="QDL1" s="92"/>
      <c r="QDM1" s="92"/>
      <c r="QDN1" s="92"/>
      <c r="QDO1" s="92"/>
      <c r="QDP1" s="92"/>
      <c r="QDQ1" s="92"/>
      <c r="QDR1" s="92"/>
      <c r="QDS1" s="92"/>
      <c r="QDT1" s="92"/>
      <c r="QDU1" s="92"/>
      <c r="QDV1" s="92"/>
      <c r="QDW1" s="92"/>
      <c r="QDX1" s="92"/>
      <c r="QDY1" s="92"/>
      <c r="QDZ1" s="92"/>
      <c r="QEA1" s="92"/>
      <c r="QEB1" s="92"/>
      <c r="QEC1" s="92"/>
      <c r="QED1" s="92"/>
      <c r="QEE1" s="92"/>
      <c r="QEF1" s="92"/>
      <c r="QEG1" s="92"/>
      <c r="QEH1" s="92"/>
      <c r="QEI1" s="92"/>
      <c r="QEJ1" s="92"/>
      <c r="QEK1" s="92"/>
      <c r="QEL1" s="92"/>
      <c r="QEM1" s="92"/>
      <c r="QEN1" s="92"/>
      <c r="QEO1" s="92"/>
      <c r="QEP1" s="92"/>
      <c r="QEQ1" s="92"/>
      <c r="QER1" s="92"/>
      <c r="QES1" s="92"/>
      <c r="QET1" s="92"/>
      <c r="QEU1" s="92"/>
      <c r="QEV1" s="92"/>
      <c r="QEW1" s="92"/>
      <c r="QEX1" s="92"/>
      <c r="QEY1" s="92"/>
      <c r="QEZ1" s="92"/>
      <c r="QFA1" s="92"/>
      <c r="QFB1" s="92"/>
      <c r="QFC1" s="92"/>
      <c r="QFD1" s="92"/>
      <c r="QFE1" s="92"/>
      <c r="QFF1" s="92"/>
      <c r="QFG1" s="92"/>
      <c r="QFH1" s="92"/>
      <c r="QFI1" s="92"/>
      <c r="QFJ1" s="92"/>
      <c r="QFK1" s="92"/>
      <c r="QFL1" s="92"/>
      <c r="QFM1" s="92"/>
      <c r="QFN1" s="92"/>
      <c r="QFO1" s="92"/>
      <c r="QFP1" s="92"/>
      <c r="QFQ1" s="92"/>
      <c r="QFR1" s="92"/>
      <c r="QFS1" s="92"/>
      <c r="QFT1" s="92"/>
      <c r="QFU1" s="92"/>
      <c r="QFV1" s="92"/>
      <c r="QFW1" s="92"/>
      <c r="QFX1" s="92"/>
      <c r="QFY1" s="92"/>
      <c r="QFZ1" s="92"/>
      <c r="QGA1" s="92"/>
      <c r="QGB1" s="92"/>
      <c r="QGC1" s="92"/>
      <c r="QGD1" s="92"/>
      <c r="QGE1" s="92"/>
      <c r="QGF1" s="92"/>
      <c r="QGG1" s="92"/>
      <c r="QGH1" s="92"/>
      <c r="QGI1" s="92"/>
      <c r="QGJ1" s="92"/>
      <c r="QGK1" s="92"/>
      <c r="QGL1" s="92"/>
      <c r="QGM1" s="92"/>
      <c r="QGN1" s="92"/>
      <c r="QGO1" s="92"/>
      <c r="QGP1" s="92"/>
      <c r="QGQ1" s="92"/>
      <c r="QGR1" s="92"/>
      <c r="QGS1" s="92"/>
      <c r="QGT1" s="92"/>
      <c r="QGU1" s="92"/>
      <c r="QGV1" s="92"/>
      <c r="QGW1" s="92"/>
      <c r="QGX1" s="92"/>
      <c r="QGY1" s="92"/>
      <c r="QGZ1" s="92"/>
      <c r="QHA1" s="92"/>
      <c r="QHB1" s="92"/>
      <c r="QHC1" s="92"/>
      <c r="QHD1" s="92"/>
      <c r="QHE1" s="92"/>
      <c r="QHF1" s="92"/>
      <c r="QHG1" s="92"/>
      <c r="QHH1" s="92"/>
      <c r="QHI1" s="92"/>
      <c r="QHJ1" s="92"/>
      <c r="QHK1" s="92"/>
      <c r="QHL1" s="92"/>
      <c r="QHM1" s="92"/>
      <c r="QHN1" s="92"/>
      <c r="QHO1" s="92"/>
      <c r="QHP1" s="92"/>
      <c r="QHQ1" s="92"/>
      <c r="QHR1" s="92"/>
      <c r="QHS1" s="92"/>
      <c r="QHT1" s="92"/>
      <c r="QHU1" s="92"/>
      <c r="QHV1" s="92"/>
      <c r="QHW1" s="92"/>
      <c r="QHX1" s="92"/>
      <c r="QHY1" s="92"/>
      <c r="QHZ1" s="92"/>
      <c r="QIA1" s="92"/>
      <c r="QIB1" s="92"/>
      <c r="QIC1" s="92"/>
      <c r="QID1" s="92"/>
      <c r="QIE1" s="92"/>
      <c r="QIF1" s="92"/>
      <c r="QIG1" s="92"/>
      <c r="QIH1" s="92"/>
      <c r="QII1" s="92"/>
      <c r="QIJ1" s="92"/>
      <c r="QIK1" s="92"/>
      <c r="QIL1" s="92"/>
      <c r="QIM1" s="92"/>
      <c r="QIN1" s="92"/>
      <c r="QIO1" s="92"/>
      <c r="QIP1" s="92"/>
      <c r="QIQ1" s="92"/>
      <c r="QIR1" s="92"/>
      <c r="QIS1" s="92"/>
      <c r="QIT1" s="92"/>
      <c r="QIU1" s="92"/>
      <c r="QIV1" s="92"/>
      <c r="QIW1" s="92"/>
      <c r="QIX1" s="92"/>
      <c r="QIY1" s="92"/>
      <c r="QIZ1" s="92"/>
      <c r="QJA1" s="92"/>
      <c r="QJB1" s="92"/>
      <c r="QJC1" s="92"/>
      <c r="QJD1" s="92"/>
      <c r="QJE1" s="92"/>
      <c r="QJF1" s="92"/>
      <c r="QJG1" s="92"/>
      <c r="QJH1" s="92"/>
      <c r="QJI1" s="92"/>
      <c r="QJJ1" s="92"/>
      <c r="QJK1" s="92"/>
      <c r="QJL1" s="92"/>
      <c r="QJM1" s="92"/>
      <c r="QJN1" s="92"/>
      <c r="QJO1" s="92"/>
      <c r="QJP1" s="92"/>
      <c r="QJQ1" s="92"/>
      <c r="QJR1" s="92"/>
      <c r="QJS1" s="92"/>
      <c r="QJT1" s="92"/>
      <c r="QJU1" s="92"/>
      <c r="QJV1" s="92"/>
      <c r="QJW1" s="92"/>
      <c r="QJX1" s="92"/>
      <c r="QJY1" s="92"/>
      <c r="QJZ1" s="92"/>
      <c r="QKA1" s="92"/>
      <c r="QKB1" s="92"/>
      <c r="QKC1" s="92"/>
      <c r="QKD1" s="92"/>
      <c r="QKE1" s="92"/>
      <c r="QKF1" s="92"/>
      <c r="QKG1" s="92"/>
      <c r="QKH1" s="92"/>
      <c r="QKI1" s="92"/>
      <c r="QKJ1" s="92"/>
      <c r="QKK1" s="92"/>
      <c r="QKL1" s="92"/>
      <c r="QKM1" s="92"/>
      <c r="QKN1" s="92"/>
      <c r="QKO1" s="92"/>
      <c r="QKP1" s="92"/>
      <c r="QKQ1" s="92"/>
      <c r="QKR1" s="92"/>
      <c r="QKS1" s="92"/>
      <c r="QKT1" s="92"/>
      <c r="QKU1" s="92"/>
      <c r="QKV1" s="92"/>
      <c r="QKW1" s="92"/>
      <c r="QKX1" s="92"/>
      <c r="QKY1" s="92"/>
      <c r="QKZ1" s="92"/>
      <c r="QLA1" s="92"/>
      <c r="QLB1" s="92"/>
      <c r="QLC1" s="92"/>
      <c r="QLD1" s="92"/>
      <c r="QLE1" s="92"/>
      <c r="QLF1" s="92"/>
      <c r="QLG1" s="92"/>
      <c r="QLH1" s="92"/>
      <c r="QLI1" s="92"/>
      <c r="QLJ1" s="92"/>
      <c r="QLK1" s="92"/>
      <c r="QLL1" s="92"/>
      <c r="QLM1" s="92"/>
      <c r="QLN1" s="92"/>
      <c r="QLO1" s="92"/>
      <c r="QLP1" s="92"/>
      <c r="QLQ1" s="92"/>
      <c r="QLR1" s="92"/>
      <c r="QLS1" s="92"/>
      <c r="QLT1" s="92"/>
      <c r="QLU1" s="92"/>
      <c r="QLV1" s="92"/>
      <c r="QLW1" s="92"/>
      <c r="QLX1" s="92"/>
      <c r="QLY1" s="92"/>
      <c r="QLZ1" s="92"/>
      <c r="QMA1" s="92"/>
      <c r="QMB1" s="92"/>
      <c r="QMC1" s="92"/>
      <c r="QMD1" s="92"/>
      <c r="QME1" s="92"/>
      <c r="QMF1" s="92"/>
      <c r="QMG1" s="92"/>
      <c r="QMH1" s="92"/>
      <c r="QMI1" s="92"/>
      <c r="QMJ1" s="92"/>
      <c r="QMK1" s="92"/>
      <c r="QML1" s="92"/>
      <c r="QMM1" s="92"/>
      <c r="QMN1" s="92"/>
      <c r="QMO1" s="92"/>
      <c r="QMP1" s="92"/>
      <c r="QMQ1" s="92"/>
      <c r="QMR1" s="92"/>
      <c r="QMS1" s="92"/>
      <c r="QMT1" s="92"/>
      <c r="QMU1" s="92"/>
      <c r="QMV1" s="92"/>
      <c r="QMW1" s="92"/>
      <c r="QMX1" s="92"/>
      <c r="QMY1" s="92"/>
      <c r="QMZ1" s="92"/>
      <c r="QNA1" s="92"/>
      <c r="QNB1" s="92"/>
      <c r="QNC1" s="92"/>
      <c r="QND1" s="92"/>
      <c r="QNE1" s="92"/>
      <c r="QNF1" s="92"/>
      <c r="QNG1" s="92"/>
      <c r="QNH1" s="92"/>
      <c r="QNI1" s="92"/>
      <c r="QNJ1" s="92"/>
      <c r="QNK1" s="92"/>
      <c r="QNL1" s="92"/>
      <c r="QNM1" s="92"/>
      <c r="QNN1" s="92"/>
      <c r="QNO1" s="92"/>
      <c r="QNP1" s="92"/>
      <c r="QNQ1" s="92"/>
      <c r="QNR1" s="92"/>
      <c r="QNS1" s="92"/>
      <c r="QNT1" s="92"/>
      <c r="QNU1" s="92"/>
      <c r="QNV1" s="92"/>
      <c r="QNW1" s="92"/>
      <c r="QNX1" s="92"/>
      <c r="QNY1" s="92"/>
      <c r="QNZ1" s="92"/>
      <c r="QOA1" s="92"/>
      <c r="QOB1" s="92"/>
      <c r="QOC1" s="92"/>
      <c r="QOD1" s="92"/>
      <c r="QOE1" s="92"/>
      <c r="QOF1" s="92"/>
      <c r="QOG1" s="92"/>
      <c r="QOH1" s="92"/>
      <c r="QOI1" s="92"/>
      <c r="QOJ1" s="92"/>
      <c r="QOK1" s="92"/>
      <c r="QOL1" s="92"/>
      <c r="QOM1" s="92"/>
      <c r="QON1" s="92"/>
      <c r="QOO1" s="92"/>
      <c r="QOP1" s="92"/>
      <c r="QOQ1" s="92"/>
      <c r="QOR1" s="92"/>
      <c r="QOS1" s="92"/>
      <c r="QOT1" s="92"/>
      <c r="QOU1" s="92"/>
      <c r="QOV1" s="92"/>
      <c r="QOW1" s="92"/>
      <c r="QOX1" s="92"/>
      <c r="QOY1" s="92"/>
      <c r="QOZ1" s="92"/>
      <c r="QPA1" s="92"/>
      <c r="QPB1" s="92"/>
      <c r="QPC1" s="92"/>
      <c r="QPD1" s="92"/>
      <c r="QPE1" s="92"/>
      <c r="QPF1" s="92"/>
      <c r="QPG1" s="92"/>
      <c r="QPH1" s="92"/>
      <c r="QPI1" s="92"/>
      <c r="QPJ1" s="92"/>
      <c r="QPK1" s="92"/>
      <c r="QPL1" s="92"/>
      <c r="QPM1" s="92"/>
      <c r="QPN1" s="92"/>
      <c r="QPO1" s="92"/>
      <c r="QPP1" s="92"/>
      <c r="QPQ1" s="92"/>
      <c r="QPR1" s="92"/>
      <c r="QPS1" s="92"/>
      <c r="QPT1" s="92"/>
      <c r="QPU1" s="92"/>
      <c r="QPV1" s="92"/>
      <c r="QPW1" s="92"/>
      <c r="QPX1" s="92"/>
      <c r="QPY1" s="92"/>
      <c r="QPZ1" s="92"/>
      <c r="QQA1" s="92"/>
      <c r="QQB1" s="92"/>
      <c r="QQC1" s="92"/>
      <c r="QQD1" s="92"/>
      <c r="QQE1" s="92"/>
      <c r="QQF1" s="92"/>
      <c r="QQG1" s="92"/>
      <c r="QQH1" s="92"/>
      <c r="QQI1" s="92"/>
      <c r="QQJ1" s="92"/>
      <c r="QQK1" s="92"/>
      <c r="QQL1" s="92"/>
      <c r="QQM1" s="92"/>
      <c r="QQN1" s="92"/>
      <c r="QQO1" s="92"/>
      <c r="QQP1" s="92"/>
      <c r="QQQ1" s="92"/>
      <c r="QQR1" s="92"/>
      <c r="QQS1" s="92"/>
      <c r="QQT1" s="92"/>
      <c r="QQU1" s="92"/>
      <c r="QQV1" s="92"/>
      <c r="QQW1" s="92"/>
      <c r="QQX1" s="92"/>
      <c r="QQY1" s="92"/>
      <c r="QQZ1" s="92"/>
      <c r="QRA1" s="92"/>
      <c r="QRB1" s="92"/>
      <c r="QRC1" s="92"/>
      <c r="QRD1" s="92"/>
      <c r="QRE1" s="92"/>
      <c r="QRF1" s="92"/>
      <c r="QRG1" s="92"/>
      <c r="QRH1" s="92"/>
      <c r="QRI1" s="92"/>
      <c r="QRJ1" s="92"/>
      <c r="QRK1" s="92"/>
      <c r="QRL1" s="92"/>
      <c r="QRM1" s="92"/>
      <c r="QRN1" s="92"/>
      <c r="QRO1" s="92"/>
      <c r="QRP1" s="92"/>
      <c r="QRQ1" s="92"/>
      <c r="QRR1" s="92"/>
      <c r="QRS1" s="92"/>
      <c r="QRT1" s="92"/>
      <c r="QRU1" s="92"/>
      <c r="QRV1" s="92"/>
      <c r="QRW1" s="92"/>
      <c r="QRX1" s="92"/>
      <c r="QRY1" s="92"/>
      <c r="QRZ1" s="92"/>
      <c r="QSA1" s="92"/>
      <c r="QSB1" s="92"/>
      <c r="QSC1" s="92"/>
      <c r="QSD1" s="92"/>
      <c r="QSE1" s="92"/>
      <c r="QSF1" s="92"/>
      <c r="QSG1" s="92"/>
      <c r="QSH1" s="92"/>
      <c r="QSI1" s="92"/>
      <c r="QSJ1" s="92"/>
      <c r="QSK1" s="92"/>
      <c r="QSL1" s="92"/>
      <c r="QSM1" s="92"/>
      <c r="QSN1" s="92"/>
      <c r="QSO1" s="92"/>
      <c r="QSP1" s="92"/>
      <c r="QSQ1" s="92"/>
      <c r="QSR1" s="92"/>
      <c r="QSS1" s="92"/>
      <c r="QST1" s="92"/>
      <c r="QSU1" s="92"/>
      <c r="QSV1" s="92"/>
      <c r="QSW1" s="92"/>
      <c r="QSX1" s="92"/>
      <c r="QSY1" s="92"/>
      <c r="QSZ1" s="92"/>
      <c r="QTA1" s="92"/>
      <c r="QTB1" s="92"/>
      <c r="QTC1" s="92"/>
      <c r="QTD1" s="92"/>
      <c r="QTE1" s="92"/>
      <c r="QTF1" s="92"/>
      <c r="QTG1" s="92"/>
      <c r="QTH1" s="92"/>
      <c r="QTI1" s="92"/>
      <c r="QTJ1" s="92"/>
      <c r="QTK1" s="92"/>
      <c r="QTL1" s="92"/>
      <c r="QTM1" s="92"/>
      <c r="QTN1" s="92"/>
      <c r="QTO1" s="92"/>
      <c r="QTP1" s="92"/>
      <c r="QTQ1" s="92"/>
      <c r="QTR1" s="92"/>
      <c r="QTS1" s="92"/>
      <c r="QTT1" s="92"/>
      <c r="QTU1" s="92"/>
      <c r="QTV1" s="92"/>
      <c r="QTW1" s="92"/>
      <c r="QTX1" s="92"/>
      <c r="QTY1" s="92"/>
      <c r="QTZ1" s="92"/>
      <c r="QUA1" s="92"/>
      <c r="QUB1" s="92"/>
      <c r="QUC1" s="92"/>
      <c r="QUD1" s="92"/>
      <c r="QUE1" s="92"/>
      <c r="QUF1" s="92"/>
      <c r="QUG1" s="92"/>
      <c r="QUH1" s="92"/>
      <c r="QUI1" s="92"/>
      <c r="QUJ1" s="92"/>
      <c r="QUK1" s="92"/>
      <c r="QUL1" s="92"/>
      <c r="QUM1" s="92"/>
      <c r="QUN1" s="92"/>
      <c r="QUO1" s="92"/>
      <c r="QUP1" s="92"/>
      <c r="QUQ1" s="92"/>
      <c r="QUR1" s="92"/>
      <c r="QUS1" s="92"/>
      <c r="QUT1" s="92"/>
      <c r="QUU1" s="92"/>
      <c r="QUV1" s="92"/>
      <c r="QUW1" s="92"/>
      <c r="QUX1" s="92"/>
      <c r="QUY1" s="92"/>
      <c r="QUZ1" s="92"/>
      <c r="QVA1" s="92"/>
      <c r="QVB1" s="92"/>
      <c r="QVC1" s="92"/>
      <c r="QVD1" s="92"/>
      <c r="QVE1" s="92"/>
      <c r="QVF1" s="92"/>
      <c r="QVG1" s="92"/>
      <c r="QVH1" s="92"/>
      <c r="QVI1" s="92"/>
      <c r="QVJ1" s="92"/>
      <c r="QVK1" s="92"/>
      <c r="QVL1" s="92"/>
      <c r="QVM1" s="92"/>
      <c r="QVN1" s="92"/>
      <c r="QVO1" s="92"/>
      <c r="QVP1" s="92"/>
      <c r="QVQ1" s="92"/>
      <c r="QVR1" s="92"/>
      <c r="QVS1" s="92"/>
      <c r="QVT1" s="92"/>
      <c r="QVU1" s="92"/>
      <c r="QVV1" s="92"/>
      <c r="QVW1" s="92"/>
      <c r="QVX1" s="92"/>
      <c r="QVY1" s="92"/>
      <c r="QVZ1" s="92"/>
      <c r="QWA1" s="92"/>
      <c r="QWB1" s="92"/>
      <c r="QWC1" s="92"/>
      <c r="QWD1" s="92"/>
      <c r="QWE1" s="92"/>
      <c r="QWF1" s="92"/>
      <c r="QWG1" s="92"/>
      <c r="QWH1" s="92"/>
      <c r="QWI1" s="92"/>
      <c r="QWJ1" s="92"/>
      <c r="QWK1" s="92"/>
      <c r="QWL1" s="92"/>
      <c r="QWM1" s="92"/>
      <c r="QWN1" s="92"/>
      <c r="QWO1" s="92"/>
      <c r="QWP1" s="92"/>
      <c r="QWQ1" s="92"/>
      <c r="QWR1" s="92"/>
      <c r="QWS1" s="92"/>
      <c r="QWT1" s="92"/>
      <c r="QWU1" s="92"/>
      <c r="QWV1" s="92"/>
      <c r="QWW1" s="92"/>
      <c r="QWX1" s="92"/>
      <c r="QWY1" s="92"/>
      <c r="QWZ1" s="92"/>
      <c r="QXA1" s="92"/>
      <c r="QXB1" s="92"/>
      <c r="QXC1" s="92"/>
      <c r="QXD1" s="92"/>
      <c r="QXE1" s="92"/>
      <c r="QXF1" s="92"/>
      <c r="QXG1" s="92"/>
      <c r="QXH1" s="92"/>
      <c r="QXI1" s="92"/>
      <c r="QXJ1" s="92"/>
      <c r="QXK1" s="92"/>
      <c r="QXL1" s="92"/>
      <c r="QXM1" s="92"/>
      <c r="QXN1" s="92"/>
      <c r="QXO1" s="92"/>
      <c r="QXP1" s="92"/>
      <c r="QXQ1" s="92"/>
      <c r="QXR1" s="92"/>
      <c r="QXS1" s="92"/>
      <c r="QXT1" s="92"/>
      <c r="QXU1" s="92"/>
      <c r="QXV1" s="92"/>
      <c r="QXW1" s="92"/>
      <c r="QXX1" s="92"/>
      <c r="QXY1" s="92"/>
      <c r="QXZ1" s="92"/>
      <c r="QYA1" s="92"/>
      <c r="QYB1" s="92"/>
      <c r="QYC1" s="92"/>
      <c r="QYD1" s="92"/>
      <c r="QYE1" s="92"/>
      <c r="QYF1" s="92"/>
      <c r="QYG1" s="92"/>
      <c r="QYH1" s="92"/>
      <c r="QYI1" s="92"/>
      <c r="QYJ1" s="92"/>
      <c r="QYK1" s="92"/>
      <c r="QYL1" s="92"/>
      <c r="QYM1" s="92"/>
      <c r="QYN1" s="92"/>
      <c r="QYO1" s="92"/>
      <c r="QYP1" s="92"/>
      <c r="QYQ1" s="92"/>
      <c r="QYR1" s="92"/>
      <c r="QYS1" s="92"/>
      <c r="QYT1" s="92"/>
      <c r="QYU1" s="92"/>
      <c r="QYV1" s="92"/>
      <c r="QYW1" s="92"/>
      <c r="QYX1" s="92"/>
      <c r="QYY1" s="92"/>
      <c r="QYZ1" s="92"/>
      <c r="QZA1" s="92"/>
      <c r="QZB1" s="92"/>
      <c r="QZC1" s="92"/>
      <c r="QZD1" s="92"/>
      <c r="QZE1" s="92"/>
      <c r="QZF1" s="92"/>
      <c r="QZG1" s="92"/>
      <c r="QZH1" s="92"/>
      <c r="QZI1" s="92"/>
      <c r="QZJ1" s="92"/>
      <c r="QZK1" s="92"/>
      <c r="QZL1" s="92"/>
      <c r="QZM1" s="92"/>
      <c r="QZN1" s="92"/>
      <c r="QZO1" s="92"/>
      <c r="QZP1" s="92"/>
      <c r="QZQ1" s="92"/>
      <c r="QZR1" s="92"/>
      <c r="QZS1" s="92"/>
      <c r="QZT1" s="92"/>
      <c r="QZU1" s="92"/>
      <c r="QZV1" s="92"/>
      <c r="QZW1" s="92"/>
      <c r="QZX1" s="92"/>
      <c r="QZY1" s="92"/>
      <c r="QZZ1" s="92"/>
      <c r="RAA1" s="92"/>
      <c r="RAB1" s="92"/>
      <c r="RAC1" s="92"/>
      <c r="RAD1" s="92"/>
      <c r="RAE1" s="92"/>
      <c r="RAF1" s="92"/>
      <c r="RAG1" s="92"/>
      <c r="RAH1" s="92"/>
      <c r="RAI1" s="92"/>
      <c r="RAJ1" s="92"/>
      <c r="RAK1" s="92"/>
      <c r="RAL1" s="92"/>
      <c r="RAM1" s="92"/>
      <c r="RAN1" s="92"/>
      <c r="RAO1" s="92"/>
      <c r="RAP1" s="92"/>
      <c r="RAQ1" s="92"/>
      <c r="RAR1" s="92"/>
      <c r="RAS1" s="92"/>
      <c r="RAT1" s="92"/>
      <c r="RAU1" s="92"/>
      <c r="RAV1" s="92"/>
      <c r="RAW1" s="92"/>
      <c r="RAX1" s="92"/>
      <c r="RAY1" s="92"/>
      <c r="RAZ1" s="92"/>
      <c r="RBA1" s="92"/>
      <c r="RBB1" s="92"/>
      <c r="RBC1" s="92"/>
      <c r="RBD1" s="92"/>
      <c r="RBE1" s="92"/>
      <c r="RBF1" s="92"/>
      <c r="RBG1" s="92"/>
      <c r="RBH1" s="92"/>
      <c r="RBI1" s="92"/>
      <c r="RBJ1" s="92"/>
      <c r="RBK1" s="92"/>
      <c r="RBL1" s="92"/>
      <c r="RBM1" s="92"/>
      <c r="RBN1" s="92"/>
      <c r="RBO1" s="92"/>
      <c r="RBP1" s="92"/>
      <c r="RBQ1" s="92"/>
      <c r="RBR1" s="92"/>
      <c r="RBS1" s="92"/>
      <c r="RBT1" s="92"/>
      <c r="RBU1" s="92"/>
      <c r="RBV1" s="92"/>
      <c r="RBW1" s="92"/>
      <c r="RBX1" s="92"/>
      <c r="RBY1" s="92"/>
      <c r="RBZ1" s="92"/>
      <c r="RCA1" s="92"/>
      <c r="RCB1" s="92"/>
      <c r="RCC1" s="92"/>
      <c r="RCD1" s="92"/>
      <c r="RCE1" s="92"/>
      <c r="RCF1" s="92"/>
      <c r="RCG1" s="92"/>
      <c r="RCH1" s="92"/>
      <c r="RCI1" s="92"/>
      <c r="RCJ1" s="92"/>
      <c r="RCK1" s="92"/>
      <c r="RCL1" s="92"/>
      <c r="RCM1" s="92"/>
      <c r="RCN1" s="92"/>
      <c r="RCO1" s="92"/>
      <c r="RCP1" s="92"/>
      <c r="RCQ1" s="92"/>
      <c r="RCR1" s="92"/>
      <c r="RCS1" s="92"/>
      <c r="RCT1" s="92"/>
      <c r="RCU1" s="92"/>
      <c r="RCV1" s="92"/>
      <c r="RCW1" s="92"/>
      <c r="RCX1" s="92"/>
      <c r="RCY1" s="92"/>
      <c r="RCZ1" s="92"/>
      <c r="RDA1" s="92"/>
      <c r="RDB1" s="92"/>
      <c r="RDC1" s="92"/>
      <c r="RDD1" s="92"/>
      <c r="RDE1" s="92"/>
      <c r="RDF1" s="92"/>
      <c r="RDG1" s="92"/>
      <c r="RDH1" s="92"/>
      <c r="RDI1" s="92"/>
      <c r="RDJ1" s="92"/>
      <c r="RDK1" s="92"/>
      <c r="RDL1" s="92"/>
      <c r="RDM1" s="92"/>
      <c r="RDN1" s="92"/>
      <c r="RDO1" s="92"/>
      <c r="RDP1" s="92"/>
      <c r="RDQ1" s="92"/>
      <c r="RDR1" s="92"/>
      <c r="RDS1" s="92"/>
      <c r="RDT1" s="92"/>
      <c r="RDU1" s="92"/>
      <c r="RDV1" s="92"/>
      <c r="RDW1" s="92"/>
      <c r="RDX1" s="92"/>
      <c r="RDY1" s="92"/>
      <c r="RDZ1" s="92"/>
      <c r="REA1" s="92"/>
      <c r="REB1" s="92"/>
      <c r="REC1" s="92"/>
      <c r="RED1" s="92"/>
      <c r="REE1" s="92"/>
      <c r="REF1" s="92"/>
      <c r="REG1" s="92"/>
      <c r="REH1" s="92"/>
      <c r="REI1" s="92"/>
      <c r="REJ1" s="92"/>
      <c r="REK1" s="92"/>
      <c r="REL1" s="92"/>
      <c r="REM1" s="92"/>
      <c r="REN1" s="92"/>
      <c r="REO1" s="92"/>
      <c r="REP1" s="92"/>
      <c r="REQ1" s="92"/>
      <c r="RER1" s="92"/>
      <c r="RES1" s="92"/>
      <c r="RET1" s="92"/>
      <c r="REU1" s="92"/>
      <c r="REV1" s="92"/>
      <c r="REW1" s="92"/>
      <c r="REX1" s="92"/>
      <c r="REY1" s="92"/>
      <c r="REZ1" s="92"/>
      <c r="RFA1" s="92"/>
      <c r="RFB1" s="92"/>
      <c r="RFC1" s="92"/>
      <c r="RFD1" s="92"/>
      <c r="RFE1" s="92"/>
      <c r="RFF1" s="92"/>
      <c r="RFG1" s="92"/>
      <c r="RFH1" s="92"/>
      <c r="RFI1" s="92"/>
      <c r="RFJ1" s="92"/>
      <c r="RFK1" s="92"/>
      <c r="RFL1" s="92"/>
      <c r="RFM1" s="92"/>
      <c r="RFN1" s="92"/>
      <c r="RFO1" s="92"/>
      <c r="RFP1" s="92"/>
      <c r="RFQ1" s="92"/>
      <c r="RFR1" s="92"/>
      <c r="RFS1" s="92"/>
      <c r="RFT1" s="92"/>
      <c r="RFU1" s="92"/>
      <c r="RFV1" s="92"/>
      <c r="RFW1" s="92"/>
      <c r="RFX1" s="92"/>
      <c r="RFY1" s="92"/>
      <c r="RFZ1" s="92"/>
      <c r="RGA1" s="92"/>
      <c r="RGB1" s="92"/>
      <c r="RGC1" s="92"/>
      <c r="RGD1" s="92"/>
      <c r="RGE1" s="92"/>
      <c r="RGF1" s="92"/>
      <c r="RGG1" s="92"/>
      <c r="RGH1" s="92"/>
      <c r="RGI1" s="92"/>
      <c r="RGJ1" s="92"/>
      <c r="RGK1" s="92"/>
      <c r="RGL1" s="92"/>
      <c r="RGM1" s="92"/>
      <c r="RGN1" s="92"/>
      <c r="RGO1" s="92"/>
      <c r="RGP1" s="92"/>
      <c r="RGQ1" s="92"/>
      <c r="RGR1" s="92"/>
      <c r="RGS1" s="92"/>
      <c r="RGT1" s="92"/>
      <c r="RGU1" s="92"/>
      <c r="RGV1" s="92"/>
      <c r="RGW1" s="92"/>
      <c r="RGX1" s="92"/>
      <c r="RGY1" s="92"/>
      <c r="RGZ1" s="92"/>
      <c r="RHA1" s="92"/>
      <c r="RHB1" s="92"/>
      <c r="RHC1" s="92"/>
      <c r="RHD1" s="92"/>
      <c r="RHE1" s="92"/>
      <c r="RHF1" s="92"/>
      <c r="RHG1" s="92"/>
      <c r="RHH1" s="92"/>
      <c r="RHI1" s="92"/>
      <c r="RHJ1" s="92"/>
      <c r="RHK1" s="92"/>
      <c r="RHL1" s="92"/>
      <c r="RHM1" s="92"/>
      <c r="RHN1" s="92"/>
      <c r="RHO1" s="92"/>
      <c r="RHP1" s="92"/>
      <c r="RHQ1" s="92"/>
      <c r="RHR1" s="92"/>
      <c r="RHS1" s="92"/>
      <c r="RHT1" s="92"/>
      <c r="RHU1" s="92"/>
      <c r="RHV1" s="92"/>
      <c r="RHW1" s="92"/>
      <c r="RHX1" s="92"/>
      <c r="RHY1" s="92"/>
      <c r="RHZ1" s="92"/>
      <c r="RIA1" s="92"/>
      <c r="RIB1" s="92"/>
      <c r="RIC1" s="92"/>
      <c r="RID1" s="92"/>
      <c r="RIE1" s="92"/>
      <c r="RIF1" s="92"/>
      <c r="RIG1" s="92"/>
      <c r="RIH1" s="92"/>
      <c r="RII1" s="92"/>
      <c r="RIJ1" s="92"/>
      <c r="RIK1" s="92"/>
      <c r="RIL1" s="92"/>
      <c r="RIM1" s="92"/>
      <c r="RIN1" s="92"/>
      <c r="RIO1" s="92"/>
      <c r="RIP1" s="92"/>
      <c r="RIQ1" s="92"/>
      <c r="RIR1" s="92"/>
      <c r="RIS1" s="92"/>
      <c r="RIT1" s="92"/>
      <c r="RIU1" s="92"/>
      <c r="RIV1" s="92"/>
      <c r="RIW1" s="92"/>
      <c r="RIX1" s="92"/>
      <c r="RIY1" s="92"/>
      <c r="RIZ1" s="92"/>
      <c r="RJA1" s="92"/>
      <c r="RJB1" s="92"/>
      <c r="RJC1" s="92"/>
      <c r="RJD1" s="92"/>
      <c r="RJE1" s="92"/>
      <c r="RJF1" s="92"/>
      <c r="RJG1" s="92"/>
      <c r="RJH1" s="92"/>
      <c r="RJI1" s="92"/>
      <c r="RJJ1" s="92"/>
      <c r="RJK1" s="92"/>
      <c r="RJL1" s="92"/>
      <c r="RJM1" s="92"/>
      <c r="RJN1" s="92"/>
      <c r="RJO1" s="92"/>
      <c r="RJP1" s="92"/>
      <c r="RJQ1" s="92"/>
      <c r="RJR1" s="92"/>
      <c r="RJS1" s="92"/>
      <c r="RJT1" s="92"/>
      <c r="RJU1" s="92"/>
      <c r="RJV1" s="92"/>
      <c r="RJW1" s="92"/>
      <c r="RJX1" s="92"/>
      <c r="RJY1" s="92"/>
      <c r="RJZ1" s="92"/>
      <c r="RKA1" s="92"/>
      <c r="RKB1" s="92"/>
      <c r="RKC1" s="92"/>
      <c r="RKD1" s="92"/>
      <c r="RKE1" s="92"/>
      <c r="RKF1" s="92"/>
      <c r="RKG1" s="92"/>
      <c r="RKH1" s="92"/>
      <c r="RKI1" s="92"/>
      <c r="RKJ1" s="92"/>
      <c r="RKK1" s="92"/>
      <c r="RKL1" s="92"/>
      <c r="RKM1" s="92"/>
      <c r="RKN1" s="92"/>
      <c r="RKO1" s="92"/>
      <c r="RKP1" s="92"/>
      <c r="RKQ1" s="92"/>
      <c r="RKR1" s="92"/>
      <c r="RKS1" s="92"/>
      <c r="RKT1" s="92"/>
      <c r="RKU1" s="92"/>
      <c r="RKV1" s="92"/>
      <c r="RKW1" s="92"/>
      <c r="RKX1" s="92"/>
      <c r="RKY1" s="92"/>
      <c r="RKZ1" s="92"/>
      <c r="RLA1" s="92"/>
      <c r="RLB1" s="92"/>
      <c r="RLC1" s="92"/>
      <c r="RLD1" s="92"/>
      <c r="RLE1" s="92"/>
      <c r="RLF1" s="92"/>
      <c r="RLG1" s="92"/>
      <c r="RLH1" s="92"/>
      <c r="RLI1" s="92"/>
      <c r="RLJ1" s="92"/>
      <c r="RLK1" s="92"/>
      <c r="RLL1" s="92"/>
      <c r="RLM1" s="92"/>
      <c r="RLN1" s="92"/>
      <c r="RLO1" s="92"/>
      <c r="RLP1" s="92"/>
      <c r="RLQ1" s="92"/>
      <c r="RLR1" s="92"/>
      <c r="RLS1" s="92"/>
      <c r="RLT1" s="92"/>
      <c r="RLU1" s="92"/>
      <c r="RLV1" s="92"/>
      <c r="RLW1" s="92"/>
      <c r="RLX1" s="92"/>
      <c r="RLY1" s="92"/>
      <c r="RLZ1" s="92"/>
      <c r="RMA1" s="92"/>
      <c r="RMB1" s="92"/>
      <c r="RMC1" s="92"/>
      <c r="RMD1" s="92"/>
      <c r="RME1" s="92"/>
      <c r="RMF1" s="92"/>
      <c r="RMG1" s="92"/>
      <c r="RMH1" s="92"/>
      <c r="RMI1" s="92"/>
      <c r="RMJ1" s="92"/>
      <c r="RMK1" s="92"/>
      <c r="RML1" s="92"/>
      <c r="RMM1" s="92"/>
      <c r="RMN1" s="92"/>
      <c r="RMO1" s="92"/>
      <c r="RMP1" s="92"/>
      <c r="RMQ1" s="92"/>
      <c r="RMR1" s="92"/>
      <c r="RMS1" s="92"/>
      <c r="RMT1" s="92"/>
      <c r="RMU1" s="92"/>
      <c r="RMV1" s="92"/>
      <c r="RMW1" s="92"/>
      <c r="RMX1" s="92"/>
      <c r="RMY1" s="92"/>
      <c r="RMZ1" s="92"/>
      <c r="RNA1" s="92"/>
      <c r="RNB1" s="92"/>
      <c r="RNC1" s="92"/>
      <c r="RND1" s="92"/>
      <c r="RNE1" s="92"/>
      <c r="RNF1" s="92"/>
      <c r="RNG1" s="92"/>
      <c r="RNH1" s="92"/>
      <c r="RNI1" s="92"/>
      <c r="RNJ1" s="92"/>
      <c r="RNK1" s="92"/>
      <c r="RNL1" s="92"/>
      <c r="RNM1" s="92"/>
      <c r="RNN1" s="92"/>
      <c r="RNO1" s="92"/>
      <c r="RNP1" s="92"/>
      <c r="RNQ1" s="92"/>
      <c r="RNR1" s="92"/>
      <c r="RNS1" s="92"/>
      <c r="RNT1" s="92"/>
      <c r="RNU1" s="92"/>
      <c r="RNV1" s="92"/>
      <c r="RNW1" s="92"/>
      <c r="RNX1" s="92"/>
      <c r="RNY1" s="92"/>
      <c r="RNZ1" s="92"/>
      <c r="ROA1" s="92"/>
      <c r="ROB1" s="92"/>
      <c r="ROC1" s="92"/>
      <c r="ROD1" s="92"/>
      <c r="ROE1" s="92"/>
      <c r="ROF1" s="92"/>
      <c r="ROG1" s="92"/>
      <c r="ROH1" s="92"/>
      <c r="ROI1" s="92"/>
      <c r="ROJ1" s="92"/>
      <c r="ROK1" s="92"/>
      <c r="ROL1" s="92"/>
      <c r="ROM1" s="92"/>
      <c r="RON1" s="92"/>
      <c r="ROO1" s="92"/>
      <c r="ROP1" s="92"/>
      <c r="ROQ1" s="92"/>
      <c r="ROR1" s="92"/>
      <c r="ROS1" s="92"/>
      <c r="ROT1" s="92"/>
      <c r="ROU1" s="92"/>
      <c r="ROV1" s="92"/>
      <c r="ROW1" s="92"/>
      <c r="ROX1" s="92"/>
      <c r="ROY1" s="92"/>
      <c r="ROZ1" s="92"/>
      <c r="RPA1" s="92"/>
      <c r="RPB1" s="92"/>
      <c r="RPC1" s="92"/>
      <c r="RPD1" s="92"/>
      <c r="RPE1" s="92"/>
      <c r="RPF1" s="92"/>
      <c r="RPG1" s="92"/>
      <c r="RPH1" s="92"/>
      <c r="RPI1" s="92"/>
      <c r="RPJ1" s="92"/>
      <c r="RPK1" s="92"/>
      <c r="RPL1" s="92"/>
      <c r="RPM1" s="92"/>
      <c r="RPN1" s="92"/>
      <c r="RPO1" s="92"/>
      <c r="RPP1" s="92"/>
      <c r="RPQ1" s="92"/>
      <c r="RPR1" s="92"/>
      <c r="RPS1" s="92"/>
      <c r="RPT1" s="92"/>
      <c r="RPU1" s="92"/>
      <c r="RPV1" s="92"/>
      <c r="RPW1" s="92"/>
      <c r="RPX1" s="92"/>
      <c r="RPY1" s="92"/>
      <c r="RPZ1" s="92"/>
      <c r="RQA1" s="92"/>
      <c r="RQB1" s="92"/>
      <c r="RQC1" s="92"/>
      <c r="RQD1" s="92"/>
      <c r="RQE1" s="92"/>
      <c r="RQF1" s="92"/>
      <c r="RQG1" s="92"/>
      <c r="RQH1" s="92"/>
      <c r="RQI1" s="92"/>
      <c r="RQJ1" s="92"/>
      <c r="RQK1" s="92"/>
      <c r="RQL1" s="92"/>
      <c r="RQM1" s="92"/>
      <c r="RQN1" s="92"/>
      <c r="RQO1" s="92"/>
      <c r="RQP1" s="92"/>
      <c r="RQQ1" s="92"/>
      <c r="RQR1" s="92"/>
      <c r="RQS1" s="92"/>
      <c r="RQT1" s="92"/>
      <c r="RQU1" s="92"/>
      <c r="RQV1" s="92"/>
      <c r="RQW1" s="92"/>
      <c r="RQX1" s="92"/>
      <c r="RQY1" s="92"/>
      <c r="RQZ1" s="92"/>
      <c r="RRA1" s="92"/>
      <c r="RRB1" s="92"/>
      <c r="RRC1" s="92"/>
      <c r="RRD1" s="92"/>
      <c r="RRE1" s="92"/>
      <c r="RRF1" s="92"/>
      <c r="RRG1" s="92"/>
      <c r="RRH1" s="92"/>
      <c r="RRI1" s="92"/>
      <c r="RRJ1" s="92"/>
      <c r="RRK1" s="92"/>
      <c r="RRL1" s="92"/>
      <c r="RRM1" s="92"/>
      <c r="RRN1" s="92"/>
      <c r="RRO1" s="92"/>
      <c r="RRP1" s="92"/>
      <c r="RRQ1" s="92"/>
      <c r="RRR1" s="92"/>
      <c r="RRS1" s="92"/>
      <c r="RRT1" s="92"/>
      <c r="RRU1" s="92"/>
      <c r="RRV1" s="92"/>
      <c r="RRW1" s="92"/>
      <c r="RRX1" s="92"/>
      <c r="RRY1" s="92"/>
      <c r="RRZ1" s="92"/>
      <c r="RSA1" s="92"/>
      <c r="RSB1" s="92"/>
      <c r="RSC1" s="92"/>
      <c r="RSD1" s="92"/>
      <c r="RSE1" s="92"/>
      <c r="RSF1" s="92"/>
      <c r="RSG1" s="92"/>
      <c r="RSH1" s="92"/>
      <c r="RSI1" s="92"/>
      <c r="RSJ1" s="92"/>
      <c r="RSK1" s="92"/>
      <c r="RSL1" s="92"/>
      <c r="RSM1" s="92"/>
      <c r="RSN1" s="92"/>
      <c r="RSO1" s="92"/>
      <c r="RSP1" s="92"/>
      <c r="RSQ1" s="92"/>
      <c r="RSR1" s="92"/>
      <c r="RSS1" s="92"/>
      <c r="RST1" s="92"/>
      <c r="RSU1" s="92"/>
      <c r="RSV1" s="92"/>
      <c r="RSW1" s="92"/>
      <c r="RSX1" s="92"/>
      <c r="RSY1" s="92"/>
      <c r="RSZ1" s="92"/>
      <c r="RTA1" s="92"/>
      <c r="RTB1" s="92"/>
      <c r="RTC1" s="92"/>
      <c r="RTD1" s="92"/>
      <c r="RTE1" s="92"/>
      <c r="RTF1" s="92"/>
      <c r="RTG1" s="92"/>
      <c r="RTH1" s="92"/>
      <c r="RTI1" s="92"/>
      <c r="RTJ1" s="92"/>
      <c r="RTK1" s="92"/>
      <c r="RTL1" s="92"/>
      <c r="RTM1" s="92"/>
      <c r="RTN1" s="92"/>
      <c r="RTO1" s="92"/>
      <c r="RTP1" s="92"/>
      <c r="RTQ1" s="92"/>
      <c r="RTR1" s="92"/>
      <c r="RTS1" s="92"/>
      <c r="RTT1" s="92"/>
      <c r="RTU1" s="92"/>
      <c r="RTV1" s="92"/>
      <c r="RTW1" s="92"/>
      <c r="RTX1" s="92"/>
      <c r="RTY1" s="92"/>
      <c r="RTZ1" s="92"/>
      <c r="RUA1" s="92"/>
      <c r="RUB1" s="92"/>
      <c r="RUC1" s="92"/>
      <c r="RUD1" s="92"/>
      <c r="RUE1" s="92"/>
      <c r="RUF1" s="92"/>
      <c r="RUG1" s="92"/>
      <c r="RUH1" s="92"/>
      <c r="RUI1" s="92"/>
      <c r="RUJ1" s="92"/>
      <c r="RUK1" s="92"/>
      <c r="RUL1" s="92"/>
      <c r="RUM1" s="92"/>
      <c r="RUN1" s="92"/>
      <c r="RUO1" s="92"/>
      <c r="RUP1" s="92"/>
      <c r="RUQ1" s="92"/>
      <c r="RUR1" s="92"/>
      <c r="RUS1" s="92"/>
      <c r="RUT1" s="92"/>
      <c r="RUU1" s="92"/>
      <c r="RUV1" s="92"/>
      <c r="RUW1" s="92"/>
      <c r="RUX1" s="92"/>
      <c r="RUY1" s="92"/>
      <c r="RUZ1" s="92"/>
      <c r="RVA1" s="92"/>
      <c r="RVB1" s="92"/>
      <c r="RVC1" s="92"/>
      <c r="RVD1" s="92"/>
      <c r="RVE1" s="92"/>
      <c r="RVF1" s="92"/>
      <c r="RVG1" s="92"/>
      <c r="RVH1" s="92"/>
      <c r="RVI1" s="92"/>
      <c r="RVJ1" s="92"/>
      <c r="RVK1" s="92"/>
      <c r="RVL1" s="92"/>
      <c r="RVM1" s="92"/>
      <c r="RVN1" s="92"/>
      <c r="RVO1" s="92"/>
      <c r="RVP1" s="92"/>
      <c r="RVQ1" s="92"/>
      <c r="RVR1" s="92"/>
      <c r="RVS1" s="92"/>
      <c r="RVT1" s="92"/>
      <c r="RVU1" s="92"/>
      <c r="RVV1" s="92"/>
      <c r="RVW1" s="92"/>
      <c r="RVX1" s="92"/>
      <c r="RVY1" s="92"/>
      <c r="RVZ1" s="92"/>
      <c r="RWA1" s="92"/>
      <c r="RWB1" s="92"/>
      <c r="RWC1" s="92"/>
      <c r="RWD1" s="92"/>
      <c r="RWE1" s="92"/>
      <c r="RWF1" s="92"/>
      <c r="RWG1" s="92"/>
      <c r="RWH1" s="92"/>
      <c r="RWI1" s="92"/>
      <c r="RWJ1" s="92"/>
      <c r="RWK1" s="92"/>
      <c r="RWL1" s="92"/>
      <c r="RWM1" s="92"/>
      <c r="RWN1" s="92"/>
      <c r="RWO1" s="92"/>
      <c r="RWP1" s="92"/>
      <c r="RWQ1" s="92"/>
      <c r="RWR1" s="92"/>
      <c r="RWS1" s="92"/>
      <c r="RWT1" s="92"/>
      <c r="RWU1" s="92"/>
      <c r="RWV1" s="92"/>
      <c r="RWW1" s="92"/>
      <c r="RWX1" s="92"/>
      <c r="RWY1" s="92"/>
      <c r="RWZ1" s="92"/>
      <c r="RXA1" s="92"/>
      <c r="RXB1" s="92"/>
      <c r="RXC1" s="92"/>
      <c r="RXD1" s="92"/>
      <c r="RXE1" s="92"/>
      <c r="RXF1" s="92"/>
      <c r="RXG1" s="92"/>
      <c r="RXH1" s="92"/>
      <c r="RXI1" s="92"/>
      <c r="RXJ1" s="92"/>
      <c r="RXK1" s="92"/>
      <c r="RXL1" s="92"/>
      <c r="RXM1" s="92"/>
      <c r="RXN1" s="92"/>
      <c r="RXO1" s="92"/>
      <c r="RXP1" s="92"/>
      <c r="RXQ1" s="92"/>
      <c r="RXR1" s="92"/>
      <c r="RXS1" s="92"/>
      <c r="RXT1" s="92"/>
      <c r="RXU1" s="92"/>
      <c r="RXV1" s="92"/>
      <c r="RXW1" s="92"/>
      <c r="RXX1" s="92"/>
      <c r="RXY1" s="92"/>
      <c r="RXZ1" s="92"/>
      <c r="RYA1" s="92"/>
      <c r="RYB1" s="92"/>
      <c r="RYC1" s="92"/>
      <c r="RYD1" s="92"/>
      <c r="RYE1" s="92"/>
      <c r="RYF1" s="92"/>
      <c r="RYG1" s="92"/>
      <c r="RYH1" s="92"/>
      <c r="RYI1" s="92"/>
      <c r="RYJ1" s="92"/>
      <c r="RYK1" s="92"/>
      <c r="RYL1" s="92"/>
      <c r="RYM1" s="92"/>
      <c r="RYN1" s="92"/>
      <c r="RYO1" s="92"/>
      <c r="RYP1" s="92"/>
      <c r="RYQ1" s="92"/>
      <c r="RYR1" s="92"/>
      <c r="RYS1" s="92"/>
      <c r="RYT1" s="92"/>
      <c r="RYU1" s="92"/>
      <c r="RYV1" s="92"/>
      <c r="RYW1" s="92"/>
      <c r="RYX1" s="92"/>
      <c r="RYY1" s="92"/>
      <c r="RYZ1" s="92"/>
      <c r="RZA1" s="92"/>
      <c r="RZB1" s="92"/>
      <c r="RZC1" s="92"/>
      <c r="RZD1" s="92"/>
      <c r="RZE1" s="92"/>
      <c r="RZF1" s="92"/>
      <c r="RZG1" s="92"/>
      <c r="RZH1" s="92"/>
      <c r="RZI1" s="92"/>
      <c r="RZJ1" s="92"/>
      <c r="RZK1" s="92"/>
      <c r="RZL1" s="92"/>
      <c r="RZM1" s="92"/>
      <c r="RZN1" s="92"/>
      <c r="RZO1" s="92"/>
      <c r="RZP1" s="92"/>
      <c r="RZQ1" s="92"/>
      <c r="RZR1" s="92"/>
      <c r="RZS1" s="92"/>
      <c r="RZT1" s="92"/>
      <c r="RZU1" s="92"/>
      <c r="RZV1" s="92"/>
      <c r="RZW1" s="92"/>
      <c r="RZX1" s="92"/>
      <c r="RZY1" s="92"/>
      <c r="RZZ1" s="92"/>
      <c r="SAA1" s="92"/>
      <c r="SAB1" s="92"/>
      <c r="SAC1" s="92"/>
      <c r="SAD1" s="92"/>
      <c r="SAE1" s="92"/>
      <c r="SAF1" s="92"/>
      <c r="SAG1" s="92"/>
      <c r="SAH1" s="92"/>
      <c r="SAI1" s="92"/>
      <c r="SAJ1" s="92"/>
      <c r="SAK1" s="92"/>
      <c r="SAL1" s="92"/>
      <c r="SAM1" s="92"/>
      <c r="SAN1" s="92"/>
      <c r="SAO1" s="92"/>
      <c r="SAP1" s="92"/>
      <c r="SAQ1" s="92"/>
      <c r="SAR1" s="92"/>
      <c r="SAS1" s="92"/>
      <c r="SAT1" s="92"/>
      <c r="SAU1" s="92"/>
      <c r="SAV1" s="92"/>
      <c r="SAW1" s="92"/>
      <c r="SAX1" s="92"/>
      <c r="SAY1" s="92"/>
      <c r="SAZ1" s="92"/>
      <c r="SBA1" s="92"/>
      <c r="SBB1" s="92"/>
      <c r="SBC1" s="92"/>
      <c r="SBD1" s="92"/>
      <c r="SBE1" s="92"/>
      <c r="SBF1" s="92"/>
      <c r="SBG1" s="92"/>
      <c r="SBH1" s="92"/>
      <c r="SBI1" s="92"/>
      <c r="SBJ1" s="92"/>
      <c r="SBK1" s="92"/>
      <c r="SBL1" s="92"/>
      <c r="SBM1" s="92"/>
      <c r="SBN1" s="92"/>
      <c r="SBO1" s="92"/>
      <c r="SBP1" s="92"/>
      <c r="SBQ1" s="92"/>
      <c r="SBR1" s="92"/>
      <c r="SBS1" s="92"/>
      <c r="SBT1" s="92"/>
      <c r="SBU1" s="92"/>
      <c r="SBV1" s="92"/>
      <c r="SBW1" s="92"/>
      <c r="SBX1" s="92"/>
      <c r="SBY1" s="92"/>
      <c r="SBZ1" s="92"/>
      <c r="SCA1" s="92"/>
      <c r="SCB1" s="92"/>
      <c r="SCC1" s="92"/>
      <c r="SCD1" s="92"/>
      <c r="SCE1" s="92"/>
      <c r="SCF1" s="92"/>
      <c r="SCG1" s="92"/>
      <c r="SCH1" s="92"/>
      <c r="SCI1" s="92"/>
      <c r="SCJ1" s="92"/>
      <c r="SCK1" s="92"/>
      <c r="SCL1" s="92"/>
      <c r="SCM1" s="92"/>
      <c r="SCN1" s="92"/>
      <c r="SCO1" s="92"/>
      <c r="SCP1" s="92"/>
      <c r="SCQ1" s="92"/>
      <c r="SCR1" s="92"/>
      <c r="SCS1" s="92"/>
      <c r="SCT1" s="92"/>
      <c r="SCU1" s="92"/>
      <c r="SCV1" s="92"/>
      <c r="SCW1" s="92"/>
      <c r="SCX1" s="92"/>
      <c r="SCY1" s="92"/>
      <c r="SCZ1" s="92"/>
      <c r="SDA1" s="92"/>
      <c r="SDB1" s="92"/>
      <c r="SDC1" s="92"/>
      <c r="SDD1" s="92"/>
      <c r="SDE1" s="92"/>
      <c r="SDF1" s="92"/>
      <c r="SDG1" s="92"/>
      <c r="SDH1" s="92"/>
      <c r="SDI1" s="92"/>
      <c r="SDJ1" s="92"/>
      <c r="SDK1" s="92"/>
      <c r="SDL1" s="92"/>
      <c r="SDM1" s="92"/>
      <c r="SDN1" s="92"/>
      <c r="SDO1" s="92"/>
      <c r="SDP1" s="92"/>
      <c r="SDQ1" s="92"/>
      <c r="SDR1" s="92"/>
      <c r="SDS1" s="92"/>
      <c r="SDT1" s="92"/>
      <c r="SDU1" s="92"/>
      <c r="SDV1" s="92"/>
      <c r="SDW1" s="92"/>
      <c r="SDX1" s="92"/>
      <c r="SDY1" s="92"/>
      <c r="SDZ1" s="92"/>
      <c r="SEA1" s="92"/>
      <c r="SEB1" s="92"/>
      <c r="SEC1" s="92"/>
      <c r="SED1" s="92"/>
      <c r="SEE1" s="92"/>
      <c r="SEF1" s="92"/>
      <c r="SEG1" s="92"/>
      <c r="SEH1" s="92"/>
      <c r="SEI1" s="92"/>
      <c r="SEJ1" s="92"/>
      <c r="SEK1" s="92"/>
      <c r="SEL1" s="92"/>
      <c r="SEM1" s="92"/>
      <c r="SEN1" s="92"/>
      <c r="SEO1" s="92"/>
      <c r="SEP1" s="92"/>
      <c r="SEQ1" s="92"/>
      <c r="SER1" s="92"/>
      <c r="SES1" s="92"/>
      <c r="SET1" s="92"/>
      <c r="SEU1" s="92"/>
      <c r="SEV1" s="92"/>
      <c r="SEW1" s="92"/>
      <c r="SEX1" s="92"/>
      <c r="SEY1" s="92"/>
      <c r="SEZ1" s="92"/>
      <c r="SFA1" s="92"/>
      <c r="SFB1" s="92"/>
      <c r="SFC1" s="92"/>
      <c r="SFD1" s="92"/>
      <c r="SFE1" s="92"/>
      <c r="SFF1" s="92"/>
      <c r="SFG1" s="92"/>
      <c r="SFH1" s="92"/>
      <c r="SFI1" s="92"/>
      <c r="SFJ1" s="92"/>
      <c r="SFK1" s="92"/>
      <c r="SFL1" s="92"/>
      <c r="SFM1" s="92"/>
      <c r="SFN1" s="92"/>
      <c r="SFO1" s="92"/>
      <c r="SFP1" s="92"/>
      <c r="SFQ1" s="92"/>
      <c r="SFR1" s="92"/>
      <c r="SFS1" s="92"/>
      <c r="SFT1" s="92"/>
      <c r="SFU1" s="92"/>
      <c r="SFV1" s="92"/>
      <c r="SFW1" s="92"/>
      <c r="SFX1" s="92"/>
      <c r="SFY1" s="92"/>
      <c r="SFZ1" s="92"/>
      <c r="SGA1" s="92"/>
      <c r="SGB1" s="92"/>
      <c r="SGC1" s="92"/>
      <c r="SGD1" s="92"/>
      <c r="SGE1" s="92"/>
      <c r="SGF1" s="92"/>
      <c r="SGG1" s="92"/>
      <c r="SGH1" s="92"/>
      <c r="SGI1" s="92"/>
      <c r="SGJ1" s="92"/>
      <c r="SGK1" s="92"/>
      <c r="SGL1" s="92"/>
      <c r="SGM1" s="92"/>
      <c r="SGN1" s="92"/>
      <c r="SGO1" s="92"/>
      <c r="SGP1" s="92"/>
      <c r="SGQ1" s="92"/>
      <c r="SGR1" s="92"/>
      <c r="SGS1" s="92"/>
      <c r="SGT1" s="92"/>
      <c r="SGU1" s="92"/>
      <c r="SGV1" s="92"/>
      <c r="SGW1" s="92"/>
      <c r="SGX1" s="92"/>
      <c r="SGY1" s="92"/>
      <c r="SGZ1" s="92"/>
      <c r="SHA1" s="92"/>
      <c r="SHB1" s="92"/>
      <c r="SHC1" s="92"/>
      <c r="SHD1" s="92"/>
      <c r="SHE1" s="92"/>
      <c r="SHF1" s="92"/>
      <c r="SHG1" s="92"/>
      <c r="SHH1" s="92"/>
      <c r="SHI1" s="92"/>
      <c r="SHJ1" s="92"/>
      <c r="SHK1" s="92"/>
      <c r="SHL1" s="92"/>
      <c r="SHM1" s="92"/>
      <c r="SHN1" s="92"/>
      <c r="SHO1" s="92"/>
      <c r="SHP1" s="92"/>
      <c r="SHQ1" s="92"/>
      <c r="SHR1" s="92"/>
      <c r="SHS1" s="92"/>
      <c r="SHT1" s="92"/>
      <c r="SHU1" s="92"/>
      <c r="SHV1" s="92"/>
      <c r="SHW1" s="92"/>
      <c r="SHX1" s="92"/>
      <c r="SHY1" s="92"/>
      <c r="SHZ1" s="92"/>
      <c r="SIA1" s="92"/>
      <c r="SIB1" s="92"/>
      <c r="SIC1" s="92"/>
      <c r="SID1" s="92"/>
      <c r="SIE1" s="92"/>
      <c r="SIF1" s="92"/>
      <c r="SIG1" s="92"/>
      <c r="SIH1" s="92"/>
      <c r="SII1" s="92"/>
      <c r="SIJ1" s="92"/>
      <c r="SIK1" s="92"/>
      <c r="SIL1" s="92"/>
      <c r="SIM1" s="92"/>
      <c r="SIN1" s="92"/>
      <c r="SIO1" s="92"/>
      <c r="SIP1" s="92"/>
      <c r="SIQ1" s="92"/>
      <c r="SIR1" s="92"/>
      <c r="SIS1" s="92"/>
      <c r="SIT1" s="92"/>
      <c r="SIU1" s="92"/>
      <c r="SIV1" s="92"/>
      <c r="SIW1" s="92"/>
      <c r="SIX1" s="92"/>
      <c r="SIY1" s="92"/>
      <c r="SIZ1" s="92"/>
      <c r="SJA1" s="92"/>
      <c r="SJB1" s="92"/>
      <c r="SJC1" s="92"/>
      <c r="SJD1" s="92"/>
      <c r="SJE1" s="92"/>
      <c r="SJF1" s="92"/>
      <c r="SJG1" s="92"/>
      <c r="SJH1" s="92"/>
      <c r="SJI1" s="92"/>
      <c r="SJJ1" s="92"/>
      <c r="SJK1" s="92"/>
      <c r="SJL1" s="92"/>
      <c r="SJM1" s="92"/>
      <c r="SJN1" s="92"/>
      <c r="SJO1" s="92"/>
      <c r="SJP1" s="92"/>
      <c r="SJQ1" s="92"/>
      <c r="SJR1" s="92"/>
      <c r="SJS1" s="92"/>
      <c r="SJT1" s="92"/>
      <c r="SJU1" s="92"/>
      <c r="SJV1" s="92"/>
      <c r="SJW1" s="92"/>
      <c r="SJX1" s="92"/>
      <c r="SJY1" s="92"/>
      <c r="SJZ1" s="92"/>
      <c r="SKA1" s="92"/>
      <c r="SKB1" s="92"/>
      <c r="SKC1" s="92"/>
      <c r="SKD1" s="92"/>
      <c r="SKE1" s="92"/>
      <c r="SKF1" s="92"/>
      <c r="SKG1" s="92"/>
      <c r="SKH1" s="92"/>
      <c r="SKI1" s="92"/>
      <c r="SKJ1" s="92"/>
      <c r="SKK1" s="92"/>
      <c r="SKL1" s="92"/>
      <c r="SKM1" s="92"/>
      <c r="SKN1" s="92"/>
      <c r="SKO1" s="92"/>
      <c r="SKP1" s="92"/>
      <c r="SKQ1" s="92"/>
      <c r="SKR1" s="92"/>
      <c r="SKS1" s="92"/>
      <c r="SKT1" s="92"/>
      <c r="SKU1" s="92"/>
      <c r="SKV1" s="92"/>
      <c r="SKW1" s="92"/>
      <c r="SKX1" s="92"/>
      <c r="SKY1" s="92"/>
      <c r="SKZ1" s="92"/>
      <c r="SLA1" s="92"/>
      <c r="SLB1" s="92"/>
      <c r="SLC1" s="92"/>
      <c r="SLD1" s="92"/>
      <c r="SLE1" s="92"/>
      <c r="SLF1" s="92"/>
      <c r="SLG1" s="92"/>
      <c r="SLH1" s="92"/>
      <c r="SLI1" s="92"/>
      <c r="SLJ1" s="92"/>
      <c r="SLK1" s="92"/>
      <c r="SLL1" s="92"/>
      <c r="SLM1" s="92"/>
      <c r="SLN1" s="92"/>
      <c r="SLO1" s="92"/>
      <c r="SLP1" s="92"/>
      <c r="SLQ1" s="92"/>
      <c r="SLR1" s="92"/>
      <c r="SLS1" s="92"/>
      <c r="SLT1" s="92"/>
      <c r="SLU1" s="92"/>
      <c r="SLV1" s="92"/>
      <c r="SLW1" s="92"/>
      <c r="SLX1" s="92"/>
      <c r="SLY1" s="92"/>
      <c r="SLZ1" s="92"/>
      <c r="SMA1" s="92"/>
      <c r="SMB1" s="92"/>
      <c r="SMC1" s="92"/>
      <c r="SMD1" s="92"/>
      <c r="SME1" s="92"/>
      <c r="SMF1" s="92"/>
      <c r="SMG1" s="92"/>
      <c r="SMH1" s="92"/>
      <c r="SMI1" s="92"/>
      <c r="SMJ1" s="92"/>
      <c r="SMK1" s="92"/>
      <c r="SML1" s="92"/>
      <c r="SMM1" s="92"/>
      <c r="SMN1" s="92"/>
      <c r="SMO1" s="92"/>
      <c r="SMP1" s="92"/>
      <c r="SMQ1" s="92"/>
      <c r="SMR1" s="92"/>
      <c r="SMS1" s="92"/>
      <c r="SMT1" s="92"/>
      <c r="SMU1" s="92"/>
      <c r="SMV1" s="92"/>
      <c r="SMW1" s="92"/>
      <c r="SMX1" s="92"/>
      <c r="SMY1" s="92"/>
      <c r="SMZ1" s="92"/>
      <c r="SNA1" s="92"/>
      <c r="SNB1" s="92"/>
      <c r="SNC1" s="92"/>
      <c r="SND1" s="92"/>
      <c r="SNE1" s="92"/>
      <c r="SNF1" s="92"/>
      <c r="SNG1" s="92"/>
      <c r="SNH1" s="92"/>
      <c r="SNI1" s="92"/>
      <c r="SNJ1" s="92"/>
      <c r="SNK1" s="92"/>
      <c r="SNL1" s="92"/>
      <c r="SNM1" s="92"/>
      <c r="SNN1" s="92"/>
      <c r="SNO1" s="92"/>
      <c r="SNP1" s="92"/>
      <c r="SNQ1" s="92"/>
      <c r="SNR1" s="92"/>
      <c r="SNS1" s="92"/>
      <c r="SNT1" s="92"/>
      <c r="SNU1" s="92"/>
      <c r="SNV1" s="92"/>
      <c r="SNW1" s="92"/>
      <c r="SNX1" s="92"/>
      <c r="SNY1" s="92"/>
      <c r="SNZ1" s="92"/>
      <c r="SOA1" s="92"/>
      <c r="SOB1" s="92"/>
      <c r="SOC1" s="92"/>
      <c r="SOD1" s="92"/>
      <c r="SOE1" s="92"/>
      <c r="SOF1" s="92"/>
      <c r="SOG1" s="92"/>
      <c r="SOH1" s="92"/>
      <c r="SOI1" s="92"/>
      <c r="SOJ1" s="92"/>
      <c r="SOK1" s="92"/>
      <c r="SOL1" s="92"/>
      <c r="SOM1" s="92"/>
      <c r="SON1" s="92"/>
      <c r="SOO1" s="92"/>
      <c r="SOP1" s="92"/>
      <c r="SOQ1" s="92"/>
      <c r="SOR1" s="92"/>
      <c r="SOS1" s="92"/>
      <c r="SOT1" s="92"/>
      <c r="SOU1" s="92"/>
      <c r="SOV1" s="92"/>
      <c r="SOW1" s="92"/>
      <c r="SOX1" s="92"/>
      <c r="SOY1" s="92"/>
      <c r="SOZ1" s="92"/>
      <c r="SPA1" s="92"/>
      <c r="SPB1" s="92"/>
      <c r="SPC1" s="92"/>
      <c r="SPD1" s="92"/>
      <c r="SPE1" s="92"/>
      <c r="SPF1" s="92"/>
      <c r="SPG1" s="92"/>
      <c r="SPH1" s="92"/>
      <c r="SPI1" s="92"/>
      <c r="SPJ1" s="92"/>
      <c r="SPK1" s="92"/>
      <c r="SPL1" s="92"/>
      <c r="SPM1" s="92"/>
      <c r="SPN1" s="92"/>
      <c r="SPO1" s="92"/>
      <c r="SPP1" s="92"/>
      <c r="SPQ1" s="92"/>
      <c r="SPR1" s="92"/>
      <c r="SPS1" s="92"/>
      <c r="SPT1" s="92"/>
      <c r="SPU1" s="92"/>
      <c r="SPV1" s="92"/>
      <c r="SPW1" s="92"/>
      <c r="SPX1" s="92"/>
      <c r="SPY1" s="92"/>
      <c r="SPZ1" s="92"/>
      <c r="SQA1" s="92"/>
      <c r="SQB1" s="92"/>
      <c r="SQC1" s="92"/>
      <c r="SQD1" s="92"/>
      <c r="SQE1" s="92"/>
      <c r="SQF1" s="92"/>
      <c r="SQG1" s="92"/>
      <c r="SQH1" s="92"/>
      <c r="SQI1" s="92"/>
      <c r="SQJ1" s="92"/>
      <c r="SQK1" s="92"/>
      <c r="SQL1" s="92"/>
      <c r="SQM1" s="92"/>
      <c r="SQN1" s="92"/>
      <c r="SQO1" s="92"/>
      <c r="SQP1" s="92"/>
      <c r="SQQ1" s="92"/>
      <c r="SQR1" s="92"/>
      <c r="SQS1" s="92"/>
      <c r="SQT1" s="92"/>
      <c r="SQU1" s="92"/>
      <c r="SQV1" s="92"/>
      <c r="SQW1" s="92"/>
      <c r="SQX1" s="92"/>
      <c r="SQY1" s="92"/>
      <c r="SQZ1" s="92"/>
      <c r="SRA1" s="92"/>
      <c r="SRB1" s="92"/>
      <c r="SRC1" s="92"/>
      <c r="SRD1" s="92"/>
      <c r="SRE1" s="92"/>
      <c r="SRF1" s="92"/>
      <c r="SRG1" s="92"/>
      <c r="SRH1" s="92"/>
      <c r="SRI1" s="92"/>
      <c r="SRJ1" s="92"/>
      <c r="SRK1" s="92"/>
      <c r="SRL1" s="92"/>
      <c r="SRM1" s="92"/>
      <c r="SRN1" s="92"/>
      <c r="SRO1" s="92"/>
      <c r="SRP1" s="92"/>
      <c r="SRQ1" s="92"/>
      <c r="SRR1" s="92"/>
      <c r="SRS1" s="92"/>
      <c r="SRT1" s="92"/>
      <c r="SRU1" s="92"/>
      <c r="SRV1" s="92"/>
      <c r="SRW1" s="92"/>
      <c r="SRX1" s="92"/>
      <c r="SRY1" s="92"/>
      <c r="SRZ1" s="92"/>
      <c r="SSA1" s="92"/>
      <c r="SSB1" s="92"/>
      <c r="SSC1" s="92"/>
      <c r="SSD1" s="92"/>
      <c r="SSE1" s="92"/>
      <c r="SSF1" s="92"/>
      <c r="SSG1" s="92"/>
      <c r="SSH1" s="92"/>
      <c r="SSI1" s="92"/>
      <c r="SSJ1" s="92"/>
      <c r="SSK1" s="92"/>
      <c r="SSL1" s="92"/>
      <c r="SSM1" s="92"/>
      <c r="SSN1" s="92"/>
      <c r="SSO1" s="92"/>
      <c r="SSP1" s="92"/>
      <c r="SSQ1" s="92"/>
      <c r="SSR1" s="92"/>
      <c r="SSS1" s="92"/>
      <c r="SST1" s="92"/>
      <c r="SSU1" s="92"/>
      <c r="SSV1" s="92"/>
      <c r="SSW1" s="92"/>
      <c r="SSX1" s="92"/>
      <c r="SSY1" s="92"/>
      <c r="SSZ1" s="92"/>
      <c r="STA1" s="92"/>
      <c r="STB1" s="92"/>
      <c r="STC1" s="92"/>
      <c r="STD1" s="92"/>
      <c r="STE1" s="92"/>
      <c r="STF1" s="92"/>
      <c r="STG1" s="92"/>
      <c r="STH1" s="92"/>
      <c r="STI1" s="92"/>
      <c r="STJ1" s="92"/>
      <c r="STK1" s="92"/>
      <c r="STL1" s="92"/>
      <c r="STM1" s="92"/>
      <c r="STN1" s="92"/>
      <c r="STO1" s="92"/>
      <c r="STP1" s="92"/>
      <c r="STQ1" s="92"/>
      <c r="STR1" s="92"/>
      <c r="STS1" s="92"/>
      <c r="STT1" s="92"/>
      <c r="STU1" s="92"/>
      <c r="STV1" s="92"/>
      <c r="STW1" s="92"/>
      <c r="STX1" s="92"/>
      <c r="STY1" s="92"/>
      <c r="STZ1" s="92"/>
      <c r="SUA1" s="92"/>
      <c r="SUB1" s="92"/>
      <c r="SUC1" s="92"/>
      <c r="SUD1" s="92"/>
      <c r="SUE1" s="92"/>
      <c r="SUF1" s="92"/>
      <c r="SUG1" s="92"/>
      <c r="SUH1" s="92"/>
      <c r="SUI1" s="92"/>
      <c r="SUJ1" s="92"/>
      <c r="SUK1" s="92"/>
      <c r="SUL1" s="92"/>
      <c r="SUM1" s="92"/>
      <c r="SUN1" s="92"/>
      <c r="SUO1" s="92"/>
      <c r="SUP1" s="92"/>
      <c r="SUQ1" s="92"/>
      <c r="SUR1" s="92"/>
      <c r="SUS1" s="92"/>
      <c r="SUT1" s="92"/>
      <c r="SUU1" s="92"/>
      <c r="SUV1" s="92"/>
      <c r="SUW1" s="92"/>
      <c r="SUX1" s="92"/>
      <c r="SUY1" s="92"/>
      <c r="SUZ1" s="92"/>
      <c r="SVA1" s="92"/>
      <c r="SVB1" s="92"/>
      <c r="SVC1" s="92"/>
      <c r="SVD1" s="92"/>
      <c r="SVE1" s="92"/>
      <c r="SVF1" s="92"/>
      <c r="SVG1" s="92"/>
      <c r="SVH1" s="92"/>
      <c r="SVI1" s="92"/>
      <c r="SVJ1" s="92"/>
      <c r="SVK1" s="92"/>
      <c r="SVL1" s="92"/>
      <c r="SVM1" s="92"/>
      <c r="SVN1" s="92"/>
      <c r="SVO1" s="92"/>
      <c r="SVP1" s="92"/>
      <c r="SVQ1" s="92"/>
      <c r="SVR1" s="92"/>
      <c r="SVS1" s="92"/>
      <c r="SVT1" s="92"/>
      <c r="SVU1" s="92"/>
      <c r="SVV1" s="92"/>
      <c r="SVW1" s="92"/>
      <c r="SVX1" s="92"/>
      <c r="SVY1" s="92"/>
      <c r="SVZ1" s="92"/>
      <c r="SWA1" s="92"/>
      <c r="SWB1" s="92"/>
      <c r="SWC1" s="92"/>
      <c r="SWD1" s="92"/>
      <c r="SWE1" s="92"/>
      <c r="SWF1" s="92"/>
      <c r="SWG1" s="92"/>
      <c r="SWH1" s="92"/>
      <c r="SWI1" s="92"/>
      <c r="SWJ1" s="92"/>
      <c r="SWK1" s="92"/>
      <c r="SWL1" s="92"/>
      <c r="SWM1" s="92"/>
      <c r="SWN1" s="92"/>
      <c r="SWO1" s="92"/>
      <c r="SWP1" s="92"/>
      <c r="SWQ1" s="92"/>
      <c r="SWR1" s="92"/>
      <c r="SWS1" s="92"/>
      <c r="SWT1" s="92"/>
      <c r="SWU1" s="92"/>
      <c r="SWV1" s="92"/>
      <c r="SWW1" s="92"/>
      <c r="SWX1" s="92"/>
      <c r="SWY1" s="92"/>
      <c r="SWZ1" s="92"/>
      <c r="SXA1" s="92"/>
      <c r="SXB1" s="92"/>
      <c r="SXC1" s="92"/>
      <c r="SXD1" s="92"/>
      <c r="SXE1" s="92"/>
      <c r="SXF1" s="92"/>
      <c r="SXG1" s="92"/>
      <c r="SXH1" s="92"/>
      <c r="SXI1" s="92"/>
      <c r="SXJ1" s="92"/>
      <c r="SXK1" s="92"/>
      <c r="SXL1" s="92"/>
      <c r="SXM1" s="92"/>
      <c r="SXN1" s="92"/>
      <c r="SXO1" s="92"/>
      <c r="SXP1" s="92"/>
      <c r="SXQ1" s="92"/>
      <c r="SXR1" s="92"/>
      <c r="SXS1" s="92"/>
      <c r="SXT1" s="92"/>
      <c r="SXU1" s="92"/>
      <c r="SXV1" s="92"/>
      <c r="SXW1" s="92"/>
      <c r="SXX1" s="92"/>
      <c r="SXY1" s="92"/>
      <c r="SXZ1" s="92"/>
      <c r="SYA1" s="92"/>
      <c r="SYB1" s="92"/>
      <c r="SYC1" s="92"/>
      <c r="SYD1" s="92"/>
      <c r="SYE1" s="92"/>
      <c r="SYF1" s="92"/>
      <c r="SYG1" s="92"/>
      <c r="SYH1" s="92"/>
      <c r="SYI1" s="92"/>
      <c r="SYJ1" s="92"/>
      <c r="SYK1" s="92"/>
      <c r="SYL1" s="92"/>
      <c r="SYM1" s="92"/>
      <c r="SYN1" s="92"/>
      <c r="SYO1" s="92"/>
      <c r="SYP1" s="92"/>
      <c r="SYQ1" s="92"/>
      <c r="SYR1" s="92"/>
      <c r="SYS1" s="92"/>
      <c r="SYT1" s="92"/>
      <c r="SYU1" s="92"/>
      <c r="SYV1" s="92"/>
      <c r="SYW1" s="92"/>
      <c r="SYX1" s="92"/>
      <c r="SYY1" s="92"/>
      <c r="SYZ1" s="92"/>
      <c r="SZA1" s="92"/>
      <c r="SZB1" s="92"/>
      <c r="SZC1" s="92"/>
      <c r="SZD1" s="92"/>
      <c r="SZE1" s="92"/>
      <c r="SZF1" s="92"/>
      <c r="SZG1" s="92"/>
      <c r="SZH1" s="92"/>
      <c r="SZI1" s="92"/>
      <c r="SZJ1" s="92"/>
      <c r="SZK1" s="92"/>
      <c r="SZL1" s="92"/>
      <c r="SZM1" s="92"/>
      <c r="SZN1" s="92"/>
      <c r="SZO1" s="92"/>
      <c r="SZP1" s="92"/>
      <c r="SZQ1" s="92"/>
      <c r="SZR1" s="92"/>
      <c r="SZS1" s="92"/>
      <c r="SZT1" s="92"/>
      <c r="SZU1" s="92"/>
      <c r="SZV1" s="92"/>
      <c r="SZW1" s="92"/>
      <c r="SZX1" s="92"/>
      <c r="SZY1" s="92"/>
      <c r="SZZ1" s="92"/>
      <c r="TAA1" s="92"/>
      <c r="TAB1" s="92"/>
      <c r="TAC1" s="92"/>
      <c r="TAD1" s="92"/>
      <c r="TAE1" s="92"/>
      <c r="TAF1" s="92"/>
      <c r="TAG1" s="92"/>
      <c r="TAH1" s="92"/>
      <c r="TAI1" s="92"/>
      <c r="TAJ1" s="92"/>
      <c r="TAK1" s="92"/>
      <c r="TAL1" s="92"/>
      <c r="TAM1" s="92"/>
      <c r="TAN1" s="92"/>
      <c r="TAO1" s="92"/>
      <c r="TAP1" s="92"/>
      <c r="TAQ1" s="92"/>
      <c r="TAR1" s="92"/>
      <c r="TAS1" s="92"/>
      <c r="TAT1" s="92"/>
      <c r="TAU1" s="92"/>
      <c r="TAV1" s="92"/>
      <c r="TAW1" s="92"/>
      <c r="TAX1" s="92"/>
      <c r="TAY1" s="92"/>
      <c r="TAZ1" s="92"/>
      <c r="TBA1" s="92"/>
      <c r="TBB1" s="92"/>
      <c r="TBC1" s="92"/>
      <c r="TBD1" s="92"/>
      <c r="TBE1" s="92"/>
      <c r="TBF1" s="92"/>
      <c r="TBG1" s="92"/>
      <c r="TBH1" s="92"/>
      <c r="TBI1" s="92"/>
      <c r="TBJ1" s="92"/>
      <c r="TBK1" s="92"/>
      <c r="TBL1" s="92"/>
      <c r="TBM1" s="92"/>
      <c r="TBN1" s="92"/>
      <c r="TBO1" s="92"/>
      <c r="TBP1" s="92"/>
      <c r="TBQ1" s="92"/>
      <c r="TBR1" s="92"/>
      <c r="TBS1" s="92"/>
      <c r="TBT1" s="92"/>
      <c r="TBU1" s="92"/>
      <c r="TBV1" s="92"/>
      <c r="TBW1" s="92"/>
      <c r="TBX1" s="92"/>
      <c r="TBY1" s="92"/>
      <c r="TBZ1" s="92"/>
      <c r="TCA1" s="92"/>
      <c r="TCB1" s="92"/>
      <c r="TCC1" s="92"/>
      <c r="TCD1" s="92"/>
      <c r="TCE1" s="92"/>
      <c r="TCF1" s="92"/>
      <c r="TCG1" s="92"/>
      <c r="TCH1" s="92"/>
      <c r="TCI1" s="92"/>
      <c r="TCJ1" s="92"/>
      <c r="TCK1" s="92"/>
      <c r="TCL1" s="92"/>
      <c r="TCM1" s="92"/>
      <c r="TCN1" s="92"/>
      <c r="TCO1" s="92"/>
      <c r="TCP1" s="92"/>
      <c r="TCQ1" s="92"/>
      <c r="TCR1" s="92"/>
      <c r="TCS1" s="92"/>
      <c r="TCT1" s="92"/>
      <c r="TCU1" s="92"/>
      <c r="TCV1" s="92"/>
      <c r="TCW1" s="92"/>
      <c r="TCX1" s="92"/>
      <c r="TCY1" s="92"/>
      <c r="TCZ1" s="92"/>
      <c r="TDA1" s="92"/>
      <c r="TDB1" s="92"/>
      <c r="TDC1" s="92"/>
      <c r="TDD1" s="92"/>
      <c r="TDE1" s="92"/>
      <c r="TDF1" s="92"/>
      <c r="TDG1" s="92"/>
      <c r="TDH1" s="92"/>
      <c r="TDI1" s="92"/>
      <c r="TDJ1" s="92"/>
      <c r="TDK1" s="92"/>
      <c r="TDL1" s="92"/>
      <c r="TDM1" s="92"/>
      <c r="TDN1" s="92"/>
      <c r="TDO1" s="92"/>
      <c r="TDP1" s="92"/>
      <c r="TDQ1" s="92"/>
      <c r="TDR1" s="92"/>
      <c r="TDS1" s="92"/>
      <c r="TDT1" s="92"/>
      <c r="TDU1" s="92"/>
      <c r="TDV1" s="92"/>
      <c r="TDW1" s="92"/>
      <c r="TDX1" s="92"/>
      <c r="TDY1" s="92"/>
      <c r="TDZ1" s="92"/>
      <c r="TEA1" s="92"/>
      <c r="TEB1" s="92"/>
      <c r="TEC1" s="92"/>
      <c r="TED1" s="92"/>
      <c r="TEE1" s="92"/>
      <c r="TEF1" s="92"/>
      <c r="TEG1" s="92"/>
      <c r="TEH1" s="92"/>
      <c r="TEI1" s="92"/>
      <c r="TEJ1" s="92"/>
      <c r="TEK1" s="92"/>
      <c r="TEL1" s="92"/>
      <c r="TEM1" s="92"/>
      <c r="TEN1" s="92"/>
      <c r="TEO1" s="92"/>
      <c r="TEP1" s="92"/>
      <c r="TEQ1" s="92"/>
      <c r="TER1" s="92"/>
      <c r="TES1" s="92"/>
      <c r="TET1" s="92"/>
      <c r="TEU1" s="92"/>
      <c r="TEV1" s="92"/>
      <c r="TEW1" s="92"/>
      <c r="TEX1" s="92"/>
      <c r="TEY1" s="92"/>
      <c r="TEZ1" s="92"/>
      <c r="TFA1" s="92"/>
      <c r="TFB1" s="92"/>
      <c r="TFC1" s="92"/>
      <c r="TFD1" s="92"/>
      <c r="TFE1" s="92"/>
      <c r="TFF1" s="92"/>
      <c r="TFG1" s="92"/>
      <c r="TFH1" s="92"/>
      <c r="TFI1" s="92"/>
      <c r="TFJ1" s="92"/>
      <c r="TFK1" s="92"/>
      <c r="TFL1" s="92"/>
      <c r="TFM1" s="92"/>
      <c r="TFN1" s="92"/>
      <c r="TFO1" s="92"/>
      <c r="TFP1" s="92"/>
      <c r="TFQ1" s="92"/>
      <c r="TFR1" s="92"/>
      <c r="TFS1" s="92"/>
      <c r="TFT1" s="92"/>
      <c r="TFU1" s="92"/>
      <c r="TFV1" s="92"/>
      <c r="TFW1" s="92"/>
      <c r="TFX1" s="92"/>
      <c r="TFY1" s="92"/>
      <c r="TFZ1" s="92"/>
      <c r="TGA1" s="92"/>
      <c r="TGB1" s="92"/>
      <c r="TGC1" s="92"/>
      <c r="TGD1" s="92"/>
      <c r="TGE1" s="92"/>
      <c r="TGF1" s="92"/>
      <c r="TGG1" s="92"/>
      <c r="TGH1" s="92"/>
      <c r="TGI1" s="92"/>
      <c r="TGJ1" s="92"/>
      <c r="TGK1" s="92"/>
      <c r="TGL1" s="92"/>
      <c r="TGM1" s="92"/>
      <c r="TGN1" s="92"/>
      <c r="TGO1" s="92"/>
      <c r="TGP1" s="92"/>
      <c r="TGQ1" s="92"/>
      <c r="TGR1" s="92"/>
      <c r="TGS1" s="92"/>
      <c r="TGT1" s="92"/>
      <c r="TGU1" s="92"/>
      <c r="TGV1" s="92"/>
      <c r="TGW1" s="92"/>
      <c r="TGX1" s="92"/>
      <c r="TGY1" s="92"/>
      <c r="TGZ1" s="92"/>
      <c r="THA1" s="92"/>
      <c r="THB1" s="92"/>
      <c r="THC1" s="92"/>
      <c r="THD1" s="92"/>
      <c r="THE1" s="92"/>
      <c r="THF1" s="92"/>
      <c r="THG1" s="92"/>
      <c r="THH1" s="92"/>
      <c r="THI1" s="92"/>
      <c r="THJ1" s="92"/>
      <c r="THK1" s="92"/>
      <c r="THL1" s="92"/>
      <c r="THM1" s="92"/>
      <c r="THN1" s="92"/>
      <c r="THO1" s="92"/>
      <c r="THP1" s="92"/>
      <c r="THQ1" s="92"/>
      <c r="THR1" s="92"/>
      <c r="THS1" s="92"/>
      <c r="THT1" s="92"/>
      <c r="THU1" s="92"/>
      <c r="THV1" s="92"/>
      <c r="THW1" s="92"/>
      <c r="THX1" s="92"/>
      <c r="THY1" s="92"/>
      <c r="THZ1" s="92"/>
      <c r="TIA1" s="92"/>
      <c r="TIB1" s="92"/>
      <c r="TIC1" s="92"/>
      <c r="TID1" s="92"/>
      <c r="TIE1" s="92"/>
      <c r="TIF1" s="92"/>
      <c r="TIG1" s="92"/>
      <c r="TIH1" s="92"/>
      <c r="TII1" s="92"/>
      <c r="TIJ1" s="92"/>
      <c r="TIK1" s="92"/>
      <c r="TIL1" s="92"/>
      <c r="TIM1" s="92"/>
      <c r="TIN1" s="92"/>
      <c r="TIO1" s="92"/>
      <c r="TIP1" s="92"/>
      <c r="TIQ1" s="92"/>
      <c r="TIR1" s="92"/>
      <c r="TIS1" s="92"/>
      <c r="TIT1" s="92"/>
      <c r="TIU1" s="92"/>
      <c r="TIV1" s="92"/>
      <c r="TIW1" s="92"/>
      <c r="TIX1" s="92"/>
      <c r="TIY1" s="92"/>
      <c r="TIZ1" s="92"/>
      <c r="TJA1" s="92"/>
      <c r="TJB1" s="92"/>
      <c r="TJC1" s="92"/>
      <c r="TJD1" s="92"/>
      <c r="TJE1" s="92"/>
      <c r="TJF1" s="92"/>
      <c r="TJG1" s="92"/>
      <c r="TJH1" s="92"/>
      <c r="TJI1" s="92"/>
      <c r="TJJ1" s="92"/>
      <c r="TJK1" s="92"/>
      <c r="TJL1" s="92"/>
      <c r="TJM1" s="92"/>
      <c r="TJN1" s="92"/>
      <c r="TJO1" s="92"/>
      <c r="TJP1" s="92"/>
      <c r="TJQ1" s="92"/>
      <c r="TJR1" s="92"/>
      <c r="TJS1" s="92"/>
      <c r="TJT1" s="92"/>
      <c r="TJU1" s="92"/>
      <c r="TJV1" s="92"/>
      <c r="TJW1" s="92"/>
      <c r="TJX1" s="92"/>
      <c r="TJY1" s="92"/>
      <c r="TJZ1" s="92"/>
      <c r="TKA1" s="92"/>
      <c r="TKB1" s="92"/>
      <c r="TKC1" s="92"/>
      <c r="TKD1" s="92"/>
      <c r="TKE1" s="92"/>
      <c r="TKF1" s="92"/>
      <c r="TKG1" s="92"/>
      <c r="TKH1" s="92"/>
      <c r="TKI1" s="92"/>
      <c r="TKJ1" s="92"/>
      <c r="TKK1" s="92"/>
      <c r="TKL1" s="92"/>
      <c r="TKM1" s="92"/>
      <c r="TKN1" s="92"/>
      <c r="TKO1" s="92"/>
      <c r="TKP1" s="92"/>
      <c r="TKQ1" s="92"/>
      <c r="TKR1" s="92"/>
      <c r="TKS1" s="92"/>
      <c r="TKT1" s="92"/>
      <c r="TKU1" s="92"/>
      <c r="TKV1" s="92"/>
      <c r="TKW1" s="92"/>
      <c r="TKX1" s="92"/>
      <c r="TKY1" s="92"/>
      <c r="TKZ1" s="92"/>
      <c r="TLA1" s="92"/>
      <c r="TLB1" s="92"/>
      <c r="TLC1" s="92"/>
      <c r="TLD1" s="92"/>
      <c r="TLE1" s="92"/>
      <c r="TLF1" s="92"/>
      <c r="TLG1" s="92"/>
      <c r="TLH1" s="92"/>
      <c r="TLI1" s="92"/>
      <c r="TLJ1" s="92"/>
      <c r="TLK1" s="92"/>
      <c r="TLL1" s="92"/>
      <c r="TLM1" s="92"/>
      <c r="TLN1" s="92"/>
      <c r="TLO1" s="92"/>
      <c r="TLP1" s="92"/>
      <c r="TLQ1" s="92"/>
      <c r="TLR1" s="92"/>
      <c r="TLS1" s="92"/>
      <c r="TLT1" s="92"/>
      <c r="TLU1" s="92"/>
      <c r="TLV1" s="92"/>
      <c r="TLW1" s="92"/>
      <c r="TLX1" s="92"/>
      <c r="TLY1" s="92"/>
      <c r="TLZ1" s="92"/>
      <c r="TMA1" s="92"/>
      <c r="TMB1" s="92"/>
      <c r="TMC1" s="92"/>
      <c r="TMD1" s="92"/>
      <c r="TME1" s="92"/>
      <c r="TMF1" s="92"/>
      <c r="TMG1" s="92"/>
      <c r="TMH1" s="92"/>
      <c r="TMI1" s="92"/>
      <c r="TMJ1" s="92"/>
      <c r="TMK1" s="92"/>
      <c r="TML1" s="92"/>
      <c r="TMM1" s="92"/>
      <c r="TMN1" s="92"/>
      <c r="TMO1" s="92"/>
      <c r="TMP1" s="92"/>
      <c r="TMQ1" s="92"/>
      <c r="TMR1" s="92"/>
      <c r="TMS1" s="92"/>
      <c r="TMT1" s="92"/>
      <c r="TMU1" s="92"/>
      <c r="TMV1" s="92"/>
      <c r="TMW1" s="92"/>
      <c r="TMX1" s="92"/>
      <c r="TMY1" s="92"/>
      <c r="TMZ1" s="92"/>
      <c r="TNA1" s="92"/>
      <c r="TNB1" s="92"/>
      <c r="TNC1" s="92"/>
      <c r="TND1" s="92"/>
      <c r="TNE1" s="92"/>
      <c r="TNF1" s="92"/>
      <c r="TNG1" s="92"/>
      <c r="TNH1" s="92"/>
      <c r="TNI1" s="92"/>
      <c r="TNJ1" s="92"/>
      <c r="TNK1" s="92"/>
      <c r="TNL1" s="92"/>
      <c r="TNM1" s="92"/>
      <c r="TNN1" s="92"/>
      <c r="TNO1" s="92"/>
      <c r="TNP1" s="92"/>
      <c r="TNQ1" s="92"/>
      <c r="TNR1" s="92"/>
      <c r="TNS1" s="92"/>
      <c r="TNT1" s="92"/>
      <c r="TNU1" s="92"/>
      <c r="TNV1" s="92"/>
      <c r="TNW1" s="92"/>
      <c r="TNX1" s="92"/>
      <c r="TNY1" s="92"/>
      <c r="TNZ1" s="92"/>
      <c r="TOA1" s="92"/>
      <c r="TOB1" s="92"/>
      <c r="TOC1" s="92"/>
      <c r="TOD1" s="92"/>
      <c r="TOE1" s="92"/>
      <c r="TOF1" s="92"/>
      <c r="TOG1" s="92"/>
      <c r="TOH1" s="92"/>
      <c r="TOI1" s="92"/>
      <c r="TOJ1" s="92"/>
      <c r="TOK1" s="92"/>
      <c r="TOL1" s="92"/>
      <c r="TOM1" s="92"/>
      <c r="TON1" s="92"/>
      <c r="TOO1" s="92"/>
      <c r="TOP1" s="92"/>
      <c r="TOQ1" s="92"/>
      <c r="TOR1" s="92"/>
      <c r="TOS1" s="92"/>
      <c r="TOT1" s="92"/>
      <c r="TOU1" s="92"/>
      <c r="TOV1" s="92"/>
      <c r="TOW1" s="92"/>
      <c r="TOX1" s="92"/>
      <c r="TOY1" s="92"/>
      <c r="TOZ1" s="92"/>
      <c r="TPA1" s="92"/>
      <c r="TPB1" s="92"/>
      <c r="TPC1" s="92"/>
      <c r="TPD1" s="92"/>
      <c r="TPE1" s="92"/>
      <c r="TPF1" s="92"/>
      <c r="TPG1" s="92"/>
      <c r="TPH1" s="92"/>
      <c r="TPI1" s="92"/>
      <c r="TPJ1" s="92"/>
      <c r="TPK1" s="92"/>
      <c r="TPL1" s="92"/>
      <c r="TPM1" s="92"/>
      <c r="TPN1" s="92"/>
      <c r="TPO1" s="92"/>
      <c r="TPP1" s="92"/>
      <c r="TPQ1" s="92"/>
      <c r="TPR1" s="92"/>
      <c r="TPS1" s="92"/>
      <c r="TPT1" s="92"/>
      <c r="TPU1" s="92"/>
      <c r="TPV1" s="92"/>
      <c r="TPW1" s="92"/>
      <c r="TPX1" s="92"/>
      <c r="TPY1" s="92"/>
      <c r="TPZ1" s="92"/>
      <c r="TQA1" s="92"/>
      <c r="TQB1" s="92"/>
      <c r="TQC1" s="92"/>
      <c r="TQD1" s="92"/>
      <c r="TQE1" s="92"/>
      <c r="TQF1" s="92"/>
      <c r="TQG1" s="92"/>
      <c r="TQH1" s="92"/>
      <c r="TQI1" s="92"/>
      <c r="TQJ1" s="92"/>
      <c r="TQK1" s="92"/>
      <c r="TQL1" s="92"/>
      <c r="TQM1" s="92"/>
      <c r="TQN1" s="92"/>
      <c r="TQO1" s="92"/>
      <c r="TQP1" s="92"/>
      <c r="TQQ1" s="92"/>
      <c r="TQR1" s="92"/>
      <c r="TQS1" s="92"/>
      <c r="TQT1" s="92"/>
      <c r="TQU1" s="92"/>
      <c r="TQV1" s="92"/>
      <c r="TQW1" s="92"/>
      <c r="TQX1" s="92"/>
      <c r="TQY1" s="92"/>
      <c r="TQZ1" s="92"/>
      <c r="TRA1" s="92"/>
      <c r="TRB1" s="92"/>
      <c r="TRC1" s="92"/>
      <c r="TRD1" s="92"/>
      <c r="TRE1" s="92"/>
      <c r="TRF1" s="92"/>
      <c r="TRG1" s="92"/>
      <c r="TRH1" s="92"/>
      <c r="TRI1" s="92"/>
      <c r="TRJ1" s="92"/>
      <c r="TRK1" s="92"/>
      <c r="TRL1" s="92"/>
      <c r="TRM1" s="92"/>
      <c r="TRN1" s="92"/>
      <c r="TRO1" s="92"/>
      <c r="TRP1" s="92"/>
      <c r="TRQ1" s="92"/>
      <c r="TRR1" s="92"/>
      <c r="TRS1" s="92"/>
      <c r="TRT1" s="92"/>
      <c r="TRU1" s="92"/>
      <c r="TRV1" s="92"/>
      <c r="TRW1" s="92"/>
      <c r="TRX1" s="92"/>
      <c r="TRY1" s="92"/>
      <c r="TRZ1" s="92"/>
      <c r="TSA1" s="92"/>
      <c r="TSB1" s="92"/>
      <c r="TSC1" s="92"/>
      <c r="TSD1" s="92"/>
      <c r="TSE1" s="92"/>
      <c r="TSF1" s="92"/>
      <c r="TSG1" s="92"/>
      <c r="TSH1" s="92"/>
      <c r="TSI1" s="92"/>
      <c r="TSJ1" s="92"/>
      <c r="TSK1" s="92"/>
      <c r="TSL1" s="92"/>
      <c r="TSM1" s="92"/>
      <c r="TSN1" s="92"/>
      <c r="TSO1" s="92"/>
      <c r="TSP1" s="92"/>
      <c r="TSQ1" s="92"/>
      <c r="TSR1" s="92"/>
      <c r="TSS1" s="92"/>
      <c r="TST1" s="92"/>
      <c r="TSU1" s="92"/>
      <c r="TSV1" s="92"/>
      <c r="TSW1" s="92"/>
      <c r="TSX1" s="92"/>
      <c r="TSY1" s="92"/>
      <c r="TSZ1" s="92"/>
      <c r="TTA1" s="92"/>
      <c r="TTB1" s="92"/>
      <c r="TTC1" s="92"/>
      <c r="TTD1" s="92"/>
      <c r="TTE1" s="92"/>
      <c r="TTF1" s="92"/>
      <c r="TTG1" s="92"/>
      <c r="TTH1" s="92"/>
      <c r="TTI1" s="92"/>
      <c r="TTJ1" s="92"/>
      <c r="TTK1" s="92"/>
      <c r="TTL1" s="92"/>
      <c r="TTM1" s="92"/>
      <c r="TTN1" s="92"/>
      <c r="TTO1" s="92"/>
      <c r="TTP1" s="92"/>
      <c r="TTQ1" s="92"/>
      <c r="TTR1" s="92"/>
      <c r="TTS1" s="92"/>
      <c r="TTT1" s="92"/>
      <c r="TTU1" s="92"/>
      <c r="TTV1" s="92"/>
      <c r="TTW1" s="92"/>
      <c r="TTX1" s="92"/>
      <c r="TTY1" s="92"/>
      <c r="TTZ1" s="92"/>
      <c r="TUA1" s="92"/>
      <c r="TUB1" s="92"/>
      <c r="TUC1" s="92"/>
      <c r="TUD1" s="92"/>
      <c r="TUE1" s="92"/>
      <c r="TUF1" s="92"/>
      <c r="TUG1" s="92"/>
      <c r="TUH1" s="92"/>
      <c r="TUI1" s="92"/>
      <c r="TUJ1" s="92"/>
      <c r="TUK1" s="92"/>
      <c r="TUL1" s="92"/>
      <c r="TUM1" s="92"/>
      <c r="TUN1" s="92"/>
      <c r="TUO1" s="92"/>
      <c r="TUP1" s="92"/>
      <c r="TUQ1" s="92"/>
      <c r="TUR1" s="92"/>
      <c r="TUS1" s="92"/>
      <c r="TUT1" s="92"/>
      <c r="TUU1" s="92"/>
      <c r="TUV1" s="92"/>
      <c r="TUW1" s="92"/>
      <c r="TUX1" s="92"/>
      <c r="TUY1" s="92"/>
      <c r="TUZ1" s="92"/>
      <c r="TVA1" s="92"/>
      <c r="TVB1" s="92"/>
      <c r="TVC1" s="92"/>
      <c r="TVD1" s="92"/>
      <c r="TVE1" s="92"/>
      <c r="TVF1" s="92"/>
      <c r="TVG1" s="92"/>
      <c r="TVH1" s="92"/>
      <c r="TVI1" s="92"/>
      <c r="TVJ1" s="92"/>
      <c r="TVK1" s="92"/>
      <c r="TVL1" s="92"/>
      <c r="TVM1" s="92"/>
      <c r="TVN1" s="92"/>
      <c r="TVO1" s="92"/>
      <c r="TVP1" s="92"/>
      <c r="TVQ1" s="92"/>
      <c r="TVR1" s="92"/>
      <c r="TVS1" s="92"/>
      <c r="TVT1" s="92"/>
      <c r="TVU1" s="92"/>
      <c r="TVV1" s="92"/>
      <c r="TVW1" s="92"/>
      <c r="TVX1" s="92"/>
      <c r="TVY1" s="92"/>
      <c r="TVZ1" s="92"/>
      <c r="TWA1" s="92"/>
      <c r="TWB1" s="92"/>
      <c r="TWC1" s="92"/>
      <c r="TWD1" s="92"/>
      <c r="TWE1" s="92"/>
      <c r="TWF1" s="92"/>
      <c r="TWG1" s="92"/>
      <c r="TWH1" s="92"/>
      <c r="TWI1" s="92"/>
      <c r="TWJ1" s="92"/>
      <c r="TWK1" s="92"/>
      <c r="TWL1" s="92"/>
      <c r="TWM1" s="92"/>
      <c r="TWN1" s="92"/>
      <c r="TWO1" s="92"/>
      <c r="TWP1" s="92"/>
      <c r="TWQ1" s="92"/>
      <c r="TWR1" s="92"/>
      <c r="TWS1" s="92"/>
      <c r="TWT1" s="92"/>
      <c r="TWU1" s="92"/>
      <c r="TWV1" s="92"/>
      <c r="TWW1" s="92"/>
      <c r="TWX1" s="92"/>
      <c r="TWY1" s="92"/>
      <c r="TWZ1" s="92"/>
      <c r="TXA1" s="92"/>
      <c r="TXB1" s="92"/>
      <c r="TXC1" s="92"/>
      <c r="TXD1" s="92"/>
      <c r="TXE1" s="92"/>
      <c r="TXF1" s="92"/>
      <c r="TXG1" s="92"/>
      <c r="TXH1" s="92"/>
      <c r="TXI1" s="92"/>
      <c r="TXJ1" s="92"/>
      <c r="TXK1" s="92"/>
      <c r="TXL1" s="92"/>
      <c r="TXM1" s="92"/>
      <c r="TXN1" s="92"/>
      <c r="TXO1" s="92"/>
      <c r="TXP1" s="92"/>
      <c r="TXQ1" s="92"/>
      <c r="TXR1" s="92"/>
      <c r="TXS1" s="92"/>
      <c r="TXT1" s="92"/>
      <c r="TXU1" s="92"/>
      <c r="TXV1" s="92"/>
      <c r="TXW1" s="92"/>
      <c r="TXX1" s="92"/>
      <c r="TXY1" s="92"/>
      <c r="TXZ1" s="92"/>
      <c r="TYA1" s="92"/>
      <c r="TYB1" s="92"/>
      <c r="TYC1" s="92"/>
      <c r="TYD1" s="92"/>
      <c r="TYE1" s="92"/>
      <c r="TYF1" s="92"/>
      <c r="TYG1" s="92"/>
      <c r="TYH1" s="92"/>
      <c r="TYI1" s="92"/>
      <c r="TYJ1" s="92"/>
      <c r="TYK1" s="92"/>
      <c r="TYL1" s="92"/>
      <c r="TYM1" s="92"/>
      <c r="TYN1" s="92"/>
      <c r="TYO1" s="92"/>
      <c r="TYP1" s="92"/>
      <c r="TYQ1" s="92"/>
      <c r="TYR1" s="92"/>
      <c r="TYS1" s="92"/>
      <c r="TYT1" s="92"/>
      <c r="TYU1" s="92"/>
      <c r="TYV1" s="92"/>
      <c r="TYW1" s="92"/>
      <c r="TYX1" s="92"/>
      <c r="TYY1" s="92"/>
      <c r="TYZ1" s="92"/>
      <c r="TZA1" s="92"/>
      <c r="TZB1" s="92"/>
      <c r="TZC1" s="92"/>
      <c r="TZD1" s="92"/>
      <c r="TZE1" s="92"/>
      <c r="TZF1" s="92"/>
      <c r="TZG1" s="92"/>
      <c r="TZH1" s="92"/>
      <c r="TZI1" s="92"/>
      <c r="TZJ1" s="92"/>
      <c r="TZK1" s="92"/>
      <c r="TZL1" s="92"/>
      <c r="TZM1" s="92"/>
      <c r="TZN1" s="92"/>
      <c r="TZO1" s="92"/>
      <c r="TZP1" s="92"/>
      <c r="TZQ1" s="92"/>
      <c r="TZR1" s="92"/>
      <c r="TZS1" s="92"/>
      <c r="TZT1" s="92"/>
      <c r="TZU1" s="92"/>
      <c r="TZV1" s="92"/>
      <c r="TZW1" s="92"/>
      <c r="TZX1" s="92"/>
      <c r="TZY1" s="92"/>
      <c r="TZZ1" s="92"/>
      <c r="UAA1" s="92"/>
      <c r="UAB1" s="92"/>
      <c r="UAC1" s="92"/>
      <c r="UAD1" s="92"/>
      <c r="UAE1" s="92"/>
      <c r="UAF1" s="92"/>
      <c r="UAG1" s="92"/>
      <c r="UAH1" s="92"/>
      <c r="UAI1" s="92"/>
      <c r="UAJ1" s="92"/>
      <c r="UAK1" s="92"/>
      <c r="UAL1" s="92"/>
      <c r="UAM1" s="92"/>
      <c r="UAN1" s="92"/>
      <c r="UAO1" s="92"/>
      <c r="UAP1" s="92"/>
      <c r="UAQ1" s="92"/>
      <c r="UAR1" s="92"/>
      <c r="UAS1" s="92"/>
      <c r="UAT1" s="92"/>
      <c r="UAU1" s="92"/>
      <c r="UAV1" s="92"/>
      <c r="UAW1" s="92"/>
      <c r="UAX1" s="92"/>
      <c r="UAY1" s="92"/>
      <c r="UAZ1" s="92"/>
      <c r="UBA1" s="92"/>
      <c r="UBB1" s="92"/>
      <c r="UBC1" s="92"/>
      <c r="UBD1" s="92"/>
      <c r="UBE1" s="92"/>
      <c r="UBF1" s="92"/>
      <c r="UBG1" s="92"/>
      <c r="UBH1" s="92"/>
      <c r="UBI1" s="92"/>
      <c r="UBJ1" s="92"/>
      <c r="UBK1" s="92"/>
      <c r="UBL1" s="92"/>
      <c r="UBM1" s="92"/>
      <c r="UBN1" s="92"/>
      <c r="UBO1" s="92"/>
      <c r="UBP1" s="92"/>
      <c r="UBQ1" s="92"/>
      <c r="UBR1" s="92"/>
      <c r="UBS1" s="92"/>
      <c r="UBT1" s="92"/>
      <c r="UBU1" s="92"/>
      <c r="UBV1" s="92"/>
      <c r="UBW1" s="92"/>
      <c r="UBX1" s="92"/>
      <c r="UBY1" s="92"/>
      <c r="UBZ1" s="92"/>
      <c r="UCA1" s="92"/>
      <c r="UCB1" s="92"/>
      <c r="UCC1" s="92"/>
      <c r="UCD1" s="92"/>
      <c r="UCE1" s="92"/>
      <c r="UCF1" s="92"/>
      <c r="UCG1" s="92"/>
      <c r="UCH1" s="92"/>
      <c r="UCI1" s="92"/>
      <c r="UCJ1" s="92"/>
      <c r="UCK1" s="92"/>
      <c r="UCL1" s="92"/>
      <c r="UCM1" s="92"/>
      <c r="UCN1" s="92"/>
      <c r="UCO1" s="92"/>
      <c r="UCP1" s="92"/>
      <c r="UCQ1" s="92"/>
      <c r="UCR1" s="92"/>
      <c r="UCS1" s="92"/>
      <c r="UCT1" s="92"/>
      <c r="UCU1" s="92"/>
      <c r="UCV1" s="92"/>
      <c r="UCW1" s="92"/>
      <c r="UCX1" s="92"/>
      <c r="UCY1" s="92"/>
      <c r="UCZ1" s="92"/>
      <c r="UDA1" s="92"/>
      <c r="UDB1" s="92"/>
      <c r="UDC1" s="92"/>
      <c r="UDD1" s="92"/>
      <c r="UDE1" s="92"/>
      <c r="UDF1" s="92"/>
      <c r="UDG1" s="92"/>
      <c r="UDH1" s="92"/>
      <c r="UDI1" s="92"/>
      <c r="UDJ1" s="92"/>
      <c r="UDK1" s="92"/>
      <c r="UDL1" s="92"/>
      <c r="UDM1" s="92"/>
      <c r="UDN1" s="92"/>
      <c r="UDO1" s="92"/>
      <c r="UDP1" s="92"/>
      <c r="UDQ1" s="92"/>
      <c r="UDR1" s="92"/>
      <c r="UDS1" s="92"/>
      <c r="UDT1" s="92"/>
      <c r="UDU1" s="92"/>
      <c r="UDV1" s="92"/>
      <c r="UDW1" s="92"/>
      <c r="UDX1" s="92"/>
      <c r="UDY1" s="92"/>
      <c r="UDZ1" s="92"/>
      <c r="UEA1" s="92"/>
      <c r="UEB1" s="92"/>
      <c r="UEC1" s="92"/>
      <c r="UED1" s="92"/>
      <c r="UEE1" s="92"/>
      <c r="UEF1" s="92"/>
      <c r="UEG1" s="92"/>
      <c r="UEH1" s="92"/>
      <c r="UEI1" s="92"/>
      <c r="UEJ1" s="92"/>
      <c r="UEK1" s="92"/>
      <c r="UEL1" s="92"/>
      <c r="UEM1" s="92"/>
      <c r="UEN1" s="92"/>
      <c r="UEO1" s="92"/>
      <c r="UEP1" s="92"/>
      <c r="UEQ1" s="92"/>
      <c r="UER1" s="92"/>
      <c r="UES1" s="92"/>
      <c r="UET1" s="92"/>
      <c r="UEU1" s="92"/>
      <c r="UEV1" s="92"/>
      <c r="UEW1" s="92"/>
      <c r="UEX1" s="92"/>
      <c r="UEY1" s="92"/>
      <c r="UEZ1" s="92"/>
      <c r="UFA1" s="92"/>
      <c r="UFB1" s="92"/>
      <c r="UFC1" s="92"/>
      <c r="UFD1" s="92"/>
      <c r="UFE1" s="92"/>
      <c r="UFF1" s="92"/>
      <c r="UFG1" s="92"/>
      <c r="UFH1" s="92"/>
      <c r="UFI1" s="92"/>
      <c r="UFJ1" s="92"/>
      <c r="UFK1" s="92"/>
      <c r="UFL1" s="92"/>
      <c r="UFM1" s="92"/>
      <c r="UFN1" s="92"/>
      <c r="UFO1" s="92"/>
      <c r="UFP1" s="92"/>
      <c r="UFQ1" s="92"/>
      <c r="UFR1" s="92"/>
      <c r="UFS1" s="92"/>
      <c r="UFT1" s="92"/>
      <c r="UFU1" s="92"/>
      <c r="UFV1" s="92"/>
      <c r="UFW1" s="92"/>
      <c r="UFX1" s="92"/>
      <c r="UFY1" s="92"/>
      <c r="UFZ1" s="92"/>
      <c r="UGA1" s="92"/>
      <c r="UGB1" s="92"/>
      <c r="UGC1" s="92"/>
      <c r="UGD1" s="92"/>
      <c r="UGE1" s="92"/>
      <c r="UGF1" s="92"/>
      <c r="UGG1" s="92"/>
      <c r="UGH1" s="92"/>
      <c r="UGI1" s="92"/>
      <c r="UGJ1" s="92"/>
      <c r="UGK1" s="92"/>
      <c r="UGL1" s="92"/>
      <c r="UGM1" s="92"/>
      <c r="UGN1" s="92"/>
      <c r="UGO1" s="92"/>
      <c r="UGP1" s="92"/>
      <c r="UGQ1" s="92"/>
      <c r="UGR1" s="92"/>
      <c r="UGS1" s="92"/>
      <c r="UGT1" s="92"/>
      <c r="UGU1" s="92"/>
      <c r="UGV1" s="92"/>
      <c r="UGW1" s="92"/>
      <c r="UGX1" s="92"/>
      <c r="UGY1" s="92"/>
      <c r="UGZ1" s="92"/>
      <c r="UHA1" s="92"/>
      <c r="UHB1" s="92"/>
      <c r="UHC1" s="92"/>
      <c r="UHD1" s="92"/>
      <c r="UHE1" s="92"/>
      <c r="UHF1" s="92"/>
      <c r="UHG1" s="92"/>
      <c r="UHH1" s="92"/>
      <c r="UHI1" s="92"/>
      <c r="UHJ1" s="92"/>
      <c r="UHK1" s="92"/>
      <c r="UHL1" s="92"/>
      <c r="UHM1" s="92"/>
      <c r="UHN1" s="92"/>
      <c r="UHO1" s="92"/>
      <c r="UHP1" s="92"/>
      <c r="UHQ1" s="92"/>
      <c r="UHR1" s="92"/>
      <c r="UHS1" s="92"/>
      <c r="UHT1" s="92"/>
      <c r="UHU1" s="92"/>
      <c r="UHV1" s="92"/>
      <c r="UHW1" s="92"/>
      <c r="UHX1" s="92"/>
      <c r="UHY1" s="92"/>
      <c r="UHZ1" s="92"/>
      <c r="UIA1" s="92"/>
      <c r="UIB1" s="92"/>
      <c r="UIC1" s="92"/>
      <c r="UID1" s="92"/>
      <c r="UIE1" s="92"/>
      <c r="UIF1" s="92"/>
      <c r="UIG1" s="92"/>
      <c r="UIH1" s="92"/>
      <c r="UII1" s="92"/>
      <c r="UIJ1" s="92"/>
      <c r="UIK1" s="92"/>
      <c r="UIL1" s="92"/>
      <c r="UIM1" s="92"/>
      <c r="UIN1" s="92"/>
      <c r="UIO1" s="92"/>
      <c r="UIP1" s="92"/>
      <c r="UIQ1" s="92"/>
      <c r="UIR1" s="92"/>
      <c r="UIS1" s="92"/>
      <c r="UIT1" s="92"/>
      <c r="UIU1" s="92"/>
      <c r="UIV1" s="92"/>
      <c r="UIW1" s="92"/>
      <c r="UIX1" s="92"/>
      <c r="UIY1" s="92"/>
      <c r="UIZ1" s="92"/>
      <c r="UJA1" s="92"/>
      <c r="UJB1" s="92"/>
      <c r="UJC1" s="92"/>
      <c r="UJD1" s="92"/>
      <c r="UJE1" s="92"/>
      <c r="UJF1" s="92"/>
      <c r="UJG1" s="92"/>
      <c r="UJH1" s="92"/>
      <c r="UJI1" s="92"/>
      <c r="UJJ1" s="92"/>
      <c r="UJK1" s="92"/>
      <c r="UJL1" s="92"/>
      <c r="UJM1" s="92"/>
      <c r="UJN1" s="92"/>
      <c r="UJO1" s="92"/>
      <c r="UJP1" s="92"/>
      <c r="UJQ1" s="92"/>
      <c r="UJR1" s="92"/>
      <c r="UJS1" s="92"/>
      <c r="UJT1" s="92"/>
      <c r="UJU1" s="92"/>
      <c r="UJV1" s="92"/>
      <c r="UJW1" s="92"/>
      <c r="UJX1" s="92"/>
      <c r="UJY1" s="92"/>
      <c r="UJZ1" s="92"/>
      <c r="UKA1" s="92"/>
      <c r="UKB1" s="92"/>
      <c r="UKC1" s="92"/>
      <c r="UKD1" s="92"/>
      <c r="UKE1" s="92"/>
      <c r="UKF1" s="92"/>
      <c r="UKG1" s="92"/>
      <c r="UKH1" s="92"/>
      <c r="UKI1" s="92"/>
      <c r="UKJ1" s="92"/>
      <c r="UKK1" s="92"/>
      <c r="UKL1" s="92"/>
      <c r="UKM1" s="92"/>
      <c r="UKN1" s="92"/>
      <c r="UKO1" s="92"/>
      <c r="UKP1" s="92"/>
      <c r="UKQ1" s="92"/>
      <c r="UKR1" s="92"/>
      <c r="UKS1" s="92"/>
      <c r="UKT1" s="92"/>
      <c r="UKU1" s="92"/>
      <c r="UKV1" s="92"/>
      <c r="UKW1" s="92"/>
      <c r="UKX1" s="92"/>
      <c r="UKY1" s="92"/>
      <c r="UKZ1" s="92"/>
      <c r="ULA1" s="92"/>
      <c r="ULB1" s="92"/>
      <c r="ULC1" s="92"/>
      <c r="ULD1" s="92"/>
      <c r="ULE1" s="92"/>
      <c r="ULF1" s="92"/>
      <c r="ULG1" s="92"/>
      <c r="ULH1" s="92"/>
      <c r="ULI1" s="92"/>
      <c r="ULJ1" s="92"/>
      <c r="ULK1" s="92"/>
      <c r="ULL1" s="92"/>
      <c r="ULM1" s="92"/>
      <c r="ULN1" s="92"/>
      <c r="ULO1" s="92"/>
      <c r="ULP1" s="92"/>
      <c r="ULQ1" s="92"/>
      <c r="ULR1" s="92"/>
      <c r="ULS1" s="92"/>
      <c r="ULT1" s="92"/>
      <c r="ULU1" s="92"/>
      <c r="ULV1" s="92"/>
      <c r="ULW1" s="92"/>
      <c r="ULX1" s="92"/>
      <c r="ULY1" s="92"/>
      <c r="ULZ1" s="92"/>
      <c r="UMA1" s="92"/>
      <c r="UMB1" s="92"/>
      <c r="UMC1" s="92"/>
      <c r="UMD1" s="92"/>
      <c r="UME1" s="92"/>
      <c r="UMF1" s="92"/>
      <c r="UMG1" s="92"/>
      <c r="UMH1" s="92"/>
      <c r="UMI1" s="92"/>
      <c r="UMJ1" s="92"/>
      <c r="UMK1" s="92"/>
      <c r="UML1" s="92"/>
      <c r="UMM1" s="92"/>
      <c r="UMN1" s="92"/>
      <c r="UMO1" s="92"/>
      <c r="UMP1" s="92"/>
      <c r="UMQ1" s="92"/>
      <c r="UMR1" s="92"/>
      <c r="UMS1" s="92"/>
      <c r="UMT1" s="92"/>
      <c r="UMU1" s="92"/>
      <c r="UMV1" s="92"/>
      <c r="UMW1" s="92"/>
      <c r="UMX1" s="92"/>
      <c r="UMY1" s="92"/>
      <c r="UMZ1" s="92"/>
      <c r="UNA1" s="92"/>
      <c r="UNB1" s="92"/>
      <c r="UNC1" s="92"/>
      <c r="UND1" s="92"/>
      <c r="UNE1" s="92"/>
      <c r="UNF1" s="92"/>
      <c r="UNG1" s="92"/>
      <c r="UNH1" s="92"/>
      <c r="UNI1" s="92"/>
      <c r="UNJ1" s="92"/>
      <c r="UNK1" s="92"/>
      <c r="UNL1" s="92"/>
      <c r="UNM1" s="92"/>
      <c r="UNN1" s="92"/>
      <c r="UNO1" s="92"/>
      <c r="UNP1" s="92"/>
      <c r="UNQ1" s="92"/>
      <c r="UNR1" s="92"/>
      <c r="UNS1" s="92"/>
      <c r="UNT1" s="92"/>
      <c r="UNU1" s="92"/>
      <c r="UNV1" s="92"/>
      <c r="UNW1" s="92"/>
      <c r="UNX1" s="92"/>
      <c r="UNY1" s="92"/>
      <c r="UNZ1" s="92"/>
      <c r="UOA1" s="92"/>
      <c r="UOB1" s="92"/>
      <c r="UOC1" s="92"/>
      <c r="UOD1" s="92"/>
      <c r="UOE1" s="92"/>
      <c r="UOF1" s="92"/>
      <c r="UOG1" s="92"/>
      <c r="UOH1" s="92"/>
      <c r="UOI1" s="92"/>
      <c r="UOJ1" s="92"/>
      <c r="UOK1" s="92"/>
      <c r="UOL1" s="92"/>
      <c r="UOM1" s="92"/>
      <c r="UON1" s="92"/>
      <c r="UOO1" s="92"/>
      <c r="UOP1" s="92"/>
      <c r="UOQ1" s="92"/>
      <c r="UOR1" s="92"/>
      <c r="UOS1" s="92"/>
      <c r="UOT1" s="92"/>
      <c r="UOU1" s="92"/>
      <c r="UOV1" s="92"/>
      <c r="UOW1" s="92"/>
      <c r="UOX1" s="92"/>
      <c r="UOY1" s="92"/>
      <c r="UOZ1" s="92"/>
      <c r="UPA1" s="92"/>
      <c r="UPB1" s="92"/>
      <c r="UPC1" s="92"/>
      <c r="UPD1" s="92"/>
      <c r="UPE1" s="92"/>
      <c r="UPF1" s="92"/>
      <c r="UPG1" s="92"/>
      <c r="UPH1" s="92"/>
      <c r="UPI1" s="92"/>
      <c r="UPJ1" s="92"/>
      <c r="UPK1" s="92"/>
      <c r="UPL1" s="92"/>
      <c r="UPM1" s="92"/>
      <c r="UPN1" s="92"/>
      <c r="UPO1" s="92"/>
      <c r="UPP1" s="92"/>
      <c r="UPQ1" s="92"/>
      <c r="UPR1" s="92"/>
      <c r="UPS1" s="92"/>
      <c r="UPT1" s="92"/>
      <c r="UPU1" s="92"/>
      <c r="UPV1" s="92"/>
      <c r="UPW1" s="92"/>
      <c r="UPX1" s="92"/>
      <c r="UPY1" s="92"/>
      <c r="UPZ1" s="92"/>
      <c r="UQA1" s="92"/>
      <c r="UQB1" s="92"/>
      <c r="UQC1" s="92"/>
      <c r="UQD1" s="92"/>
      <c r="UQE1" s="92"/>
      <c r="UQF1" s="92"/>
      <c r="UQG1" s="92"/>
      <c r="UQH1" s="92"/>
      <c r="UQI1" s="92"/>
      <c r="UQJ1" s="92"/>
      <c r="UQK1" s="92"/>
      <c r="UQL1" s="92"/>
      <c r="UQM1" s="92"/>
      <c r="UQN1" s="92"/>
      <c r="UQO1" s="92"/>
      <c r="UQP1" s="92"/>
      <c r="UQQ1" s="92"/>
      <c r="UQR1" s="92"/>
      <c r="UQS1" s="92"/>
      <c r="UQT1" s="92"/>
      <c r="UQU1" s="92"/>
      <c r="UQV1" s="92"/>
      <c r="UQW1" s="92"/>
      <c r="UQX1" s="92"/>
      <c r="UQY1" s="92"/>
      <c r="UQZ1" s="92"/>
      <c r="URA1" s="92"/>
      <c r="URB1" s="92"/>
      <c r="URC1" s="92"/>
      <c r="URD1" s="92"/>
      <c r="URE1" s="92"/>
      <c r="URF1" s="92"/>
      <c r="URG1" s="92"/>
      <c r="URH1" s="92"/>
      <c r="URI1" s="92"/>
      <c r="URJ1" s="92"/>
      <c r="URK1" s="92"/>
      <c r="URL1" s="92"/>
      <c r="URM1" s="92"/>
      <c r="URN1" s="92"/>
      <c r="URO1" s="92"/>
      <c r="URP1" s="92"/>
      <c r="URQ1" s="92"/>
      <c r="URR1" s="92"/>
      <c r="URS1" s="92"/>
      <c r="URT1" s="92"/>
      <c r="URU1" s="92"/>
      <c r="URV1" s="92"/>
      <c r="URW1" s="92"/>
      <c r="URX1" s="92"/>
      <c r="URY1" s="92"/>
      <c r="URZ1" s="92"/>
      <c r="USA1" s="92"/>
      <c r="USB1" s="92"/>
      <c r="USC1" s="92"/>
      <c r="USD1" s="92"/>
      <c r="USE1" s="92"/>
      <c r="USF1" s="92"/>
      <c r="USG1" s="92"/>
      <c r="USH1" s="92"/>
      <c r="USI1" s="92"/>
      <c r="USJ1" s="92"/>
      <c r="USK1" s="92"/>
      <c r="USL1" s="92"/>
      <c r="USM1" s="92"/>
      <c r="USN1" s="92"/>
      <c r="USO1" s="92"/>
      <c r="USP1" s="92"/>
      <c r="USQ1" s="92"/>
      <c r="USR1" s="92"/>
      <c r="USS1" s="92"/>
      <c r="UST1" s="92"/>
      <c r="USU1" s="92"/>
      <c r="USV1" s="92"/>
      <c r="USW1" s="92"/>
      <c r="USX1" s="92"/>
      <c r="USY1" s="92"/>
      <c r="USZ1" s="92"/>
      <c r="UTA1" s="92"/>
      <c r="UTB1" s="92"/>
      <c r="UTC1" s="92"/>
      <c r="UTD1" s="92"/>
      <c r="UTE1" s="92"/>
      <c r="UTF1" s="92"/>
      <c r="UTG1" s="92"/>
      <c r="UTH1" s="92"/>
      <c r="UTI1" s="92"/>
      <c r="UTJ1" s="92"/>
      <c r="UTK1" s="92"/>
      <c r="UTL1" s="92"/>
      <c r="UTM1" s="92"/>
      <c r="UTN1" s="92"/>
      <c r="UTO1" s="92"/>
      <c r="UTP1" s="92"/>
      <c r="UTQ1" s="92"/>
      <c r="UTR1" s="92"/>
      <c r="UTS1" s="92"/>
      <c r="UTT1" s="92"/>
      <c r="UTU1" s="92"/>
      <c r="UTV1" s="92"/>
      <c r="UTW1" s="92"/>
      <c r="UTX1" s="92"/>
      <c r="UTY1" s="92"/>
      <c r="UTZ1" s="92"/>
      <c r="UUA1" s="92"/>
      <c r="UUB1" s="92"/>
      <c r="UUC1" s="92"/>
      <c r="UUD1" s="92"/>
      <c r="UUE1" s="92"/>
      <c r="UUF1" s="92"/>
      <c r="UUG1" s="92"/>
      <c r="UUH1" s="92"/>
      <c r="UUI1" s="92"/>
      <c r="UUJ1" s="92"/>
      <c r="UUK1" s="92"/>
      <c r="UUL1" s="92"/>
      <c r="UUM1" s="92"/>
      <c r="UUN1" s="92"/>
      <c r="UUO1" s="92"/>
      <c r="UUP1" s="92"/>
      <c r="UUQ1" s="92"/>
      <c r="UUR1" s="92"/>
      <c r="UUS1" s="92"/>
      <c r="UUT1" s="92"/>
      <c r="UUU1" s="92"/>
      <c r="UUV1" s="92"/>
      <c r="UUW1" s="92"/>
      <c r="UUX1" s="92"/>
      <c r="UUY1" s="92"/>
      <c r="UUZ1" s="92"/>
      <c r="UVA1" s="92"/>
      <c r="UVB1" s="92"/>
      <c r="UVC1" s="92"/>
      <c r="UVD1" s="92"/>
      <c r="UVE1" s="92"/>
      <c r="UVF1" s="92"/>
      <c r="UVG1" s="92"/>
      <c r="UVH1" s="92"/>
      <c r="UVI1" s="92"/>
      <c r="UVJ1" s="92"/>
      <c r="UVK1" s="92"/>
      <c r="UVL1" s="92"/>
      <c r="UVM1" s="92"/>
      <c r="UVN1" s="92"/>
      <c r="UVO1" s="92"/>
      <c r="UVP1" s="92"/>
      <c r="UVQ1" s="92"/>
      <c r="UVR1" s="92"/>
      <c r="UVS1" s="92"/>
      <c r="UVT1" s="92"/>
      <c r="UVU1" s="92"/>
      <c r="UVV1" s="92"/>
      <c r="UVW1" s="92"/>
      <c r="UVX1" s="92"/>
      <c r="UVY1" s="92"/>
      <c r="UVZ1" s="92"/>
      <c r="UWA1" s="92"/>
      <c r="UWB1" s="92"/>
      <c r="UWC1" s="92"/>
      <c r="UWD1" s="92"/>
      <c r="UWE1" s="92"/>
      <c r="UWF1" s="92"/>
      <c r="UWG1" s="92"/>
      <c r="UWH1" s="92"/>
      <c r="UWI1" s="92"/>
      <c r="UWJ1" s="92"/>
      <c r="UWK1" s="92"/>
      <c r="UWL1" s="92"/>
      <c r="UWM1" s="92"/>
      <c r="UWN1" s="92"/>
      <c r="UWO1" s="92"/>
      <c r="UWP1" s="92"/>
      <c r="UWQ1" s="92"/>
      <c r="UWR1" s="92"/>
      <c r="UWS1" s="92"/>
      <c r="UWT1" s="92"/>
      <c r="UWU1" s="92"/>
      <c r="UWV1" s="92"/>
      <c r="UWW1" s="92"/>
      <c r="UWX1" s="92"/>
      <c r="UWY1" s="92"/>
      <c r="UWZ1" s="92"/>
      <c r="UXA1" s="92"/>
      <c r="UXB1" s="92"/>
      <c r="UXC1" s="92"/>
      <c r="UXD1" s="92"/>
      <c r="UXE1" s="92"/>
      <c r="UXF1" s="92"/>
      <c r="UXG1" s="92"/>
      <c r="UXH1" s="92"/>
      <c r="UXI1" s="92"/>
      <c r="UXJ1" s="92"/>
      <c r="UXK1" s="92"/>
      <c r="UXL1" s="92"/>
      <c r="UXM1" s="92"/>
      <c r="UXN1" s="92"/>
      <c r="UXO1" s="92"/>
      <c r="UXP1" s="92"/>
      <c r="UXQ1" s="92"/>
      <c r="UXR1" s="92"/>
      <c r="UXS1" s="92"/>
      <c r="UXT1" s="92"/>
      <c r="UXU1" s="92"/>
      <c r="UXV1" s="92"/>
      <c r="UXW1" s="92"/>
      <c r="UXX1" s="92"/>
      <c r="UXY1" s="92"/>
      <c r="UXZ1" s="92"/>
      <c r="UYA1" s="92"/>
      <c r="UYB1" s="92"/>
      <c r="UYC1" s="92"/>
      <c r="UYD1" s="92"/>
      <c r="UYE1" s="92"/>
      <c r="UYF1" s="92"/>
      <c r="UYG1" s="92"/>
      <c r="UYH1" s="92"/>
      <c r="UYI1" s="92"/>
      <c r="UYJ1" s="92"/>
      <c r="UYK1" s="92"/>
      <c r="UYL1" s="92"/>
      <c r="UYM1" s="92"/>
      <c r="UYN1" s="92"/>
      <c r="UYO1" s="92"/>
      <c r="UYP1" s="92"/>
      <c r="UYQ1" s="92"/>
      <c r="UYR1" s="92"/>
      <c r="UYS1" s="92"/>
      <c r="UYT1" s="92"/>
      <c r="UYU1" s="92"/>
      <c r="UYV1" s="92"/>
      <c r="UYW1" s="92"/>
      <c r="UYX1" s="92"/>
      <c r="UYY1" s="92"/>
      <c r="UYZ1" s="92"/>
      <c r="UZA1" s="92"/>
      <c r="UZB1" s="92"/>
      <c r="UZC1" s="92"/>
      <c r="UZD1" s="92"/>
      <c r="UZE1" s="92"/>
      <c r="UZF1" s="92"/>
      <c r="UZG1" s="92"/>
      <c r="UZH1" s="92"/>
      <c r="UZI1" s="92"/>
      <c r="UZJ1" s="92"/>
      <c r="UZK1" s="92"/>
      <c r="UZL1" s="92"/>
      <c r="UZM1" s="92"/>
      <c r="UZN1" s="92"/>
      <c r="UZO1" s="92"/>
      <c r="UZP1" s="92"/>
      <c r="UZQ1" s="92"/>
      <c r="UZR1" s="92"/>
      <c r="UZS1" s="92"/>
      <c r="UZT1" s="92"/>
      <c r="UZU1" s="92"/>
      <c r="UZV1" s="92"/>
      <c r="UZW1" s="92"/>
      <c r="UZX1" s="92"/>
      <c r="UZY1" s="92"/>
      <c r="UZZ1" s="92"/>
      <c r="VAA1" s="92"/>
      <c r="VAB1" s="92"/>
      <c r="VAC1" s="92"/>
      <c r="VAD1" s="92"/>
      <c r="VAE1" s="92"/>
      <c r="VAF1" s="92"/>
      <c r="VAG1" s="92"/>
      <c r="VAH1" s="92"/>
      <c r="VAI1" s="92"/>
      <c r="VAJ1" s="92"/>
      <c r="VAK1" s="92"/>
      <c r="VAL1" s="92"/>
      <c r="VAM1" s="92"/>
      <c r="VAN1" s="92"/>
      <c r="VAO1" s="92"/>
      <c r="VAP1" s="92"/>
      <c r="VAQ1" s="92"/>
      <c r="VAR1" s="92"/>
      <c r="VAS1" s="92"/>
      <c r="VAT1" s="92"/>
      <c r="VAU1" s="92"/>
      <c r="VAV1" s="92"/>
      <c r="VAW1" s="92"/>
      <c r="VAX1" s="92"/>
      <c r="VAY1" s="92"/>
      <c r="VAZ1" s="92"/>
      <c r="VBA1" s="92"/>
      <c r="VBB1" s="92"/>
      <c r="VBC1" s="92"/>
      <c r="VBD1" s="92"/>
      <c r="VBE1" s="92"/>
      <c r="VBF1" s="92"/>
      <c r="VBG1" s="92"/>
      <c r="VBH1" s="92"/>
      <c r="VBI1" s="92"/>
      <c r="VBJ1" s="92"/>
      <c r="VBK1" s="92"/>
      <c r="VBL1" s="92"/>
      <c r="VBM1" s="92"/>
      <c r="VBN1" s="92"/>
      <c r="VBO1" s="92"/>
      <c r="VBP1" s="92"/>
      <c r="VBQ1" s="92"/>
      <c r="VBR1" s="92"/>
      <c r="VBS1" s="92"/>
      <c r="VBT1" s="92"/>
      <c r="VBU1" s="92"/>
      <c r="VBV1" s="92"/>
      <c r="VBW1" s="92"/>
      <c r="VBX1" s="92"/>
      <c r="VBY1" s="92"/>
      <c r="VBZ1" s="92"/>
      <c r="VCA1" s="92"/>
      <c r="VCB1" s="92"/>
      <c r="VCC1" s="92"/>
      <c r="VCD1" s="92"/>
      <c r="VCE1" s="92"/>
      <c r="VCF1" s="92"/>
      <c r="VCG1" s="92"/>
      <c r="VCH1" s="92"/>
      <c r="VCI1" s="92"/>
      <c r="VCJ1" s="92"/>
      <c r="VCK1" s="92"/>
      <c r="VCL1" s="92"/>
      <c r="VCM1" s="92"/>
      <c r="VCN1" s="92"/>
      <c r="VCO1" s="92"/>
      <c r="VCP1" s="92"/>
      <c r="VCQ1" s="92"/>
      <c r="VCR1" s="92"/>
      <c r="VCS1" s="92"/>
      <c r="VCT1" s="92"/>
      <c r="VCU1" s="92"/>
      <c r="VCV1" s="92"/>
      <c r="VCW1" s="92"/>
      <c r="VCX1" s="92"/>
      <c r="VCY1" s="92"/>
      <c r="VCZ1" s="92"/>
      <c r="VDA1" s="92"/>
      <c r="VDB1" s="92"/>
      <c r="VDC1" s="92"/>
      <c r="VDD1" s="92"/>
      <c r="VDE1" s="92"/>
      <c r="VDF1" s="92"/>
      <c r="VDG1" s="92"/>
      <c r="VDH1" s="92"/>
      <c r="VDI1" s="92"/>
      <c r="VDJ1" s="92"/>
      <c r="VDK1" s="92"/>
      <c r="VDL1" s="92"/>
      <c r="VDM1" s="92"/>
      <c r="VDN1" s="92"/>
      <c r="VDO1" s="92"/>
      <c r="VDP1" s="92"/>
      <c r="VDQ1" s="92"/>
      <c r="VDR1" s="92"/>
      <c r="VDS1" s="92"/>
      <c r="VDT1" s="92"/>
      <c r="VDU1" s="92"/>
      <c r="VDV1" s="92"/>
      <c r="VDW1" s="92"/>
      <c r="VDX1" s="92"/>
      <c r="VDY1" s="92"/>
      <c r="VDZ1" s="92"/>
      <c r="VEA1" s="92"/>
      <c r="VEB1" s="92"/>
      <c r="VEC1" s="92"/>
      <c r="VED1" s="92"/>
      <c r="VEE1" s="92"/>
      <c r="VEF1" s="92"/>
      <c r="VEG1" s="92"/>
      <c r="VEH1" s="92"/>
      <c r="VEI1" s="92"/>
      <c r="VEJ1" s="92"/>
      <c r="VEK1" s="92"/>
      <c r="VEL1" s="92"/>
      <c r="VEM1" s="92"/>
      <c r="VEN1" s="92"/>
      <c r="VEO1" s="92"/>
      <c r="VEP1" s="92"/>
      <c r="VEQ1" s="92"/>
      <c r="VER1" s="92"/>
      <c r="VES1" s="92"/>
      <c r="VET1" s="92"/>
      <c r="VEU1" s="92"/>
      <c r="VEV1" s="92"/>
      <c r="VEW1" s="92"/>
      <c r="VEX1" s="92"/>
      <c r="VEY1" s="92"/>
      <c r="VEZ1" s="92"/>
      <c r="VFA1" s="92"/>
      <c r="VFB1" s="92"/>
      <c r="VFC1" s="92"/>
      <c r="VFD1" s="92"/>
      <c r="VFE1" s="92"/>
      <c r="VFF1" s="92"/>
      <c r="VFG1" s="92"/>
      <c r="VFH1" s="92"/>
      <c r="VFI1" s="92"/>
      <c r="VFJ1" s="92"/>
      <c r="VFK1" s="92"/>
      <c r="VFL1" s="92"/>
      <c r="VFM1" s="92"/>
      <c r="VFN1" s="92"/>
      <c r="VFO1" s="92"/>
      <c r="VFP1" s="92"/>
      <c r="VFQ1" s="92"/>
      <c r="VFR1" s="92"/>
      <c r="VFS1" s="92"/>
      <c r="VFT1" s="92"/>
      <c r="VFU1" s="92"/>
      <c r="VFV1" s="92"/>
      <c r="VFW1" s="92"/>
      <c r="VFX1" s="92"/>
      <c r="VFY1" s="92"/>
      <c r="VFZ1" s="92"/>
      <c r="VGA1" s="92"/>
      <c r="VGB1" s="92"/>
      <c r="VGC1" s="92"/>
      <c r="VGD1" s="92"/>
      <c r="VGE1" s="92"/>
      <c r="VGF1" s="92"/>
      <c r="VGG1" s="92"/>
      <c r="VGH1" s="92"/>
      <c r="VGI1" s="92"/>
      <c r="VGJ1" s="92"/>
      <c r="VGK1" s="92"/>
      <c r="VGL1" s="92"/>
      <c r="VGM1" s="92"/>
      <c r="VGN1" s="92"/>
      <c r="VGO1" s="92"/>
      <c r="VGP1" s="92"/>
      <c r="VGQ1" s="92"/>
      <c r="VGR1" s="92"/>
      <c r="VGS1" s="92"/>
      <c r="VGT1" s="92"/>
      <c r="VGU1" s="92"/>
      <c r="VGV1" s="92"/>
      <c r="VGW1" s="92"/>
      <c r="VGX1" s="92"/>
      <c r="VGY1" s="92"/>
      <c r="VGZ1" s="92"/>
      <c r="VHA1" s="92"/>
      <c r="VHB1" s="92"/>
      <c r="VHC1" s="92"/>
      <c r="VHD1" s="92"/>
      <c r="VHE1" s="92"/>
      <c r="VHF1" s="92"/>
      <c r="VHG1" s="92"/>
      <c r="VHH1" s="92"/>
      <c r="VHI1" s="92"/>
      <c r="VHJ1" s="92"/>
      <c r="VHK1" s="92"/>
      <c r="VHL1" s="92"/>
      <c r="VHM1" s="92"/>
      <c r="VHN1" s="92"/>
      <c r="VHO1" s="92"/>
      <c r="VHP1" s="92"/>
      <c r="VHQ1" s="92"/>
      <c r="VHR1" s="92"/>
      <c r="VHS1" s="92"/>
      <c r="VHT1" s="92"/>
      <c r="VHU1" s="92"/>
      <c r="VHV1" s="92"/>
      <c r="VHW1" s="92"/>
      <c r="VHX1" s="92"/>
      <c r="VHY1" s="92"/>
      <c r="VHZ1" s="92"/>
      <c r="VIA1" s="92"/>
      <c r="VIB1" s="92"/>
      <c r="VIC1" s="92"/>
      <c r="VID1" s="92"/>
      <c r="VIE1" s="92"/>
      <c r="VIF1" s="92"/>
      <c r="VIG1" s="92"/>
      <c r="VIH1" s="92"/>
      <c r="VII1" s="92"/>
      <c r="VIJ1" s="92"/>
      <c r="VIK1" s="92"/>
      <c r="VIL1" s="92"/>
      <c r="VIM1" s="92"/>
      <c r="VIN1" s="92"/>
      <c r="VIO1" s="92"/>
      <c r="VIP1" s="92"/>
      <c r="VIQ1" s="92"/>
      <c r="VIR1" s="92"/>
      <c r="VIS1" s="92"/>
      <c r="VIT1" s="92"/>
      <c r="VIU1" s="92"/>
      <c r="VIV1" s="92"/>
      <c r="VIW1" s="92"/>
      <c r="VIX1" s="92"/>
      <c r="VIY1" s="92"/>
      <c r="VIZ1" s="92"/>
      <c r="VJA1" s="92"/>
      <c r="VJB1" s="92"/>
      <c r="VJC1" s="92"/>
      <c r="VJD1" s="92"/>
      <c r="VJE1" s="92"/>
      <c r="VJF1" s="92"/>
      <c r="VJG1" s="92"/>
      <c r="VJH1" s="92"/>
      <c r="VJI1" s="92"/>
      <c r="VJJ1" s="92"/>
      <c r="VJK1" s="92"/>
      <c r="VJL1" s="92"/>
      <c r="VJM1" s="92"/>
      <c r="VJN1" s="92"/>
      <c r="VJO1" s="92"/>
      <c r="VJP1" s="92"/>
      <c r="VJQ1" s="92"/>
      <c r="VJR1" s="92"/>
      <c r="VJS1" s="92"/>
      <c r="VJT1" s="92"/>
      <c r="VJU1" s="92"/>
      <c r="VJV1" s="92"/>
      <c r="VJW1" s="92"/>
      <c r="VJX1" s="92"/>
      <c r="VJY1" s="92"/>
      <c r="VJZ1" s="92"/>
      <c r="VKA1" s="92"/>
      <c r="VKB1" s="92"/>
      <c r="VKC1" s="92"/>
      <c r="VKD1" s="92"/>
      <c r="VKE1" s="92"/>
      <c r="VKF1" s="92"/>
      <c r="VKG1" s="92"/>
      <c r="VKH1" s="92"/>
      <c r="VKI1" s="92"/>
      <c r="VKJ1" s="92"/>
      <c r="VKK1" s="92"/>
      <c r="VKL1" s="92"/>
      <c r="VKM1" s="92"/>
      <c r="VKN1" s="92"/>
      <c r="VKO1" s="92"/>
      <c r="VKP1" s="92"/>
      <c r="VKQ1" s="92"/>
      <c r="VKR1" s="92"/>
      <c r="VKS1" s="92"/>
      <c r="VKT1" s="92"/>
      <c r="VKU1" s="92"/>
      <c r="VKV1" s="92"/>
      <c r="VKW1" s="92"/>
      <c r="VKX1" s="92"/>
      <c r="VKY1" s="92"/>
      <c r="VKZ1" s="92"/>
      <c r="VLA1" s="92"/>
      <c r="VLB1" s="92"/>
      <c r="VLC1" s="92"/>
      <c r="VLD1" s="92"/>
      <c r="VLE1" s="92"/>
      <c r="VLF1" s="92"/>
      <c r="VLG1" s="92"/>
      <c r="VLH1" s="92"/>
      <c r="VLI1" s="92"/>
      <c r="VLJ1" s="92"/>
      <c r="VLK1" s="92"/>
      <c r="VLL1" s="92"/>
      <c r="VLM1" s="92"/>
      <c r="VLN1" s="92"/>
      <c r="VLO1" s="92"/>
      <c r="VLP1" s="92"/>
      <c r="VLQ1" s="92"/>
      <c r="VLR1" s="92"/>
      <c r="VLS1" s="92"/>
      <c r="VLT1" s="92"/>
      <c r="VLU1" s="92"/>
      <c r="VLV1" s="92"/>
      <c r="VLW1" s="92"/>
      <c r="VLX1" s="92"/>
      <c r="VLY1" s="92"/>
      <c r="VLZ1" s="92"/>
      <c r="VMA1" s="92"/>
      <c r="VMB1" s="92"/>
      <c r="VMC1" s="92"/>
      <c r="VMD1" s="92"/>
      <c r="VME1" s="92"/>
      <c r="VMF1" s="92"/>
      <c r="VMG1" s="92"/>
      <c r="VMH1" s="92"/>
      <c r="VMI1" s="92"/>
      <c r="VMJ1" s="92"/>
      <c r="VMK1" s="92"/>
      <c r="VML1" s="92"/>
      <c r="VMM1" s="92"/>
      <c r="VMN1" s="92"/>
      <c r="VMO1" s="92"/>
      <c r="VMP1" s="92"/>
      <c r="VMQ1" s="92"/>
      <c r="VMR1" s="92"/>
      <c r="VMS1" s="92"/>
      <c r="VMT1" s="92"/>
      <c r="VMU1" s="92"/>
      <c r="VMV1" s="92"/>
      <c r="VMW1" s="92"/>
      <c r="VMX1" s="92"/>
      <c r="VMY1" s="92"/>
      <c r="VMZ1" s="92"/>
      <c r="VNA1" s="92"/>
      <c r="VNB1" s="92"/>
      <c r="VNC1" s="92"/>
      <c r="VND1" s="92"/>
      <c r="VNE1" s="92"/>
      <c r="VNF1" s="92"/>
      <c r="VNG1" s="92"/>
      <c r="VNH1" s="92"/>
      <c r="VNI1" s="92"/>
      <c r="VNJ1" s="92"/>
      <c r="VNK1" s="92"/>
      <c r="VNL1" s="92"/>
      <c r="VNM1" s="92"/>
      <c r="VNN1" s="92"/>
      <c r="VNO1" s="92"/>
      <c r="VNP1" s="92"/>
      <c r="VNQ1" s="92"/>
      <c r="VNR1" s="92"/>
      <c r="VNS1" s="92"/>
      <c r="VNT1" s="92"/>
      <c r="VNU1" s="92"/>
      <c r="VNV1" s="92"/>
      <c r="VNW1" s="92"/>
      <c r="VNX1" s="92"/>
      <c r="VNY1" s="92"/>
      <c r="VNZ1" s="92"/>
      <c r="VOA1" s="92"/>
      <c r="VOB1" s="92"/>
      <c r="VOC1" s="92"/>
      <c r="VOD1" s="92"/>
      <c r="VOE1" s="92"/>
      <c r="VOF1" s="92"/>
      <c r="VOG1" s="92"/>
      <c r="VOH1" s="92"/>
      <c r="VOI1" s="92"/>
      <c r="VOJ1" s="92"/>
      <c r="VOK1" s="92"/>
      <c r="VOL1" s="92"/>
      <c r="VOM1" s="92"/>
      <c r="VON1" s="92"/>
      <c r="VOO1" s="92"/>
      <c r="VOP1" s="92"/>
      <c r="VOQ1" s="92"/>
      <c r="VOR1" s="92"/>
      <c r="VOS1" s="92"/>
      <c r="VOT1" s="92"/>
      <c r="VOU1" s="92"/>
      <c r="VOV1" s="92"/>
      <c r="VOW1" s="92"/>
      <c r="VOX1" s="92"/>
      <c r="VOY1" s="92"/>
      <c r="VOZ1" s="92"/>
      <c r="VPA1" s="92"/>
      <c r="VPB1" s="92"/>
      <c r="VPC1" s="92"/>
      <c r="VPD1" s="92"/>
      <c r="VPE1" s="92"/>
      <c r="VPF1" s="92"/>
      <c r="VPG1" s="92"/>
      <c r="VPH1" s="92"/>
      <c r="VPI1" s="92"/>
      <c r="VPJ1" s="92"/>
      <c r="VPK1" s="92"/>
      <c r="VPL1" s="92"/>
      <c r="VPM1" s="92"/>
      <c r="VPN1" s="92"/>
      <c r="VPO1" s="92"/>
      <c r="VPP1" s="92"/>
      <c r="VPQ1" s="92"/>
      <c r="VPR1" s="92"/>
      <c r="VPS1" s="92"/>
      <c r="VPT1" s="92"/>
      <c r="VPU1" s="92"/>
      <c r="VPV1" s="92"/>
      <c r="VPW1" s="92"/>
      <c r="VPX1" s="92"/>
      <c r="VPY1" s="92"/>
      <c r="VPZ1" s="92"/>
      <c r="VQA1" s="92"/>
      <c r="VQB1" s="92"/>
      <c r="VQC1" s="92"/>
      <c r="VQD1" s="92"/>
      <c r="VQE1" s="92"/>
      <c r="VQF1" s="92"/>
      <c r="VQG1" s="92"/>
      <c r="VQH1" s="92"/>
      <c r="VQI1" s="92"/>
      <c r="VQJ1" s="92"/>
      <c r="VQK1" s="92"/>
      <c r="VQL1" s="92"/>
      <c r="VQM1" s="92"/>
      <c r="VQN1" s="92"/>
      <c r="VQO1" s="92"/>
      <c r="VQP1" s="92"/>
      <c r="VQQ1" s="92"/>
      <c r="VQR1" s="92"/>
      <c r="VQS1" s="92"/>
      <c r="VQT1" s="92"/>
      <c r="VQU1" s="92"/>
      <c r="VQV1" s="92"/>
      <c r="VQW1" s="92"/>
      <c r="VQX1" s="92"/>
      <c r="VQY1" s="92"/>
      <c r="VQZ1" s="92"/>
      <c r="VRA1" s="92"/>
      <c r="VRB1" s="92"/>
      <c r="VRC1" s="92"/>
      <c r="VRD1" s="92"/>
      <c r="VRE1" s="92"/>
      <c r="VRF1" s="92"/>
      <c r="VRG1" s="92"/>
      <c r="VRH1" s="92"/>
      <c r="VRI1" s="92"/>
      <c r="VRJ1" s="92"/>
      <c r="VRK1" s="92"/>
      <c r="VRL1" s="92"/>
      <c r="VRM1" s="92"/>
      <c r="VRN1" s="92"/>
      <c r="VRO1" s="92"/>
      <c r="VRP1" s="92"/>
      <c r="VRQ1" s="92"/>
      <c r="VRR1" s="92"/>
      <c r="VRS1" s="92"/>
      <c r="VRT1" s="92"/>
      <c r="VRU1" s="92"/>
      <c r="VRV1" s="92"/>
      <c r="VRW1" s="92"/>
      <c r="VRX1" s="92"/>
      <c r="VRY1" s="92"/>
      <c r="VRZ1" s="92"/>
      <c r="VSA1" s="92"/>
      <c r="VSB1" s="92"/>
      <c r="VSC1" s="92"/>
      <c r="VSD1" s="92"/>
      <c r="VSE1" s="92"/>
      <c r="VSF1" s="92"/>
      <c r="VSG1" s="92"/>
      <c r="VSH1" s="92"/>
      <c r="VSI1" s="92"/>
      <c r="VSJ1" s="92"/>
      <c r="VSK1" s="92"/>
      <c r="VSL1" s="92"/>
      <c r="VSM1" s="92"/>
      <c r="VSN1" s="92"/>
      <c r="VSO1" s="92"/>
      <c r="VSP1" s="92"/>
      <c r="VSQ1" s="92"/>
      <c r="VSR1" s="92"/>
      <c r="VSS1" s="92"/>
      <c r="VST1" s="92"/>
      <c r="VSU1" s="92"/>
      <c r="VSV1" s="92"/>
      <c r="VSW1" s="92"/>
      <c r="VSX1" s="92"/>
      <c r="VSY1" s="92"/>
      <c r="VSZ1" s="92"/>
      <c r="VTA1" s="92"/>
      <c r="VTB1" s="92"/>
      <c r="VTC1" s="92"/>
      <c r="VTD1" s="92"/>
      <c r="VTE1" s="92"/>
      <c r="VTF1" s="92"/>
      <c r="VTG1" s="92"/>
      <c r="VTH1" s="92"/>
      <c r="VTI1" s="92"/>
      <c r="VTJ1" s="92"/>
      <c r="VTK1" s="92"/>
      <c r="VTL1" s="92"/>
      <c r="VTM1" s="92"/>
      <c r="VTN1" s="92"/>
      <c r="VTO1" s="92"/>
      <c r="VTP1" s="92"/>
      <c r="VTQ1" s="92"/>
      <c r="VTR1" s="92"/>
      <c r="VTS1" s="92"/>
      <c r="VTT1" s="92"/>
      <c r="VTU1" s="92"/>
      <c r="VTV1" s="92"/>
      <c r="VTW1" s="92"/>
      <c r="VTX1" s="92"/>
      <c r="VTY1" s="92"/>
      <c r="VTZ1" s="92"/>
      <c r="VUA1" s="92"/>
      <c r="VUB1" s="92"/>
      <c r="VUC1" s="92"/>
      <c r="VUD1" s="92"/>
      <c r="VUE1" s="92"/>
      <c r="VUF1" s="92"/>
      <c r="VUG1" s="92"/>
      <c r="VUH1" s="92"/>
      <c r="VUI1" s="92"/>
      <c r="VUJ1" s="92"/>
      <c r="VUK1" s="92"/>
      <c r="VUL1" s="92"/>
      <c r="VUM1" s="92"/>
      <c r="VUN1" s="92"/>
      <c r="VUO1" s="92"/>
      <c r="VUP1" s="92"/>
      <c r="VUQ1" s="92"/>
      <c r="VUR1" s="92"/>
      <c r="VUS1" s="92"/>
      <c r="VUT1" s="92"/>
      <c r="VUU1" s="92"/>
      <c r="VUV1" s="92"/>
      <c r="VUW1" s="92"/>
      <c r="VUX1" s="92"/>
      <c r="VUY1" s="92"/>
      <c r="VUZ1" s="92"/>
      <c r="VVA1" s="92"/>
      <c r="VVB1" s="92"/>
      <c r="VVC1" s="92"/>
      <c r="VVD1" s="92"/>
      <c r="VVE1" s="92"/>
      <c r="VVF1" s="92"/>
      <c r="VVG1" s="92"/>
      <c r="VVH1" s="92"/>
      <c r="VVI1" s="92"/>
      <c r="VVJ1" s="92"/>
      <c r="VVK1" s="92"/>
      <c r="VVL1" s="92"/>
      <c r="VVM1" s="92"/>
      <c r="VVN1" s="92"/>
      <c r="VVO1" s="92"/>
      <c r="VVP1" s="92"/>
      <c r="VVQ1" s="92"/>
      <c r="VVR1" s="92"/>
      <c r="VVS1" s="92"/>
      <c r="VVT1" s="92"/>
      <c r="VVU1" s="92"/>
      <c r="VVV1" s="92"/>
      <c r="VVW1" s="92"/>
      <c r="VVX1" s="92"/>
      <c r="VVY1" s="92"/>
      <c r="VVZ1" s="92"/>
      <c r="VWA1" s="92"/>
      <c r="VWB1" s="92"/>
      <c r="VWC1" s="92"/>
      <c r="VWD1" s="92"/>
      <c r="VWE1" s="92"/>
      <c r="VWF1" s="92"/>
      <c r="VWG1" s="92"/>
      <c r="VWH1" s="92"/>
      <c r="VWI1" s="92"/>
      <c r="VWJ1" s="92"/>
      <c r="VWK1" s="92"/>
      <c r="VWL1" s="92"/>
      <c r="VWM1" s="92"/>
      <c r="VWN1" s="92"/>
      <c r="VWO1" s="92"/>
      <c r="VWP1" s="92"/>
      <c r="VWQ1" s="92"/>
      <c r="VWR1" s="92"/>
      <c r="VWS1" s="92"/>
      <c r="VWT1" s="92"/>
      <c r="VWU1" s="92"/>
      <c r="VWV1" s="92"/>
      <c r="VWW1" s="92"/>
      <c r="VWX1" s="92"/>
      <c r="VWY1" s="92"/>
      <c r="VWZ1" s="92"/>
      <c r="VXA1" s="92"/>
      <c r="VXB1" s="92"/>
      <c r="VXC1" s="92"/>
      <c r="VXD1" s="92"/>
      <c r="VXE1" s="92"/>
      <c r="VXF1" s="92"/>
      <c r="VXG1" s="92"/>
      <c r="VXH1" s="92"/>
      <c r="VXI1" s="92"/>
      <c r="VXJ1" s="92"/>
      <c r="VXK1" s="92"/>
      <c r="VXL1" s="92"/>
      <c r="VXM1" s="92"/>
      <c r="VXN1" s="92"/>
      <c r="VXO1" s="92"/>
      <c r="VXP1" s="92"/>
      <c r="VXQ1" s="92"/>
      <c r="VXR1" s="92"/>
      <c r="VXS1" s="92"/>
      <c r="VXT1" s="92"/>
      <c r="VXU1" s="92"/>
      <c r="VXV1" s="92"/>
      <c r="VXW1" s="92"/>
      <c r="VXX1" s="92"/>
      <c r="VXY1" s="92"/>
      <c r="VXZ1" s="92"/>
      <c r="VYA1" s="92"/>
      <c r="VYB1" s="92"/>
      <c r="VYC1" s="92"/>
      <c r="VYD1" s="92"/>
      <c r="VYE1" s="92"/>
      <c r="VYF1" s="92"/>
      <c r="VYG1" s="92"/>
      <c r="VYH1" s="92"/>
      <c r="VYI1" s="92"/>
      <c r="VYJ1" s="92"/>
      <c r="VYK1" s="92"/>
      <c r="VYL1" s="92"/>
      <c r="VYM1" s="92"/>
      <c r="VYN1" s="92"/>
      <c r="VYO1" s="92"/>
      <c r="VYP1" s="92"/>
      <c r="VYQ1" s="92"/>
      <c r="VYR1" s="92"/>
      <c r="VYS1" s="92"/>
      <c r="VYT1" s="92"/>
      <c r="VYU1" s="92"/>
      <c r="VYV1" s="92"/>
      <c r="VYW1" s="92"/>
      <c r="VYX1" s="92"/>
      <c r="VYY1" s="92"/>
      <c r="VYZ1" s="92"/>
      <c r="VZA1" s="92"/>
      <c r="VZB1" s="92"/>
      <c r="VZC1" s="92"/>
      <c r="VZD1" s="92"/>
      <c r="VZE1" s="92"/>
      <c r="VZF1" s="92"/>
      <c r="VZG1" s="92"/>
      <c r="VZH1" s="92"/>
      <c r="VZI1" s="92"/>
      <c r="VZJ1" s="92"/>
      <c r="VZK1" s="92"/>
      <c r="VZL1" s="92"/>
      <c r="VZM1" s="92"/>
      <c r="VZN1" s="92"/>
      <c r="VZO1" s="92"/>
      <c r="VZP1" s="92"/>
      <c r="VZQ1" s="92"/>
      <c r="VZR1" s="92"/>
      <c r="VZS1" s="92"/>
      <c r="VZT1" s="92"/>
      <c r="VZU1" s="92"/>
      <c r="VZV1" s="92"/>
      <c r="VZW1" s="92"/>
      <c r="VZX1" s="92"/>
      <c r="VZY1" s="92"/>
      <c r="VZZ1" s="92"/>
      <c r="WAA1" s="92"/>
      <c r="WAB1" s="92"/>
      <c r="WAC1" s="92"/>
      <c r="WAD1" s="92"/>
      <c r="WAE1" s="92"/>
      <c r="WAF1" s="92"/>
      <c r="WAG1" s="92"/>
      <c r="WAH1" s="92"/>
      <c r="WAI1" s="92"/>
      <c r="WAJ1" s="92"/>
      <c r="WAK1" s="92"/>
      <c r="WAL1" s="92"/>
      <c r="WAM1" s="92"/>
      <c r="WAN1" s="92"/>
      <c r="WAO1" s="92"/>
      <c r="WAP1" s="92"/>
      <c r="WAQ1" s="92"/>
      <c r="WAR1" s="92"/>
      <c r="WAS1" s="92"/>
      <c r="WAT1" s="92"/>
      <c r="WAU1" s="92"/>
      <c r="WAV1" s="92"/>
      <c r="WAW1" s="92"/>
      <c r="WAX1" s="92"/>
      <c r="WAY1" s="92"/>
      <c r="WAZ1" s="92"/>
      <c r="WBA1" s="92"/>
      <c r="WBB1" s="92"/>
      <c r="WBC1" s="92"/>
      <c r="WBD1" s="92"/>
      <c r="WBE1" s="92"/>
      <c r="WBF1" s="92"/>
      <c r="WBG1" s="92"/>
      <c r="WBH1" s="92"/>
      <c r="WBI1" s="92"/>
      <c r="WBJ1" s="92"/>
      <c r="WBK1" s="92"/>
      <c r="WBL1" s="92"/>
      <c r="WBM1" s="92"/>
      <c r="WBN1" s="92"/>
      <c r="WBO1" s="92"/>
      <c r="WBP1" s="92"/>
      <c r="WBQ1" s="92"/>
      <c r="WBR1" s="92"/>
      <c r="WBS1" s="92"/>
      <c r="WBT1" s="92"/>
      <c r="WBU1" s="92"/>
      <c r="WBV1" s="92"/>
      <c r="WBW1" s="92"/>
      <c r="WBX1" s="92"/>
      <c r="WBY1" s="92"/>
      <c r="WBZ1" s="92"/>
      <c r="WCA1" s="92"/>
      <c r="WCB1" s="92"/>
      <c r="WCC1" s="92"/>
      <c r="WCD1" s="92"/>
      <c r="WCE1" s="92"/>
      <c r="WCF1" s="92"/>
      <c r="WCG1" s="92"/>
      <c r="WCH1" s="92"/>
      <c r="WCI1" s="92"/>
      <c r="WCJ1" s="92"/>
      <c r="WCK1" s="92"/>
      <c r="WCL1" s="92"/>
      <c r="WCM1" s="92"/>
      <c r="WCN1" s="92"/>
      <c r="WCO1" s="92"/>
      <c r="WCP1" s="92"/>
      <c r="WCQ1" s="92"/>
      <c r="WCR1" s="92"/>
      <c r="WCS1" s="92"/>
      <c r="WCT1" s="92"/>
      <c r="WCU1" s="92"/>
      <c r="WCV1" s="92"/>
      <c r="WCW1" s="92"/>
      <c r="WCX1" s="92"/>
      <c r="WCY1" s="92"/>
      <c r="WCZ1" s="92"/>
      <c r="WDA1" s="92"/>
      <c r="WDB1" s="92"/>
      <c r="WDC1" s="92"/>
      <c r="WDD1" s="92"/>
      <c r="WDE1" s="92"/>
      <c r="WDF1" s="92"/>
      <c r="WDG1" s="92"/>
      <c r="WDH1" s="92"/>
      <c r="WDI1" s="92"/>
      <c r="WDJ1" s="92"/>
      <c r="WDK1" s="92"/>
      <c r="WDL1" s="92"/>
      <c r="WDM1" s="92"/>
      <c r="WDN1" s="92"/>
      <c r="WDO1" s="92"/>
      <c r="WDP1" s="92"/>
      <c r="WDQ1" s="92"/>
      <c r="WDR1" s="92"/>
      <c r="WDS1" s="92"/>
      <c r="WDT1" s="92"/>
      <c r="WDU1" s="92"/>
      <c r="WDV1" s="92"/>
      <c r="WDW1" s="92"/>
      <c r="WDX1" s="92"/>
      <c r="WDY1" s="92"/>
      <c r="WDZ1" s="92"/>
      <c r="WEA1" s="92"/>
      <c r="WEB1" s="92"/>
      <c r="WEC1" s="92"/>
      <c r="WED1" s="92"/>
      <c r="WEE1" s="92"/>
      <c r="WEF1" s="92"/>
      <c r="WEG1" s="92"/>
      <c r="WEH1" s="92"/>
      <c r="WEI1" s="92"/>
      <c r="WEJ1" s="92"/>
      <c r="WEK1" s="92"/>
      <c r="WEL1" s="92"/>
      <c r="WEM1" s="92"/>
      <c r="WEN1" s="92"/>
      <c r="WEO1" s="92"/>
      <c r="WEP1" s="92"/>
      <c r="WEQ1" s="92"/>
      <c r="WER1" s="92"/>
      <c r="WES1" s="92"/>
      <c r="WET1" s="92"/>
      <c r="WEU1" s="92"/>
      <c r="WEV1" s="92"/>
      <c r="WEW1" s="92"/>
      <c r="WEX1" s="92"/>
      <c r="WEY1" s="92"/>
      <c r="WEZ1" s="92"/>
      <c r="WFA1" s="92"/>
      <c r="WFB1" s="92"/>
      <c r="WFC1" s="92"/>
      <c r="WFD1" s="92"/>
      <c r="WFE1" s="92"/>
      <c r="WFF1" s="92"/>
      <c r="WFG1" s="92"/>
      <c r="WFH1" s="92"/>
      <c r="WFI1" s="92"/>
      <c r="WFJ1" s="92"/>
      <c r="WFK1" s="92"/>
      <c r="WFL1" s="92"/>
      <c r="WFM1" s="92"/>
      <c r="WFN1" s="92"/>
      <c r="WFO1" s="92"/>
      <c r="WFP1" s="92"/>
      <c r="WFQ1" s="92"/>
      <c r="WFR1" s="92"/>
      <c r="WFS1" s="92"/>
      <c r="WFT1" s="92"/>
      <c r="WFU1" s="92"/>
      <c r="WFV1" s="92"/>
      <c r="WFW1" s="92"/>
      <c r="WFX1" s="92"/>
      <c r="WFY1" s="92"/>
      <c r="WFZ1" s="92"/>
      <c r="WGA1" s="92"/>
      <c r="WGB1" s="92"/>
      <c r="WGC1" s="92"/>
      <c r="WGD1" s="92"/>
      <c r="WGE1" s="92"/>
      <c r="WGF1" s="92"/>
      <c r="WGG1" s="92"/>
      <c r="WGH1" s="92"/>
      <c r="WGI1" s="92"/>
      <c r="WGJ1" s="92"/>
      <c r="WGK1" s="92"/>
      <c r="WGL1" s="92"/>
      <c r="WGM1" s="92"/>
      <c r="WGN1" s="92"/>
      <c r="WGO1" s="92"/>
      <c r="WGP1" s="92"/>
      <c r="WGQ1" s="92"/>
      <c r="WGR1" s="92"/>
      <c r="WGS1" s="92"/>
      <c r="WGT1" s="92"/>
      <c r="WGU1" s="92"/>
      <c r="WGV1" s="92"/>
      <c r="WGW1" s="92"/>
      <c r="WGX1" s="92"/>
      <c r="WGY1" s="92"/>
      <c r="WGZ1" s="92"/>
      <c r="WHA1" s="92"/>
      <c r="WHB1" s="92"/>
      <c r="WHC1" s="92"/>
      <c r="WHD1" s="92"/>
      <c r="WHE1" s="92"/>
      <c r="WHF1" s="92"/>
      <c r="WHG1" s="92"/>
      <c r="WHH1" s="92"/>
      <c r="WHI1" s="92"/>
      <c r="WHJ1" s="92"/>
      <c r="WHK1" s="92"/>
      <c r="WHL1" s="92"/>
      <c r="WHM1" s="92"/>
      <c r="WHN1" s="92"/>
      <c r="WHO1" s="92"/>
      <c r="WHP1" s="92"/>
      <c r="WHQ1" s="92"/>
      <c r="WHR1" s="92"/>
      <c r="WHS1" s="92"/>
      <c r="WHT1" s="92"/>
      <c r="WHU1" s="92"/>
      <c r="WHV1" s="92"/>
      <c r="WHW1" s="92"/>
      <c r="WHX1" s="92"/>
      <c r="WHY1" s="92"/>
      <c r="WHZ1" s="92"/>
      <c r="WIA1" s="92"/>
      <c r="WIB1" s="92"/>
      <c r="WIC1" s="92"/>
      <c r="WID1" s="92"/>
      <c r="WIE1" s="92"/>
      <c r="WIF1" s="92"/>
      <c r="WIG1" s="92"/>
      <c r="WIH1" s="92"/>
      <c r="WII1" s="92"/>
      <c r="WIJ1" s="92"/>
      <c r="WIK1" s="92"/>
      <c r="WIL1" s="92"/>
      <c r="WIM1" s="92"/>
      <c r="WIN1" s="92"/>
      <c r="WIO1" s="92"/>
      <c r="WIP1" s="92"/>
      <c r="WIQ1" s="92"/>
      <c r="WIR1" s="92"/>
      <c r="WIS1" s="92"/>
      <c r="WIT1" s="92"/>
      <c r="WIU1" s="92"/>
      <c r="WIV1" s="92"/>
      <c r="WIW1" s="92"/>
      <c r="WIX1" s="92"/>
      <c r="WIY1" s="92"/>
      <c r="WIZ1" s="92"/>
      <c r="WJA1" s="92"/>
      <c r="WJB1" s="92"/>
      <c r="WJC1" s="92"/>
      <c r="WJD1" s="92"/>
      <c r="WJE1" s="92"/>
      <c r="WJF1" s="92"/>
      <c r="WJG1" s="92"/>
      <c r="WJH1" s="92"/>
      <c r="WJI1" s="92"/>
      <c r="WJJ1" s="92"/>
      <c r="WJK1" s="92"/>
      <c r="WJL1" s="92"/>
      <c r="WJM1" s="92"/>
      <c r="WJN1" s="92"/>
      <c r="WJO1" s="92"/>
      <c r="WJP1" s="92"/>
      <c r="WJQ1" s="92"/>
      <c r="WJR1" s="92"/>
      <c r="WJS1" s="92"/>
      <c r="WJT1" s="92"/>
      <c r="WJU1" s="92"/>
      <c r="WJV1" s="92"/>
      <c r="WJW1" s="92"/>
      <c r="WJX1" s="92"/>
      <c r="WJY1" s="92"/>
      <c r="WJZ1" s="92"/>
      <c r="WKA1" s="92"/>
      <c r="WKB1" s="92"/>
      <c r="WKC1" s="92"/>
      <c r="WKD1" s="92"/>
      <c r="WKE1" s="92"/>
      <c r="WKF1" s="92"/>
      <c r="WKG1" s="92"/>
      <c r="WKH1" s="92"/>
      <c r="WKI1" s="92"/>
      <c r="WKJ1" s="92"/>
      <c r="WKK1" s="92"/>
      <c r="WKL1" s="92"/>
      <c r="WKM1" s="92"/>
      <c r="WKN1" s="92"/>
      <c r="WKO1" s="92"/>
      <c r="WKP1" s="92"/>
      <c r="WKQ1" s="92"/>
      <c r="WKR1" s="92"/>
      <c r="WKS1" s="92"/>
      <c r="WKT1" s="92"/>
      <c r="WKU1" s="92"/>
      <c r="WKV1" s="92"/>
      <c r="WKW1" s="92"/>
      <c r="WKX1" s="92"/>
      <c r="WKY1" s="92"/>
      <c r="WKZ1" s="92"/>
      <c r="WLA1" s="92"/>
      <c r="WLB1" s="92"/>
      <c r="WLC1" s="92"/>
      <c r="WLD1" s="92"/>
      <c r="WLE1" s="92"/>
      <c r="WLF1" s="92"/>
      <c r="WLG1" s="92"/>
      <c r="WLH1" s="92"/>
      <c r="WLI1" s="92"/>
      <c r="WLJ1" s="92"/>
      <c r="WLK1" s="92"/>
      <c r="WLL1" s="92"/>
      <c r="WLM1" s="92"/>
      <c r="WLN1" s="92"/>
      <c r="WLO1" s="92"/>
      <c r="WLP1" s="92"/>
      <c r="WLQ1" s="92"/>
      <c r="WLR1" s="92"/>
      <c r="WLS1" s="92"/>
      <c r="WLT1" s="92"/>
      <c r="WLU1" s="92"/>
      <c r="WLV1" s="92"/>
      <c r="WLW1" s="92"/>
      <c r="WLX1" s="92"/>
      <c r="WLY1" s="92"/>
      <c r="WLZ1" s="92"/>
      <c r="WMA1" s="92"/>
      <c r="WMB1" s="92"/>
      <c r="WMC1" s="92"/>
      <c r="WMD1" s="92"/>
      <c r="WME1" s="92"/>
      <c r="WMF1" s="92"/>
      <c r="WMG1" s="92"/>
      <c r="WMH1" s="92"/>
      <c r="WMI1" s="92"/>
      <c r="WMJ1" s="92"/>
      <c r="WMK1" s="92"/>
      <c r="WML1" s="92"/>
      <c r="WMM1" s="92"/>
      <c r="WMN1" s="92"/>
      <c r="WMO1" s="92"/>
      <c r="WMP1" s="92"/>
      <c r="WMQ1" s="92"/>
      <c r="WMR1" s="92"/>
      <c r="WMS1" s="92"/>
      <c r="WMT1" s="92"/>
      <c r="WMU1" s="92"/>
      <c r="WMV1" s="92"/>
      <c r="WMW1" s="92"/>
      <c r="WMX1" s="92"/>
      <c r="WMY1" s="92"/>
      <c r="WMZ1" s="92"/>
      <c r="WNA1" s="92"/>
      <c r="WNB1" s="92"/>
      <c r="WNC1" s="92"/>
      <c r="WND1" s="92"/>
      <c r="WNE1" s="92"/>
      <c r="WNF1" s="92"/>
      <c r="WNG1" s="92"/>
      <c r="WNH1" s="92"/>
      <c r="WNI1" s="92"/>
      <c r="WNJ1" s="92"/>
      <c r="WNK1" s="92"/>
      <c r="WNL1" s="92"/>
      <c r="WNM1" s="92"/>
      <c r="WNN1" s="92"/>
      <c r="WNO1" s="92"/>
      <c r="WNP1" s="92"/>
      <c r="WNQ1" s="92"/>
      <c r="WNR1" s="92"/>
      <c r="WNS1" s="92"/>
      <c r="WNT1" s="92"/>
      <c r="WNU1" s="92"/>
      <c r="WNV1" s="92"/>
      <c r="WNW1" s="92"/>
      <c r="WNX1" s="92"/>
      <c r="WNY1" s="92"/>
      <c r="WNZ1" s="92"/>
      <c r="WOA1" s="92"/>
      <c r="WOB1" s="92"/>
      <c r="WOC1" s="92"/>
      <c r="WOD1" s="92"/>
      <c r="WOE1" s="92"/>
      <c r="WOF1" s="92"/>
      <c r="WOG1" s="92"/>
      <c r="WOH1" s="92"/>
      <c r="WOI1" s="92"/>
      <c r="WOJ1" s="92"/>
      <c r="WOK1" s="92"/>
      <c r="WOL1" s="92"/>
      <c r="WOM1" s="92"/>
      <c r="WON1" s="92"/>
      <c r="WOO1" s="92"/>
      <c r="WOP1" s="92"/>
      <c r="WOQ1" s="92"/>
      <c r="WOR1" s="92"/>
      <c r="WOS1" s="92"/>
      <c r="WOT1" s="92"/>
      <c r="WOU1" s="92"/>
      <c r="WOV1" s="92"/>
      <c r="WOW1" s="92"/>
      <c r="WOX1" s="92"/>
      <c r="WOY1" s="92"/>
      <c r="WOZ1" s="92"/>
      <c r="WPA1" s="92"/>
      <c r="WPB1" s="92"/>
      <c r="WPC1" s="92"/>
      <c r="WPD1" s="92"/>
      <c r="WPE1" s="92"/>
      <c r="WPF1" s="92"/>
      <c r="WPG1" s="92"/>
      <c r="WPH1" s="92"/>
      <c r="WPI1" s="92"/>
      <c r="WPJ1" s="92"/>
      <c r="WPK1" s="92"/>
      <c r="WPL1" s="92"/>
      <c r="WPM1" s="92"/>
      <c r="WPN1" s="92"/>
      <c r="WPO1" s="92"/>
      <c r="WPP1" s="92"/>
      <c r="WPQ1" s="92"/>
      <c r="WPR1" s="92"/>
      <c r="WPS1" s="92"/>
      <c r="WPT1" s="92"/>
      <c r="WPU1" s="92"/>
      <c r="WPV1" s="92"/>
      <c r="WPW1" s="92"/>
      <c r="WPX1" s="92"/>
      <c r="WPY1" s="92"/>
      <c r="WPZ1" s="92"/>
      <c r="WQA1" s="92"/>
      <c r="WQB1" s="92"/>
      <c r="WQC1" s="92"/>
      <c r="WQD1" s="92"/>
      <c r="WQE1" s="92"/>
      <c r="WQF1" s="92"/>
      <c r="WQG1" s="92"/>
      <c r="WQH1" s="92"/>
      <c r="WQI1" s="92"/>
      <c r="WQJ1" s="92"/>
      <c r="WQK1" s="92"/>
      <c r="WQL1" s="92"/>
      <c r="WQM1" s="92"/>
      <c r="WQN1" s="92"/>
      <c r="WQO1" s="92"/>
      <c r="WQP1" s="92"/>
      <c r="WQQ1" s="92"/>
      <c r="WQR1" s="92"/>
      <c r="WQS1" s="92"/>
      <c r="WQT1" s="92"/>
      <c r="WQU1" s="92"/>
      <c r="WQV1" s="92"/>
      <c r="WQW1" s="92"/>
      <c r="WQX1" s="92"/>
      <c r="WQY1" s="92"/>
      <c r="WQZ1" s="92"/>
      <c r="WRA1" s="92"/>
      <c r="WRB1" s="92"/>
      <c r="WRC1" s="92"/>
      <c r="WRD1" s="92"/>
      <c r="WRE1" s="92"/>
      <c r="WRF1" s="92"/>
      <c r="WRG1" s="92"/>
      <c r="WRH1" s="92"/>
      <c r="WRI1" s="92"/>
      <c r="WRJ1" s="92"/>
      <c r="WRK1" s="92"/>
      <c r="WRL1" s="92"/>
      <c r="WRM1" s="92"/>
      <c r="WRN1" s="92"/>
      <c r="WRO1" s="92"/>
      <c r="WRP1" s="92"/>
      <c r="WRQ1" s="92"/>
      <c r="WRR1" s="92"/>
      <c r="WRS1" s="92"/>
      <c r="WRT1" s="92"/>
      <c r="WRU1" s="92"/>
      <c r="WRV1" s="92"/>
      <c r="WRW1" s="92"/>
      <c r="WRX1" s="92"/>
      <c r="WRY1" s="92"/>
      <c r="WRZ1" s="92"/>
      <c r="WSA1" s="92"/>
      <c r="WSB1" s="92"/>
      <c r="WSC1" s="92"/>
      <c r="WSD1" s="92"/>
      <c r="WSE1" s="92"/>
      <c r="WSF1" s="92"/>
      <c r="WSG1" s="92"/>
      <c r="WSH1" s="92"/>
      <c r="WSI1" s="92"/>
      <c r="WSJ1" s="92"/>
      <c r="WSK1" s="92"/>
      <c r="WSL1" s="92"/>
      <c r="WSM1" s="92"/>
      <c r="WSN1" s="92"/>
      <c r="WSO1" s="92"/>
      <c r="WSP1" s="92"/>
      <c r="WSQ1" s="92"/>
      <c r="WSR1" s="92"/>
      <c r="WSS1" s="92"/>
      <c r="WST1" s="92"/>
      <c r="WSU1" s="92"/>
      <c r="WSV1" s="92"/>
      <c r="WSW1" s="92"/>
      <c r="WSX1" s="92"/>
      <c r="WSY1" s="92"/>
      <c r="WSZ1" s="92"/>
      <c r="WTA1" s="92"/>
      <c r="WTB1" s="92"/>
      <c r="WTC1" s="92"/>
      <c r="WTD1" s="92"/>
      <c r="WTE1" s="92"/>
      <c r="WTF1" s="92"/>
      <c r="WTG1" s="92"/>
      <c r="WTH1" s="92"/>
      <c r="WTI1" s="92"/>
      <c r="WTJ1" s="92"/>
      <c r="WTK1" s="92"/>
      <c r="WTL1" s="92"/>
      <c r="WTM1" s="92"/>
      <c r="WTN1" s="92"/>
      <c r="WTO1" s="92"/>
      <c r="WTP1" s="92"/>
      <c r="WTQ1" s="92"/>
      <c r="WTR1" s="92"/>
      <c r="WTS1" s="92"/>
      <c r="WTT1" s="92"/>
      <c r="WTU1" s="92"/>
      <c r="WTV1" s="92"/>
      <c r="WTW1" s="92"/>
      <c r="WTX1" s="92"/>
      <c r="WTY1" s="92"/>
      <c r="WTZ1" s="92"/>
      <c r="WUA1" s="92"/>
      <c r="WUB1" s="92"/>
      <c r="WUC1" s="92"/>
      <c r="WUD1" s="92"/>
      <c r="WUE1" s="92"/>
      <c r="WUF1" s="92"/>
      <c r="WUG1" s="92"/>
      <c r="WUH1" s="92"/>
      <c r="WUI1" s="92"/>
      <c r="WUJ1" s="92"/>
      <c r="WUK1" s="92"/>
      <c r="WUL1" s="92"/>
      <c r="WUM1" s="92"/>
      <c r="WUN1" s="92"/>
      <c r="WUO1" s="92"/>
      <c r="WUP1" s="92"/>
      <c r="WUQ1" s="92"/>
      <c r="WUR1" s="92"/>
      <c r="WUS1" s="92"/>
      <c r="WUT1" s="92"/>
      <c r="WUU1" s="92"/>
      <c r="WUV1" s="92"/>
      <c r="WUW1" s="92"/>
      <c r="WUX1" s="92"/>
      <c r="WUY1" s="92"/>
      <c r="WUZ1" s="92"/>
      <c r="WVA1" s="92"/>
      <c r="WVB1" s="92"/>
      <c r="WVC1" s="92"/>
      <c r="WVD1" s="92"/>
      <c r="WVE1" s="92"/>
      <c r="WVF1" s="92"/>
      <c r="WVG1" s="92"/>
      <c r="WVH1" s="92"/>
      <c r="WVI1" s="92"/>
      <c r="WVJ1" s="92"/>
      <c r="WVK1" s="92"/>
      <c r="WVL1" s="92"/>
      <c r="WVM1" s="92"/>
      <c r="WVN1" s="92"/>
      <c r="WVO1" s="92"/>
      <c r="WVP1" s="92"/>
      <c r="WVQ1" s="92"/>
      <c r="WVR1" s="92"/>
      <c r="WVS1" s="92"/>
      <c r="WVT1" s="92"/>
      <c r="WVU1" s="92"/>
      <c r="WVV1" s="92"/>
      <c r="WVW1" s="92"/>
      <c r="WVX1" s="92"/>
      <c r="WVY1" s="92"/>
      <c r="WVZ1" s="92"/>
      <c r="WWA1" s="92"/>
      <c r="WWB1" s="92"/>
      <c r="WWC1" s="92"/>
      <c r="WWD1" s="92"/>
      <c r="WWE1" s="92"/>
      <c r="WWF1" s="92"/>
      <c r="WWG1" s="92"/>
      <c r="WWH1" s="92"/>
      <c r="WWI1" s="92"/>
      <c r="WWJ1" s="92"/>
      <c r="WWK1" s="92"/>
      <c r="WWL1" s="92"/>
      <c r="WWM1" s="92"/>
      <c r="WWN1" s="92"/>
      <c r="WWO1" s="92"/>
      <c r="WWP1" s="92"/>
      <c r="WWQ1" s="92"/>
      <c r="WWR1" s="92"/>
      <c r="WWS1" s="92"/>
      <c r="WWT1" s="92"/>
      <c r="WWU1" s="92"/>
      <c r="WWV1" s="92"/>
      <c r="WWW1" s="92"/>
      <c r="WWX1" s="92"/>
      <c r="WWY1" s="92"/>
      <c r="WWZ1" s="92"/>
      <c r="WXA1" s="92"/>
      <c r="WXB1" s="92"/>
      <c r="WXC1" s="92"/>
      <c r="WXD1" s="92"/>
      <c r="WXE1" s="92"/>
      <c r="WXF1" s="92"/>
      <c r="WXG1" s="92"/>
      <c r="WXH1" s="92"/>
      <c r="WXI1" s="92"/>
      <c r="WXJ1" s="92"/>
      <c r="WXK1" s="92"/>
      <c r="WXL1" s="92"/>
      <c r="WXM1" s="92"/>
      <c r="WXN1" s="92"/>
      <c r="WXO1" s="92"/>
      <c r="WXP1" s="92"/>
      <c r="WXQ1" s="92"/>
      <c r="WXR1" s="92"/>
      <c r="WXS1" s="92"/>
      <c r="WXT1" s="92"/>
      <c r="WXU1" s="92"/>
      <c r="WXV1" s="92"/>
      <c r="WXW1" s="92"/>
      <c r="WXX1" s="92"/>
      <c r="WXY1" s="92"/>
      <c r="WXZ1" s="92"/>
      <c r="WYA1" s="92"/>
      <c r="WYB1" s="92"/>
      <c r="WYC1" s="92"/>
      <c r="WYD1" s="92"/>
      <c r="WYE1" s="92"/>
      <c r="WYF1" s="92"/>
      <c r="WYG1" s="92"/>
      <c r="WYH1" s="92"/>
      <c r="WYI1" s="92"/>
      <c r="WYJ1" s="92"/>
      <c r="WYK1" s="92"/>
      <c r="WYL1" s="92"/>
      <c r="WYM1" s="92"/>
      <c r="WYN1" s="92"/>
      <c r="WYO1" s="92"/>
      <c r="WYP1" s="92"/>
      <c r="WYQ1" s="92"/>
      <c r="WYR1" s="92"/>
      <c r="WYS1" s="92"/>
      <c r="WYT1" s="92"/>
      <c r="WYU1" s="92"/>
      <c r="WYV1" s="92"/>
      <c r="WYW1" s="92"/>
      <c r="WYX1" s="92"/>
      <c r="WYY1" s="92"/>
      <c r="WYZ1" s="92"/>
      <c r="WZA1" s="92"/>
      <c r="WZB1" s="92"/>
      <c r="WZC1" s="92"/>
      <c r="WZD1" s="92"/>
      <c r="WZE1" s="92"/>
      <c r="WZF1" s="92"/>
      <c r="WZG1" s="92"/>
      <c r="WZH1" s="92"/>
      <c r="WZI1" s="92"/>
      <c r="WZJ1" s="92"/>
      <c r="WZK1" s="92"/>
      <c r="WZL1" s="92"/>
      <c r="WZM1" s="92"/>
      <c r="WZN1" s="92"/>
      <c r="WZO1" s="92"/>
      <c r="WZP1" s="92"/>
      <c r="WZQ1" s="92"/>
      <c r="WZR1" s="92"/>
      <c r="WZS1" s="92"/>
      <c r="WZT1" s="92"/>
      <c r="WZU1" s="92"/>
      <c r="WZV1" s="92"/>
      <c r="WZW1" s="92"/>
      <c r="WZX1" s="92"/>
      <c r="WZY1" s="92"/>
      <c r="WZZ1" s="92"/>
      <c r="XAA1" s="92"/>
      <c r="XAB1" s="92"/>
      <c r="XAC1" s="92"/>
      <c r="XAD1" s="92"/>
      <c r="XAE1" s="92"/>
      <c r="XAF1" s="92"/>
      <c r="XAG1" s="92"/>
      <c r="XAH1" s="92"/>
      <c r="XAI1" s="92"/>
      <c r="XAJ1" s="92"/>
      <c r="XAK1" s="92"/>
      <c r="XAL1" s="92"/>
      <c r="XAM1" s="92"/>
      <c r="XAN1" s="92"/>
      <c r="XAO1" s="92"/>
      <c r="XAP1" s="92"/>
      <c r="XAQ1" s="92"/>
      <c r="XAR1" s="92"/>
      <c r="XAS1" s="92"/>
      <c r="XAT1" s="92"/>
      <c r="XAU1" s="92"/>
      <c r="XAV1" s="92"/>
      <c r="XAW1" s="92"/>
      <c r="XAX1" s="92"/>
      <c r="XAY1" s="92"/>
      <c r="XAZ1" s="92"/>
      <c r="XBA1" s="92"/>
      <c r="XBB1" s="92"/>
      <c r="XBC1" s="92"/>
      <c r="XBD1" s="92"/>
      <c r="XBE1" s="92"/>
      <c r="XBF1" s="92"/>
      <c r="XBG1" s="92"/>
      <c r="XBH1" s="92"/>
      <c r="XBI1" s="92"/>
      <c r="XBJ1" s="92"/>
      <c r="XBK1" s="92"/>
      <c r="XBL1" s="92"/>
      <c r="XBM1" s="92"/>
      <c r="XBN1" s="92"/>
      <c r="XBO1" s="92"/>
      <c r="XBP1" s="92"/>
      <c r="XBQ1" s="92"/>
      <c r="XBR1" s="92"/>
      <c r="XBS1" s="92"/>
      <c r="XBT1" s="92"/>
      <c r="XBU1" s="92"/>
      <c r="XBV1" s="92"/>
      <c r="XBW1" s="92"/>
      <c r="XBX1" s="92"/>
      <c r="XBY1" s="92"/>
      <c r="XBZ1" s="92"/>
      <c r="XCA1" s="92"/>
      <c r="XCB1" s="92"/>
      <c r="XCC1" s="92"/>
      <c r="XCD1" s="92"/>
      <c r="XCE1" s="92"/>
      <c r="XCF1" s="92"/>
      <c r="XCG1" s="92"/>
      <c r="XCH1" s="92"/>
      <c r="XCI1" s="92"/>
      <c r="XCJ1" s="92"/>
      <c r="XCK1" s="92"/>
      <c r="XCL1" s="92"/>
      <c r="XCM1" s="92"/>
      <c r="XCN1" s="92"/>
      <c r="XCO1" s="92"/>
      <c r="XCP1" s="92"/>
      <c r="XCQ1" s="92"/>
      <c r="XCR1" s="92"/>
      <c r="XCS1" s="92"/>
      <c r="XCT1" s="92"/>
      <c r="XCU1" s="92"/>
      <c r="XCV1" s="92"/>
      <c r="XCW1" s="92"/>
      <c r="XCX1" s="92"/>
      <c r="XCY1" s="92"/>
      <c r="XCZ1" s="92"/>
      <c r="XDA1" s="92"/>
      <c r="XDB1" s="92"/>
      <c r="XDC1" s="92"/>
      <c r="XDD1" s="92"/>
      <c r="XDE1" s="92"/>
      <c r="XDF1" s="92"/>
      <c r="XDG1" s="92"/>
      <c r="XDH1" s="92"/>
      <c r="XDI1" s="92"/>
      <c r="XDJ1" s="92"/>
      <c r="XDK1" s="92"/>
      <c r="XDL1" s="92"/>
      <c r="XDM1" s="92"/>
      <c r="XDN1" s="92"/>
      <c r="XDO1" s="92"/>
      <c r="XDP1" s="92"/>
      <c r="XDQ1" s="92"/>
      <c r="XDR1" s="92"/>
      <c r="XDS1" s="92"/>
      <c r="XDT1" s="92"/>
      <c r="XDU1" s="92"/>
      <c r="XDV1" s="92"/>
      <c r="XDW1" s="92"/>
      <c r="XDX1" s="92"/>
      <c r="XDY1" s="92"/>
      <c r="XDZ1" s="92"/>
      <c r="XEA1" s="92"/>
      <c r="XEB1" s="92"/>
      <c r="XEC1" s="92"/>
      <c r="XED1" s="92"/>
      <c r="XEE1" s="92"/>
      <c r="XEF1" s="92"/>
      <c r="XEG1" s="92"/>
      <c r="XEH1" s="92"/>
      <c r="XEI1" s="92"/>
      <c r="XEJ1" s="92"/>
      <c r="XEK1" s="92"/>
      <c r="XEL1" s="92"/>
      <c r="XEM1" s="92"/>
      <c r="XEN1" s="92"/>
      <c r="XEO1" s="92"/>
      <c r="XEP1" s="92"/>
      <c r="XEQ1" s="92"/>
      <c r="XER1" s="92"/>
      <c r="XES1" s="92"/>
      <c r="XET1" s="92"/>
      <c r="XEU1" s="92"/>
      <c r="XEV1" s="92"/>
      <c r="XEW1" s="92"/>
      <c r="XEX1" s="92"/>
      <c r="XEY1" s="92"/>
      <c r="XEZ1" s="92"/>
      <c r="XFA1" s="92"/>
      <c r="XFB1" s="92"/>
      <c r="XFC1" s="92"/>
      <c r="XFD1" s="92"/>
    </row>
    <row r="2" ht="12.75" customHeight="1" spans="1:58" s="92" customFormat="1" x14ac:dyDescent="0.25">
      <c r="A2" s="94"/>
      <c r="B2" s="94"/>
      <c r="C2" s="94"/>
      <c r="D2" s="94"/>
      <c r="E2" s="94"/>
      <c r="F2" s="94"/>
      <c r="G2" s="95" t="s">
        <v>2116</v>
      </c>
      <c r="H2" s="96" t="s">
        <v>2117</v>
      </c>
      <c r="I2" s="97" t="s">
        <v>2118</v>
      </c>
      <c r="J2" s="97" t="s">
        <v>2118</v>
      </c>
      <c r="K2" s="97" t="s">
        <v>2118</v>
      </c>
      <c r="L2" s="97" t="s">
        <v>2118</v>
      </c>
      <c r="M2" s="97" t="s">
        <v>2118</v>
      </c>
      <c r="N2" s="97" t="s">
        <v>2118</v>
      </c>
      <c r="O2" s="97" t="s">
        <v>2118</v>
      </c>
      <c r="P2" s="97" t="s">
        <v>2118</v>
      </c>
      <c r="Q2" s="97" t="s">
        <v>2118</v>
      </c>
      <c r="R2" s="97" t="s">
        <v>2118</v>
      </c>
      <c r="S2" s="97" t="s">
        <v>2118</v>
      </c>
      <c r="T2" s="97" t="s">
        <v>2118</v>
      </c>
      <c r="U2" s="97" t="s">
        <v>2118</v>
      </c>
      <c r="V2" s="97" t="s">
        <v>2118</v>
      </c>
      <c r="W2" s="96" t="s">
        <v>2119</v>
      </c>
      <c r="X2" s="98" t="s">
        <v>2120</v>
      </c>
      <c r="Y2" s="98" t="s">
        <v>2120</v>
      </c>
      <c r="Z2" s="98" t="s">
        <v>2120</v>
      </c>
      <c r="AA2" s="98" t="s">
        <v>2120</v>
      </c>
      <c r="AB2" s="98" t="s">
        <v>2120</v>
      </c>
      <c r="AC2" s="98" t="s">
        <v>2120</v>
      </c>
      <c r="AD2" s="98" t="s">
        <v>2120</v>
      </c>
      <c r="AE2" s="98" t="s">
        <v>2120</v>
      </c>
      <c r="AF2" s="98" t="s">
        <v>2120</v>
      </c>
      <c r="AG2" s="96" t="s">
        <v>2121</v>
      </c>
      <c r="AH2" s="98" t="s">
        <v>2122</v>
      </c>
      <c r="AI2" s="98" t="s">
        <v>2122</v>
      </c>
      <c r="AJ2" s="98" t="s">
        <v>2122</v>
      </c>
      <c r="AK2" s="98" t="s">
        <v>2122</v>
      </c>
      <c r="AL2" s="98" t="s">
        <v>2122</v>
      </c>
      <c r="AM2" s="98" t="s">
        <v>2122</v>
      </c>
      <c r="AN2" s="98" t="s">
        <v>2122</v>
      </c>
      <c r="AO2" s="98" t="s">
        <v>2122</v>
      </c>
      <c r="AP2" s="98" t="s">
        <v>2122</v>
      </c>
      <c r="AQ2" s="98" t="s">
        <v>2122</v>
      </c>
      <c r="AR2" s="98" t="s">
        <v>2122</v>
      </c>
      <c r="AS2" s="98" t="s">
        <v>2122</v>
      </c>
      <c r="AT2" s="98" t="s">
        <v>2122</v>
      </c>
      <c r="AU2" s="98" t="s">
        <v>2122</v>
      </c>
      <c r="AV2" s="96" t="s">
        <v>2123</v>
      </c>
      <c r="AW2" s="99" t="s">
        <v>2124</v>
      </c>
      <c r="AX2" s="99" t="s">
        <v>2124</v>
      </c>
      <c r="AY2" s="99" t="s">
        <v>2124</v>
      </c>
      <c r="AZ2" s="99" t="s">
        <v>2124</v>
      </c>
      <c r="BA2" s="99" t="s">
        <v>2124</v>
      </c>
      <c r="BB2" s="99" t="s">
        <v>2124</v>
      </c>
      <c r="BC2" s="99" t="s">
        <v>2124</v>
      </c>
      <c r="BD2" s="99" t="s">
        <v>2124</v>
      </c>
      <c r="BE2" s="99" t="s">
        <v>2124</v>
      </c>
      <c r="BF2" s="96" t="s">
        <v>2125</v>
      </c>
    </row>
    <row r="3" ht="26" customHeight="1" hidden="1" spans="1:58" s="92" customFormat="1" x14ac:dyDescent="0.25">
      <c r="A3" s="94"/>
      <c r="B3" s="94"/>
      <c r="C3" s="94"/>
      <c r="D3" s="94"/>
      <c r="E3" s="94"/>
      <c r="F3" s="94"/>
      <c r="G3" s="95" t="s">
        <v>2126</v>
      </c>
      <c r="H3" s="96"/>
      <c r="I3" s="97" t="s">
        <v>2127</v>
      </c>
      <c r="J3" s="97" t="s">
        <v>2128</v>
      </c>
      <c r="K3" s="97" t="s">
        <v>2129</v>
      </c>
      <c r="L3" s="97" t="s">
        <v>2130</v>
      </c>
      <c r="M3" s="97" t="s">
        <v>2131</v>
      </c>
      <c r="N3" s="97" t="s">
        <v>2132</v>
      </c>
      <c r="O3" s="97" t="s">
        <v>2133</v>
      </c>
      <c r="P3" s="97" t="s">
        <v>2134</v>
      </c>
      <c r="Q3" s="97" t="s">
        <v>2135</v>
      </c>
      <c r="R3" s="97"/>
      <c r="S3" s="97" t="s">
        <v>2136</v>
      </c>
      <c r="T3" s="97" t="s">
        <v>2137</v>
      </c>
      <c r="U3" s="97" t="s">
        <v>2138</v>
      </c>
      <c r="V3" s="97" t="s">
        <v>2139</v>
      </c>
      <c r="W3" s="96"/>
      <c r="X3" s="98" t="s">
        <v>2140</v>
      </c>
      <c r="Y3" s="98" t="s">
        <v>2141</v>
      </c>
      <c r="Z3" s="98" t="s">
        <v>2142</v>
      </c>
      <c r="AA3" s="98" t="s">
        <v>2143</v>
      </c>
      <c r="AB3" s="98" t="s">
        <v>2144</v>
      </c>
      <c r="AC3" s="98" t="s">
        <v>2145</v>
      </c>
      <c r="AD3" s="98" t="s">
        <v>192</v>
      </c>
      <c r="AE3" s="98" t="s">
        <v>256</v>
      </c>
      <c r="AF3" s="98" t="s">
        <v>2146</v>
      </c>
      <c r="AG3" s="96"/>
      <c r="AH3" s="98" t="s">
        <v>2147</v>
      </c>
      <c r="AI3" s="98" t="s">
        <v>2148</v>
      </c>
      <c r="AJ3" s="98" t="s">
        <v>2149</v>
      </c>
      <c r="AK3" s="98" t="s">
        <v>2150</v>
      </c>
      <c r="AL3" s="98" t="s">
        <v>2151</v>
      </c>
      <c r="AM3" s="98" t="s">
        <v>2152</v>
      </c>
      <c r="AN3" s="98" t="s">
        <v>2153</v>
      </c>
      <c r="AO3" s="98" t="s">
        <v>2154</v>
      </c>
      <c r="AP3" s="98" t="s">
        <v>2155</v>
      </c>
      <c r="AQ3" s="98" t="s">
        <v>2156</v>
      </c>
      <c r="AR3" s="98" t="s">
        <v>2157</v>
      </c>
      <c r="AS3" s="98" t="s">
        <v>2158</v>
      </c>
      <c r="AT3" s="98"/>
      <c r="AU3" s="98" t="s">
        <v>2159</v>
      </c>
      <c r="AV3" s="96"/>
      <c r="AW3" s="99" t="s">
        <v>2160</v>
      </c>
      <c r="AX3" s="99" t="s">
        <v>2161</v>
      </c>
      <c r="AY3" s="99" t="s">
        <v>2162</v>
      </c>
      <c r="AZ3" s="99" t="s">
        <v>2163</v>
      </c>
      <c r="BA3" s="99" t="s">
        <v>2164</v>
      </c>
      <c r="BB3" s="99" t="s">
        <v>2165</v>
      </c>
      <c r="BC3" s="99" t="s">
        <v>2166</v>
      </c>
      <c r="BD3" s="99" t="s">
        <v>2167</v>
      </c>
      <c r="BE3" s="99" t="s">
        <v>2168</v>
      </c>
      <c r="BF3" s="96"/>
    </row>
    <row r="4" ht="72" customHeight="1" spans="1:58" s="92" customFormat="1" x14ac:dyDescent="0.25">
      <c r="A4" s="100"/>
      <c r="B4" s="101" t="s">
        <v>2169</v>
      </c>
      <c r="C4" s="101" t="s">
        <v>2170</v>
      </c>
      <c r="D4" s="101" t="s">
        <v>37</v>
      </c>
      <c r="E4" s="101" t="s">
        <v>2171</v>
      </c>
      <c r="F4" s="101" t="s">
        <v>2172</v>
      </c>
      <c r="G4" s="95" t="s">
        <v>2173</v>
      </c>
      <c r="H4" s="96"/>
      <c r="I4" s="97" t="s">
        <v>2174</v>
      </c>
      <c r="J4" s="97" t="s">
        <v>2175</v>
      </c>
      <c r="K4" s="97" t="s">
        <v>2176</v>
      </c>
      <c r="L4" s="97" t="s">
        <v>2177</v>
      </c>
      <c r="M4" s="97" t="s">
        <v>2178</v>
      </c>
      <c r="N4" s="97" t="s">
        <v>2179</v>
      </c>
      <c r="O4" s="97" t="s">
        <v>2180</v>
      </c>
      <c r="P4" s="97" t="s">
        <v>2181</v>
      </c>
      <c r="Q4" s="97" t="s">
        <v>2182</v>
      </c>
      <c r="R4" s="97" t="s">
        <v>2183</v>
      </c>
      <c r="S4" s="97" t="s">
        <v>2184</v>
      </c>
      <c r="T4" s="97" t="s">
        <v>2185</v>
      </c>
      <c r="U4" s="97" t="s">
        <v>2186</v>
      </c>
      <c r="V4" s="97" t="s">
        <v>2187</v>
      </c>
      <c r="W4" s="96"/>
      <c r="X4" s="98" t="s">
        <v>2188</v>
      </c>
      <c r="Y4" s="98" t="s">
        <v>2189</v>
      </c>
      <c r="Z4" s="98" t="s">
        <v>2190</v>
      </c>
      <c r="AA4" s="98" t="s">
        <v>2191</v>
      </c>
      <c r="AB4" s="98" t="s">
        <v>2192</v>
      </c>
      <c r="AC4" s="98" t="s">
        <v>2193</v>
      </c>
      <c r="AD4" s="98" t="s">
        <v>192</v>
      </c>
      <c r="AE4" s="98" t="s">
        <v>2194</v>
      </c>
      <c r="AF4" s="98" t="s">
        <v>2195</v>
      </c>
      <c r="AG4" s="96"/>
      <c r="AH4" s="98" t="s">
        <v>2196</v>
      </c>
      <c r="AI4" s="98" t="s">
        <v>2197</v>
      </c>
      <c r="AJ4" s="98" t="s">
        <v>2198</v>
      </c>
      <c r="AK4" s="98" t="s">
        <v>2199</v>
      </c>
      <c r="AL4" s="98" t="s">
        <v>2200</v>
      </c>
      <c r="AM4" s="98" t="s">
        <v>2201</v>
      </c>
      <c r="AN4" s="98" t="s">
        <v>2202</v>
      </c>
      <c r="AO4" s="98" t="s">
        <v>2203</v>
      </c>
      <c r="AP4" s="98" t="s">
        <v>2204</v>
      </c>
      <c r="AQ4" s="98" t="s">
        <v>2205</v>
      </c>
      <c r="AR4" s="98" t="s">
        <v>2206</v>
      </c>
      <c r="AS4" s="98" t="s">
        <v>2207</v>
      </c>
      <c r="AT4" s="98" t="s">
        <v>2208</v>
      </c>
      <c r="AU4" s="98" t="s">
        <v>2209</v>
      </c>
      <c r="AV4" s="96"/>
      <c r="AW4" s="99" t="s">
        <v>2210</v>
      </c>
      <c r="AX4" s="99" t="s">
        <v>2211</v>
      </c>
      <c r="AY4" s="99" t="s">
        <v>2212</v>
      </c>
      <c r="AZ4" s="99" t="s">
        <v>2213</v>
      </c>
      <c r="BA4" s="99" t="s">
        <v>2214</v>
      </c>
      <c r="BB4" s="99" t="s">
        <v>2215</v>
      </c>
      <c r="BC4" s="99" t="s">
        <v>2216</v>
      </c>
      <c r="BD4" s="99" t="s">
        <v>2217</v>
      </c>
      <c r="BE4" s="99" t="s">
        <v>2218</v>
      </c>
      <c r="BF4" s="96"/>
    </row>
    <row r="5" ht="11" customHeight="1" spans="1:58" s="92" customFormat="1" x14ac:dyDescent="0.25">
      <c r="A5" s="102" t="s">
        <v>2219</v>
      </c>
      <c r="B5" s="103"/>
      <c r="C5" s="103"/>
      <c r="D5" s="104">
        <f>IF(ETPT_TJ_DDG!$D$5="","",ETPT_TJ_DDG!$D$5)</f>
      </c>
      <c r="E5" s="103" t="s">
        <v>2220</v>
      </c>
      <c r="F5" s="103" t="s">
        <v>2221</v>
      </c>
      <c r="G5" s="105" t="e">
        <f>SUM(SUMIFS(
INDEX( 'ETPT Format DDG'!$A:$ZZ,,MATCH("1. TOTAL CONTENTIEUX SOCIAL",'ETPT Format DDG'!2:2,0)),
INDEX( 'ETPT Format DDG'!$A:$ZZ,,MATCH("Fonction recodée",'ETPT Format DDG'!2:2,0)),"Fonctionnaire CTECH",
INDEX( 'ETPT Format DDG'!$A:$ZZ,,MATCH("TJCPH",'ETPT Format DDG'!2:2,0)),"OUI"))+
SUM(SUMIFS(
INDEX( 'ETPT Format DDG'!$A:$ZZ,,MATCH("2. TOTAL CONTENTIEUX JAF",'ETPT Format DDG'!2:2,0)),
INDEX( 'ETPT Format DDG'!$A:$ZZ,,MATCH("Fonction recodée",'ETPT Format DDG'!2:2,0)),"Fonctionnaire CTECH",
INDEX( 'ETPT Format DDG'!$A:$ZZ,,MATCH("TJCPH",'ETPT Format DDG'!2:2,0)),"OUI"))+
SUM(SUMIFS(
INDEX( 'ETPT Format DDG'!$A:$ZZ,,MATCH("3. TOTAL CONTENTIEUX DE LA PROTECTION",'ETPT Format DDG'!2:2,0)),
INDEX( 'ETPT Format DDG'!$A:$ZZ,,MATCH("Fonction recodée",'ETPT Format DDG'!2:2,0)),"Fonctionnaire CTECH",
INDEX( 'ETPT Format DDG'!$A:$ZZ,,MATCH("TJCPH",'ETPT Format DDG'!2:2,0)),"OUI"))+
SUM(SUMIFS(
INDEX( 'ETPT Format DDG'!$A:$ZZ,,MATCH("4. TOTAL CIVIL NON SPÉCIALISÉ",'ETPT Format DDG'!2:2,0)),
INDEX( 'ETPT Format DDG'!$A:$ZZ,,MATCH("Fonction recodée",'ETPT Format DDG'!2:2,0)),"Fonctionnaire CTECH",
INDEX( 'ETPT Format DDG'!$A:$ZZ,,MATCH("TJCPH",'ETPT Format DDG'!2:2,0)),"OUI"))+
SUM(SUMIFS(
INDEX( 'ETPT Format DDG'!$A:$ZZ,,MATCH("5. TOTAL JLD CIVIL",'ETPT Format DDG'!2:2,0)),
INDEX( 'ETPT Format DDG'!$A:$ZZ,,MATCH("Fonction recodée",'ETPT Format DDG'!2:2,0)),"Fonctionnaire CTECH",
INDEX( 'ETPT Format DDG'!$A:$ZZ,,MATCH("TJCPH",'ETPT Format DDG'!2:2,0)),"OUI"))+
SUM(SUMIFS(
INDEX( 'ETPT Format DDG'!$A:$ZZ,,MATCH("6.1. ACTIVITÉ CIVILE",'ETPT Format DDG'!2:2,0)),
INDEX( 'ETPT Format DDG'!$A:$ZZ,,MATCH("Fonction recodée",'ETPT Format DDG'!2:2,0)),"Fonctionnaire CTECH",
INDEX( 'ETPT Format DDG'!$A:$ZZ,,MATCH("TJCPH",'ETPT Format DDG'!2:2,0)),"OUI"))+
SUM(SUMIFS(
INDEX( 'ETPT Format DDG'!$A:$ZZ,,MATCH("11.7. FONCTIONNAIRES AFFECTÉS AU CPH",'ETPT Format DDG'!2:2,0)),
INDEX( 'ETPT Format DDG'!$A:$ZZ,,MATCH("Fonction recodée",'ETPT Format DDG'!2:2,0)),"Fonctionnaire CTECH",
INDEX( 'ETPT Format DDG'!$A:$ZZ,,MATCH("TJCPH",'ETPT Format DDG'!2:2,0)),"OUI"))+
SUM(SUMIFS(
INDEX( 'ETPT Format DDG'!$A:$ZZ,,MATCH("11.8. FONCTIONNAIRES AFFECTÉS AUX ACTIVITÉS CIVILES ET COMMERCIALES DU PARQUET",'ETPT Format DDG'!2:2,0)),
INDEX( 'ETPT Format DDG'!$A:$ZZ,,MATCH("Fonction recodée",'ETPT Format DDG'!2:2,0)),"Fonctionnaire CTECH",
INDEX( 'ETPT Format DDG'!$A:$ZZ,,MATCH("TJCPH",'ETPT Format DDG'!2:2,0)),"OUI"))</f>
        <v>#N/A</v>
      </c>
      <c r="H5" s="106">
        <f>_xlfn.AGGREGATE(9,6,G5)</f>
        <v>0</v>
      </c>
      <c r="I5" s="107" t="e">
        <f>SUM(SUMIFS(
INDEX( 'ETPT Format DDG'!$A:$ZZ,,MATCH("11.8. FONCTIONNAIRES AFFECTÉS AUX ACTIVITÉS CIVILES ET COMMERCIALES DU PARQUET",'ETPT Format DDG'!2:2,0)),
INDEX( 'ETPT Format DDG'!$A:$ZZ,,MATCH("Fonction recodée",'ETPT Format DDG'!2:2,0)),"Fonctionnaire A-B-CBUR",
INDEX( 'ETPT Format DDG'!$A:$ZZ,,MATCH("TJCPH",'ETPT Format DDG'!2:2,0)),"OUI"))</f>
        <v>#N/A</v>
      </c>
      <c r="J5" s="108"/>
      <c r="K5" s="108"/>
      <c r="L5" s="108"/>
      <c r="M5" s="108"/>
      <c r="N5" s="108"/>
      <c r="O5" s="108"/>
      <c r="P5" s="107" t="e">
        <f>SUM(SUMIFS(
INDEX( 'ETPT Format DDG'!$A:$ZZ,,MATCH("3.2. PROTECTION DES MAJEURS",'ETPT Format DDG'!2:2,0)),
INDEX( 'ETPT Format DDG'!$A:$ZZ,,MATCH("Fonction recodée",'ETPT Format DDG'!2:2,0)),"Fonctionnaire A-B-CBUR",
INDEX( 'ETPT Format DDG'!$A:$ZZ,,MATCH("TJCPH",'ETPT Format DDG'!2:2,0)),"OUI"))</f>
        <v>#N/A</v>
      </c>
      <c r="Q5" s="107" t="e">
        <f>SUM(SUMIFS(
INDEX( 'ETPT Format DDG'!$A:$ZZ,,MATCH("3. TOTAL CONTENTIEUX DE LA PROTECTION",'ETPT Format DDG'!2:2,0)),
INDEX( 'ETPT Format DDG'!$A:$ZZ,,MATCH("Fonction recodée",'ETPT Format DDG'!2:2,0)),"Fonctionnaire A-B-CBUR",
INDEX( 'ETPT Format DDG'!$A:$ZZ,,MATCH("TJCPH",'ETPT Format DDG'!2:2,0)),"OUI"))-
SUM(SUMIFS(
INDEX( 'ETPT Format DDG'!$A:$ZZ,,MATCH("3.2. PROTECTION DES MAJEURS",'ETPT Format DDG'!2:2,0)),
INDEX( 'ETPT Format DDG'!$A:$ZZ,,MATCH("Fonction recodée",'ETPT Format DDG'!2:2,0)),"Fonctionnaire A-B-CBUR",
INDEX( 'ETPT Format DDG'!$A:$ZZ,,MATCH("TJCPH",'ETPT Format DDG'!2:2,0)),"OUI"))-
SUM(SUMIFS(
INDEX( 'ETPT Format DDG'!$A:$ZZ,,MATCH("3.43. INJONCTIONS DE PAYER",'ETPT Format DDG'!2:2,0)),
INDEX( 'ETPT Format DDG'!$A:$ZZ,,MATCH("Fonction recodée",'ETPT Format DDG'!2:2,0)),"Fonctionnaire A-B-CBUR",
INDEX( 'ETPT Format DDG'!$A:$ZZ,,MATCH("TJCPH",'ETPT Format DDG'!2:2,0)),"OUI"))-
SUM(SUMIFS(
INDEX( 'ETPT Format DDG'!$A:$ZZ,,MATCH("3.44. SAISIE DES RÉMUNÉRATIONS",'ETPT Format DDG'!2:2,0)),
INDEX( 'ETPT Format DDG'!$A:$ZZ,,MATCH("Fonction recodée",'ETPT Format DDG'!2:2,0)),"Fonctionnaire A-B-CBUR",
INDEX( 'ETPT Format DDG'!$A:$ZZ,,MATCH("TJCPH",'ETPT Format DDG'!2:2,0)),"OUI"))</f>
        <v>#N/A</v>
      </c>
      <c r="R5" s="107" t="e">
        <f>SUM(SUMIFS(
INDEX( 'ETPT Format DDG'!$A:$ZZ,,MATCH("6.1. ACTIVITÉ CIVILE",'ETPT Format DDG'!2:2,0)),
INDEX( 'ETPT Format DDG'!$A:$ZZ,,MATCH("Fonction recodée",'ETPT Format DDG'!2:2,0)),"Fonctionnaire A-B-CBUR",
INDEX( 'ETPT Format DDG'!$A:$ZZ,,MATCH("TJCPH",'ETPT Format DDG'!2:2,0)),"OUI"))</f>
        <v>#N/A</v>
      </c>
      <c r="S5" s="107" t="e">
        <f>SUM(SUMIFS(
INDEX( 'ETPT Format DDG'!$A:$ZZ,,MATCH("3.43. INJONCTIONS DE PAYER",'ETPT Format DDG'!2:2,0)),
INDEX( 'ETPT Format DDG'!$A:$ZZ,,MATCH("Fonction recodée",'ETPT Format DDG'!2:2,0)),"Fonctionnaire A-B-CBUR",
INDEX( 'ETPT Format DDG'!$A:$ZZ,,MATCH("TJCPH",'ETPT Format DDG'!2:2,0)),"OUI"))+
SUM(SUMIFS(
INDEX( 'ETPT Format DDG'!$A:$ZZ,,MATCH("3.44. SAISIE DES RÉMUNÉRATIONS",'ETPT Format DDG'!2:2,0)),
INDEX( 'ETPT Format DDG'!$A:$ZZ,,MATCH("Fonction recodée",'ETPT Format DDG'!2:2,0)),"Fonctionnaire A-B-CBUR",
INDEX( 'ETPT Format DDG'!$A:$ZZ,,MATCH("TJCPH",'ETPT Format DDG'!2:2,0)),"OUI"))</f>
        <v>#N/A</v>
      </c>
      <c r="T5" s="107" t="e">
        <f>SUM(SUMIFS(
INDEX( 'ETPT Format DDG'!$A:$ZZ,,MATCH("4.0. CONTENTIEUX GÉNÉRAL &lt;10.000€",'ETPT Format DDG'!2:2,0)),
INDEX( 'ETPT Format DDG'!$A:$ZZ,,MATCH("Fonction recodée",'ETPT Format DDG'!2:2,0)),"Fonctionnaire A-B-CBUR",
INDEX( 'ETPT Format DDG'!$A:$ZZ,,MATCH("TJCPH",'ETPT Format DDG'!2:2,0)),"OUI"))</f>
        <v>#N/A</v>
      </c>
      <c r="U5" s="107" t="e">
        <f>SUM(SUMIFS(
INDEX( 'ETPT Format DDG'!$A:$ZZ,,MATCH("1. TOTAL CONTENTIEUX SOCIAL",'ETPT Format DDG'!2:2,0)),
INDEX( 'ETPT Format DDG'!$A:$ZZ,,MATCH("Fonction recodée",'ETPT Format DDG'!2:2,0)),"Fonctionnaire A-B-CBUR",
INDEX( 'ETPT Format DDG'!$A:$ZZ,,MATCH("TJCPH",'ETPT Format DDG'!2:2,0)),"OUI"))</f>
        <v>#N/A</v>
      </c>
      <c r="V5" s="107" t="e">
        <f>SUM(SUMIFS(
INDEX( 'ETPT Format DDG'!$A:$ZZ,,MATCH("5. TOTAL JLD CIVIL",'ETPT Format DDG'!2:2,0)),
INDEX( 'ETPT Format DDG'!$A:$ZZ,,MATCH("Fonction recodée",'ETPT Format DDG'!2:2,0)),"Fonctionnaire A-B-CBUR",
INDEX( 'ETPT Format DDG'!$A:$ZZ,,MATCH("TJCPH",'ETPT Format DDG'!2:2,0)),"OUI"))+
SUM(SUMIFS(
INDEX( 'ETPT Format DDG'!$A:$ZZ,,MATCH("2. TOTAL CONTENTIEUX JAF",'ETPT Format DDG'!2:2,0)),
INDEX( 'ETPT Format DDG'!$A:$ZZ,,MATCH("Fonction recodée",'ETPT Format DDG'!2:2,0)),"Fonctionnaire A-B-CBUR",
INDEX( 'ETPT Format DDG'!$A:$ZZ,,MATCH("TJCPH",'ETPT Format DDG'!2:2,0)),"OUI"))+
SUM(SUMIFS(
INDEX( 'ETPT Format DDG'!$A:$ZZ,,MATCH("4. TOTAL CIVIL NON SPÉCIALISÉ",'ETPT Format DDG'!2:2,0)),
INDEX( 'ETPT Format DDG'!$A:$ZZ,,MATCH("Fonction recodée",'ETPT Format DDG'!2:2,0)),"Fonctionnaire A-B-CBUR",
INDEX( 'ETPT Format DDG'!$A:$ZZ,,MATCH("TJCPH",'ETPT Format DDG'!2:2,0)),"OUI"))-
SUM(SUMIFS(
INDEX( 'ETPT Format DDG'!$A:$ZZ,,MATCH("4.0. CONTENTIEUX GÉNÉRAL &lt;10.000€",'ETPT Format DDG'!2:2,0)),
INDEX( 'ETPT Format DDG'!$A:$ZZ,,MATCH("Fonction recodée",'ETPT Format DDG'!2:2,0)),"Fonctionnaire A-B-CBUR",
INDEX( 'ETPT Format DDG'!$A:$ZZ,,MATCH("TJCPH",'ETPT Format DDG'!2:2,0)),"OUI"))</f>
        <v>#N/A</v>
      </c>
      <c r="W5" s="109">
        <f>_xlfn.AGGREGATE(9,6,I5:V5)</f>
        <v>0</v>
      </c>
      <c r="X5" s="110" t="e">
        <f t="array" ref="X5">SUM(SUMIFS(
INDEX( 'ETPT Format DDG'!$A:$ZZ,,MATCH("3.2. PROTECTION DES MAJEURS",'ETPT Format DDG'!2:2,0)),
INDEX( 'ETPT Format DDG'!$A:$ZZ,,MATCH("Fonction recodée",'ETPT Format DDG'!2:2,0)),{"Magistrat SIEGE S";"Magistrat SIEGE NS"},
INDEX( 'ETPT Format DDG'!$A:$ZZ,,MATCH("TJCPH",'ETPT Format DDG'!2:2,0)),"OUI"))</f>
        <v>#N/A</v>
      </c>
      <c r="Y5" s="111" t="e">
        <f t="array" ref="Y5">SUM(SUMIFS(
INDEX( 'ETPT Format DDG'!$A:$ZZ,,MATCH("3. TOTAL CONTENTIEUX DE LA PROTECTION",'ETPT Format DDG'!2:2,0)),
INDEX( 'ETPT Format DDG'!$A:$ZZ,,MATCH("Fonction recodée",'ETPT Format DDG'!2:2,0)),{"Magistrat SIEGE S";"Magistrat SIEGE NS"},
INDEX( 'ETPT Format DDG'!$A:$ZZ,,MATCH("TJCPH",'ETPT Format DDG'!2:2,0)),"OUI"))-
SUM(SUMIFS(
INDEX( 'ETPT Format DDG'!$A:$ZZ,,MATCH("3.2. PROTECTION DES MAJEURS",'ETPT Format DDG'!2:2,0)),
INDEX( 'ETPT Format DDG'!$A:$ZZ,,MATCH("Fonction recodée",'ETPT Format DDG'!2:2,0)),{"Magistrat SIEGE S";"Magistrat SIEGE NS"},
INDEX( 'ETPT Format DDG'!$A:$ZZ,,MATCH("TJCPH",'ETPT Format DDG'!2:2,0)),"OUI"))-
SUM(SUMIFS(
INDEX( 'ETPT Format DDG'!$A:$ZZ,,MATCH("3.43. INJONCTIONS DE PAYER",'ETPT Format DDG'!2:2,0)),
INDEX( 'ETPT Format DDG'!$A:$ZZ,,MATCH("Fonction recodée",'ETPT Format DDG'!2:2,0)),{"Magistrat SIEGE S";"Magistrat SIEGE NS"},
INDEX( 'ETPT Format DDG'!$A:$ZZ,,MATCH("TJCPH",'ETPT Format DDG'!2:2,0)),"OUI"))-
SUM(SUMIFS(
INDEX( 'ETPT Format DDG'!$A:$ZZ,,MATCH("3.44. SAISIE DES RÉMUNÉRATIONS",'ETPT Format DDG'!2:2,0)),
INDEX( 'ETPT Format DDG'!$A:$ZZ,,MATCH("Fonction recodée",'ETPT Format DDG'!2:2,0)),{"Magistrat SIEGE S";"Magistrat SIEGE NS"},
INDEX( 'ETPT Format DDG'!$A:$ZZ,,MATCH("TJCPH",'ETPT Format DDG'!2:2,0)),"OUI"))</f>
        <v>#N/A</v>
      </c>
      <c r="Z5" s="112"/>
      <c r="AA5" s="112"/>
      <c r="AB5" s="112"/>
      <c r="AC5" s="112"/>
      <c r="AD5" s="112"/>
      <c r="AE5" s="111" t="e">
        <f t="array" ref="AE5">SUM(SUMIFS(
INDEX( 'ETPT Format DDG'!$A:$ZZ,,MATCH("6.1. ACTIVITÉ CIVILE",'ETPT Format DDG'!2:2,0)),
INDEX( 'ETPT Format DDG'!$A:$ZZ,,MATCH("Fonction recodée",'ETPT Format DDG'!2:2,0)),{"Magistrat SIEGE S";"Magistrat SIEGE NS"}))</f>
        <v>#N/A</v>
      </c>
      <c r="AF5" s="111"/>
      <c r="AG5" s="109">
        <f>_xlfn.AGGREGATE(9,6,X5:AF5)</f>
        <v>0</v>
      </c>
      <c r="AH5" s="112"/>
      <c r="AI5" s="112"/>
      <c r="AJ5" s="112"/>
      <c r="AK5" s="112"/>
      <c r="AL5" s="112"/>
      <c r="AM5" s="112"/>
      <c r="AN5" s="110" t="e">
        <f t="array" ref="AN5">SUM(SUMIFS(
INDEX( 'ETPT Format DDG'!$A:$ZZ,,MATCH("1.1. DÉPARTAGE PRUD'HOMAL",'ETPT Format DDG'!2:2,0)),
INDEX( 'ETPT Format DDG'!$A:$ZZ,,MATCH("Fonction recodée",'ETPT Format DDG'!2:2,0)),{"Magistrat SIEGE S";"Magistrat SIEGE NS"},
INDEX( 'ETPT Format DDG'!$A:$ZZ,,MATCH("TJCPH",'ETPT Format DDG'!2:2,0)),"OUI"))</f>
        <v>#N/A</v>
      </c>
      <c r="AO5" s="111" t="e">
        <f t="array" ref="AO5">SUM(SUMIFS(
INDEX( 'ETPT Format DDG'!$A:$ZZ,,MATCH("4.0. CONTENTIEUX GÉNÉRAL &lt;10.000€",'ETPT Format DDG'!2:2,0)),
INDEX( 'ETPT Format DDG'!$A:$ZZ,,MATCH("Fonction recodée",'ETPT Format DDG'!2:2,0)),{"Magistrat SIEGE S";"Magistrat SIEGE NS"},
INDEX( 'ETPT Format DDG'!$A:$ZZ,,MATCH("TJCPH",'ETPT Format DDG'!2:2,0)),"OUI"))</f>
        <v>#N/A</v>
      </c>
      <c r="AP5" s="111" t="e">
        <f t="array" ref="AP5">SUM(SUMIFS(
INDEX( 'ETPT Format DDG'!$A:$ZZ,,MATCH("3.43. INJONCTIONS DE PAYER",'ETPT Format DDG'!2:2,0)),
INDEX( 'ETPT Format DDG'!$A:$ZZ,,MATCH("Fonction recodée",'ETPT Format DDG'!2:2,0)),{"Magistrat SIEGE S";"Magistrat SIEGE NS"},
INDEX( 'ETPT Format DDG'!$A:$ZZ,,MATCH("TJCPH",'ETPT Format DDG'!2:2,0)),"OUI"))+
SUM(SUMIFS(
INDEX( 'ETPT Format DDG'!$A:$ZZ,,MATCH("3.44. SAISIE DES RÉMUNÉRATIONS",'ETPT Format DDG'!2:2,0)),
INDEX( 'ETPT Format DDG'!$A:$ZZ,,MATCH("Fonction recodée",'ETPT Format DDG'!2:2,0)),{"Magistrat SIEGE S";"Magistrat SIEGE NS"},
INDEX( 'ETPT Format DDG'!$A:$ZZ,,MATCH("TJCPH",'ETPT Format DDG'!2:2,0)),"OUI"))</f>
        <v>#N/A</v>
      </c>
      <c r="AQ5" s="111" t="e">
        <f t="array" ref="AQ5">SUM(SUMIFS(
INDEX( 'ETPT Format DDG'!$A:$ZZ,,MATCH("1. TOTAL CONTENTIEUX SOCIAL",'ETPT Format DDG'!2:2,0)),
INDEX( 'ETPT Format DDG'!$A:$ZZ,,MATCH("Fonction recodée",'ETPT Format DDG'!2:2,0)),{"Magistrat SIEGE S";"Magistrat SIEGE NS"},
INDEX( 'ETPT Format DDG'!$A:$ZZ,,MATCH("TJCPH",'ETPT Format DDG'!2:2,0)),"OUI"))-
SUM(SUMIFS(
INDEX( 'ETPT Format DDG'!$A:$ZZ,,MATCH("1.1. DÉPARTAGE PRUD'HOMAL",'ETPT Format DDG'!2:2,0)),
INDEX( 'ETPT Format DDG'!$A:$ZZ,,MATCH("Fonction recodée",'ETPT Format DDG'!2:2,0)),{"Magistrat SIEGE S";"Magistrat SIEGE NS"},
INDEX( 'ETPT Format DDG'!$A:$ZZ,,MATCH("TJCPH",'ETPT Format DDG'!2:2,0)),"OUI"))</f>
        <v>#N/A</v>
      </c>
      <c r="AR5" s="110" t="e">
        <f t="array" ref="AR5">SUM(SUMIFS(
INDEX( 'ETPT Format DDG'!$A:$ZZ,,MATCH("2. TOTAL CONTENTIEUX JAF",'ETPT Format DDG'!2:2,0)),
INDEX( 'ETPT Format DDG'!$A:$ZZ,,MATCH("Fonction recodée",'ETPT Format DDG'!2:2,0)),{"Magistrat SIEGE S";"Magistrat SIEGE NS"}))</f>
        <v>#N/A</v>
      </c>
      <c r="AS5" s="110" t="e">
        <f>MAX(0,SUM(SUMIFS(
INDEX( 'ETPT Format DDG'!$A:$ZZ,,MATCH("4. TOTAL CIVIL NON SPÉCIALISÉ",'ETPT Format DDG'!2:2,0)),
INDEX( 'ETPT Format DDG'!$A:$ZZ,,MATCH("Fonction recodée",'ETPT Format DDG'!2:2,0)),"Magistrat SIEGE S",
INDEX( 'ETPT Format DDG'!$A:$ZZ,,MATCH("TJCPH",'ETPT Format DDG'!2:2,0)),"OUI"))-
SUM(SUMIFS(
INDEX( 'ETPT Format DDG'!$A:$ZZ,,MATCH("4.0. CONTENTIEUX GÉNÉRAL &lt;10.000€",'ETPT Format DDG'!2:2,0)),
INDEX( 'ETPT Format DDG'!$A:$ZZ,,MATCH("Fonction recodée",'ETPT Format DDG'!2:2,0)),"Magistrat SIEGE S",
INDEX( 'ETPT Format DDG'!$A:$ZZ,,MATCH("TJCPH",'ETPT Format DDG'!2:2,0)),"OUI")))</f>
        <v>#N/A</v>
      </c>
      <c r="AT5" s="110" t="e">
        <f t="array" ref="AT5">SUM(SUMIFS(
INDEX( 'ETPT Format DDG'!$A:$ZZ,,MATCH("5. TOTAL JLD CIVIL",'ETPT Format DDG'!2:2,0)),
INDEX( 'ETPT Format DDG'!$A:$ZZ,,MATCH("Fonction recodée",'ETPT Format DDG'!2:2,0)),{"Magistrat SIEGE S";"Magistrat SIEGE NS"}))</f>
        <v>#N/A</v>
      </c>
      <c r="AU5" s="110" t="e">
        <f>MAX(0,SUM(SUMIFS(
INDEX( 'ETPT Format DDG'!$A:$ZZ,,MATCH("4. TOTAL CIVIL NON SPÉCIALISÉ",'ETPT Format DDG'!2:2,0)),
INDEX( 'ETPT Format DDG'!$A:$ZZ,,MATCH("Fonction recodée",'ETPT Format DDG'!2:2,0)),"Magistrat SIEGE NS",
INDEX( 'ETPT Format DDG'!$A:$ZZ,,MATCH("TJCPH",'ETPT Format DDG'!2:2,0)),"OUI"))-
SUM(SUMIFS(
INDEX( 'ETPT Format DDG'!$A:$ZZ,,MATCH("4.0. CONTENTIEUX GÉNÉRAL &lt;10.000€",'ETPT Format DDG'!2:2,0)),
INDEX( 'ETPT Format DDG'!$A:$ZZ,,MATCH("Fonction recodée",'ETPT Format DDG'!2:2,0)),"Magistrat SIEGE NS",
INDEX( 'ETPT Format DDG'!$A:$ZZ,,MATCH("TJCPH",'ETPT Format DDG'!2:2,0)),"OUI")))</f>
        <v>#N/A</v>
      </c>
      <c r="AV5" s="109">
        <f>_xlfn.AGGREGATE(9,6,AH5:AU5)</f>
        <v>0</v>
      </c>
      <c r="AW5" s="113"/>
      <c r="AX5" s="113"/>
      <c r="AY5" s="114"/>
      <c r="AZ5" s="114"/>
      <c r="BA5" s="114"/>
      <c r="BB5" s="114"/>
      <c r="BC5" s="114"/>
      <c r="BD5" s="114"/>
      <c r="BE5" s="113"/>
      <c r="BF5" s="109">
        <f>SUM(AW5:BE5)</f>
        <v>0</v>
      </c>
    </row>
    <row r="6" ht="12" customHeight="1" spans="1:58" s="92" customFormat="1" x14ac:dyDescent="0.25">
      <c r="A6" s="102" t="s">
        <v>2219</v>
      </c>
      <c r="B6" s="103"/>
      <c r="C6" s="103"/>
      <c r="D6" s="115">
        <f t="shared" ref="D6:D15" si="0">$D$5</f>
      </c>
      <c r="E6" s="103" t="s">
        <v>2222</v>
      </c>
      <c r="F6" s="103" t="s">
        <v>2223</v>
      </c>
      <c r="G6" s="105" t="e">
        <f>SUM(SUMIFS(
INDEX( 'ETPT Format DDG'!$A:$ZZ,,MATCH("6.2. ACTIVITÉ PÉNALE",'ETPT Format DDG'!2:2,0)),
INDEX( 'ETPT Format DDG'!$A:$ZZ,,MATCH("Fonction recodée",'ETPT Format DDG'!2:2,0)),"Fonctionnaire CTECH"))
+
SUM(SUMIFS(
INDEX( 'ETPT Format DDG'!$A:$ZZ,,MATCH("7. TOTAL SIÈGE PÉNAL",'ETPT Format DDG'!2:2,0)),
INDEX( 'ETPT Format DDG'!$A:$ZZ,,MATCH("Fonction recodée",'ETPT Format DDG'!2:2,0)),"Fonctionnaire CTECH"))
+
SUM(SUMIFS(
INDEX( 'ETPT Format DDG'!$A:$ZZ,,MATCH("8. TOTAL JUGES D'INSTRUCTION",'ETPT Format DDG'!2:2,0)),
INDEX( 'ETPT Format DDG'!$A:$ZZ,,MATCH("Fonction recodée",'ETPT Format DDG'!2:2,0)),"Fonctionnaire CTECH"))
+
SUM(SUMIFS(
INDEX( 'ETPT Format DDG'!$A:$ZZ,,MATCH("9. TOTAL JAP",'ETPT Format DDG'!2:2,0)),
INDEX( 'ETPT Format DDG'!$A:$ZZ,,MATCH("Fonction recodée",'ETPT Format DDG'!2:2,0)),"Fonctionnaire CTECH"))
+
SUM(SUMIFS(
INDEX( 'ETPT Format DDG'!$A:$ZZ,,MATCH("10. TOTAL JLD PÉNAL",'ETPT Format DDG'!2:2,0)),
INDEX( 'ETPT Format DDG'!$A:$ZZ,,MATCH("Fonction recodée",'ETPT Format DDG'!2:2,0)),"Fonctionnaire CTECH"))
+
SUM(SUMIFS(
INDEX( 'ETPT Format DDG'!$A:$ZZ,,MATCH("11.9. FONCTIONNAIRES AFFECTÉS À L'EXÉCUTION DES PEINES",'ETPT Format DDG'!2:2,0)),
INDEX( 'ETPT Format DDG'!$A:$ZZ,,MATCH("Fonction recodée",'ETPT Format DDG'!2:2,0)),"Fonctionnaire CTECH"))
+
SUM(SUMIFS(
INDEX( 'ETPT Format DDG'!$A:$ZZ,,MATCH("11.10. AUTRES FONCTIONNAIRES AFFECTÉS AU PARQUET",'ETPT Format DDG'!2:2,0)),
INDEX( 'ETPT Format DDG'!$A:$ZZ,,MATCH("Fonction recodée",'ETPT Format DDG'!2:2,0)),"Fonctionnaire CTECH"))</f>
        <v>#N/A</v>
      </c>
      <c r="H6" s="106">
        <f t="shared" ref="H6:H14" si="1">_xlfn.AGGREGATE(9,6,G6)</f>
        <v>0</v>
      </c>
      <c r="I6" s="108"/>
      <c r="J6" s="107" t="e">
        <f>SUM(SUMIFS(
INDEX( 'ETPT Format DDG'!$A:$ZZ,,MATCH("11.9. FONCTIONNAIRES AFFECTÉS À L'EXÉCUTION DES PEINES",'ETPT Format DDG'!2:2,0)),
INDEX( 'ETPT Format DDG'!$A:$ZZ,,MATCH("Fonction recodée",'ETPT Format DDG'!2:2,0)),"Fonctionnaire A-B-CBUR"))</f>
        <v>#N/A</v>
      </c>
      <c r="K6" s="107" t="e">
        <f>SUM(SUMIFS(
INDEX( 'ETPT Format DDG'!$A:$ZZ,,MATCH("7.5. COUR D'ASSISES HORS JIRS",'ETPT Format DDG'!2:2,0)),
INDEX( 'ETPT Format DDG'!$A:$ZZ,,MATCH("Fonction recodée",'ETPT Format DDG'!2:2,0)),"Fonctionnaire A-B-CBUR"))+
SUM(SUMIFS(
INDEX( 'ETPT Format DDG'!$A:$ZZ,,MATCH("7.51. COUR D'ASSISES JIRS",'ETPT Format DDG'!2:2,0)),
INDEX( 'ETPT Format DDG'!$A:$ZZ,,MATCH("Fonction recodée",'ETPT Format DDG'!2:2,0)),"Fonctionnaire A-B-CBUR"))</f>
        <v>#N/A</v>
      </c>
      <c r="L6" s="107" t="e">
        <f>SUM(SUMIFS(
INDEX( 'ETPT Format DDG'!$A:$ZZ,,MATCH("7.52. COUR CRIMINELLE",'ETPT Format DDG'!2:2,0)),
INDEX( 'ETPT Format DDG'!$A:$ZZ,,MATCH("Fonction recodée",'ETPT Format DDG'!2:2,0)),"Fonctionnaire A-B-CBUR"))</f>
        <v>#N/A</v>
      </c>
      <c r="M6" s="107" t="e">
        <f>SUM(SUMIFS(
INDEX( 'ETPT Format DDG'!$A:$ZZ,,MATCH("7.121. COLLÉGIALES JIRS ÉCO-FI",'ETPT Format DDG'!2:2,0)),
INDEX( 'ETPT Format DDG'!$A:$ZZ,,MATCH("Fonction recodée",'ETPT Format DDG'!2:2,0)),"Fonctionnaire A-B-CBUR",
INDEX( 'ETPT Format DDG'!$A:$ZZ,,MATCH("Jirs",'ETPT Format DDG'!2:2,0)),"x"))</f>
        <v>#N/A</v>
      </c>
      <c r="N6" s="107" t="e">
        <f>SUM(SUMIFS(
INDEX( 'ETPT Format DDG'!$A:$ZZ,,MATCH("7.12. COLLÉGIALES JIRS CRIM-ORG",'ETPT Format DDG'!2:2,0)),
INDEX( 'ETPT Format DDG'!$A:$ZZ,,MATCH("Fonction recodée",'ETPT Format DDG'!2:2,0)),"Fonctionnaire A-B-CBUR"))</f>
        <v>#N/A</v>
      </c>
      <c r="O6" s="107" t="e">
        <f>SUM(SUMIFS(
INDEX( 'ETPT Format DDG'!$A:$ZZ,,MATCH("7.122. COLLÉGIALES AUTRES SECTIONS SPÉCIALISÉES",'ETPT Format DDG'!2:2,0)),
INDEX( 'ETPT Format DDG'!$A:$ZZ,,MATCH("Fonction recodée",'ETPT Format DDG'!2:2,0)),"Fonctionnaire A-B-CBUR"))+
SUM(SUMIFS(
INDEX( 'ETPT Format DDG'!$A:$ZZ,,MATCH("7.121. COLLÉGIALES JIRS ÉCO-FI",'ETPT Format DDG'!2:2,0)),
INDEX( 'ETPT Format DDG'!$A:$ZZ,,MATCH("Fonction recodée",'ETPT Format DDG'!2:2,0)),"Fonctionnaire A-B-CBUR",
INDEX( 'ETPT Format DDG'!$A:$ZZ,,MATCH("Jirs",'ETPT Format DDG'!2:2,0)),""))</f>
        <v>#N/A</v>
      </c>
      <c r="P6" s="108"/>
      <c r="Q6" s="108"/>
      <c r="R6" s="116" t="e">
        <f>SUM(SUMIFS(
INDEX( 'ETPT Format DDG'!$A:$ZZ,,MATCH("6.2. ACTIVITÉ PÉNALE",'ETPT Format DDG'!2:2,0)),
INDEX( 'ETPT Format DDG'!$A:$ZZ,,MATCH("Fonction recodée",'ETPT Format DDG'!2:2,0)),"Fonctionnaire A-B-CBUR"))+
SUM(SUMIFS(
INDEX( 'ETPT Format DDG'!$A:$ZZ,,MATCH("8. TOTAL JUGES D'INSTRUCTION",'ETPT Format DDG'!2:2,0)),
INDEX( 'ETPT Format DDG'!$A:$ZZ,,MATCH("Fonction recodée",'ETPT Format DDG'!2:2,0)),"Fonctionnaire A-B-CBUR"))+
SUM(SUMIFS(
INDEX( 'ETPT Format DDG'!$A:$ZZ,,MATCH("9. TOTAL JAP",'ETPT Format DDG'!2:2,0)),
INDEX( 'ETPT Format DDG'!$A:$ZZ,,MATCH("Fonction recodée",'ETPT Format DDG'!2:2,0)),"Fonctionnaire A-B-CBUR"))+
SUM(SUMIFS(
INDEX( 'ETPT Format DDG'!$A:$ZZ,,MATCH("10. TOTAL JLD PÉNAL",'ETPT Format DDG'!2:2,0)),
INDEX( 'ETPT Format DDG'!$A:$ZZ,,MATCH("Fonction recodée",'ETPT Format DDG'!2:2,0)),"Fonctionnaire A-B-CBUR"))</f>
        <v>#N/A</v>
      </c>
      <c r="S6" s="117"/>
      <c r="T6" s="117"/>
      <c r="U6" s="118" t="s">
        <v>2224</v>
      </c>
      <c r="V6" s="119" t="e">
        <f>MAX(0,SUM(SUMIFS(
INDEX( 'ETPT Format DDG'!$A:$ZZ,,MATCH("7. TOTAL SIÈGE PÉNAL",'ETPT Format DDG'!2:2,0)),
INDEX( 'ETPT Format DDG'!$A:$ZZ,,MATCH("Fonction recodée",'ETPT Format DDG'!2:2,0)),"Fonctionnaire A-B-CBUR"))+
SUM(SUMIFS(
INDEX( 'ETPT Format DDG'!$A:$ZZ,,MATCH("11.10. AUTRES FONCTIONNAIRES AFFECTÉS AU PARQUET",'ETPT Format DDG'!2:2,0)),
INDEX( 'ETPT Format DDG'!$A:$ZZ,,MATCH("Fonction recodée",'ETPT Format DDG'!2:2,0)),"Fonctionnaire A-B-CBUR"))-
SUM(SUMIFS(
INDEX( 'ETPT Format DDG'!$A:$ZZ,,MATCH("7.5. COUR D'ASSISES HORS JIRS",'ETPT Format DDG'!2:2,0)),
INDEX( 'ETPT Format DDG'!$A:$ZZ,,MATCH("Fonction recodée",'ETPT Format DDG'!2:2,0)),"Fonctionnaire A-B-CBUR"))-
SUM(SUMIFS(
INDEX( 'ETPT Format DDG'!$A:$ZZ,,MATCH("7.51. COUR D'ASSISES JIRS",'ETPT Format DDG'!2:2,0)),
INDEX( 'ETPT Format DDG'!$A:$ZZ,,MATCH("Fonction recodée",'ETPT Format DDG'!2:2,0)),"Fonctionnaire A-B-CBUR"))-
SUM(SUMIFS(
INDEX( 'ETPT Format DDG'!$A:$ZZ,,MATCH("7.52. COUR CRIMINELLE",'ETPT Format DDG'!2:2,0)),
INDEX( 'ETPT Format DDG'!$A:$ZZ,,MATCH("Fonction recodée",'ETPT Format DDG'!2:2,0)),"Fonctionnaire A-B-CBUR"))-
SUM(SUMIFS(
INDEX( 'ETPT Format DDG'!$A:$ZZ,,MATCH("7.121. COLLÉGIALES JIRS ÉCO-FI",'ETPT Format DDG'!2:2,0)),
INDEX( 'ETPT Format DDG'!$A:$ZZ,,MATCH("Fonction recodée",'ETPT Format DDG'!2:2,0)),"Fonctionnaire A-B-CBUR"))-
SUM(SUMIFS(
INDEX( 'ETPT Format DDG'!$A:$ZZ,,MATCH("7.12. COLLÉGIALES JIRS CRIM-ORG",'ETPT Format DDG'!2:2,0)),
INDEX( 'ETPT Format DDG'!$A:$ZZ,,MATCH("Fonction recodée",'ETPT Format DDG'!2:2,0)),"Fonctionnaire A-B-CBUR"))-
SUM(SUMIFS(
INDEX( 'ETPT Format DDG'!$A:$ZZ,,MATCH("7.122. COLLÉGIALES AUTRES SECTIONS SPÉCIALISÉES",'ETPT Format DDG'!2:2,0)),
INDEX( 'ETPT Format DDG'!$A:$ZZ,,MATCH("Fonction recodée",'ETPT Format DDG'!2:2,0)),"Fonctionnaire A-B-CBUR")))</f>
        <v>#N/A</v>
      </c>
      <c r="W6" s="109">
        <f>_xlfn.AGGREGATE(9,6,I6:V6)</f>
        <v>0</v>
      </c>
      <c r="X6" s="112"/>
      <c r="Y6" s="112"/>
      <c r="Z6" s="111" t="e">
        <f t="array" ref="Z6">SUM(SUMIFS(
INDEX( 'ETPT Format DDG'!$A:$ZZ,,MATCH("8.1. SERVICE GÉNÉRAL",'ETPT Format DDG'!2:2,0)),
INDEX( 'ETPT Format DDG'!$A:$ZZ,,MATCH("Fonction recodée",'ETPT Format DDG'!2:2,0)),{"Magistrat SIEGE S";"Magistrat SIEGE NS"}))</f>
        <v>#N/A</v>
      </c>
      <c r="AA6" s="111" t="e">
        <f t="array" ref="AA6">SUM(SUMIFS(
INDEX( 'ETPT Format DDG'!$A:$ZZ,,MATCH("8.2. JIRS ÉCO-FI",'ETPT Format DDG'!2:2,0)),
INDEX( 'ETPT Format DDG'!$A:$ZZ,,MATCH("Fonction recodée",'ETPT Format DDG'!2:2,0)),{"Magistrat SIEGE S";"Magistrat SIEGE NS"}))</f>
        <v>#N/A</v>
      </c>
      <c r="AB6" s="111" t="e">
        <f t="array" ref="AB6">SUM(SUMIFS(
INDEX( 'ETPT Format DDG'!$A:$ZZ,,MATCH("8.3. JIRS CRIM-ORG",'ETPT Format DDG'!2:2,0)),
INDEX( 'ETPT Format DDG'!$A:$ZZ,,MATCH("Fonction recodée",'ETPT Format DDG'!2:2,0)),{"Magistrat SIEGE S";"Magistrat SIEGE NS"}))</f>
        <v>#N/A</v>
      </c>
      <c r="AC6" s="111" t="e">
        <f t="array" ref="AC6">SUM(SUMIFS(
INDEX( 'ETPT Format DDG'!$A:$ZZ,,MATCH("8.4. AUTRES SECTIONS SPÉCIALISÉES",'ETPT Format DDG'!2:2,0)),
INDEX( 'ETPT Format DDG'!$A:$ZZ,,MATCH("Fonction recodée",'ETPT Format DDG'!2:2,0)),{"Magistrat SIEGE S";"Magistrat SIEGE NS"}))+
SUM(SUMIFS(
INDEX( 'ETPT Format DDG'!$A:$ZZ,,MATCH("8.11. ECO-FI HORS JIRS",'ETPT Format DDG'!2:2,0)),
INDEX( 'ETPT Format DDG'!$A:$ZZ,,MATCH("Fonction recodée",'ETPT Format DDG'!2:2,0)),{"Magistrat SIEGE S";"Magistrat SIEGE NS"}))</f>
        <v>#N/A</v>
      </c>
      <c r="AD6" s="111" t="e">
        <f t="array" ref="AD6">SUM(SUMIFS(
INDEX( 'ETPT Format DDG'!$A:$ZZ,,MATCH("9. TOTAL JAP",'ETPT Format DDG'!2:2,0)),
INDEX( 'ETPT Format DDG'!$A:$ZZ,,MATCH("Fonction recodée",'ETPT Format DDG'!2:2,0)),{"Magistrat SIEGE S";"Magistrat SIEGE NS"}))</f>
        <v>#N/A</v>
      </c>
      <c r="AE6" s="111" t="e">
        <f t="array" ref="AE6">SUM(SUMIFS(
INDEX( 'ETPT Format DDG'!$A:$ZZ,,MATCH("6.2. ACTIVITÉ PÉNALE",'ETPT Format DDG'!2:2,0)),
INDEX( 'ETPT Format DDG'!$A:$ZZ,,MATCH("Fonction recodée",'ETPT Format DDG'!2:2,0)),{"Magistrat SIEGE S";"Magistrat SIEGE NS"}))</f>
        <v>#N/A</v>
      </c>
      <c r="AF6" s="111" t="e">
        <f t="array" ref="AF6">SUM(SUMIFS(
INDEX( 'ETPT Format DDG'!$A:$ZZ,,MATCH("10. TOTAL JLD PÉNAL",'ETPT Format DDG'!2:2,0)),
INDEX( 'ETPT Format DDG'!$A:$ZZ,,MATCH("Fonction recodée",'ETPT Format DDG'!2:2,0)),{"Magistrat SIEGE S";"Magistrat SIEGE NS"}))</f>
        <v>#N/A</v>
      </c>
      <c r="AG6" s="109">
        <f t="shared" ref="AG6:AG15" si="2">_xlfn.AGGREGATE(9,6,X6:AF6)</f>
        <v>0</v>
      </c>
      <c r="AH6" s="111" t="e">
        <f t="array" ref="AH6">SUM(SUMIFS(
INDEX( 'ETPT Format DDG'!$A:$ZZ,,MATCH("7.5. COUR D'ASSISES HORS JIRS",'ETPT Format DDG'!2:2,0)),
INDEX( 'ETPT Format DDG'!$A:$ZZ,,MATCH("Fonction recodée",'ETPT Format DDG'!2:2,0)),{"Magistrat SIEGE S";"Magistrat SIEGE NS"}))+
SUM(SUMIFS(
INDEX( 'ETPT Format DDG'!$A:$ZZ,,MATCH("7.51. COUR D'ASSISES JIRS",'ETPT Format DDG'!2:2,0)),
INDEX( 'ETPT Format DDG'!$A:$ZZ,,MATCH("Fonction recodée",'ETPT Format DDG'!2:2,0)),{"Magistrat SIEGE S";"Magistrat SIEGE NS"}))</f>
        <v>#N/A</v>
      </c>
      <c r="AI6" s="111" t="e">
        <f t="array" ref="AI6">SUM(SUMIFS(
INDEX( 'ETPT Format DDG'!$A:$ZZ,,MATCH("7.52. COUR CRIMINELLE",'ETPT Format DDG'!2:2,0)),
INDEX( 'ETPT Format DDG'!$A:$ZZ,,MATCH("Fonction recodée",'ETPT Format DDG'!2:2,0)),{"Magistrat SIEGE S";"Magistrat SIEGE NS"}))</f>
        <v>#N/A</v>
      </c>
      <c r="AJ6" s="111" t="e">
        <f t="array" ref="AJ6">SUM(SUMIFS(
INDEX( 'ETPT Format DDG'!$A:$ZZ,,MATCH("7.121. COLLÉGIALES JIRS ÉCO-FI",'ETPT Format DDG'!2:2,0)),
INDEX( 'ETPT Format DDG'!$A:$ZZ,,MATCH("Fonction recodée",'ETPT Format DDG'!2:2,0)),{"Magistrat SIEGE S";"Magistrat SIEGE NS"},
INDEX( 'ETPT Format DDG'!$A:$ZZ,,MATCH("Jirs",'ETPT Format DDG'!2:2,0)),"x"))</f>
        <v>#N/A</v>
      </c>
      <c r="AK6" s="111" t="e">
        <f t="array" ref="AK6">SUM(SUMIFS(
INDEX( 'ETPT Format DDG'!$A:$ZZ,,MATCH("7.12. COLLÉGIALES JIRS CRIM-ORG",'ETPT Format DDG'!2:2,0)),
INDEX( 'ETPT Format DDG'!$A:$ZZ,,MATCH("Fonction recodée",'ETPT Format DDG'!2:2,0)),{"Magistrat SIEGE S";"Magistrat SIEGE NS"}))</f>
        <v>#N/A</v>
      </c>
      <c r="AL6" s="111" t="e">
        <f t="array" ref="AL6">SUM(SUMIFS(
INDEX( 'ETPT Format DDG'!$A:$ZZ,,MATCH("7.122. COLLÉGIALES AUTRES SECTIONS SPÉCIALISÉES",'ETPT Format DDG'!2:2,0)),
INDEX( 'ETPT Format DDG'!$A:$ZZ,,MATCH("Fonction recodée",'ETPT Format DDG'!2:2,0)),{"Magistrat SIEGE S";"Magistrat SIEGE NS"}))+
SUM(SUMIFS(
INDEX( 'ETPT Format DDG'!$A:$ZZ,,MATCH("7.121. COLLÉGIALES JIRS ÉCO-FI",'ETPT Format DDG'!2:2,0)),
INDEX( 'ETPT Format DDG'!$A:$ZZ,,MATCH("Fonction recodée",'ETPT Format DDG'!2:2,0)),{"Magistrat SIEGE S";"Magistrat SIEGE NS"},
INDEX( 'ETPT Format DDG'!$A:$ZZ,,MATCH("Jirs",'ETPT Format DDG'!2:2,0)),""))</f>
        <v>#N/A</v>
      </c>
      <c r="AM6" s="110" t="e">
        <f t="array" ref="AM6">SUM(SUMIFS(
INDEX( 'ETPT Format DDG'!$A:$ZZ,,MATCH("7.6. TRIBUNAL DE POLICE",'ETPT Format DDG'!2:2,0)),
INDEX( 'ETPT Format DDG'!$A:$ZZ,,MATCH("Fonction recodée",'ETPT Format DDG'!2:2,0)),{"Magistrat SIEGE S";"Magistrat SIEGE NS"}))+
SUM(SUMIFS(
INDEX( 'ETPT Format DDG'!$A:$ZZ,,MATCH("7.7. OP CONTRAVENTIONNELLES",'ETPT Format DDG'!2:2,0)),
INDEX( 'ETPT Format DDG'!$A:$ZZ,,MATCH("Fonction recodée",'ETPT Format DDG'!2:2,0)),{"Magistrat SIEGE S";"Magistrat SIEGE NS"}))</f>
        <v>#N/A</v>
      </c>
      <c r="AN6" s="112"/>
      <c r="AO6" s="112"/>
      <c r="AP6" s="112"/>
      <c r="AQ6" s="112"/>
      <c r="AR6" s="112"/>
      <c r="AS6" s="110" t="e">
        <f>MAX(0,SUMIFS(
INDEX( 'ETPT Format DDG'!$A:$ZZ,,MATCH("7. TOTAL SIÈGE PÉNAL",'ETPT Format DDG'!2:2,0)),
INDEX( 'ETPT Format DDG'!$A:$ZZ,,MATCH("Fonction recodée",'ETPT Format DDG'!2:2,0)),"Magistrat SIEGE S")-
SUMIFS(
INDEX( 'ETPT Format DDG'!$A:$ZZ,,MATCH("7.5. COUR D'ASSISES HORS JIRS",'ETPT Format DDG'!2:2,0)),
INDEX( 'ETPT Format DDG'!$A:$ZZ,,MATCH("Fonction recodée",'ETPT Format DDG'!2:2,0)),"Magistrat SIEGE S")-
SUMIFS(
INDEX( 'ETPT Format DDG'!$A:$ZZ,,MATCH("7.51. COUR D'ASSISES JIRS",'ETPT Format DDG'!2:2,0)),
INDEX( 'ETPT Format DDG'!$A:$ZZ,,MATCH("Fonction recodée",'ETPT Format DDG'!2:2,0)),"Magistrat SIEGE S")-
SUMIFS(
INDEX( 'ETPT Format DDG'!$A:$ZZ,,MATCH("7.52. COUR CRIMINELLE",'ETPT Format DDG'!2:2,0)),
INDEX( 'ETPT Format DDG'!$A:$ZZ,,MATCH("Fonction recodée",'ETPT Format DDG'!2:2,0)),"Magistrat SIEGE S")-
SUMIFS(
INDEX( 'ETPT Format DDG'!$A:$ZZ,,MATCH("7.121. COLLÉGIALES JIRS ÉCO-FI",'ETPT Format DDG'!2:2,0)),
INDEX( 'ETPT Format DDG'!$A:$ZZ,,MATCH("Fonction recodée",'ETPT Format DDG'!2:2,0)),"Magistrat SIEGE S")-
SUMIFS(
INDEX( 'ETPT Format DDG'!$A:$ZZ,,MATCH("7.12. COLLÉGIALES JIRS CRIM-ORG",'ETPT Format DDG'!2:2,0)),
INDEX( 'ETPT Format DDG'!$A:$ZZ,,MATCH("Fonction recodée",'ETPT Format DDG'!2:2,0)),"Magistrat SIEGE S")-
SUMIFS(
INDEX( 'ETPT Format DDG'!$A:$ZZ,,MATCH("7.122. COLLÉGIALES AUTRES SECTIONS SPÉCIALISÉES",'ETPT Format DDG'!2:2,0)),
INDEX( 'ETPT Format DDG'!$A:$ZZ,,MATCH("Fonction recodée",'ETPT Format DDG'!2:2,0)),"Magistrat SIEGE S")-
SUMIFS(
INDEX( 'ETPT Format DDG'!$A:$ZZ,,MATCH("7.6. TRIBUNAL DE POLICE",'ETPT Format DDG'!2:2,0)),
INDEX( 'ETPT Format DDG'!$A:$ZZ,,MATCH("Fonction recodée",'ETPT Format DDG'!2:2,0)),"Magistrat SIEGE S")-
SUMIFS(
INDEX( 'ETPT Format DDG'!$A:$ZZ,,MATCH("7.7. OP CONTRAVENTIONNELLES",'ETPT Format DDG'!2:2,0)),
INDEX( 'ETPT Format DDG'!$A:$ZZ,,MATCH("Fonction recodée",'ETPT Format DDG'!2:2,0)),"Magistrat SIEGE S"))</f>
        <v>#N/A</v>
      </c>
      <c r="AT6" s="110"/>
      <c r="AU6" s="120" t="e">
        <f>MAX(0,SUMIFS(
INDEX( 'ETPT Format DDG'!$A:$ZZ,,MATCH("7. TOTAL SIÈGE PÉNAL",'ETPT Format DDG'!2:2,0)),
INDEX( 'ETPT Format DDG'!$A:$ZZ,,MATCH("Fonction recodée",'ETPT Format DDG'!2:2,0)),"Magistrat SIEGE NS")-
SUMIFS(
INDEX( 'ETPT Format DDG'!$A:$ZZ,,MATCH("7.5. COUR D'ASSISES HORS JIRS",'ETPT Format DDG'!2:2,0)),
INDEX( 'ETPT Format DDG'!$A:$ZZ,,MATCH("Fonction recodée",'ETPT Format DDG'!2:2,0)),"Magistrat SIEGE NS")-
SUMIFS(
INDEX( 'ETPT Format DDG'!$A:$ZZ,,MATCH("7.51. COUR D'ASSISES JIRS",'ETPT Format DDG'!2:2,0)),
INDEX( 'ETPT Format DDG'!$A:$ZZ,,MATCH("Fonction recodée",'ETPT Format DDG'!2:2,0)),"Magistrat SIEGE NS")-
SUMIFS(
INDEX( 'ETPT Format DDG'!$A:$ZZ,,MATCH("7.52. COUR CRIMINELLE",'ETPT Format DDG'!2:2,0)),
INDEX( 'ETPT Format DDG'!$A:$ZZ,,MATCH("Fonction recodée",'ETPT Format DDG'!2:2,0)),"Magistrat SIEGE NS")-
SUMIFS(
INDEX( 'ETPT Format DDG'!$A:$ZZ,,MATCH("7.121. COLLÉGIALES JIRS ÉCO-FI",'ETPT Format DDG'!2:2,0)),
INDEX( 'ETPT Format DDG'!$A:$ZZ,,MATCH("Fonction recodée",'ETPT Format DDG'!2:2,0)),"Magistrat SIEGE NS")-
SUMIFS(
INDEX( 'ETPT Format DDG'!$A:$ZZ,,MATCH("7.12. COLLÉGIALES JIRS CRIM-ORG",'ETPT Format DDG'!2:2,0)),
INDEX( 'ETPT Format DDG'!$A:$ZZ,,MATCH("Fonction recodée",'ETPT Format DDG'!2:2,0)),"Magistrat SIEGE NS")-
SUMIFS(
INDEX( 'ETPT Format DDG'!$A:$ZZ,,MATCH("7.122. COLLÉGIALES AUTRES SECTIONS SPÉCIALISÉES",'ETPT Format DDG'!2:2,0)),
INDEX( 'ETPT Format DDG'!$A:$ZZ,,MATCH("Fonction recodée",'ETPT Format DDG'!2:2,0)),"Magistrat SIEGE NS")-
SUMIFS(
INDEX( 'ETPT Format DDG'!$A:$ZZ,,MATCH("7.6. TRIBUNAL DE POLICE",'ETPT Format DDG'!2:2,0)),
INDEX( 'ETPT Format DDG'!$A:$ZZ,,MATCH("Fonction recodée",'ETPT Format DDG'!2:2,0)),"Magistrat SIEGE NS")-
SUMIFS(
INDEX( 'ETPT Format DDG'!$A:$ZZ,,MATCH("7.7. OP CONTRAVENTIONNELLES",'ETPT Format DDG'!2:2,0)),
INDEX( 'ETPT Format DDG'!$A:$ZZ,,MATCH("Fonction recodée",'ETPT Format DDG'!2:2,0)),"Magistrat SIEGE NS"))</f>
        <v>#N/A</v>
      </c>
      <c r="AV6" s="109">
        <f t="shared" ref="AV6:AV15" si="3">_xlfn.AGGREGATE(9,6,AH6:AU6)</f>
        <v>0</v>
      </c>
      <c r="AW6" s="113"/>
      <c r="AX6" s="113"/>
      <c r="AY6" s="113"/>
      <c r="AZ6" s="113"/>
      <c r="BA6" s="113"/>
      <c r="BB6" s="113"/>
      <c r="BC6" s="113"/>
      <c r="BD6" s="114"/>
      <c r="BE6" s="113"/>
      <c r="BF6" s="109">
        <f>SUM(AW6:BE6)</f>
        <v>0</v>
      </c>
    </row>
    <row r="7" ht="14.25" customHeight="1" spans="1:58" s="92" customFormat="1" x14ac:dyDescent="0.25">
      <c r="A7" s="102" t="s">
        <v>2219</v>
      </c>
      <c r="B7" s="103"/>
      <c r="C7" s="103"/>
      <c r="D7" s="115">
        <f t="shared" si="0"/>
      </c>
      <c r="E7" s="103" t="s">
        <v>2225</v>
      </c>
      <c r="F7" s="103" t="s">
        <v>2226</v>
      </c>
      <c r="G7" s="121"/>
      <c r="H7" s="106">
        <f t="shared" si="1"/>
        <v>0</v>
      </c>
      <c r="I7" s="122"/>
      <c r="J7" s="122"/>
      <c r="K7" s="122"/>
      <c r="L7" s="122"/>
      <c r="M7" s="122"/>
      <c r="N7" s="122"/>
      <c r="O7" s="122"/>
      <c r="P7" s="122"/>
      <c r="Q7" s="123" t="s">
        <v>2227</v>
      </c>
      <c r="R7" s="123" t="s">
        <v>2228</v>
      </c>
      <c r="S7" s="122"/>
      <c r="T7" s="122"/>
      <c r="U7" s="122"/>
      <c r="V7" s="122"/>
      <c r="W7" s="109">
        <f t="shared" ref="W7:W15" si="4">_xlfn.AGGREGATE(9,6,I7:V7)</f>
        <v>0</v>
      </c>
      <c r="X7" s="122"/>
      <c r="Y7" s="111" t="e">
        <f t="array" ref="Y7">SUM(SUMIFS(
INDEX( 'ETPT Format DDG'!$A:$ZZ,,MATCH("11.5. CSM",'ETPT Format DDG'!2:2,0)),
INDEX( 'ETPT Format DDG'!$A:$ZZ,,MATCH("Fonction",'ETPT Format DDG'!2:2,0)),{"JCP";"VPCP";"1VPCP"},
INDEX( 'ETPT Format DDG'!$A:$ZZ,,MATCH("TJCPH",'ETPT Format DDG'!2:2,0)),"OUI"))</f>
        <v>#N/A</v>
      </c>
      <c r="Z7" s="111" t="e">
        <f t="array" ref="Z7">SUM(SUMIFS(
INDEX( 'ETPT Format DDG'!$A:$ZZ,,MATCH("11.5. CSM",'ETPT Format DDG'!2:2,0)),
INDEX( 'ETPT Format DDG'!$A:$ZZ,,MATCH("Fonction",'ETPT Format DDG'!2:2,0)),{"JI";"VPI";"1VPI"},
INDEX( 'ETPT Format DDG'!$A:$ZZ,,MATCH("TJCPH",'ETPT Format DDG'!2:2,0)),"OUI"))</f>
        <v>#N/A</v>
      </c>
      <c r="AA7" s="122"/>
      <c r="AB7" s="122"/>
      <c r="AC7" s="122"/>
      <c r="AD7" s="111" t="e">
        <f t="array" ref="AD7">SUM(SUMIFS(
INDEX( 'ETPT Format DDG'!$A:$ZZ,,MATCH("11.5. CSM",'ETPT Format DDG'!2:2,0)),
INDEX( 'ETPT Format DDG'!$A:$ZZ,,MATCH("Fonction",'ETPT Format DDG'!2:2,0)),{"JAP";"VPAP";"1VPAP"},
INDEX( 'ETPT Format DDG'!$A:$ZZ,,MATCH("TJCPH",'ETPT Format DDG'!2:2,0)),"OUI"))</f>
        <v>#N/A</v>
      </c>
      <c r="AE7" s="111" t="e">
        <f t="array" ref="AE7">SUM(SUMIFS(
INDEX( 'ETPT Format DDG'!$A:$ZZ,,MATCH("11.5. CSM",'ETPT Format DDG'!2:2,0)),
INDEX( 'ETPT Format DDG'!$A:$ZZ,,MATCH("Fonction",'ETPT Format DDG'!2:2,0)),{"JE";"VPE";"1VPE"},
INDEX( 'ETPT Format DDG'!$A:$ZZ,,MATCH("TJCPH",'ETPT Format DDG'!2:2,0)),"OUI"))</f>
        <v>#N/A</v>
      </c>
      <c r="AF7" s="111" t="e">
        <f t="array" ref="AF7">SUM(SUMIFS(
INDEX( 'ETPT Format DDG'!$A:$ZZ,,MATCH("11.5. CSM",'ETPT Format DDG'!2:2,0)),
INDEX( 'ETPT Format DDG'!$A:$ZZ,,MATCH("Fonction",'ETPT Format DDG'!2:2,0)),{"VPLD";"1VPLD"},
INDEX( 'ETPT Format DDG'!$A:$ZZ,,MATCH("TJCPH",'ETPT Format DDG'!2:2,0)),"OUI"))</f>
        <v>#N/A</v>
      </c>
      <c r="AG7" s="109">
        <f t="shared" si="2"/>
        <v>0</v>
      </c>
      <c r="AH7" s="122"/>
      <c r="AI7" s="122"/>
      <c r="AJ7" s="122"/>
      <c r="AK7" s="122"/>
      <c r="AL7" s="122"/>
      <c r="AM7" s="122"/>
      <c r="AN7" s="122"/>
      <c r="AO7" s="122"/>
      <c r="AP7" s="122"/>
      <c r="AQ7" s="122"/>
      <c r="AR7" s="123"/>
      <c r="AS7" s="122"/>
      <c r="AT7" s="122"/>
      <c r="AU7" s="111" t="e">
        <f>SUM(SUMIFS(
INDEX( 'ETPT Format DDG'!$A:$ZZ,,MATCH("11.5. CSM",'ETPT Format DDG'!2:2,0)),
INDEX( 'ETPT Format DDG'!$A:$ZZ,,MATCH("Fonction recodée",'ETPT Format DDG'!2:2,0)),"Magistrat SIEGE NS",
INDEX( 'ETPT Format DDG'!$A:$ZZ,,MATCH("TJCPH",'ETPT Format DDG'!2:2,0)),"OUI"))</f>
        <v>#N/A</v>
      </c>
      <c r="AV7" s="109">
        <f t="shared" si="3"/>
        <v>0</v>
      </c>
      <c r="AW7" s="113"/>
      <c r="AX7" s="113"/>
      <c r="AY7" s="113"/>
      <c r="AZ7" s="113"/>
      <c r="BA7" s="113"/>
      <c r="BB7" s="113"/>
      <c r="BC7" s="113"/>
      <c r="BD7" s="113"/>
      <c r="BE7" s="113"/>
      <c r="BF7" s="109">
        <f t="shared" ref="BF7:BF15" si="5">SUM(AW7:BE7)</f>
        <v>0</v>
      </c>
    </row>
    <row r="8" ht="14.25" customHeight="1" spans="1:58" s="92" customFormat="1" x14ac:dyDescent="0.25">
      <c r="A8" s="102" t="s">
        <v>2219</v>
      </c>
      <c r="B8" s="103"/>
      <c r="C8" s="103"/>
      <c r="D8" s="115">
        <f t="shared" si="0"/>
      </c>
      <c r="E8" s="103" t="s">
        <v>2229</v>
      </c>
      <c r="F8" s="103" t="s">
        <v>2230</v>
      </c>
      <c r="G8" s="105" t="e">
        <f>SUM(SUMIFS(
INDEX( 'ETPT Format DDG'!$A:$ZZ,,MATCH("11.51. ACCUEIL DU JUSTICIABLE (DONT SAUJ)",'ETPT Format DDG'!2:2,0)),
INDEX( 'ETPT Format DDG'!$A:$ZZ,,MATCH("Fonction recodée",'ETPT Format DDG'!2:2,0)),"Fonctionnaire CTECH",
INDEX( 'ETPT Format DDG'!$A:$ZZ,,MATCH("TJCPH",'ETPT Format DDG'!2:2,0)),"OUI"))</f>
        <v>#N/A</v>
      </c>
      <c r="H8" s="106">
        <f t="shared" si="1"/>
        <v>0</v>
      </c>
      <c r="I8" s="122"/>
      <c r="J8" s="122"/>
      <c r="K8" s="122"/>
      <c r="L8" s="122"/>
      <c r="M8" s="122"/>
      <c r="N8" s="122"/>
      <c r="O8" s="122"/>
      <c r="P8" s="122"/>
      <c r="Q8" s="122"/>
      <c r="R8" s="122"/>
      <c r="S8" s="122"/>
      <c r="T8" s="122"/>
      <c r="U8" s="122"/>
      <c r="V8" s="111" t="e">
        <f>SUM(SUMIFS(
INDEX( 'ETPT Format DDG'!$A:$ZZ,,MATCH("11.51. ACCUEIL DU JUSTICIABLE (DONT SAUJ)",'ETPT Format DDG'!2:2,0)),
INDEX( 'ETPT Format DDG'!$A:$ZZ,,MATCH("Fonction recodée",'ETPT Format DDG'!2:2,0)),"Fonctionnaire A-B-CBUR",
INDEX( 'ETPT Format DDG'!$A:$ZZ,,MATCH("TJCPH",'ETPT Format DDG'!2:2,0)),"OUI"))</f>
        <v>#N/A</v>
      </c>
      <c r="W8" s="109">
        <f t="shared" si="4"/>
        <v>0</v>
      </c>
      <c r="X8" s="122"/>
      <c r="Y8" s="111" t="e">
        <f t="array" ref="Y8">SUM(SUMIFS(
INDEX( 'ETPT Format DDG'!$A:$ZZ,,MATCH("11.51. ACCUEIL DU JUSTICIABLE (DONT SAUJ)",'ETPT Format DDG'!2:2,0)),
INDEX( 'ETPT Format DDG'!$A:$ZZ,,MATCH("Fonction",'ETPT Format DDG'!2:2,0)),{"JCP";"VPCP";"1VPCP"},
INDEX( 'ETPT Format DDG'!$A:$ZZ,,MATCH("TJCPH",'ETPT Format DDG'!2:2,0)),"OUI"))</f>
        <v>#N/A</v>
      </c>
      <c r="Z8" s="111" t="e">
        <f t="array" ref="Z8">SUM(SUMIFS(
INDEX( 'ETPT Format DDG'!$A:$ZZ,,MATCH("11.51. ACCUEIL DU JUSTICIABLE (DONT SAUJ)",'ETPT Format DDG'!2:2,0)),
INDEX( 'ETPT Format DDG'!$A:$ZZ,,MATCH("Fonction",'ETPT Format DDG'!2:2,0)),{"JI";"VPI";"1VPI"},
INDEX( 'ETPT Format DDG'!$A:$ZZ,,MATCH("TJCPH",'ETPT Format DDG'!2:2,0)),"OUI"))</f>
        <v>#N/A</v>
      </c>
      <c r="AA8" s="122"/>
      <c r="AB8" s="122"/>
      <c r="AC8" s="122"/>
      <c r="AD8" s="111" t="e">
        <f t="array" ref="AD8">SUM(SUMIFS(
INDEX( 'ETPT Format DDG'!$A:$ZZ,,MATCH("11.51. ACCUEIL DU JUSTICIABLE (DONT SAUJ)",'ETPT Format DDG'!2:2,0)),
INDEX( 'ETPT Format DDG'!$A:$ZZ,,MATCH("Fonction",'ETPT Format DDG'!2:2,0)),{"JAP";"VPAP";"1VPAP"},
INDEX( 'ETPT Format DDG'!$A:$ZZ,,MATCH("TJCPH",'ETPT Format DDG'!2:2,0)),"OUI"))</f>
        <v>#N/A</v>
      </c>
      <c r="AE8" s="111" t="e">
        <f t="array" ref="AE8">SUM(SUMIFS(
INDEX( 'ETPT Format DDG'!$A:$ZZ,,MATCH("11.51. ACCUEIL DU JUSTICIABLE (DONT SAUJ)",'ETPT Format DDG'!2:2,0)),
INDEX( 'ETPT Format DDG'!$A:$ZZ,,MATCH("Fonction",'ETPT Format DDG'!2:2,0)),{"JE";"VPE";"1VPE"},
INDEX( 'ETPT Format DDG'!$A:$ZZ,,MATCH("TJCPH",'ETPT Format DDG'!2:2,0)),"OUI"))</f>
        <v>#N/A</v>
      </c>
      <c r="AF8" s="111" t="e">
        <f t="array" ref="AF8">SUM(SUMIFS(
INDEX( 'ETPT Format DDG'!$A:$ZZ,,MATCH("11.51. ACCUEIL DU JUSTICIABLE (DONT SAUJ)",'ETPT Format DDG'!2:2,0)),
INDEX( 'ETPT Format DDG'!$A:$ZZ,,MATCH("Fonction",'ETPT Format DDG'!2:2,0)),{"VPLD";"1VPLD"},
INDEX( 'ETPT Format DDG'!$A:$ZZ,,MATCH("TJCPH",'ETPT Format DDG'!2:2,0)),"OUI"))</f>
        <v>#N/A</v>
      </c>
      <c r="AG8" s="109">
        <f t="shared" si="2"/>
        <v>0</v>
      </c>
      <c r="AH8" s="122"/>
      <c r="AI8" s="122"/>
      <c r="AJ8" s="122"/>
      <c r="AK8" s="122"/>
      <c r="AL8" s="122"/>
      <c r="AM8" s="122"/>
      <c r="AN8" s="122"/>
      <c r="AO8" s="122"/>
      <c r="AP8" s="122"/>
      <c r="AQ8" s="122"/>
      <c r="AR8" s="122"/>
      <c r="AS8" s="122"/>
      <c r="AT8" s="122"/>
      <c r="AU8" s="111" t="e">
        <f>SUM(SUMIFS(
INDEX( 'ETPT Format DDG'!$A:$ZZ,,MATCH("11.51. ACCUEIL DU JUSTICIABLE (DONT SAUJ)",'ETPT Format DDG'!2:2,0)),
INDEX( 'ETPT Format DDG'!$A:$ZZ,,MATCH("Fonction recodée",'ETPT Format DDG'!2:2,0)),"Magistrat SIEGE NS",
INDEX( 'ETPT Format DDG'!$A:$ZZ,,MATCH("TJCPH",'ETPT Format DDG'!2:2,0)),"OUI"))</f>
        <v>#N/A</v>
      </c>
      <c r="AV8" s="109">
        <f t="shared" si="3"/>
        <v>0</v>
      </c>
      <c r="AW8" s="113"/>
      <c r="AX8" s="113"/>
      <c r="AY8" s="113"/>
      <c r="AZ8" s="113"/>
      <c r="BA8" s="113"/>
      <c r="BB8" s="113"/>
      <c r="BC8" s="113"/>
      <c r="BD8" s="113"/>
      <c r="BE8" s="113"/>
      <c r="BF8" s="109">
        <f t="shared" si="5"/>
        <v>0</v>
      </c>
    </row>
    <row r="9" ht="14.25" customHeight="1" spans="1:58" s="92" customFormat="1" x14ac:dyDescent="0.25">
      <c r="A9" s="102" t="s">
        <v>2219</v>
      </c>
      <c r="B9" s="103"/>
      <c r="C9" s="103"/>
      <c r="D9" s="115">
        <f t="shared" si="0"/>
      </c>
      <c r="E9" s="103" t="s">
        <v>2231</v>
      </c>
      <c r="F9" s="103" t="s">
        <v>2232</v>
      </c>
      <c r="G9" s="105" t="e">
        <f>SUM(SUMIFS(
INDEX( 'ETPT Format DDG'!$A:$ZZ,,MATCH("11.1. SOUTIEN (HORS FORMATIONS SUIVIES)",'ETPT Format DDG'!2:2,0)),
INDEX( 'ETPT Format DDG'!$A:$ZZ,,MATCH("Fonction recodée",'ETPT Format DDG'!2:2,0)),"Fonctionnaire CTECH",
INDEX( 'ETPT Format DDG'!$A:$ZZ,,MATCH("TJCPH",'ETPT Format DDG'!2:2,0)),"OUI"))+
SUM(SUMIFS(
INDEX( 'ETPT Format DDG'!$A:$ZZ,,MATCH("11.2. FORMATIONS SUIVIES",'ETPT Format DDG'!2:2,0)),
INDEX( 'ETPT Format DDG'!$A:$ZZ,,MATCH("Fonction recodée",'ETPT Format DDG'!2:2,0)),"Fonctionnaire CTECH",
INDEX( 'ETPT Format DDG'!$A:$ZZ,,MATCH("TJCPH",'ETPT Format DDG'!2:2,0)),"OUI"))+
SUM(SUMIFS(
INDEX( 'ETPT Format DDG'!$A:$ZZ,,MATCH("11.6. AUTRES ACTIVITÉS NON JURIDICTIONNELLES",'ETPT Format DDG'!2:2,0)),
INDEX( 'ETPT Format DDG'!$A:$ZZ,,MATCH("Fonction recodée",'ETPT Format DDG'!2:2,0)),"Fonctionnaire CTECH",
INDEX( 'ETPT Format DDG'!$A:$ZZ,,MATCH("TJCPH",'ETPT Format DDG'!2:2,0)),"OUI"))</f>
        <v>#N/A</v>
      </c>
      <c r="H9" s="106">
        <f t="shared" si="1"/>
        <v>0</v>
      </c>
      <c r="I9" s="122"/>
      <c r="J9" s="122"/>
      <c r="K9" s="122"/>
      <c r="L9" s="122"/>
      <c r="M9" s="122"/>
      <c r="N9" s="122"/>
      <c r="O9" s="122"/>
      <c r="P9" s="122"/>
      <c r="Q9" s="122"/>
      <c r="R9" s="122"/>
      <c r="S9" s="122"/>
      <c r="T9" s="122"/>
      <c r="U9" s="122"/>
      <c r="V9" s="111" t="e">
        <f>SUM(SUMIFS(
INDEX( 'ETPT Format DDG'!$A:$ZZ,,MATCH("11.1. SOUTIEN (HORS FORMATIONS SUIVIES)",'ETPT Format DDG'!2:2,0)),
INDEX( 'ETPT Format DDG'!$A:$ZZ,,MATCH("Fonction recodée",'ETPT Format DDG'!2:2,0)),"Fonctionnaire A-B-CBUR",
INDEX( 'ETPT Format DDG'!$A:$ZZ,,MATCH("TJCPH",'ETPT Format DDG'!2:2,0)),"OUI"))+
SUM(SUMIFS(
INDEX( 'ETPT Format DDG'!$A:$ZZ,,MATCH("11.2. FORMATIONS SUIVIES",'ETPT Format DDG'!2:2,0)),
INDEX( 'ETPT Format DDG'!$A:$ZZ,,MATCH("Fonction recodée",'ETPT Format DDG'!2:2,0)),"Fonctionnaire A-B-CBUR",
INDEX( 'ETPT Format DDG'!$A:$ZZ,,MATCH("TJCPH",'ETPT Format DDG'!2:2,0)),"OUI"))+
SUM(SUMIFS(
INDEX( 'ETPT Format DDG'!$A:$ZZ,,MATCH("11.6. AUTRES ACTIVITÉS NON JURIDICTIONNELLES",'ETPT Format DDG'!2:2,0)),
INDEX( 'ETPT Format DDG'!$A:$ZZ,,MATCH("Fonction recodée",'ETPT Format DDG'!2:2,0)),"Fonctionnaire A-B-CBUR",
INDEX( 'ETPT Format DDG'!$A:$ZZ,,MATCH("TJCPH",'ETPT Format DDG'!2:2,0)),"OUI"))</f>
        <v>#N/A</v>
      </c>
      <c r="W9" s="109">
        <f t="shared" si="4"/>
        <v>0</v>
      </c>
      <c r="X9" s="122"/>
      <c r="Y9" s="111" t="e">
        <f t="array" ref="Y9">SUM(SUMIFS(
INDEX( 'ETPT Format DDG'!$A:$ZZ,,MATCH("11.1. SOUTIEN (HORS FORMATIONS SUIVIES)",'ETPT Format DDG'!2:2,0)),
INDEX( 'ETPT Format DDG'!$A:$ZZ,,MATCH("Fonction",'ETPT Format DDG'!2:2,0)),{"JCP";"VPCP";"1VPCP"},
INDEX( 'ETPT Format DDG'!$A:$ZZ,,MATCH("TJCPH",'ETPT Format DDG'!2:2,0)),"OUI"))+
SUM(SUMIFS(
INDEX( 'ETPT Format DDG'!$A:$ZZ,,MATCH("11.2. FORMATIONS SUIVIES",'ETPT Format DDG'!2:2,0)),
INDEX( 'ETPT Format DDG'!$A:$ZZ,,MATCH("Fonction",'ETPT Format DDG'!2:2,0)),{"JCP";"VPCP";"1VPCP"},
INDEX( 'ETPT Format DDG'!$A:$ZZ,,MATCH("TJCPH",'ETPT Format DDG'!2:2,0)),"OUI"))+
SUM(SUMIFS(
INDEX( 'ETPT Format DDG'!$A:$ZZ,,MATCH("11.6. AUTRES ACTIVITÉS NON JURIDICTIONNELLES",'ETPT Format DDG'!2:2,0)),
INDEX( 'ETPT Format DDG'!$A:$ZZ,,MATCH("Fonction",'ETPT Format DDG'!2:2,0)),{"JCP";"VPCP";"1VPCP"},
INDEX( 'ETPT Format DDG'!$A:$ZZ,,MATCH("TJCPH",'ETPT Format DDG'!2:2,0)),"OUI"))</f>
        <v>#N/A</v>
      </c>
      <c r="Z9" s="111" t="e">
        <f t="array" ref="Z9">SUM(SUMIFS(
INDEX( 'ETPT Format DDG'!$A:$ZZ,,MATCH("11.1. SOUTIEN (HORS FORMATIONS SUIVIES)",'ETPT Format DDG'!2:2,0)),
INDEX( 'ETPT Format DDG'!$A:$ZZ,,MATCH("Fonction",'ETPT Format DDG'!2:2,0)),{"JI";"VPI";"1VPI"},
INDEX( 'ETPT Format DDG'!$A:$ZZ,,MATCH("TJCPH",'ETPT Format DDG'!2:2,0)),"OUI"))+
SUM(SUMIFS(
INDEX( 'ETPT Format DDG'!$A:$ZZ,,MATCH("11.2. FORMATIONS SUIVIES",'ETPT Format DDG'!2:2,0)),
INDEX( 'ETPT Format DDG'!$A:$ZZ,,MATCH("Fonction",'ETPT Format DDG'!2:2,0)),{"JI";"VPI";"1VPI"},
INDEX( 'ETPT Format DDG'!$A:$ZZ,,MATCH("TJCPH",'ETPT Format DDG'!2:2,0)),"OUI"))+
SUM(SUMIFS(
INDEX( 'ETPT Format DDG'!$A:$ZZ,,MATCH("11.6. AUTRES ACTIVITÉS NON JURIDICTIONNELLES",'ETPT Format DDG'!2:2,0)),
INDEX( 'ETPT Format DDG'!$A:$ZZ,,MATCH("Fonction",'ETPT Format DDG'!2:2,0)),{"JI";"VPI";"1VPI"},
INDEX( 'ETPT Format DDG'!$A:$ZZ,,MATCH("TJCPH",'ETPT Format DDG'!2:2,0)),"OUI"))</f>
        <v>#N/A</v>
      </c>
      <c r="AA9" s="122"/>
      <c r="AB9" s="122"/>
      <c r="AC9" s="122"/>
      <c r="AD9" s="111" t="e">
        <f t="array" ref="AD9">SUM(SUMIFS(
INDEX( 'ETPT Format DDG'!$A:$ZZ,,MATCH("11.1. SOUTIEN (HORS FORMATIONS SUIVIES)",'ETPT Format DDG'!2:2,0)),
INDEX( 'ETPT Format DDG'!$A:$ZZ,,MATCH("Fonction",'ETPT Format DDG'!2:2,0)),{"JAP";"VPAP";"1VPAP"},
INDEX( 'ETPT Format DDG'!$A:$ZZ,,MATCH("TJCPH",'ETPT Format DDG'!2:2,0)),"OUI"))+
SUM(SUMIFS(
INDEX( 'ETPT Format DDG'!$A:$ZZ,,MATCH("11.2. FORMATIONS SUIVIES",'ETPT Format DDG'!2:2,0)),
INDEX( 'ETPT Format DDG'!$A:$ZZ,,MATCH("Fonction",'ETPT Format DDG'!2:2,0)),{"JAP";"VPAP";"1VPAP"},
INDEX( 'ETPT Format DDG'!$A:$ZZ,,MATCH("TJCPH",'ETPT Format DDG'!2:2,0)),"OUI"))+
SUM(SUMIFS(
INDEX( 'ETPT Format DDG'!$A:$ZZ,,MATCH("11.6. AUTRES ACTIVITÉS NON JURIDICTIONNELLES",'ETPT Format DDG'!2:2,0)),
INDEX( 'ETPT Format DDG'!$A:$ZZ,,MATCH("Fonction",'ETPT Format DDG'!2:2,0)),{"JAP";"VPAP";"1VPAP"},
INDEX( 'ETPT Format DDG'!$A:$ZZ,,MATCH("TJCPH",'ETPT Format DDG'!2:2,0)),"OUI"))</f>
        <v>#N/A</v>
      </c>
      <c r="AE9" s="111" t="e">
        <f t="array" ref="AE9">SUM(SUMIFS(
INDEX( 'ETPT Format DDG'!$A:$ZZ,,MATCH("11.1. SOUTIEN (HORS FORMATIONS SUIVIES)",'ETPT Format DDG'!2:2,0)),
INDEX( 'ETPT Format DDG'!$A:$ZZ,,MATCH("Fonction",'ETPT Format DDG'!2:2,0)),{"JE";"VPE";"1VPE"},
INDEX( 'ETPT Format DDG'!$A:$ZZ,,MATCH("TJCPH",'ETPT Format DDG'!2:2,0)),"OUI"))+
SUM(SUMIFS(
INDEX( 'ETPT Format DDG'!$A:$ZZ,,MATCH("11.2. FORMATIONS SUIVIES",'ETPT Format DDG'!2:2,0)),
INDEX( 'ETPT Format DDG'!$A:$ZZ,,MATCH("Fonction",'ETPT Format DDG'!2:2,0)),{"JE";"VPE";"1VPE"},
INDEX( 'ETPT Format DDG'!$A:$ZZ,,MATCH("TJCPH",'ETPT Format DDG'!2:2,0)),"OUI"))+
SUM(SUMIFS(
INDEX( 'ETPT Format DDG'!$A:$ZZ,,MATCH("11.6. AUTRES ACTIVITÉS NON JURIDICTIONNELLES",'ETPT Format DDG'!2:2,0)),
INDEX( 'ETPT Format DDG'!$A:$ZZ,,MATCH("Fonction",'ETPT Format DDG'!2:2,0)),{"JE";"VPE";"1VPE"},
INDEX( 'ETPT Format DDG'!$A:$ZZ,,MATCH("TJCPH",'ETPT Format DDG'!2:2,0)),"OUI"))</f>
        <v>#N/A</v>
      </c>
      <c r="AF9" s="111" t="e">
        <f t="array" ref="AF9">SUM(SUMIFS(
INDEX( 'ETPT Format DDG'!$A:$ZZ,,MATCH("11.1. SOUTIEN (HORS FORMATIONS SUIVIES)",'ETPT Format DDG'!2:2,0)),
INDEX( 'ETPT Format DDG'!$A:$ZZ,,MATCH("Fonction",'ETPT Format DDG'!2:2,0)),{"VPLD";"1VPLD"},
INDEX( 'ETPT Format DDG'!$A:$ZZ,,MATCH("TJCPH",'ETPT Format DDG'!2:2,0)),"OUI"))+
SUM(SUMIFS(
INDEX( 'ETPT Format DDG'!$A:$ZZ,,MATCH("11.2. FORMATIONS SUIVIES",'ETPT Format DDG'!2:2,0)),
INDEX( 'ETPT Format DDG'!$A:$ZZ,,MATCH("Fonction",'ETPT Format DDG'!2:2,0)),{"VPLD";"1VPLD"},
INDEX( 'ETPT Format DDG'!$A:$ZZ,,MATCH("TJCPH",'ETPT Format DDG'!2:2,0)),"OUI"))+
SUM(SUMIFS(
INDEX( 'ETPT Format DDG'!$A:$ZZ,,MATCH("11.6. AUTRES ACTIVITÉS NON JURIDICTIONNELLES",'ETPT Format DDG'!2:2,0)),
INDEX( 'ETPT Format DDG'!$A:$ZZ,,MATCH("Fonction",'ETPT Format DDG'!2:2,0)),{"VPLD";"1VPLD"},
INDEX( 'ETPT Format DDG'!$A:$ZZ,,MATCH("TJCPH",'ETPT Format DDG'!2:2,0)),"OUI"))</f>
        <v>#N/A</v>
      </c>
      <c r="AG9" s="109">
        <f t="shared" si="2"/>
        <v>0</v>
      </c>
      <c r="AH9" s="122"/>
      <c r="AI9" s="122"/>
      <c r="AJ9" s="122"/>
      <c r="AK9" s="122"/>
      <c r="AL9" s="122"/>
      <c r="AM9" s="122"/>
      <c r="AN9" s="122"/>
      <c r="AO9" s="122"/>
      <c r="AP9" s="122"/>
      <c r="AQ9" s="122"/>
      <c r="AR9" s="122"/>
      <c r="AS9" s="122"/>
      <c r="AT9" s="122"/>
      <c r="AU9" s="111" t="e">
        <f>SUM(SUMIFS(
INDEX( 'ETPT Format DDG'!$A:$ZZ,,MATCH("11.1. SOUTIEN (HORS FORMATIONS SUIVIES)",'ETPT Format DDG'!2:2,0)),
INDEX( 'ETPT Format DDG'!$A:$ZZ,,MATCH("Fonction recodée",'ETPT Format DDG'!2:2,0)),"Magistrat SIEGE NS",
INDEX( 'ETPT Format DDG'!$A:$ZZ,,MATCH("TJCPH",'ETPT Format DDG'!2:2,0)),"OUI"))+
SUM(SUMIFS(
INDEX( 'ETPT Format DDG'!$A:$ZZ,,MATCH("11.2. FORMATIONS SUIVIES",'ETPT Format DDG'!2:2,0)),
INDEX( 'ETPT Format DDG'!$A:$ZZ,,MATCH("Fonction recodée",'ETPT Format DDG'!2:2,0)),"Magistrat SIEGE NS",
INDEX( 'ETPT Format DDG'!$A:$ZZ,,MATCH("TJCPH",'ETPT Format DDG'!2:2,0)),"OUI"))+
SUM(SUMIFS(
INDEX( 'ETPT Format DDG'!$A:$ZZ,,MATCH("11.6. AUTRES ACTIVITÉS NON JURIDICTIONNELLES",'ETPT Format DDG'!2:2,0)),
INDEX( 'ETPT Format DDG'!$A:$ZZ,,MATCH("Fonction recodée",'ETPT Format DDG'!2:2,0)),"Magistrat SIEGE NS",
INDEX( 'ETPT Format DDG'!$A:$ZZ,,MATCH("TJCPH",'ETPT Format DDG'!2:2,0)),"OUI"))</f>
        <v>#N/A</v>
      </c>
      <c r="AV9" s="109">
        <f t="shared" si="3"/>
        <v>0</v>
      </c>
      <c r="AW9" s="113"/>
      <c r="AX9" s="113"/>
      <c r="AY9" s="113"/>
      <c r="AZ9" s="113"/>
      <c r="BA9" s="113"/>
      <c r="BB9" s="113"/>
      <c r="BC9" s="113"/>
      <c r="BD9" s="113"/>
      <c r="BE9" s="113"/>
      <c r="BF9" s="109">
        <f t="shared" si="5"/>
        <v>0</v>
      </c>
    </row>
    <row r="10" ht="14.25" customHeight="1" spans="1:58" s="92" customFormat="1" x14ac:dyDescent="0.25">
      <c r="A10" s="102" t="s">
        <v>2219</v>
      </c>
      <c r="B10" s="103"/>
      <c r="C10" s="103"/>
      <c r="D10" s="115">
        <f t="shared" si="0"/>
      </c>
      <c r="E10" s="103" t="s">
        <v>2233</v>
      </c>
      <c r="F10" s="103" t="s">
        <v>2234</v>
      </c>
      <c r="G10" s="105" t="e">
        <f>SUM(SUMIFS(
INDEX( 'ETPT Format DDG'!$A:$ZZ,,MATCH("11.3. FORMATIONS DISPENSÉES",'ETPT Format DDG'!2:2,0)),
INDEX( 'ETPT Format DDG'!$A:$ZZ,,MATCH("Fonction recodée",'ETPT Format DDG'!2:2,0)),"Fonctionnaire CTECH",
INDEX( 'ETPT Format DDG'!$A:$ZZ,,MATCH("TJCPH",'ETPT Format DDG'!2:2,0)),"OUI"))</f>
        <v>#N/A</v>
      </c>
      <c r="H10" s="106">
        <f t="shared" si="1"/>
        <v>0</v>
      </c>
      <c r="I10" s="122"/>
      <c r="J10" s="122"/>
      <c r="K10" s="122"/>
      <c r="L10" s="122"/>
      <c r="M10" s="122"/>
      <c r="N10" s="122"/>
      <c r="O10" s="122"/>
      <c r="P10" s="122"/>
      <c r="Q10" s="122"/>
      <c r="R10" s="122"/>
      <c r="S10" s="122"/>
      <c r="T10" s="122"/>
      <c r="U10" s="122"/>
      <c r="V10" s="111" t="e">
        <f>SUM(SUMIFS(
INDEX( 'ETPT Format DDG'!$A:$ZZ,,MATCH("11.3. FORMATIONS DISPENSÉES",'ETPT Format DDG'!2:2,0)),
INDEX( 'ETPT Format DDG'!$A:$ZZ,,MATCH("Fonction recodée",'ETPT Format DDG'!2:2,0)),"Fonctionnaire A-B-CBUR",
INDEX( 'ETPT Format DDG'!$A:$ZZ,,MATCH("TJCPH",'ETPT Format DDG'!2:2,0)),"OUI"))</f>
        <v>#N/A</v>
      </c>
      <c r="W10" s="109">
        <f t="shared" si="4"/>
        <v>0</v>
      </c>
      <c r="X10" s="122"/>
      <c r="Y10" s="111" t="e">
        <f t="array" ref="Y10">SUM(SUMIFS(
INDEX( 'ETPT Format DDG'!$A:$ZZ,,MATCH("11.3. FORMATIONS DISPENSÉES",'ETPT Format DDG'!2:2,0)),
INDEX( 'ETPT Format DDG'!$A:$ZZ,,MATCH("Fonction",'ETPT Format DDG'!2:2,0)),{"JCP";"VPCP";"1VPCP"},
INDEX( 'ETPT Format DDG'!$A:$ZZ,,MATCH("TJCPH",'ETPT Format DDG'!2:2,0)),"OUI"))</f>
        <v>#N/A</v>
      </c>
      <c r="Z10" s="111" t="e">
        <f t="array" ref="Z10">SUM(SUMIFS(
INDEX( 'ETPT Format DDG'!$A:$ZZ,,MATCH("11.3. FORMATIONS DISPENSÉES",'ETPT Format DDG'!2:2,0)),
INDEX( 'ETPT Format DDG'!$A:$ZZ,,MATCH("Fonction",'ETPT Format DDG'!2:2,0)),{"JI";"VPI";"1VPI"},
INDEX( 'ETPT Format DDG'!$A:$ZZ,,MATCH("TJCPH",'ETPT Format DDG'!2:2,0)),"OUI"))</f>
        <v>#N/A</v>
      </c>
      <c r="AA10" s="122"/>
      <c r="AB10" s="122"/>
      <c r="AC10" s="122"/>
      <c r="AD10" s="111" t="e">
        <f t="array" ref="AD10">SUM(SUMIFS(
INDEX( 'ETPT Format DDG'!$A:$ZZ,,MATCH("11.3. FORMATIONS DISPENSÉES",'ETPT Format DDG'!2:2,0)),
INDEX( 'ETPT Format DDG'!$A:$ZZ,,MATCH("Fonction",'ETPT Format DDG'!2:2,0)),{"JAP";"VPAP";"1VPAP"},
INDEX( 'ETPT Format DDG'!$A:$ZZ,,MATCH("TJCPH",'ETPT Format DDG'!2:2,0)),"OUI"))</f>
        <v>#N/A</v>
      </c>
      <c r="AE10" s="111" t="e">
        <f t="array" ref="AE10">SUM(SUMIFS(
INDEX( 'ETPT Format DDG'!$A:$ZZ,,MATCH("11.3. FORMATIONS DISPENSÉES",'ETPT Format DDG'!2:2,0)),
INDEX( 'ETPT Format DDG'!$A:$ZZ,,MATCH("Fonction",'ETPT Format DDG'!2:2,0)),{"JE";"VPE";"1VPE"},
INDEX( 'ETPT Format DDG'!$A:$ZZ,,MATCH("TJCPH",'ETPT Format DDG'!2:2,0)),"OUI"))</f>
        <v>#N/A</v>
      </c>
      <c r="AF10" s="111" t="e">
        <f t="array" ref="AF10">SUM(SUMIFS(
INDEX( 'ETPT Format DDG'!$A:$ZZ,,MATCH("11.3. FORMATIONS DISPENSÉES",'ETPT Format DDG'!2:2,0)),
INDEX( 'ETPT Format DDG'!$A:$ZZ,,MATCH("Fonction",'ETPT Format DDG'!2:2,0)),{"VPLD";"1VPLD"},
INDEX( 'ETPT Format DDG'!$A:$ZZ,,MATCH("TJCPH",'ETPT Format DDG'!2:2,0)),"OUI"))</f>
        <v>#N/A</v>
      </c>
      <c r="AG10" s="109">
        <f t="shared" si="2"/>
        <v>0</v>
      </c>
      <c r="AH10" s="122"/>
      <c r="AI10" s="122"/>
      <c r="AJ10" s="122"/>
      <c r="AK10" s="122"/>
      <c r="AL10" s="122"/>
      <c r="AM10" s="122"/>
      <c r="AN10" s="122"/>
      <c r="AO10" s="122"/>
      <c r="AP10" s="122"/>
      <c r="AQ10" s="122"/>
      <c r="AR10" s="122"/>
      <c r="AS10" s="122"/>
      <c r="AT10" s="122"/>
      <c r="AU10" s="111" t="e">
        <f>SUM(SUMIFS(
INDEX( 'ETPT Format DDG'!$A:$ZZ,,MATCH("11.3. FORMATIONS DISPENSÉES",'ETPT Format DDG'!2:2,0)),
INDEX( 'ETPT Format DDG'!$A:$ZZ,,MATCH("Fonction recodée",'ETPT Format DDG'!2:2,0)),"Magistrat SIEGE NS",
INDEX( 'ETPT Format DDG'!$A:$ZZ,,MATCH("TJCPH",'ETPT Format DDG'!2:2,0)),"OUI"))</f>
        <v>#N/A</v>
      </c>
      <c r="AV10" s="109">
        <f>_xlfn.AGGREGATE(9,6,AH10:AU10)</f>
        <v>0</v>
      </c>
      <c r="AW10" s="113"/>
      <c r="AX10" s="113"/>
      <c r="AY10" s="113"/>
      <c r="AZ10" s="113"/>
      <c r="BA10" s="113"/>
      <c r="BB10" s="113"/>
      <c r="BC10" s="113"/>
      <c r="BD10" s="113"/>
      <c r="BE10" s="113"/>
      <c r="BF10" s="109">
        <f t="shared" si="5"/>
        <v>0</v>
      </c>
    </row>
    <row r="11" ht="14.25" customHeight="1" spans="1:58" s="92" customFormat="1" x14ac:dyDescent="0.25">
      <c r="A11" s="102" t="s">
        <v>2219</v>
      </c>
      <c r="B11" s="103"/>
      <c r="C11" s="103"/>
      <c r="D11" s="115">
        <f t="shared" si="0"/>
      </c>
      <c r="E11" s="103" t="s">
        <v>2235</v>
      </c>
      <c r="F11" s="103" t="s">
        <v>2236</v>
      </c>
      <c r="G11" s="105" t="e">
        <f>SUM(SUMIFS(
INDEX( 'ETPT Format DDG'!$A:$ZZ,,MATCH("11.4. ACCÈS AU DROIT ET À LA JUSTICE",'ETPT Format DDG'!2:2,0)),
INDEX( 'ETPT Format DDG'!$A:$ZZ,,MATCH("Fonction recodée",'ETPT Format DDG'!2:2,0)),"Fonctionnaire CTECH",
INDEX( 'ETPT Format DDG'!$A:$ZZ,,MATCH("TJCPH",'ETPT Format DDG'!2:2,0)),"OUI"))</f>
        <v>#N/A</v>
      </c>
      <c r="H11" s="106">
        <f t="shared" si="1"/>
        <v>0</v>
      </c>
      <c r="I11" s="122"/>
      <c r="J11" s="122"/>
      <c r="K11" s="122"/>
      <c r="L11" s="122"/>
      <c r="M11" s="122"/>
      <c r="N11" s="122"/>
      <c r="O11" s="122"/>
      <c r="P11" s="122"/>
      <c r="Q11" s="122"/>
      <c r="R11" s="122"/>
      <c r="S11" s="122"/>
      <c r="T11" s="122"/>
      <c r="U11" s="122"/>
      <c r="V11" s="111" t="e">
        <f>SUM(SUMIFS(
INDEX( 'ETPT Format DDG'!$A:$ZZ,,MATCH("11.4. ACCÈS AU DROIT ET À LA JUSTICE",'ETPT Format DDG'!2:2,0)),
INDEX( 'ETPT Format DDG'!$A:$ZZ,,MATCH("Fonction recodée",'ETPT Format DDG'!2:2,0)),"Fonctionnaire A-B-CBUR",
INDEX( 'ETPT Format DDG'!$A:$ZZ,,MATCH("TJCPH",'ETPT Format DDG'!2:2,0)),"OUI"))</f>
        <v>#N/A</v>
      </c>
      <c r="W11" s="109">
        <f t="shared" si="4"/>
        <v>0</v>
      </c>
      <c r="X11" s="122"/>
      <c r="Y11" s="111" t="e">
        <f t="array" ref="Y11">SUM(SUMIFS(
INDEX( 'ETPT Format DDG'!$A:$ZZ,,MATCH("11.4. ACCÈS AU DROIT ET À LA JUSTICE",'ETPT Format DDG'!2:2,0)),
INDEX( 'ETPT Format DDG'!$A:$ZZ,,MATCH("Fonction",'ETPT Format DDG'!2:2,0)),{"JCP";"VPCP";"1VPCP"},
INDEX( 'ETPT Format DDG'!$A:$ZZ,,MATCH("TJCPH",'ETPT Format DDG'!2:2,0)),"OUI"))</f>
        <v>#N/A</v>
      </c>
      <c r="Z11" s="111" t="e">
        <f t="array" ref="Z11">SUM(SUMIFS(
INDEX( 'ETPT Format DDG'!$A:$ZZ,,MATCH("11.4. ACCÈS AU DROIT ET À LA JUSTICE",'ETPT Format DDG'!2:2,0)),
INDEX( 'ETPT Format DDG'!$A:$ZZ,,MATCH("Fonction",'ETPT Format DDG'!2:2,0)),{"JI";"VPI";"1VPI"},
INDEX( 'ETPT Format DDG'!$A:$ZZ,,MATCH("TJCPH",'ETPT Format DDG'!2:2,0)),"OUI"))</f>
        <v>#N/A</v>
      </c>
      <c r="AA11" s="124"/>
      <c r="AB11" s="124"/>
      <c r="AC11" s="124"/>
      <c r="AD11" s="111" t="e">
        <f t="array" ref="AD11">SUM(SUMIFS(
INDEX( 'ETPT Format DDG'!$A:$ZZ,,MATCH("11.4. ACCÈS AU DROIT ET À LA JUSTICE",'ETPT Format DDG'!2:2,0)),
INDEX( 'ETPT Format DDG'!$A:$ZZ,,MATCH("Fonction",'ETPT Format DDG'!2:2,0)),{"JAP";"VPAP";"1VPAP"},
INDEX( 'ETPT Format DDG'!$A:$ZZ,,MATCH("TJCPH",'ETPT Format DDG'!2:2,0)),"OUI"))</f>
        <v>#N/A</v>
      </c>
      <c r="AE11" s="111" t="e">
        <f t="array" ref="AE11">SUM(SUMIFS(
INDEX( 'ETPT Format DDG'!$A:$ZZ,,MATCH("11.4. ACCÈS AU DROIT ET À LA JUSTICE",'ETPT Format DDG'!2:2,0)),
INDEX( 'ETPT Format DDG'!$A:$ZZ,,MATCH("Fonction",'ETPT Format DDG'!2:2,0)),{"JE";"VPE";"1VPE"},
INDEX( 'ETPT Format DDG'!$A:$ZZ,,MATCH("TJCPH",'ETPT Format DDG'!2:2,0)),"OUI"))</f>
        <v>#N/A</v>
      </c>
      <c r="AF11" s="111" t="e">
        <f t="array" ref="AF11">SUM(SUMIFS(
INDEX( 'ETPT Format DDG'!$A:$ZZ,,MATCH("11.4. ACCÈS AU DROIT ET À LA JUSTICE",'ETPT Format DDG'!2:2,0)),
INDEX( 'ETPT Format DDG'!$A:$ZZ,,MATCH("Fonction",'ETPT Format DDG'!2:2,0)),{"VPLD";"1VPLD"},
INDEX( 'ETPT Format DDG'!$A:$ZZ,,MATCH("TJCPH",'ETPT Format DDG'!2:2,0)),"OUI"))</f>
        <v>#N/A</v>
      </c>
      <c r="AG11" s="109">
        <f t="shared" si="2"/>
        <v>0</v>
      </c>
      <c r="AH11" s="122"/>
      <c r="AI11" s="122"/>
      <c r="AJ11" s="122"/>
      <c r="AK11" s="122"/>
      <c r="AL11" s="122"/>
      <c r="AM11" s="122"/>
      <c r="AN11" s="122"/>
      <c r="AO11" s="122"/>
      <c r="AP11" s="122"/>
      <c r="AQ11" s="122"/>
      <c r="AR11" s="122"/>
      <c r="AS11" s="122"/>
      <c r="AT11" s="122"/>
      <c r="AU11" s="111" t="e">
        <f>SUM(SUMIFS(
INDEX( 'ETPT Format DDG'!$A:$ZZ,,MATCH("11.4. ACCÈS AU DROIT ET À LA JUSTICE",'ETPT Format DDG'!2:2,0)),
INDEX( 'ETPT Format DDG'!$A:$ZZ,,MATCH("Fonction recodée",'ETPT Format DDG'!2:2,0)),"Magistrat SIEGE NS",
INDEX( 'ETPT Format DDG'!$A:$ZZ,,MATCH("TJCPH",'ETPT Format DDG'!2:2,0)),"OUI"))</f>
        <v>#N/A</v>
      </c>
      <c r="AV11" s="109">
        <f t="shared" si="3"/>
        <v>0</v>
      </c>
      <c r="AW11" s="113"/>
      <c r="AX11" s="113"/>
      <c r="AY11" s="113"/>
      <c r="AZ11" s="113"/>
      <c r="BA11" s="113"/>
      <c r="BB11" s="113"/>
      <c r="BC11" s="113"/>
      <c r="BD11" s="113"/>
      <c r="BE11" s="113"/>
      <c r="BF11" s="109">
        <f t="shared" si="5"/>
        <v>0</v>
      </c>
    </row>
    <row r="12" ht="14.25" customHeight="1" spans="1:58" s="92" customFormat="1" x14ac:dyDescent="0.25">
      <c r="A12" s="102" t="s">
        <v>2219</v>
      </c>
      <c r="B12" s="103"/>
      <c r="C12" s="103"/>
      <c r="D12" s="115">
        <f t="shared" si="0"/>
      </c>
      <c r="E12" s="103" t="s">
        <v>2237</v>
      </c>
      <c r="F12" s="103" t="s">
        <v>2238</v>
      </c>
      <c r="G12" s="105" t="e">
        <f>MAX(0,SUM(SUMIFS(
INDEX( 'ETPT Format DDG'!$A:$ZZ,,MATCH("12. TOTAL des INDISPONIBILITÉS relevant de l'action 99",'ETPT Format DDG'!2:2,0)),
INDEX( 'ETPT Format DDG'!$A:$ZZ,,MATCH("Fonction recodée",'ETPT Format DDG'!2:2,0)),"Fonctionnaire CTECH",
INDEX( 'ETPT Format DDG'!$A:$ZZ,,MATCH("TJCPH",'ETPT Format DDG'!2:2,0)),"OUI"))-
SUM(SUMIFS(
INDEX( 'ETPT Format DDG'!$A:$ZZ,,MATCH("12.5. MISE À DISPOSITION",'ETPT Format DDG'!2:2,0)),
INDEX( 'ETPT Format DDG'!$A:$ZZ,,MATCH("Fonction recodée",'ETPT Format DDG'!2:2,0)),"Fonctionnaire CTECH",
INDEX( 'ETPT Format DDG'!$A:$ZZ,,MATCH("TJCPH",'ETPT Format DDG'!2:2,0)),"OUI")))</f>
        <v>#N/A</v>
      </c>
      <c r="H12" s="106">
        <f t="shared" si="1"/>
        <v>0</v>
      </c>
      <c r="I12" s="122"/>
      <c r="J12" s="122"/>
      <c r="K12" s="122"/>
      <c r="L12" s="122"/>
      <c r="M12" s="122"/>
      <c r="N12" s="122"/>
      <c r="O12" s="122"/>
      <c r="P12" s="122"/>
      <c r="Q12" s="122"/>
      <c r="R12" s="123"/>
      <c r="S12" s="122"/>
      <c r="T12" s="122"/>
      <c r="U12" s="122"/>
      <c r="V12" s="111" t="e">
        <f>MAX(0,SUM(SUMIFS(
INDEX( 'ETPT Format DDG'!$A:$ZZ,,MATCH("12. TOTAL des INDISPONIBILITÉS relevant de l'action 99",'ETPT Format DDG'!2:2,0)),
INDEX( 'ETPT Format DDG'!$A:$ZZ,,MATCH("Fonction recodée",'ETPT Format DDG'!2:2,0)),"Fonctionnaire A-B-CBUR",
INDEX( 'ETPT Format DDG'!$A:$ZZ,,MATCH("TJCPH",'ETPT Format DDG'!2:2,0)),"OUI"))-
SUM(SUMIFS(
INDEX( 'ETPT Format DDG'!$A:$ZZ,,MATCH("12.5. MISE À DISPOSITION",'ETPT Format DDG'!2:2,0)),
INDEX( 'ETPT Format DDG'!$A:$ZZ,,MATCH("Fonction recodée",'ETPT Format DDG'!2:2,0)),"Fonctionnaire A-B-CBUR",
INDEX( 'ETPT Format DDG'!$A:$ZZ,,MATCH("TJCPH",'ETPT Format DDG'!2:2,0)),"OUI")))</f>
        <v>#N/A</v>
      </c>
      <c r="W12" s="109">
        <f t="shared" si="4"/>
        <v>0</v>
      </c>
      <c r="X12" s="122"/>
      <c r="Y12" s="111" t="e">
        <f t="array" ref="Y12">SUM(SUMIFS(
INDEX( 'ETPT Format DDG'!$A:$ZZ,,MATCH("12. TOTAL des INDISPONIBILITÉS relevant de l'action 99",'ETPT Format DDG'!2:2,0)),
INDEX( 'ETPT Format DDG'!$A:$ZZ,,MATCH("Fonction",'ETPT Format DDG'!2:2,0)),{"JCP";"VPCP";"1VPCP"},
INDEX( 'ETPT Format DDG'!$A:$ZZ,,MATCH("TJCPH",'ETPT Format DDG'!2:2,0)),"OUI"))-
SUM(SUMIFS(
INDEX( 'ETPT Format DDG'!$A:$ZZ,,MATCH("12.5. MISE À DISPOSITION",'ETPT Format DDG'!2:2,0)),
INDEX( 'ETPT Format DDG'!$A:$ZZ,,MATCH("Fonction",'ETPT Format DDG'!2:2,0)),{"JCP";"VPCP";"1VPCP"},
INDEX( 'ETPT Format DDG'!$A:$ZZ,,MATCH("TJCPH",'ETPT Format DDG'!2:2,0)),"OUI"))</f>
        <v>#N/A</v>
      </c>
      <c r="Z12" s="111" t="e">
        <f t="array" ref="Z12">MAX(0,SUM(SUMIFS(
INDEX( 'ETPT Format DDG'!$A:$ZZ,,MATCH("12. TOTAL des INDISPONIBILITÉS relevant de l'action 99",'ETPT Format DDG'!2:2,0)),
INDEX( 'ETPT Format DDG'!$A:$ZZ,,MATCH("Fonction",'ETPT Format DDG'!2:2,0)),{"JI";"VPI";"1VPI"},
INDEX( 'ETPT Format DDG'!$A:$ZZ,,MATCH("TJCPH",'ETPT Format DDG'!2:2,0)),"OUI"))-
SUM(SUMIFS(
INDEX( 'ETPT Format DDG'!$A:$ZZ,,MATCH("12.5. MISE À DISPOSITION",'ETPT Format DDG'!2:2,0)),
INDEX( 'ETPT Format DDG'!$A:$ZZ,,MATCH("Fonction",'ETPT Format DDG'!2:2,0)),{"JI";"VPI";"1VPI"},
INDEX( 'ETPT Format DDG'!$A:$ZZ,,MATCH("TJCPH",'ETPT Format DDG'!2:2,0)),"OUI")))</f>
        <v>#N/A</v>
      </c>
      <c r="AA12" s="122"/>
      <c r="AB12" s="122"/>
      <c r="AC12" s="122"/>
      <c r="AD12" s="111" t="e">
        <f t="array" ref="AD12">MAX(0,SUM(SUMIFS(
INDEX( 'ETPT Format DDG'!$A:$ZZ,,MATCH("12. TOTAL des INDISPONIBILITÉS relevant de l'action 99",'ETPT Format DDG'!2:2,0)),
INDEX( 'ETPT Format DDG'!$A:$ZZ,,MATCH("Fonction",'ETPT Format DDG'!2:2,0)),{"JAP";"VPAP";"1VPAP"},
INDEX( 'ETPT Format DDG'!$A:$ZZ,,MATCH("TJCPH",'ETPT Format DDG'!2:2,0)),"OUI"))-
SUM(SUMIFS(
INDEX( 'ETPT Format DDG'!$A:$ZZ,,MATCH("12.5. MISE À DISPOSITION",'ETPT Format DDG'!2:2,0)),
INDEX( 'ETPT Format DDG'!$A:$ZZ,,MATCH("Fonction",'ETPT Format DDG'!2:2,0)),{"JAP";"VPAP";"1VPAP"},
INDEX( 'ETPT Format DDG'!$A:$ZZ,,MATCH("TJCPH",'ETPT Format DDG'!2:2,0)),"OUI")))</f>
        <v>#N/A</v>
      </c>
      <c r="AE12" s="111" t="e">
        <f t="array" ref="AE12">MAX(0,SUM(SUMIFS(
INDEX( 'ETPT Format DDG'!$A:$ZZ,,MATCH("12. TOTAL des INDISPONIBILITÉS relevant de l'action 99",'ETPT Format DDG'!2:2,0)),
INDEX( 'ETPT Format DDG'!$A:$ZZ,,MATCH("Fonction",'ETPT Format DDG'!2:2,0)),{"JE";"VPE";"1VPE"},
INDEX( 'ETPT Format DDG'!$A:$ZZ,,MATCH("TJCPH",'ETPT Format DDG'!2:2,0)),"OUI"))-
SUM(SUMIFS(
INDEX( 'ETPT Format DDG'!$A:$ZZ,,MATCH("12.5. MISE À DISPOSITION",'ETPT Format DDG'!2:2,0)),
INDEX( 'ETPT Format DDG'!$A:$ZZ,,MATCH("Fonction",'ETPT Format DDG'!2:2,0)),{"JE";"VPE";"1VPE"},
INDEX( 'ETPT Format DDG'!$A:$ZZ,,MATCH("TJCPH",'ETPT Format DDG'!2:2,0)),"OUI")))</f>
        <v>#N/A</v>
      </c>
      <c r="AF12" s="111" t="e">
        <f t="array" ref="AF12">MAX(0,SUM(SUMIFS(
INDEX( 'ETPT Format DDG'!$A:$ZZ,,MATCH("12. TOTAL des INDISPONIBILITÉS relevant de l'action 99",'ETPT Format DDG'!2:2,0)),
INDEX( 'ETPT Format DDG'!$A:$ZZ,,MATCH("Fonction",'ETPT Format DDG'!2:2,0)),{"VPLD";"1VPLD"},
INDEX( 'ETPT Format DDG'!$A:$ZZ,,MATCH("TJCPH",'ETPT Format DDG'!2:2,0)),"OUI"))-
SUM(SUMIFS(
INDEX( 'ETPT Format DDG'!$A:$ZZ,,MATCH("12.5. MISE À DISPOSITION",'ETPT Format DDG'!2:2,0)),
INDEX( 'ETPT Format DDG'!$A:$ZZ,,MATCH("Fonction",'ETPT Format DDG'!2:2,0)),{"VPLD";"1VPLD"},
INDEX( 'ETPT Format DDG'!$A:$ZZ,,MATCH("TJCPH",'ETPT Format DDG'!2:2,0)),"OUI")))</f>
        <v>#N/A</v>
      </c>
      <c r="AG12" s="109">
        <f t="shared" si="2"/>
        <v>0</v>
      </c>
      <c r="AH12" s="122"/>
      <c r="AI12" s="122"/>
      <c r="AJ12" s="122"/>
      <c r="AK12" s="122"/>
      <c r="AL12" s="122"/>
      <c r="AM12" s="122"/>
      <c r="AN12" s="122"/>
      <c r="AO12" s="122"/>
      <c r="AP12" s="122"/>
      <c r="AQ12" s="122"/>
      <c r="AR12" s="122"/>
      <c r="AS12" s="122"/>
      <c r="AT12" s="122"/>
      <c r="AU12" s="111" t="e">
        <f>MAX(0,SUM(SUMIFS(
INDEX( 'ETPT Format DDG'!$A:$ZZ,,MATCH("12. TOTAL des INDISPONIBILITÉS relevant de l'action 99",'ETPT Format DDG'!2:2,0)),
INDEX( 'ETPT Format DDG'!$A:$ZZ,,MATCH("Fonction recodée",'ETPT Format DDG'!2:2,0)),"Magistrat SIEGE NS",
INDEX( 'ETPT Format DDG'!$A:$ZZ,,MATCH("TJCPH",'ETPT Format DDG'!2:2,0)),"OUI"))-
SUM(SUMIFS(
INDEX( 'ETPT Format DDG'!$A:$ZZ,,MATCH("12.5. MISE À DISPOSITION",'ETPT Format DDG'!2:2,0)),
INDEX( 'ETPT Format DDG'!$A:$ZZ,,MATCH("Fonction recodée",'ETPT Format DDG'!2:2,0)),"Magistrat SIEGE NS",
INDEX( 'ETPT Format DDG'!$A:$ZZ,,MATCH("TJCPH",'ETPT Format DDG'!2:2,0)),"OUI")))</f>
        <v>#N/A</v>
      </c>
      <c r="AV12" s="109">
        <f t="shared" si="3"/>
        <v>0</v>
      </c>
      <c r="AW12" s="113"/>
      <c r="AX12" s="113"/>
      <c r="AY12" s="113"/>
      <c r="AZ12" s="113"/>
      <c r="BA12" s="113"/>
      <c r="BB12" s="113"/>
      <c r="BC12" s="113"/>
      <c r="BD12" s="113"/>
      <c r="BE12" s="113"/>
      <c r="BF12" s="109">
        <f t="shared" si="5"/>
        <v>0</v>
      </c>
    </row>
    <row r="13" ht="14.25" customHeight="1" spans="1:58" s="92" customFormat="1" x14ac:dyDescent="0.25">
      <c r="A13" s="102" t="s">
        <v>2219</v>
      </c>
      <c r="B13" s="103"/>
      <c r="C13" s="103"/>
      <c r="D13" s="115">
        <f t="shared" si="0"/>
      </c>
      <c r="E13" s="103" t="s">
        <v>2239</v>
      </c>
      <c r="F13" s="103" t="s">
        <v>2240</v>
      </c>
      <c r="G13" s="105" t="e">
        <f>SUM(SUMIFS(
INDEX( 'ETPT Format DDG'!$A:$ZZ,,MATCH("12.5. MISE À DISPOSITION",'ETPT Format DDG'!2:2,0)),
INDEX( 'ETPT Format DDG'!$A:$ZZ,,MATCH("Fonction recodée",'ETPT Format DDG'!2:2,0)),"Fonctionnaire CTECH",
INDEX( 'ETPT Format DDG'!$A:$ZZ,,MATCH("TJCPH",'ETPT Format DDG'!2:2,0)),"OUI"))+
_xlfn.IFNA(SUM(SUMIFS(
INDEX( 'ETPT Format DDG'!$A:$ZZ,,MATCH("13. TOTAL CONTENTIEUX LOCAUX SPÉCIFIQUES",'ETPT Format DDG'!2:2,0)),
INDEX( 'ETPT Format DDG'!$A:$ZZ,,MATCH("Fonction recodée",'ETPT Format DDG'!2:2,0)),"Fonctionnaire CTECH",
INDEX( 'ETPT Format DDG'!$A:$ZZ,,MATCH("TJCPH",'ETPT Format DDG'!2:2,0)),"OUI")),0)</f>
        <v>#N/A</v>
      </c>
      <c r="H13" s="106">
        <f t="shared" si="1"/>
        <v>0</v>
      </c>
      <c r="I13" s="122"/>
      <c r="J13" s="122"/>
      <c r="K13" s="122"/>
      <c r="L13" s="122"/>
      <c r="M13" s="122"/>
      <c r="N13" s="122"/>
      <c r="O13" s="122"/>
      <c r="P13" s="122"/>
      <c r="Q13" s="122"/>
      <c r="R13" s="122"/>
      <c r="S13" s="122"/>
      <c r="T13" s="122"/>
      <c r="U13" s="122"/>
      <c r="V13" s="111" t="e">
        <f>SUM(SUMIFS(
INDEX( 'ETPT Format DDG'!$A:$ZZ,,MATCH("12.5. MISE À DISPOSITION",'ETPT Format DDG'!2:2,0)),
INDEX( 'ETPT Format DDG'!$A:$ZZ,,MATCH("Fonction recodée",'ETPT Format DDG'!2:2,0)),"Fonctionnaire A-B-CBUR",
INDEX( 'ETPT Format DDG'!$A:$ZZ,,MATCH("TJCPH",'ETPT Format DDG'!2:2,0)),"OUI"))+
_xlfn.IFNA(SUM(SUMIFS(
INDEX( 'ETPT Format DDG'!$A:$ZZ,,MATCH("13. TOTAL CONTENTIEUX LOCAUX SPÉCIFIQUES",'ETPT Format DDG'!2:2,0)),
INDEX( 'ETPT Format DDG'!$A:$ZZ,,MATCH("Fonction recodée",'ETPT Format DDG'!2:2,0)),"Fonctionnaire A-B-CBUR",
INDEX( 'ETPT Format DDG'!$A:$ZZ,,MATCH("TJCPH",'ETPT Format DDG'!2:2,0)),"OUI")),0)</f>
        <v>#N/A</v>
      </c>
      <c r="W13" s="109">
        <f t="shared" si="4"/>
        <v>0</v>
      </c>
      <c r="X13" s="122"/>
      <c r="Y13" s="111" t="e">
        <f t="array" ref="Y13">SUM(SUMIFS(
INDEX( 'ETPT Format DDG'!$A:$ZZ,,MATCH("12.5. MISE À DISPOSITION",'ETPT Format DDG'!2:2,0)),
INDEX( 'ETPT Format DDG'!$A:$ZZ,,MATCH("Fonction",'ETPT Format DDG'!2:2,0)),{"JCP";"VPCP";"1VPCP"},
INDEX( 'ETPT Format DDG'!$A:$ZZ,,MATCH("TJCPH",'ETPT Format DDG'!2:2,0)),"OUI"))</f>
        <v>#N/A</v>
      </c>
      <c r="Z13" s="111" t="e">
        <f t="array" ref="Z13">SUM(SUMIFS(
INDEX( 'ETPT Format DDG'!$A:$ZZ,,MATCH("12.5. MISE À DISPOSITION",'ETPT Format DDG'!2:2,0)),
INDEX( 'ETPT Format DDG'!$A:$ZZ,,MATCH("Fonction",'ETPT Format DDG'!2:2,0)),{"JI";"VPI";"1VPI"},
INDEX( 'ETPT Format DDG'!$A:$ZZ,,MATCH("TJCPH",'ETPT Format DDG'!2:2,0)),"OUI"))</f>
        <v>#N/A</v>
      </c>
      <c r="AA13" s="122"/>
      <c r="AB13" s="122"/>
      <c r="AC13" s="122"/>
      <c r="AD13" s="111" t="e">
        <f t="array" ref="AD13">SUM(SUMIFS(
INDEX( 'ETPT Format DDG'!$A:$ZZ,,MATCH("12.5. MISE À DISPOSITION",'ETPT Format DDG'!2:2,0)),
INDEX( 'ETPT Format DDG'!$A:$ZZ,,MATCH("Fonction",'ETPT Format DDG'!2:2,0)),{"JAP";"VPAP";"1VPAP"},
INDEX( 'ETPT Format DDG'!$A:$ZZ,,MATCH("TJCPH",'ETPT Format DDG'!2:2,0)),"OUI"))</f>
        <v>#N/A</v>
      </c>
      <c r="AE13" s="111" t="e">
        <f t="array" ref="AE13">SUM(SUMIFS(
INDEX( 'ETPT Format DDG'!$A:$ZZ,,MATCH("12.5. MISE À DISPOSITION",'ETPT Format DDG'!2:2,0)),
INDEX( 'ETPT Format DDG'!$A:$ZZ,,MATCH("Fonction",'ETPT Format DDG'!2:2,0)),{"JE";"VPE";"1VPE"},
INDEX( 'ETPT Format DDG'!$A:$ZZ,,MATCH("TJCPH",'ETPT Format DDG'!2:2,0)),"OUI"))</f>
        <v>#N/A</v>
      </c>
      <c r="AF13" s="111" t="e">
        <f t="array" ref="AF13">SUM(SUMIFS(
INDEX( 'ETPT Format DDG'!$A:$ZZ,,MATCH("12.5. MISE À DISPOSITION",'ETPT Format DDG'!2:2,0)),
INDEX( 'ETPT Format DDG'!$A:$ZZ,,MATCH("Fonction",'ETPT Format DDG'!2:2,0)),{"VPLD";"1VPLD"},
INDEX( 'ETPT Format DDG'!$A:$ZZ,,MATCH("TJCPH",'ETPT Format DDG'!2:2,0)),"OUI"))</f>
        <v>#N/A</v>
      </c>
      <c r="AG13" s="109">
        <f t="shared" si="2"/>
        <v>0</v>
      </c>
      <c r="AH13" s="122"/>
      <c r="AI13" s="122"/>
      <c r="AJ13" s="122"/>
      <c r="AK13" s="122"/>
      <c r="AL13" s="122"/>
      <c r="AM13" s="122"/>
      <c r="AN13" s="122"/>
      <c r="AO13" s="122"/>
      <c r="AP13" s="122"/>
      <c r="AQ13" s="122"/>
      <c r="AR13" s="122"/>
      <c r="AS13" s="111" t="e">
        <f>SUM(SUMIFS(
INDEX( 'ETPT Format DDG'!$A:$ZZ,,MATCH("13. TOTAL CONTENTIEUX LOCAUX SPÉCIFIQUES",'ETPT Format DDG'!2:2,0)),
INDEX( 'ETPT Format DDG'!$A:$ZZ,,MATCH("Fonction recodée",'ETPT Format DDG'!2:2,0)),"Magistrat SIEGE S",
INDEX( 'ETPT Format DDG'!$A:$ZZ,,MATCH("TJCPH",'ETPT Format DDG'!2:2,0)),"OUI"))</f>
        <v>#N/A</v>
      </c>
      <c r="AT13" s="111"/>
      <c r="AU13" s="111" t="e">
        <f>SUM(SUMIFS(
INDEX( 'ETPT Format DDG'!$A:$ZZ,,MATCH("12.5. MISE À DISPOSITION",'ETPT Format DDG'!2:2,0)),
INDEX( 'ETPT Format DDG'!$A:$ZZ,,MATCH("Fonction recodée",'ETPT Format DDG'!2:2,0)),"Magistrat SIEGE NS",
INDEX( 'ETPT Format DDG'!$A:$ZZ,,MATCH("TJCPH",'ETPT Format DDG'!2:2,0)),"OUI"))+
_xlfn.IFNA(SUM(SUMIFS(
INDEX( 'ETPT Format DDG'!$A:$ZZ,,MATCH("13. TOTAL CONTENTIEUX LOCAUX SPÉCIFIQUES",'ETPT Format DDG'!2:2,0)),
INDEX( 'ETPT Format DDG'!$A:$ZZ,,MATCH("Fonction recodée",'ETPT Format DDG'!2:2,0)),"Magistrat SIEGE NS",
INDEX( 'ETPT Format DDG'!$A:$ZZ,,MATCH("TJCPH",'ETPT Format DDG'!2:2,0)),"OUI")),0)</f>
        <v>#N/A</v>
      </c>
      <c r="AV13" s="109">
        <f t="shared" si="3"/>
        <v>0</v>
      </c>
      <c r="AW13" s="113"/>
      <c r="AX13" s="113"/>
      <c r="AY13" s="113"/>
      <c r="AZ13" s="113"/>
      <c r="BA13" s="113"/>
      <c r="BB13" s="113"/>
      <c r="BC13" s="113"/>
      <c r="BD13" s="113"/>
      <c r="BE13" s="113"/>
      <c r="BF13" s="109">
        <f t="shared" si="5"/>
        <v>0</v>
      </c>
    </row>
    <row r="14" ht="14.25" customHeight="1" spans="1:58" s="92" customFormat="1" x14ac:dyDescent="0.25">
      <c r="A14" s="102" t="s">
        <v>2219</v>
      </c>
      <c r="B14" s="103"/>
      <c r="C14" s="103"/>
      <c r="D14" s="115">
        <f t="shared" si="0"/>
      </c>
      <c r="E14" s="103" t="s">
        <v>2241</v>
      </c>
      <c r="F14" s="103" t="s">
        <v>2242</v>
      </c>
      <c r="G14" s="105" t="e">
        <f>SUM(SUMIFS(
INDEX( 'ETPT A-JUST'!$A:$ZZ,,MATCH("Temps ventilés sur la période (absentéisme et action 99 déduits)",'ETPT A-JUST'!2:2,0)),
INDEX( 'ETPT A-JUST'!$A:$ZZ,,MATCH("Fonction recodée",'ETPT A-JUST'!2:2,0)),"Fonctionnaire CTECH placé ADD",
INDEX( 'ETPT A-JUST'!$A:$ZZ,,MATCH("TJCPH",'ETPT A-JUST'!2:2,0)),"OUI"))</f>
        <v>#N/A</v>
      </c>
      <c r="H14" s="106">
        <f t="shared" si="1"/>
        <v>0</v>
      </c>
      <c r="I14" s="107" t="e">
        <f>SUM(SUMIFS(
INDEX( 'ETPT A-JUST'!$A:$ZZ,,MATCH("11.8. FONCTIONNAIRES AFFECTÉS AUX ACTIVITÉS CIVILES ET COMMERCIALES DU PARQUET",'ETPT A-JUST'!2:2,0)),
INDEX( 'ETPT A-JUST'!$A:$ZZ,,MATCH("Fonction recodée",'ETPT A-JUST'!2:2,0)),"Fonctionnaire A-B-CBUR placé ADD",
INDEX( 'ETPT A-JUST'!$A:$ZZ,,MATCH("TJCPH",'ETPT A-JUST'!2:2,0)),"OUI"))</f>
        <v>#N/A</v>
      </c>
      <c r="J14" s="107" t="e">
        <f>SUM(SUMIFS(
INDEX( 'ETPT A-JUST'!$A:$ZZ,,MATCH("11.9. FONCTIONNAIRES AFFECTÉS À L'EXÉCUTION DES PEINES",'ETPT A-JUST'!2:2,0)),
INDEX( 'ETPT A-JUST'!$A:$ZZ,,MATCH("Fonction recodée",'ETPT A-JUST'!2:2,0)),"Fonctionnaire A-B-CBUR placé ADD"))</f>
        <v>#N/A</v>
      </c>
      <c r="K14" s="107" t="e">
        <f>SUM(SUMIFS(
INDEX( 'ETPT A-JUST'!$A:$ZZ,,MATCH("7.5. COUR D'ASSISES HORS JIRS",'ETPT A-JUST'!2:2,0)),
INDEX( 'ETPT A-JUST'!$A:$ZZ,,MATCH("Fonction recodée",'ETPT A-JUST'!2:2,0)),"Fonctionnaire A-B-CBUR placé ADD"))+
SUM(SUMIFS(
INDEX( 'ETPT A-JUST'!$A:$ZZ,,MATCH("7.51. COUR D'ASSISES JIRS",'ETPT A-JUST'!2:2,0)),
INDEX( 'ETPT A-JUST'!$A:$ZZ,,MATCH("Fonction recodée",'ETPT A-JUST'!2:2,0)),"Fonctionnaire A-B-CBUR placé ADD"))</f>
        <v>#N/A</v>
      </c>
      <c r="L14" s="107" t="e">
        <f>SUM(SUMIFS(
INDEX( 'ETPT A-JUST'!$A:$ZZ,,MATCH("7.52. COUR CRIMINELLE",'ETPT A-JUST'!2:2,0)),
INDEX( 'ETPT A-JUST'!$A:$ZZ,,MATCH("Fonction recodée",'ETPT A-JUST'!2:2,0)),"Fonctionnaire A-B-CBUR placé ADD"))</f>
        <v>#N/A</v>
      </c>
      <c r="M14" s="107" t="e">
        <f>SUM(SUMIFS(
INDEX( 'ETPT A-JUST'!$A:$ZZ,,MATCH("7.121. COLLÉGIALES JIRS ÉCO-FI",'ETPT A-JUST'!2:2,0)),
INDEX( 'ETPT A-JUST'!$A:$ZZ,,MATCH("Fonction recodée",'ETPT A-JUST'!2:2,0)),"Fonctionnaire A-B-CBUR placé ADD",
INDEX( 'ETPT A-JUST'!$A:$ZZ,,MATCH("Jirs",'ETPT A-JUST'!2:2,0)),"x"))</f>
        <v>#N/A</v>
      </c>
      <c r="N14" s="107" t="e">
        <f>SUM(SUMIFS(
INDEX( 'ETPT A-JUST'!$A:$ZZ,,MATCH("7.12. COLLÉGIALES JIRS CRIM-ORG",'ETPT A-JUST'!2:2,0)),
INDEX( 'ETPT A-JUST'!$A:$ZZ,,MATCH("Fonction recodée",'ETPT A-JUST'!2:2,0)),"Fonctionnaire A-B-CBUR placé ADD"))</f>
        <v>#N/A</v>
      </c>
      <c r="O14" s="107" t="e">
        <f>SUM(SUMIFS(
INDEX( 'ETPT A-JUST'!$A:$ZZ,,MATCH("7.122. COLLÉGIALES AUTRES SECTIONS SPÉCIALISÉES",'ETPT A-JUST'!2:2,0)),
INDEX( 'ETPT A-JUST'!$A:$ZZ,,MATCH("Fonction recodée",'ETPT A-JUST'!2:2,0)),"Fonctionnaire A-B-CBUR placé ADD"))+
SUM(SUMIFS(
INDEX( 'ETPT A-JUST'!$A:$ZZ,,MATCH("7.121. COLLÉGIALES JIRS ÉCO-FI",'ETPT A-JUST'!2:2,0)),
INDEX( 'ETPT A-JUST'!$A:$ZZ,,MATCH("Fonction recodée",'ETPT A-JUST'!2:2,0)),"Fonctionnaire A-B-CBUR placé ADD",
INDEX( 'ETPT A-JUST'!$A:$ZZ,,MATCH("Jirs",'ETPT A-JUST'!2:2,0)),""))</f>
        <v>#N/A</v>
      </c>
      <c r="P14" s="107" t="e">
        <f>SUM(SUMIFS(
INDEX( 'ETPT A-JUST'!$A:$ZZ,,MATCH("3.2. PROTECTION DES MAJEURS",'ETPT A-JUST'!2:2,0)),
INDEX( 'ETPT A-JUST'!$A:$ZZ,,MATCH("Fonction recodée",'ETPT A-JUST'!2:2,0)),"Fonctionnaire A-B-CBUR placé ADD",
INDEX( 'ETPT A-JUST'!$A:$ZZ,,MATCH("TJCPH",'ETPT A-JUST'!2:2,0)),"OUI"))</f>
        <v>#N/A</v>
      </c>
      <c r="Q14" s="107" t="e">
        <f>SUM(SUMIFS(
INDEX( 'ETPT A-JUST'!$A:$ZZ,,MATCH("3. TOTAL CONTENTIEUX DE LA PROTECTION",'ETPT A-JUST'!2:2,0)),
INDEX( 'ETPT A-JUST'!$A:$ZZ,,MATCH("Fonction recodée",'ETPT A-JUST'!2:2,0)),"Fonctionnaire A-B-CBUR placé ADD",
INDEX( 'ETPT A-JUST'!$A:$ZZ,,MATCH("TJCPH",'ETPT A-JUST'!2:2,0)),"OUI"))-
SUM(SUMIFS(
INDEX( 'ETPT A-JUST'!$A:$ZZ,,MATCH("3.2. PROTECTION DES MAJEURS",'ETPT A-JUST'!2:2,0)),
INDEX( 'ETPT A-JUST'!$A:$ZZ,,MATCH("Fonction recodée",'ETPT A-JUST'!2:2,0)),"Fonctionnaire A-B-CBUR placé ADD",
INDEX( 'ETPT A-JUST'!$A:$ZZ,,MATCH("TJCPH",'ETPT A-JUST'!2:2,0)),"OUI"))-
SUM(SUMIFS(
INDEX( 'ETPT A-JUST'!$A:$ZZ,,MATCH("3.43. INJONCTIONS DE PAYER",'ETPT A-JUST'!2:2,0)),
INDEX( 'ETPT A-JUST'!$A:$ZZ,,MATCH("Fonction recodée",'ETPT A-JUST'!2:2,0)),"Fonctionnaire A-B-CBUR placé ADD",
INDEX( 'ETPT A-JUST'!$A:$ZZ,,MATCH("TJCPH",'ETPT A-JUST'!2:2,0)),"OUI"))-
SUM(SUMIFS(
INDEX( 'ETPT A-JUST'!$A:$ZZ,,MATCH("3.44. SAISIE DES RÉMUNÉRATIONS",'ETPT A-JUST'!2:2,0)),
INDEX( 'ETPT A-JUST'!$A:$ZZ,,MATCH("Fonction recodée",'ETPT A-JUST'!2:2,0)),"Fonctionnaire A-B-CBUR placé ADD",
INDEX( 'ETPT A-JUST'!$A:$ZZ,,MATCH("TJCPH",'ETPT A-JUST'!2:2,0)),"OUI"))</f>
        <v>#N/A</v>
      </c>
      <c r="R14" s="107" t="e">
        <f>SUM(SUMIFS(
INDEX( 'ETPT A-JUST'!$A:$ZZ,,MATCH("6. TOTAL JUGES DES ENFANTS",'ETPT A-JUST'!2:2,0)),
INDEX( 'ETPT A-JUST'!$A:$ZZ,,MATCH("Fonction recodée",'ETPT A-JUST'!2:2,0)),"Fonctionnaire A-B-CBUR placé ADD"))+
SUM(SUMIFS(
INDEX( 'ETPT A-JUST'!$A:$ZZ,,MATCH("8. TOTAL JUGES D'INSTRUCTION",'ETPT A-JUST'!2:2,0)),
INDEX( 'ETPT A-JUST'!$A:$ZZ,,MATCH("Fonction recodée",'ETPT A-JUST'!2:2,0)),"Fonctionnaire A-B-CBUR placé ADD"))+
SUM(SUMIFS(
INDEX( 'ETPT A-JUST'!$A:$ZZ,,MATCH("9. TOTAL JAP",'ETPT A-JUST'!2:2,0)),
INDEX( 'ETPT A-JUST'!$A:$ZZ,,MATCH("Fonction recodée",'ETPT A-JUST'!2:2,0)),"Fonctionnaire A-B-CBUR placé ADD"))+
SUM(SUMIFS(
INDEX( 'ETPT A-JUST'!$A:$ZZ,,MATCH("10. TOTAL JLD PÉNAL",'ETPT A-JUST'!2:2,0)),
INDEX( 'ETPT A-JUST'!$A:$ZZ,,MATCH("Fonction recodée",'ETPT A-JUST'!2:2,0)),"Fonctionnaire A-B-CBUR placé ADD"))</f>
        <v>#N/A</v>
      </c>
      <c r="S14" s="107" t="e">
        <f>SUM(SUMIFS(
INDEX( 'ETPT A-JUST'!$A:$ZZ,,MATCH("3.43. INJONCTIONS DE PAYER",'ETPT A-JUST'!2:2,0)),
INDEX( 'ETPT A-JUST'!$A:$ZZ,,MATCH("Fonction recodée",'ETPT A-JUST'!2:2,0)),"Fonctionnaire A-B-CBUR placé ADD",
INDEX( 'ETPT A-JUST'!$A:$ZZ,,MATCH("TJCPH",'ETPT A-JUST'!2:2,0)),"OUI"))+
SUM(SUMIFS(
INDEX( 'ETPT A-JUST'!$A:$ZZ,,MATCH("3.44. SAISIE DES RÉMUNÉRATIONS",'ETPT A-JUST'!2:2,0)),
INDEX( 'ETPT A-JUST'!$A:$ZZ,,MATCH("Fonction recodée",'ETPT A-JUST'!2:2,0)),"Fonctionnaire A-B-CBUR placé ADD",
INDEX( 'ETPT A-JUST'!$A:$ZZ,,MATCH("TJCPH",'ETPT A-JUST'!2:2,0)),"OUI"))</f>
        <v>#N/A</v>
      </c>
      <c r="T14" s="107" t="e">
        <f>SUM(SUMIFS(
INDEX( 'ETPT A-JUST'!$A:$ZZ,,MATCH("4.0. CONTENTIEUX GÉNÉRAL &lt;10.000€",'ETPT A-JUST'!2:2,0)),
INDEX( 'ETPT A-JUST'!$A:$ZZ,,MATCH("Fonction recodée",'ETPT A-JUST'!2:2,0)),"Fonctionnaire A-B-CBUR placé ADD",
INDEX( 'ETPT A-JUST'!$A:$ZZ,,MATCH("TJCPH",'ETPT A-JUST'!2:2,0)),"OUI"))</f>
        <v>#N/A</v>
      </c>
      <c r="U14" s="107" t="e">
        <f>SUM(SUMIFS(
INDEX( 'ETPT A-JUST'!$A:$ZZ,,MATCH("1. TOTAL CONTENTIEUX SOCIAL",'ETPT A-JUST'!2:2,0)),
INDEX( 'ETPT A-JUST'!$A:$ZZ,,MATCH("Fonction recodée",'ETPT A-JUST'!2:2,0)),"Fonctionnaire A-B-CBUR placé ADD",
INDEX( 'ETPT A-JUST'!$A:$ZZ,,MATCH("TJCPH",'ETPT A-JUST'!2:2,0)),"OUI"))</f>
        <v>#N/A</v>
      </c>
      <c r="V14" s="111" t="e">
        <f>SUM(SUMIFS(
INDEX( 'ETPT A-JUST'!$A:$ZZ,,MATCH("2. TOTAL CONTENTIEUX JAF",'ETPT A-JUST'!2:2,0)),
INDEX( 'ETPT A-JUST'!$A:$ZZ,,MATCH("Fonction recodée",'ETPT A-JUST'!2:2,0)),"Fonctionnaire A-B-CBUR placé ADD",
INDEX( 'ETPT A-JUST'!$A:$ZZ,,MATCH("TJCPH",'ETPT A-JUST'!2:2,0)),"OUI"))+
SUM(SUMIFS(
INDEX( 'ETPT A-JUST'!$A:$ZZ,,MATCH("4. TOTAL CIVIL NON SPÉCIALISÉ",'ETPT A-JUST'!2:2,0)),
INDEX( 'ETPT A-JUST'!$A:$ZZ,,MATCH("Fonction recodée",'ETPT A-JUST'!2:2,0)),"Fonctionnaire A-B-CBUR placé ADD",
INDEX( 'ETPT A-JUST'!$A:$ZZ,,MATCH("TJCPH",'ETPT A-JUST'!2:2,0)),"OUI"))+
SUM(SUMIFS(
INDEX( 'ETPT A-JUST'!$A:$ZZ,,MATCH("5. TOTAL JLD CIVIL",'ETPT A-JUST'!2:2,0)),
INDEX( 'ETPT A-JUST'!$A:$ZZ,,MATCH("Fonction recodée",'ETPT A-JUST'!2:2,0)),"Fonctionnaire A-B-CBUR placé ADD"))+
_xlfn.IFNA(SUM(SUMIFS(
INDEX( 'ETPT A-JUST'!$A:$ZZ,,MATCH("13. TOTAL CONTENTIEUX LOCAUX SPÉCIFIQUES",'ETPT A-JUST'!2:2,0)),
INDEX( 'ETPT A-JUST'!$A:$ZZ,,MATCH("Fonction recodée",'ETPT A-JUST'!2:2,0)),"Fonctionnaire A-B-CBUR placé ADD",
INDEX( 'ETPT A-JUST'!$A:$ZZ,,MATCH("TJCPH",'ETPT A-JUST'!2:2,0)),"OUI")),0)-
SUM(SUMIFS(
INDEX( 'ETPT A-JUST'!$A:$ZZ,,MATCH("4.0. CONTENTIEUX GÉNÉRAL &lt;10.000€",'ETPT A-JUST'!2:2,0)),
INDEX( 'ETPT A-JUST'!$A:$ZZ,,MATCH("Fonction recodée",'ETPT A-JUST'!2:2,0)),"Fonctionnaire A-B-CBUR placé ADD",
INDEX( 'ETPT A-JUST'!$A:$ZZ,,MATCH("TJCPH",'ETPT A-JUST'!2:2,0)),"OUI"))+
SUM(SUMIFS(
INDEX( 'ETPT A-JUST'!$A:$ZZ,,MATCH("11.51. ACCUEIL DU JUSTICIABLE (DONT SAUJ)",'ETPT A-JUST'!2:2,0)),
INDEX( 'ETPT A-JUST'!$A:$ZZ,,MATCH("Fonction recodée",'ETPT A-JUST'!2:2,0)),"Fonctionnaire A-B-CBUR placé ADD",
INDEX( 'ETPT A-JUST'!$A:$ZZ,,MATCH("TJCPH",'ETPT A-JUST'!2:2,0)),"OUI"))+
SUM(SUMIFS(
INDEX( 'ETPT A-JUST'!$A:$ZZ,,MATCH("11.1. SOUTIEN (HORS FORMATIONS SUIVIES)",'ETPT A-JUST'!2:2,0)),
INDEX( 'ETPT A-JUST'!$A:$ZZ,,MATCH("Fonction recodée",'ETPT A-JUST'!2:2,0)),"Fonctionnaire A-B-CBUR placé ADD",
INDEX( 'ETPT A-JUST'!$A:$ZZ,,MATCH("TJCPH",'ETPT A-JUST'!2:2,0)),"OUI"))+
SUM(SUMIFS(
INDEX( 'ETPT A-JUST'!$A:$ZZ,,MATCH("11.2. FORMATIONS SUIVIES",'ETPT A-JUST'!2:2,0)),
INDEX( 'ETPT A-JUST'!$A:$ZZ,,MATCH("Fonction recodée",'ETPT A-JUST'!2:2,0)),"Fonctionnaire A-B-CBUR placé ADD",
INDEX( 'ETPT A-JUST'!$A:$ZZ,,MATCH("TJCPH",'ETPT A-JUST'!2:2,0)),"OUI"))+
SUM(SUMIFS(
INDEX( 'ETPT A-JUST'!$A:$ZZ,,MATCH("11.6. AUTRES ACTIVITÉS NON JURIDICTIONNELLES",'ETPT A-JUST'!2:2,0)),
INDEX( 'ETPT A-JUST'!$A:$ZZ,,MATCH("Fonction recodée",'ETPT A-JUST'!2:2,0)),"Fonctionnaire A-B-CBUR placé ADD",
INDEX( 'ETPT A-JUST'!$A:$ZZ,,MATCH("TJCPH",'ETPT A-JUST'!2:2,0)),"OUI"))+
SUM(SUMIFS(
INDEX( 'ETPT A-JUST'!$A:$ZZ,,MATCH("11.3. FORMATIONS DISPENSÉES",'ETPT A-JUST'!2:2,0)),
INDEX( 'ETPT A-JUST'!$A:$ZZ,,MATCH("Fonction recodée",'ETPT A-JUST'!2:2,0)),"Fonctionnaire A-B-CBUR placé ADD",
INDEX( 'ETPT A-JUST'!$A:$ZZ,,MATCH("TJCPH",'ETPT A-JUST'!2:2,0)),"OUI"))+
SUM(SUMIFS(
INDEX( 'ETPT A-JUST'!$A:$ZZ,,MATCH("11.4. ACCÈS AU DROIT ET À LA JUSTICE",'ETPT A-JUST'!2:2,0)),
INDEX( 'ETPT A-JUST'!$A:$ZZ,,MATCH("Fonction recodée",'ETPT A-JUST'!2:2,0)),"Fonctionnaire A-B-CBUR placé ADD",
INDEX( 'ETPT A-JUST'!$A:$ZZ,,MATCH("TJCPH",'ETPT A-JUST'!2:2,0)),"OUI"))+
SUMIFS(
INDEX( 'ETPT A-JUST'!$A:$ZZ,,MATCH("7. TOTAL SIÈGE PÉNAL",'ETPT A-JUST'!2:2,0)),
INDEX( 'ETPT A-JUST'!$A:$ZZ,,MATCH("Fonction recodée",'ETPT A-JUST'!2:2,0)),"Fonctionnaire A-B-CBUR placé ADD")+
SUMIFS(
INDEX( 'ETPT A-JUST'!$A:$ZZ,,MATCH("11.10. AUTRES FONCTIONNAIRES AFFECTÉS AU PARQUET",'ETPT A-JUST'!2:2,0)),
INDEX( 'ETPT A-JUST'!$A:$ZZ,,MATCH("Fonction recodée",'ETPT A-JUST'!2:2,0)),"Fonctionnaire A-B-CBUR placé ADD")-
SUMIFS(
INDEX( 'ETPT A-JUST'!$A:$ZZ,,MATCH("7.5. COUR D'ASSISES HORS JIRS",'ETPT A-JUST'!2:2,0)),
INDEX( 'ETPT A-JUST'!$A:$ZZ,,MATCH("Fonction recodée",'ETPT A-JUST'!2:2,0)),"Fonctionnaire A-B-CBUR placé ADD")-
SUMIFS(
INDEX( 'ETPT A-JUST'!$A:$ZZ,,MATCH("7.51. COUR D'ASSISES JIRS",'ETPT A-JUST'!2:2,0)),
INDEX( 'ETPT A-JUST'!$A:$ZZ,,MATCH("Fonction recodée",'ETPT A-JUST'!2:2,0)),"Fonctionnaire A-B-CBUR placé ADD")-
SUMIFS(
INDEX( 'ETPT A-JUST'!$A:$ZZ,,MATCH("7.52. COUR CRIMINELLE",'ETPT A-JUST'!2:2,0)),
INDEX( 'ETPT A-JUST'!$A:$ZZ,,MATCH("Fonction recodée",'ETPT A-JUST'!2:2,0)),"Fonctionnaire A-B-CBUR placé ADD")-
SUMIFS(
INDEX( 'ETPT A-JUST'!$A:$ZZ,,MATCH("7.121. COLLÉGIALES JIRS ÉCO-FI",'ETPT A-JUST'!2:2,0)),
INDEX( 'ETPT A-JUST'!$A:$ZZ,,MATCH("Fonction recodée",'ETPT A-JUST'!2:2,0)),"Fonctionnaire A-B-CBUR placé ADD")-
SUMIFS(
INDEX( 'ETPT A-JUST'!$A:$ZZ,,MATCH("7.12. COLLÉGIALES JIRS CRIM-ORG",'ETPT A-JUST'!2:2,0)),
INDEX( 'ETPT A-JUST'!$A:$ZZ,,MATCH("Fonction recodée",'ETPT A-JUST'!2:2,0)),"Fonctionnaire A-B-CBUR placé ADD")-
SUMIFS(
INDEX( 'ETPT A-JUST'!$A:$ZZ,,MATCH("7.122. COLLÉGIALES AUTRES SECTIONS SPÉCIALISÉES",'ETPT A-JUST'!2:2,0)),
INDEX( 'ETPT A-JUST'!$A:$ZZ,,MATCH("Fonction recodée",'ETPT A-JUST'!2:2,0)),"Fonctionnaire A-B-CBUR placé ADD")</f>
        <v>#N/A</v>
      </c>
      <c r="W14" s="109">
        <f t="shared" si="4"/>
        <v>0</v>
      </c>
      <c r="X14" s="111" t="e">
        <f>SUM(SUMIFS(
INDEX( 'ETPT A-JUST'!$A:$ZZ,,MATCH("3.2. PROTECTION DES MAJEURS",'ETPT A-JUST'!2:2,0)),
INDEX( 'ETPT A-JUST'!$A:$ZZ,,MATCH("Fonction recodée",'ETPT A-JUST'!2:2,0)),"Magistrat placé ADD",
INDEX( 'ETPT A-JUST'!$A:$ZZ,,MATCH("TJCPH",'ETPT A-JUST'!2:2,0)),"OUI"))</f>
        <v>#N/A</v>
      </c>
      <c r="Y14" s="111" t="e">
        <f>SUM(SUMIFS(
INDEX( 'ETPT A-JUST'!$A:$ZZ,,MATCH("3. TOTAL CONTENTIEUX DE LA PROTECTION",'ETPT A-JUST'!2:2,0)),
INDEX( 'ETPT A-JUST'!$A:$ZZ,,MATCH("Fonction recodée",'ETPT A-JUST'!2:2,0)),"Magistrat placé ADD",
INDEX( 'ETPT A-JUST'!$A:$ZZ,,MATCH("TJCPH",'ETPT A-JUST'!2:2,0)),"OUI"))-
SUM(SUMIFS(
INDEX( 'ETPT A-JUST'!$A:$ZZ,,MATCH("3.2. PROTECTION DES MAJEURS",'ETPT A-JUST'!2:2,0)),
INDEX( 'ETPT A-JUST'!$A:$ZZ,,MATCH("Fonction recodée",'ETPT A-JUST'!2:2,0)),"Magistrat placé ADD",
INDEX( 'ETPT A-JUST'!$A:$ZZ,,MATCH("TJCPH",'ETPT A-JUST'!2:2,0)),"OUI"))-
SUM(SUMIFS(
INDEX( 'ETPT A-JUST'!$A:$ZZ,,MATCH("3.43. INJONCTIONS DE PAYER",'ETPT A-JUST'!2:2,0)),
INDEX( 'ETPT A-JUST'!$A:$ZZ,,MATCH("Fonction recodée",'ETPT A-JUST'!2:2,0)),"Magistrat placé ADD",
INDEX( 'ETPT A-JUST'!$A:$ZZ,,MATCH("TJCPH",'ETPT A-JUST'!2:2,0)),"OUI"))-
SUM(SUMIFS(
INDEX( 'ETPT A-JUST'!$A:$ZZ,,MATCH("3.44. SAISIE DES RÉMUNÉRATIONS",'ETPT A-JUST'!2:2,0)),
INDEX( 'ETPT A-JUST'!$A:$ZZ,,MATCH("Fonction recodée",'ETPT A-JUST'!2:2,0)),"Magistrat placé ADD",
INDEX( 'ETPT A-JUST'!$A:$ZZ,,MATCH("TJCPH",'ETPT A-JUST'!2:2,0)),"OUI"))</f>
        <v>#N/A</v>
      </c>
      <c r="Z14" s="111" t="e">
        <f>SUM(SUMIFS(
INDEX( 'ETPT A-JUST'!$A:$ZZ,,MATCH("8.1. SERVICE GÉNÉRAL",'ETPT A-JUST'!2:2,0)),
INDEX( 'ETPT A-JUST'!$A:$ZZ,,MATCH("Fonction recodée",'ETPT A-JUST'!2:2,0)),"Magistrat placé ADD"))</f>
        <v>#N/A</v>
      </c>
      <c r="AA14" s="111" t="e">
        <f>SUM(SUMIFS(
INDEX( 'ETPT A-JUST'!$A:$ZZ,,MATCH("8.2. JIRS ÉCO-FI",'ETPT A-JUST'!2:2,0)),
INDEX( 'ETPT A-JUST'!$A:$ZZ,,MATCH("Fonction recodée",'ETPT A-JUST'!2:2,0)),"Magistrat placé ADD"))</f>
        <v>#N/A</v>
      </c>
      <c r="AB14" s="111" t="e">
        <f>SUM(SUMIFS(
INDEX( 'ETPT A-JUST'!$A:$ZZ,,MATCH("8.3. JIRS CRIM-ORG",'ETPT A-JUST'!2:2,0)),
INDEX( 'ETPT A-JUST'!$A:$ZZ,,MATCH("Fonction recodée",'ETPT A-JUST'!2:2,0)),"Magistrat placé ADD"))</f>
        <v>#N/A</v>
      </c>
      <c r="AC14" s="111" t="e">
        <f>SUM(SUMIFS(
INDEX( 'ETPT A-JUST'!$A:$ZZ,,MATCH("8.4. AUTRES SECTIONS SPÉCIALISÉES",'ETPT A-JUST'!2:2,0)),
INDEX( 'ETPT A-JUST'!$A:$ZZ,,MATCH("Fonction recodée",'ETPT A-JUST'!2:2,0)),"Magistrat placé ADD"))+
SUM(SUMIFS(
INDEX( 'ETPT A-JUST'!$A:$ZZ,,MATCH("8.11. ECO-FI HORS JIRS",'ETPT A-JUST'!2:2,0)),
INDEX( 'ETPT A-JUST'!$A:$ZZ,,MATCH("Fonction recodée",'ETPT A-JUST'!2:2,0)),"Magistrat placé ADD"))</f>
        <v>#N/A</v>
      </c>
      <c r="AD14" s="111" t="e">
        <f>SUM(SUMIFS(
INDEX( 'ETPT A-JUST'!$A:$ZZ,,MATCH("9. TOTAL JAP",'ETPT A-JUST'!2:2,0)),
INDEX( 'ETPT A-JUST'!$A:$ZZ,,MATCH("Fonction recodée",'ETPT A-JUST'!2:2,0)),"Magistrat placé ADD"))</f>
        <v>#N/A</v>
      </c>
      <c r="AE14" s="111" t="e">
        <f>SUM(SUMIFS(
INDEX( 'ETPT A-JUST'!$A:$ZZ,,MATCH("6.1. ACTIVITÉ CIVILE",'ETPT A-JUST'!2:2,0)),
INDEX( 'ETPT A-JUST'!$A:$ZZ,,MATCH("Fonction recodée",'ETPT A-JUST'!2:2,0)),"Magistrat placé ADD"))+
SUM(SUMIFS(
INDEX( 'ETPT A-JUST'!$A:$ZZ,,MATCH("6.2. ACTIVITÉ PÉNALE",'ETPT A-JUST'!2:2,0)),
INDEX( 'ETPT A-JUST'!$A:$ZZ,,MATCH("Fonction recodée",'ETPT A-JUST'!2:2,0)),"Magistrat placé ADD"))</f>
        <v>#N/A</v>
      </c>
      <c r="AF14" s="111" t="e">
        <f>SUM(SUMIFS(
INDEX( 'ETPT A-JUST'!$A:$ZZ,,MATCH("10. TOTAL JLD PÉNAL",'ETPT A-JUST'!2:2,0)),
INDEX( 'ETPT A-JUST'!$A:$ZZ,,MATCH("Fonction recodée",'ETPT A-JUST'!2:2,0)),"Magistrat placé ADD"))</f>
        <v>#N/A</v>
      </c>
      <c r="AG14" s="109">
        <f t="shared" si="2"/>
        <v>0</v>
      </c>
      <c r="AH14" s="111" t="e">
        <f>SUM(SUMIFS(
INDEX( 'ETPT A-JUST'!$A:$ZZ,,MATCH("7.5. COUR D'ASSISES HORS JIRS",'ETPT A-JUST'!2:2,0)),
INDEX( 'ETPT A-JUST'!$A:$ZZ,,MATCH("Fonction recodée",'ETPT A-JUST'!2:2,0)),"Magistrat placé ADD"))+
SUM(SUMIFS(
INDEX( 'ETPT A-JUST'!$A:$ZZ,,MATCH("7.51. COUR D'ASSISES JIRS",'ETPT A-JUST'!2:2,0)),
INDEX( 'ETPT A-JUST'!$A:$ZZ,,MATCH("Fonction recodée",'ETPT A-JUST'!2:2,0)),"Magistrat placé ADD"))</f>
        <v>#N/A</v>
      </c>
      <c r="AI14" s="111" t="e">
        <f>SUM(SUMIFS(
INDEX( 'ETPT A-JUST'!$A:$ZZ,,MATCH("7.52. COUR CRIMINELLE",'ETPT A-JUST'!2:2,0)),
INDEX( 'ETPT A-JUST'!$A:$ZZ,,MATCH("Fonction recodée",'ETPT A-JUST'!2:2,0)),"Magistrat placé ADD"))</f>
        <v>#N/A</v>
      </c>
      <c r="AJ14" s="111" t="e">
        <f>SUM(SUMIFS(
INDEX( 'ETPT A-JUST'!$A:$ZZ,,MATCH("7.121. COLLÉGIALES JIRS ÉCO-FI",'ETPT A-JUST'!2:2,0)),
INDEX( 'ETPT A-JUST'!$A:$ZZ,,MATCH("Fonction recodée",'ETPT A-JUST'!2:2,0)),"Magistrat placé ADD",
INDEX( 'ETPT A-JUST'!$A:$ZZ,,MATCH("Jirs",'ETPT A-JUST'!2:2,0)),"x"))</f>
        <v>#N/A</v>
      </c>
      <c r="AK14" s="111" t="e">
        <f>SUM(SUMIFS(
INDEX( 'ETPT A-JUST'!$A:$ZZ,,MATCH("7.12. COLLÉGIALES JIRS CRIM-ORG",'ETPT A-JUST'!2:2,0)),
INDEX( 'ETPT A-JUST'!$A:$ZZ,,MATCH("Fonction recodée",'ETPT A-JUST'!2:2,0)),"Magistrat placé ADD"))</f>
        <v>#N/A</v>
      </c>
      <c r="AL14" s="111" t="e">
        <f>SUM(SUMIFS(
INDEX( 'ETPT A-JUST'!$A:$ZZ,,MATCH("7.122. COLLÉGIALES AUTRES SECTIONS SPÉCIALISÉES",'ETPT A-JUST'!2:2,0)),
INDEX( 'ETPT A-JUST'!$A:$ZZ,,MATCH("Fonction recodée",'ETPT A-JUST'!2:2,0)),"Magistrat placé ADD"))+
SUM(SUMIFS(
INDEX( 'ETPT A-JUST'!$A:$ZZ,,MATCH("7.121. COLLÉGIALES JIRS ÉCO-FI",'ETPT A-JUST'!2:2,0)),
INDEX( 'ETPT A-JUST'!$A:$ZZ,,MATCH("Fonction recodée",'ETPT A-JUST'!2:2,0)),"Magistrat placé ADD",
INDEX( 'ETPT A-JUST'!$A:$ZZ,,MATCH("Jirs",'ETPT A-JUST'!2:2,0)),""))</f>
        <v>#N/A</v>
      </c>
      <c r="AM14" s="111" t="e">
        <f>SUM(SUMIFS(
INDEX( 'ETPT A-JUST'!$A:$ZZ,,MATCH("7.6. TRIBUNAL DE POLICE",'ETPT A-JUST'!2:2,0)),
INDEX( 'ETPT A-JUST'!$A:$ZZ,,MATCH("Fonction recodée",'ETPT A-JUST'!2:2,0)),"Magistrat placé ADD"))+
SUM(SUMIFS(
INDEX( 'ETPT A-JUST'!$A:$ZZ,,MATCH("7.7. OP CONTRAVENTIONNELLES",'ETPT A-JUST'!2:2,0)),
INDEX( 'ETPT A-JUST'!$A:$ZZ,,MATCH("Fonction recodée",'ETPT A-JUST'!2:2,0)),"Magistrat placé ADD"))</f>
        <v>#N/A</v>
      </c>
      <c r="AN14" s="111" t="e">
        <f>SUM(SUMIFS(
INDEX( 'ETPT A-JUST'!$A:$ZZ,,MATCH("1.1. DÉPARTAGE PRUD'HOMAL",'ETPT A-JUST'!2:2,0)),
INDEX( 'ETPT A-JUST'!$A:$ZZ,,MATCH("Fonction recodée",'ETPT A-JUST'!2:2,0)),"Magistrat placé ADD",
INDEX( 'ETPT A-JUST'!$A:$ZZ,,MATCH("TJCPH",'ETPT A-JUST'!2:2,0)),"OUI"))</f>
        <v>#N/A</v>
      </c>
      <c r="AO14" s="111" t="e">
        <f>SUM(SUMIFS(
INDEX( 'ETPT A-JUST'!$A:$ZZ,,MATCH("4.0. CONTENTIEUX GÉNÉRAL &lt;10.000€",'ETPT A-JUST'!2:2,0)),
INDEX( 'ETPT A-JUST'!$A:$ZZ,,MATCH("Fonction recodée",'ETPT A-JUST'!2:2,0)),"Magistrat placé ADD",
INDEX( 'ETPT A-JUST'!$A:$ZZ,,MATCH("TJCPH",'ETPT A-JUST'!2:2,0)),"OUI"))</f>
        <v>#N/A</v>
      </c>
      <c r="AP14" s="111" t="e">
        <f>SUM(SUMIFS(
INDEX( 'ETPT A-JUST'!$A:$ZZ,,MATCH("3.43. INJONCTIONS DE PAYER",'ETPT A-JUST'!2:2,0)),
INDEX( 'ETPT A-JUST'!$A:$ZZ,,MATCH("Fonction recodée",'ETPT A-JUST'!2:2,0)),"Magistrat placé ADD",
INDEX( 'ETPT A-JUST'!$A:$ZZ,,MATCH("TJCPH",'ETPT A-JUST'!2:2,0)),"OUI"))+
SUM(SUMIFS(
INDEX( 'ETPT A-JUST'!$A:$ZZ,,MATCH("3.44. SAISIE DES RÉMUNÉRATIONS",'ETPT A-JUST'!2:2,0)),
INDEX( 'ETPT A-JUST'!$A:$ZZ,,MATCH("Fonction recodée",'ETPT A-JUST'!2:2,0)),"Magistrat placé ADD",
INDEX( 'ETPT A-JUST'!$A:$ZZ,,MATCH("TJCPH",'ETPT A-JUST'!2:2,0)),"OUI"))</f>
        <v>#N/A</v>
      </c>
      <c r="AQ14" s="111" t="e">
        <f>MAX(0,SUM(SUMIFS(
INDEX( 'ETPT A-JUST'!$A:$ZZ,,MATCH("1. TOTAL CONTENTIEUX SOCIAL",'ETPT A-JUST'!2:2,0)),
INDEX( 'ETPT A-JUST'!$A:$ZZ,,MATCH("Fonction recodée",'ETPT A-JUST'!2:2,0)),"Magistrat placé ADD",
INDEX( 'ETPT A-JUST'!$A:$ZZ,,MATCH("TJCPH",'ETPT A-JUST'!2:2,0)),"OUI"))-
SUM(SUMIFS(
INDEX( 'ETPT A-JUST'!$A:$ZZ,,MATCH("1.1. DÉPARTAGE PRUD'HOMAL",'ETPT A-JUST'!2:2,0)),
INDEX( 'ETPT A-JUST'!$A:$ZZ,,MATCH("Fonction recodée",'ETPT A-JUST'!2:2,0)),"Magistrat placé ADD",
INDEX( 'ETPT A-JUST'!$A:$ZZ,,MATCH("TJCPH",'ETPT A-JUST'!2:2,0)),"OUI")))</f>
        <v>#N/A</v>
      </c>
      <c r="AR14" s="111" t="e">
        <f>SUM(SUMIFS(
INDEX( 'ETPT A-JUST'!$A:$ZZ,,MATCH("2. TOTAL CONTENTIEUX JAF",'ETPT A-JUST'!2:2,0)),
INDEX( 'ETPT A-JUST'!$A:$ZZ,,MATCH("Fonction recodée",'ETPT A-JUST'!2:2,0)),"Magistrat placé ADD"))</f>
        <v>#N/A</v>
      </c>
      <c r="AS14" s="125"/>
      <c r="AT14" s="126" t="e">
        <f>SUM(SUMIFS(
INDEX( 'ETPT A-JUST'!$A:$ZZ,,MATCH("5. TOTAL JLD CIVIL",'ETPT A-JUST'!2:2,0)),
INDEX( 'ETPT A-JUST'!$A:$ZZ,,MATCH("Fonction recodée",'ETPT A-JUST'!2:2,0)),"Magistrat placé ADD"))</f>
        <v>#N/A</v>
      </c>
      <c r="AU14" s="116" t="e">
        <f>MAX(0,SUM(SUMIFS(
INDEX( 'ETPT A-JUST'!$A:$ZZ,,MATCH("4. TOTAL CIVIL NON SPÉCIALISÉ",'ETPT A-JUST'!2:2,0)),
INDEX( 'ETPT A-JUST'!$A:$ZZ,,MATCH("Fonction recodée",'ETPT A-JUST'!2:2,0)),"Magistrat placé ADD",
INDEX( 'ETPT A-JUST'!$A:$ZZ,,MATCH("TJCPH",'ETPT A-JUST'!2:2,0)),"OUI"))-
SUM(SUMIFS(
INDEX( 'ETPT A-JUST'!$A:$ZZ,,MATCH("4.0. CONTENTIEUX GÉNÉRAL &lt;10.000€",'ETPT A-JUST'!2:2,0)),
INDEX( 'ETPT A-JUST'!$A:$ZZ,,MATCH("Fonction recodée",'ETPT A-JUST'!2:2,0)),"Magistrat placé ADD",
INDEX( 'ETPT A-JUST'!$A:$ZZ,,MATCH("TJCPH",'ETPT A-JUST'!2:2,0)),"OUI"))+
_xlfn.IFNA(SUM(SUMIFS(
INDEX( 'ETPT A-JUST'!$A:$ZZ,,MATCH("13. TOTAL CONTENTIEUX LOCAUX SPÉCIFIQUES",'ETPT A-JUST'!2:2,0)),
INDEX( 'ETPT A-JUST'!$A:$ZZ,,MATCH("Fonction recodée",'ETPT A-JUST'!2:2,0)),"Magistrat placé ADD",
INDEX( 'ETPT A-JUST'!$A:$ZZ,,MATCH("TJCPH",'ETPT A-JUST'!2:2,0)),"OUI")),0)+
SUM(SUMIFS(
INDEX( 'ETPT A-JUST'!$A:$ZZ,,MATCH("11.51. ACCUEIL DU JUSTICIABLE (DONT SAUJ)",'ETPT A-JUST'!2:2,0)),
INDEX( 'ETPT A-JUST'!$A:$ZZ,,MATCH("Fonction recodée",'ETPT A-JUST'!2:2,0)),"Magistrat placé ADD",
INDEX( 'ETPT A-JUST'!$A:$ZZ,,MATCH("TJCPH",'ETPT A-JUST'!2:2,0)),"OUI"))+
SUM(SUMIFS(
INDEX( 'ETPT A-JUST'!$A:$ZZ,,MATCH("11.1. SOUTIEN (HORS FORMATIONS SUIVIES)",'ETPT A-JUST'!2:2,0)),
INDEX( 'ETPT A-JUST'!$A:$ZZ,,MATCH("Fonction recodée",'ETPT A-JUST'!2:2,0)),"Magistrat placé ADD",
INDEX( 'ETPT A-JUST'!$A:$ZZ,,MATCH("TJCPH",'ETPT A-JUST'!2:2,0)),"OUI"))+
SUM(SUMIFS(
INDEX( 'ETPT A-JUST'!$A:$ZZ,,MATCH("11.2. FORMATIONS SUIVIES",'ETPT A-JUST'!2:2,0)),
INDEX( 'ETPT A-JUST'!$A:$ZZ,,MATCH("Fonction recodée",'ETPT A-JUST'!2:2,0)),"Magistrat placé ADD",
INDEX( 'ETPT A-JUST'!$A:$ZZ,,MATCH("TJCPH",'ETPT A-JUST'!2:2,0)),"OUI"))+
SUM(SUMIFS(
INDEX( 'ETPT A-JUST'!$A:$ZZ,,MATCH("11.6. AUTRES ACTIVITÉS NON JURIDICTIONNELLES",'ETPT A-JUST'!2:2,0)),
INDEX( 'ETPT A-JUST'!$A:$ZZ,,MATCH("Fonction recodée",'ETPT A-JUST'!2:2,0)),"Magistrat placé ADD",
INDEX( 'ETPT A-JUST'!$A:$ZZ,,MATCH("TJCPH",'ETPT A-JUST'!2:2,0)),"OUI"))+
SUM(SUMIFS(
INDEX( 'ETPT A-JUST'!$A:$ZZ,,MATCH("11.3. FORMATIONS DISPENSÉES",'ETPT A-JUST'!2:2,0)),
INDEX( 'ETPT A-JUST'!$A:$ZZ,,MATCH("Fonction recodée",'ETPT A-JUST'!2:2,0)),"Magistrat placé ADD",
INDEX( 'ETPT A-JUST'!$A:$ZZ,,MATCH("TJCPH",'ETPT A-JUST'!2:2,0)),"OUI"))+
SUM(SUMIFS(
INDEX( 'ETPT A-JUST'!$A:$ZZ,,MATCH("11.4. ACCÈS AU DROIT ET À LA JUSTICE",'ETPT A-JUST'!2:2,0)),
INDEX( 'ETPT A-JUST'!$A:$ZZ,,MATCH("Fonction recodée",'ETPT A-JUST'!2:2,0)),"Magistrat placé ADD",
INDEX( 'ETPT A-JUST'!$A:$ZZ,,MATCH("TJCPH",'ETPT A-JUST'!2:2,0)),"OUI"))+
SUM(SUMIFS(
INDEX( 'ETPT A-JUST'!$A:$ZZ,,MATCH("11.5. CSM",'ETPT A-JUST'!2:2,0)),
INDEX( 'ETPT A-JUST'!$A:$ZZ,,MATCH("Fonction recodée",'ETPT A-JUST'!2:2,0)),"Magistrat placé ADD",
INDEX( 'ETPT A-JUST'!$A:$ZZ,,MATCH("TJCPH",'ETPT A-JUST'!2:2,0)),"OUI"))
+
SUM(SUMIFS(
INDEX( 'ETPT A-JUST'!$A:$ZZ,,MATCH("7. TOTAL SIÈGE PÉNAL",'ETPT A-JUST'!2:2,0)),
INDEX( 'ETPT A-JUST'!$A:$ZZ,,MATCH("Fonction recodée",'ETPT A-JUST'!2:2,0)),"Magistrat placé ADD"))-
SUM(SUMIFS(
INDEX( 'ETPT A-JUST'!$A:$ZZ,,MATCH("7.5. COUR D'ASSISES HORS JIRS",'ETPT A-JUST'!2:2,0)),
INDEX( 'ETPT A-JUST'!$A:$ZZ,,MATCH("Fonction recodée",'ETPT A-JUST'!2:2,0)),"Magistrat placé ADD"))-
SUM(SUMIFS(
INDEX( 'ETPT A-JUST'!$A:$ZZ,,MATCH("7.51. COUR D'ASSISES JIRS",'ETPT A-JUST'!2:2,0)),
INDEX( 'ETPT A-JUST'!$A:$ZZ,,MATCH("Fonction recodée",'ETPT A-JUST'!2:2,0)),"Magistrat placé ADD"))-
SUM(SUMIFS(
INDEX( 'ETPT A-JUST'!$A:$ZZ,,MATCH("7.52. COUR CRIMINELLE",'ETPT A-JUST'!2:2,0)),
INDEX( 'ETPT A-JUST'!$A:$ZZ,,MATCH("Fonction recodée",'ETPT A-JUST'!2:2,0)),"Magistrat placé ADD"))-
SUM(SUMIFS(
INDEX( 'ETPT A-JUST'!$A:$ZZ,,MATCH("7.121. COLLÉGIALES JIRS ÉCO-FI",'ETPT A-JUST'!2:2,0)),
INDEX( 'ETPT A-JUST'!$A:$ZZ,,MATCH("Fonction recodée",'ETPT A-JUST'!2:2,0)),"Magistrat placé ADD"))-
SUM(SUMIFS(
INDEX( 'ETPT A-JUST'!$A:$ZZ,,MATCH("7.12. COLLÉGIALES JIRS CRIM-ORG",'ETPT A-JUST'!2:2,0)),
INDEX( 'ETPT A-JUST'!$A:$ZZ,,MATCH("Fonction recodée",'ETPT A-JUST'!2:2,0)),"Magistrat placé ADD"))-
SUM(SUMIFS(
INDEX( 'ETPT A-JUST'!$A:$ZZ,,MATCH("7.122. COLLÉGIALES AUTRES SECTIONS SPÉCIALISÉES",'ETPT A-JUST'!2:2,0)),
INDEX( 'ETPT A-JUST'!$A:$ZZ,,MATCH("Fonction recodée",'ETPT A-JUST'!2:2,0)),"Magistrat placé ADD"))-
SUM(SUMIFS(
INDEX( 'ETPT A-JUST'!$A:$ZZ,,MATCH("7.6. TRIBUNAL DE POLICE",'ETPT A-JUST'!2:2,0)),
INDEX( 'ETPT A-JUST'!$A:$ZZ,,MATCH("Fonction recodée",'ETPT A-JUST'!2:2,0)),"Magistrat placé ADD"))-
SUM(SUMIFS(
INDEX( 'ETPT A-JUST'!$A:$ZZ,,MATCH("7.7. OP CONTRAVENTIONNELLES",'ETPT A-JUST'!2:2,0)),
INDEX( 'ETPT A-JUST'!$A:$ZZ,,MATCH("Fonction recodée",'ETPT A-JUST'!2:2,0)),"Magistrat placé ADD")))</f>
        <v>#N/A</v>
      </c>
      <c r="AV14" s="109">
        <f t="shared" si="3"/>
        <v>0</v>
      </c>
      <c r="AW14" s="113"/>
      <c r="AX14" s="113"/>
      <c r="AY14" s="113"/>
      <c r="AZ14" s="113"/>
      <c r="BA14" s="113"/>
      <c r="BB14" s="113"/>
      <c r="BC14" s="113"/>
      <c r="BD14" s="113"/>
      <c r="BE14" s="113"/>
      <c r="BF14" s="109">
        <f t="shared" si="5"/>
        <v>0</v>
      </c>
    </row>
    <row r="15" ht="14.25" customHeight="1" spans="1:58" s="92" customFormat="1" x14ac:dyDescent="0.25">
      <c r="A15" s="102" t="s">
        <v>2219</v>
      </c>
      <c r="B15" s="103"/>
      <c r="C15" s="103"/>
      <c r="D15" s="115">
        <f t="shared" si="0"/>
      </c>
      <c r="E15" s="103" t="s">
        <v>2243</v>
      </c>
      <c r="F15" s="103" t="s">
        <v>2244</v>
      </c>
      <c r="G15" s="105" t="e">
        <f>SUM(SUMIFS(
INDEX( 'ETPT A-JUST'!$A:$ZZ,,MATCH("Temps ventilés sur la période (absentéisme et action 99 déduits)",'ETPT A-JUST'!2:2,0)),
INDEX( 'ETPT A-JUST'!$A:$ZZ,,MATCH("Fonction recodée",'ETPT A-JUST'!2:2,0)),"Fonctionnaire CTECH placé SUB",
INDEX( 'ETPT A-JUST'!$A:$ZZ,,MATCH("TJCPH",'ETPT A-JUST'!2:2,0)),"OUI"))</f>
        <v>#N/A</v>
      </c>
      <c r="H15" s="106">
        <f>_xlfn.AGGREGATE(9,6,G15)</f>
        <v>0</v>
      </c>
      <c r="I15" s="107" t="e">
        <f>SUM(SUMIFS(
INDEX( 'ETPT A-JUST'!$A:$ZZ,,MATCH("11.8. FONCTIONNAIRES AFFECTÉS AUX ACTIVITÉS CIVILES ET COMMERCIALES DU PARQUET",'ETPT A-JUST'!2:2,0)),
INDEX( 'ETPT A-JUST'!$A:$ZZ,,MATCH("Fonction recodée",'ETPT A-JUST'!2:2,0)),"Fonctionnaire A-B-CBUR placé SUB",
INDEX( 'ETPT A-JUST'!$A:$ZZ,,MATCH("TJCPH",'ETPT A-JUST'!2:2,0)),"OUI"))</f>
        <v>#N/A</v>
      </c>
      <c r="J15" s="107" t="e">
        <f>SUM(SUMIFS(
INDEX( 'ETPT A-JUST'!$A:$ZZ,,MATCH("11.9. FONCTIONNAIRES AFFECTÉS À L'EXÉCUTION DES PEINES",'ETPT A-JUST'!2:2,0)),
INDEX( 'ETPT A-JUST'!$A:$ZZ,,MATCH("Fonction recodée",'ETPT A-JUST'!2:2,0)),"Fonctionnaire A-B-CBUR placé SUB"))</f>
        <v>#N/A</v>
      </c>
      <c r="K15" s="107" t="e">
        <f>SUM(SUMIFS(
INDEX( 'ETPT A-JUST'!$A:$ZZ,,MATCH("7.5. COUR D'ASSISES HORS JIRS",'ETPT A-JUST'!2:2,0)),
INDEX( 'ETPT A-JUST'!$A:$ZZ,,MATCH("Fonction recodée",'ETPT A-JUST'!2:2,0)),"Fonctionnaire A-B-CBUR placé SUB"))+
SUM(SUMIFS(
INDEX( 'ETPT A-JUST'!$A:$ZZ,,MATCH("7.51. COUR D'ASSISES JIRS",'ETPT A-JUST'!2:2,0)),
INDEX( 'ETPT A-JUST'!$A:$ZZ,,MATCH("Fonction recodée",'ETPT A-JUST'!2:2,0)),"Fonctionnaire A-B-CBUR placé SUB"))</f>
        <v>#N/A</v>
      </c>
      <c r="L15" s="107" t="e">
        <f>SUM(SUMIFS(
INDEX( 'ETPT A-JUST'!$A:$ZZ,,MATCH("7.52. COUR CRIMINELLE",'ETPT A-JUST'!2:2,0)),
INDEX( 'ETPT A-JUST'!$A:$ZZ,,MATCH("Fonction recodée",'ETPT A-JUST'!2:2,0)),"Fonctionnaire A-B-CBUR placé SUB"))</f>
        <v>#N/A</v>
      </c>
      <c r="M15" s="107" t="e">
        <f>SUM(SUMIFS(
INDEX( 'ETPT A-JUST'!$A:$ZZ,,MATCH("7.121. COLLÉGIALES JIRS ÉCO-FI",'ETPT A-JUST'!2:2,0)),
INDEX( 'ETPT A-JUST'!$A:$ZZ,,MATCH("Fonction recodée",'ETPT A-JUST'!2:2,0)),"Fonctionnaire A-B-CBUR placé SUB",
INDEX( 'ETPT A-JUST'!$A:$ZZ,,MATCH("Jirs",'ETPT A-JUST'!2:2,0)),"x"))</f>
        <v>#N/A</v>
      </c>
      <c r="N15" s="107" t="e">
        <f>SUM(SUMIFS(
INDEX( 'ETPT A-JUST'!$A:$ZZ,,MATCH("7.12. COLLÉGIALES JIRS CRIM-ORG",'ETPT A-JUST'!2:2,0)),
INDEX( 'ETPT A-JUST'!$A:$ZZ,,MATCH("Fonction recodée",'ETPT A-JUST'!2:2,0)),"Fonctionnaire A-B-CBUR placé SUB"))</f>
        <v>#N/A</v>
      </c>
      <c r="O15" s="107" t="e">
        <f>SUM(SUMIFS(
INDEX( 'ETPT A-JUST'!$A:$ZZ,,MATCH("7.122. COLLÉGIALES AUTRES SECTIONS SPÉCIALISÉES",'ETPT A-JUST'!2:2,0)),
INDEX( 'ETPT A-JUST'!$A:$ZZ,,MATCH("Fonction recodée",'ETPT A-JUST'!2:2,0)),"Fonctionnaire A-B-CBUR placé SUB"))+
SUM(SUMIFS(
INDEX( 'ETPT A-JUST'!$A:$ZZ,,MATCH("7.121. COLLÉGIALES JIRS ÉCO-FI",'ETPT A-JUST'!2:2,0)),
INDEX( 'ETPT A-JUST'!$A:$ZZ,,MATCH("Fonction recodée",'ETPT A-JUST'!2:2,0)),"Fonctionnaire A-B-CBUR placé SUB",
INDEX( 'ETPT A-JUST'!$A:$ZZ,,MATCH("Jirs",'ETPT A-JUST'!2:2,0)),""))</f>
        <v>#N/A</v>
      </c>
      <c r="P15" s="107" t="e">
        <f>SUM(SUMIFS(
INDEX( 'ETPT A-JUST'!$A:$ZZ,,MATCH("3.2. PROTECTION DES MAJEURS",'ETPT A-JUST'!2:2,0)),
INDEX( 'ETPT A-JUST'!$A:$ZZ,,MATCH("Fonction recodée",'ETPT A-JUST'!2:2,0)),"Fonctionnaire A-B-CBUR placé SUB",
INDEX( 'ETPT A-JUST'!$A:$ZZ,,MATCH("TJCPH",'ETPT A-JUST'!2:2,0)),"OUI"))</f>
        <v>#N/A</v>
      </c>
      <c r="Q15" s="107" t="e">
        <f>SUM(SUMIFS(
INDEX( 'ETPT A-JUST'!$A:$ZZ,,MATCH("3. TOTAL CONTENTIEUX DE LA PROTECTION",'ETPT A-JUST'!2:2,0)),
INDEX( 'ETPT A-JUST'!$A:$ZZ,,MATCH("Fonction recodée",'ETPT A-JUST'!2:2,0)),"Fonctionnaire A-B-CBUR placé SUB",
INDEX( 'ETPT A-JUST'!$A:$ZZ,,MATCH("TJCPH",'ETPT A-JUST'!2:2,0)),"OUI"))-
SUM(SUMIFS(
INDEX( 'ETPT A-JUST'!$A:$ZZ,,MATCH("3.2. PROTECTION DES MAJEURS",'ETPT A-JUST'!2:2,0)),
INDEX( 'ETPT A-JUST'!$A:$ZZ,,MATCH("Fonction recodée",'ETPT A-JUST'!2:2,0)),"Fonctionnaire A-B-CBUR placé SUB",
INDEX( 'ETPT A-JUST'!$A:$ZZ,,MATCH("TJCPH",'ETPT A-JUST'!2:2,0)),"OUI"))-
SUM(SUMIFS(
INDEX( 'ETPT A-JUST'!$A:$ZZ,,MATCH("3.43. INJONCTIONS DE PAYER",'ETPT A-JUST'!2:2,0)),
INDEX( 'ETPT A-JUST'!$A:$ZZ,,MATCH("Fonction recodée",'ETPT A-JUST'!2:2,0)),"Fonctionnaire A-B-CBUR placé SUB",
INDEX( 'ETPT A-JUST'!$A:$ZZ,,MATCH("TJCPH",'ETPT A-JUST'!2:2,0)),"OUI"))-
SUM(SUMIFS(
INDEX( 'ETPT A-JUST'!$A:$ZZ,,MATCH("3.44. SAISIE DES RÉMUNÉRATIONS",'ETPT A-JUST'!2:2,0)),
INDEX( 'ETPT A-JUST'!$A:$ZZ,,MATCH("Fonction recodée",'ETPT A-JUST'!2:2,0)),"Fonctionnaire A-B-CBUR placé SUB",
INDEX( 'ETPT A-JUST'!$A:$ZZ,,MATCH("TJCPH",'ETPT A-JUST'!2:2,0)),"OUI"))</f>
        <v>#N/A</v>
      </c>
      <c r="R15" s="107" t="e">
        <f>SUM(SUMIFS(
INDEX( 'ETPT A-JUST'!$A:$ZZ,,MATCH("6. TOTAL JUGES DES ENFANTS",'ETPT A-JUST'!2:2,0)),
INDEX( 'ETPT A-JUST'!$A:$ZZ,,MATCH("Fonction recodée",'ETPT A-JUST'!2:2,0)),"Fonctionnaire A-B-CBUR placé SUB"))+
SUM(SUMIFS(
INDEX( 'ETPT A-JUST'!$A:$ZZ,,MATCH("8. TOTAL JUGES D'INSTRUCTION",'ETPT A-JUST'!2:2,0)),
INDEX( 'ETPT A-JUST'!$A:$ZZ,,MATCH("Fonction recodée",'ETPT A-JUST'!2:2,0)),"Fonctionnaire A-B-CBUR placé SUB"))+
SUM(SUMIFS(
INDEX( 'ETPT A-JUST'!$A:$ZZ,,MATCH("9. TOTAL JAP",'ETPT A-JUST'!2:2,0)),
INDEX( 'ETPT A-JUST'!$A:$ZZ,,MATCH("Fonction recodée",'ETPT A-JUST'!2:2,0)),"Fonctionnaire A-B-CBUR placé SUB"))+
SUM(SUMIFS(
INDEX( 'ETPT A-JUST'!$A:$ZZ,,MATCH("10. TOTAL JLD PÉNAL",'ETPT A-JUST'!2:2,0)),
INDEX( 'ETPT A-JUST'!$A:$ZZ,,MATCH("Fonction recodée",'ETPT A-JUST'!2:2,0)),"Fonctionnaire A-B-CBUR placé SUB"))</f>
        <v>#N/A</v>
      </c>
      <c r="S15" s="107" t="e">
        <f>SUM(SUMIFS(
INDEX( 'ETPT A-JUST'!$A:$ZZ,,MATCH("3.43. INJONCTIONS DE PAYER",'ETPT A-JUST'!2:2,0)),
INDEX( 'ETPT A-JUST'!$A:$ZZ,,MATCH("Fonction recodée",'ETPT A-JUST'!2:2,0)),"Fonctionnaire A-B-CBUR placé SUB",
INDEX( 'ETPT A-JUST'!$A:$ZZ,,MATCH("TJCPH",'ETPT A-JUST'!2:2,0)),"OUI"))+
SUM(SUMIFS(
INDEX( 'ETPT A-JUST'!$A:$ZZ,,MATCH("3.44. SAISIE DES RÉMUNÉRATIONS",'ETPT A-JUST'!2:2,0)),
INDEX( 'ETPT A-JUST'!$A:$ZZ,,MATCH("Fonction recodée",'ETPT A-JUST'!2:2,0)),"Fonctionnaire A-B-CBUR placé SUB",
INDEX( 'ETPT A-JUST'!$A:$ZZ,,MATCH("TJCPH",'ETPT A-JUST'!2:2,0)),"OUI"))</f>
        <v>#N/A</v>
      </c>
      <c r="T15" s="107" t="e">
        <f>SUM(SUMIFS(
INDEX( 'ETPT A-JUST'!$A:$ZZ,,MATCH("4.0. CONTENTIEUX GÉNÉRAL &lt;10.000€",'ETPT A-JUST'!2:2,0)),
INDEX( 'ETPT A-JUST'!$A:$ZZ,,MATCH("Fonction recodée",'ETPT A-JUST'!2:2,0)),"Fonctionnaire A-B-CBUR placé SUB",
INDEX( 'ETPT A-JUST'!$A:$ZZ,,MATCH("TJCPH",'ETPT A-JUST'!2:2,0)),"OUI"))</f>
        <v>#N/A</v>
      </c>
      <c r="U15" s="107" t="e">
        <f>SUM(SUMIFS(
INDEX( 'ETPT A-JUST'!$A:$ZZ,,MATCH("1. TOTAL CONTENTIEUX SOCIAL",'ETPT A-JUST'!2:2,0)),
INDEX( 'ETPT A-JUST'!$A:$ZZ,,MATCH("Fonction recodée",'ETPT A-JUST'!2:2,0)),"Fonctionnaire A-B-CBUR placé SUB",
INDEX( 'ETPT A-JUST'!$A:$ZZ,,MATCH("TJCPH",'ETPT A-JUST'!2:2,0)),"OUI"))</f>
        <v>#N/A</v>
      </c>
      <c r="V15" s="111" t="e">
        <f>SUM(SUMIFS(
INDEX( 'ETPT A-JUST'!$A:$ZZ,,MATCH("2. TOTAL CONTENTIEUX JAF",'ETPT A-JUST'!2:2,0)),
INDEX( 'ETPT A-JUST'!$A:$ZZ,,MATCH("Fonction recodée",'ETPT A-JUST'!2:2,0)),"Fonctionnaire A-B-CBUR placé SUB",
INDEX( 'ETPT A-JUST'!$A:$ZZ,,MATCH("TJCPH",'ETPT A-JUST'!2:2,0)),"OUI"))+
SUM(SUMIFS(
INDEX( 'ETPT A-JUST'!$A:$ZZ,,MATCH("4. TOTAL CIVIL NON SPÉCIALISÉ",'ETPT A-JUST'!2:2,0)),
INDEX( 'ETPT A-JUST'!$A:$ZZ,,MATCH("Fonction recodée",'ETPT A-JUST'!2:2,0)),"Fonctionnaire A-B-CBUR placé SUB",
INDEX( 'ETPT A-JUST'!$A:$ZZ,,MATCH("TJCPH",'ETPT A-JUST'!2:2,0)),"OUI"))+
SUM(SUMIFS(
INDEX( 'ETPT A-JUST'!$A:$ZZ,,MATCH("5. TOTAL JLD CIVIL",'ETPT A-JUST'!2:2,0)),
INDEX( 'ETPT A-JUST'!$A:$ZZ,,MATCH("Fonction recodée",'ETPT A-JUST'!2:2,0)),"Fonctionnaire A-B-CBUR placé SUB"))+
_xlfn.IFNA(SUM(SUMIFS(
INDEX( 'ETPT A-JUST'!$A:$ZZ,,MATCH("13. TOTAL CONTENTIEUX LOCAUX SPÉCIFIQUES",'ETPT A-JUST'!2:2,0)),
INDEX( 'ETPT A-JUST'!$A:$ZZ,,MATCH("Fonction recodée",'ETPT A-JUST'!2:2,0)),"Fonctionnaire A-B-CBUR placé SUB",
INDEX( 'ETPT A-JUST'!$A:$ZZ,,MATCH("TJCPH",'ETPT A-JUST'!2:2,0)),"OUI")),0)-
SUM(SUMIFS(
INDEX( 'ETPT A-JUST'!$A:$ZZ,,MATCH("4.0. CONTENTIEUX GÉNÉRAL &lt;10.000€",'ETPT A-JUST'!2:2,0)),
INDEX( 'ETPT A-JUST'!$A:$ZZ,,MATCH("Fonction recodée",'ETPT A-JUST'!2:2,0)),"Fonctionnaire A-B-CBUR placé SUB",
INDEX( 'ETPT A-JUST'!$A:$ZZ,,MATCH("TJCPH",'ETPT A-JUST'!2:2,0)),"OUI"))+
SUM(SUMIFS(
INDEX( 'ETPT A-JUST'!$A:$ZZ,,MATCH("11.51. ACCUEIL DU JUSTICIABLE (DONT SAUJ)",'ETPT A-JUST'!2:2,0)),
INDEX( 'ETPT A-JUST'!$A:$ZZ,,MATCH("Fonction recodée",'ETPT A-JUST'!2:2,0)),"Fonctionnaire A-B-CBUR placé SUB",
INDEX( 'ETPT A-JUST'!$A:$ZZ,,MATCH("TJCPH",'ETPT A-JUST'!2:2,0)),"OUI"))+
SUM(SUMIFS(
INDEX( 'ETPT A-JUST'!$A:$ZZ,,MATCH("11.1. SOUTIEN (HORS FORMATIONS SUIVIES)",'ETPT A-JUST'!2:2,0)),
INDEX( 'ETPT A-JUST'!$A:$ZZ,,MATCH("Fonction recodée",'ETPT A-JUST'!2:2,0)),"Fonctionnaire A-B-CBUR placé SUB",
INDEX( 'ETPT A-JUST'!$A:$ZZ,,MATCH("TJCPH",'ETPT A-JUST'!2:2,0)),"OUI"))+
SUM(SUMIFS(
INDEX( 'ETPT A-JUST'!$A:$ZZ,,MATCH("11.2. FORMATIONS SUIVIES",'ETPT A-JUST'!2:2,0)),
INDEX( 'ETPT A-JUST'!$A:$ZZ,,MATCH("Fonction recodée",'ETPT A-JUST'!2:2,0)),"Fonctionnaire A-B-CBUR placé SUB",
INDEX( 'ETPT A-JUST'!$A:$ZZ,,MATCH("TJCPH",'ETPT A-JUST'!2:2,0)),"OUI"))+
SUM(SUMIFS(
INDEX( 'ETPT A-JUST'!$A:$ZZ,,MATCH("11.6. AUTRES ACTIVITÉS NON JURIDICTIONNELLES",'ETPT A-JUST'!2:2,0)),
INDEX( 'ETPT A-JUST'!$A:$ZZ,,MATCH("Fonction recodée",'ETPT A-JUST'!2:2,0)),"Fonctionnaire A-B-CBUR placé SUB",
INDEX( 'ETPT A-JUST'!$A:$ZZ,,MATCH("TJCPH",'ETPT A-JUST'!2:2,0)),"OUI"))+
SUM(SUMIFS(
INDEX( 'ETPT A-JUST'!$A:$ZZ,,MATCH("11.3. FORMATIONS DISPENSÉES",'ETPT A-JUST'!2:2,0)),
INDEX( 'ETPT A-JUST'!$A:$ZZ,,MATCH("Fonction recodée",'ETPT A-JUST'!2:2,0)),"Fonctionnaire A-B-CBUR placé SUB",
INDEX( 'ETPT A-JUST'!$A:$ZZ,,MATCH("TJCPH",'ETPT A-JUST'!2:2,0)),"OUI"))+
SUM(SUMIFS(
INDEX( 'ETPT A-JUST'!$A:$ZZ,,MATCH("11.4. ACCÈS AU DROIT ET À LA JUSTICE",'ETPT A-JUST'!2:2,0)),
INDEX( 'ETPT A-JUST'!$A:$ZZ,,MATCH("Fonction recodée",'ETPT A-JUST'!2:2,0)),"Fonctionnaire A-B-CBUR placé SUB",
INDEX( 'ETPT A-JUST'!$A:$ZZ,,MATCH("TJCPH",'ETPT A-JUST'!2:2,0)),"OUI"))+
SUMIFS(
INDEX( 'ETPT A-JUST'!$A:$ZZ,,MATCH("7. TOTAL SIÈGE PÉNAL",'ETPT A-JUST'!2:2,0)),
INDEX( 'ETPT A-JUST'!$A:$ZZ,,MATCH("Fonction recodée",'ETPT A-JUST'!2:2,0)),"Fonctionnaire A-B-CBUR placé SUB")+
SUMIFS(
INDEX( 'ETPT A-JUST'!$A:$ZZ,,MATCH("11.10. AUTRES FONCTIONNAIRES AFFECTÉS AU PARQUET",'ETPT A-JUST'!2:2,0)),
INDEX( 'ETPT A-JUST'!$A:$ZZ,,MATCH("Fonction recodée",'ETPT A-JUST'!2:2,0)),"Fonctionnaire A-B-CBUR placé SUB")-
SUMIFS(
INDEX( 'ETPT A-JUST'!$A:$ZZ,,MATCH("7.5. COUR D'ASSISES HORS JIRS",'ETPT A-JUST'!2:2,0)),
INDEX( 'ETPT A-JUST'!$A:$ZZ,,MATCH("Fonction recodée",'ETPT A-JUST'!2:2,0)),"Fonctionnaire A-B-CBUR placé SUB")-
SUMIFS(
INDEX( 'ETPT A-JUST'!$A:$ZZ,,MATCH("7.51. COUR D'ASSISES JIRS",'ETPT A-JUST'!2:2,0)),
INDEX( 'ETPT A-JUST'!$A:$ZZ,,MATCH("Fonction recodée",'ETPT A-JUST'!2:2,0)),"Fonctionnaire A-B-CBUR placé SUB")-
SUMIFS(
INDEX( 'ETPT A-JUST'!$A:$ZZ,,MATCH("7.52. COUR CRIMINELLE",'ETPT A-JUST'!2:2,0)),
INDEX( 'ETPT A-JUST'!$A:$ZZ,,MATCH("Fonction recodée",'ETPT A-JUST'!2:2,0)),"Fonctionnaire A-B-CBUR placé SUB")-
SUMIFS(
INDEX( 'ETPT A-JUST'!$A:$ZZ,,MATCH("7.121. COLLÉGIALES JIRS ÉCO-FI",'ETPT A-JUST'!2:2,0)),
INDEX( 'ETPT A-JUST'!$A:$ZZ,,MATCH("Fonction recodée",'ETPT A-JUST'!2:2,0)),"Fonctionnaire A-B-CBUR placé SUB")-
SUMIFS(
INDEX( 'ETPT A-JUST'!$A:$ZZ,,MATCH("7.12. COLLÉGIALES JIRS CRIM-ORG",'ETPT A-JUST'!2:2,0)),
INDEX( 'ETPT A-JUST'!$A:$ZZ,,MATCH("Fonction recodée",'ETPT A-JUST'!2:2,0)),"Fonctionnaire A-B-CBUR placé SUB")-
SUMIFS(
INDEX( 'ETPT A-JUST'!$A:$ZZ,,MATCH("7.122. COLLÉGIALES AUTRES SECTIONS SPÉCIALISÉES",'ETPT A-JUST'!2:2,0)),
INDEX( 'ETPT A-JUST'!$A:$ZZ,,MATCH("Fonction recodée",'ETPT A-JUST'!2:2,0)),"Fonctionnaire A-B-CBUR placé SUB")</f>
        <v>#N/A</v>
      </c>
      <c r="W15" s="109">
        <f t="shared" si="4"/>
        <v>0</v>
      </c>
      <c r="X15" s="111" t="e">
        <f>SUM(SUMIFS(
INDEX( 'ETPT A-JUST'!$A:$ZZ,,MATCH("3.2. PROTECTION DES MAJEURS",'ETPT A-JUST'!2:2,0)),
INDEX( 'ETPT A-JUST'!$A:$ZZ,,MATCH("Fonction recodée",'ETPT A-JUST'!2:2,0)),"Magistrat placé SUB",
INDEX( 'ETPT A-JUST'!$A:$ZZ,,MATCH("TJCPH",'ETPT A-JUST'!2:2,0)),"OUI"))</f>
        <v>#N/A</v>
      </c>
      <c r="Y15" s="111" t="e">
        <f>MAX(0,SUM(SUMIFS(
INDEX( 'ETPT A-JUST'!$A:$ZZ,,MATCH("3. TOTAL CONTENTIEUX DE LA PROTECTION",'ETPT A-JUST'!2:2,0)),
INDEX( 'ETPT A-JUST'!$A:$ZZ,,MATCH("Fonction recodée",'ETPT A-JUST'!2:2,0)),"Magistrat placé SUB",
INDEX( 'ETPT A-JUST'!$A:$ZZ,,MATCH("TJCPH",'ETPT A-JUST'!2:2,0)),"OUI"))-
SUM(SUMIFS(
INDEX( 'ETPT A-JUST'!$A:$ZZ,,MATCH("3.2. PROTECTION DES MAJEURS",'ETPT A-JUST'!2:2,0)),
INDEX( 'ETPT A-JUST'!$A:$ZZ,,MATCH("Fonction recodée",'ETPT A-JUST'!2:2,0)),"Magistrat placé SUB",
INDEX( 'ETPT A-JUST'!$A:$ZZ,,MATCH("TJCPH",'ETPT A-JUST'!2:2,0)),"OUI"))-
SUM(SUMIFS(
INDEX( 'ETPT A-JUST'!$A:$ZZ,,MATCH("3.43. INJONCTIONS DE PAYER",'ETPT A-JUST'!2:2,0)),
INDEX( 'ETPT A-JUST'!$A:$ZZ,,MATCH("Fonction recodée",'ETPT A-JUST'!2:2,0)),"Magistrat placé SUB",
INDEX( 'ETPT A-JUST'!$A:$ZZ,,MATCH("TJCPH",'ETPT A-JUST'!2:2,0)),"OUI"))-
SUM(SUMIFS(
INDEX( 'ETPT A-JUST'!$A:$ZZ,,MATCH("3.44. SAISIE DES RÉMUNÉRATIONS",'ETPT A-JUST'!2:2,0)),
INDEX( 'ETPT A-JUST'!$A:$ZZ,,MATCH("Fonction recodée",'ETPT A-JUST'!2:2,0)),"Magistrat placé SUB",
INDEX( 'ETPT A-JUST'!$A:$ZZ,,MATCH("TJCPH",'ETPT A-JUST'!2:2,0)),"OUI")))</f>
        <v>#N/A</v>
      </c>
      <c r="Z15" s="111" t="e">
        <f>SUM(SUMIFS(
INDEX( 'ETPT A-JUST'!$A:$ZZ,,MATCH("8.1. SERVICE GÉNÉRAL",'ETPT A-JUST'!2:2,0)),
INDEX( 'ETPT A-JUST'!$A:$ZZ,,MATCH("Fonction recodée",'ETPT A-JUST'!2:2,0)),"Magistrat placé SUB"))</f>
        <v>#N/A</v>
      </c>
      <c r="AA15" s="111" t="e">
        <f>SUM(SUMIFS(
INDEX( 'ETPT A-JUST'!$A:$ZZ,,MATCH("8.2. JIRS ÉCO-FI",'ETPT A-JUST'!2:2,0)),
INDEX( 'ETPT A-JUST'!$A:$ZZ,,MATCH("Fonction recodée",'ETPT A-JUST'!2:2,0)),"Magistrat placé SUB"))</f>
        <v>#N/A</v>
      </c>
      <c r="AB15" s="111" t="e">
        <f>SUM(SUMIFS(
INDEX( 'ETPT A-JUST'!$A:$ZZ,,MATCH("8.3. JIRS CRIM-ORG",'ETPT A-JUST'!2:2,0)),
INDEX( 'ETPT A-JUST'!$A:$ZZ,,MATCH("Fonction recodée",'ETPT A-JUST'!2:2,0)),"Magistrat placé SUB"))</f>
        <v>#N/A</v>
      </c>
      <c r="AC15" s="111" t="e">
        <f>SUM(SUMIFS(
INDEX( 'ETPT A-JUST'!$A:$ZZ,,MATCH("8.4. AUTRES SECTIONS SPÉCIALISÉES",'ETPT A-JUST'!2:2,0)),
INDEX( 'ETPT A-JUST'!$A:$ZZ,,MATCH("Fonction recodée",'ETPT A-JUST'!2:2,0)),"Magistrat placé SUB"))+
SUM(SUMIFS(
INDEX( 'ETPT A-JUST'!$A:$ZZ,,MATCH("8.11. ECO-FI HORS JIRS",'ETPT A-JUST'!2:2,0)),
INDEX( 'ETPT A-JUST'!$A:$ZZ,,MATCH("Fonction recodée",'ETPT A-JUST'!2:2,0)),"Magistrat placé SUB"))</f>
        <v>#N/A</v>
      </c>
      <c r="AD15" s="111" t="e">
        <f>SUM(SUMIFS(
INDEX( 'ETPT A-JUST'!$A:$ZZ,,MATCH("9. TOTAL JAP",'ETPT A-JUST'!2:2,0)),
INDEX( 'ETPT A-JUST'!$A:$ZZ,,MATCH("Fonction recodée",'ETPT A-JUST'!2:2,0)),"Magistrat placé SUB"))</f>
        <v>#N/A</v>
      </c>
      <c r="AE15" s="111" t="e">
        <f>SUM(SUMIFS(
INDEX( 'ETPT A-JUST'!$A:$ZZ,,MATCH("6.1. ACTIVITÉ CIVILE",'ETPT A-JUST'!2:2,0)),
INDEX( 'ETPT A-JUST'!$A:$ZZ,,MATCH("Fonction recodée",'ETPT A-JUST'!2:2,0)),"Magistrat placé SUB"))+
SUM(SUMIFS(
INDEX( 'ETPT A-JUST'!$A:$ZZ,,MATCH("6.2. ACTIVITÉ PÉNALE",'ETPT A-JUST'!2:2,0)),
INDEX( 'ETPT A-JUST'!$A:$ZZ,,MATCH("Fonction recodée",'ETPT A-JUST'!2:2,0)),"Magistrat placé SUB"))</f>
        <v>#N/A</v>
      </c>
      <c r="AF15" s="111" t="e">
        <f>SUM(SUMIFS(
INDEX( 'ETPT A-JUST'!$A:$ZZ,,MATCH("10. TOTAL JLD PÉNAL",'ETPT A-JUST'!2:2,0)),
INDEX( 'ETPT A-JUST'!$A:$ZZ,,MATCH("Fonction recodée",'ETPT A-JUST'!2:2,0)),"Magistrat placé SUB"))</f>
        <v>#N/A</v>
      </c>
      <c r="AG15" s="109">
        <f t="shared" si="2"/>
        <v>0</v>
      </c>
      <c r="AH15" s="111" t="e">
        <f>SUM(SUMIFS(
INDEX( 'ETPT A-JUST'!$A:$ZZ,,MATCH("7.5. COUR D'ASSISES HORS JIRS",'ETPT A-JUST'!2:2,0)),
INDEX( 'ETPT A-JUST'!$A:$ZZ,,MATCH("Fonction recodée",'ETPT A-JUST'!2:2,0)),"Magistrat placé SUB"))+
SUM(SUMIFS(
INDEX( 'ETPT A-JUST'!$A:$ZZ,,MATCH("7.51. COUR D'ASSISES JIRS",'ETPT A-JUST'!2:2,0)),
INDEX( 'ETPT A-JUST'!$A:$ZZ,,MATCH("Fonction recodée",'ETPT A-JUST'!2:2,0)),"Magistrat placé SUB"))</f>
        <v>#N/A</v>
      </c>
      <c r="AI15" s="111" t="e">
        <f>SUM(SUMIFS(
INDEX( 'ETPT A-JUST'!$A:$ZZ,,MATCH("7.52. COUR CRIMINELLE",'ETPT A-JUST'!2:2,0)),
INDEX( 'ETPT A-JUST'!$A:$ZZ,,MATCH("Fonction recodée",'ETPT A-JUST'!2:2,0)),"Magistrat placé SUB"))</f>
        <v>#N/A</v>
      </c>
      <c r="AJ15" s="111" t="e">
        <f>SUM(SUMIFS(
INDEX( 'ETPT A-JUST'!$A:$ZZ,,MATCH("7.121. COLLÉGIALES JIRS ÉCO-FI",'ETPT A-JUST'!2:2,0)),
INDEX( 'ETPT A-JUST'!$A:$ZZ,,MATCH("Fonction recodée",'ETPT A-JUST'!2:2,0)),"Magistrat placé SUB",
INDEX( 'ETPT A-JUST'!$A:$ZZ,,MATCH("Jirs",'ETPT A-JUST'!2:2,0)),"x"))</f>
        <v>#N/A</v>
      </c>
      <c r="AK15" s="111" t="e">
        <f>SUM(SUMIFS(
INDEX( 'ETPT A-JUST'!$A:$ZZ,,MATCH("7.12. COLLÉGIALES JIRS CRIM-ORG",'ETPT A-JUST'!2:2,0)),
INDEX( 'ETPT A-JUST'!$A:$ZZ,,MATCH("Fonction recodée",'ETPT A-JUST'!2:2,0)),"Magistrat placé SUB"))</f>
        <v>#N/A</v>
      </c>
      <c r="AL15" s="111" t="e">
        <f>SUM(SUMIFS(
INDEX( 'ETPT A-JUST'!$A:$ZZ,,MATCH("7.122. COLLÉGIALES AUTRES SECTIONS SPÉCIALISÉES",'ETPT A-JUST'!2:2,0)),
INDEX( 'ETPT A-JUST'!$A:$ZZ,,MATCH("Fonction recodée",'ETPT A-JUST'!2:2,0)),"Magistrat placé SUB"))+
SUM(SUMIFS(
INDEX( 'ETPT A-JUST'!$A:$ZZ,,MATCH("7.121. COLLÉGIALES JIRS ÉCO-FI",'ETPT A-JUST'!2:2,0)),
INDEX( 'ETPT A-JUST'!$A:$ZZ,,MATCH("Fonction recodée",'ETPT A-JUST'!2:2,0)),"Magistrat placé SUB",
INDEX( 'ETPT A-JUST'!$A:$ZZ,,MATCH("Jirs",'ETPT A-JUST'!2:2,0)),""))</f>
        <v>#N/A</v>
      </c>
      <c r="AM15" s="111" t="e">
        <f>SUM(SUMIFS(
INDEX( 'ETPT A-JUST'!$A:$ZZ,,MATCH("7.6. TRIBUNAL DE POLICE",'ETPT A-JUST'!2:2,0)),
INDEX( 'ETPT A-JUST'!$A:$ZZ,,MATCH("Fonction recodée",'ETPT A-JUST'!2:2,0)),"Magistrat placé SUB"))+
SUM(SUMIFS(
INDEX( 'ETPT A-JUST'!$A:$ZZ,,MATCH("7.7. OP CONTRAVENTIONNELLES",'ETPT A-JUST'!2:2,0)),
INDEX( 'ETPT A-JUST'!$A:$ZZ,,MATCH("Fonction recodée",'ETPT A-JUST'!2:2,0)),"Magistrat placé SUB"))</f>
        <v>#N/A</v>
      </c>
      <c r="AN15" s="111" t="e">
        <f>SUM(SUMIFS(
INDEX( 'ETPT A-JUST'!$A:$ZZ,,MATCH("1.1. DÉPARTAGE PRUD'HOMAL",'ETPT A-JUST'!2:2,0)),
INDEX( 'ETPT A-JUST'!$A:$ZZ,,MATCH("Fonction recodée",'ETPT A-JUST'!2:2,0)),"Magistrat placé SUB",
INDEX( 'ETPT A-JUST'!$A:$ZZ,,MATCH("TJCPH",'ETPT A-JUST'!2:2,0)),"OUI"))</f>
        <v>#N/A</v>
      </c>
      <c r="AO15" s="111" t="e">
        <f>SUM(SUMIFS(
INDEX( 'ETPT A-JUST'!$A:$ZZ,,MATCH("4.0. CONTENTIEUX GÉNÉRAL &lt;10.000€",'ETPT A-JUST'!2:2,0)),
INDEX( 'ETPT A-JUST'!$A:$ZZ,,MATCH("Fonction recodée",'ETPT A-JUST'!2:2,0)),"Magistrat placé SUB",
INDEX( 'ETPT A-JUST'!$A:$ZZ,,MATCH("TJCPH",'ETPT A-JUST'!2:2,0)),"OUI"))</f>
        <v>#N/A</v>
      </c>
      <c r="AP15" s="111" t="e">
        <f>SUM(SUMIFS(
INDEX( 'ETPT A-JUST'!$A:$ZZ,,MATCH("3.43. INJONCTIONS DE PAYER",'ETPT A-JUST'!2:2,0)),
INDEX( 'ETPT A-JUST'!$A:$ZZ,,MATCH("Fonction recodée",'ETPT A-JUST'!2:2,0)),"Magistrat placé SUB",
INDEX( 'ETPT A-JUST'!$A:$ZZ,,MATCH("TJCPH",'ETPT A-JUST'!2:2,0)),"OUI"))+
SUM(SUMIFS(
INDEX( 'ETPT A-JUST'!$A:$ZZ,,MATCH("3.44. SAISIE DES RÉMUNÉRATIONS",'ETPT A-JUST'!2:2,0)),
INDEX( 'ETPT A-JUST'!$A:$ZZ,,MATCH("Fonction recodée",'ETPT A-JUST'!2:2,0)),"Magistrat placé SUB",
INDEX( 'ETPT A-JUST'!$A:$ZZ,,MATCH("TJCPH",'ETPT A-JUST'!2:2,0)),"OUI"))</f>
        <v>#N/A</v>
      </c>
      <c r="AQ15" s="111" t="e">
        <f>MAX(0,SUM(SUMIFS(
INDEX( 'ETPT A-JUST'!$A:$ZZ,,MATCH("1. TOTAL CONTENTIEUX SOCIAL",'ETPT A-JUST'!2:2,0)),
INDEX( 'ETPT A-JUST'!$A:$ZZ,,MATCH("Fonction recodée",'ETPT A-JUST'!2:2,0)),"Magistrat placé SUB",
INDEX( 'ETPT A-JUST'!$A:$ZZ,,MATCH("TJCPH",'ETPT A-JUST'!2:2,0)),"OUI"))-
SUM(SUMIFS(
INDEX( 'ETPT A-JUST'!$A:$ZZ,,MATCH("1.1. DÉPARTAGE PRUD'HOMAL",'ETPT A-JUST'!2:2,0)),
INDEX( 'ETPT A-JUST'!$A:$ZZ,,MATCH("Fonction recodée",'ETPT A-JUST'!2:2,0)),"Magistrat placé SUB",
INDEX( 'ETPT A-JUST'!$A:$ZZ,,MATCH("TJCPH",'ETPT A-JUST'!2:2,0)),"OUI")))</f>
        <v>#N/A</v>
      </c>
      <c r="AR15" s="111" t="e">
        <f>SUM(SUMIFS(
INDEX( 'ETPT A-JUST'!$A:$ZZ,,MATCH("2. TOTAL CONTENTIEUX JAF",'ETPT A-JUST'!2:2,0)),
INDEX( 'ETPT A-JUST'!$A:$ZZ,,MATCH("Fonction recodée",'ETPT A-JUST'!2:2,0)),"Magistrat placé SUB"))</f>
        <v>#N/A</v>
      </c>
      <c r="AS15" s="125"/>
      <c r="AT15" s="126" t="e">
        <f>SUM(SUMIFS(
INDEX( 'ETPT A-JUST'!$A:$ZZ,,MATCH("5. TOTAL JLD CIVIL",'ETPT A-JUST'!2:2,0)),
INDEX( 'ETPT A-JUST'!$A:$ZZ,,MATCH("Fonction recodée",'ETPT A-JUST'!2:2,0)),"Magistrat placé SUB"))</f>
        <v>#N/A</v>
      </c>
      <c r="AU15" s="111" t="e">
        <f>SUM(SUMIFS(
INDEX( 'ETPT A-JUST'!$A:$ZZ,,MATCH("4. TOTAL CIVIL NON SPÉCIALISÉ",'ETPT A-JUST'!2:2,0)),
INDEX( 'ETPT A-JUST'!$A:$ZZ,,MATCH("Fonction recodée",'ETPT A-JUST'!2:2,0)),"Magistrat placé SUB",
INDEX( 'ETPT A-JUST'!$A:$ZZ,,MATCH("TJCPH",'ETPT A-JUST'!2:2,0)),"OUI"))-
SUM(SUMIFS(
INDEX( 'ETPT A-JUST'!$A:$ZZ,,MATCH("4.0. CONTENTIEUX GÉNÉRAL &lt;10.000€",'ETPT A-JUST'!2:2,0)),
INDEX( 'ETPT A-JUST'!$A:$ZZ,,MATCH("Fonction recodée",'ETPT A-JUST'!2:2,0)),"Magistrat placé SUB",
INDEX( 'ETPT A-JUST'!$A:$ZZ,,MATCH("TJCPH",'ETPT A-JUST'!2:2,0)),"OUI"))+
_xlfn.IFNA(SUM(SUMIFS(
INDEX( 'ETPT A-JUST'!$A:$ZZ,,MATCH("13. TOTAL CONTENTIEUX LOCAUX SPÉCIFIQUES",'ETPT A-JUST'!2:2,0)),
INDEX( 'ETPT A-JUST'!$A:$ZZ,,MATCH("Fonction recodée",'ETPT A-JUST'!2:2,0)),"Magistrat placé SUB",
INDEX( 'ETPT A-JUST'!$A:$ZZ,,MATCH("TJCPH",'ETPT A-JUST'!2:2,0)),"OUI")),0)+
SUM(SUMIFS(
INDEX( 'ETPT A-JUST'!$A:$ZZ,,MATCH("11.51. ACCUEIL DU JUSTICIABLE (DONT SAUJ)",'ETPT A-JUST'!2:2,0)),
INDEX( 'ETPT A-JUST'!$A:$ZZ,,MATCH("Fonction recodée",'ETPT A-JUST'!2:2,0)),"Magistrat placé SUB",
INDEX( 'ETPT A-JUST'!$A:$ZZ,,MATCH("TJCPH",'ETPT A-JUST'!2:2,0)),"OUI"))+
SUM(SUMIFS(
INDEX( 'ETPT A-JUST'!$A:$ZZ,,MATCH("11.1. SOUTIEN (HORS FORMATIONS SUIVIES)",'ETPT A-JUST'!2:2,0)),
INDEX( 'ETPT A-JUST'!$A:$ZZ,,MATCH("Fonction recodée",'ETPT A-JUST'!2:2,0)),"Magistrat placé SUB",
INDEX( 'ETPT A-JUST'!$A:$ZZ,,MATCH("TJCPH",'ETPT A-JUST'!2:2,0)),"OUI"))+
SUM(SUMIFS(
INDEX( 'ETPT A-JUST'!$A:$ZZ,,MATCH("11.2. FORMATIONS SUIVIES",'ETPT A-JUST'!2:2,0)),
INDEX( 'ETPT A-JUST'!$A:$ZZ,,MATCH("Fonction recodée",'ETPT A-JUST'!2:2,0)),"Magistrat placé SUB",
INDEX( 'ETPT A-JUST'!$A:$ZZ,,MATCH("TJCPH",'ETPT A-JUST'!2:2,0)),"OUI"))+
SUM(SUMIFS(
INDEX( 'ETPT A-JUST'!$A:$ZZ,,MATCH("11.6. AUTRES ACTIVITÉS NON JURIDICTIONNELLES",'ETPT A-JUST'!2:2,0)),
INDEX( 'ETPT A-JUST'!$A:$ZZ,,MATCH("Fonction recodée",'ETPT A-JUST'!2:2,0)),"Magistrat placé SUB",
INDEX( 'ETPT A-JUST'!$A:$ZZ,,MATCH("TJCPH",'ETPT A-JUST'!2:2,0)),"OUI"))+
SUM(SUMIFS(
INDEX( 'ETPT A-JUST'!$A:$ZZ,,MATCH("11.3. FORMATIONS DISPENSÉES",'ETPT A-JUST'!2:2,0)),
INDEX( 'ETPT A-JUST'!$A:$ZZ,,MATCH("Fonction recodée",'ETPT A-JUST'!2:2,0)),"Magistrat placé SUB",
INDEX( 'ETPT A-JUST'!$A:$ZZ,,MATCH("TJCPH",'ETPT A-JUST'!2:2,0)),"OUI"))+
SUM(SUMIFS(
INDEX( 'ETPT A-JUST'!$A:$ZZ,,MATCH("11.4. ACCÈS AU DROIT ET À LA JUSTICE",'ETPT A-JUST'!2:2,0)),
INDEX( 'ETPT A-JUST'!$A:$ZZ,,MATCH("Fonction recodée",'ETPT A-JUST'!2:2,0)),"Magistrat placé SUB",
INDEX( 'ETPT A-JUST'!$A:$ZZ,,MATCH("TJCPH",'ETPT A-JUST'!2:2,0)),"OUI"))+
SUM(SUMIFS(
INDEX( 'ETPT A-JUST'!$A:$ZZ,,MATCH("11.5. CSM",'ETPT A-JUST'!2:2,0)),
INDEX( 'ETPT A-JUST'!$A:$ZZ,,MATCH("Fonction recodée",'ETPT A-JUST'!2:2,0)),"Magistrat placé SUB",
INDEX( 'ETPT A-JUST'!$A:$ZZ,,MATCH("TJCPH",'ETPT A-JUST'!2:2,0)),"OUI"))
+
SUM(SUMIFS(
INDEX( 'ETPT A-JUST'!$A:$ZZ,,MATCH("7. TOTAL SIÈGE PÉNAL",'ETPT A-JUST'!2:2,0)),
INDEX( 'ETPT A-JUST'!$A:$ZZ,,MATCH("Fonction recodée",'ETPT A-JUST'!2:2,0)),"Magistrat placé SUB"))-
SUM(SUMIFS(
INDEX( 'ETPT A-JUST'!$A:$ZZ,,MATCH("7.5. COUR D'ASSISES HORS JIRS",'ETPT A-JUST'!2:2,0)),
INDEX( 'ETPT A-JUST'!$A:$ZZ,,MATCH("Fonction recodée",'ETPT A-JUST'!2:2,0)),"Magistrat placé SUB"))-
SUM(SUMIFS(
INDEX( 'ETPT A-JUST'!$A:$ZZ,,MATCH("7.51. COUR D'ASSISES JIRS",'ETPT A-JUST'!2:2,0)),
INDEX( 'ETPT A-JUST'!$A:$ZZ,,MATCH("Fonction recodée",'ETPT A-JUST'!2:2,0)),"Magistrat placé SUB"))-
SUM(SUMIFS(
INDEX( 'ETPT A-JUST'!$A:$ZZ,,MATCH("7.52. COUR CRIMINELLE",'ETPT A-JUST'!2:2,0)),
INDEX( 'ETPT A-JUST'!$A:$ZZ,,MATCH("Fonction recodée",'ETPT A-JUST'!2:2,0)),"Magistrat placé SUB"))-
SUM(SUMIFS(
INDEX( 'ETPT A-JUST'!$A:$ZZ,,MATCH("7.121. COLLÉGIALES JIRS ÉCO-FI",'ETPT A-JUST'!2:2,0)),
INDEX( 'ETPT A-JUST'!$A:$ZZ,,MATCH("Fonction recodée",'ETPT A-JUST'!2:2,0)),"Magistrat placé SUB"))-
SUM(SUMIFS(
INDEX( 'ETPT A-JUST'!$A:$ZZ,,MATCH("7.12. COLLÉGIALES JIRS CRIM-ORG",'ETPT A-JUST'!2:2,0)),
INDEX( 'ETPT A-JUST'!$A:$ZZ,,MATCH("Fonction recodée",'ETPT A-JUST'!2:2,0)),"Magistrat placé SUB"))-
SUM(SUMIFS(
INDEX( 'ETPT A-JUST'!$A:$ZZ,,MATCH("7.122. COLLÉGIALES AUTRES SECTIONS SPÉCIALISÉES",'ETPT A-JUST'!2:2,0)),
INDEX( 'ETPT A-JUST'!$A:$ZZ,,MATCH("Fonction recodée",'ETPT A-JUST'!2:2,0)),"Magistrat placé SUB"))-
SUM(SUMIFS(
INDEX( 'ETPT A-JUST'!$A:$ZZ,,MATCH("7.6. TRIBUNAL DE POLICE",'ETPT A-JUST'!2:2,0)),
INDEX( 'ETPT A-JUST'!$A:$ZZ,,MATCH("Fonction recodée",'ETPT A-JUST'!2:2,0)),"Magistrat placé SUB"))-
SUM(SUMIFS(
INDEX( 'ETPT A-JUST'!$A:$ZZ,,MATCH("7.7. OP CONTRAVENTIONNELLES",'ETPT A-JUST'!2:2,0)),
INDEX( 'ETPT A-JUST'!$A:$ZZ,,MATCH("Fonction recodée",'ETPT A-JUST'!2:2,0)),"Magistrat placé SUB"))</f>
        <v>#N/A</v>
      </c>
      <c r="AV15" s="109">
        <f t="shared" si="3"/>
        <v>0</v>
      </c>
      <c r="AW15" s="113"/>
      <c r="AX15" s="113"/>
      <c r="AY15" s="113"/>
      <c r="AZ15" s="113"/>
      <c r="BA15" s="113"/>
      <c r="BB15" s="113"/>
      <c r="BC15" s="113"/>
      <c r="BD15" s="113"/>
      <c r="BE15" s="113"/>
      <c r="BF15" s="109">
        <f t="shared" si="5"/>
        <v>0</v>
      </c>
    </row>
    <row r="16" ht="14.25" customHeight="1" spans="1:58" s="92" customFormat="1" x14ac:dyDescent="0.25">
      <c r="A16" s="102"/>
      <c r="B16" s="127"/>
      <c r="C16" s="127"/>
      <c r="D16" s="127"/>
      <c r="E16" s="127"/>
      <c r="F16" s="128" t="s">
        <v>2245</v>
      </c>
      <c r="G16" s="129">
        <f>_xlfn.AGGREGATE(9,6,G5:G15)</f>
        <v>0</v>
      </c>
      <c r="H16" s="129">
        <f>_xlfn.AGGREGATE(9,6,H5:H15)</f>
        <v>0</v>
      </c>
      <c r="I16" s="129">
        <f t="shared" ref="I16:AV16" si="6">_xlfn.AGGREGATE(9,6,I5:I15)</f>
        <v>0</v>
      </c>
      <c r="J16" s="129">
        <f t="shared" si="6"/>
        <v>0</v>
      </c>
      <c r="K16" s="129">
        <f t="shared" si="6"/>
        <v>0</v>
      </c>
      <c r="L16" s="129">
        <f t="shared" si="6"/>
        <v>0</v>
      </c>
      <c r="M16" s="129">
        <f t="shared" si="6"/>
        <v>0</v>
      </c>
      <c r="N16" s="129">
        <f t="shared" si="6"/>
        <v>0</v>
      </c>
      <c r="O16" s="129">
        <f t="shared" si="6"/>
        <v>0</v>
      </c>
      <c r="P16" s="129">
        <f t="shared" si="6"/>
        <v>0</v>
      </c>
      <c r="Q16" s="129">
        <f t="shared" si="6"/>
        <v>0</v>
      </c>
      <c r="R16" s="129">
        <f t="shared" si="6"/>
        <v>0</v>
      </c>
      <c r="S16" s="129">
        <f t="shared" si="6"/>
        <v>0</v>
      </c>
      <c r="T16" s="129">
        <f t="shared" si="6"/>
        <v>0</v>
      </c>
      <c r="U16" s="129">
        <f t="shared" si="6"/>
        <v>0</v>
      </c>
      <c r="V16" s="129">
        <f t="shared" si="6"/>
        <v>0</v>
      </c>
      <c r="W16" s="129">
        <f t="shared" si="6"/>
        <v>0</v>
      </c>
      <c r="X16" s="129">
        <f t="shared" si="6"/>
        <v>0</v>
      </c>
      <c r="Y16" s="129">
        <f t="shared" si="6"/>
        <v>0</v>
      </c>
      <c r="Z16" s="129">
        <f t="shared" si="6"/>
        <v>0</v>
      </c>
      <c r="AA16" s="129">
        <f t="shared" si="6"/>
        <v>0</v>
      </c>
      <c r="AB16" s="129">
        <f t="shared" si="6"/>
        <v>0</v>
      </c>
      <c r="AC16" s="129">
        <f t="shared" si="6"/>
        <v>0</v>
      </c>
      <c r="AD16" s="129">
        <f t="shared" si="6"/>
        <v>0</v>
      </c>
      <c r="AE16" s="129">
        <f t="shared" si="6"/>
        <v>0</v>
      </c>
      <c r="AF16" s="129">
        <f t="shared" si="6"/>
        <v>0</v>
      </c>
      <c r="AG16" s="129">
        <f t="shared" si="6"/>
        <v>0</v>
      </c>
      <c r="AH16" s="129">
        <f t="shared" si="6"/>
        <v>0</v>
      </c>
      <c r="AI16" s="129">
        <f t="shared" si="6"/>
        <v>0</v>
      </c>
      <c r="AJ16" s="129">
        <f t="shared" si="6"/>
        <v>0</v>
      </c>
      <c r="AK16" s="129">
        <f t="shared" si="6"/>
        <v>0</v>
      </c>
      <c r="AL16" s="129">
        <f t="shared" si="6"/>
        <v>0</v>
      </c>
      <c r="AM16" s="129">
        <f t="shared" si="6"/>
        <v>0</v>
      </c>
      <c r="AN16" s="129">
        <f t="shared" si="6"/>
        <v>0</v>
      </c>
      <c r="AO16" s="129">
        <f t="shared" si="6"/>
        <v>0</v>
      </c>
      <c r="AP16" s="129">
        <f t="shared" si="6"/>
        <v>0</v>
      </c>
      <c r="AQ16" s="129">
        <f t="shared" si="6"/>
        <v>0</v>
      </c>
      <c r="AR16" s="129">
        <f t="shared" si="6"/>
        <v>0</v>
      </c>
      <c r="AS16" s="129">
        <f t="shared" si="6"/>
        <v>0</v>
      </c>
      <c r="AT16" s="129">
        <f t="shared" si="6"/>
        <v>0</v>
      </c>
      <c r="AU16" s="129">
        <f t="shared" si="6"/>
        <v>0</v>
      </c>
      <c r="AV16" s="129">
        <f t="shared" si="6"/>
        <v>0</v>
      </c>
      <c r="AW16" s="129">
        <f t="shared" ref="AW16:BF16" si="7">SUM(AW5:AW15)</f>
        <v>0</v>
      </c>
      <c r="AX16" s="129">
        <f t="shared" si="7"/>
        <v>0</v>
      </c>
      <c r="AY16" s="129">
        <f t="shared" si="7"/>
        <v>0</v>
      </c>
      <c r="AZ16" s="129">
        <f t="shared" si="7"/>
        <v>0</v>
      </c>
      <c r="BA16" s="129">
        <f t="shared" si="7"/>
        <v>0</v>
      </c>
      <c r="BB16" s="129">
        <f t="shared" si="7"/>
        <v>0</v>
      </c>
      <c r="BC16" s="129">
        <f t="shared" si="7"/>
        <v>0</v>
      </c>
      <c r="BD16" s="129">
        <f t="shared" si="7"/>
        <v>0</v>
      </c>
      <c r="BE16" s="129">
        <f t="shared" si="7"/>
        <v>0</v>
      </c>
      <c r="BF16" s="109">
        <f t="shared" si="7"/>
        <v>0</v>
      </c>
    </row>
    <row r="17" ht="9" customHeight="1" spans="1:58" s="92" customFormat="1" x14ac:dyDescent="0.25">
      <c r="A17" s="130"/>
      <c r="B17" s="131"/>
      <c r="C17" s="131"/>
      <c r="D17" s="131"/>
      <c r="E17" s="131"/>
      <c r="F17" s="132"/>
      <c r="G17" s="133"/>
      <c r="H17" s="133"/>
      <c r="I17" s="133"/>
      <c r="J17" s="133"/>
      <c r="K17" s="133"/>
      <c r="L17" s="133"/>
      <c r="M17" s="133"/>
      <c r="N17" s="133"/>
      <c r="O17" s="133"/>
      <c r="P17" s="133"/>
      <c r="Q17" s="133"/>
      <c r="R17" s="133"/>
      <c r="S17" s="133"/>
      <c r="T17" s="133"/>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33"/>
      <c r="AT17" s="133"/>
      <c r="AU17" s="133"/>
      <c r="AV17" s="133"/>
      <c r="AW17" s="133"/>
      <c r="AX17" s="133"/>
      <c r="AY17" s="133"/>
      <c r="AZ17" s="133"/>
      <c r="BA17" s="133"/>
      <c r="BB17" s="133"/>
      <c r="BC17" s="133"/>
      <c r="BD17" s="133"/>
      <c r="BE17" s="133"/>
      <c r="BF17" s="133"/>
    </row>
    <row r="18" spans="23:48" x14ac:dyDescent="0.25">
      <c r="W18" s="134"/>
      <c r="AV18" s="134"/>
    </row>
    <row r="19" spans="4:48" x14ac:dyDescent="0.25">
      <c r="D19" s="135" t="s">
        <v>2246</v>
      </c>
      <c r="AV19" s="136"/>
    </row>
    <row r="20" ht="28" customHeight="1" spans="6:48" x14ac:dyDescent="0.25">
      <c r="F20" s="137" t="s">
        <v>2247</v>
      </c>
      <c r="G20" s="138" t="e">
        <f t="array" ref="G20">SUM(SUMIFS(
INDEX( 'ETPT A-JUST'!$A:$ZZ,,MATCH("12. TOTAL INDISPONIBILITÉ",'ETPT A-JUST'!2:2,0)),
INDEX( 'ETPT A-JUST'!$A:$ZZ,,MATCH("Fonction recodée",'ETPT A-JUST'!2:2,0)),{"Fonctionnaire CTECH placé ADD";"Fonctionnaire CTECH placé SUB"},
INDEX( 'ETPT A-JUST'!$A:$ZZ,,MATCH("TJCPH",'ETPT A-JUST'!2:2,0)),"OUI"))</f>
        <v>#N/A</v>
      </c>
      <c r="H20" s="139"/>
      <c r="I20" s="139"/>
      <c r="J20" s="139"/>
      <c r="K20" s="139"/>
      <c r="L20" s="139"/>
      <c r="M20" s="139"/>
      <c r="N20" s="139"/>
      <c r="O20" s="139"/>
      <c r="P20" s="139"/>
      <c r="Q20" s="139"/>
      <c r="R20" s="139"/>
      <c r="S20" s="139"/>
      <c r="T20" s="139"/>
      <c r="U20" s="140" t="s">
        <v>2248</v>
      </c>
      <c r="V20" s="138" t="e">
        <f t="array" ref="V20">SUM(SUMIFS(
INDEX( 'ETPT A-JUST'!$A:$ZZ,,MATCH("12. TOTAL INDISPONIBILITÉ",'ETPT A-JUST'!2:2,0)),
INDEX( 'ETPT A-JUST'!$A:$ZZ,,MATCH("Fonction recodée",'ETPT A-JUST'!2:2,0)),{"Fonctionnaire A-B-CBUR placé ADD";"Fonctionnaire A-B-CBUR placé SUB"},
INDEX( 'ETPT A-JUST'!$A:$ZZ,,MATCH("TJCPH",'ETPT A-JUST'!2:2,0)),"OUI"))</f>
        <v>#N/A</v>
      </c>
      <c r="W20" s="141"/>
      <c r="X20" s="139"/>
      <c r="Y20" s="139"/>
      <c r="Z20" s="139"/>
      <c r="AA20" s="139"/>
      <c r="AB20" s="139"/>
      <c r="AC20" s="139"/>
      <c r="AD20" s="139"/>
      <c r="AE20" s="139"/>
      <c r="AF20" s="139"/>
      <c r="AG20" s="139"/>
      <c r="AH20" s="139"/>
      <c r="AI20" s="139"/>
      <c r="AJ20" s="139"/>
      <c r="AK20" s="139"/>
      <c r="AL20" s="139"/>
      <c r="AM20" s="139"/>
      <c r="AN20" s="139"/>
      <c r="AO20" s="139"/>
      <c r="AP20" s="139"/>
      <c r="AQ20" s="139"/>
      <c r="AR20" s="139"/>
      <c r="AS20" s="140" t="s">
        <v>2249</v>
      </c>
      <c r="AT20" s="140"/>
      <c r="AU20" s="138" t="e">
        <f t="array" ref="AU20">SUM(SUMIFS(
INDEX( 'ETPT A-JUST'!$A:$ZZ,,MATCH("12. TOTAL INDISPONIBILITÉ",'ETPT A-JUST'!2:2,0)),
INDEX( 'ETPT A-JUST'!$A:$ZZ,,MATCH("Fonction recodée",'ETPT A-JUST'!2:2,0)),{"Magistrat placé ADD";"Magistrat placé SUB"},
INDEX( 'ETPT A-JUST'!$A:$ZZ,,MATCH("TJCPH",'ETPT A-JUST'!2:2,0)),"OUI"))</f>
        <v>#N/A</v>
      </c>
      <c r="AV20" s="136"/>
    </row>
    <row r="21" spans="23:47" x14ac:dyDescent="0.25">
      <c r="W21" s="136"/>
      <c r="AU21" s="136"/>
    </row>
    <row r="22" spans="29:29" x14ac:dyDescent="0.25">
      <c r="AC22" s="136"/>
    </row>
    <row r="24" spans="22:22" x14ac:dyDescent="0.25">
      <c r="V24" s="136"/>
    </row>
  </sheetData>
  <mergeCells count="6">
    <mergeCell ref="B1:I1"/>
    <mergeCell ref="H2:H4"/>
    <mergeCell ref="W2:W4"/>
    <mergeCell ref="AG2:AG4"/>
    <mergeCell ref="AV2:AV4"/>
    <mergeCell ref="BF2:BF4"/>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G19"/>
  <sheetViews>
    <sheetView workbookViewId="0" zoomScale="111" zoomScaleNormal="100">
      <pane xSplit="3" ySplit="1" topLeftCell="G2" activePane="bottomRight" state="frozen"/>
      <selection pane="bottomRight" activeCell="D5" sqref="D5"/>
    </sheetView>
  </sheetViews>
  <sheetFormatPr defaultRowHeight="16" outlineLevelRow="0" outlineLevelCol="0" x14ac:dyDescent="0.2" defaultColWidth="11" customHeight="1"/>
  <cols>
    <col min="1" max="3" width="11" style="91" hidden="1" customWidth="1"/>
    <col min="4" max="5" width="11" style="91" customWidth="1"/>
    <col min="6" max="6" width="46.33203125" style="91" customWidth="1"/>
    <col min="7" max="16384" width="11" style="91" customWidth="1"/>
  </cols>
  <sheetData>
    <row r="1" spans="1:33" x14ac:dyDescent="0.25">
      <c r="A1" s="142" t="s">
        <v>2250</v>
      </c>
      <c r="B1" s="142"/>
      <c r="C1" s="142"/>
      <c r="D1" s="142"/>
      <c r="E1" s="142"/>
      <c r="F1" s="142"/>
      <c r="G1" s="142"/>
      <c r="H1" s="142"/>
      <c r="I1" s="92"/>
      <c r="J1" s="92"/>
      <c r="K1" s="92"/>
      <c r="L1" s="92"/>
      <c r="M1" s="92"/>
      <c r="N1" s="92"/>
      <c r="O1" s="143"/>
      <c r="P1" s="143"/>
      <c r="Q1" s="92"/>
      <c r="R1" s="92"/>
      <c r="S1" s="92"/>
      <c r="T1" s="92"/>
      <c r="U1" s="92"/>
      <c r="V1" s="92"/>
      <c r="W1" s="92"/>
      <c r="X1" s="92"/>
      <c r="Y1" s="92"/>
      <c r="Z1" s="143"/>
      <c r="AA1" s="143"/>
      <c r="AB1" s="92"/>
      <c r="AC1" s="92"/>
      <c r="AD1" s="92"/>
      <c r="AE1" s="92"/>
      <c r="AF1" s="92"/>
      <c r="AG1" s="92"/>
    </row>
    <row r="2" spans="1:33" x14ac:dyDescent="0.25">
      <c r="A2" s="94"/>
      <c r="B2" s="94"/>
      <c r="C2" s="94"/>
      <c r="D2" s="94"/>
      <c r="E2" s="94"/>
      <c r="F2" s="94"/>
      <c r="G2" s="95" t="s">
        <v>2116</v>
      </c>
      <c r="H2" s="96" t="s">
        <v>2117</v>
      </c>
      <c r="I2" s="95" t="s">
        <v>2118</v>
      </c>
      <c r="J2" s="95" t="s">
        <v>2118</v>
      </c>
      <c r="K2" s="95" t="s">
        <v>2118</v>
      </c>
      <c r="L2" s="95" t="s">
        <v>2118</v>
      </c>
      <c r="M2" s="95" t="s">
        <v>2118</v>
      </c>
      <c r="N2" s="95" t="s">
        <v>2118</v>
      </c>
      <c r="O2" s="144" t="s">
        <v>2118</v>
      </c>
      <c r="P2" s="144" t="s">
        <v>2118</v>
      </c>
      <c r="Q2" s="95" t="s">
        <v>2118</v>
      </c>
      <c r="R2" s="95" t="s">
        <v>2118</v>
      </c>
      <c r="S2" s="96" t="s">
        <v>2119</v>
      </c>
      <c r="T2" s="95" t="s">
        <v>2120</v>
      </c>
      <c r="U2" s="95" t="s">
        <v>2120</v>
      </c>
      <c r="V2" s="95" t="s">
        <v>2120</v>
      </c>
      <c r="W2" s="95" t="s">
        <v>2120</v>
      </c>
      <c r="X2" s="95" t="s">
        <v>2120</v>
      </c>
      <c r="Y2" s="95" t="s">
        <v>2120</v>
      </c>
      <c r="Z2" s="144" t="s">
        <v>2120</v>
      </c>
      <c r="AA2" s="144" t="s">
        <v>2120</v>
      </c>
      <c r="AB2" s="95" t="s">
        <v>2120</v>
      </c>
      <c r="AC2" s="96" t="s">
        <v>2251</v>
      </c>
      <c r="AD2" s="95" t="s">
        <v>2252</v>
      </c>
      <c r="AE2" s="95" t="s">
        <v>2252</v>
      </c>
      <c r="AF2" s="95" t="s">
        <v>2252</v>
      </c>
      <c r="AG2" s="96" t="s">
        <v>2253</v>
      </c>
    </row>
    <row r="3" ht="36" customHeight="1" spans="1:33" x14ac:dyDescent="0.25">
      <c r="A3" s="94"/>
      <c r="B3" s="94"/>
      <c r="C3" s="94"/>
      <c r="D3" s="94"/>
      <c r="E3" s="94"/>
      <c r="F3" s="94"/>
      <c r="G3" s="95" t="s">
        <v>2126</v>
      </c>
      <c r="H3" s="96"/>
      <c r="I3" s="95" t="s">
        <v>2254</v>
      </c>
      <c r="J3" s="95" t="s">
        <v>2255</v>
      </c>
      <c r="K3" s="95" t="s">
        <v>2256</v>
      </c>
      <c r="L3" s="95" t="s">
        <v>2257</v>
      </c>
      <c r="M3" s="95" t="s">
        <v>2258</v>
      </c>
      <c r="N3" s="95" t="s">
        <v>2259</v>
      </c>
      <c r="O3" s="144" t="s">
        <v>2260</v>
      </c>
      <c r="P3" s="144" t="s">
        <v>2261</v>
      </c>
      <c r="Q3" s="95" t="s">
        <v>2262</v>
      </c>
      <c r="R3" s="95" t="s">
        <v>2139</v>
      </c>
      <c r="S3" s="96"/>
      <c r="T3" s="95" t="s">
        <v>2263</v>
      </c>
      <c r="U3" s="95" t="s">
        <v>2264</v>
      </c>
      <c r="V3" s="95" t="s">
        <v>2265</v>
      </c>
      <c r="W3" s="95" t="s">
        <v>2266</v>
      </c>
      <c r="X3" s="95" t="s">
        <v>2267</v>
      </c>
      <c r="Y3" s="95" t="s">
        <v>2268</v>
      </c>
      <c r="Z3" s="144" t="s">
        <v>2269</v>
      </c>
      <c r="AA3" s="144" t="s">
        <v>2270</v>
      </c>
      <c r="AB3" s="95" t="s">
        <v>2271</v>
      </c>
      <c r="AC3" s="96"/>
      <c r="AD3" s="95" t="s">
        <v>2272</v>
      </c>
      <c r="AE3" s="95" t="s">
        <v>2153</v>
      </c>
      <c r="AF3" s="95" t="s">
        <v>2159</v>
      </c>
      <c r="AG3" s="96"/>
    </row>
    <row r="4" ht="60" customHeight="1" spans="1:33" x14ac:dyDescent="0.25">
      <c r="A4" s="94"/>
      <c r="B4" s="101" t="s">
        <v>2169</v>
      </c>
      <c r="C4" s="101" t="s">
        <v>2170</v>
      </c>
      <c r="D4" s="101" t="s">
        <v>37</v>
      </c>
      <c r="E4" s="101" t="s">
        <v>2171</v>
      </c>
      <c r="F4" s="101" t="s">
        <v>2172</v>
      </c>
      <c r="G4" s="95" t="s">
        <v>2173</v>
      </c>
      <c r="H4" s="96"/>
      <c r="I4" s="95" t="s">
        <v>2273</v>
      </c>
      <c r="J4" s="95" t="s">
        <v>2274</v>
      </c>
      <c r="K4" s="95" t="s">
        <v>2275</v>
      </c>
      <c r="L4" s="95" t="s">
        <v>2276</v>
      </c>
      <c r="M4" s="95" t="s">
        <v>2277</v>
      </c>
      <c r="N4" s="95" t="s">
        <v>2278</v>
      </c>
      <c r="O4" s="144" t="s">
        <v>2279</v>
      </c>
      <c r="P4" s="144" t="s">
        <v>2280</v>
      </c>
      <c r="Q4" s="95" t="s">
        <v>2281</v>
      </c>
      <c r="R4" s="95" t="s">
        <v>2187</v>
      </c>
      <c r="S4" s="96"/>
      <c r="T4" s="95" t="s">
        <v>2282</v>
      </c>
      <c r="U4" s="95" t="s">
        <v>2283</v>
      </c>
      <c r="V4" s="95" t="s">
        <v>2284</v>
      </c>
      <c r="W4" s="95" t="s">
        <v>2285</v>
      </c>
      <c r="X4" s="95" t="s">
        <v>2286</v>
      </c>
      <c r="Y4" s="95" t="s">
        <v>2287</v>
      </c>
      <c r="Z4" s="144" t="s">
        <v>2288</v>
      </c>
      <c r="AA4" s="144" t="s">
        <v>2289</v>
      </c>
      <c r="AB4" s="95" t="s">
        <v>2290</v>
      </c>
      <c r="AC4" s="96"/>
      <c r="AD4" s="95" t="s">
        <v>2291</v>
      </c>
      <c r="AE4" s="95" t="s">
        <v>2202</v>
      </c>
      <c r="AF4" s="95" t="s">
        <v>2209</v>
      </c>
      <c r="AG4" s="96"/>
    </row>
    <row r="5" spans="1:33" x14ac:dyDescent="0.25">
      <c r="A5" s="145" t="s">
        <v>2292</v>
      </c>
      <c r="B5" s="115"/>
      <c r="C5" s="115"/>
      <c r="D5" s="104">
        <f>ETPT_TPRX_DDG!$D$5</f>
        <v>0</v>
      </c>
      <c r="E5" s="115" t="s">
        <v>2220</v>
      </c>
      <c r="F5" s="115" t="s">
        <v>2221</v>
      </c>
      <c r="G5" s="107" t="e">
        <f>SUM(SUMIFS(
INDEX( 'ETPT Format DDG'!$A:$ZZ,,MATCH("1. TOTAL CONTENTIEUX SOCIAL",'ETPT Format DDG'!2:2,0)),
INDEX( 'ETPT Format DDG'!$A:$ZZ,,MATCH("Fonction recodée",'ETPT Format DDG'!2:2,0)),"Fonctionnaire CTECH",
INDEX( 'ETPT Format DDG'!$A:$ZZ,,MATCH("Juridiction",'ETPT Format DDG'!2:2,0)),$D$5))+
SUM(SUMIFS(
INDEX( 'ETPT Format DDG'!$A:$ZZ,,MATCH("2. TOTAL CONTENTIEUX JAF",'ETPT Format DDG'!2:2,0)),
INDEX( 'ETPT Format DDG'!$A:$ZZ,,MATCH("Fonction recodée",'ETPT Format DDG'!2:2,0)),"Fonctionnaire CTECH",
INDEX( 'ETPT Format DDG'!$A:$ZZ,,MATCH("Juridiction",'ETPT Format DDG'!2:2,0)),$D$5))+
SUM(SUMIFS(
INDEX( 'ETPT Format DDG'!$A:$ZZ,,MATCH("3. TOTAL CONTENTIEUX DE LA PROTECTION",'ETPT Format DDG'!2:2,0)),
INDEX( 'ETPT Format DDG'!$A:$ZZ,,MATCH("Fonction recodée",'ETPT Format DDG'!2:2,0)),"Fonctionnaire CTECH",
INDEX( 'ETPT Format DDG'!$A:$ZZ,,MATCH("Juridiction",'ETPT Format DDG'!2:2,0)),$D$5))+
SUM(SUMIFS(
INDEX( 'ETPT Format DDG'!$A:$ZZ,,MATCH("4. TOTAL CIVIL NON SPÉCIALISÉ",'ETPT Format DDG'!2:2,0)),
INDEX( 'ETPT Format DDG'!$A:$ZZ,,MATCH("Fonction recodée",'ETPT Format DDG'!2:2,0)),"Fonctionnaire CTECH",
INDEX( 'ETPT Format DDG'!$A:$ZZ,,MATCH("Juridiction",'ETPT Format DDG'!2:2,0)),$D$5))+
SUM(SUMIFS(
INDEX( 'ETPT Format DDG'!$A:$ZZ,,MATCH("5. TOTAL JLD CIVIL",'ETPT Format DDG'!2:2,0)),
INDEX( 'ETPT Format DDG'!$A:$ZZ,,MATCH("Fonction recodée",'ETPT Format DDG'!2:2,0)),"Fonctionnaire CTECH",
INDEX( 'ETPT Format DDG'!$A:$ZZ,,MATCH("Juridiction",'ETPT Format DDG'!2:2,0)),$D$5))+
SUM(SUMIFS(
INDEX( 'ETPT Format DDG'!$A:$ZZ,,MATCH("6.1. ACTIVITÉ CIVILE",'ETPT Format DDG'!2:2,0)),
INDEX( 'ETPT Format DDG'!$A:$ZZ,,MATCH("Fonction recodée",'ETPT Format DDG'!2:2,0)),"Fonctionnaire CTECH",
INDEX( 'ETPT Format DDG'!$A:$ZZ,,MATCH("Juridiction",'ETPT Format DDG'!2:2,0)),$D$5))+
SUM(SUMIFS(
INDEX( 'ETPT Format DDG'!$A:$ZZ,,MATCH("11.7. FONCTIONNAIRES AFFECTÉS AU CPH",'ETPT Format DDG'!2:2,0)),
INDEX( 'ETPT Format DDG'!$A:$ZZ,,MATCH("Fonction recodée",'ETPT Format DDG'!2:2,0)),"Fonctionnaire CTECH",
INDEX( 'ETPT Format DDG'!$A:$ZZ,,MATCH("Juridiction",'ETPT Format DDG'!2:2,0)),$D$5))+
SUM(SUMIFS(
INDEX( 'ETPT Format DDG'!$A:$ZZ,,MATCH("11.8. FONCTIONNAIRES AFFECTÉS AUX ACTIVITÉS CIVILES ET COMMERCIALES DU PARQUET",'ETPT Format DDG'!2:2,0)),
INDEX( 'ETPT Format DDG'!$A:$ZZ,,MATCH("Fonction recodée",'ETPT Format DDG'!2:2,0)),"Fonctionnaire CTECH",
INDEX( 'ETPT Format DDG'!$A:$ZZ,,MATCH("Juridiction",'ETPT Format DDG'!2:2,0)),$D$5))</f>
        <v>#N/A</v>
      </c>
      <c r="H5" s="146">
        <f>_xlfn.AGGREGATE(9,6,G5)</f>
        <v>0</v>
      </c>
      <c r="I5" s="147"/>
      <c r="J5" s="119" t="e">
        <f>SUM(SUMIFS(
INDEX( 'ETPT Format DDG'!$A:$ZZ,,MATCH("3.43. INJONCTIONS DE PAYER",'ETPT Format DDG'!2:2,0)),
INDEX( 'ETPT Format DDG'!$A:$ZZ,,MATCH("Fonction recodée",'ETPT Format DDG'!2:2,0)),"Fonctionnaire A-B-CBUR",
INDEX( 'ETPT Format DDG'!$A:$ZZ,,MATCH("Juridiction",'ETPT Format DDG'!2:2,0)),$D$5))+
SUM(SUMIFS(
INDEX( 'ETPT Format DDG'!$A:$ZZ,,MATCH("3.44. SAISIE DES RÉMUNÉRATIONS",'ETPT Format DDG'!2:2,0)),
INDEX( 'ETPT Format DDG'!$A:$ZZ,,MATCH("Fonction recodée",'ETPT Format DDG'!2:2,0)),"Fonctionnaire A-B-CBUR",
INDEX( 'ETPT Format DDG'!$A:$ZZ,,MATCH("Juridiction",'ETPT Format DDG'!2:2,0)),$D$5))</f>
        <v>#N/A</v>
      </c>
      <c r="K5" s="107" t="e">
        <f>SUM(SUMIFS(
INDEX( 'ETPT Format DDG'!$A:$ZZ,,MATCH("3. TOTAL CONTENTIEUX DE LA PROTECTION",'ETPT Format DDG'!2:2,0)),
INDEX( 'ETPT Format DDG'!$A:$ZZ,,MATCH("Fonction recodée",'ETPT Format DDG'!2:2,0)),"Fonctionnaire A-B-CBUR",
INDEX( 'ETPT Format DDG'!$A:$ZZ,,MATCH("Juridiction",'ETPT Format DDG'!2:2,0)),$D$5))-
SUM(SUMIFS(
INDEX( 'ETPT Format DDG'!$A:$ZZ,,MATCH("3.2. PROTECTION DES MAJEURS",'ETPT Format DDG'!2:2,0)),
INDEX( 'ETPT Format DDG'!$A:$ZZ,,MATCH("Fonction recodée",'ETPT Format DDG'!2:2,0)),"Fonctionnaire A-B-CBUR",
INDEX( 'ETPT Format DDG'!$A:$ZZ,,MATCH("Juridiction",'ETPT Format DDG'!2:2,0)),$D$5))-
SUM(SUMIFS(
INDEX( 'ETPT Format DDG'!$A:$ZZ,,MATCH("3.43. INJONCTIONS DE PAYER",'ETPT Format DDG'!2:2,0)),
INDEX( 'ETPT Format DDG'!$A:$ZZ,,MATCH("Fonction recodée",'ETPT Format DDG'!2:2,0)),"Fonctionnaire A-B-CBUR",
INDEX( 'ETPT Format DDG'!$A:$ZZ,,MATCH("Juridiction",'ETPT Format DDG'!2:2,0)),$D$5))-
SUM(SUMIFS(
INDEX( 'ETPT Format DDG'!$A:$ZZ,,MATCH("3.44. SAISIE DES RÉMUNÉRATIONS",'ETPT Format DDG'!2:2,0)),
INDEX( 'ETPT Format DDG'!$A:$ZZ,,MATCH("Fonction recodée",'ETPT Format DDG'!2:2,0)),"Fonctionnaire A-B-CBUR",
INDEX( 'ETPT Format DDG'!$A:$ZZ,,MATCH("Juridiction",'ETPT Format DDG'!2:2,0)),$D$5))</f>
        <v>#N/A</v>
      </c>
      <c r="L5" s="107" t="e">
        <f>SUM(SUMIFS(
INDEX( 'ETPT Format DDG'!$A:$ZZ,,MATCH("3.2. PROTECTION DES MAJEURS",'ETPT Format DDG'!2:2,0)),
INDEX( 'ETPT Format DDG'!$A:$ZZ,,MATCH("Fonction recodée",'ETPT Format DDG'!2:2,0)),"Fonctionnaire A-B-CBUR",
INDEX( 'ETPT Format DDG'!$A:$ZZ,,MATCH("Juridiction",'ETPT Format DDG'!2:2,0)),$D$5))</f>
        <v>#N/A</v>
      </c>
      <c r="M5" s="148"/>
      <c r="N5" s="148"/>
      <c r="O5" s="125"/>
      <c r="P5" s="125"/>
      <c r="Q5" s="149"/>
      <c r="R5" s="111" t="e">
        <f>SUM(SUMIFS(
INDEX( 'ETPT Format DDG'!$A:$ZZ,,MATCH("1. TOTAL CONTENTIEUX SOCIAL",'ETPT Format DDG'!2:2,0)),
INDEX( 'ETPT Format DDG'!$A:$ZZ,,MATCH("Fonction recodée",'ETPT Format DDG'!2:2,0)),"Fonctionnaire A-B-CBUR",
INDEX( 'ETPT Format DDG'!$A:$ZZ,,MATCH("Juridiction",'ETPT Format DDG'!2:2,0)),$D$5))+
SUM(SUMIFS(
INDEX( 'ETPT Format DDG'!$A:$ZZ,,MATCH("2. TOTAL CONTENTIEUX JAF",'ETPT Format DDG'!2:2,0)),
INDEX( 'ETPT Format DDG'!$A:$ZZ,,MATCH("Fonction recodée",'ETPT Format DDG'!2:2,0)),"Fonctionnaire A-B-CBUR",
INDEX( 'ETPT Format DDG'!$A:$ZZ,,MATCH("Juridiction",'ETPT Format DDG'!2:2,0)),$D$5))+
SUM(SUMIFS(
INDEX( 'ETPT Format DDG'!$A:$ZZ,,MATCH("4. TOTAL CIVIL NON SPÉCIALISÉ",'ETPT Format DDG'!2:2,0)),
INDEX( 'ETPT Format DDG'!$A:$ZZ,,MATCH("Fonction recodée",'ETPT Format DDG'!2:2,0)),"Fonctionnaire A-B-CBUR",
INDEX( 'ETPT Format DDG'!$A:$ZZ,,MATCH("Juridiction",'ETPT Format DDG'!2:2,0)),$D$5))+
SUM(SUMIFS(
INDEX( 'ETPT Format DDG'!$A:$ZZ,,MATCH("5. TOTAL JLD CIVIL",'ETPT Format DDG'!2:2,0)),
INDEX( 'ETPT Format DDG'!$A:$ZZ,,MATCH("Fonction recodée",'ETPT Format DDG'!2:2,0)),"Fonctionnaire A-B-CBUR",
INDEX( 'ETPT Format DDG'!$A:$ZZ,,MATCH("Juridiction",'ETPT Format DDG'!2:2,0)),$D$5))+
SUM(SUMIFS(
INDEX( 'ETPT Format DDG'!$A:$ZZ,,MATCH("6.1. ACTIVITÉ CIVILE",'ETPT Format DDG'!2:2,0)),
INDEX( 'ETPT Format DDG'!$A:$ZZ,,MATCH("Fonction recodée",'ETPT Format DDG'!2:2,0)),"Fonctionnaire A-B-CBUR",
INDEX( 'ETPT Format DDG'!$A:$ZZ,,MATCH("Juridiction",'ETPT Format DDG'!2:2,0)),$D$5))+
SUM(SUMIFS(
INDEX( 'ETPT Format DDG'!$A:$ZZ,,MATCH("11.8. FONCTIONNAIRES AFFECTÉS AUX ACTIVITÉS CIVILES ET COMMERCIALES DU PARQUET",'ETPT Format DDG'!2:2,0)),
INDEX( 'ETPT Format DDG'!$A:$ZZ,,MATCH("Fonction recodée",'ETPT Format DDG'!2:2,0)),"Fonctionnaire A-B-CBUR",
INDEX( 'ETPT Format DDG'!$A:$ZZ,,MATCH("Juridiction",'ETPT Format DDG'!2:2,0)),$D$5))</f>
        <v>#N/A</v>
      </c>
      <c r="S5" s="146">
        <f>_xlfn.AGGREGATE(9,6,I5:R5)</f>
        <v>0</v>
      </c>
      <c r="T5" s="122"/>
      <c r="U5" s="119" t="e">
        <f t="array" ref="U5">SUM(SUMIFS(
INDEX( 'ETPT Format DDG'!$A:$ZZ,,MATCH("3.43. INJONCTIONS DE PAYER",'ETPT Format DDG'!2:2,0)),
INDEX( 'ETPT Format DDG'!$A:$ZZ,,MATCH("Fonction recodée",'ETPT Format DDG'!2:2,0)),{"Magistrat SIEGE S";"Magistrat SIEGE NS"},
INDEX( 'ETPT Format DDG'!$A:$ZZ,,MATCH("Juridiction",'ETPT Format DDG'!2:2,0)),$D$5))+
SUM(SUMIFS(
INDEX( 'ETPT Format DDG'!$A:$ZZ,,MATCH("3.44. SAISIE DES RÉMUNÉRATIONS",'ETPT Format DDG'!2:2,0)),
INDEX( 'ETPT Format DDG'!$A:$ZZ,,MATCH("Fonction recodée",'ETPT Format DDG'!2:2,0)),{"Magistrat SIEGE S";"Magistrat SIEGE NS"},
INDEX( 'ETPT Format DDG'!$A:$ZZ,,MATCH("Juridiction",'ETPT Format DDG'!2:2,0)),$D$5))</f>
        <v>#N/A</v>
      </c>
      <c r="V5" s="107" t="e">
        <f t="array" ref="V5">SUM(SUMIFS(
INDEX( 'ETPT Format DDG'!$A:$ZZ,,MATCH("3. TOTAL CONTENTIEUX DE LA PROTECTION",'ETPT Format DDG'!2:2,0)),
INDEX( 'ETPT Format DDG'!$A:$ZZ,,MATCH("Fonction recodée",'ETPT Format DDG'!2:2,0)),{"Magistrat SIEGE S";"Magistrat SIEGE NS"},
INDEX( 'ETPT Format DDG'!$A:$ZZ,,MATCH("Juridiction",'ETPT Format DDG'!2:2,0)),$D$5))-
SUM(SUMIFS(
INDEX( 'ETPT Format DDG'!$A:$ZZ,,MATCH("3.2. PROTECTION DES MAJEURS",'ETPT Format DDG'!2:2,0)),
INDEX( 'ETPT Format DDG'!$A:$ZZ,,MATCH("Fonction recodée",'ETPT Format DDG'!2:2,0)),{"Magistrat SIEGE S";"Magistrat SIEGE NS"},
INDEX( 'ETPT Format DDG'!$A:$ZZ,,MATCH("Juridiction",'ETPT Format DDG'!2:2,0)),$D$5))-
SUM(SUMIFS(
INDEX( 'ETPT Format DDG'!$A:$ZZ,,MATCH("3.43. INJONCTIONS DE PAYER",'ETPT Format DDG'!2:2,0)),
INDEX( 'ETPT Format DDG'!$A:$ZZ,,MATCH("Fonction recodée",'ETPT Format DDG'!2:2,0)),{"Magistrat SIEGE S";"Magistrat SIEGE NS"},
INDEX( 'ETPT Format DDG'!$A:$ZZ,,MATCH("Juridiction",'ETPT Format DDG'!2:2,0)),$D$5))-
SUM(SUMIFS(
INDEX( 'ETPT Format DDG'!$A:$ZZ,,MATCH("3.44. SAISIE DES RÉMUNÉRATIONS",'ETPT Format DDG'!2:2,0)),
INDEX( 'ETPT Format DDG'!$A:$ZZ,,MATCH("Fonction recodée",'ETPT Format DDG'!2:2,0)),{"Magistrat SIEGE S";"Magistrat SIEGE NS"},
INDEX( 'ETPT Format DDG'!$A:$ZZ,,MATCH("Juridiction",'ETPT Format DDG'!2:2,0)),$D$5))</f>
        <v>#N/A</v>
      </c>
      <c r="W5" s="107" t="e">
        <f t="array" ref="W5">SUM(SUMIFS(
INDEX( 'ETPT Format DDG'!$A:$ZZ,,MATCH("3.2. PROTECTION DES MAJEURS",'ETPT Format DDG'!2:2,0)),
INDEX( 'ETPT Format DDG'!$A:$ZZ,,MATCH("Fonction recodée",'ETPT Format DDG'!2:2,0)),{"Magistrat SIEGE S";"Magistrat SIEGE NS"},
INDEX( 'ETPT Format DDG'!$A:$ZZ,,MATCH("Juridiction",'ETPT Format DDG'!2:2,0)),$D$5))</f>
        <v>#N/A</v>
      </c>
      <c r="X5" s="150"/>
      <c r="Y5" s="150"/>
      <c r="Z5" s="125"/>
      <c r="AA5" s="125"/>
      <c r="AB5" s="150"/>
      <c r="AC5" s="146">
        <f>_xlfn.AGGREGATE(9,6,T5:AB5)</f>
        <v>0</v>
      </c>
      <c r="AD5" s="150"/>
      <c r="AE5" s="111" t="e">
        <f t="array" ref="AE5">SUM(SUMIFS(
INDEX( 'ETPT Format DDG'!$A:$ZZ,,MATCH("1.1. DÉPARTAGE PRUD'HOMAL",'ETPT Format DDG'!2:2,0)),
INDEX( 'ETPT Format DDG'!$A:$ZZ,,MATCH("Fonction recodée",'ETPT Format DDG'!2:2,0)),{"Magistrat SIEGE S";"Magistrat SIEGE NS"},
INDEX( 'ETPT Format DDG'!$A:$ZZ,,MATCH("Juridiction",'ETPT Format DDG'!2:2,0)),$D$5))</f>
        <v>#N/A</v>
      </c>
      <c r="AF5" s="111" t="e">
        <f t="array" ref="AF5">SUM(SUMIFS(
INDEX( 'ETPT Format DDG'!$A:$ZZ,,MATCH("1. TOTAL CONTENTIEUX SOCIAL",'ETPT Format DDG'!2:2,0)),
INDEX( 'ETPT Format DDG'!$A:$ZZ,,MATCH("Fonction recodée",'ETPT Format DDG'!2:2,0)),{"Magistrat SIEGE S";"Magistrat SIEGE NS"},
INDEX( 'ETPT Format DDG'!$A:$ZZ,,MATCH("Juridiction",'ETPT Format DDG'!2:2,0)),$D$5))-
SUM(SUMIFS(
INDEX( 'ETPT Format DDG'!$A:$ZZ,,MATCH("1.1. DÉPARTAGE PRUD'HOMAL",'ETPT Format DDG'!2:2,0)),
INDEX( 'ETPT Format DDG'!$A:$ZZ,,MATCH("Fonction recodée",'ETPT Format DDG'!2:2,0)),{"Magistrat SIEGE S";"Magistrat SIEGE NS"},
INDEX( 'ETPT Format DDG'!$A:$ZZ,,MATCH("Juridiction",'ETPT Format DDG'!2:2,0)),$D$5))+
SUM(SUMIFS(
INDEX( 'ETPT Format DDG'!$A:$ZZ,,MATCH("4. TOTAL CIVIL NON SPÉCIALISÉ",'ETPT Format DDG'!2:2,0)),
INDEX( 'ETPT Format DDG'!$A:$ZZ,,MATCH("Fonction recodée",'ETPT Format DDG'!2:2,0)),{"Magistrat SIEGE S";"Magistrat SIEGE NS"},
INDEX( 'ETPT Format DDG'!$A:$ZZ,,MATCH("Juridiction",'ETPT Format DDG'!2:2,0)),$D$5))</f>
        <v>#N/A</v>
      </c>
      <c r="AG5" s="146">
        <f>_xlfn.AGGREGATE(9,6,AD5:AF5)</f>
        <v>0</v>
      </c>
    </row>
    <row r="6" spans="1:33" x14ac:dyDescent="0.25">
      <c r="A6" s="151" t="s">
        <v>2292</v>
      </c>
      <c r="B6" s="152"/>
      <c r="C6" s="152"/>
      <c r="D6" s="152">
        <f t="shared" ref="D6:D15" si="0">$D$5</f>
        <v>0</v>
      </c>
      <c r="E6" s="152" t="s">
        <v>2222</v>
      </c>
      <c r="F6" s="152" t="s">
        <v>2223</v>
      </c>
      <c r="G6" s="153"/>
      <c r="H6" s="146">
        <f t="shared" ref="H6:H15" si="1">_xlfn.AGGREGATE(9,6,G6)</f>
        <v>0</v>
      </c>
      <c r="I6" s="154"/>
      <c r="J6" s="125"/>
      <c r="K6" s="125"/>
      <c r="L6" s="125"/>
      <c r="M6" s="125"/>
      <c r="N6" s="153"/>
      <c r="O6" s="150"/>
      <c r="P6" s="150"/>
      <c r="Q6" s="150"/>
      <c r="R6" s="148"/>
      <c r="S6" s="146">
        <f t="shared" ref="S6:S14" si="2">_xlfn.AGGREGATE(9,6,I6:R6)</f>
        <v>0</v>
      </c>
      <c r="T6" s="125"/>
      <c r="U6" s="125"/>
      <c r="V6" s="125"/>
      <c r="W6" s="125"/>
      <c r="X6" s="125"/>
      <c r="Y6" s="125"/>
      <c r="Z6" s="150"/>
      <c r="AA6" s="150"/>
      <c r="AB6" s="150"/>
      <c r="AC6" s="146">
        <f t="shared" ref="AC6:AC15" si="3">_xlfn.AGGREGATE(9,6,T6:AB6)</f>
        <v>0</v>
      </c>
      <c r="AD6" s="150"/>
      <c r="AE6" s="125"/>
      <c r="AF6" s="125"/>
      <c r="AG6" s="146">
        <f t="shared" ref="AG6:AG14" si="4">_xlfn.AGGREGATE(9,6,AD6:AF6)</f>
        <v>0</v>
      </c>
    </row>
    <row r="7" spans="1:33" x14ac:dyDescent="0.25">
      <c r="A7" s="145" t="s">
        <v>2292</v>
      </c>
      <c r="B7" s="115"/>
      <c r="C7" s="115"/>
      <c r="D7" s="115">
        <f t="shared" si="0"/>
        <v>0</v>
      </c>
      <c r="E7" s="115" t="s">
        <v>2225</v>
      </c>
      <c r="F7" s="115" t="s">
        <v>2226</v>
      </c>
      <c r="G7" s="153"/>
      <c r="H7" s="146">
        <f t="shared" si="1"/>
        <v>0</v>
      </c>
      <c r="I7" s="147"/>
      <c r="J7" s="122"/>
      <c r="K7" s="122"/>
      <c r="L7" s="122"/>
      <c r="M7" s="122"/>
      <c r="N7" s="124"/>
      <c r="O7" s="125"/>
      <c r="P7" s="125"/>
      <c r="Q7" s="122"/>
      <c r="R7" s="122"/>
      <c r="S7" s="146">
        <f t="shared" si="2"/>
        <v>0</v>
      </c>
      <c r="T7" s="122"/>
      <c r="U7" s="122"/>
      <c r="V7" s="122"/>
      <c r="W7" s="122"/>
      <c r="X7" s="125"/>
      <c r="Y7" s="125"/>
      <c r="Z7" s="125"/>
      <c r="AA7" s="125"/>
      <c r="AB7" s="125"/>
      <c r="AC7" s="146">
        <f t="shared" si="3"/>
        <v>0</v>
      </c>
      <c r="AD7" s="122"/>
      <c r="AE7" s="122"/>
      <c r="AF7" s="119" t="e">
        <f t="array" ref="AF7">SUM(SUMIFS(
INDEX( 'ETPT Format DDG'!$A:$ZZ,,MATCH("11.5. CSM",'ETPT Format DDG'!2:2,0)),
INDEX( 'ETPT Format DDG'!$A:$ZZ,,MATCH("Fonction recodée",'ETPT Format DDG'!2:2,0)),{"Magistrat SIEGE S";"Magistrat SIEGE NS"},
INDEX( 'ETPT Format DDG'!$A:$ZZ,,MATCH("Juridiction",'ETPT Format DDG'!2:2,0)),$D$5))</f>
        <v>#N/A</v>
      </c>
      <c r="AG7" s="146">
        <f t="shared" si="4"/>
        <v>0</v>
      </c>
    </row>
    <row r="8" spans="1:33" x14ac:dyDescent="0.25">
      <c r="A8" s="145" t="s">
        <v>2292</v>
      </c>
      <c r="B8" s="115"/>
      <c r="C8" s="115"/>
      <c r="D8" s="115">
        <f t="shared" si="0"/>
        <v>0</v>
      </c>
      <c r="E8" s="115" t="s">
        <v>2229</v>
      </c>
      <c r="F8" s="115" t="s">
        <v>2230</v>
      </c>
      <c r="G8" s="119" t="e">
        <f>SUM(SUMIFS(
INDEX( 'ETPT Format DDG'!$A:$ZZ,,MATCH("11.51. ACCUEIL DU JUSTICIABLE (DONT SAUJ)",'ETPT Format DDG'!2:2,0)),
INDEX( 'ETPT Format DDG'!$A:$ZZ,,MATCH("Fonction recodée",'ETPT Format DDG'!2:2,0)),"Fonctionnaire CTECH",
INDEX( 'ETPT Format DDG'!$A:$ZZ,,MATCH("Juridiction",'ETPT Format DDG'!2:2,0)),$D$5))</f>
        <v>#N/A</v>
      </c>
      <c r="H8" s="146">
        <f t="shared" si="1"/>
        <v>0</v>
      </c>
      <c r="I8" s="147"/>
      <c r="J8" s="122"/>
      <c r="K8" s="122"/>
      <c r="L8" s="122"/>
      <c r="M8" s="122"/>
      <c r="N8" s="124"/>
      <c r="O8" s="125"/>
      <c r="P8" s="125"/>
      <c r="Q8" s="122"/>
      <c r="R8" s="119" t="e">
        <f>SUM(SUMIFS(
INDEX( 'ETPT Format DDG'!$A:$ZZ,,MATCH("11.51. ACCUEIL DU JUSTICIABLE (DONT SAUJ)",'ETPT Format DDG'!2:2,0)),
INDEX( 'ETPT Format DDG'!$A:$ZZ,,MATCH("Fonction recodée",'ETPT Format DDG'!2:2,0)),"Fonctionnaire A-B-CBUR",
INDEX( 'ETPT Format DDG'!$A:$ZZ,,MATCH("Juridiction",'ETPT Format DDG'!2:2,0)),$D$5))</f>
        <v>#N/A</v>
      </c>
      <c r="S8" s="146">
        <f t="shared" si="2"/>
        <v>0</v>
      </c>
      <c r="T8" s="122"/>
      <c r="U8" s="122"/>
      <c r="V8" s="122"/>
      <c r="W8" s="122"/>
      <c r="X8" s="125"/>
      <c r="Y8" s="125"/>
      <c r="Z8" s="125"/>
      <c r="AA8" s="125"/>
      <c r="AB8" s="125"/>
      <c r="AC8" s="146">
        <f t="shared" si="3"/>
        <v>0</v>
      </c>
      <c r="AD8" s="122"/>
      <c r="AE8" s="122"/>
      <c r="AF8" s="119" t="e">
        <f t="array" ref="AF8">SUM(SUMIFS(
INDEX( 'ETPT Format DDG'!$A:$ZZ,,MATCH("11.51. ACCUEIL DU JUSTICIABLE (DONT SAUJ)",'ETPT Format DDG'!2:2,0)),
INDEX( 'ETPT Format DDG'!$A:$ZZ,,MATCH("Fonction recodée",'ETPT Format DDG'!2:2,0)),{"Magistrat SIEGE S";"Magistrat SIEGE NS"},
INDEX( 'ETPT Format DDG'!$A:$ZZ,,MATCH("Juridiction",'ETPT Format DDG'!2:2,0)),$D$5))</f>
        <v>#N/A</v>
      </c>
      <c r="AG8" s="146">
        <f t="shared" si="4"/>
        <v>0</v>
      </c>
    </row>
    <row r="9" spans="1:33" x14ac:dyDescent="0.25">
      <c r="A9" s="145" t="s">
        <v>2292</v>
      </c>
      <c r="B9" s="115"/>
      <c r="C9" s="115"/>
      <c r="D9" s="115">
        <f t="shared" si="0"/>
        <v>0</v>
      </c>
      <c r="E9" s="115" t="s">
        <v>2231</v>
      </c>
      <c r="F9" s="115" t="s">
        <v>2232</v>
      </c>
      <c r="G9" s="119" t="e">
        <f>SUM(SUMIFS(
INDEX( 'ETPT Format DDG'!$A:$ZZ,,MATCH("11.1. SOUTIEN (HORS FORMATIONS SUIVIES)",'ETPT Format DDG'!2:2,0)),
INDEX( 'ETPT Format DDG'!$A:$ZZ,,MATCH("Fonction recodée",'ETPT Format DDG'!2:2,0)),"Fonctionnaire CTECH",
INDEX( 'ETPT Format DDG'!$A:$ZZ,,MATCH("Juridiction",'ETPT Format DDG'!2:2,0)),$D$5))+
SUM(SUMIFS(
INDEX( 'ETPT Format DDG'!$A:$ZZ,,MATCH("11.2. FORMATIONS SUIVIES",'ETPT Format DDG'!2:2,0)),
INDEX( 'ETPT Format DDG'!$A:$ZZ,,MATCH("Fonction recodée",'ETPT Format DDG'!2:2,0)),"Fonctionnaire CTECH",
INDEX( 'ETPT Format DDG'!$A:$ZZ,,MATCH("Juridiction",'ETPT Format DDG'!2:2,0)),$D$5))+
SUM(SUMIFS(
INDEX( 'ETPT Format DDG'!$A:$ZZ,,MATCH("11.6. AUTRES ACTIVITÉS NON JURIDICTIONNELLES",'ETPT Format DDG'!2:2,0)),
INDEX( 'ETPT Format DDG'!$A:$ZZ,,MATCH("Fonction recodée",'ETPT Format DDG'!2:2,0)),"Fonctionnaire CTECH",
INDEX( 'ETPT Format DDG'!$A:$ZZ,,MATCH("Juridiction",'ETPT Format DDG'!2:2,0)),$D$5))</f>
        <v>#N/A</v>
      </c>
      <c r="H9" s="146">
        <f t="shared" si="1"/>
        <v>0</v>
      </c>
      <c r="I9" s="147"/>
      <c r="J9" s="122"/>
      <c r="K9" s="122"/>
      <c r="L9" s="122"/>
      <c r="M9" s="122"/>
      <c r="N9" s="124"/>
      <c r="O9" s="125"/>
      <c r="P9" s="125"/>
      <c r="Q9" s="122"/>
      <c r="R9" s="119" t="e">
        <f>SUM(SUMIFS(
INDEX( 'ETPT Format DDG'!$A:$ZZ,,MATCH("11.1. SOUTIEN (HORS FORMATIONS SUIVIES)",'ETPT Format DDG'!2:2,0)),
INDEX( 'ETPT Format DDG'!$A:$ZZ,,MATCH("Fonction recodée",'ETPT Format DDG'!2:2,0)),"Fonctionnaire A-B-CBUR",
INDEX( 'ETPT Format DDG'!$A:$ZZ,,MATCH("Juridiction",'ETPT Format DDG'!2:2,0)),$D$5))+
SUM(SUMIFS(
INDEX( 'ETPT Format DDG'!$A:$ZZ,,MATCH("11.2. FORMATIONS SUIVIES",'ETPT Format DDG'!2:2,0)),
INDEX( 'ETPT Format DDG'!$A:$ZZ,,MATCH("Fonction recodée",'ETPT Format DDG'!2:2,0)),"Fonctionnaire A-B-CBUR",
INDEX( 'ETPT Format DDG'!$A:$ZZ,,MATCH("Juridiction",'ETPT Format DDG'!2:2,0)),$D$5))+
SUM(SUMIFS(
INDEX( 'ETPT Format DDG'!$A:$ZZ,,MATCH("11.6. AUTRES ACTIVITÉS NON JURIDICTIONNELLES",'ETPT Format DDG'!2:2,0)),
INDEX( 'ETPT Format DDG'!$A:$ZZ,,MATCH("Fonction recodée",'ETPT Format DDG'!2:2,0)),"Fonctionnaire A-B-CBUR",
INDEX( 'ETPT Format DDG'!$A:$ZZ,,MATCH("Juridiction",'ETPT Format DDG'!2:2,0)),$D$5))</f>
        <v>#N/A</v>
      </c>
      <c r="S9" s="146">
        <f t="shared" si="2"/>
        <v>0</v>
      </c>
      <c r="T9" s="122"/>
      <c r="U9" s="122"/>
      <c r="V9" s="122"/>
      <c r="W9" s="122"/>
      <c r="X9" s="125"/>
      <c r="Y9" s="125"/>
      <c r="Z9" s="125"/>
      <c r="AA9" s="125"/>
      <c r="AB9" s="125"/>
      <c r="AC9" s="146">
        <f t="shared" si="3"/>
        <v>0</v>
      </c>
      <c r="AD9" s="122"/>
      <c r="AE9" s="122"/>
      <c r="AF9" s="119" t="e">
        <f t="array" ref="AF9">SUM(SUMIFS(
INDEX( 'ETPT Format DDG'!$A:$ZZ,,MATCH("11.1. SOUTIEN (HORS FORMATIONS SUIVIES)",'ETPT Format DDG'!2:2,0)),
INDEX( 'ETPT Format DDG'!$A:$ZZ,,MATCH("Fonction recodée",'ETPT Format DDG'!2:2,0)),{"Magistrat SIEGE S";"Magistrat SIEGE NS"},
INDEX( 'ETPT Format DDG'!$A:$ZZ,,MATCH("Juridiction",'ETPT Format DDG'!2:2,0)),$D$5))+
SUM(SUMIFS(
INDEX( 'ETPT Format DDG'!$A:$ZZ,,MATCH("11.2. FORMATIONS SUIVIES",'ETPT Format DDG'!2:2,0)),
INDEX( 'ETPT Format DDG'!$A:$ZZ,,MATCH("Fonction recodée",'ETPT Format DDG'!2:2,0)),{"Magistrat SIEGE S";"Magistrat SIEGE NS"},
INDEX( 'ETPT Format DDG'!$A:$ZZ,,MATCH("Juridiction",'ETPT Format DDG'!2:2,0)),$D$5))+
SUM(SUMIFS(
INDEX( 'ETPT Format DDG'!$A:$ZZ,,MATCH("11.6. AUTRES ACTIVITÉS NON JURIDICTIONNELLES",'ETPT Format DDG'!2:2,0)),
INDEX( 'ETPT Format DDG'!$A:$ZZ,,MATCH("Fonction recodée",'ETPT Format DDG'!2:2,0)),{"Magistrat SIEGE S";"Magistrat SIEGE NS"},
INDEX( 'ETPT Format DDG'!$A:$ZZ,,MATCH("Juridiction",'ETPT Format DDG'!2:2,0)),$D$5))</f>
        <v>#N/A</v>
      </c>
      <c r="AG9" s="146">
        <f t="shared" si="4"/>
        <v>0</v>
      </c>
    </row>
    <row r="10" spans="1:33" x14ac:dyDescent="0.25">
      <c r="A10" s="145" t="s">
        <v>2292</v>
      </c>
      <c r="B10" s="115"/>
      <c r="C10" s="115"/>
      <c r="D10" s="115">
        <f t="shared" si="0"/>
        <v>0</v>
      </c>
      <c r="E10" s="115" t="s">
        <v>2233</v>
      </c>
      <c r="F10" s="115" t="s">
        <v>2234</v>
      </c>
      <c r="G10" s="119" t="e">
        <f>SUM(SUMIFS(
INDEX( 'ETPT Format DDG'!$A:$ZZ,,MATCH("11.3. FORMATIONS DISPENSÉES",'ETPT Format DDG'!2:2,0)),
INDEX( 'ETPT Format DDG'!$A:$ZZ,,MATCH("Fonction recodée",'ETPT Format DDG'!2:2,0)),"Fonctionnaire CTECH",
INDEX( 'ETPT Format DDG'!$A:$ZZ,,MATCH("Juridiction",'ETPT Format DDG'!2:2,0)),$D$5))</f>
        <v>#N/A</v>
      </c>
      <c r="H10" s="146">
        <f t="shared" si="1"/>
        <v>0</v>
      </c>
      <c r="I10" s="147"/>
      <c r="J10" s="122"/>
      <c r="K10" s="122"/>
      <c r="L10" s="122"/>
      <c r="M10" s="122"/>
      <c r="N10" s="124"/>
      <c r="O10" s="125"/>
      <c r="P10" s="125"/>
      <c r="Q10" s="122"/>
      <c r="R10" s="119" t="e">
        <f>SUM(SUMIFS(
INDEX( 'ETPT Format DDG'!$A:$ZZ,,MATCH("11.3. FORMATIONS DISPENSÉES",'ETPT Format DDG'!2:2,0)),
INDEX( 'ETPT Format DDG'!$A:$ZZ,,MATCH("Fonction recodée",'ETPT Format DDG'!2:2,0)),"Fonctionnaire A-B-CBUR",
INDEX( 'ETPT Format DDG'!$A:$ZZ,,MATCH("Juridiction",'ETPT Format DDG'!2:2,0)),$D$5))</f>
        <v>#N/A</v>
      </c>
      <c r="S10" s="146">
        <f t="shared" si="2"/>
        <v>0</v>
      </c>
      <c r="T10" s="122"/>
      <c r="U10" s="122"/>
      <c r="V10" s="122"/>
      <c r="W10" s="122"/>
      <c r="X10" s="125"/>
      <c r="Y10" s="125"/>
      <c r="Z10" s="125"/>
      <c r="AA10" s="125"/>
      <c r="AB10" s="125"/>
      <c r="AC10" s="146">
        <f t="shared" si="3"/>
        <v>0</v>
      </c>
      <c r="AD10" s="122"/>
      <c r="AE10" s="122"/>
      <c r="AF10" s="119" t="e">
        <f t="array" ref="AF10">SUM(SUMIFS(
INDEX( 'ETPT Format DDG'!$A:$ZZ,,MATCH("11.3. FORMATIONS DISPENSÉES",'ETPT Format DDG'!2:2,0)),
INDEX( 'ETPT Format DDG'!$A:$ZZ,,MATCH("Fonction recodée",'ETPT Format DDG'!2:2,0)),{"Magistrat SIEGE S";"Magistrat SIEGE NS"},
INDEX( 'ETPT Format DDG'!$A:$ZZ,,MATCH("Juridiction",'ETPT Format DDG'!2:2,0)),$D$5))</f>
        <v>#N/A</v>
      </c>
      <c r="AG10" s="146">
        <f t="shared" si="4"/>
        <v>0</v>
      </c>
    </row>
    <row r="11" spans="1:33" x14ac:dyDescent="0.25">
      <c r="A11" s="145" t="s">
        <v>2292</v>
      </c>
      <c r="B11" s="115"/>
      <c r="C11" s="115"/>
      <c r="D11" s="115">
        <f t="shared" si="0"/>
        <v>0</v>
      </c>
      <c r="E11" s="115" t="s">
        <v>2235</v>
      </c>
      <c r="F11" s="115" t="s">
        <v>2236</v>
      </c>
      <c r="G11" s="119" t="e">
        <f>SUM(SUMIFS(
INDEX( 'ETPT Format DDG'!$A:$ZZ,,MATCH("11.4. ACCÈS AU DROIT ET À LA JUSTICE",'ETPT Format DDG'!2:2,0)),
INDEX( 'ETPT Format DDG'!$A:$ZZ,,MATCH("Fonction recodée",'ETPT Format DDG'!2:2,0)),"Fonctionnaire CTECH",
INDEX( 'ETPT Format DDG'!$A:$ZZ,,MATCH("Juridiction",'ETPT Format DDG'!2:2,0)),$D$5))</f>
        <v>#N/A</v>
      </c>
      <c r="H11" s="146">
        <f t="shared" si="1"/>
        <v>0</v>
      </c>
      <c r="I11" s="147"/>
      <c r="J11" s="122"/>
      <c r="K11" s="122"/>
      <c r="L11" s="122"/>
      <c r="M11" s="122"/>
      <c r="N11" s="124"/>
      <c r="O11" s="125"/>
      <c r="P11" s="125"/>
      <c r="Q11" s="122"/>
      <c r="R11" s="119" t="e">
        <f>SUM(SUMIFS(
INDEX( 'ETPT Format DDG'!$A:$ZZ,,MATCH("11.4. ACCÈS AU DROIT ET À LA JUSTICE",'ETPT Format DDG'!2:2,0)),
INDEX( 'ETPT Format DDG'!$A:$ZZ,,MATCH("Fonction recodée",'ETPT Format DDG'!2:2,0)),"Fonctionnaire A-B-CBUR",
INDEX( 'ETPT Format DDG'!$A:$ZZ,,MATCH("Juridiction",'ETPT Format DDG'!2:2,0)),$D$5))</f>
        <v>#N/A</v>
      </c>
      <c r="S11" s="146">
        <f t="shared" si="2"/>
        <v>0</v>
      </c>
      <c r="T11" s="122"/>
      <c r="U11" s="122"/>
      <c r="V11" s="122"/>
      <c r="W11" s="122"/>
      <c r="X11" s="125"/>
      <c r="Y11" s="125"/>
      <c r="Z11" s="125"/>
      <c r="AA11" s="125"/>
      <c r="AB11" s="125"/>
      <c r="AC11" s="146">
        <f t="shared" si="3"/>
        <v>0</v>
      </c>
      <c r="AD11" s="122"/>
      <c r="AE11" s="122"/>
      <c r="AF11" s="119" t="e">
        <f t="array" ref="AF11">SUM(SUMIFS(
INDEX( 'ETPT Format DDG'!$A:$ZZ,,MATCH("11.4. ACCÈS AU DROIT ET À LA JUSTICE",'ETPT Format DDG'!2:2,0)),
INDEX( 'ETPT Format DDG'!$A:$ZZ,,MATCH("Fonction recodée",'ETPT Format DDG'!2:2,0)),{"Magistrat SIEGE S";"Magistrat SIEGE NS"},
INDEX( 'ETPT Format DDG'!$A:$ZZ,,MATCH("Juridiction",'ETPT Format DDG'!2:2,0)),$D$5))</f>
        <v>#N/A</v>
      </c>
      <c r="AG11" s="146">
        <f t="shared" si="4"/>
        <v>0</v>
      </c>
    </row>
    <row r="12" spans="1:33" x14ac:dyDescent="0.25">
      <c r="A12" s="145" t="s">
        <v>2292</v>
      </c>
      <c r="B12" s="115"/>
      <c r="C12" s="115"/>
      <c r="D12" s="115">
        <f t="shared" si="0"/>
        <v>0</v>
      </c>
      <c r="E12" s="115" t="s">
        <v>2237</v>
      </c>
      <c r="F12" s="115" t="s">
        <v>2238</v>
      </c>
      <c r="G12" s="119" t="e">
        <f>SUM(SUMIFS(
INDEX( 'ETPT Format DDG'!$A:$ZZ,,MATCH("12. TOTAL des INDISPONIBILITÉS relevant de l'action 99",'ETPT Format DDG'!2:2,0)),
INDEX( 'ETPT Format DDG'!$A:$ZZ,,MATCH("Fonction recodée",'ETPT Format DDG'!2:2,0)),"Fonctionnaire CTECH",
INDEX( 'ETPT Format DDG'!$A:$ZZ,,MATCH("Juridiction",'ETPT Format DDG'!2:2,0)),$D$5))-
SUM(SUMIFS(
INDEX( 'ETPT Format DDG'!$A:$ZZ,,MATCH("12.5. MISE À DISPOSITION",'ETPT Format DDG'!2:2,0)),
INDEX( 'ETPT Format DDG'!$A:$ZZ,,MATCH("Fonction recodée",'ETPT Format DDG'!2:2,0)),"Fonctionnaire CTECH",
INDEX( 'ETPT Format DDG'!$A:$ZZ,,MATCH("Juridiction",'ETPT Format DDG'!2:2,0)),$D$5))</f>
        <v>#N/A</v>
      </c>
      <c r="H12" s="146">
        <f t="shared" si="1"/>
        <v>0</v>
      </c>
      <c r="I12" s="147"/>
      <c r="J12" s="122"/>
      <c r="K12" s="122"/>
      <c r="L12" s="122"/>
      <c r="M12" s="122"/>
      <c r="N12" s="124"/>
      <c r="O12" s="125"/>
      <c r="P12" s="125"/>
      <c r="Q12" s="122"/>
      <c r="R12" s="119" t="e">
        <f>SUM(SUMIFS(
INDEX( 'ETPT Format DDG'!$A:$ZZ,,MATCH("12. TOTAL des INDISPONIBILITÉS relevant de l'action 99",'ETPT Format DDG'!2:2,0)),
INDEX( 'ETPT Format DDG'!$A:$ZZ,,MATCH("Fonction recodée",'ETPT Format DDG'!2:2,0)),"Fonctionnaire A-B-CBUR",
INDEX( 'ETPT Format DDG'!$A:$ZZ,,MATCH("Juridiction",'ETPT Format DDG'!2:2,0)),$D$5))-
SUM(SUMIFS(
INDEX( 'ETPT Format DDG'!$A:$ZZ,,MATCH("12.5. MISE À DISPOSITION",'ETPT Format DDG'!2:2,0)),
INDEX( 'ETPT Format DDG'!$A:$ZZ,,MATCH("Fonction recodée",'ETPT Format DDG'!2:2,0)),"Fonctionnaire A-B-CBUR",
INDEX( 'ETPT Format DDG'!$A:$ZZ,,MATCH("Juridiction",'ETPT Format DDG'!2:2,0)),$D$5))</f>
        <v>#N/A</v>
      </c>
      <c r="S12" s="146">
        <f t="shared" si="2"/>
        <v>0</v>
      </c>
      <c r="T12" s="122"/>
      <c r="U12" s="122"/>
      <c r="V12" s="122"/>
      <c r="W12" s="122"/>
      <c r="X12" s="125"/>
      <c r="Y12" s="125"/>
      <c r="Z12" s="125"/>
      <c r="AA12" s="125"/>
      <c r="AB12" s="125"/>
      <c r="AC12" s="146">
        <f t="shared" si="3"/>
        <v>0</v>
      </c>
      <c r="AD12" s="122"/>
      <c r="AE12" s="122"/>
      <c r="AF12" s="119" t="e">
        <f t="array" ref="AF12">SUM(SUMIFS(
INDEX( 'ETPT Format DDG'!$A:$ZZ,,MATCH("12. TOTAL des INDISPONIBILITÉS relevant de l'action 99",'ETPT Format DDG'!2:2,0)),
INDEX( 'ETPT Format DDG'!$A:$ZZ,,MATCH("Fonction recodée",'ETPT Format DDG'!2:2,0)),{"Magistrat SIEGE S";"Magistrat SIEGE NS"},
INDEX( 'ETPT Format DDG'!$A:$ZZ,,MATCH("Juridiction",'ETPT Format DDG'!2:2,0)),$D$5))-
SUM(SUMIFS(
INDEX( 'ETPT Format DDG'!$A:$ZZ,,MATCH("12.5. MISE À DISPOSITION",'ETPT Format DDG'!2:2,0)),
INDEX( 'ETPT Format DDG'!$A:$ZZ,,MATCH("Fonction recodée",'ETPT Format DDG'!2:2,0)),{"Magistrat SIEGE S";"Magistrat SIEGE NS"},
INDEX( 'ETPT Format DDG'!$A:$ZZ,,MATCH("Juridiction",'ETPT Format DDG'!2:2,0)),$D$5))</f>
        <v>#N/A</v>
      </c>
      <c r="AG12" s="146">
        <f t="shared" si="4"/>
        <v>0</v>
      </c>
    </row>
    <row r="13" spans="1:33" x14ac:dyDescent="0.25">
      <c r="A13" s="145" t="s">
        <v>2292</v>
      </c>
      <c r="B13" s="115"/>
      <c r="C13" s="115"/>
      <c r="D13" s="115">
        <f t="shared" si="0"/>
        <v>0</v>
      </c>
      <c r="E13" s="115" t="s">
        <v>2239</v>
      </c>
      <c r="F13" s="115" t="s">
        <v>2240</v>
      </c>
      <c r="G13" s="119" t="e">
        <f>SUM(SUMIFS(
INDEX( 'ETPT Format DDG'!$A:$ZZ,,MATCH("12.5. MISE À DISPOSITION",'ETPT Format DDG'!2:2,0)),
INDEX( 'ETPT Format DDG'!$A:$ZZ,,MATCH("Fonction recodée",'ETPT Format DDG'!2:2,0)),"Fonctionnaire CTECH",
INDEX( 'ETPT Format DDG'!$A:$ZZ,,MATCH("Juridiction",'ETPT Format DDG'!2:2,0)),$D$5))+
_xlfn.IFNA(SUM(SUMIFS(
INDEX( 'ETPT Format DDG'!$A:$ZZ,,MATCH("13. TOTAL CONTENTIEUX LOCAUX SPÉCIFIQUES",'ETPT Format DDG'!2:2,0)),
INDEX( 'ETPT Format DDG'!$A:$ZZ,,MATCH("Fonction recodée",'ETPT Format DDG'!2:2,0)),"Fonctionnaire CTECH",
INDEX( 'ETPT Format DDG'!$A:$ZZ,,MATCH("Juridiction",'ETPT Format DDG'!2:2,0)),$D$5)),0)</f>
        <v>#N/A</v>
      </c>
      <c r="H13" s="146">
        <f t="shared" si="1"/>
        <v>0</v>
      </c>
      <c r="I13" s="107">
        <f>_xlfn.IFNA(SUM(SUMIFS(
INDEX( 'ETPT Format DDG'!$A:$ZZ,,MATCH("13. TOTAL CONTENTIEUX LOCAUX SPÉCIFIQUES",'ETPT Format DDG'!2:2,0)),
INDEX( 'ETPT Format DDG'!$A:$ZZ,,MATCH("Fonction recodée",'ETPT Format DDG'!2:2,0)),"Fonctionnaire A-B-CBUR",
INDEX( 'ETPT Format DDG'!$A:$ZZ,,MATCH("Juridiction",'ETPT Format DDG'!2:2,0)),$D$5)),0)</f>
        <v>0</v>
      </c>
      <c r="J13" s="122"/>
      <c r="K13" s="122"/>
      <c r="L13" s="122"/>
      <c r="M13" s="124"/>
      <c r="N13" s="124"/>
      <c r="O13" s="125"/>
      <c r="P13" s="125"/>
      <c r="Q13" s="122"/>
      <c r="R13" s="119" t="e">
        <f>SUM(SUMIFS(
INDEX( 'ETPT Format DDG'!$A:$ZZ,,MATCH("12.5. MISE À DISPOSITION",'ETPT Format DDG'!2:2,0)),
INDEX( 'ETPT Format DDG'!$A:$ZZ,,MATCH("Fonction recodée",'ETPT Format DDG'!2:2,0)),"Fonctionnaire A-B-CBUR",
INDEX( 'ETPT Format DDG'!$A:$ZZ,,MATCH("Juridiction",'ETPT Format DDG'!2:2,0)),$D$5))</f>
        <v>#N/A</v>
      </c>
      <c r="S13" s="146">
        <f t="shared" si="2"/>
        <v>0</v>
      </c>
      <c r="T13" s="119">
        <f t="array" ref="T13">_xlfn.IFNA(SUM(SUMIFS(
INDEX( 'ETPT Format DDG'!$A:$ZZ,,MATCH("13. TOTAL CONTENTIEUX LOCAUX SPÉCIFIQUES",'ETPT Format DDG'!2:2,0)),
INDEX( 'ETPT Format DDG'!$A:$ZZ,,MATCH("Fonction recodée",'ETPT Format DDG'!2:2,0)),{"Magistrat SIEGE S";"Magistrat SIEGE NS"},
INDEX( 'ETPT Format DDG'!$A:$ZZ,,MATCH("Juridiction",'ETPT Format DDG'!2:2,0)),$D$5)),0)</f>
        <v>0</v>
      </c>
      <c r="U13" s="122"/>
      <c r="V13" s="122"/>
      <c r="W13" s="122"/>
      <c r="X13" s="125"/>
      <c r="Y13" s="125"/>
      <c r="Z13" s="125"/>
      <c r="AA13" s="125"/>
      <c r="AB13" s="125"/>
      <c r="AC13" s="146">
        <f t="shared" si="3"/>
        <v>0</v>
      </c>
      <c r="AD13" s="122"/>
      <c r="AE13" s="122"/>
      <c r="AF13" s="119" t="e">
        <f t="array" ref="AF13">SUM(SUMIFS(
INDEX( 'ETPT Format DDG'!$A:$ZZ,,MATCH("12.5. MISE À DISPOSITION",'ETPT Format DDG'!2:2,0)),
INDEX( 'ETPT Format DDG'!$A:$ZZ,,MATCH("Fonction recodée",'ETPT Format DDG'!2:2,0)),{"Magistrat SIEGE S";"Magistrat SIEGE NS"},
INDEX( 'ETPT Format DDG'!$A:$ZZ,,MATCH("Juridiction",'ETPT Format DDG'!2:2,0)),$D$5))</f>
        <v>#N/A</v>
      </c>
      <c r="AG13" s="146">
        <f t="shared" si="4"/>
        <v>0</v>
      </c>
    </row>
    <row r="14" spans="1:33" x14ac:dyDescent="0.25">
      <c r="A14" s="145" t="s">
        <v>2292</v>
      </c>
      <c r="B14" s="115"/>
      <c r="C14" s="115"/>
      <c r="D14" s="115">
        <f t="shared" si="0"/>
        <v>0</v>
      </c>
      <c r="E14" s="115" t="s">
        <v>2241</v>
      </c>
      <c r="F14" s="115" t="s">
        <v>2242</v>
      </c>
      <c r="G14" s="119" t="e">
        <f>SUM(SUMIFS(
INDEX( 'ETPT A-JUST'!$A:$ZZ,,MATCH("Temps ventilés sur la période (absentéisme et action 99 déduits)",'ETPT A-JUST'!2:2,0)),
INDEX( 'ETPT A-JUST'!$A:$ZZ,,MATCH("Fonction recodée",'ETPT A-JUST'!2:2,0)),"Fonctionnaire CTECH placé ADD",
INDEX( 'ETPT A-JUST'!$A:$ZZ,,MATCH("Juridiction",'ETPT A-JUST'!2:2,0)),$D$5))</f>
        <v>#N/A</v>
      </c>
      <c r="H14" s="146">
        <f t="shared" si="1"/>
        <v>0</v>
      </c>
      <c r="I14" s="107">
        <f>_xlfn.IFNA(SUM(SUMIFS(
INDEX( 'ETPT A-JUST'!$A:$ZZ,,MATCH("13. TOTAL CONTENTIEUX LOCAUX SPÉCIFIQUES",'ETPT A-JUST'!2:2,0)),
INDEX( 'ETPT A-JUST'!$A:$ZZ,,MATCH("Fonction recodée",'ETPT A-JUST'!2:2,0)),"Fonctionnaire A-B-CBUR placé ADD",
INDEX( 'ETPT A-JUST'!$A:$ZZ,,MATCH("Juridiction",'ETPT A-JUST'!2:2,0)),$D$5)),0)</f>
        <v>0</v>
      </c>
      <c r="J14" s="107" t="e">
        <f>SUM(SUMIFS(
INDEX( 'ETPT A-JUST'!$A:$ZZ,,MATCH("3.43. INJONCTIONS DE PAYER",'ETPT A-JUST'!2:2,0)),
INDEX( 'ETPT A-JUST'!$A:$ZZ,,MATCH("Fonction recodée",'ETPT A-JUST'!2:2,0)),"Fonctionnaire A-B-CBUR placé ADD",
INDEX( 'ETPT A-JUST'!$A:$ZZ,,MATCH("Juridiction",'ETPT A-JUST'!2:2,0)),$D$5))+
SUM(SUMIFS(
INDEX( 'ETPT A-JUST'!$A:$ZZ,,MATCH("3.44. SAISIE DES RÉMUNÉRATIONS",'ETPT A-JUST'!2:2,0)),
INDEX( 'ETPT A-JUST'!$A:$ZZ,,MATCH("Fonction recodée",'ETPT A-JUST'!2:2,0)),"Fonctionnaire A-B-CBUR placé ADD",
INDEX( 'ETPT A-JUST'!$A:$ZZ,,MATCH("Juridiction",'ETPT A-JUST'!2:2,0)),$D$5))</f>
        <v>#N/A</v>
      </c>
      <c r="K14" s="107" t="e">
        <f>SUM(SUMIFS(
INDEX( 'ETPT A-JUST'!$A:$ZZ,,MATCH("3. TOTAL CONTENTIEUX DE LA PROTECTION",'ETPT A-JUST'!2:2,0)),
INDEX( 'ETPT A-JUST'!$A:$ZZ,,MATCH("Fonction recodée",'ETPT A-JUST'!2:2,0)),"Fonctionnaire A-B-CBUR placé ADD",
INDEX( 'ETPT A-JUST'!$A:$ZZ,,MATCH("Juridiction",'ETPT A-JUST'!2:2,0)),$D$5))-
SUM(SUMIFS(
INDEX( 'ETPT A-JUST'!$A:$ZZ,,MATCH("3.2. PROTECTION DES MAJEURS",'ETPT A-JUST'!2:2,0)),
INDEX( 'ETPT A-JUST'!$A:$ZZ,,MATCH("Fonction recodée",'ETPT A-JUST'!2:2,0)),"Fonctionnaire A-B-CBUR placé ADD",
INDEX( 'ETPT A-JUST'!$A:$ZZ,,MATCH("Juridiction",'ETPT A-JUST'!2:2,0)),$D$5))-
SUM(SUMIFS(
INDEX( 'ETPT A-JUST'!$A:$ZZ,,MATCH("3.43. INJONCTIONS DE PAYER",'ETPT A-JUST'!2:2,0)),
INDEX( 'ETPT A-JUST'!$A:$ZZ,,MATCH("Fonction recodée",'ETPT A-JUST'!2:2,0)),"Fonctionnaire A-B-CBUR placé ADD",
INDEX( 'ETPT A-JUST'!$A:$ZZ,,MATCH("Juridiction",'ETPT A-JUST'!2:2,0)),$D$5))-
SUM(SUMIFS(
INDEX( 'ETPT A-JUST'!$A:$ZZ,,MATCH("3.44. SAISIE DES RÉMUNÉRATIONS",'ETPT A-JUST'!2:2,0)),
INDEX( 'ETPT A-JUST'!$A:$ZZ,,MATCH("Fonction recodée",'ETPT A-JUST'!2:2,0)),"Fonctionnaire A-B-CBUR placé ADD",
INDEX( 'ETPT A-JUST'!$A:$ZZ,,MATCH("Juridiction",'ETPT A-JUST'!2:2,0)),$D$5))</f>
        <v>#N/A</v>
      </c>
      <c r="L14" s="107" t="e">
        <f>SUM(SUMIFS(
INDEX( 'ETPT A-JUST'!$A:$ZZ,,MATCH("3.2. PROTECTION DES MAJEURS",'ETPT A-JUST'!2:2,0)),
INDEX( 'ETPT A-JUST'!$A:$ZZ,,MATCH("Fonction recodée",'ETPT A-JUST'!2:2,0)),"Fonctionnaire A-B-CBUR placé ADD",
INDEX( 'ETPT A-JUST'!$A:$ZZ,,MATCH("Juridiction",'ETPT A-JUST'!2:2,0)),$D$5))</f>
        <v>#N/A</v>
      </c>
      <c r="M14" s="124"/>
      <c r="N14" s="124"/>
      <c r="O14" s="125"/>
      <c r="P14" s="125"/>
      <c r="Q14" s="122"/>
      <c r="R14" s="119" t="e">
        <f>SUM(SUMIFS(
INDEX( 'ETPT A-JUST'!$A:$ZZ,,MATCH("1. TOTAL CONTENTIEUX SOCIAL",'ETPT A-JUST'!2:2,0)),
INDEX( 'ETPT A-JUST'!$A:$ZZ,,MATCH("Fonction recodée",'ETPT A-JUST'!2:2,0)),"Fonctionnaire A-B-CBUR placé ADD",
INDEX( 'ETPT A-JUST'!$A:$ZZ,,MATCH("Juridiction",'ETPT A-JUST'!2:2,0)),$D$5))+
SUM(SUMIFS(
INDEX( 'ETPT A-JUST'!$A:$ZZ,,MATCH("2. TOTAL CONTENTIEUX JAF",'ETPT A-JUST'!2:2,0)),
INDEX( 'ETPT A-JUST'!$A:$ZZ,,MATCH("Fonction recodée",'ETPT A-JUST'!2:2,0)),"Fonctionnaire A-B-CBUR placé ADD",
INDEX( 'ETPT A-JUST'!$A:$ZZ,,MATCH("Juridiction",'ETPT A-JUST'!2:2,0)),$D$5))+
SUM(SUMIFS(
INDEX( 'ETPT A-JUST'!$A:$ZZ,,MATCH("4. TOTAL CIVIL NON SPÉCIALISÉ",'ETPT A-JUST'!2:2,0)),
INDEX( 'ETPT A-JUST'!$A:$ZZ,,MATCH("Fonction recodée",'ETPT A-JUST'!2:2,0)),"Fonctionnaire A-B-CBUR placé ADD",
INDEX( 'ETPT A-JUST'!$A:$ZZ,,MATCH("Juridiction",'ETPT A-JUST'!2:2,0)),$D$5))+
SUM(SUMIFS(
INDEX( 'ETPT A-JUST'!$A:$ZZ,,MATCH("5. TOTAL JLD CIVIL",'ETPT A-JUST'!2:2,0)),
INDEX( 'ETPT A-JUST'!$A:$ZZ,,MATCH("Fonction recodée",'ETPT A-JUST'!2:2,0)),"Fonctionnaire A-B-CBUR placé ADD",
INDEX( 'ETPT A-JUST'!$A:$ZZ,,MATCH("Juridiction",'ETPT A-JUST'!2:2,0)),$D$5))+
SUM(SUMIFS(
INDEX( 'ETPT A-JUST'!$A:$ZZ,,MATCH("6.1. ACTIVITÉ CIVILE",'ETPT A-JUST'!2:2,0)),
INDEX( 'ETPT A-JUST'!$A:$ZZ,,MATCH("Fonction recodée",'ETPT A-JUST'!2:2,0)),"Fonctionnaire A-B-CBUR placé ADD",
INDEX( 'ETPT A-JUST'!$A:$ZZ,,MATCH("Juridiction",'ETPT A-JUST'!2:2,0)),$D$5))+
SUM(SUMIFS(
INDEX( 'ETPT A-JUST'!$A:$ZZ,,MATCH("11.8. FONCTIONNAIRES AFFECTÉS AUX ACTIVITÉS CIVILES ET COMMERCIALES DU PARQUET",'ETPT A-JUST'!2:2,0)),
INDEX( 'ETPT A-JUST'!$A:$ZZ,,MATCH("Fonction recodée",'ETPT A-JUST'!2:2,0)),"Fonctionnaire A-B-CBUR placé ADD",
INDEX( 'ETPT A-JUST'!$A:$ZZ,,MATCH("Juridiction",'ETPT A-JUST'!2:2,0)),$D$5))+
SUM(SUMIFS(
INDEX( 'ETPT A-JUST'!$A:$ZZ,,MATCH("11.51. ACCUEIL DU JUSTICIABLE (DONT SAUJ)",'ETPT A-JUST'!2:2,0)),
INDEX( 'ETPT A-JUST'!$A:$ZZ,,MATCH("Fonction recodée",'ETPT A-JUST'!2:2,0)),"Fonctionnaire A-B-CBUR placé ADD",
INDEX( 'ETPT A-JUST'!$A:$ZZ,,MATCH("Juridiction",'ETPT A-JUST'!2:2,0)),$D$5))+
SUM(SUMIFS(
INDEX( 'ETPT A-JUST'!$A:$ZZ,,MATCH("11.1. SOUTIEN (HORS FORMATIONS SUIVIES)",'ETPT A-JUST'!2:2,0)),
INDEX( 'ETPT A-JUST'!$A:$ZZ,,MATCH("Fonction recodée",'ETPT A-JUST'!2:2,0)),"Fonctionnaire A-B-CBUR placé ADD",
INDEX( 'ETPT A-JUST'!$A:$ZZ,,MATCH("Juridiction",'ETPT A-JUST'!2:2,0)),$D$5))+
SUM(SUMIFS(
INDEX( 'ETPT A-JUST'!$A:$ZZ,,MATCH("11.2. FORMATIONS SUIVIES",'ETPT A-JUST'!2:2,0)),
INDEX( 'ETPT A-JUST'!$A:$ZZ,,MATCH("Fonction recodée",'ETPT A-JUST'!2:2,0)),"Fonctionnaire A-B-CBUR placé ADD",
INDEX( 'ETPT A-JUST'!$A:$ZZ,,MATCH("Juridiction",'ETPT A-JUST'!2:2,0)),$D$5))+
SUM(SUMIFS(
INDEX( 'ETPT A-JUST'!$A:$ZZ,,MATCH("11.6. AUTRES ACTIVITÉS NON JURIDICTIONNELLES",'ETPT A-JUST'!2:2,0)),
INDEX( 'ETPT A-JUST'!$A:$ZZ,,MATCH("Fonction recodée",'ETPT A-JUST'!2:2,0)),"Fonctionnaire A-B-CBUR placé ADD",
INDEX( 'ETPT A-JUST'!$A:$ZZ,,MATCH("Juridiction",'ETPT A-JUST'!2:2,0)),$D$5))+
SUM(SUMIFS(
INDEX( 'ETPT A-JUST'!$A:$ZZ,,MATCH("11.3. FORMATIONS DISPENSÉES",'ETPT A-JUST'!2:2,0)),
INDEX( 'ETPT A-JUST'!$A:$ZZ,,MATCH("Fonction recodée",'ETPT A-JUST'!2:2,0)),"Fonctionnaire A-B-CBUR placé ADD",
INDEX( 'ETPT A-JUST'!$A:$ZZ,,MATCH("Juridiction",'ETPT A-JUST'!2:2,0)),$D$5))+
SUM(SUMIFS(
INDEX( 'ETPT A-JUST'!$A:$ZZ,,MATCH("11.4. ACCÈS AU DROIT ET À LA JUSTICE",'ETPT A-JUST'!2:2,0)),
INDEX( 'ETPT A-JUST'!$A:$ZZ,,MATCH("Fonction recodée",'ETPT A-JUST'!2:2,0)),"Fonctionnaire A-B-CBUR placé ADD",
INDEX( 'ETPT A-JUST'!$A:$ZZ,,MATCH("Juridiction",'ETPT A-JUST'!2:2,0)),$D$5))</f>
        <v>#N/A</v>
      </c>
      <c r="S14" s="146">
        <f t="shared" si="2"/>
        <v>0</v>
      </c>
      <c r="T14" s="107">
        <f>_xlfn.IFNA(SUM(SUMIFS(
INDEX( 'ETPT A-JUST'!$A:$ZZ,,MATCH("13. TOTAL CONTENTIEUX LOCAUX SPÉCIFIQUES",'ETPT A-JUST'!2:2,0)),
INDEX( 'ETPT A-JUST'!$A:$ZZ,,MATCH("Fonction recodée",'ETPT A-JUST'!2:2,0)),"Magistrat placé ADD",
INDEX( 'ETPT A-JUST'!$A:$ZZ,,MATCH("Juridiction",'ETPT A-JUST'!2:2,0)),$D$5)),0)</f>
        <v>0</v>
      </c>
      <c r="U14" s="107" t="e">
        <f>SUM(SUMIFS(
INDEX( 'ETPT A-JUST'!$A:$ZZ,,MATCH("3.43. INJONCTIONS DE PAYER",'ETPT A-JUST'!2:2,0)),
INDEX( 'ETPT A-JUST'!$A:$ZZ,,MATCH("Fonction recodée",'ETPT A-JUST'!2:2,0)),"Magistrat placé ADD",
INDEX( 'ETPT A-JUST'!$A:$ZZ,,MATCH("Juridiction",'ETPT A-JUST'!2:2,0)),$D$5))+
SUM(SUMIFS(
INDEX( 'ETPT A-JUST'!$A:$ZZ,,MATCH("3.44. SAISIE DES RÉMUNÉRATIONS",'ETPT A-JUST'!2:2,0)),
INDEX( 'ETPT A-JUST'!$A:$ZZ,,MATCH("Fonction recodée",'ETPT A-JUST'!2:2,0)),"Magistrat placé ADD",
INDEX( 'ETPT A-JUST'!$A:$ZZ,,MATCH("Juridiction",'ETPT A-JUST'!2:2,0)),$D$5))</f>
        <v>#N/A</v>
      </c>
      <c r="V14" s="107" t="e">
        <f>SUM(SUMIFS(
INDEX( 'ETPT A-JUST'!$A:$ZZ,,MATCH("3. TOTAL CONTENTIEUX DE LA PROTECTION",'ETPT A-JUST'!2:2,0)),
INDEX( 'ETPT A-JUST'!$A:$ZZ,,MATCH("Fonction recodée",'ETPT A-JUST'!2:2,0)),"Magistrat placé ADD",
INDEX( 'ETPT A-JUST'!$A:$ZZ,,MATCH("Juridiction",'ETPT A-JUST'!2:2,0)),$D$5))-
SUM(SUMIFS(
INDEX( 'ETPT A-JUST'!$A:$ZZ,,MATCH("3.2. PROTECTION DES MAJEURS",'ETPT A-JUST'!2:2,0)),
INDEX( 'ETPT A-JUST'!$A:$ZZ,,MATCH("Fonction recodée",'ETPT A-JUST'!2:2,0)),"Magistrat placé ADD",
INDEX( 'ETPT A-JUST'!$A:$ZZ,,MATCH("Juridiction",'ETPT A-JUST'!2:2,0)),$D$5))-
SUM(SUMIFS(
INDEX( 'ETPT A-JUST'!$A:$ZZ,,MATCH("3.43. INJONCTIONS DE PAYER",'ETPT A-JUST'!2:2,0)),
INDEX( 'ETPT A-JUST'!$A:$ZZ,,MATCH("Fonction recodée",'ETPT A-JUST'!2:2,0)),"Magistrat placé ADD",
INDEX( 'ETPT A-JUST'!$A:$ZZ,,MATCH("Juridiction",'ETPT A-JUST'!2:2,0)),$D$5))-
SUM(SUMIFS(
INDEX( 'ETPT A-JUST'!$A:$ZZ,,MATCH("3.44. SAISIE DES RÉMUNÉRATIONS",'ETPT A-JUST'!2:2,0)),
INDEX( 'ETPT A-JUST'!$A:$ZZ,,MATCH("Fonction recodée",'ETPT A-JUST'!2:2,0)),"Magistrat placé ADD",
INDEX( 'ETPT A-JUST'!$A:$ZZ,,MATCH("Juridiction",'ETPT A-JUST'!2:2,0)),$D$5))</f>
        <v>#N/A</v>
      </c>
      <c r="W14" s="107" t="e">
        <f>SUM(SUMIFS(
INDEX( 'ETPT A-JUST'!$A:$ZZ,,MATCH("3.2. PROTECTION DES MAJEURS",'ETPT A-JUST'!2:2,0)),
INDEX( 'ETPT A-JUST'!$A:$ZZ,,MATCH("Fonction recodée",'ETPT A-JUST'!2:2,0)),"Magistrat placé ADD",
INDEX( 'ETPT A-JUST'!$A:$ZZ,,MATCH("Juridiction",'ETPT A-JUST'!2:2,0)),$D$5))</f>
        <v>#N/A</v>
      </c>
      <c r="X14" s="125"/>
      <c r="Y14" s="125"/>
      <c r="Z14" s="125"/>
      <c r="AA14" s="125"/>
      <c r="AB14" s="125"/>
      <c r="AC14" s="146">
        <f t="shared" si="3"/>
        <v>0</v>
      </c>
      <c r="AD14" s="125"/>
      <c r="AE14" s="111" t="e">
        <f>SUM(SUMIFS(
INDEX( 'ETPT A-JUST'!$A:$ZZ,,MATCH("1.1. DÉPARTAGE PRUD'HOMAL",'ETPT A-JUST'!2:2,0)),
INDEX( 'ETPT A-JUST'!$A:$ZZ,,MATCH("Fonction recodée",'ETPT A-JUST'!2:2,0)),"Magistrat placé ADD",
INDEX( 'ETPT A-JUST'!$A:$ZZ,,MATCH("Juridiction",'ETPT A-JUST'!2:2,0)),$D$5))</f>
        <v>#N/A</v>
      </c>
      <c r="AF14" s="111" t="e">
        <f>SUM(SUMIFS(
INDEX( 'ETPT A-JUST'!$A:$ZZ,,MATCH("Temps ventilés sur la période (absentéisme et action 99 déduits)",'ETPT A-JUST'!2:2,0)),
INDEX( 'ETPT A-JUST'!$A:$ZZ,,MATCH("Fonction recodée",'ETPT A-JUST'!2:2,0)),"Magistrat placé ADD",
INDEX( 'ETPT A-JUST'!$A:$ZZ,,MATCH("Juridiction",'ETPT A-JUST'!2:2,0)),$D$5))-
_xlfn.AGGREGATE(9,6,T14:AB14)-
_xlfn.AGGREGATE(9,6,AD14:AE14)</f>
        <v>#N/A</v>
      </c>
      <c r="AG14" s="146">
        <f t="shared" si="4"/>
        <v>0</v>
      </c>
    </row>
    <row r="15" spans="1:33" x14ac:dyDescent="0.25">
      <c r="A15" s="145" t="s">
        <v>2292</v>
      </c>
      <c r="B15" s="115"/>
      <c r="C15" s="115"/>
      <c r="D15" s="115">
        <f t="shared" si="0"/>
        <v>0</v>
      </c>
      <c r="E15" s="115" t="s">
        <v>2243</v>
      </c>
      <c r="F15" s="115" t="s">
        <v>2244</v>
      </c>
      <c r="G15" s="119" t="e">
        <f>SUM(SUMIFS(
INDEX( 'ETPT A-JUST'!$A:$ZZ,,MATCH("Temps ventilés sur la période (absentéisme et action 99 déduits)",'ETPT A-JUST'!2:2,0)),
INDEX( 'ETPT A-JUST'!$A:$ZZ,,MATCH("Fonction recodée",'ETPT A-JUST'!2:2,0)),"Fonctionnaire CTECH placé SUB",
INDEX( 'ETPT A-JUST'!$A:$ZZ,,MATCH("Juridiction",'ETPT A-JUST'!2:2,0)),$D$5))</f>
        <v>#N/A</v>
      </c>
      <c r="H15" s="146">
        <f t="shared" si="1"/>
        <v>0</v>
      </c>
      <c r="I15" s="107">
        <f>_xlfn.IFNA(SUM(SUMIFS(
INDEX( 'ETPT A-JUST'!$A:$ZZ,,MATCH("13. TOTAL CONTENTIEUX LOCAUX SPÉCIFIQUES",'ETPT A-JUST'!2:2,0)),
INDEX( 'ETPT A-JUST'!$A:$ZZ,,MATCH("Fonction recodée",'ETPT A-JUST'!2:2,0)),"Fonctionnaire A-B-CBUR placé SUB",
INDEX( 'ETPT A-JUST'!$A:$ZZ,,MATCH("Juridiction",'ETPT A-JUST'!2:2,0)),$D$5)),0)</f>
        <v>0</v>
      </c>
      <c r="J15" s="107" t="e">
        <f>SUM(SUMIFS(
INDEX( 'ETPT A-JUST'!$A:$ZZ,,MATCH("3.43. INJONCTIONS DE PAYER",'ETPT A-JUST'!2:2,0)),
INDEX( 'ETPT A-JUST'!$A:$ZZ,,MATCH("Fonction recodée",'ETPT A-JUST'!2:2,0)),"Fonctionnaire A-B-CBUR placé SUB",
INDEX( 'ETPT A-JUST'!$A:$ZZ,,MATCH("Juridiction",'ETPT A-JUST'!2:2,0)),$D$5))+
SUM(SUMIFS(
INDEX( 'ETPT A-JUST'!$A:$ZZ,,MATCH("3.44. SAISIE DES RÉMUNÉRATIONS",'ETPT A-JUST'!2:2,0)),
INDEX( 'ETPT A-JUST'!$A:$ZZ,,MATCH("Fonction recodée",'ETPT A-JUST'!2:2,0)),"Fonctionnaire A-B-CBUR placé SUB",
INDEX( 'ETPT A-JUST'!$A:$ZZ,,MATCH("Juridiction",'ETPT A-JUST'!2:2,0)),$D$5))</f>
        <v>#N/A</v>
      </c>
      <c r="K15" s="107" t="e">
        <f>SUM(SUMIFS(
INDEX( 'ETPT A-JUST'!$A:$ZZ,,MATCH("3. TOTAL CONTENTIEUX DE LA PROTECTION",'ETPT A-JUST'!2:2,0)),
INDEX( 'ETPT A-JUST'!$A:$ZZ,,MATCH("Fonction recodée",'ETPT A-JUST'!2:2,0)),"Fonctionnaire A-B-CBUR placé SUB",
INDEX( 'ETPT A-JUST'!$A:$ZZ,,MATCH("Juridiction",'ETPT A-JUST'!2:2,0)),$D$5))-
SUM(SUMIFS(
INDEX( 'ETPT A-JUST'!$A:$ZZ,,MATCH("3.2. PROTECTION DES MAJEURS",'ETPT A-JUST'!2:2,0)),
INDEX( 'ETPT A-JUST'!$A:$ZZ,,MATCH("Fonction recodée",'ETPT A-JUST'!2:2,0)),"Fonctionnaire A-B-CBUR placé SUB",
INDEX( 'ETPT A-JUST'!$A:$ZZ,,MATCH("Juridiction",'ETPT A-JUST'!2:2,0)),$D$5))-
SUM(SUMIFS(
INDEX( 'ETPT A-JUST'!$A:$ZZ,,MATCH("3.43. INJONCTIONS DE PAYER",'ETPT A-JUST'!2:2,0)),
INDEX( 'ETPT A-JUST'!$A:$ZZ,,MATCH("Fonction recodée",'ETPT A-JUST'!2:2,0)),"Fonctionnaire A-B-CBUR placé SUB",
INDEX( 'ETPT A-JUST'!$A:$ZZ,,MATCH("Juridiction",'ETPT A-JUST'!2:2,0)),$D$5))-
SUM(SUMIFS(
INDEX( 'ETPT A-JUST'!$A:$ZZ,,MATCH("3.44. SAISIE DES RÉMUNÉRATIONS",'ETPT A-JUST'!2:2,0)),
INDEX( 'ETPT A-JUST'!$A:$ZZ,,MATCH("Fonction recodée",'ETPT A-JUST'!2:2,0)),"Fonctionnaire A-B-CBUR placé SUB",
INDEX( 'ETPT A-JUST'!$A:$ZZ,,MATCH("Juridiction",'ETPT A-JUST'!2:2,0)),$D$5))</f>
        <v>#N/A</v>
      </c>
      <c r="L15" s="107" t="e">
        <f>SUM(SUMIFS(
INDEX( 'ETPT A-JUST'!$A:$ZZ,,MATCH("3.2. PROTECTION DES MAJEURS",'ETPT A-JUST'!2:2,0)),
INDEX( 'ETPT A-JUST'!$A:$ZZ,,MATCH("Fonction recodée",'ETPT A-JUST'!2:2,0)),"Fonctionnaire A-B-CBUR placé SUB",
INDEX( 'ETPT A-JUST'!$A:$ZZ,,MATCH("Juridiction",'ETPT A-JUST'!2:2,0)),$D$5))</f>
        <v>#N/A</v>
      </c>
      <c r="M15" s="124"/>
      <c r="N15" s="124"/>
      <c r="O15" s="125"/>
      <c r="P15" s="125"/>
      <c r="Q15" s="122"/>
      <c r="R15" s="119" t="e">
        <f>SUM(SUMIFS(
INDEX( 'ETPT A-JUST'!$A:$ZZ,,MATCH("1. TOTAL CONTENTIEUX SOCIAL",'ETPT A-JUST'!2:2,0)),
INDEX( 'ETPT A-JUST'!$A:$ZZ,,MATCH("Fonction recodée",'ETPT A-JUST'!2:2,0)),"Fonctionnaire A-B-CBUR placé SUB",
INDEX( 'ETPT A-JUST'!$A:$ZZ,,MATCH("Juridiction",'ETPT A-JUST'!2:2,0)),$D$5))+
SUM(SUMIFS(
INDEX( 'ETPT A-JUST'!$A:$ZZ,,MATCH("2. TOTAL CONTENTIEUX JAF",'ETPT A-JUST'!2:2,0)),
INDEX( 'ETPT A-JUST'!$A:$ZZ,,MATCH("Fonction recodée",'ETPT A-JUST'!2:2,0)),"Fonctionnaire A-B-CBUR placé SUB",
INDEX( 'ETPT A-JUST'!$A:$ZZ,,MATCH("Juridiction",'ETPT A-JUST'!2:2,0)),$D$5))+
SUM(SUMIFS(
INDEX( 'ETPT A-JUST'!$A:$ZZ,,MATCH("4. TOTAL CIVIL NON SPÉCIALISÉ",'ETPT A-JUST'!2:2,0)),
INDEX( 'ETPT A-JUST'!$A:$ZZ,,MATCH("Fonction recodée",'ETPT A-JUST'!2:2,0)),"Fonctionnaire A-B-CBUR placé SUB",
INDEX( 'ETPT A-JUST'!$A:$ZZ,,MATCH("Juridiction",'ETPT A-JUST'!2:2,0)),$D$5))+
SUM(SUMIFS(
INDEX( 'ETPT A-JUST'!$A:$ZZ,,MATCH("5. TOTAL JLD CIVIL",'ETPT A-JUST'!2:2,0)),
INDEX( 'ETPT A-JUST'!$A:$ZZ,,MATCH("Fonction recodée",'ETPT A-JUST'!2:2,0)),"Fonctionnaire A-B-CBUR placé SUB",
INDEX( 'ETPT A-JUST'!$A:$ZZ,,MATCH("Juridiction",'ETPT A-JUST'!2:2,0)),$D$5))+
SUM(SUMIFS(
INDEX( 'ETPT A-JUST'!$A:$ZZ,,MATCH("6.1. ACTIVITÉ CIVILE",'ETPT A-JUST'!2:2,0)),
INDEX( 'ETPT A-JUST'!$A:$ZZ,,MATCH("Fonction recodée",'ETPT A-JUST'!2:2,0)),"Fonctionnaire A-B-CBUR placé SUB",
INDEX( 'ETPT A-JUST'!$A:$ZZ,,MATCH("Juridiction",'ETPT A-JUST'!2:2,0)),$D$5))+
SUM(SUMIFS(
INDEX( 'ETPT A-JUST'!$A:$ZZ,,MATCH("11.8. FONCTIONNAIRES AFFECTÉS AUX ACTIVITÉS CIVILES ET COMMERCIALES DU PARQUET",'ETPT A-JUST'!2:2,0)),
INDEX( 'ETPT A-JUST'!$A:$ZZ,,MATCH("Fonction recodée",'ETPT A-JUST'!2:2,0)),"Fonctionnaire A-B-CBUR placé SUB",
INDEX( 'ETPT A-JUST'!$A:$ZZ,,MATCH("Juridiction",'ETPT A-JUST'!2:2,0)),$D$5))+
SUM(SUMIFS(
INDEX( 'ETPT A-JUST'!$A:$ZZ,,MATCH("11.51. ACCUEIL DU JUSTICIABLE (DONT SAUJ)",'ETPT A-JUST'!2:2,0)),
INDEX( 'ETPT A-JUST'!$A:$ZZ,,MATCH("Fonction recodée",'ETPT A-JUST'!2:2,0)),"Fonctionnaire A-B-CBUR placé SUB",
INDEX( 'ETPT A-JUST'!$A:$ZZ,,MATCH("Juridiction",'ETPT A-JUST'!2:2,0)),$D$5))+
SUM(SUMIFS(
INDEX( 'ETPT A-JUST'!$A:$ZZ,,MATCH("11.1. SOUTIEN (HORS FORMATIONS SUIVIES)",'ETPT A-JUST'!2:2,0)),
INDEX( 'ETPT A-JUST'!$A:$ZZ,,MATCH("Fonction recodée",'ETPT A-JUST'!2:2,0)),"Fonctionnaire A-B-CBUR placé SUB",
INDEX( 'ETPT A-JUST'!$A:$ZZ,,MATCH("Juridiction",'ETPT A-JUST'!2:2,0)),$D$5))+
SUM(SUMIFS(
INDEX( 'ETPT A-JUST'!$A:$ZZ,,MATCH("11.2. FORMATIONS SUIVIES",'ETPT A-JUST'!2:2,0)),
INDEX( 'ETPT A-JUST'!$A:$ZZ,,MATCH("Fonction recodée",'ETPT A-JUST'!2:2,0)),"Fonctionnaire A-B-CBUR placé SUB",
INDEX( 'ETPT A-JUST'!$A:$ZZ,,MATCH("Juridiction",'ETPT A-JUST'!2:2,0)),$D$5))+
SUM(SUMIFS(
INDEX( 'ETPT A-JUST'!$A:$ZZ,,MATCH("11.6. AUTRES ACTIVITÉS NON JURIDICTIONNELLES",'ETPT A-JUST'!2:2,0)),
INDEX( 'ETPT A-JUST'!$A:$ZZ,,MATCH("Fonction recodée",'ETPT A-JUST'!2:2,0)),"Fonctionnaire A-B-CBUR placé SUB",
INDEX( 'ETPT A-JUST'!$A:$ZZ,,MATCH("Juridiction",'ETPT A-JUST'!2:2,0)),$D$5))+
SUM(SUMIFS(
INDEX( 'ETPT A-JUST'!$A:$ZZ,,MATCH("11.3. FORMATIONS DISPENSÉES",'ETPT A-JUST'!2:2,0)),
INDEX( 'ETPT A-JUST'!$A:$ZZ,,MATCH("Fonction recodée",'ETPT A-JUST'!2:2,0)),"Fonctionnaire A-B-CBUR placé SUB",
INDEX( 'ETPT A-JUST'!$A:$ZZ,,MATCH("Juridiction",'ETPT A-JUST'!2:2,0)),$D$5))+
SUM(SUMIFS(
INDEX( 'ETPT A-JUST'!$A:$ZZ,,MATCH("11.4. ACCÈS AU DROIT ET À LA JUSTICE",'ETPT A-JUST'!2:2,0)),
INDEX( 'ETPT A-JUST'!$A:$ZZ,,MATCH("Fonction recodée",'ETPT A-JUST'!2:2,0)),"Fonctionnaire A-B-CBUR placé SUB",
INDEX( 'ETPT A-JUST'!$A:$ZZ,,MATCH("Juridiction",'ETPT A-JUST'!2:2,0)),$D$5))</f>
        <v>#N/A</v>
      </c>
      <c r="S15" s="146">
        <f>_xlfn.AGGREGATE(9,6,I15:R15)</f>
        <v>0</v>
      </c>
      <c r="T15" s="107">
        <f>_xlfn.IFNA(SUM(SUMIFS(
INDEX( 'ETPT A-JUST'!$A:$ZZ,,MATCH("13. TOTAL CONTENTIEUX LOCAUX SPÉCIFIQUES",'ETPT A-JUST'!2:2,0)),
INDEX( 'ETPT A-JUST'!$A:$ZZ,,MATCH("Fonction recodée",'ETPT A-JUST'!2:2,0)),"Magistrat placé SUB",
INDEX( 'ETPT A-JUST'!$A:$ZZ,,MATCH("Juridiction",'ETPT A-JUST'!2:2,0)),$D$5)),0)</f>
        <v>0</v>
      </c>
      <c r="U15" s="107" t="e">
        <f>SUM(SUMIFS(
INDEX( 'ETPT A-JUST'!$A:$ZZ,,MATCH("3.43. INJONCTIONS DE PAYER",'ETPT A-JUST'!2:2,0)),
INDEX( 'ETPT A-JUST'!$A:$ZZ,,MATCH("Fonction recodée",'ETPT A-JUST'!2:2,0)),"Magistrat placé SUB",
INDEX( 'ETPT A-JUST'!$A:$ZZ,,MATCH("Juridiction",'ETPT A-JUST'!2:2,0)),$D$5))+
SUM(SUMIFS(
INDEX( 'ETPT A-JUST'!$A:$ZZ,,MATCH("3.44. SAISIE DES RÉMUNÉRATIONS",'ETPT A-JUST'!2:2,0)),
INDEX( 'ETPT A-JUST'!$A:$ZZ,,MATCH("Fonction recodée",'ETPT A-JUST'!2:2,0)),"Magistrat placé SUB",
INDEX( 'ETPT A-JUST'!$A:$ZZ,,MATCH("Juridiction",'ETPT A-JUST'!2:2,0)),$D$5))</f>
        <v>#N/A</v>
      </c>
      <c r="V15" s="107" t="e">
        <f>SUM(SUMIFS(
INDEX( 'ETPT A-JUST'!$A:$ZZ,,MATCH("3. TOTAL CONTENTIEUX DE LA PROTECTION",'ETPT A-JUST'!2:2,0)),
INDEX( 'ETPT A-JUST'!$A:$ZZ,,MATCH("Fonction recodée",'ETPT A-JUST'!2:2,0)),"Magistrat placé SUB",
INDEX( 'ETPT A-JUST'!$A:$ZZ,,MATCH("Juridiction",'ETPT A-JUST'!2:2,0)),$D$5))-
SUM(SUMIFS(
INDEX( 'ETPT A-JUST'!$A:$ZZ,,MATCH("3.2. PROTECTION DES MAJEURS",'ETPT A-JUST'!2:2,0)),
INDEX( 'ETPT A-JUST'!$A:$ZZ,,MATCH("Fonction recodée",'ETPT A-JUST'!2:2,0)),"Magistrat placé SUB",
INDEX( 'ETPT A-JUST'!$A:$ZZ,,MATCH("Juridiction",'ETPT A-JUST'!2:2,0)),$D$5))-
SUM(SUMIFS(
INDEX( 'ETPT A-JUST'!$A:$ZZ,,MATCH("3.43. INJONCTIONS DE PAYER",'ETPT A-JUST'!2:2,0)),
INDEX( 'ETPT A-JUST'!$A:$ZZ,,MATCH("Fonction recodée",'ETPT A-JUST'!2:2,0)),"Magistrat placé SUB",
INDEX( 'ETPT A-JUST'!$A:$ZZ,,MATCH("Juridiction",'ETPT A-JUST'!2:2,0)),$D$5))-
SUM(SUMIFS(
INDEX( 'ETPT A-JUST'!$A:$ZZ,,MATCH("3.44. SAISIE DES RÉMUNÉRATIONS",'ETPT A-JUST'!2:2,0)),
INDEX( 'ETPT A-JUST'!$A:$ZZ,,MATCH("Fonction recodée",'ETPT A-JUST'!2:2,0)),"Magistrat placé SUB",
INDEX( 'ETPT A-JUST'!$A:$ZZ,,MATCH("Juridiction",'ETPT A-JUST'!2:2,0)),$D$5))</f>
        <v>#N/A</v>
      </c>
      <c r="W15" s="107" t="e">
        <f>SUM(SUMIFS(
INDEX( 'ETPT A-JUST'!$A:$ZZ,,MATCH("3.2. PROTECTION DES MAJEURS",'ETPT A-JUST'!2:2,0)),
INDEX( 'ETPT A-JUST'!$A:$ZZ,,MATCH("Fonction recodée",'ETPT A-JUST'!2:2,0)),"Magistrat placé SUB",
INDEX( 'ETPT A-JUST'!$A:$ZZ,,MATCH("Juridiction",'ETPT A-JUST'!2:2,0)),$D$5))</f>
        <v>#N/A</v>
      </c>
      <c r="X15" s="125"/>
      <c r="Y15" s="125"/>
      <c r="Z15" s="125"/>
      <c r="AA15" s="125"/>
      <c r="AB15" s="125"/>
      <c r="AC15" s="146">
        <f t="shared" si="3"/>
        <v>0</v>
      </c>
      <c r="AD15" s="122"/>
      <c r="AE15" s="111" t="e">
        <f>SUM(SUMIFS(
INDEX( 'ETPT A-JUST'!$A:$ZZ,,MATCH("1.1. DÉPARTAGE PRUD'HOMAL",'ETPT A-JUST'!2:2,0)),
INDEX( 'ETPT A-JUST'!$A:$ZZ,,MATCH("Fonction recodée",'ETPT A-JUST'!2:2,0)),"Magistrat placé SUB",
INDEX( 'ETPT A-JUST'!$A:$ZZ,,MATCH("Juridiction",'ETPT A-JUST'!2:2,0)),$D$5))</f>
        <v>#N/A</v>
      </c>
      <c r="AF15" s="111" t="e">
        <f>SUM(SUMIFS(
INDEX( 'ETPT A-JUST'!$A:$ZZ,,MATCH("Temps ventilés sur la période (absentéisme et action 99 déduits)",'ETPT A-JUST'!2:2,0)),
INDEX( 'ETPT A-JUST'!$A:$ZZ,,MATCH("Fonction recodée",'ETPT A-JUST'!2:2,0)),"Magistrat placé SUB",
INDEX( 'ETPT A-JUST'!$A:$ZZ,,MATCH("Juridiction",'ETPT A-JUST'!2:2,0)),$D$5))-
_xlfn.AGGREGATE(9,6,T15:AB15)-
_xlfn.AGGREGATE(9,6,AD15:AE15)</f>
        <v>#N/A</v>
      </c>
      <c r="AG15" s="146">
        <f>_xlfn.AGGREGATE(9,6,AD15:AF15)</f>
        <v>0</v>
      </c>
    </row>
    <row r="16" spans="1:33" x14ac:dyDescent="0.25">
      <c r="A16" s="145"/>
      <c r="B16" s="155"/>
      <c r="C16" s="155"/>
      <c r="D16" s="155"/>
      <c r="E16" s="155"/>
      <c r="F16" s="156" t="s">
        <v>2245</v>
      </c>
      <c r="G16" s="146">
        <f>_xlfn.AGGREGATE(9,6,G5:G15)</f>
        <v>0</v>
      </c>
      <c r="H16" s="146">
        <f t="shared" ref="H16:AG16" si="5">_xlfn.AGGREGATE(9,6,H5:H15)</f>
        <v>0</v>
      </c>
      <c r="I16" s="146">
        <f t="shared" si="5"/>
        <v>0</v>
      </c>
      <c r="J16" s="146">
        <f t="shared" si="5"/>
        <v>0</v>
      </c>
      <c r="K16" s="146">
        <f t="shared" si="5"/>
        <v>0</v>
      </c>
      <c r="L16" s="146">
        <f t="shared" si="5"/>
        <v>0</v>
      </c>
      <c r="M16" s="146">
        <f t="shared" si="5"/>
        <v>0</v>
      </c>
      <c r="N16" s="146">
        <f t="shared" si="5"/>
        <v>0</v>
      </c>
      <c r="O16" s="146">
        <f t="shared" si="5"/>
        <v>0</v>
      </c>
      <c r="P16" s="146">
        <f t="shared" si="5"/>
        <v>0</v>
      </c>
      <c r="Q16" s="146">
        <f t="shared" si="5"/>
        <v>0</v>
      </c>
      <c r="R16" s="146">
        <f t="shared" si="5"/>
        <v>0</v>
      </c>
      <c r="S16" s="146">
        <f t="shared" si="5"/>
        <v>0</v>
      </c>
      <c r="T16" s="146">
        <f t="shared" si="5"/>
        <v>0</v>
      </c>
      <c r="U16" s="146">
        <f t="shared" si="5"/>
        <v>0</v>
      </c>
      <c r="V16" s="146">
        <f t="shared" si="5"/>
        <v>0</v>
      </c>
      <c r="W16" s="146">
        <f t="shared" si="5"/>
        <v>0</v>
      </c>
      <c r="X16" s="146">
        <f t="shared" si="5"/>
        <v>0</v>
      </c>
      <c r="Y16" s="146">
        <f t="shared" si="5"/>
        <v>0</v>
      </c>
      <c r="Z16" s="146">
        <f t="shared" si="5"/>
        <v>0</v>
      </c>
      <c r="AA16" s="146">
        <f t="shared" si="5"/>
        <v>0</v>
      </c>
      <c r="AB16" s="146">
        <f t="shared" si="5"/>
        <v>0</v>
      </c>
      <c r="AC16" s="146">
        <f>_xlfn.AGGREGATE(9,6,AC5:AC15)</f>
        <v>0</v>
      </c>
      <c r="AD16" s="146">
        <f>_xlfn.AGGREGATE(9,6,AD5:AD15)</f>
        <v>0</v>
      </c>
      <c r="AE16" s="146">
        <f t="shared" si="5"/>
        <v>0</v>
      </c>
      <c r="AF16" s="146">
        <f t="shared" si="5"/>
        <v>0</v>
      </c>
      <c r="AG16" s="146">
        <f t="shared" si="5"/>
        <v>0</v>
      </c>
    </row>
    <row r="17" spans="19:19" x14ac:dyDescent="0.25">
      <c r="S17" s="134"/>
    </row>
    <row r="18" ht="24" customHeight="1" spans="6:32" s="157" customFormat="1" x14ac:dyDescent="0.25">
      <c r="F18" s="158" t="s">
        <v>2247</v>
      </c>
      <c r="G18" s="138" t="e">
        <f t="array" ref="G18">SUM(SUMIFS(
INDEX( 'ETPT A-JUST'!$A:$ZZ,,MATCH("12. TOTAL INDISPONIBILITÉ",'ETPT A-JUST'!2:2,0)),
INDEX( 'ETPT A-JUST'!$A:$ZZ,,MATCH("Fonction recodée",'ETPT A-JUST'!2:2,0)),{"Fonctionnaire CTECH placé ADD";"Fonctionnaire CTECH placé SUB"},
INDEX( 'ETPT A-JUST'!$A:$ZZ,,MATCH("Juridiction",'ETPT A-JUST'!2:2,0)),$D$5))</f>
        <v>#N/A</v>
      </c>
      <c r="Q18" s="140" t="s">
        <v>2248</v>
      </c>
      <c r="R18" s="138" t="e">
        <f t="array" ref="R18">SUM(SUMIFS(
INDEX( 'ETPT A-JUST'!$A:$ZZ,,MATCH("12. TOTAL INDISPONIBILITÉ",'ETPT A-JUST'!2:2,0)),
INDEX( 'ETPT A-JUST'!$A:$ZZ,,MATCH("Fonction recodée",'ETPT A-JUST'!2:2,0)),{"Fonctionnaire A-B-CBUR placé ADD";"Fonctionnaire A-B-CBUR placé SUB"},
INDEX( 'ETPT A-JUST'!$A:$ZZ,,MATCH("Juridiction",'ETPT A-JUST'!2:2,0)),$D$5))</f>
        <v>#N/A</v>
      </c>
      <c r="S18" s="159"/>
      <c r="AD18" s="140"/>
      <c r="AE18" s="140" t="s">
        <v>2249</v>
      </c>
      <c r="AF18" s="111" t="e">
        <f t="array" ref="AF18">SUM(SUMIFS(
INDEX( 'ETPT A-JUST'!$A:$ZZ,,MATCH("12. TOTAL INDISPONIBILITÉ",'ETPT A-JUST'!2:2,0)),
INDEX( 'ETPT A-JUST'!$A:$ZZ,,MATCH("Fonction recodée",'ETPT A-JUST'!2:2,0)),{"Magistrat placé ADD";"Magistrat placé SUB"},
INDEX( 'ETPT A-JUST'!$A:$ZZ,,MATCH("Juridiction",'ETPT A-JUST'!2:2,0)),$D$5))</f>
        <v>#N/A</v>
      </c>
    </row>
    <row r="19" spans="4:4" x14ac:dyDescent="0.25">
      <c r="D19" s="135" t="s">
        <v>2246</v>
      </c>
    </row>
  </sheetData>
  <mergeCells count="5">
    <mergeCell ref="A1:H1"/>
    <mergeCell ref="H2:H4"/>
    <mergeCell ref="S2:S4"/>
    <mergeCell ref="AC2:AC4"/>
    <mergeCell ref="AG2:AG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17"/>
  <sheetViews>
    <sheetView workbookViewId="0" zoomScale="150" zoomScaleNormal="100">
      <selection activeCell="I19" sqref="I19"/>
    </sheetView>
  </sheetViews>
  <sheetFormatPr defaultRowHeight="16" outlineLevelRow="0" outlineLevelCol="0" x14ac:dyDescent="0.2" defaultColWidth="11" customHeight="1"/>
  <cols>
    <col min="1" max="3" style="91" hidden="1" customWidth="1"/>
    <col min="4" max="4" width="15.1640625" style="91" customWidth="1"/>
    <col min="5" max="5" width="11" style="91" customWidth="1"/>
    <col min="6" max="6" width="46.33203125" style="91" customWidth="1"/>
    <col min="7" max="16384" width="11" style="91" customWidth="1"/>
  </cols>
  <sheetData>
    <row r="1" spans="1:10" x14ac:dyDescent="0.25">
      <c r="A1" s="92"/>
      <c r="C1" s="160"/>
      <c r="D1" s="160" t="s">
        <v>2293</v>
      </c>
      <c r="E1" s="160"/>
      <c r="F1" s="160"/>
      <c r="G1" s="92"/>
      <c r="H1" s="92"/>
      <c r="I1" s="92"/>
      <c r="J1" s="92"/>
    </row>
    <row r="2" spans="1:10" x14ac:dyDescent="0.25">
      <c r="A2" s="161"/>
      <c r="B2" s="162"/>
      <c r="C2" s="162"/>
      <c r="D2" s="162"/>
      <c r="E2" s="162"/>
      <c r="F2" s="162"/>
      <c r="G2" s="95" t="s">
        <v>2118</v>
      </c>
      <c r="H2" s="96" t="s">
        <v>2119</v>
      </c>
      <c r="I2" s="95" t="s">
        <v>2294</v>
      </c>
      <c r="J2" s="96" t="s">
        <v>2295</v>
      </c>
    </row>
    <row r="3" ht="36" customHeight="1" spans="1:10" x14ac:dyDescent="0.25">
      <c r="A3" s="161"/>
      <c r="B3" s="162"/>
      <c r="C3" s="162"/>
      <c r="D3" s="162"/>
      <c r="E3" s="162"/>
      <c r="F3" s="162"/>
      <c r="G3" s="95" t="s">
        <v>2139</v>
      </c>
      <c r="H3" s="96"/>
      <c r="I3" s="95" t="s">
        <v>2296</v>
      </c>
      <c r="J3" s="96"/>
    </row>
    <row r="4" ht="36" customHeight="1" spans="1:10" s="163" customFormat="1" x14ac:dyDescent="0.25">
      <c r="A4" s="164"/>
      <c r="B4" s="165" t="s">
        <v>2169</v>
      </c>
      <c r="C4" s="165" t="s">
        <v>2170</v>
      </c>
      <c r="D4" s="165" t="s">
        <v>37</v>
      </c>
      <c r="E4" s="165" t="s">
        <v>2171</v>
      </c>
      <c r="F4" s="165" t="s">
        <v>2172</v>
      </c>
      <c r="G4" s="95" t="s">
        <v>2187</v>
      </c>
      <c r="H4" s="96"/>
      <c r="I4" s="95" t="s">
        <v>2297</v>
      </c>
      <c r="J4" s="96"/>
    </row>
    <row r="5" ht="11" customHeight="1" spans="1:10" s="163" customFormat="1" x14ac:dyDescent="0.25">
      <c r="A5" s="166" t="s">
        <v>2298</v>
      </c>
      <c r="B5" s="167"/>
      <c r="C5" s="167"/>
      <c r="D5" s="168">
        <f>ETPT_CPH_DDG!$D$5</f>
        <v>0</v>
      </c>
      <c r="E5" s="167" t="s">
        <v>2220</v>
      </c>
      <c r="F5" s="167" t="s">
        <v>2221</v>
      </c>
      <c r="G5" s="169" t="e">
        <f>SUM(SUMIFS(
INDEX( 'ETPT Format DDG'!$A:$ZZ,,MATCH("11.7. FONCTIONNAIRES AFFECTÉS AU CPH",'ETPT Format DDG'!2:2,0)),
INDEX( 'ETPT Format DDG'!$A:$ZZ,,MATCH("Fonction recodée",'ETPT Format DDG'!2:2,0)),"Fonctionnaire A-B-CBUR",
INDEX( 'ETPT Format DDG'!$A:$ZZ,,MATCH("Juridiction",'ETPT Format DDG'!2:2,0)),$D$5))</f>
        <v>#N/A</v>
      </c>
      <c r="H5" s="170">
        <f>_xlfn.AGGREGATE(9,6,G5)</f>
        <v>0</v>
      </c>
      <c r="I5" s="171"/>
      <c r="J5" s="170">
        <f>_xlfn.AGGREGATE(9,6,I5)</f>
        <v>0</v>
      </c>
    </row>
    <row r="6" ht="11" customHeight="1" spans="1:10" s="163" customFormat="1" x14ac:dyDescent="0.25">
      <c r="A6" s="166" t="s">
        <v>2298</v>
      </c>
      <c r="B6" s="167"/>
      <c r="C6" s="167"/>
      <c r="D6" s="115">
        <f t="shared" ref="D6:D13" si="0">$D$5</f>
        <v>0</v>
      </c>
      <c r="E6" s="167" t="s">
        <v>2229</v>
      </c>
      <c r="F6" s="167" t="s">
        <v>2230</v>
      </c>
      <c r="G6" s="172"/>
      <c r="H6" s="170">
        <f t="shared" ref="H6:H13" si="1">_xlfn.AGGREGATE(9,6,G6)</f>
        <v>0</v>
      </c>
      <c r="I6" s="171"/>
      <c r="J6" s="170">
        <f t="shared" ref="J6:J13" si="2">_xlfn.AGGREGATE(9,6,I6)</f>
        <v>0</v>
      </c>
    </row>
    <row r="7" ht="11" customHeight="1" spans="1:10" s="163" customFormat="1" x14ac:dyDescent="0.25">
      <c r="A7" s="166" t="s">
        <v>2298</v>
      </c>
      <c r="B7" s="167"/>
      <c r="C7" s="167"/>
      <c r="D7" s="115">
        <f t="shared" si="0"/>
        <v>0</v>
      </c>
      <c r="E7" s="167" t="s">
        <v>2231</v>
      </c>
      <c r="F7" s="167" t="s">
        <v>2232</v>
      </c>
      <c r="G7" s="172"/>
      <c r="H7" s="170">
        <f t="shared" si="1"/>
        <v>0</v>
      </c>
      <c r="I7" s="173"/>
      <c r="J7" s="170">
        <f t="shared" si="2"/>
        <v>0</v>
      </c>
    </row>
    <row r="8" ht="11" customHeight="1" spans="1:10" s="163" customFormat="1" x14ac:dyDescent="0.25">
      <c r="A8" s="166" t="s">
        <v>2298</v>
      </c>
      <c r="B8" s="167"/>
      <c r="C8" s="167"/>
      <c r="D8" s="115">
        <f t="shared" si="0"/>
        <v>0</v>
      </c>
      <c r="E8" s="167" t="s">
        <v>2233</v>
      </c>
      <c r="F8" s="167" t="s">
        <v>2234</v>
      </c>
      <c r="G8" s="172"/>
      <c r="H8" s="170">
        <f t="shared" si="1"/>
        <v>0</v>
      </c>
      <c r="I8" s="171"/>
      <c r="J8" s="170">
        <f t="shared" si="2"/>
        <v>0</v>
      </c>
    </row>
    <row r="9" ht="11" customHeight="1" spans="1:10" s="163" customFormat="1" x14ac:dyDescent="0.25">
      <c r="A9" s="166" t="s">
        <v>2298</v>
      </c>
      <c r="B9" s="167"/>
      <c r="C9" s="167"/>
      <c r="D9" s="115">
        <f t="shared" si="0"/>
        <v>0</v>
      </c>
      <c r="E9" s="167" t="s">
        <v>2235</v>
      </c>
      <c r="F9" s="167" t="s">
        <v>2236</v>
      </c>
      <c r="G9" s="172"/>
      <c r="H9" s="170">
        <f t="shared" si="1"/>
        <v>0</v>
      </c>
      <c r="I9" s="173"/>
      <c r="J9" s="170">
        <f t="shared" si="2"/>
        <v>0</v>
      </c>
    </row>
    <row r="10" ht="11" customHeight="1" spans="1:10" s="163" customFormat="1" x14ac:dyDescent="0.25">
      <c r="A10" s="166" t="s">
        <v>2298</v>
      </c>
      <c r="B10" s="167"/>
      <c r="C10" s="167"/>
      <c r="D10" s="115">
        <f t="shared" si="0"/>
        <v>0</v>
      </c>
      <c r="E10" s="167" t="s">
        <v>2237</v>
      </c>
      <c r="F10" s="167" t="s">
        <v>2238</v>
      </c>
      <c r="G10" s="172"/>
      <c r="H10" s="170">
        <f t="shared" si="1"/>
        <v>0</v>
      </c>
      <c r="I10" s="171"/>
      <c r="J10" s="170">
        <f t="shared" si="2"/>
        <v>0</v>
      </c>
    </row>
    <row r="11" ht="11" customHeight="1" spans="1:10" s="163" customFormat="1" x14ac:dyDescent="0.25">
      <c r="A11" s="166" t="s">
        <v>2298</v>
      </c>
      <c r="B11" s="167"/>
      <c r="C11" s="167"/>
      <c r="D11" s="115">
        <f t="shared" si="0"/>
        <v>0</v>
      </c>
      <c r="E11" s="167" t="s">
        <v>2239</v>
      </c>
      <c r="F11" s="167" t="s">
        <v>2240</v>
      </c>
      <c r="G11" s="172"/>
      <c r="H11" s="170">
        <f t="shared" si="1"/>
        <v>0</v>
      </c>
      <c r="I11" s="173"/>
      <c r="J11" s="170">
        <f t="shared" si="2"/>
        <v>0</v>
      </c>
    </row>
    <row r="12" ht="11" customHeight="1" spans="1:10" s="163" customFormat="1" x14ac:dyDescent="0.25">
      <c r="A12" s="166" t="s">
        <v>2298</v>
      </c>
      <c r="B12" s="167"/>
      <c r="C12" s="167"/>
      <c r="D12" s="115">
        <f t="shared" si="0"/>
        <v>0</v>
      </c>
      <c r="E12" s="167" t="s">
        <v>2241</v>
      </c>
      <c r="F12" s="167" t="s">
        <v>2242</v>
      </c>
      <c r="G12" s="169" t="e">
        <f>SUM(SUMIFS(
INDEX( 'ETPT A-JUST'!$A:$ZZ,,MATCH("11.7. FONCTIONNAIRES AFFECTÉS AU CPH",'ETPT A-JUST'!2:2,0)),
INDEX( 'ETPT A-JUST'!$A:$ZZ,,MATCH("Fonction recodée",'ETPT A-JUST'!2:2,0)),"Fonctionnaire A-B-CBUR placé ADD",
INDEX( 'ETPT A-JUST'!$A:$ZZ,,MATCH("Juridiction",'ETPT A-JUST'!2:2,0)),$D$5))</f>
        <v>#N/A</v>
      </c>
      <c r="H12" s="170">
        <f t="shared" si="1"/>
        <v>0</v>
      </c>
      <c r="I12" s="154"/>
      <c r="J12" s="170">
        <f t="shared" si="2"/>
        <v>0</v>
      </c>
    </row>
    <row r="13" ht="11" customHeight="1" spans="1:10" s="163" customFormat="1" x14ac:dyDescent="0.25">
      <c r="A13" s="166" t="s">
        <v>2298</v>
      </c>
      <c r="B13" s="167"/>
      <c r="C13" s="167"/>
      <c r="D13" s="115">
        <f t="shared" si="0"/>
        <v>0</v>
      </c>
      <c r="E13" s="167" t="s">
        <v>2243</v>
      </c>
      <c r="F13" s="167" t="s">
        <v>2244</v>
      </c>
      <c r="G13" s="169" t="e">
        <f>SUM(SUMIFS(
INDEX( 'ETPT A-JUST'!$A:$ZZ,,MATCH("11.7. FONCTIONNAIRES AFFECTÉS AU CPH",'ETPT A-JUST'!2:2,0)),
INDEX( 'ETPT A-JUST'!$A:$ZZ,,MATCH("Fonction recodée",'ETPT A-JUST'!2:2,0)),"Fonctionnaire A-B-CBUR placé SUB",
INDEX( 'ETPT A-JUST'!$A:$ZZ,,MATCH("Juridiction",'ETPT A-JUST'!2:2,0)),$D$5))</f>
        <v>#N/A</v>
      </c>
      <c r="H13" s="170">
        <f t="shared" si="1"/>
        <v>0</v>
      </c>
      <c r="I13" s="154"/>
      <c r="J13" s="170">
        <f t="shared" si="2"/>
        <v>0</v>
      </c>
    </row>
    <row r="14" ht="11" customHeight="1" spans="1:10" s="163" customFormat="1" x14ac:dyDescent="0.25">
      <c r="A14" s="174"/>
      <c r="B14" s="115"/>
      <c r="C14" s="115"/>
      <c r="D14" s="115"/>
      <c r="E14" s="155"/>
      <c r="F14" s="175" t="s">
        <v>2245</v>
      </c>
      <c r="G14" s="170">
        <f>_xlfn.AGGREGATE(9,6,G5:G13)</f>
        <v>0</v>
      </c>
      <c r="H14" s="170">
        <f t="shared" ref="H14:I14" si="3">_xlfn.AGGREGATE(9,6,H5:H13)</f>
        <v>0</v>
      </c>
      <c r="I14" s="170">
        <f t="shared" si="3"/>
        <v>0</v>
      </c>
      <c r="J14" s="170">
        <f>_xlfn.AGGREGATE(9,6,J5:J13)</f>
        <v>0</v>
      </c>
    </row>
    <row r="17" spans="4:4" x14ac:dyDescent="0.25">
      <c r="D17" s="135"/>
    </row>
  </sheetData>
  <mergeCells count="2">
    <mergeCell ref="H2:H4"/>
    <mergeCell ref="J2:J4"/>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E0000"/>
  </sheetPr>
  <dimension ref="A1:BF22"/>
  <sheetViews>
    <sheetView workbookViewId="0" showGridLines="0" zoomScale="100" zoomScaleNormal="100">
      <selection activeCell="Q14" sqref="Q14"/>
    </sheetView>
  </sheetViews>
  <sheetFormatPr defaultRowHeight="16" outlineLevelRow="0" outlineLevelCol="0" x14ac:dyDescent="0.2" defaultColWidth="11" customHeight="1"/>
  <cols>
    <col min="1" max="1" width="6" style="91" hidden="1" customWidth="1"/>
    <col min="2" max="2" width="17.1640625" style="91" hidden="1" customWidth="1"/>
    <col min="3" max="3" width="6.33203125" style="91" hidden="1" customWidth="1"/>
    <col min="4" max="4" width="14.6640625" style="91" customWidth="1"/>
    <col min="5" max="5" width="9.6640625" style="91" customWidth="1"/>
    <col min="6" max="6" width="50.5" style="91" customWidth="1"/>
    <col min="7" max="8" width="9.33203125" style="91" customWidth="1"/>
    <col min="9" max="9" width="9.5" style="91" customWidth="1"/>
    <col min="10" max="10" width="9" style="91" customWidth="1"/>
    <col min="11" max="33" width="9.33203125" style="91" customWidth="1"/>
    <col min="34" max="34" width="8.5" style="91" customWidth="1"/>
    <col min="35" max="35" width="7.33203125" style="91" customWidth="1"/>
    <col min="36" max="53" width="9.33203125" style="91" customWidth="1"/>
    <col min="54" max="54" width="10.6640625" style="91" customWidth="1"/>
    <col min="55" max="58" width="9.33203125" style="91" customWidth="1"/>
    <col min="59" max="59" width="4" style="91" customWidth="1"/>
    <col min="60" max="16384" width="11" style="91" customWidth="1"/>
  </cols>
  <sheetData>
    <row r="1" ht="80" customHeight="1" spans="1:58" s="40" customFormat="1" x14ac:dyDescent="0.25">
      <c r="A1" s="41" t="s">
        <v>2299</v>
      </c>
      <c r="B1" s="42"/>
      <c r="C1" s="42"/>
      <c r="D1" s="41" t="s">
        <v>2324</v>
      </c>
      <c r="E1" s="43"/>
      <c r="F1" s="44"/>
      <c r="G1" s="44"/>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row>
    <row r="2" ht="12.75" customHeight="1" hidden="1" spans="1:58" s="92" customFormat="1" x14ac:dyDescent="0.25">
      <c r="A2" s="94"/>
      <c r="B2" s="94"/>
      <c r="C2" s="94"/>
      <c r="D2" s="192"/>
      <c r="E2" s="192"/>
      <c r="F2" s="192"/>
      <c r="G2" s="95" t="s">
        <v>2116</v>
      </c>
      <c r="H2" s="96" t="s">
        <v>2117</v>
      </c>
      <c r="I2" s="97" t="s">
        <v>2118</v>
      </c>
      <c r="J2" s="97" t="s">
        <v>2118</v>
      </c>
      <c r="K2" s="97" t="s">
        <v>2118</v>
      </c>
      <c r="L2" s="97" t="s">
        <v>2118</v>
      </c>
      <c r="M2" s="97" t="s">
        <v>2118</v>
      </c>
      <c r="N2" s="97" t="s">
        <v>2118</v>
      </c>
      <c r="O2" s="97" t="s">
        <v>2118</v>
      </c>
      <c r="P2" s="97" t="s">
        <v>2118</v>
      </c>
      <c r="Q2" s="97" t="s">
        <v>2118</v>
      </c>
      <c r="R2" s="97" t="s">
        <v>2118</v>
      </c>
      <c r="S2" s="97" t="s">
        <v>2118</v>
      </c>
      <c r="T2" s="97" t="s">
        <v>2118</v>
      </c>
      <c r="U2" s="97" t="s">
        <v>2118</v>
      </c>
      <c r="V2" s="97" t="s">
        <v>2118</v>
      </c>
      <c r="W2" s="96" t="s">
        <v>2119</v>
      </c>
      <c r="X2" s="98" t="s">
        <v>2120</v>
      </c>
      <c r="Y2" s="98" t="s">
        <v>2120</v>
      </c>
      <c r="Z2" s="98" t="s">
        <v>2120</v>
      </c>
      <c r="AA2" s="98" t="s">
        <v>2120</v>
      </c>
      <c r="AB2" s="98" t="s">
        <v>2120</v>
      </c>
      <c r="AC2" s="98" t="s">
        <v>2120</v>
      </c>
      <c r="AD2" s="98" t="s">
        <v>2120</v>
      </c>
      <c r="AE2" s="98" t="s">
        <v>2120</v>
      </c>
      <c r="AF2" s="98" t="s">
        <v>2120</v>
      </c>
      <c r="AG2" s="96" t="s">
        <v>2121</v>
      </c>
      <c r="AH2" s="98" t="s">
        <v>2122</v>
      </c>
      <c r="AI2" s="98" t="s">
        <v>2122</v>
      </c>
      <c r="AJ2" s="98" t="s">
        <v>2122</v>
      </c>
      <c r="AK2" s="98" t="s">
        <v>2122</v>
      </c>
      <c r="AL2" s="98" t="s">
        <v>2122</v>
      </c>
      <c r="AM2" s="98" t="s">
        <v>2122</v>
      </c>
      <c r="AN2" s="98" t="s">
        <v>2122</v>
      </c>
      <c r="AO2" s="98" t="s">
        <v>2122</v>
      </c>
      <c r="AP2" s="98" t="s">
        <v>2122</v>
      </c>
      <c r="AQ2" s="98" t="s">
        <v>2122</v>
      </c>
      <c r="AR2" s="98" t="s">
        <v>2122</v>
      </c>
      <c r="AS2" s="98" t="s">
        <v>2122</v>
      </c>
      <c r="AT2" s="98"/>
      <c r="AU2" s="98" t="s">
        <v>2122</v>
      </c>
      <c r="AV2" s="96" t="s">
        <v>2123</v>
      </c>
      <c r="AW2" s="99" t="s">
        <v>2124</v>
      </c>
      <c r="AX2" s="99" t="s">
        <v>2124</v>
      </c>
      <c r="AY2" s="99" t="s">
        <v>2124</v>
      </c>
      <c r="AZ2" s="99" t="s">
        <v>2124</v>
      </c>
      <c r="BA2" s="99" t="s">
        <v>2124</v>
      </c>
      <c r="BB2" s="99" t="s">
        <v>2124</v>
      </c>
      <c r="BC2" s="99" t="s">
        <v>2124</v>
      </c>
      <c r="BD2" s="99" t="s">
        <v>2124</v>
      </c>
      <c r="BE2" s="99" t="s">
        <v>2124</v>
      </c>
      <c r="BF2" s="96" t="s">
        <v>2125</v>
      </c>
    </row>
    <row r="3" ht="26" customHeight="1" hidden="1" spans="1:58" s="92" customFormat="1" x14ac:dyDescent="0.25">
      <c r="A3" s="94"/>
      <c r="B3" s="94"/>
      <c r="C3" s="94"/>
      <c r="D3" s="94"/>
      <c r="E3" s="94"/>
      <c r="F3" s="94"/>
      <c r="G3" s="95" t="s">
        <v>2126</v>
      </c>
      <c r="H3" s="96"/>
      <c r="I3" s="97" t="s">
        <v>2127</v>
      </c>
      <c r="J3" s="97" t="s">
        <v>2128</v>
      </c>
      <c r="K3" s="97" t="s">
        <v>2129</v>
      </c>
      <c r="L3" s="97" t="s">
        <v>2130</v>
      </c>
      <c r="M3" s="97" t="s">
        <v>2131</v>
      </c>
      <c r="N3" s="97" t="s">
        <v>2132</v>
      </c>
      <c r="O3" s="97" t="s">
        <v>2133</v>
      </c>
      <c r="P3" s="97" t="s">
        <v>2134</v>
      </c>
      <c r="Q3" s="97" t="s">
        <v>2135</v>
      </c>
      <c r="R3" s="97"/>
      <c r="S3" s="97" t="s">
        <v>2136</v>
      </c>
      <c r="T3" s="97" t="s">
        <v>2137</v>
      </c>
      <c r="U3" s="97" t="s">
        <v>2138</v>
      </c>
      <c r="V3" s="97" t="s">
        <v>2139</v>
      </c>
      <c r="W3" s="96"/>
      <c r="X3" s="98" t="s">
        <v>2140</v>
      </c>
      <c r="Y3" s="98" t="s">
        <v>2141</v>
      </c>
      <c r="Z3" s="98" t="s">
        <v>2142</v>
      </c>
      <c r="AA3" s="98" t="s">
        <v>2143</v>
      </c>
      <c r="AB3" s="98" t="s">
        <v>2144</v>
      </c>
      <c r="AC3" s="98" t="s">
        <v>2145</v>
      </c>
      <c r="AD3" s="98" t="s">
        <v>192</v>
      </c>
      <c r="AE3" s="98" t="s">
        <v>256</v>
      </c>
      <c r="AF3" s="98" t="s">
        <v>2146</v>
      </c>
      <c r="AG3" s="96"/>
      <c r="AH3" s="98" t="s">
        <v>2147</v>
      </c>
      <c r="AI3" s="98" t="s">
        <v>2148</v>
      </c>
      <c r="AJ3" s="98" t="s">
        <v>2149</v>
      </c>
      <c r="AK3" s="98" t="s">
        <v>2150</v>
      </c>
      <c r="AL3" s="98" t="s">
        <v>2151</v>
      </c>
      <c r="AM3" s="98" t="s">
        <v>2152</v>
      </c>
      <c r="AN3" s="98" t="s">
        <v>2153</v>
      </c>
      <c r="AO3" s="98" t="s">
        <v>2154</v>
      </c>
      <c r="AP3" s="98" t="s">
        <v>2155</v>
      </c>
      <c r="AQ3" s="98" t="s">
        <v>2156</v>
      </c>
      <c r="AR3" s="98" t="s">
        <v>2157</v>
      </c>
      <c r="AS3" s="98" t="s">
        <v>2158</v>
      </c>
      <c r="AT3" s="98"/>
      <c r="AU3" s="98" t="s">
        <v>2159</v>
      </c>
      <c r="AV3" s="96"/>
      <c r="AW3" s="99" t="s">
        <v>2160</v>
      </c>
      <c r="AX3" s="99" t="s">
        <v>2161</v>
      </c>
      <c r="AY3" s="99" t="s">
        <v>2162</v>
      </c>
      <c r="AZ3" s="99" t="s">
        <v>2163</v>
      </c>
      <c r="BA3" s="99" t="s">
        <v>2164</v>
      </c>
      <c r="BB3" s="99" t="s">
        <v>2165</v>
      </c>
      <c r="BC3" s="99" t="s">
        <v>2166</v>
      </c>
      <c r="BD3" s="99" t="s">
        <v>2167</v>
      </c>
      <c r="BE3" s="99" t="s">
        <v>2168</v>
      </c>
      <c r="BF3" s="96"/>
    </row>
    <row r="4" ht="72" customHeight="1" spans="1:58" s="92" customFormat="1" x14ac:dyDescent="0.25">
      <c r="A4" s="100"/>
      <c r="B4" s="101" t="s">
        <v>2169</v>
      </c>
      <c r="C4" s="101" t="s">
        <v>2170</v>
      </c>
      <c r="D4" s="101" t="s">
        <v>37</v>
      </c>
      <c r="E4" s="101" t="s">
        <v>2171</v>
      </c>
      <c r="F4" s="101" t="s">
        <v>2172</v>
      </c>
      <c r="G4" s="95" t="s">
        <v>2173</v>
      </c>
      <c r="H4" s="96"/>
      <c r="I4" s="97" t="s">
        <v>2174</v>
      </c>
      <c r="J4" s="97" t="s">
        <v>2175</v>
      </c>
      <c r="K4" s="97" t="s">
        <v>2325</v>
      </c>
      <c r="L4" s="97" t="s">
        <v>2177</v>
      </c>
      <c r="M4" s="97" t="s">
        <v>2178</v>
      </c>
      <c r="N4" s="97" t="s">
        <v>2179</v>
      </c>
      <c r="O4" s="97" t="s">
        <v>2180</v>
      </c>
      <c r="P4" s="97" t="s">
        <v>2181</v>
      </c>
      <c r="Q4" s="97" t="s">
        <v>2182</v>
      </c>
      <c r="R4" s="97" t="s">
        <v>2183</v>
      </c>
      <c r="S4" s="97" t="s">
        <v>2184</v>
      </c>
      <c r="T4" s="97" t="s">
        <v>2185</v>
      </c>
      <c r="U4" s="97" t="s">
        <v>2186</v>
      </c>
      <c r="V4" s="97" t="s">
        <v>2187</v>
      </c>
      <c r="W4" s="96"/>
      <c r="X4" s="98" t="s">
        <v>2188</v>
      </c>
      <c r="Y4" s="98" t="s">
        <v>2189</v>
      </c>
      <c r="Z4" s="98" t="s">
        <v>2190</v>
      </c>
      <c r="AA4" s="98" t="s">
        <v>2191</v>
      </c>
      <c r="AB4" s="98" t="s">
        <v>2192</v>
      </c>
      <c r="AC4" s="98" t="s">
        <v>2193</v>
      </c>
      <c r="AD4" s="98" t="s">
        <v>192</v>
      </c>
      <c r="AE4" s="98" t="s">
        <v>2194</v>
      </c>
      <c r="AF4" s="98" t="s">
        <v>2195</v>
      </c>
      <c r="AG4" s="96"/>
      <c r="AH4" s="98" t="s">
        <v>2326</v>
      </c>
      <c r="AI4" s="98" t="s">
        <v>2197</v>
      </c>
      <c r="AJ4" s="98" t="s">
        <v>2198</v>
      </c>
      <c r="AK4" s="98" t="s">
        <v>2199</v>
      </c>
      <c r="AL4" s="98" t="s">
        <v>2200</v>
      </c>
      <c r="AM4" s="98" t="s">
        <v>2201</v>
      </c>
      <c r="AN4" s="98" t="s">
        <v>2202</v>
      </c>
      <c r="AO4" s="98" t="s">
        <v>2203</v>
      </c>
      <c r="AP4" s="98" t="s">
        <v>2204</v>
      </c>
      <c r="AQ4" s="98" t="s">
        <v>2205</v>
      </c>
      <c r="AR4" s="98" t="s">
        <v>2206</v>
      </c>
      <c r="AS4" s="98" t="s">
        <v>2207</v>
      </c>
      <c r="AT4" s="98" t="s">
        <v>2208</v>
      </c>
      <c r="AU4" s="98" t="s">
        <v>2209</v>
      </c>
      <c r="AV4" s="96"/>
      <c r="AW4" s="99" t="s">
        <v>2210</v>
      </c>
      <c r="AX4" s="99" t="s">
        <v>2211</v>
      </c>
      <c r="AY4" s="99" t="s">
        <v>2327</v>
      </c>
      <c r="AZ4" s="99" t="s">
        <v>2328</v>
      </c>
      <c r="BA4" s="99" t="s">
        <v>2329</v>
      </c>
      <c r="BB4" s="99" t="s">
        <v>2330</v>
      </c>
      <c r="BC4" s="99" t="s">
        <v>2216</v>
      </c>
      <c r="BD4" s="99" t="s">
        <v>2217</v>
      </c>
      <c r="BE4" s="99" t="s">
        <v>2218</v>
      </c>
      <c r="BF4" s="96"/>
    </row>
    <row r="5" ht="15" customHeight="1" spans="1:58" s="92" customFormat="1" x14ac:dyDescent="0.25">
      <c r="A5" s="102" t="s">
        <v>2219</v>
      </c>
      <c r="B5" s="103"/>
      <c r="C5" s="103"/>
      <c r="D5" s="193" t="s">
        <v>1084</v>
      </c>
      <c r="E5" s="103" t="s">
        <v>2220</v>
      </c>
      <c r="F5" s="103" t="s">
        <v>2221</v>
      </c>
      <c r="G5" s="194">
        <f>IF(ISBLANK(ETPT_TJ_DDG!$D$5),"",IF(ISERROR(ETPT_TJ!G5),"",IF(ETPT_TJ!G5=0,"",ETPT_TJ!G5)))</f>
      </c>
      <c r="H5" s="109">
        <f t="shared" ref="H5:H15" si="0">SUM(G5)</f>
        <v>0</v>
      </c>
      <c r="I5" s="194">
        <f>IF(ISBLANK(ETPT_TJ_DDG!$D$5),"",IF(ISERROR(ETPT_TJ!I5),"",IF(ETPT_TJ!I5=0,"",ETPT_TJ!I5)))</f>
      </c>
      <c r="J5" s="194">
        <f>IF(ISBLANK(ETPT_TJ_DDG!$D$5),"",IF(ISERROR(ETPT_TJ!J5),"",IF(ETPT_TJ!J5=0,"",ETPT_TJ!J5)))</f>
      </c>
      <c r="K5" s="194">
        <f>IF(ISBLANK(ETPT_TJ_DDG!$D$5),"",IF(ISERROR(ETPT_TJ!K5),"",IF(ETPT_TJ!K5=0,"",ETPT_TJ!K5)))</f>
      </c>
      <c r="L5" s="194">
        <f>IF(ISBLANK(ETPT_TJ_DDG!$D$5),"",IF(ISERROR(ETPT_TJ!L5),"",IF(ETPT_TJ!L5=0,"",ETPT_TJ!L5)))</f>
      </c>
      <c r="M5" s="194">
        <f>IF(ISBLANK(ETPT_TJ_DDG!$D$5),"",IF(ISERROR(ETPT_TJ!M5),"",IF(ETPT_TJ!M5=0,"",ETPT_TJ!M5)))</f>
      </c>
      <c r="N5" s="194">
        <f>IF(ISBLANK(ETPT_TJ_DDG!$D$5),"",IF(ISERROR(ETPT_TJ!N5),"",IF(ETPT_TJ!N5=0,"",ETPT_TJ!N5)))</f>
      </c>
      <c r="O5" s="194">
        <f>IF(ISBLANK(ETPT_TJ_DDG!$D$5),"",IF(ISERROR(ETPT_TJ!O5),"",IF(ETPT_TJ!O5=0,"",ETPT_TJ!O5)))</f>
      </c>
      <c r="P5" s="194">
        <f>IF(ISBLANK(ETPT_TJ_DDG!$D$5),"",IF(ISERROR(ETPT_TJ!P5),"",IF(ETPT_TJ!P5=0,"",ETPT_TJ!P5)))</f>
      </c>
      <c r="Q5" s="194">
        <f>IF(ISBLANK(ETPT_TJ_DDG!$D$5),"",IF(ISERROR(ETPT_TJ!Q5),"",IF(ETPT_TJ!Q5=0,"",ETPT_TJ!Q5)))</f>
      </c>
      <c r="R5" s="194">
        <f>IF(ISBLANK(ETPT_TJ_DDG!$D$5),"",IF(ISERROR(ETPT_TJ!R5),"",IF(ETPT_TJ!R5=0,"",ETPT_TJ!R5)))</f>
      </c>
      <c r="S5" s="194">
        <f>IF(ISBLANK(ETPT_TJ_DDG!$D$5),"",IF(ISERROR(ETPT_TJ!S5),"",IF(ETPT_TJ!S5=0,"",ETPT_TJ!S5)))</f>
      </c>
      <c r="T5" s="194">
        <f>IF(ISBLANK(ETPT_TJ_DDG!$D$5),"",IF(ISERROR(ETPT_TJ!T5),"",IF(ETPT_TJ!T5=0,"",ETPT_TJ!T5)))</f>
      </c>
      <c r="U5" s="194">
        <f>IF(ISBLANK(ETPT_TJ_DDG!$D$5),"",IF(ISERROR(ETPT_TJ!U5),"",IF(ETPT_TJ!U5=0,"",ETPT_TJ!U5)))</f>
      </c>
      <c r="V5" s="194">
        <f>IF(ISBLANK(ETPT_TJ_DDG!$D$5),"",IF(ISERROR(ETPT_TJ!V5),"",IF(ETPT_TJ!V5=0,"",ETPT_TJ!V5)))</f>
      </c>
      <c r="W5" s="109">
        <f t="shared" ref="W5:W15" si="1">SUM(I5:V5)</f>
        <v>0</v>
      </c>
      <c r="X5" s="194">
        <f>IF(ISBLANK(ETPT_TJ_DDG!$D$5),"",IF(ISERROR(ETPT_TJ!X5),"",IF(ETPT_TJ!X5=0,"",ETPT_TJ!X5)))</f>
      </c>
      <c r="Y5" s="194">
        <f>IF(ISBLANK(ETPT_TJ_DDG!$D$5),"",IF(ISERROR(ETPT_TJ!Y5),"",IF(ETPT_TJ!Y5=0,"",ETPT_TJ!Y5)))</f>
      </c>
      <c r="Z5" s="194">
        <f>IF(ISBLANK(ETPT_TJ_DDG!$D$5),"",IF(ISERROR(ETPT_TJ!Z5),"",IF(ETPT_TJ!Z5=0,"",ETPT_TJ!Z5)))</f>
      </c>
      <c r="AA5" s="194">
        <f>IF(ISBLANK(ETPT_TJ_DDG!$D$5),"",IF(ISERROR(ETPT_TJ!AA5),"",IF(ETPT_TJ!AA5=0,"",ETPT_TJ!AA5)))</f>
      </c>
      <c r="AB5" s="194">
        <f>IF(ISBLANK(ETPT_TJ_DDG!$D$5),"",IF(ISERROR(ETPT_TJ!AB5),"",IF(ETPT_TJ!AB5=0,"",ETPT_TJ!AB5)))</f>
      </c>
      <c r="AC5" s="194">
        <f>IF(ISBLANK(ETPT_TJ_DDG!$D$5),"",IF(ISERROR(ETPT_TJ!AC5),"",IF(ETPT_TJ!AC5=0,"",ETPT_TJ!AC5)))</f>
      </c>
      <c r="AD5" s="194">
        <f>IF(ISBLANK(ETPT_TJ_DDG!$D$5),"",IF(ISERROR(ETPT_TJ!AD5),"",IF(ETPT_TJ!AD5=0,"",ETPT_TJ!AD5)))</f>
      </c>
      <c r="AE5" s="194">
        <f>IF(ISBLANK(ETPT_TJ_DDG!$D$5),"",IF(ISERROR(ETPT_TJ!AE5),"",IF(ETPT_TJ!AE5=0,"",ETPT_TJ!AE5)))</f>
      </c>
      <c r="AF5" s="194">
        <f>IF(ISBLANK(ETPT_TJ_DDG!$D$5),"",IF(ISERROR(ETPT_TJ!AF5),"",IF(ETPT_TJ!AF5=0,"",ETPT_TJ!AF5)))</f>
      </c>
      <c r="AG5" s="109">
        <f t="shared" ref="AG5:AG15" si="2">SUM(X5:AF5)</f>
        <v>0</v>
      </c>
      <c r="AH5" s="194">
        <f>IF(ISBLANK(ETPT_TJ_DDG!$D$5),"",IF(ISERROR(ETPT_TJ!AH5),"",IF(ETPT_TJ!AH5=0,"",ETPT_TJ!AH5)))</f>
      </c>
      <c r="AI5" s="194">
        <f>IF(ISBLANK(ETPT_TJ_DDG!$D$5),"",IF(ISERROR(ETPT_TJ!AI5),"",IF(ETPT_TJ!AI5=0,"",ETPT_TJ!AI5)))</f>
      </c>
      <c r="AJ5" s="194">
        <f>IF(ISBLANK(ETPT_TJ_DDG!$D$5),"",IF(ISERROR(ETPT_TJ!AJ5),"",IF(ETPT_TJ!AJ5=0,"",ETPT_TJ!AJ5)))</f>
      </c>
      <c r="AK5" s="194">
        <f>IF(ISBLANK(ETPT_TJ_DDG!$D$5),"",IF(ISERROR(ETPT_TJ!AK5),"",IF(ETPT_TJ!AK5=0,"",ETPT_TJ!AK5)))</f>
      </c>
      <c r="AL5" s="194">
        <f>IF(ISBLANK(ETPT_TJ_DDG!$D$5),"",IF(ISERROR(ETPT_TJ!AL5),"",IF(ETPT_TJ!AL5=0,"",ETPT_TJ!AL5)))</f>
      </c>
      <c r="AM5" s="194">
        <f>IF(ISBLANK(ETPT_TJ_DDG!$D$5),"",IF(ISERROR(ETPT_TJ!AM5),"",IF(ETPT_TJ!AM5=0,"",ETPT_TJ!AM5)))</f>
      </c>
      <c r="AN5" s="194">
        <f>IF(ISBLANK(ETPT_TJ_DDG!$D$5),"",IF(ISERROR(ETPT_TJ!AN5),"",IF(ETPT_TJ!AN5=0,"",ETPT_TJ!AN5)))</f>
      </c>
      <c r="AO5" s="194">
        <f>IF(ISBLANK(ETPT_TJ_DDG!$D$5),"",IF(ISERROR(ETPT_TJ!AO5),"",IF(ETPT_TJ!AO5=0,"",ETPT_TJ!AO5)))</f>
      </c>
      <c r="AP5" s="194">
        <f>IF(ISBLANK(ETPT_TJ_DDG!$D$5),"",IF(ISERROR(ETPT_TJ!AP5),"",IF(ETPT_TJ!AP5=0,"",ETPT_TJ!AP5)))</f>
      </c>
      <c r="AQ5" s="194">
        <f>IF(ISBLANK(ETPT_TJ_DDG!$D$5),"",IF(ISERROR(ETPT_TJ!AQ5),"",IF(ETPT_TJ!AQ5=0,"",ETPT_TJ!AQ5)))</f>
      </c>
      <c r="AR5" s="194">
        <f>IF(ISBLANK(ETPT_TJ_DDG!$D$5),"",IF(ISERROR(ETPT_TJ!AR5),"",IF(ETPT_TJ!AR5=0,"",ETPT_TJ!AR5)))</f>
      </c>
      <c r="AS5" s="194">
        <f>IF(ISBLANK(ETPT_TJ_DDG!$D$5),"",IF(ISERROR(ETPT_TJ!AS5),"",IF(ETPT_TJ!AS5=0,"",ETPT_TJ!AS5)))</f>
      </c>
      <c r="AT5" s="194">
        <f>IF(ISBLANK(ETPT_TJ_DDG!$D$5),"",IF(ISERROR(ETPT_TJ!AT5),"",IF(ETPT_TJ!AT5=0,"",ETPT_TJ!AT5)))</f>
      </c>
      <c r="AU5" s="194">
        <f>IF(ISBLANK(ETPT_TJ_DDG!$D$5),"",IF(ISERROR(ETPT_TJ!AU5),"",IF(ETPT_TJ!AU5=0,"",ETPT_TJ!AU5)))</f>
      </c>
      <c r="AV5" s="109">
        <f t="shared" ref="AV5:AV15" si="3">SUM(AH5:AU5)</f>
        <v>0</v>
      </c>
      <c r="AW5" s="113"/>
      <c r="AX5" s="113"/>
      <c r="AY5" s="114"/>
      <c r="AZ5" s="114"/>
      <c r="BA5" s="114"/>
      <c r="BB5" s="114"/>
      <c r="BC5" s="114"/>
      <c r="BD5" s="114"/>
      <c r="BE5" s="113"/>
      <c r="BF5" s="109">
        <f t="shared" ref="BF5:BF15" si="4">SUM(AW5:BE5)</f>
        <v>0</v>
      </c>
    </row>
    <row r="6" ht="12" customHeight="1" spans="1:58" s="92" customFormat="1" x14ac:dyDescent="0.25">
      <c r="A6" s="102" t="s">
        <v>2219</v>
      </c>
      <c r="B6" s="103"/>
      <c r="C6" s="103"/>
      <c r="D6" s="195">
        <f t="shared" ref="D6:D15" si="5">IF(ISBLANK($D$5),"",$D$5)</f>
      </c>
      <c r="E6" s="103" t="s">
        <v>2222</v>
      </c>
      <c r="F6" s="103" t="s">
        <v>2223</v>
      </c>
      <c r="G6" s="194">
        <f>IF(ISBLANK(ETPT_TJ_DDG!$D$5),"",IF(ISERROR(ETPT_TJ!G6),"",IF(ETPT_TJ!G6=0,"",ETPT_TJ!G6)))</f>
      </c>
      <c r="H6" s="109">
        <f t="shared" si="0"/>
        <v>0</v>
      </c>
      <c r="I6" s="194">
        <f>IF(ISBLANK(ETPT_TJ_DDG!$D$5),"",IF(ISERROR(ETPT_TJ!I6),"",IF(ETPT_TJ!I6=0,"",ETPT_TJ!I6)))</f>
      </c>
      <c r="J6" s="194">
        <f>IF(ISBLANK(ETPT_TJ_DDG!$D$5),"",IF(ISERROR(ETPT_TJ!J6),"",IF(ETPT_TJ!J6=0,"",ETPT_TJ!J6)))</f>
      </c>
      <c r="K6" s="194">
        <f>IF(ISBLANK(ETPT_TJ_DDG!$D$5),"",IF(ISERROR(ETPT_TJ!K6),"",IF(ETPT_TJ!K6=0,"",ETPT_TJ!K6)))</f>
      </c>
      <c r="L6" s="194">
        <f>IF(ISBLANK(ETPT_TJ_DDG!$D$5),"",IF(ISERROR(ETPT_TJ!L6),"",IF(ETPT_TJ!L6=0,"",ETPT_TJ!L6)))</f>
      </c>
      <c r="M6" s="194">
        <f>IF(ISBLANK(ETPT_TJ_DDG!$D$5),"",IF(ISERROR(ETPT_TJ!M6),"",IF(ETPT_TJ!M6=0,"",ETPT_TJ!M6)))</f>
      </c>
      <c r="N6" s="194">
        <f>IF(ISBLANK(ETPT_TJ_DDG!$D$5),"",IF(ISERROR(ETPT_TJ!N6),"",IF(ETPT_TJ!N6=0,"",ETPT_TJ!N6)))</f>
      </c>
      <c r="O6" s="194">
        <f>IF(ISBLANK(ETPT_TJ_DDG!$D$5),"",IF(ISERROR(ETPT_TJ!O6),"",IF(ETPT_TJ!O6=0,"",ETPT_TJ!O6)))</f>
      </c>
      <c r="P6" s="194">
        <f>IF(ISBLANK(ETPT_TJ_DDG!$D$5),"",IF(ISERROR(ETPT_TJ!P6),"",IF(ETPT_TJ!P6=0,"",ETPT_TJ!P6)))</f>
      </c>
      <c r="Q6" s="194">
        <f>IF(ISBLANK(ETPT_TJ_DDG!$D$5),"",IF(ISERROR(ETPT_TJ!Q6),"",IF(ETPT_TJ!Q6=0,"",ETPT_TJ!Q6)))</f>
      </c>
      <c r="R6" s="194">
        <f>IF(ISBLANK(ETPT_TJ_DDG!$D$5),"",IF(ISERROR(ETPT_TJ!R6),"",IF(ETPT_TJ!R6=0,"",ETPT_TJ!R6)))</f>
      </c>
      <c r="S6" s="194">
        <f>IF(ISBLANK(ETPT_TJ_DDG!$D$5),"",IF(ISERROR(ETPT_TJ!S6),"",IF(ETPT_TJ!S6=0,"",ETPT_TJ!S6)))</f>
      </c>
      <c r="T6" s="194">
        <f>IF(ISBLANK(ETPT_TJ_DDG!$D$5),"",IF(ISERROR(ETPT_TJ!T6),"",IF(ETPT_TJ!T6=0,"",ETPT_TJ!T6)))</f>
      </c>
      <c r="U6" s="194">
        <f>IF(ISBLANK(ETPT_TJ_DDG!$D$5),"",IF(ISERROR(ETPT_TJ!U6),"",IF(ETPT_TJ!U6=0,"",ETPT_TJ!U6)))</f>
      </c>
      <c r="V6" s="194">
        <f>IF(ISBLANK(ETPT_TJ_DDG!$D$5),"",IF(ISERROR(ETPT_TJ!V6),"",IF(ETPT_TJ!V6=0,"",ETPT_TJ!V6)))</f>
      </c>
      <c r="W6" s="109">
        <f t="shared" si="1"/>
        <v>0</v>
      </c>
      <c r="X6" s="194">
        <f>IF(ISBLANK(ETPT_TJ_DDG!$D$5),"",IF(ISERROR(ETPT_TJ!X6),"",IF(ETPT_TJ!X6=0,"",ETPT_TJ!X6)))</f>
      </c>
      <c r="Y6" s="194">
        <f>IF(ISBLANK(ETPT_TJ_DDG!$D$5),"",IF(ISERROR(ETPT_TJ!Y6),"",IF(ETPT_TJ!Y6=0,"",ETPT_TJ!Y6)))</f>
      </c>
      <c r="Z6" s="194">
        <f>IF(ISBLANK(ETPT_TJ_DDG!$D$5),"",IF(ISERROR(ETPT_TJ!Z6),"",IF(ETPT_TJ!Z6=0,"",ETPT_TJ!Z6)))</f>
      </c>
      <c r="AA6" s="194">
        <f>IF(ISBLANK(ETPT_TJ_DDG!$D$5),"",IF(ISERROR(ETPT_TJ!AA6),"",IF(ETPT_TJ!AA6=0,"",ETPT_TJ!AA6)))</f>
      </c>
      <c r="AB6" s="194">
        <f>IF(ISBLANK(ETPT_TJ_DDG!$D$5),"",IF(ISERROR(ETPT_TJ!AB6),"",IF(ETPT_TJ!AB6=0,"",ETPT_TJ!AB6)))</f>
      </c>
      <c r="AC6" s="194">
        <f>IF(ISBLANK(ETPT_TJ_DDG!$D$5),"",IF(ISERROR(ETPT_TJ!AC6),"",IF(ETPT_TJ!AC6=0,"",ETPT_TJ!AC6)))</f>
      </c>
      <c r="AD6" s="194">
        <f>IF(ISBLANK(ETPT_TJ_DDG!$D$5),"",IF(ISERROR(ETPT_TJ!AD6),"",IF(ETPT_TJ!AD6=0,"",ETPT_TJ!AD6)))</f>
      </c>
      <c r="AE6" s="194">
        <f>IF(ISBLANK(ETPT_TJ_DDG!$D$5),"",IF(ISERROR(ETPT_TJ!AE6),"",IF(ETPT_TJ!AE6=0,"",ETPT_TJ!AE6)))</f>
      </c>
      <c r="AF6" s="194">
        <f>IF(ISBLANK(ETPT_TJ_DDG!$D$5),"",IF(ISERROR(ETPT_TJ!AF6),"",IF(ETPT_TJ!AF6=0,"",ETPT_TJ!AF6)))</f>
      </c>
      <c r="AG6" s="109">
        <f t="shared" si="2"/>
        <v>0</v>
      </c>
      <c r="AH6" s="194">
        <f>IF(ISBLANK(ETPT_TJ_DDG!$D$5),"",IF(ISERROR(ETPT_TJ!AH6),"",IF(ETPT_TJ!AH6=0,"",ETPT_TJ!AH6)))</f>
      </c>
      <c r="AI6" s="194">
        <f>IF(ISBLANK(ETPT_TJ_DDG!$D$5),"",IF(ISERROR(ETPT_TJ!AI6),"",IF(ETPT_TJ!AI6=0,"",ETPT_TJ!AI6)))</f>
      </c>
      <c r="AJ6" s="194">
        <f>IF(ISBLANK(ETPT_TJ_DDG!$D$5),"",IF(ISERROR(ETPT_TJ!AJ6),"",IF(ETPT_TJ!AJ6=0,"",ETPT_TJ!AJ6)))</f>
      </c>
      <c r="AK6" s="194">
        <f>IF(ISBLANK(ETPT_TJ_DDG!$D$5),"",IF(ISERROR(ETPT_TJ!AK6),"",IF(ETPT_TJ!AK6=0,"",ETPT_TJ!AK6)))</f>
      </c>
      <c r="AL6" s="194">
        <f>IF(ISBLANK(ETPT_TJ_DDG!$D$5),"",IF(ISERROR(ETPT_TJ!AL6),"",IF(ETPT_TJ!AL6=0,"",ETPT_TJ!AL6)))</f>
      </c>
      <c r="AM6" s="194">
        <f>IF(ISBLANK(ETPT_TJ_DDG!$D$5),"",IF(ISERROR(ETPT_TJ!AM6),"",IF(ETPT_TJ!AM6=0,"",ETPT_TJ!AM6)))</f>
      </c>
      <c r="AN6" s="194">
        <f>IF(ISBLANK(ETPT_TJ_DDG!$D$5),"",IF(ISERROR(ETPT_TJ!AN6),"",IF(ETPT_TJ!AN6=0,"",ETPT_TJ!AN6)))</f>
      </c>
      <c r="AO6" s="194">
        <f>IF(ISBLANK(ETPT_TJ_DDG!$D$5),"",IF(ISERROR(ETPT_TJ!AO6),"",IF(ETPT_TJ!AO6=0,"",ETPT_TJ!AO6)))</f>
      </c>
      <c r="AP6" s="194">
        <f>IF(ISBLANK(ETPT_TJ_DDG!$D$5),"",IF(ISERROR(ETPT_TJ!AP6),"",IF(ETPT_TJ!AP6=0,"",ETPT_TJ!AP6)))</f>
      </c>
      <c r="AQ6" s="194">
        <f>IF(ISBLANK(ETPT_TJ_DDG!$D$5),"",IF(ISERROR(ETPT_TJ!AQ6),"",IF(ETPT_TJ!AQ6=0,"",ETPT_TJ!AQ6)))</f>
      </c>
      <c r="AR6" s="194">
        <f>IF(ISBLANK(ETPT_TJ_DDG!$D$5),"",IF(ISERROR(ETPT_TJ!AR6),"",IF(ETPT_TJ!AR6=0,"",ETPT_TJ!AR6)))</f>
      </c>
      <c r="AS6" s="194">
        <f>IF(ISBLANK(ETPT_TJ_DDG!$D$5),"",IF(ISERROR(ETPT_TJ!AS6),"",IF(ETPT_TJ!AS6=0,"",ETPT_TJ!AS6)))</f>
      </c>
      <c r="AT6" s="194">
        <f>IF(ISBLANK(ETPT_TJ_DDG!$D$5),"",IF(ISERROR(ETPT_TJ!AT6),"",IF(ETPT_TJ!AT6=0,"",ETPT_TJ!AT6)))</f>
      </c>
      <c r="AU6" s="194">
        <f>IF(ISBLANK(ETPT_TJ_DDG!$D$5),"",IF(ISERROR(ETPT_TJ!AU6),"",IF(ETPT_TJ!AU6=0,"",ETPT_TJ!AU6)))</f>
      </c>
      <c r="AV6" s="109">
        <f t="shared" si="3"/>
        <v>0</v>
      </c>
      <c r="AW6" s="113"/>
      <c r="AX6" s="113"/>
      <c r="AY6" s="113"/>
      <c r="AZ6" s="113"/>
      <c r="BA6" s="113"/>
      <c r="BB6" s="113"/>
      <c r="BC6" s="113"/>
      <c r="BD6" s="114"/>
      <c r="BE6" s="113"/>
      <c r="BF6" s="109">
        <f t="shared" si="4"/>
        <v>0</v>
      </c>
    </row>
    <row r="7" ht="14.25" customHeight="1" spans="1:58" s="92" customFormat="1" x14ac:dyDescent="0.25">
      <c r="A7" s="102" t="s">
        <v>2219</v>
      </c>
      <c r="B7" s="103"/>
      <c r="C7" s="103"/>
      <c r="D7" s="195">
        <f t="shared" si="5"/>
      </c>
      <c r="E7" s="103" t="s">
        <v>2225</v>
      </c>
      <c r="F7" s="103" t="s">
        <v>2226</v>
      </c>
      <c r="G7" s="194">
        <f>IF(ISBLANK(ETPT_TJ_DDG!$D$5),"",IF(ISERROR(ETPT_TJ!G7),"",IF(ETPT_TJ!G7=0,"",ETPT_TJ!G7)))</f>
      </c>
      <c r="H7" s="109">
        <f t="shared" si="0"/>
        <v>0</v>
      </c>
      <c r="I7" s="194">
        <f>IF(ISBLANK(ETPT_TJ_DDG!$D$5),"",IF(ISERROR(ETPT_TJ!I7),"",IF(ETPT_TJ!I7=0,"",ETPT_TJ!I7)))</f>
      </c>
      <c r="J7" s="194">
        <f>IF(ISBLANK(ETPT_TJ_DDG!$D$5),"",IF(ISERROR(ETPT_TJ!J7),"",IF(ETPT_TJ!J7=0,"",ETPT_TJ!J7)))</f>
      </c>
      <c r="K7" s="194">
        <f>IF(ISBLANK(ETPT_TJ_DDG!$D$5),"",IF(ISERROR(ETPT_TJ!K7),"",IF(ETPT_TJ!K7=0,"",ETPT_TJ!K7)))</f>
      </c>
      <c r="L7" s="194">
        <f>IF(ISBLANK(ETPT_TJ_DDG!$D$5),"",IF(ISERROR(ETPT_TJ!L7),"",IF(ETPT_TJ!L7=0,"",ETPT_TJ!L7)))</f>
      </c>
      <c r="M7" s="194">
        <f>IF(ISBLANK(ETPT_TJ_DDG!$D$5),"",IF(ISERROR(ETPT_TJ!M7),"",IF(ETPT_TJ!M7=0,"",ETPT_TJ!M7)))</f>
      </c>
      <c r="N7" s="194">
        <f>IF(ISBLANK(ETPT_TJ_DDG!$D$5),"",IF(ISERROR(ETPT_TJ!N7),"",IF(ETPT_TJ!N7=0,"",ETPT_TJ!N7)))</f>
      </c>
      <c r="O7" s="194">
        <f>IF(ISBLANK(ETPT_TJ_DDG!$D$5),"",IF(ISERROR(ETPT_TJ!O7),"",IF(ETPT_TJ!O7=0,"",ETPT_TJ!O7)))</f>
      </c>
      <c r="P7" s="194">
        <f>IF(ISBLANK(ETPT_TJ_DDG!$D$5),"",IF(ISERROR(ETPT_TJ!P7),"",IF(ETPT_TJ!P7=0,"",ETPT_TJ!P7)))</f>
      </c>
      <c r="Q7" s="194">
        <f>IF(ISBLANK(ETPT_TJ_DDG!$D$5),"",IF(ISERROR(ETPT_TJ!Q7),"",IF(ETPT_TJ!Q7=0,"",ETPT_TJ!Q7)))</f>
      </c>
      <c r="R7" s="194">
        <f>IF(ISBLANK(ETPT_TJ_DDG!$D$5),"",IF(ISERROR(ETPT_TJ!R7),"",IF(ETPT_TJ!R7=0,"",ETPT_TJ!R7)))</f>
      </c>
      <c r="S7" s="194">
        <f>IF(ISBLANK(ETPT_TJ_DDG!$D$5),"",IF(ISERROR(ETPT_TJ!S7),"",IF(ETPT_TJ!S7=0,"",ETPT_TJ!S7)))</f>
      </c>
      <c r="T7" s="194">
        <f>IF(ISBLANK(ETPT_TJ_DDG!$D$5),"",IF(ISERROR(ETPT_TJ!T7),"",IF(ETPT_TJ!T7=0,"",ETPT_TJ!T7)))</f>
      </c>
      <c r="U7" s="194">
        <f>IF(ISBLANK(ETPT_TJ_DDG!$D$5),"",IF(ISERROR(ETPT_TJ!U7),"",IF(ETPT_TJ!U7=0,"",ETPT_TJ!U7)))</f>
      </c>
      <c r="V7" s="194">
        <f>IF(ISBLANK(ETPT_TJ_DDG!$D$5),"",IF(ISERROR(ETPT_TJ!V7),"",IF(ETPT_TJ!V7=0,"",ETPT_TJ!V7)))</f>
      </c>
      <c r="W7" s="109">
        <f t="shared" si="1"/>
        <v>0</v>
      </c>
      <c r="X7" s="194">
        <f>IF(ISBLANK(ETPT_TJ_DDG!$D$5),"",IF(ISERROR(ETPT_TJ!X7),"",IF(ETPT_TJ!X7=0,"",ETPT_TJ!X7)))</f>
      </c>
      <c r="Y7" s="194">
        <f>IF(ISBLANK(ETPT_TJ_DDG!$D$5),"",IF(ISERROR(ETPT_TJ!Y7),"",IF(ETPT_TJ!Y7=0,"",ETPT_TJ!Y7)))</f>
      </c>
      <c r="Z7" s="194">
        <f>IF(ISBLANK(ETPT_TJ_DDG!$D$5),"",IF(ISERROR(ETPT_TJ!Z7),"",IF(ETPT_TJ!Z7=0,"",ETPT_TJ!Z7)))</f>
      </c>
      <c r="AA7" s="194">
        <f>IF(ISBLANK(ETPT_TJ_DDG!$D$5),"",IF(ISERROR(ETPT_TJ!AA7),"",IF(ETPT_TJ!AA7=0,"",ETPT_TJ!AA7)))</f>
      </c>
      <c r="AB7" s="194">
        <f>IF(ISBLANK(ETPT_TJ_DDG!$D$5),"",IF(ISERROR(ETPT_TJ!AB7),"",IF(ETPT_TJ!AB7=0,"",ETPT_TJ!AB7)))</f>
      </c>
      <c r="AC7" s="194">
        <f>IF(ISBLANK(ETPT_TJ_DDG!$D$5),"",IF(ISERROR(ETPT_TJ!AC7),"",IF(ETPT_TJ!AC7=0,"",ETPT_TJ!AC7)))</f>
      </c>
      <c r="AD7" s="194">
        <f>IF(ISBLANK(ETPT_TJ_DDG!$D$5),"",IF(ISERROR(ETPT_TJ!AD7),"",IF(ETPT_TJ!AD7=0,"",ETPT_TJ!AD7)))</f>
      </c>
      <c r="AE7" s="194">
        <f>IF(ISBLANK(ETPT_TJ_DDG!$D$5),"",IF(ISERROR(ETPT_TJ!AE7),"",IF(ETPT_TJ!AE7=0,"",ETPT_TJ!AE7)))</f>
      </c>
      <c r="AF7" s="194">
        <f>IF(ISBLANK(ETPT_TJ_DDG!$D$5),"",IF(ISERROR(ETPT_TJ!AF7),"",IF(ETPT_TJ!AF7=0,"",ETPT_TJ!AF7)))</f>
      </c>
      <c r="AG7" s="109">
        <f t="shared" si="2"/>
        <v>0</v>
      </c>
      <c r="AH7" s="194">
        <f>IF(ISBLANK(ETPT_TJ_DDG!$D$5),"",IF(ISERROR(ETPT_TJ!AH7),"",IF(ETPT_TJ!AH7=0,"",ETPT_TJ!AH7)))</f>
      </c>
      <c r="AI7" s="194">
        <f>IF(ISBLANK(ETPT_TJ_DDG!$D$5),"",IF(ISERROR(ETPT_TJ!AI7),"",IF(ETPT_TJ!AI7=0,"",ETPT_TJ!AI7)))</f>
      </c>
      <c r="AJ7" s="194">
        <f>IF(ISBLANK(ETPT_TJ_DDG!$D$5),"",IF(ISERROR(ETPT_TJ!AJ7),"",IF(ETPT_TJ!AJ7=0,"",ETPT_TJ!AJ7)))</f>
      </c>
      <c r="AK7" s="194">
        <f>IF(ISBLANK(ETPT_TJ_DDG!$D$5),"",IF(ISERROR(ETPT_TJ!AK7),"",IF(ETPT_TJ!AK7=0,"",ETPT_TJ!AK7)))</f>
      </c>
      <c r="AL7" s="194">
        <f>IF(ISBLANK(ETPT_TJ_DDG!$D$5),"",IF(ISERROR(ETPT_TJ!AL7),"",IF(ETPT_TJ!AL7=0,"",ETPT_TJ!AL7)))</f>
      </c>
      <c r="AM7" s="194">
        <f>IF(ISBLANK(ETPT_TJ_DDG!$D$5),"",IF(ISERROR(ETPT_TJ!AM7),"",IF(ETPT_TJ!AM7=0,"",ETPT_TJ!AM7)))</f>
      </c>
      <c r="AN7" s="194">
        <f>IF(ISBLANK(ETPT_TJ_DDG!$D$5),"",IF(ISERROR(ETPT_TJ!AN7),"",IF(ETPT_TJ!AN7=0,"",ETPT_TJ!AN7)))</f>
      </c>
      <c r="AO7" s="194">
        <f>IF(ISBLANK(ETPT_TJ_DDG!$D$5),"",IF(ISERROR(ETPT_TJ!AO7),"",IF(ETPT_TJ!AO7=0,"",ETPT_TJ!AO7)))</f>
      </c>
      <c r="AP7" s="194">
        <f>IF(ISBLANK(ETPT_TJ_DDG!$D$5),"",IF(ISERROR(ETPT_TJ!AP7),"",IF(ETPT_TJ!AP7=0,"",ETPT_TJ!AP7)))</f>
      </c>
      <c r="AQ7" s="194">
        <f>IF(ISBLANK(ETPT_TJ_DDG!$D$5),"",IF(ISERROR(ETPT_TJ!AQ7),"",IF(ETPT_TJ!AQ7=0,"",ETPT_TJ!AQ7)))</f>
      </c>
      <c r="AR7" s="194">
        <f>IF(ISBLANK(ETPT_TJ_DDG!$D$5),"",IF(ISERROR(ETPT_TJ!AR7),"",IF(ETPT_TJ!AR7=0,"",ETPT_TJ!AR7)))</f>
      </c>
      <c r="AS7" s="194">
        <f>IF(ISBLANK(ETPT_TJ_DDG!$D$5),"",IF(ISERROR(ETPT_TJ!AS7),"",IF(ETPT_TJ!AS7=0,"",ETPT_TJ!AS7)))</f>
      </c>
      <c r="AT7" s="194">
        <f>IF(ISBLANK(ETPT_TJ_DDG!$D$5),"",IF(ISERROR(ETPT_TJ!AT7),"",IF(ETPT_TJ!AT7=0,"",ETPT_TJ!AT7)))</f>
      </c>
      <c r="AU7" s="194">
        <f>IF(ISBLANK(ETPT_TJ_DDG!$D$5),"",IF(ISERROR(ETPT_TJ!AU7),"",IF(ETPT_TJ!AU7=0,"",ETPT_TJ!AU7)))</f>
      </c>
      <c r="AV7" s="109">
        <f t="shared" si="3"/>
        <v>0</v>
      </c>
      <c r="AW7" s="113"/>
      <c r="AX7" s="113"/>
      <c r="AY7" s="113"/>
      <c r="AZ7" s="113"/>
      <c r="BA7" s="113"/>
      <c r="BB7" s="113"/>
      <c r="BC7" s="113"/>
      <c r="BD7" s="113"/>
      <c r="BE7" s="113"/>
      <c r="BF7" s="109">
        <f t="shared" si="4"/>
        <v>0</v>
      </c>
    </row>
    <row r="8" ht="14.25" customHeight="1" spans="1:58" s="92" customFormat="1" x14ac:dyDescent="0.25">
      <c r="A8" s="102" t="s">
        <v>2219</v>
      </c>
      <c r="B8" s="103"/>
      <c r="C8" s="103"/>
      <c r="D8" s="195">
        <f t="shared" si="5"/>
      </c>
      <c r="E8" s="103" t="s">
        <v>2229</v>
      </c>
      <c r="F8" s="103" t="s">
        <v>2230</v>
      </c>
      <c r="G8" s="194">
        <f>IF(ISBLANK(ETPT_TJ_DDG!$D$5),"",IF(ISERROR(ETPT_TJ!G8),"",IF(ETPT_TJ!G8=0,"",ETPT_TJ!G8)))</f>
      </c>
      <c r="H8" s="109">
        <f t="shared" si="0"/>
        <v>0</v>
      </c>
      <c r="I8" s="194">
        <f>IF(ISBLANK(ETPT_TJ_DDG!$D$5),"",IF(ISERROR(ETPT_TJ!I8),"",IF(ETPT_TJ!I8=0,"",ETPT_TJ!I8)))</f>
      </c>
      <c r="J8" s="194">
        <f>IF(ISBLANK(ETPT_TJ_DDG!$D$5),"",IF(ISERROR(ETPT_TJ!J8),"",IF(ETPT_TJ!J8=0,"",ETPT_TJ!J8)))</f>
      </c>
      <c r="K8" s="194">
        <f>IF(ISBLANK(ETPT_TJ_DDG!$D$5),"",IF(ISERROR(ETPT_TJ!K8),"",IF(ETPT_TJ!K8=0,"",ETPT_TJ!K8)))</f>
      </c>
      <c r="L8" s="194">
        <f>IF(ISBLANK(ETPT_TJ_DDG!$D$5),"",IF(ISERROR(ETPT_TJ!L8),"",IF(ETPT_TJ!L8=0,"",ETPT_TJ!L8)))</f>
      </c>
      <c r="M8" s="194">
        <f>IF(ISBLANK(ETPT_TJ_DDG!$D$5),"",IF(ISERROR(ETPT_TJ!M8),"",IF(ETPT_TJ!M8=0,"",ETPT_TJ!M8)))</f>
      </c>
      <c r="N8" s="194">
        <f>IF(ISBLANK(ETPT_TJ_DDG!$D$5),"",IF(ISERROR(ETPT_TJ!N8),"",IF(ETPT_TJ!N8=0,"",ETPT_TJ!N8)))</f>
      </c>
      <c r="O8" s="194">
        <f>IF(ISBLANK(ETPT_TJ_DDG!$D$5),"",IF(ISERROR(ETPT_TJ!O8),"",IF(ETPT_TJ!O8=0,"",ETPT_TJ!O8)))</f>
      </c>
      <c r="P8" s="194">
        <f>IF(ISBLANK(ETPT_TJ_DDG!$D$5),"",IF(ISERROR(ETPT_TJ!P8),"",IF(ETPT_TJ!P8=0,"",ETPT_TJ!P8)))</f>
      </c>
      <c r="Q8" s="194">
        <f>IF(ISBLANK(ETPT_TJ_DDG!$D$5),"",IF(ISERROR(ETPT_TJ!Q8),"",IF(ETPT_TJ!Q8=0,"",ETPT_TJ!Q8)))</f>
      </c>
      <c r="R8" s="194">
        <f>IF(ISBLANK(ETPT_TJ_DDG!$D$5),"",IF(ISERROR(ETPT_TJ!R8),"",IF(ETPT_TJ!R8=0,"",ETPT_TJ!R8)))</f>
      </c>
      <c r="S8" s="194">
        <f>IF(ISBLANK(ETPT_TJ_DDG!$D$5),"",IF(ISERROR(ETPT_TJ!S8),"",IF(ETPT_TJ!S8=0,"",ETPT_TJ!S8)))</f>
      </c>
      <c r="T8" s="194">
        <f>IF(ISBLANK(ETPT_TJ_DDG!$D$5),"",IF(ISERROR(ETPT_TJ!T8),"",IF(ETPT_TJ!T8=0,"",ETPT_TJ!T8)))</f>
      </c>
      <c r="U8" s="194">
        <f>IF(ISBLANK(ETPT_TJ_DDG!$D$5),"",IF(ISERROR(ETPT_TJ!U8),"",IF(ETPT_TJ!U8=0,"",ETPT_TJ!U8)))</f>
      </c>
      <c r="V8" s="194">
        <f>IF(ISBLANK(ETPT_TJ_DDG!$D$5),"",IF(ISERROR(ETPT_TJ!V8),"",IF(ETPT_TJ!V8=0,"",ETPT_TJ!V8)))</f>
      </c>
      <c r="W8" s="109">
        <f t="shared" si="1"/>
        <v>0</v>
      </c>
      <c r="X8" s="194">
        <f>IF(ISBLANK(ETPT_TJ_DDG!$D$5),"",IF(ISERROR(ETPT_TJ!X8),"",IF(ETPT_TJ!X8=0,"",ETPT_TJ!X8)))</f>
      </c>
      <c r="Y8" s="194">
        <f>IF(ISBLANK(ETPT_TJ_DDG!$D$5),"",IF(ISERROR(ETPT_TJ!Y8),"",IF(ETPT_TJ!Y8=0,"",ETPT_TJ!Y8)))</f>
      </c>
      <c r="Z8" s="194">
        <f>IF(ISBLANK(ETPT_TJ_DDG!$D$5),"",IF(ISERROR(ETPT_TJ!Z8),"",IF(ETPT_TJ!Z8=0,"",ETPT_TJ!Z8)))</f>
      </c>
      <c r="AA8" s="194">
        <f>IF(ISBLANK(ETPT_TJ_DDG!$D$5),"",IF(ISERROR(ETPT_TJ!AA8),"",IF(ETPT_TJ!AA8=0,"",ETPT_TJ!AA8)))</f>
      </c>
      <c r="AB8" s="194">
        <f>IF(ISBLANK(ETPT_TJ_DDG!$D$5),"",IF(ISERROR(ETPT_TJ!AB8),"",IF(ETPT_TJ!AB8=0,"",ETPT_TJ!AB8)))</f>
      </c>
      <c r="AC8" s="194">
        <f>IF(ISBLANK(ETPT_TJ_DDG!$D$5),"",IF(ISERROR(ETPT_TJ!AC8),"",IF(ETPT_TJ!AC8=0,"",ETPT_TJ!AC8)))</f>
      </c>
      <c r="AD8" s="194">
        <f>IF(ISBLANK(ETPT_TJ_DDG!$D$5),"",IF(ISERROR(ETPT_TJ!AD8),"",IF(ETPT_TJ!AD8=0,"",ETPT_TJ!AD8)))</f>
      </c>
      <c r="AE8" s="194">
        <f>IF(ISBLANK(ETPT_TJ_DDG!$D$5),"",IF(ISERROR(ETPT_TJ!AE8),"",IF(ETPT_TJ!AE8=0,"",ETPT_TJ!AE8)))</f>
      </c>
      <c r="AF8" s="194">
        <f>IF(ISBLANK(ETPT_TJ_DDG!$D$5),"",IF(ISERROR(ETPT_TJ!AF8),"",IF(ETPT_TJ!AF8=0,"",ETPT_TJ!AF8)))</f>
      </c>
      <c r="AG8" s="109">
        <f t="shared" si="2"/>
        <v>0</v>
      </c>
      <c r="AH8" s="194">
        <f>IF(ISBLANK(ETPT_TJ_DDG!$D$5),"",IF(ISERROR(ETPT_TJ!AH8),"",IF(ETPT_TJ!AH8=0,"",ETPT_TJ!AH8)))</f>
      </c>
      <c r="AI8" s="194">
        <f>IF(ISBLANK(ETPT_TJ_DDG!$D$5),"",IF(ISERROR(ETPT_TJ!AI8),"",IF(ETPT_TJ!AI8=0,"",ETPT_TJ!AI8)))</f>
      </c>
      <c r="AJ8" s="194">
        <f>IF(ISBLANK(ETPT_TJ_DDG!$D$5),"",IF(ISERROR(ETPT_TJ!AJ8),"",IF(ETPT_TJ!AJ8=0,"",ETPT_TJ!AJ8)))</f>
      </c>
      <c r="AK8" s="194">
        <f>IF(ISBLANK(ETPT_TJ_DDG!$D$5),"",IF(ISERROR(ETPT_TJ!AK8),"",IF(ETPT_TJ!AK8=0,"",ETPT_TJ!AK8)))</f>
      </c>
      <c r="AL8" s="194">
        <f>IF(ISBLANK(ETPT_TJ_DDG!$D$5),"",IF(ISERROR(ETPT_TJ!AL8),"",IF(ETPT_TJ!AL8=0,"",ETPT_TJ!AL8)))</f>
      </c>
      <c r="AM8" s="194">
        <f>IF(ISBLANK(ETPT_TJ_DDG!$D$5),"",IF(ISERROR(ETPT_TJ!AM8),"",IF(ETPT_TJ!AM8=0,"",ETPT_TJ!AM8)))</f>
      </c>
      <c r="AN8" s="194">
        <f>IF(ISBLANK(ETPT_TJ_DDG!$D$5),"",IF(ISERROR(ETPT_TJ!AN8),"",IF(ETPT_TJ!AN8=0,"",ETPT_TJ!AN8)))</f>
      </c>
      <c r="AO8" s="194">
        <f>IF(ISBLANK(ETPT_TJ_DDG!$D$5),"",IF(ISERROR(ETPT_TJ!AO8),"",IF(ETPT_TJ!AO8=0,"",ETPT_TJ!AO8)))</f>
      </c>
      <c r="AP8" s="194">
        <f>IF(ISBLANK(ETPT_TJ_DDG!$D$5),"",IF(ISERROR(ETPT_TJ!AP8),"",IF(ETPT_TJ!AP8=0,"",ETPT_TJ!AP8)))</f>
      </c>
      <c r="AQ8" s="194">
        <f>IF(ISBLANK(ETPT_TJ_DDG!$D$5),"",IF(ISERROR(ETPT_TJ!AQ8),"",IF(ETPT_TJ!AQ8=0,"",ETPT_TJ!AQ8)))</f>
      </c>
      <c r="AR8" s="194">
        <f>IF(ISBLANK(ETPT_TJ_DDG!$D$5),"",IF(ISERROR(ETPT_TJ!AR8),"",IF(ETPT_TJ!AR8=0,"",ETPT_TJ!AR8)))</f>
      </c>
      <c r="AS8" s="194">
        <f>IF(ISBLANK(ETPT_TJ_DDG!$D$5),"",IF(ISERROR(ETPT_TJ!AS8),"",IF(ETPT_TJ!AS8=0,"",ETPT_TJ!AS8)))</f>
      </c>
      <c r="AT8" s="194">
        <f>IF(ISBLANK(ETPT_TJ_DDG!$D$5),"",IF(ISERROR(ETPT_TJ!AT8),"",IF(ETPT_TJ!AT8=0,"",ETPT_TJ!AT8)))</f>
      </c>
      <c r="AU8" s="194">
        <f>IF(ISBLANK(ETPT_TJ_DDG!$D$5),"",IF(ISERROR(ETPT_TJ!AU8),"",IF(ETPT_TJ!AU8=0,"",ETPT_TJ!AU8)))</f>
      </c>
      <c r="AV8" s="109">
        <f t="shared" si="3"/>
        <v>0</v>
      </c>
      <c r="AW8" s="113"/>
      <c r="AX8" s="113"/>
      <c r="AY8" s="113"/>
      <c r="AZ8" s="113"/>
      <c r="BA8" s="113"/>
      <c r="BB8" s="113"/>
      <c r="BC8" s="113"/>
      <c r="BD8" s="113"/>
      <c r="BE8" s="113"/>
      <c r="BF8" s="109">
        <f t="shared" si="4"/>
        <v>0</v>
      </c>
    </row>
    <row r="9" ht="14.25" customHeight="1" spans="1:58" s="92" customFormat="1" x14ac:dyDescent="0.25">
      <c r="A9" s="102" t="s">
        <v>2219</v>
      </c>
      <c r="B9" s="103"/>
      <c r="C9" s="103"/>
      <c r="D9" s="195">
        <f t="shared" si="5"/>
      </c>
      <c r="E9" s="103" t="s">
        <v>2231</v>
      </c>
      <c r="F9" s="103" t="s">
        <v>2232</v>
      </c>
      <c r="G9" s="194">
        <f>IF(ISBLANK(ETPT_TJ_DDG!$D$5),"",IF(ISERROR(ETPT_TJ!G9),"",IF(ETPT_TJ!G9=0,"",ETPT_TJ!G9)))</f>
      </c>
      <c r="H9" s="109">
        <f t="shared" si="0"/>
        <v>0</v>
      </c>
      <c r="I9" s="194">
        <f>IF(ISBLANK(ETPT_TJ_DDG!$D$5),"",IF(ISERROR(ETPT_TJ!I9),"",IF(ETPT_TJ!I9=0,"",ETPT_TJ!I9)))</f>
      </c>
      <c r="J9" s="194">
        <f>IF(ISBLANK(ETPT_TJ_DDG!$D$5),"",IF(ISERROR(ETPT_TJ!J9),"",IF(ETPT_TJ!J9=0,"",ETPT_TJ!J9)))</f>
      </c>
      <c r="K9" s="194">
        <f>IF(ISBLANK(ETPT_TJ_DDG!$D$5),"",IF(ISERROR(ETPT_TJ!K9),"",IF(ETPT_TJ!K9=0,"",ETPT_TJ!K9)))</f>
      </c>
      <c r="L9" s="194">
        <f>IF(ISBLANK(ETPT_TJ_DDG!$D$5),"",IF(ISERROR(ETPT_TJ!L9),"",IF(ETPT_TJ!L9=0,"",ETPT_TJ!L9)))</f>
      </c>
      <c r="M9" s="194">
        <f>IF(ISBLANK(ETPT_TJ_DDG!$D$5),"",IF(ISERROR(ETPT_TJ!M9),"",IF(ETPT_TJ!M9=0,"",ETPT_TJ!M9)))</f>
      </c>
      <c r="N9" s="194">
        <f>IF(ISBLANK(ETPT_TJ_DDG!$D$5),"",IF(ISERROR(ETPT_TJ!N9),"",IF(ETPT_TJ!N9=0,"",ETPT_TJ!N9)))</f>
      </c>
      <c r="O9" s="194">
        <f>IF(ISBLANK(ETPT_TJ_DDG!$D$5),"",IF(ISERROR(ETPT_TJ!O9),"",IF(ETPT_TJ!O9=0,"",ETPT_TJ!O9)))</f>
      </c>
      <c r="P9" s="194">
        <f>IF(ISBLANK(ETPT_TJ_DDG!$D$5),"",IF(ISERROR(ETPT_TJ!P9),"",IF(ETPT_TJ!P9=0,"",ETPT_TJ!P9)))</f>
      </c>
      <c r="Q9" s="194">
        <f>IF(ISBLANK(ETPT_TJ_DDG!$D$5),"",IF(ISERROR(ETPT_TJ!Q9),"",IF(ETPT_TJ!Q9=0,"",ETPT_TJ!Q9)))</f>
      </c>
      <c r="R9" s="194">
        <f>IF(ISBLANK(ETPT_TJ_DDG!$D$5),"",IF(ISERROR(ETPT_TJ!R9),"",IF(ETPT_TJ!R9=0,"",ETPT_TJ!R9)))</f>
      </c>
      <c r="S9" s="194">
        <f>IF(ISBLANK(ETPT_TJ_DDG!$D$5),"",IF(ISERROR(ETPT_TJ!S9),"",IF(ETPT_TJ!S9=0,"",ETPT_TJ!S9)))</f>
      </c>
      <c r="T9" s="194">
        <f>IF(ISBLANK(ETPT_TJ_DDG!$D$5),"",IF(ISERROR(ETPT_TJ!T9),"",IF(ETPT_TJ!T9=0,"",ETPT_TJ!T9)))</f>
      </c>
      <c r="U9" s="194">
        <f>IF(ISBLANK(ETPT_TJ_DDG!$D$5),"",IF(ISERROR(ETPT_TJ!U9),"",IF(ETPT_TJ!U9=0,"",ETPT_TJ!U9)))</f>
      </c>
      <c r="V9" s="194">
        <f>IF(ISBLANK(ETPT_TJ_DDG!$D$5),"",IF(ISERROR(ETPT_TJ!V9),"",IF(ETPT_TJ!V9=0,"",ETPT_TJ!V9)))</f>
      </c>
      <c r="W9" s="109">
        <f t="shared" si="1"/>
        <v>0</v>
      </c>
      <c r="X9" s="194">
        <f>IF(ISBLANK(ETPT_TJ_DDG!$D$5),"",IF(ISERROR(ETPT_TJ!X9),"",IF(ETPT_TJ!X9=0,"",ETPT_TJ!X9)))</f>
      </c>
      <c r="Y9" s="194">
        <f>IF(ISBLANK(ETPT_TJ_DDG!$D$5),"",IF(ISERROR(ETPT_TJ!Y9),"",IF(ETPT_TJ!Y9=0,"",ETPT_TJ!Y9)))</f>
      </c>
      <c r="Z9" s="194">
        <f>IF(ISBLANK(ETPT_TJ_DDG!$D$5),"",IF(ISERROR(ETPT_TJ!Z9),"",IF(ETPT_TJ!Z9=0,"",ETPT_TJ!Z9)))</f>
      </c>
      <c r="AA9" s="194">
        <f>IF(ISBLANK(ETPT_TJ_DDG!$D$5),"",IF(ISERROR(ETPT_TJ!AA9),"",IF(ETPT_TJ!AA9=0,"",ETPT_TJ!AA9)))</f>
      </c>
      <c r="AB9" s="194">
        <f>IF(ISBLANK(ETPT_TJ_DDG!$D$5),"",IF(ISERROR(ETPT_TJ!AB9),"",IF(ETPT_TJ!AB9=0,"",ETPT_TJ!AB9)))</f>
      </c>
      <c r="AC9" s="194">
        <f>IF(ISBLANK(ETPT_TJ_DDG!$D$5),"",IF(ISERROR(ETPT_TJ!AC9),"",IF(ETPT_TJ!AC9=0,"",ETPT_TJ!AC9)))</f>
      </c>
      <c r="AD9" s="194">
        <f>IF(ISBLANK(ETPT_TJ_DDG!$D$5),"",IF(ISERROR(ETPT_TJ!AD9),"",IF(ETPT_TJ!AD9=0,"",ETPT_TJ!AD9)))</f>
      </c>
      <c r="AE9" s="194">
        <f>IF(ISBLANK(ETPT_TJ_DDG!$D$5),"",IF(ISERROR(ETPT_TJ!AE9),"",IF(ETPT_TJ!AE9=0,"",ETPT_TJ!AE9)))</f>
      </c>
      <c r="AF9" s="194">
        <f>IF(ISBLANK(ETPT_TJ_DDG!$D$5),"",IF(ISERROR(ETPT_TJ!AF9),"",IF(ETPT_TJ!AF9=0,"",ETPT_TJ!AF9)))</f>
      </c>
      <c r="AG9" s="109">
        <f t="shared" si="2"/>
        <v>0</v>
      </c>
      <c r="AH9" s="194">
        <f>IF(ISBLANK(ETPT_TJ_DDG!$D$5),"",IF(ISERROR(ETPT_TJ!AH9),"",IF(ETPT_TJ!AH9=0,"",ETPT_TJ!AH9)))</f>
      </c>
      <c r="AI9" s="194">
        <f>IF(ISBLANK(ETPT_TJ_DDG!$D$5),"",IF(ISERROR(ETPT_TJ!AI9),"",IF(ETPT_TJ!AI9=0,"",ETPT_TJ!AI9)))</f>
      </c>
      <c r="AJ9" s="194">
        <f>IF(ISBLANK(ETPT_TJ_DDG!$D$5),"",IF(ISERROR(ETPT_TJ!AJ9),"",IF(ETPT_TJ!AJ9=0,"",ETPT_TJ!AJ9)))</f>
      </c>
      <c r="AK9" s="194">
        <f>IF(ISBLANK(ETPT_TJ_DDG!$D$5),"",IF(ISERROR(ETPT_TJ!AK9),"",IF(ETPT_TJ!AK9=0,"",ETPT_TJ!AK9)))</f>
      </c>
      <c r="AL9" s="194">
        <f>IF(ISBLANK(ETPT_TJ_DDG!$D$5),"",IF(ISERROR(ETPT_TJ!AL9),"",IF(ETPT_TJ!AL9=0,"",ETPT_TJ!AL9)))</f>
      </c>
      <c r="AM9" s="194">
        <f>IF(ISBLANK(ETPT_TJ_DDG!$D$5),"",IF(ISERROR(ETPT_TJ!AM9),"",IF(ETPT_TJ!AM9=0,"",ETPT_TJ!AM9)))</f>
      </c>
      <c r="AN9" s="194">
        <f>IF(ISBLANK(ETPT_TJ_DDG!$D$5),"",IF(ISERROR(ETPT_TJ!AN9),"",IF(ETPT_TJ!AN9=0,"",ETPT_TJ!AN9)))</f>
      </c>
      <c r="AO9" s="194">
        <f>IF(ISBLANK(ETPT_TJ_DDG!$D$5),"",IF(ISERROR(ETPT_TJ!AO9),"",IF(ETPT_TJ!AO9=0,"",ETPT_TJ!AO9)))</f>
      </c>
      <c r="AP9" s="194">
        <f>IF(ISBLANK(ETPT_TJ_DDG!$D$5),"",IF(ISERROR(ETPT_TJ!AP9),"",IF(ETPT_TJ!AP9=0,"",ETPT_TJ!AP9)))</f>
      </c>
      <c r="AQ9" s="194">
        <f>IF(ISBLANK(ETPT_TJ_DDG!$D$5),"",IF(ISERROR(ETPT_TJ!AQ9),"",IF(ETPT_TJ!AQ9=0,"",ETPT_TJ!AQ9)))</f>
      </c>
      <c r="AR9" s="194">
        <f>IF(ISBLANK(ETPT_TJ_DDG!$D$5),"",IF(ISERROR(ETPT_TJ!AR9),"",IF(ETPT_TJ!AR9=0,"",ETPT_TJ!AR9)))</f>
      </c>
      <c r="AS9" s="194">
        <f>IF(ISBLANK(ETPT_TJ_DDG!$D$5),"",IF(ISERROR(ETPT_TJ!AS9),"",IF(ETPT_TJ!AS9=0,"",ETPT_TJ!AS9)))</f>
      </c>
      <c r="AT9" s="194">
        <f>IF(ISBLANK(ETPT_TJ_DDG!$D$5),"",IF(ISERROR(ETPT_TJ!AT9),"",IF(ETPT_TJ!AT9=0,"",ETPT_TJ!AT9)))</f>
      </c>
      <c r="AU9" s="194">
        <f>IF(ISBLANK(ETPT_TJ_DDG!$D$5),"",IF(ISERROR(ETPT_TJ!AU9),"",IF(ETPT_TJ!AU9=0,"",ETPT_TJ!AU9)))</f>
      </c>
      <c r="AV9" s="109">
        <f t="shared" si="3"/>
        <v>0</v>
      </c>
      <c r="AW9" s="113"/>
      <c r="AX9" s="113"/>
      <c r="AY9" s="113"/>
      <c r="AZ9" s="113"/>
      <c r="BA9" s="113"/>
      <c r="BB9" s="113"/>
      <c r="BC9" s="113"/>
      <c r="BD9" s="113"/>
      <c r="BE9" s="113"/>
      <c r="BF9" s="109">
        <f t="shared" si="4"/>
        <v>0</v>
      </c>
    </row>
    <row r="10" ht="14.25" customHeight="1" spans="1:58" s="92" customFormat="1" x14ac:dyDescent="0.25">
      <c r="A10" s="102" t="s">
        <v>2219</v>
      </c>
      <c r="B10" s="103"/>
      <c r="C10" s="103"/>
      <c r="D10" s="195">
        <f t="shared" si="5"/>
      </c>
      <c r="E10" s="103" t="s">
        <v>2233</v>
      </c>
      <c r="F10" s="103" t="s">
        <v>2234</v>
      </c>
      <c r="G10" s="194">
        <f>IF(ISBLANK(ETPT_TJ_DDG!$D$5),"",IF(ISERROR(ETPT_TJ!G10),"",IF(ETPT_TJ!G10=0,"",ETPT_TJ!G10)))</f>
      </c>
      <c r="H10" s="109">
        <f t="shared" si="0"/>
        <v>0</v>
      </c>
      <c r="I10" s="194">
        <f>IF(ISBLANK(ETPT_TJ_DDG!$D$5),"",IF(ISERROR(ETPT_TJ!I10),"",IF(ETPT_TJ!I10=0,"",ETPT_TJ!I10)))</f>
      </c>
      <c r="J10" s="194">
        <f>IF(ISBLANK(ETPT_TJ_DDG!$D$5),"",IF(ISERROR(ETPT_TJ!J10),"",IF(ETPT_TJ!J10=0,"",ETPT_TJ!J10)))</f>
      </c>
      <c r="K10" s="194">
        <f>IF(ISBLANK(ETPT_TJ_DDG!$D$5),"",IF(ISERROR(ETPT_TJ!K10),"",IF(ETPT_TJ!K10=0,"",ETPT_TJ!K10)))</f>
      </c>
      <c r="L10" s="194">
        <f>IF(ISBLANK(ETPT_TJ_DDG!$D$5),"",IF(ISERROR(ETPT_TJ!L10),"",IF(ETPT_TJ!L10=0,"",ETPT_TJ!L10)))</f>
      </c>
      <c r="M10" s="194">
        <f>IF(ISBLANK(ETPT_TJ_DDG!$D$5),"",IF(ISERROR(ETPT_TJ!M10),"",IF(ETPT_TJ!M10=0,"",ETPT_TJ!M10)))</f>
      </c>
      <c r="N10" s="194">
        <f>IF(ISBLANK(ETPT_TJ_DDG!$D$5),"",IF(ISERROR(ETPT_TJ!N10),"",IF(ETPT_TJ!N10=0,"",ETPT_TJ!N10)))</f>
      </c>
      <c r="O10" s="194">
        <f>IF(ISBLANK(ETPT_TJ_DDG!$D$5),"",IF(ISERROR(ETPT_TJ!O10),"",IF(ETPT_TJ!O10=0,"",ETPT_TJ!O10)))</f>
      </c>
      <c r="P10" s="194">
        <f>IF(ISBLANK(ETPT_TJ_DDG!$D$5),"",IF(ISERROR(ETPT_TJ!P10),"",IF(ETPT_TJ!P10=0,"",ETPT_TJ!P10)))</f>
      </c>
      <c r="Q10" s="194">
        <f>IF(ISBLANK(ETPT_TJ_DDG!$D$5),"",IF(ISERROR(ETPT_TJ!Q10),"",IF(ETPT_TJ!Q10=0,"",ETPT_TJ!Q10)))</f>
      </c>
      <c r="R10" s="194">
        <f>IF(ISBLANK(ETPT_TJ_DDG!$D$5),"",IF(ISERROR(ETPT_TJ!R10),"",IF(ETPT_TJ!R10=0,"",ETPT_TJ!R10)))</f>
      </c>
      <c r="S10" s="194">
        <f>IF(ISBLANK(ETPT_TJ_DDG!$D$5),"",IF(ISERROR(ETPT_TJ!S10),"",IF(ETPT_TJ!S10=0,"",ETPT_TJ!S10)))</f>
      </c>
      <c r="T10" s="194">
        <f>IF(ISBLANK(ETPT_TJ_DDG!$D$5),"",IF(ISERROR(ETPT_TJ!T10),"",IF(ETPT_TJ!T10=0,"",ETPT_TJ!T10)))</f>
      </c>
      <c r="U10" s="194">
        <f>IF(ISBLANK(ETPT_TJ_DDG!$D$5),"",IF(ISERROR(ETPT_TJ!U10),"",IF(ETPT_TJ!U10=0,"",ETPT_TJ!U10)))</f>
      </c>
      <c r="V10" s="194">
        <f>IF(ISBLANK(ETPT_TJ_DDG!$D$5),"",IF(ISERROR(ETPT_TJ!V10),"",IF(ETPT_TJ!V10=0,"",ETPT_TJ!V10)))</f>
      </c>
      <c r="W10" s="109">
        <f t="shared" si="1"/>
        <v>0</v>
      </c>
      <c r="X10" s="194">
        <f>IF(ISBLANK(ETPT_TJ_DDG!$D$5),"",IF(ISERROR(ETPT_TJ!X10),"",IF(ETPT_TJ!X10=0,"",ETPT_TJ!X10)))</f>
      </c>
      <c r="Y10" s="194">
        <f>IF(ISBLANK(ETPT_TJ_DDG!$D$5),"",IF(ISERROR(ETPT_TJ!Y10),"",IF(ETPT_TJ!Y10=0,"",ETPT_TJ!Y10)))</f>
      </c>
      <c r="Z10" s="194">
        <f>IF(ISBLANK(ETPT_TJ_DDG!$D$5),"",IF(ISERROR(ETPT_TJ!Z10),"",IF(ETPT_TJ!Z10=0,"",ETPT_TJ!Z10)))</f>
      </c>
      <c r="AA10" s="194">
        <f>IF(ISBLANK(ETPT_TJ_DDG!$D$5),"",IF(ISERROR(ETPT_TJ!AA10),"",IF(ETPT_TJ!AA10=0,"",ETPT_TJ!AA10)))</f>
      </c>
      <c r="AB10" s="194">
        <f>IF(ISBLANK(ETPT_TJ_DDG!$D$5),"",IF(ISERROR(ETPT_TJ!AB10),"",IF(ETPT_TJ!AB10=0,"",ETPT_TJ!AB10)))</f>
      </c>
      <c r="AC10" s="194">
        <f>IF(ISBLANK(ETPT_TJ_DDG!$D$5),"",IF(ISERROR(ETPT_TJ!AC10),"",IF(ETPT_TJ!AC10=0,"",ETPT_TJ!AC10)))</f>
      </c>
      <c r="AD10" s="194">
        <f>IF(ISBLANK(ETPT_TJ_DDG!$D$5),"",IF(ISERROR(ETPT_TJ!AD10),"",IF(ETPT_TJ!AD10=0,"",ETPT_TJ!AD10)))</f>
      </c>
      <c r="AE10" s="194">
        <f>IF(ISBLANK(ETPT_TJ_DDG!$D$5),"",IF(ISERROR(ETPT_TJ!AE10),"",IF(ETPT_TJ!AE10=0,"",ETPT_TJ!AE10)))</f>
      </c>
      <c r="AF10" s="194">
        <f>IF(ISBLANK(ETPT_TJ_DDG!$D$5),"",IF(ISERROR(ETPT_TJ!AF10),"",IF(ETPT_TJ!AF10=0,"",ETPT_TJ!AF10)))</f>
      </c>
      <c r="AG10" s="109">
        <f t="shared" si="2"/>
        <v>0</v>
      </c>
      <c r="AH10" s="194">
        <f>IF(ISBLANK(ETPT_TJ_DDG!$D$5),"",IF(ISERROR(ETPT_TJ!AH10),"",IF(ETPT_TJ!AH10=0,"",ETPT_TJ!AH10)))</f>
      </c>
      <c r="AI10" s="194">
        <f>IF(ISBLANK(ETPT_TJ_DDG!$D$5),"",IF(ISERROR(ETPT_TJ!AI10),"",IF(ETPT_TJ!AI10=0,"",ETPT_TJ!AI10)))</f>
      </c>
      <c r="AJ10" s="194">
        <f>IF(ISBLANK(ETPT_TJ_DDG!$D$5),"",IF(ISERROR(ETPT_TJ!AJ10),"",IF(ETPT_TJ!AJ10=0,"",ETPT_TJ!AJ10)))</f>
      </c>
      <c r="AK10" s="194">
        <f>IF(ISBLANK(ETPT_TJ_DDG!$D$5),"",IF(ISERROR(ETPT_TJ!AK10),"",IF(ETPT_TJ!AK10=0,"",ETPT_TJ!AK10)))</f>
      </c>
      <c r="AL10" s="194">
        <f>IF(ISBLANK(ETPT_TJ_DDG!$D$5),"",IF(ISERROR(ETPT_TJ!AL10),"",IF(ETPT_TJ!AL10=0,"",ETPT_TJ!AL10)))</f>
      </c>
      <c r="AM10" s="194">
        <f>IF(ISBLANK(ETPT_TJ_DDG!$D$5),"",IF(ISERROR(ETPT_TJ!AM10),"",IF(ETPT_TJ!AM10=0,"",ETPT_TJ!AM10)))</f>
      </c>
      <c r="AN10" s="194">
        <f>IF(ISBLANK(ETPT_TJ_DDG!$D$5),"",IF(ISERROR(ETPT_TJ!AN10),"",IF(ETPT_TJ!AN10=0,"",ETPT_TJ!AN10)))</f>
      </c>
      <c r="AO10" s="194">
        <f>IF(ISBLANK(ETPT_TJ_DDG!$D$5),"",IF(ISERROR(ETPT_TJ!AO10),"",IF(ETPT_TJ!AO10=0,"",ETPT_TJ!AO10)))</f>
      </c>
      <c r="AP10" s="194">
        <f>IF(ISBLANK(ETPT_TJ_DDG!$D$5),"",IF(ISERROR(ETPT_TJ!AP10),"",IF(ETPT_TJ!AP10=0,"",ETPT_TJ!AP10)))</f>
      </c>
      <c r="AQ10" s="194">
        <f>IF(ISBLANK(ETPT_TJ_DDG!$D$5),"",IF(ISERROR(ETPT_TJ!AQ10),"",IF(ETPT_TJ!AQ10=0,"",ETPT_TJ!AQ10)))</f>
      </c>
      <c r="AR10" s="194">
        <f>IF(ISBLANK(ETPT_TJ_DDG!$D$5),"",IF(ISERROR(ETPT_TJ!AR10),"",IF(ETPT_TJ!AR10=0,"",ETPT_TJ!AR10)))</f>
      </c>
      <c r="AS10" s="194">
        <f>IF(ISBLANK(ETPT_TJ_DDG!$D$5),"",IF(ISERROR(ETPT_TJ!AS10),"",IF(ETPT_TJ!AS10=0,"",ETPT_TJ!AS10)))</f>
      </c>
      <c r="AT10" s="194">
        <f>IF(ISBLANK(ETPT_TJ_DDG!$D$5),"",IF(ISERROR(ETPT_TJ!AT10),"",IF(ETPT_TJ!AT10=0,"",ETPT_TJ!AT10)))</f>
      </c>
      <c r="AU10" s="194">
        <f>IF(ISBLANK(ETPT_TJ_DDG!$D$5),"",IF(ISERROR(ETPT_TJ!AU10),"",IF(ETPT_TJ!AU10=0,"",ETPT_TJ!AU10)))</f>
      </c>
      <c r="AV10" s="109">
        <f t="shared" si="3"/>
        <v>0</v>
      </c>
      <c r="AW10" s="113"/>
      <c r="AX10" s="113"/>
      <c r="AY10" s="113"/>
      <c r="AZ10" s="113"/>
      <c r="BA10" s="113"/>
      <c r="BB10" s="113"/>
      <c r="BC10" s="113"/>
      <c r="BD10" s="113"/>
      <c r="BE10" s="113"/>
      <c r="BF10" s="109">
        <f t="shared" si="4"/>
        <v>0</v>
      </c>
    </row>
    <row r="11" ht="14.25" customHeight="1" spans="1:58" s="92" customFormat="1" x14ac:dyDescent="0.25">
      <c r="A11" s="102" t="s">
        <v>2219</v>
      </c>
      <c r="B11" s="103"/>
      <c r="C11" s="103"/>
      <c r="D11" s="195">
        <f t="shared" si="5"/>
      </c>
      <c r="E11" s="103" t="s">
        <v>2235</v>
      </c>
      <c r="F11" s="103" t="s">
        <v>2236</v>
      </c>
      <c r="G11" s="194">
        <f>IF(ISBLANK(ETPT_TJ_DDG!$D$5),"",IF(ISERROR(ETPT_TJ!G11),"",IF(ETPT_TJ!G11=0,"",ETPT_TJ!G11)))</f>
      </c>
      <c r="H11" s="109">
        <f t="shared" si="0"/>
        <v>0</v>
      </c>
      <c r="I11" s="194">
        <f>IF(ISBLANK(ETPT_TJ_DDG!$D$5),"",IF(ISERROR(ETPT_TJ!I11),"",IF(ETPT_TJ!I11=0,"",ETPT_TJ!I11)))</f>
      </c>
      <c r="J11" s="194">
        <f>IF(ISBLANK(ETPT_TJ_DDG!$D$5),"",IF(ISERROR(ETPT_TJ!J11),"",IF(ETPT_TJ!J11=0,"",ETPT_TJ!J11)))</f>
      </c>
      <c r="K11" s="194">
        <f>IF(ISBLANK(ETPT_TJ_DDG!$D$5),"",IF(ISERROR(ETPT_TJ!K11),"",IF(ETPT_TJ!K11=0,"",ETPT_TJ!K11)))</f>
      </c>
      <c r="L11" s="194">
        <f>IF(ISBLANK(ETPT_TJ_DDG!$D$5),"",IF(ISERROR(ETPT_TJ!L11),"",IF(ETPT_TJ!L11=0,"",ETPT_TJ!L11)))</f>
      </c>
      <c r="M11" s="194">
        <f>IF(ISBLANK(ETPT_TJ_DDG!$D$5),"",IF(ISERROR(ETPT_TJ!M11),"",IF(ETPT_TJ!M11=0,"",ETPT_TJ!M11)))</f>
      </c>
      <c r="N11" s="194">
        <f>IF(ISBLANK(ETPT_TJ_DDG!$D$5),"",IF(ISERROR(ETPT_TJ!N11),"",IF(ETPT_TJ!N11=0,"",ETPT_TJ!N11)))</f>
      </c>
      <c r="O11" s="194">
        <f>IF(ISBLANK(ETPT_TJ_DDG!$D$5),"",IF(ISERROR(ETPT_TJ!O11),"",IF(ETPT_TJ!O11=0,"",ETPT_TJ!O11)))</f>
      </c>
      <c r="P11" s="194">
        <f>IF(ISBLANK(ETPT_TJ_DDG!$D$5),"",IF(ISERROR(ETPT_TJ!P11),"",IF(ETPT_TJ!P11=0,"",ETPT_TJ!P11)))</f>
      </c>
      <c r="Q11" s="194">
        <f>IF(ISBLANK(ETPT_TJ_DDG!$D$5),"",IF(ISERROR(ETPT_TJ!Q11),"",IF(ETPT_TJ!Q11=0,"",ETPT_TJ!Q11)))</f>
      </c>
      <c r="R11" s="194">
        <f>IF(ISBLANK(ETPT_TJ_DDG!$D$5),"",IF(ISERROR(ETPT_TJ!R11),"",IF(ETPT_TJ!R11=0,"",ETPT_TJ!R11)))</f>
      </c>
      <c r="S11" s="194">
        <f>IF(ISBLANK(ETPT_TJ_DDG!$D$5),"",IF(ISERROR(ETPT_TJ!S11),"",IF(ETPT_TJ!S11=0,"",ETPT_TJ!S11)))</f>
      </c>
      <c r="T11" s="194">
        <f>IF(ISBLANK(ETPT_TJ_DDG!$D$5),"",IF(ISERROR(ETPT_TJ!T11),"",IF(ETPT_TJ!T11=0,"",ETPT_TJ!T11)))</f>
      </c>
      <c r="U11" s="194">
        <f>IF(ISBLANK(ETPT_TJ_DDG!$D$5),"",IF(ISERROR(ETPT_TJ!U11),"",IF(ETPT_TJ!U11=0,"",ETPT_TJ!U11)))</f>
      </c>
      <c r="V11" s="194">
        <f>IF(ISBLANK(ETPT_TJ_DDG!$D$5),"",IF(ISERROR(ETPT_TJ!V11),"",IF(ETPT_TJ!V11=0,"",ETPT_TJ!V11)))</f>
      </c>
      <c r="W11" s="109">
        <f t="shared" si="1"/>
        <v>0</v>
      </c>
      <c r="X11" s="194">
        <f>IF(ISBLANK(ETPT_TJ_DDG!$D$5),"",IF(ISERROR(ETPT_TJ!X11),"",IF(ETPT_TJ!X11=0,"",ETPT_TJ!X11)))</f>
      </c>
      <c r="Y11" s="194">
        <f>IF(ISBLANK(ETPT_TJ_DDG!$D$5),"",IF(ISERROR(ETPT_TJ!Y11),"",IF(ETPT_TJ!Y11=0,"",ETPT_TJ!Y11)))</f>
      </c>
      <c r="Z11" s="194">
        <f>IF(ISBLANK(ETPT_TJ_DDG!$D$5),"",IF(ISERROR(ETPT_TJ!Z11),"",IF(ETPT_TJ!Z11=0,"",ETPT_TJ!Z11)))</f>
      </c>
      <c r="AA11" s="194">
        <f>IF(ISBLANK(ETPT_TJ_DDG!$D$5),"",IF(ISERROR(ETPT_TJ!AA11),"",IF(ETPT_TJ!AA11=0,"",ETPT_TJ!AA11)))</f>
      </c>
      <c r="AB11" s="194">
        <f>IF(ISBLANK(ETPT_TJ_DDG!$D$5),"",IF(ISERROR(ETPT_TJ!AB11),"",IF(ETPT_TJ!AB11=0,"",ETPT_TJ!AB11)))</f>
      </c>
      <c r="AC11" s="194">
        <f>IF(ISBLANK(ETPT_TJ_DDG!$D$5),"",IF(ISERROR(ETPT_TJ!AC11),"",IF(ETPT_TJ!AC11=0,"",ETPT_TJ!AC11)))</f>
      </c>
      <c r="AD11" s="194">
        <f>IF(ISBLANK(ETPT_TJ_DDG!$D$5),"",IF(ISERROR(ETPT_TJ!AD11),"",IF(ETPT_TJ!AD11=0,"",ETPT_TJ!AD11)))</f>
      </c>
      <c r="AE11" s="194">
        <f>IF(ISBLANK(ETPT_TJ_DDG!$D$5),"",IF(ISERROR(ETPT_TJ!AE11),"",IF(ETPT_TJ!AE11=0,"",ETPT_TJ!AE11)))</f>
      </c>
      <c r="AF11" s="194">
        <f>IF(ISBLANK(ETPT_TJ_DDG!$D$5),"",IF(ISERROR(ETPT_TJ!AF11),"",IF(ETPT_TJ!AF11=0,"",ETPT_TJ!AF11)))</f>
      </c>
      <c r="AG11" s="109">
        <f t="shared" si="2"/>
        <v>0</v>
      </c>
      <c r="AH11" s="194">
        <f>IF(ISBLANK(ETPT_TJ_DDG!$D$5),"",IF(ISERROR(ETPT_TJ!AH11),"",IF(ETPT_TJ!AH11=0,"",ETPT_TJ!AH11)))</f>
      </c>
      <c r="AI11" s="194">
        <f>IF(ISBLANK(ETPT_TJ_DDG!$D$5),"",IF(ISERROR(ETPT_TJ!AI11),"",IF(ETPT_TJ!AI11=0,"",ETPT_TJ!AI11)))</f>
      </c>
      <c r="AJ11" s="194">
        <f>IF(ISBLANK(ETPT_TJ_DDG!$D$5),"",IF(ISERROR(ETPT_TJ!AJ11),"",IF(ETPT_TJ!AJ11=0,"",ETPT_TJ!AJ11)))</f>
      </c>
      <c r="AK11" s="194">
        <f>IF(ISBLANK(ETPT_TJ_DDG!$D$5),"",IF(ISERROR(ETPT_TJ!AK11),"",IF(ETPT_TJ!AK11=0,"",ETPT_TJ!AK11)))</f>
      </c>
      <c r="AL11" s="194">
        <f>IF(ISBLANK(ETPT_TJ_DDG!$D$5),"",IF(ISERROR(ETPT_TJ!AL11),"",IF(ETPT_TJ!AL11=0,"",ETPT_TJ!AL11)))</f>
      </c>
      <c r="AM11" s="194">
        <f>IF(ISBLANK(ETPT_TJ_DDG!$D$5),"",IF(ISERROR(ETPT_TJ!AM11),"",IF(ETPT_TJ!AM11=0,"",ETPT_TJ!AM11)))</f>
      </c>
      <c r="AN11" s="194">
        <f>IF(ISBLANK(ETPT_TJ_DDG!$D$5),"",IF(ISERROR(ETPT_TJ!AN11),"",IF(ETPT_TJ!AN11=0,"",ETPT_TJ!AN11)))</f>
      </c>
      <c r="AO11" s="194">
        <f>IF(ISBLANK(ETPT_TJ_DDG!$D$5),"",IF(ISERROR(ETPT_TJ!AO11),"",IF(ETPT_TJ!AO11=0,"",ETPT_TJ!AO11)))</f>
      </c>
      <c r="AP11" s="194">
        <f>IF(ISBLANK(ETPT_TJ_DDG!$D$5),"",IF(ISERROR(ETPT_TJ!AP11),"",IF(ETPT_TJ!AP11=0,"",ETPT_TJ!AP11)))</f>
      </c>
      <c r="AQ11" s="194">
        <f>IF(ISBLANK(ETPT_TJ_DDG!$D$5),"",IF(ISERROR(ETPT_TJ!AQ11),"",IF(ETPT_TJ!AQ11=0,"",ETPT_TJ!AQ11)))</f>
      </c>
      <c r="AR11" s="194">
        <f>IF(ISBLANK(ETPT_TJ_DDG!$D$5),"",IF(ISERROR(ETPT_TJ!AR11),"",IF(ETPT_TJ!AR11=0,"",ETPT_TJ!AR11)))</f>
      </c>
      <c r="AS11" s="194">
        <f>IF(ISBLANK(ETPT_TJ_DDG!$D$5),"",IF(ISERROR(ETPT_TJ!AS11),"",IF(ETPT_TJ!AS11=0,"",ETPT_TJ!AS11)))</f>
      </c>
      <c r="AT11" s="194">
        <f>IF(ISBLANK(ETPT_TJ_DDG!$D$5),"",IF(ISERROR(ETPT_TJ!AT11),"",IF(ETPT_TJ!AT11=0,"",ETPT_TJ!AT11)))</f>
      </c>
      <c r="AU11" s="194">
        <f>IF(ISBLANK(ETPT_TJ_DDG!$D$5),"",IF(ISERROR(ETPT_TJ!AU11),"",IF(ETPT_TJ!AU11=0,"",ETPT_TJ!AU11)))</f>
      </c>
      <c r="AV11" s="109">
        <f t="shared" si="3"/>
        <v>0</v>
      </c>
      <c r="AW11" s="113"/>
      <c r="AX11" s="113"/>
      <c r="AY11" s="113"/>
      <c r="AZ11" s="113"/>
      <c r="BA11" s="113"/>
      <c r="BB11" s="113"/>
      <c r="BC11" s="113"/>
      <c r="BD11" s="113"/>
      <c r="BE11" s="113"/>
      <c r="BF11" s="109">
        <f t="shared" si="4"/>
        <v>0</v>
      </c>
    </row>
    <row r="12" ht="14.25" customHeight="1" spans="1:58" s="92" customFormat="1" x14ac:dyDescent="0.25">
      <c r="A12" s="102" t="s">
        <v>2219</v>
      </c>
      <c r="B12" s="103"/>
      <c r="C12" s="103"/>
      <c r="D12" s="195">
        <f t="shared" si="5"/>
      </c>
      <c r="E12" s="103" t="s">
        <v>2237</v>
      </c>
      <c r="F12" s="103" t="s">
        <v>2238</v>
      </c>
      <c r="G12" s="194">
        <f>IF(ISBLANK(ETPT_TJ_DDG!$D$5),"",IF(ISERROR(ETPT_TJ!G12),"",IF(ETPT_TJ!G12=0,"",ETPT_TJ!G12)))</f>
      </c>
      <c r="H12" s="109">
        <f t="shared" si="0"/>
        <v>0</v>
      </c>
      <c r="I12" s="194">
        <f>IF(ISBLANK(ETPT_TJ_DDG!$D$5),"",IF(ISERROR(ETPT_TJ!I12),"",IF(ETPT_TJ!I12=0,"",ETPT_TJ!I12)))</f>
      </c>
      <c r="J12" s="194">
        <f>IF(ISBLANK(ETPT_TJ_DDG!$D$5),"",IF(ISERROR(ETPT_TJ!J12),"",IF(ETPT_TJ!J12=0,"",ETPT_TJ!J12)))</f>
      </c>
      <c r="K12" s="194">
        <f>IF(ISBLANK(ETPT_TJ_DDG!$D$5),"",IF(ISERROR(ETPT_TJ!K12),"",IF(ETPT_TJ!K12=0,"",ETPT_TJ!K12)))</f>
      </c>
      <c r="L12" s="194">
        <f>IF(ISBLANK(ETPT_TJ_DDG!$D$5),"",IF(ISERROR(ETPT_TJ!L12),"",IF(ETPT_TJ!L12=0,"",ETPT_TJ!L12)))</f>
      </c>
      <c r="M12" s="194">
        <f>IF(ISBLANK(ETPT_TJ_DDG!$D$5),"",IF(ISERROR(ETPT_TJ!M12),"",IF(ETPT_TJ!M12=0,"",ETPT_TJ!M12)))</f>
      </c>
      <c r="N12" s="194">
        <f>IF(ISBLANK(ETPT_TJ_DDG!$D$5),"",IF(ISERROR(ETPT_TJ!N12),"",IF(ETPT_TJ!N12=0,"",ETPT_TJ!N12)))</f>
      </c>
      <c r="O12" s="194">
        <f>IF(ISBLANK(ETPT_TJ_DDG!$D$5),"",IF(ISERROR(ETPT_TJ!O12),"",IF(ETPT_TJ!O12=0,"",ETPT_TJ!O12)))</f>
      </c>
      <c r="P12" s="194">
        <f>IF(ISBLANK(ETPT_TJ_DDG!$D$5),"",IF(ISERROR(ETPT_TJ!P12),"",IF(ETPT_TJ!P12=0,"",ETPT_TJ!P12)))</f>
      </c>
      <c r="Q12" s="194">
        <f>IF(ISBLANK(ETPT_TJ_DDG!$D$5),"",IF(ISERROR(ETPT_TJ!Q12),"",IF(ETPT_TJ!Q12=0,"",ETPT_TJ!Q12)))</f>
      </c>
      <c r="R12" s="194">
        <f>IF(ISBLANK(ETPT_TJ_DDG!$D$5),"",IF(ISERROR(ETPT_TJ!R12),"",IF(ETPT_TJ!R12=0,"",ETPT_TJ!R12)))</f>
      </c>
      <c r="S12" s="194">
        <f>IF(ISBLANK(ETPT_TJ_DDG!$D$5),"",IF(ISERROR(ETPT_TJ!S12),"",IF(ETPT_TJ!S12=0,"",ETPT_TJ!S12)))</f>
      </c>
      <c r="T12" s="194">
        <f>IF(ISBLANK(ETPT_TJ_DDG!$D$5),"",IF(ISERROR(ETPT_TJ!T12),"",IF(ETPT_TJ!T12=0,"",ETPT_TJ!T12)))</f>
      </c>
      <c r="U12" s="194">
        <f>IF(ISBLANK(ETPT_TJ_DDG!$D$5),"",IF(ISERROR(ETPT_TJ!U12),"",IF(ETPT_TJ!U12=0,"",ETPT_TJ!U12)))</f>
      </c>
      <c r="V12" s="194">
        <f>IF(ISBLANK(ETPT_TJ_DDG!$D$5),"",IF(ISERROR(ETPT_TJ!V12),"",IF(ETPT_TJ!V12=0,"",ETPT_TJ!V12)))</f>
      </c>
      <c r="W12" s="109">
        <f t="shared" si="1"/>
        <v>0</v>
      </c>
      <c r="X12" s="194">
        <f>IF(ISBLANK(ETPT_TJ_DDG!$D$5),"",IF(ISERROR(ETPT_TJ!X12),"",IF(ETPT_TJ!X12=0,"",ETPT_TJ!X12)))</f>
      </c>
      <c r="Y12" s="194">
        <f>IF(ISBLANK(ETPT_TJ_DDG!$D$5),"",IF(ISERROR(ETPT_TJ!Y12),"",IF(ETPT_TJ!Y12=0,"",ETPT_TJ!Y12)))</f>
      </c>
      <c r="Z12" s="194">
        <f>IF(ISBLANK(ETPT_TJ_DDG!$D$5),"",IF(ISERROR(ETPT_TJ!Z12),"",IF(ETPT_TJ!Z12=0,"",ETPT_TJ!Z12)))</f>
      </c>
      <c r="AA12" s="194">
        <f>IF(ISBLANK(ETPT_TJ_DDG!$D$5),"",IF(ISERROR(ETPT_TJ!AA12),"",IF(ETPT_TJ!AA12=0,"",ETPT_TJ!AA12)))</f>
      </c>
      <c r="AB12" s="194">
        <f>IF(ISBLANK(ETPT_TJ_DDG!$D$5),"",IF(ISERROR(ETPT_TJ!AB12),"",IF(ETPT_TJ!AB12=0,"",ETPT_TJ!AB12)))</f>
      </c>
      <c r="AC12" s="194">
        <f>IF(ISBLANK(ETPT_TJ_DDG!$D$5),"",IF(ISERROR(ETPT_TJ!AC12),"",IF(ETPT_TJ!AC12=0,"",ETPT_TJ!AC12)))</f>
      </c>
      <c r="AD12" s="194">
        <f>IF(ISBLANK(ETPT_TJ_DDG!$D$5),"",IF(ISERROR(ETPT_TJ!AD12),"",IF(ETPT_TJ!AD12=0,"",ETPT_TJ!AD12)))</f>
      </c>
      <c r="AE12" s="194">
        <f>IF(ISBLANK(ETPT_TJ_DDG!$D$5),"",IF(ISERROR(ETPT_TJ!AE12),"",IF(ETPT_TJ!AE12=0,"",ETPT_TJ!AE12)))</f>
      </c>
      <c r="AF12" s="194">
        <f>IF(ISBLANK(ETPT_TJ_DDG!$D$5),"",IF(ISERROR(ETPT_TJ!AF12),"",IF(ETPT_TJ!AF12=0,"",ETPT_TJ!AF12)))</f>
      </c>
      <c r="AG12" s="109">
        <f t="shared" si="2"/>
        <v>0</v>
      </c>
      <c r="AH12" s="194">
        <f>IF(ISBLANK(ETPT_TJ_DDG!$D$5),"",IF(ISERROR(ETPT_TJ!AH12),"",IF(ETPT_TJ!AH12=0,"",ETPT_TJ!AH12)))</f>
      </c>
      <c r="AI12" s="194">
        <f>IF(ISBLANK(ETPT_TJ_DDG!$D$5),"",IF(ISERROR(ETPT_TJ!AI12),"",IF(ETPT_TJ!AI12=0,"",ETPT_TJ!AI12)))</f>
      </c>
      <c r="AJ12" s="194">
        <f>IF(ISBLANK(ETPT_TJ_DDG!$D$5),"",IF(ISERROR(ETPT_TJ!AJ12),"",IF(ETPT_TJ!AJ12=0,"",ETPT_TJ!AJ12)))</f>
      </c>
      <c r="AK12" s="194">
        <f>IF(ISBLANK(ETPT_TJ_DDG!$D$5),"",IF(ISERROR(ETPT_TJ!AK12),"",IF(ETPT_TJ!AK12=0,"",ETPT_TJ!AK12)))</f>
      </c>
      <c r="AL12" s="194">
        <f>IF(ISBLANK(ETPT_TJ_DDG!$D$5),"",IF(ISERROR(ETPT_TJ!AL12),"",IF(ETPT_TJ!AL12=0,"",ETPT_TJ!AL12)))</f>
      </c>
      <c r="AM12" s="194">
        <f>IF(ISBLANK(ETPT_TJ_DDG!$D$5),"",IF(ISERROR(ETPT_TJ!AM12),"",IF(ETPT_TJ!AM12=0,"",ETPT_TJ!AM12)))</f>
      </c>
      <c r="AN12" s="194">
        <f>IF(ISBLANK(ETPT_TJ_DDG!$D$5),"",IF(ISERROR(ETPT_TJ!AN12),"",IF(ETPT_TJ!AN12=0,"",ETPT_TJ!AN12)))</f>
      </c>
      <c r="AO12" s="194">
        <f>IF(ISBLANK(ETPT_TJ_DDG!$D$5),"",IF(ISERROR(ETPT_TJ!AO12),"",IF(ETPT_TJ!AO12=0,"",ETPT_TJ!AO12)))</f>
      </c>
      <c r="AP12" s="194">
        <f>IF(ISBLANK(ETPT_TJ_DDG!$D$5),"",IF(ISERROR(ETPT_TJ!AP12),"",IF(ETPT_TJ!AP12=0,"",ETPT_TJ!AP12)))</f>
      </c>
      <c r="AQ12" s="194">
        <f>IF(ISBLANK(ETPT_TJ_DDG!$D$5),"",IF(ISERROR(ETPT_TJ!AQ12),"",IF(ETPT_TJ!AQ12=0,"",ETPT_TJ!AQ12)))</f>
      </c>
      <c r="AR12" s="194">
        <f>IF(ISBLANK(ETPT_TJ_DDG!$D$5),"",IF(ISERROR(ETPT_TJ!AR12),"",IF(ETPT_TJ!AR12=0,"",ETPT_TJ!AR12)))</f>
      </c>
      <c r="AS12" s="194">
        <f>IF(ISBLANK(ETPT_TJ_DDG!$D$5),"",IF(ISERROR(ETPT_TJ!AS12),"",IF(ETPT_TJ!AS12=0,"",ETPT_TJ!AS12)))</f>
      </c>
      <c r="AT12" s="194">
        <f>IF(ISBLANK(ETPT_TJ_DDG!$D$5),"",IF(ISERROR(ETPT_TJ!AT12),"",IF(ETPT_TJ!AT12=0,"",ETPT_TJ!AT12)))</f>
      </c>
      <c r="AU12" s="194">
        <f>IF(ISBLANK(ETPT_TJ_DDG!$D$5),"",IF(ISERROR(ETPT_TJ!AU12),"",IF(ETPT_TJ!AU12=0,"",ETPT_TJ!AU12)))</f>
      </c>
      <c r="AV12" s="109">
        <f t="shared" si="3"/>
        <v>0</v>
      </c>
      <c r="AW12" s="113"/>
      <c r="AX12" s="113"/>
      <c r="AY12" s="113"/>
      <c r="AZ12" s="113"/>
      <c r="BA12" s="113"/>
      <c r="BB12" s="113"/>
      <c r="BC12" s="113"/>
      <c r="BD12" s="113"/>
      <c r="BE12" s="113"/>
      <c r="BF12" s="109">
        <f t="shared" si="4"/>
        <v>0</v>
      </c>
    </row>
    <row r="13" ht="14.25" customHeight="1" spans="1:58" s="92" customFormat="1" x14ac:dyDescent="0.25">
      <c r="A13" s="102" t="s">
        <v>2219</v>
      </c>
      <c r="B13" s="103"/>
      <c r="C13" s="103"/>
      <c r="D13" s="195">
        <f t="shared" si="5"/>
      </c>
      <c r="E13" s="103" t="s">
        <v>2239</v>
      </c>
      <c r="F13" s="103" t="s">
        <v>2240</v>
      </c>
      <c r="G13" s="194">
        <f>IF(ISBLANK(ETPT_TJ_DDG!$D$5),"",IF(ISERROR(ETPT_TJ!G13),"",IF(ETPT_TJ!G13=0,"",ETPT_TJ!G13)))</f>
      </c>
      <c r="H13" s="109">
        <f t="shared" si="0"/>
        <v>0</v>
      </c>
      <c r="I13" s="194">
        <f>IF(ISBLANK(ETPT_TJ_DDG!$D$5),"",IF(ISERROR(ETPT_TJ!I13),"",IF(ETPT_TJ!I13=0,"",ETPT_TJ!I13)))</f>
      </c>
      <c r="J13" s="194">
        <f>IF(ISBLANK(ETPT_TJ_DDG!$D$5),"",IF(ISERROR(ETPT_TJ!J13),"",IF(ETPT_TJ!J13=0,"",ETPT_TJ!J13)))</f>
      </c>
      <c r="K13" s="194">
        <f>IF(ISBLANK(ETPT_TJ_DDG!$D$5),"",IF(ISERROR(ETPT_TJ!K13),"",IF(ETPT_TJ!K13=0,"",ETPT_TJ!K13)))</f>
      </c>
      <c r="L13" s="194">
        <f>IF(ISBLANK(ETPT_TJ_DDG!$D$5),"",IF(ISERROR(ETPT_TJ!L13),"",IF(ETPT_TJ!L13=0,"",ETPT_TJ!L13)))</f>
      </c>
      <c r="M13" s="194">
        <f>IF(ISBLANK(ETPT_TJ_DDG!$D$5),"",IF(ISERROR(ETPT_TJ!M13),"",IF(ETPT_TJ!M13=0,"",ETPT_TJ!M13)))</f>
      </c>
      <c r="N13" s="194">
        <f>IF(ISBLANK(ETPT_TJ_DDG!$D$5),"",IF(ISERROR(ETPT_TJ!N13),"",IF(ETPT_TJ!N13=0,"",ETPT_TJ!N13)))</f>
      </c>
      <c r="O13" s="194">
        <f>IF(ISBLANK(ETPT_TJ_DDG!$D$5),"",IF(ISERROR(ETPT_TJ!O13),"",IF(ETPT_TJ!O13=0,"",ETPT_TJ!O13)))</f>
      </c>
      <c r="P13" s="194">
        <f>IF(ISBLANK(ETPT_TJ_DDG!$D$5),"",IF(ISERROR(ETPT_TJ!P13),"",IF(ETPT_TJ!P13=0,"",ETPT_TJ!P13)))</f>
      </c>
      <c r="Q13" s="194">
        <f>IF(ISBLANK(ETPT_TJ_DDG!$D$5),"",IF(ISERROR(ETPT_TJ!Q13),"",IF(ETPT_TJ!Q13=0,"",ETPT_TJ!Q13)))</f>
      </c>
      <c r="R13" s="194">
        <f>IF(ISBLANK(ETPT_TJ_DDG!$D$5),"",IF(ISERROR(ETPT_TJ!R13),"",IF(ETPT_TJ!R13=0,"",ETPT_TJ!R13)))</f>
      </c>
      <c r="S13" s="194">
        <f>IF(ISBLANK(ETPT_TJ_DDG!$D$5),"",IF(ISERROR(ETPT_TJ!S13),"",IF(ETPT_TJ!S13=0,"",ETPT_TJ!S13)))</f>
      </c>
      <c r="T13" s="194">
        <f>IF(ISBLANK(ETPT_TJ_DDG!$D$5),"",IF(ISERROR(ETPT_TJ!T13),"",IF(ETPT_TJ!T13=0,"",ETPT_TJ!T13)))</f>
      </c>
      <c r="U13" s="194">
        <f>IF(ISBLANK(ETPT_TJ_DDG!$D$5),"",IF(ISERROR(ETPT_TJ!U13),"",IF(ETPT_TJ!U13=0,"",ETPT_TJ!U13)))</f>
      </c>
      <c r="V13" s="194">
        <f>IF(ISBLANK(ETPT_TJ_DDG!$D$5),"",IF(ISERROR(ETPT_TJ!V13),"",IF(ETPT_TJ!V13=0,"",ETPT_TJ!V13)))</f>
      </c>
      <c r="W13" s="109">
        <f t="shared" si="1"/>
        <v>0</v>
      </c>
      <c r="X13" s="194">
        <f>IF(ISBLANK(ETPT_TJ_DDG!$D$5),"",IF(ISERROR(ETPT_TJ!X13),"",IF(ETPT_TJ!X13=0,"",ETPT_TJ!X13)))</f>
      </c>
      <c r="Y13" s="194">
        <f>IF(ISBLANK(ETPT_TJ_DDG!$D$5),"",IF(ISERROR(ETPT_TJ!Y13),"",IF(ETPT_TJ!Y13=0,"",ETPT_TJ!Y13)))</f>
      </c>
      <c r="Z13" s="194">
        <f>IF(ISBLANK(ETPT_TJ_DDG!$D$5),"",IF(ISERROR(ETPT_TJ!Z13),"",IF(ETPT_TJ!Z13=0,"",ETPT_TJ!Z13)))</f>
      </c>
      <c r="AA13" s="194">
        <f>IF(ISBLANK(ETPT_TJ_DDG!$D$5),"",IF(ISERROR(ETPT_TJ!AA13),"",IF(ETPT_TJ!AA13=0,"",ETPT_TJ!AA13)))</f>
      </c>
      <c r="AB13" s="194">
        <f>IF(ISBLANK(ETPT_TJ_DDG!$D$5),"",IF(ISERROR(ETPT_TJ!AB13),"",IF(ETPT_TJ!AB13=0,"",ETPT_TJ!AB13)))</f>
      </c>
      <c r="AC13" s="194">
        <f>IF(ISBLANK(ETPT_TJ_DDG!$D$5),"",IF(ISERROR(ETPT_TJ!AC13),"",IF(ETPT_TJ!AC13=0,"",ETPT_TJ!AC13)))</f>
      </c>
      <c r="AD13" s="194">
        <f>IF(ISBLANK(ETPT_TJ_DDG!$D$5),"",IF(ISERROR(ETPT_TJ!AD13),"",IF(ETPT_TJ!AD13=0,"",ETPT_TJ!AD13)))</f>
      </c>
      <c r="AE13" s="194">
        <f>IF(ISBLANK(ETPT_TJ_DDG!$D$5),"",IF(ISERROR(ETPT_TJ!AE13),"",IF(ETPT_TJ!AE13=0,"",ETPT_TJ!AE13)))</f>
      </c>
      <c r="AF13" s="194">
        <f>IF(ISBLANK(ETPT_TJ_DDG!$D$5),"",IF(ISERROR(ETPT_TJ!AF13),"",IF(ETPT_TJ!AF13=0,"",ETPT_TJ!AF13)))</f>
      </c>
      <c r="AG13" s="109">
        <f t="shared" si="2"/>
        <v>0</v>
      </c>
      <c r="AH13" s="194">
        <f>IF(ISBLANK(ETPT_TJ_DDG!$D$5),"",IF(ISERROR(ETPT_TJ!AH13),"",IF(ETPT_TJ!AH13=0,"",ETPT_TJ!AH13)))</f>
      </c>
      <c r="AI13" s="194">
        <f>IF(ISBLANK(ETPT_TJ_DDG!$D$5),"",IF(ISERROR(ETPT_TJ!AI13),"",IF(ETPT_TJ!AI13=0,"",ETPT_TJ!AI13)))</f>
      </c>
      <c r="AJ13" s="194">
        <f>IF(ISBLANK(ETPT_TJ_DDG!$D$5),"",IF(ISERROR(ETPT_TJ!AJ13),"",IF(ETPT_TJ!AJ13=0,"",ETPT_TJ!AJ13)))</f>
      </c>
      <c r="AK13" s="194">
        <f>IF(ISBLANK(ETPT_TJ_DDG!$D$5),"",IF(ISERROR(ETPT_TJ!AK13),"",IF(ETPT_TJ!AK13=0,"",ETPT_TJ!AK13)))</f>
      </c>
      <c r="AL13" s="194">
        <f>IF(ISBLANK(ETPT_TJ_DDG!$D$5),"",IF(ISERROR(ETPT_TJ!AL13),"",IF(ETPT_TJ!AL13=0,"",ETPT_TJ!AL13)))</f>
      </c>
      <c r="AM13" s="194">
        <f>IF(ISBLANK(ETPT_TJ_DDG!$D$5),"",IF(ISERROR(ETPT_TJ!AM13),"",IF(ETPT_TJ!AM13=0,"",ETPT_TJ!AM13)))</f>
      </c>
      <c r="AN13" s="194">
        <f>IF(ISBLANK(ETPT_TJ_DDG!$D$5),"",IF(ISERROR(ETPT_TJ!AN13),"",IF(ETPT_TJ!AN13=0,"",ETPT_TJ!AN13)))</f>
      </c>
      <c r="AO13" s="194">
        <f>IF(ISBLANK(ETPT_TJ_DDG!$D$5),"",IF(ISERROR(ETPT_TJ!AO13),"",IF(ETPT_TJ!AO13=0,"",ETPT_TJ!AO13)))</f>
      </c>
      <c r="AP13" s="194">
        <f>IF(ISBLANK(ETPT_TJ_DDG!$D$5),"",IF(ISERROR(ETPT_TJ!AP13),"",IF(ETPT_TJ!AP13=0,"",ETPT_TJ!AP13)))</f>
      </c>
      <c r="AQ13" s="194">
        <f>IF(ISBLANK(ETPT_TJ_DDG!$D$5),"",IF(ISERROR(ETPT_TJ!AQ13),"",IF(ETPT_TJ!AQ13=0,"",ETPT_TJ!AQ13)))</f>
      </c>
      <c r="AR13" s="194">
        <f>IF(ISBLANK(ETPT_TJ_DDG!$D$5),"",IF(ISERROR(ETPT_TJ!AR13),"",IF(ETPT_TJ!AR13=0,"",ETPT_TJ!AR13)))</f>
      </c>
      <c r="AS13" s="194">
        <f>IF(ISBLANK(ETPT_TJ_DDG!$D$5),"",IF(ISERROR(ETPT_TJ!AS13),"",IF(ETPT_TJ!AS13=0,"",ETPT_TJ!AS13)))</f>
      </c>
      <c r="AT13" s="194">
        <f>IF(ISBLANK(ETPT_TJ_DDG!$D$5),"",IF(ISERROR(ETPT_TJ!AT13),"",IF(ETPT_TJ!AT13=0,"",ETPT_TJ!AT13)))</f>
      </c>
      <c r="AU13" s="194">
        <f>IF(ISBLANK(ETPT_TJ_DDG!$D$5),"",IF(ISERROR(ETPT_TJ!AU13),"",IF(ETPT_TJ!AU13=0,"",ETPT_TJ!AU13)))</f>
      </c>
      <c r="AV13" s="109">
        <f t="shared" si="3"/>
        <v>0</v>
      </c>
      <c r="AW13" s="113"/>
      <c r="AX13" s="113"/>
      <c r="AY13" s="113"/>
      <c r="AZ13" s="113"/>
      <c r="BA13" s="113"/>
      <c r="BB13" s="113"/>
      <c r="BC13" s="113"/>
      <c r="BD13" s="113"/>
      <c r="BE13" s="113"/>
      <c r="BF13" s="109">
        <f t="shared" si="4"/>
        <v>0</v>
      </c>
    </row>
    <row r="14" ht="14.25" customHeight="1" spans="1:58" s="92" customFormat="1" x14ac:dyDescent="0.25">
      <c r="A14" s="102" t="s">
        <v>2219</v>
      </c>
      <c r="B14" s="103"/>
      <c r="C14" s="103"/>
      <c r="D14" s="195">
        <f t="shared" si="5"/>
      </c>
      <c r="E14" s="103" t="s">
        <v>2241</v>
      </c>
      <c r="F14" s="103" t="s">
        <v>2242</v>
      </c>
      <c r="G14" s="194">
        <f>IF(ISBLANK(ETPT_TJ_DDG!$D$5),"",IF(ISERROR(ETPT_TJ!G14),"",IF(ETPT_TJ!G14=0,"",ETPT_TJ!G14)))</f>
      </c>
      <c r="H14" s="109">
        <f t="shared" si="0"/>
        <v>0</v>
      </c>
      <c r="I14" s="194">
        <f>IF(ISBLANK(ETPT_TJ_DDG!$D$5),"",IF(ISERROR(ETPT_TJ!I14),"",IF(ETPT_TJ!I14=0,"",ETPT_TJ!I14)))</f>
      </c>
      <c r="J14" s="194">
        <f>IF(ISBLANK(ETPT_TJ_DDG!$D$5),"",IF(ISERROR(ETPT_TJ!J14),"",IF(ETPT_TJ!J14=0,"",ETPT_TJ!J14)))</f>
      </c>
      <c r="K14" s="194">
        <f>IF(ISBLANK(ETPT_TJ_DDG!$D$5),"",IF(ISERROR(ETPT_TJ!K14),"",IF(ETPT_TJ!K14=0,"",ETPT_TJ!K14)))</f>
      </c>
      <c r="L14" s="194">
        <f>IF(ISBLANK(ETPT_TJ_DDG!$D$5),"",IF(ISERROR(ETPT_TJ!L14),"",IF(ETPT_TJ!L14=0,"",ETPT_TJ!L14)))</f>
      </c>
      <c r="M14" s="194">
        <f>IF(ISBLANK(ETPT_TJ_DDG!$D$5),"",IF(ISERROR(ETPT_TJ!M14),"",IF(ETPT_TJ!M14=0,"",ETPT_TJ!M14)))</f>
      </c>
      <c r="N14" s="194">
        <f>IF(ISBLANK(ETPT_TJ_DDG!$D$5),"",IF(ISERROR(ETPT_TJ!N14),"",IF(ETPT_TJ!N14=0,"",ETPT_TJ!N14)))</f>
      </c>
      <c r="O14" s="194">
        <f>IF(ISBLANK(ETPT_TJ_DDG!$D$5),"",IF(ISERROR(ETPT_TJ!O14),"",IF(ETPT_TJ!O14=0,"",ETPT_TJ!O14)))</f>
      </c>
      <c r="P14" s="194">
        <f>IF(ISBLANK(ETPT_TJ_DDG!$D$5),"",IF(ISERROR(ETPT_TJ!P14),"",IF(ETPT_TJ!P14=0,"",ETPT_TJ!P14)))</f>
      </c>
      <c r="Q14" s="194">
        <f>IF(ISBLANK(ETPT_TJ_DDG!$D$5),"",IF(ISERROR(ETPT_TJ!Q14),"",IF(ETPT_TJ!Q14=0,"",ETPT_TJ!Q14)))</f>
      </c>
      <c r="R14" s="194">
        <f>IF(ISBLANK(ETPT_TJ_DDG!$D$5),"",IF(ISERROR(ETPT_TJ!R14),"",IF(ETPT_TJ!R14=0,"",ETPT_TJ!R14)))</f>
      </c>
      <c r="S14" s="194">
        <f>IF(ISBLANK(ETPT_TJ_DDG!$D$5),"",IF(ISERROR(ETPT_TJ!S14),"",IF(ETPT_TJ!S14=0,"",ETPT_TJ!S14)))</f>
      </c>
      <c r="T14" s="194">
        <f>IF(ISBLANK(ETPT_TJ_DDG!$D$5),"",IF(ISERROR(ETPT_TJ!T14),"",IF(ETPT_TJ!T14=0,"",ETPT_TJ!T14)))</f>
      </c>
      <c r="U14" s="194">
        <f>IF(ISBLANK(ETPT_TJ_DDG!$D$5),"",IF(ISERROR(ETPT_TJ!U14),"",IF(ETPT_TJ!U14=0,"",ETPT_TJ!U14)))</f>
      </c>
      <c r="V14" s="194">
        <f>IF(ISBLANK(ETPT_TJ_DDG!$D$5),"",IF(ISERROR(ETPT_TJ!V14),"",IF(ETPT_TJ!V14=0,"",ETPT_TJ!V14)))</f>
      </c>
      <c r="W14" s="109">
        <f t="shared" si="1"/>
        <v>0</v>
      </c>
      <c r="X14" s="194">
        <f>IF(ISBLANK(ETPT_TJ_DDG!$D$5),"",IF(ISERROR(ETPT_TJ!X14),"",IF(ETPT_TJ!X14=0,"",ETPT_TJ!X14)))</f>
      </c>
      <c r="Y14" s="194">
        <f>IF(ISBLANK(ETPT_TJ_DDG!$D$5),"",IF(ISERROR(ETPT_TJ!Y14),"",IF(ETPT_TJ!Y14=0,"",ETPT_TJ!Y14)))</f>
      </c>
      <c r="Z14" s="194">
        <f>IF(ISBLANK(ETPT_TJ_DDG!$D$5),"",IF(ISERROR(ETPT_TJ!Z14),"",IF(ETPT_TJ!Z14=0,"",ETPT_TJ!Z14)))</f>
      </c>
      <c r="AA14" s="194">
        <f>IF(ISBLANK(ETPT_TJ_DDG!$D$5),"",IF(ISERROR(ETPT_TJ!AA14),"",IF(ETPT_TJ!AA14=0,"",ETPT_TJ!AA14)))</f>
      </c>
      <c r="AB14" s="194">
        <f>IF(ISBLANK(ETPT_TJ_DDG!$D$5),"",IF(ISERROR(ETPT_TJ!AB14),"",IF(ETPT_TJ!AB14=0,"",ETPT_TJ!AB14)))</f>
      </c>
      <c r="AC14" s="194">
        <f>IF(ISBLANK(ETPT_TJ_DDG!$D$5),"",IF(ISERROR(ETPT_TJ!AC14),"",IF(ETPT_TJ!AC14=0,"",ETPT_TJ!AC14)))</f>
      </c>
      <c r="AD14" s="194">
        <f>IF(ISBLANK(ETPT_TJ_DDG!$D$5),"",IF(ISERROR(ETPT_TJ!AD14),"",IF(ETPT_TJ!AD14=0,"",ETPT_TJ!AD14)))</f>
      </c>
      <c r="AE14" s="194">
        <f>IF(ISBLANK(ETPT_TJ_DDG!$D$5),"",IF(ISERROR(ETPT_TJ!AE14),"",IF(ETPT_TJ!AE14=0,"",ETPT_TJ!AE14)))</f>
      </c>
      <c r="AF14" s="194">
        <f>IF(ISBLANK(ETPT_TJ_DDG!$D$5),"",IF(ISERROR(ETPT_TJ!AF14),"",IF(ETPT_TJ!AF14=0,"",ETPT_TJ!AF14)))</f>
      </c>
      <c r="AG14" s="109">
        <f t="shared" si="2"/>
        <v>0</v>
      </c>
      <c r="AH14" s="194">
        <f>IF(ISBLANK(ETPT_TJ_DDG!$D$5),"",IF(ISERROR(ETPT_TJ!AH14),"",IF(ETPT_TJ!AH14=0,"",ETPT_TJ!AH14)))</f>
      </c>
      <c r="AI14" s="194">
        <f>IF(ISBLANK(ETPT_TJ_DDG!$D$5),"",IF(ISERROR(ETPT_TJ!AI14),"",IF(ETPT_TJ!AI14=0,"",ETPT_TJ!AI14)))</f>
      </c>
      <c r="AJ14" s="194">
        <f>IF(ISBLANK(ETPT_TJ_DDG!$D$5),"",IF(ISERROR(ETPT_TJ!AJ14),"",IF(ETPT_TJ!AJ14=0,"",ETPT_TJ!AJ14)))</f>
      </c>
      <c r="AK14" s="194">
        <f>IF(ISBLANK(ETPT_TJ_DDG!$D$5),"",IF(ISERROR(ETPT_TJ!AK14),"",IF(ETPT_TJ!AK14=0,"",ETPT_TJ!AK14)))</f>
      </c>
      <c r="AL14" s="194">
        <f>IF(ISBLANK(ETPT_TJ_DDG!$D$5),"",IF(ISERROR(ETPT_TJ!AL14),"",IF(ETPT_TJ!AL14=0,"",ETPT_TJ!AL14)))</f>
      </c>
      <c r="AM14" s="194">
        <f>IF(ISBLANK(ETPT_TJ_DDG!$D$5),"",IF(ISERROR(ETPT_TJ!AM14),"",IF(ETPT_TJ!AM14=0,"",ETPT_TJ!AM14)))</f>
      </c>
      <c r="AN14" s="194">
        <f>IF(ISBLANK(ETPT_TJ_DDG!$D$5),"",IF(ISERROR(ETPT_TJ!AN14),"",IF(ETPT_TJ!AN14=0,"",ETPT_TJ!AN14)))</f>
      </c>
      <c r="AO14" s="194">
        <f>IF(ISBLANK(ETPT_TJ_DDG!$D$5),"",IF(ISERROR(ETPT_TJ!AO14),"",IF(ETPT_TJ!AO14=0,"",ETPT_TJ!AO14)))</f>
      </c>
      <c r="AP14" s="194">
        <f>IF(ISBLANK(ETPT_TJ_DDG!$D$5),"",IF(ISERROR(ETPT_TJ!AP14),"",IF(ETPT_TJ!AP14=0,"",ETPT_TJ!AP14)))</f>
      </c>
      <c r="AQ14" s="194">
        <f>IF(ISBLANK(ETPT_TJ_DDG!$D$5),"",IF(ISERROR(ETPT_TJ!AQ14),"",IF(ETPT_TJ!AQ14=0,"",ETPT_TJ!AQ14)))</f>
      </c>
      <c r="AR14" s="194">
        <f>IF(ISBLANK(ETPT_TJ_DDG!$D$5),"",IF(ISERROR(ETPT_TJ!AR14),"",IF(ETPT_TJ!AR14=0,"",ETPT_TJ!AR14)))</f>
      </c>
      <c r="AS14" s="194">
        <f>IF(ISBLANK(ETPT_TJ_DDG!$D$5),"",IF(ISERROR(ETPT_TJ!AS14),"",IF(ETPT_TJ!AS14=0,"",ETPT_TJ!AS14)))</f>
      </c>
      <c r="AT14" s="194">
        <f>IF(ISBLANK(ETPT_TJ_DDG!$D$5),"",IF(ISERROR(ETPT_TJ!AT14),"",IF(ETPT_TJ!AT14=0,"",ETPT_TJ!AT14)))</f>
      </c>
      <c r="AU14" s="194">
        <f>IF(ISBLANK(ETPT_TJ_DDG!$D$5),"",IF(ISERROR(ETPT_TJ!AU14),"",IF(ETPT_TJ!AU14=0,"",ETPT_TJ!AU14)))</f>
      </c>
      <c r="AV14" s="109">
        <f t="shared" si="3"/>
        <v>0</v>
      </c>
      <c r="AW14" s="113"/>
      <c r="AX14" s="113"/>
      <c r="AY14" s="113"/>
      <c r="AZ14" s="113"/>
      <c r="BA14" s="113"/>
      <c r="BB14" s="113"/>
      <c r="BC14" s="113"/>
      <c r="BD14" s="113"/>
      <c r="BE14" s="113"/>
      <c r="BF14" s="109">
        <f t="shared" si="4"/>
        <v>0</v>
      </c>
    </row>
    <row r="15" ht="14.25" customHeight="1" spans="1:58" s="92" customFormat="1" x14ac:dyDescent="0.25">
      <c r="A15" s="102" t="s">
        <v>2219</v>
      </c>
      <c r="B15" s="103"/>
      <c r="C15" s="103"/>
      <c r="D15" s="195">
        <f t="shared" si="5"/>
      </c>
      <c r="E15" s="103" t="s">
        <v>2243</v>
      </c>
      <c r="F15" s="103" t="s">
        <v>2244</v>
      </c>
      <c r="G15" s="194">
        <f>IF(ISBLANK(ETPT_TJ_DDG!$D$5),"",IF(ISERROR(ETPT_TJ!G15),"",IF(ETPT_TJ!G15=0,"",ETPT_TJ!G15)))</f>
      </c>
      <c r="H15" s="109">
        <f t="shared" si="0"/>
        <v>0</v>
      </c>
      <c r="I15" s="194">
        <f>IF(ISBLANK(ETPT_TJ_DDG!$D$5),"",IF(ISERROR(ETPT_TJ!I15),"",IF(ETPT_TJ!I15=0,"",ETPT_TJ!I15)))</f>
      </c>
      <c r="J15" s="194">
        <f>IF(ISBLANK(ETPT_TJ_DDG!$D$5),"",IF(ISERROR(ETPT_TJ!J15),"",IF(ETPT_TJ!J15=0,"",ETPT_TJ!J15)))</f>
      </c>
      <c r="K15" s="194">
        <f>IF(ISBLANK(ETPT_TJ_DDG!$D$5),"",IF(ISERROR(ETPT_TJ!K15),"",IF(ETPT_TJ!K15=0,"",ETPT_TJ!K15)))</f>
      </c>
      <c r="L15" s="194">
        <f>IF(ISBLANK(ETPT_TJ_DDG!$D$5),"",IF(ISERROR(ETPT_TJ!L15),"",IF(ETPT_TJ!L15=0,"",ETPT_TJ!L15)))</f>
      </c>
      <c r="M15" s="194">
        <f>IF(ISBLANK(ETPT_TJ_DDG!$D$5),"",IF(ISERROR(ETPT_TJ!M15),"",IF(ETPT_TJ!M15=0,"",ETPT_TJ!M15)))</f>
      </c>
      <c r="N15" s="194">
        <f>IF(ISBLANK(ETPT_TJ_DDG!$D$5),"",IF(ISERROR(ETPT_TJ!N15),"",IF(ETPT_TJ!N15=0,"",ETPT_TJ!N15)))</f>
      </c>
      <c r="O15" s="194">
        <f>IF(ISBLANK(ETPT_TJ_DDG!$D$5),"",IF(ISERROR(ETPT_TJ!O15),"",IF(ETPT_TJ!O15=0,"",ETPT_TJ!O15)))</f>
      </c>
      <c r="P15" s="194">
        <f>IF(ISBLANK(ETPT_TJ_DDG!$D$5),"",IF(ISERROR(ETPT_TJ!P15),"",IF(ETPT_TJ!P15=0,"",ETPT_TJ!P15)))</f>
      </c>
      <c r="Q15" s="194">
        <f>IF(ISBLANK(ETPT_TJ_DDG!$D$5),"",IF(ISERROR(ETPT_TJ!Q15),"",IF(ETPT_TJ!Q15=0,"",ETPT_TJ!Q15)))</f>
      </c>
      <c r="R15" s="194">
        <f>IF(ISBLANK(ETPT_TJ_DDG!$D$5),"",IF(ISERROR(ETPT_TJ!R15),"",IF(ETPT_TJ!R15=0,"",ETPT_TJ!R15)))</f>
      </c>
      <c r="S15" s="194">
        <f>IF(ISBLANK(ETPT_TJ_DDG!$D$5),"",IF(ISERROR(ETPT_TJ!S15),"",IF(ETPT_TJ!S15=0,"",ETPT_TJ!S15)))</f>
      </c>
      <c r="T15" s="194">
        <f>IF(ISBLANK(ETPT_TJ_DDG!$D$5),"",IF(ISERROR(ETPT_TJ!T15),"",IF(ETPT_TJ!T15=0,"",ETPT_TJ!T15)))</f>
      </c>
      <c r="U15" s="194">
        <f>IF(ISBLANK(ETPT_TJ_DDG!$D$5),"",IF(ISERROR(ETPT_TJ!U15),"",IF(ETPT_TJ!U15=0,"",ETPT_TJ!U15)))</f>
      </c>
      <c r="V15" s="194">
        <f>IF(ISBLANK(ETPT_TJ_DDG!$D$5),"",IF(ISERROR(ETPT_TJ!V15),"",IF(ETPT_TJ!V15=0,"",ETPT_TJ!V15)))</f>
      </c>
      <c r="W15" s="109">
        <f t="shared" si="1"/>
        <v>0</v>
      </c>
      <c r="X15" s="194">
        <f>IF(ISBLANK(ETPT_TJ_DDG!$D$5),"",IF(ISERROR(ETPT_TJ!X15),"",IF(ETPT_TJ!X15=0,"",ETPT_TJ!X15)))</f>
      </c>
      <c r="Y15" s="194">
        <f>IF(ISBLANK(ETPT_TJ_DDG!$D$5),"",IF(ISERROR(ETPT_TJ!Y15),"",IF(ETPT_TJ!Y15=0,"",ETPT_TJ!Y15)))</f>
      </c>
      <c r="Z15" s="194">
        <f>IF(ISBLANK(ETPT_TJ_DDG!$D$5),"",IF(ISERROR(ETPT_TJ!Z15),"",IF(ETPT_TJ!Z15=0,"",ETPT_TJ!Z15)))</f>
      </c>
      <c r="AA15" s="194">
        <f>IF(ISBLANK(ETPT_TJ_DDG!$D$5),"",IF(ISERROR(ETPT_TJ!AA15),"",IF(ETPT_TJ!AA15=0,"",ETPT_TJ!AA15)))</f>
      </c>
      <c r="AB15" s="194">
        <f>IF(ISBLANK(ETPT_TJ_DDG!$D$5),"",IF(ISERROR(ETPT_TJ!AB15),"",IF(ETPT_TJ!AB15=0,"",ETPT_TJ!AB15)))</f>
      </c>
      <c r="AC15" s="194">
        <f>IF(ISBLANK(ETPT_TJ_DDG!$D$5),"",IF(ISERROR(ETPT_TJ!AC15),"",IF(ETPT_TJ!AC15=0,"",ETPT_TJ!AC15)))</f>
      </c>
      <c r="AD15" s="194">
        <f>IF(ISBLANK(ETPT_TJ_DDG!$D$5),"",IF(ISERROR(ETPT_TJ!AD15),"",IF(ETPT_TJ!AD15=0,"",ETPT_TJ!AD15)))</f>
      </c>
      <c r="AE15" s="194">
        <f>IF(ISBLANK(ETPT_TJ_DDG!$D$5),"",IF(ISERROR(ETPT_TJ!AE15),"",IF(ETPT_TJ!AE15=0,"",ETPT_TJ!AE15)))</f>
      </c>
      <c r="AF15" s="194">
        <f>IF(ISBLANK(ETPT_TJ_DDG!$D$5),"",IF(ISERROR(ETPT_TJ!AF15),"",IF(ETPT_TJ!AF15=0,"",ETPT_TJ!AF15)))</f>
      </c>
      <c r="AG15" s="109">
        <f t="shared" si="2"/>
        <v>0</v>
      </c>
      <c r="AH15" s="194">
        <f>IF(ISBLANK(ETPT_TJ_DDG!$D$5),"",IF(ISERROR(ETPT_TJ!AH15),"",IF(ETPT_TJ!AH15=0,"",ETPT_TJ!AH15)))</f>
      </c>
      <c r="AI15" s="194">
        <f>IF(ISBLANK(ETPT_TJ_DDG!$D$5),"",IF(ISERROR(ETPT_TJ!AI15),"",IF(ETPT_TJ!AI15=0,"",ETPT_TJ!AI15)))</f>
      </c>
      <c r="AJ15" s="194">
        <f>IF(ISBLANK(ETPT_TJ_DDG!$D$5),"",IF(ISERROR(ETPT_TJ!AJ15),"",IF(ETPT_TJ!AJ15=0,"",ETPT_TJ!AJ15)))</f>
      </c>
      <c r="AK15" s="194">
        <f>IF(ISBLANK(ETPT_TJ_DDG!$D$5),"",IF(ISERROR(ETPT_TJ!AK15),"",IF(ETPT_TJ!AK15=0,"",ETPT_TJ!AK15)))</f>
      </c>
      <c r="AL15" s="194">
        <f>IF(ISBLANK(ETPT_TJ_DDG!$D$5),"",IF(ISERROR(ETPT_TJ!AL15),"",IF(ETPT_TJ!AL15=0,"",ETPT_TJ!AL15)))</f>
      </c>
      <c r="AM15" s="194">
        <f>IF(ISBLANK(ETPT_TJ_DDG!$D$5),"",IF(ISERROR(ETPT_TJ!AM15),"",IF(ETPT_TJ!AM15=0,"",ETPT_TJ!AM15)))</f>
      </c>
      <c r="AN15" s="194">
        <f>IF(ISBLANK(ETPT_TJ_DDG!$D$5),"",IF(ISERROR(ETPT_TJ!AN15),"",IF(ETPT_TJ!AN15=0,"",ETPT_TJ!AN15)))</f>
      </c>
      <c r="AO15" s="194">
        <f>IF(ISBLANK(ETPT_TJ_DDG!$D$5),"",IF(ISERROR(ETPT_TJ!AO15),"",IF(ETPT_TJ!AO15=0,"",ETPT_TJ!AO15)))</f>
      </c>
      <c r="AP15" s="194">
        <f>IF(ISBLANK(ETPT_TJ_DDG!$D$5),"",IF(ISERROR(ETPT_TJ!AP15),"",IF(ETPT_TJ!AP15=0,"",ETPT_TJ!AP15)))</f>
      </c>
      <c r="AQ15" s="194">
        <f>IF(ISBLANK(ETPT_TJ_DDG!$D$5),"",IF(ISERROR(ETPT_TJ!AQ15),"",IF(ETPT_TJ!AQ15=0,"",ETPT_TJ!AQ15)))</f>
      </c>
      <c r="AR15" s="194">
        <f>IF(ISBLANK(ETPT_TJ_DDG!$D$5),"",IF(ISERROR(ETPT_TJ!AR15),"",IF(ETPT_TJ!AR15=0,"",ETPT_TJ!AR15)))</f>
      </c>
      <c r="AS15" s="194">
        <f>IF(ISBLANK(ETPT_TJ_DDG!$D$5),"",IF(ISERROR(ETPT_TJ!AS15),"",IF(ETPT_TJ!AS15=0,"",ETPT_TJ!AS15)))</f>
      </c>
      <c r="AT15" s="194">
        <f>IF(ISBLANK(ETPT_TJ_DDG!$D$5),"",IF(ISERROR(ETPT_TJ!AT15),"",IF(ETPT_TJ!AT15=0,"",ETPT_TJ!AT15)))</f>
      </c>
      <c r="AU15" s="194">
        <f>IF(ISBLANK(ETPT_TJ_DDG!$D$5),"",IF(ISERROR(ETPT_TJ!AU15),"",IF(ETPT_TJ!AU15=0,"",ETPT_TJ!AU15)))</f>
      </c>
      <c r="AV15" s="109">
        <f t="shared" si="3"/>
        <v>0</v>
      </c>
      <c r="AW15" s="113"/>
      <c r="AX15" s="113"/>
      <c r="AY15" s="113"/>
      <c r="AZ15" s="113"/>
      <c r="BA15" s="113"/>
      <c r="BB15" s="113"/>
      <c r="BC15" s="113"/>
      <c r="BD15" s="113"/>
      <c r="BE15" s="113"/>
      <c r="BF15" s="109">
        <f t="shared" si="4"/>
        <v>0</v>
      </c>
    </row>
    <row r="16" ht="14.25" customHeight="1" spans="1:58" s="92" customFormat="1" x14ac:dyDescent="0.25">
      <c r="A16" s="102"/>
      <c r="B16" s="127"/>
      <c r="C16" s="127"/>
      <c r="D16" s="127"/>
      <c r="E16" s="127"/>
      <c r="F16" s="128" t="s">
        <v>2245</v>
      </c>
      <c r="G16" s="129">
        <f t="shared" ref="G16:AG16" si="6">SUM(G5:G15)</f>
        <v>0</v>
      </c>
      <c r="H16" s="109">
        <f t="shared" si="6"/>
        <v>0</v>
      </c>
      <c r="I16" s="129">
        <f t="shared" si="6"/>
        <v>0</v>
      </c>
      <c r="J16" s="129">
        <f t="shared" si="6"/>
        <v>0</v>
      </c>
      <c r="K16" s="129">
        <f t="shared" si="6"/>
        <v>0</v>
      </c>
      <c r="L16" s="129">
        <f t="shared" si="6"/>
        <v>0</v>
      </c>
      <c r="M16" s="129">
        <f t="shared" si="6"/>
        <v>0</v>
      </c>
      <c r="N16" s="129">
        <f t="shared" si="6"/>
        <v>0</v>
      </c>
      <c r="O16" s="129">
        <f t="shared" si="6"/>
        <v>0</v>
      </c>
      <c r="P16" s="129">
        <f t="shared" si="6"/>
        <v>0</v>
      </c>
      <c r="Q16" s="129">
        <f t="shared" si="6"/>
        <v>0</v>
      </c>
      <c r="R16" s="129">
        <f t="shared" si="6"/>
        <v>0</v>
      </c>
      <c r="S16" s="129">
        <f t="shared" si="6"/>
        <v>0</v>
      </c>
      <c r="T16" s="129">
        <f t="shared" si="6"/>
        <v>0</v>
      </c>
      <c r="U16" s="129">
        <f t="shared" si="6"/>
        <v>0</v>
      </c>
      <c r="V16" s="129">
        <f t="shared" si="6"/>
        <v>0</v>
      </c>
      <c r="W16" s="109">
        <f t="shared" si="6"/>
        <v>0</v>
      </c>
      <c r="X16" s="129">
        <f t="shared" si="6"/>
        <v>0</v>
      </c>
      <c r="Y16" s="129">
        <f t="shared" si="6"/>
        <v>0</v>
      </c>
      <c r="Z16" s="129">
        <f t="shared" si="6"/>
        <v>0</v>
      </c>
      <c r="AA16" s="129">
        <f t="shared" si="6"/>
        <v>0</v>
      </c>
      <c r="AB16" s="129">
        <f t="shared" si="6"/>
        <v>0</v>
      </c>
      <c r="AC16" s="129">
        <f t="shared" si="6"/>
        <v>0</v>
      </c>
      <c r="AD16" s="129">
        <f t="shared" si="6"/>
        <v>0</v>
      </c>
      <c r="AE16" s="129">
        <f t="shared" si="6"/>
        <v>0</v>
      </c>
      <c r="AF16" s="129">
        <f t="shared" si="6"/>
        <v>0</v>
      </c>
      <c r="AG16" s="109">
        <f t="shared" si="6"/>
        <v>0</v>
      </c>
      <c r="AH16" s="129">
        <f t="shared" ref="AH16:BF16" si="7">SUM(AH5:AH15)</f>
        <v>0</v>
      </c>
      <c r="AI16" s="129">
        <f t="shared" si="7"/>
        <v>0</v>
      </c>
      <c r="AJ16" s="129">
        <f t="shared" si="7"/>
        <v>0</v>
      </c>
      <c r="AK16" s="129">
        <f t="shared" si="7"/>
        <v>0</v>
      </c>
      <c r="AL16" s="129">
        <f t="shared" si="7"/>
        <v>0</v>
      </c>
      <c r="AM16" s="129">
        <f t="shared" si="7"/>
        <v>0</v>
      </c>
      <c r="AN16" s="129">
        <f t="shared" si="7"/>
        <v>0</v>
      </c>
      <c r="AO16" s="129">
        <f t="shared" si="7"/>
        <v>0</v>
      </c>
      <c r="AP16" s="129">
        <f t="shared" si="7"/>
        <v>0</v>
      </c>
      <c r="AQ16" s="129">
        <f t="shared" si="7"/>
        <v>0</v>
      </c>
      <c r="AR16" s="129">
        <f t="shared" si="7"/>
        <v>0</v>
      </c>
      <c r="AS16" s="129">
        <f t="shared" si="7"/>
        <v>0</v>
      </c>
      <c r="AT16" s="129">
        <f t="shared" si="7"/>
        <v>0</v>
      </c>
      <c r="AU16" s="129">
        <f t="shared" si="7"/>
        <v>0</v>
      </c>
      <c r="AV16" s="109">
        <f t="shared" si="7"/>
        <v>0</v>
      </c>
      <c r="AW16" s="129">
        <f t="shared" si="7"/>
        <v>0</v>
      </c>
      <c r="AX16" s="129">
        <f t="shared" si="7"/>
        <v>0</v>
      </c>
      <c r="AY16" s="129">
        <f t="shared" si="7"/>
        <v>0</v>
      </c>
      <c r="AZ16" s="129">
        <f t="shared" si="7"/>
        <v>0</v>
      </c>
      <c r="BA16" s="129">
        <f t="shared" si="7"/>
        <v>0</v>
      </c>
      <c r="BB16" s="129">
        <f t="shared" si="7"/>
        <v>0</v>
      </c>
      <c r="BC16" s="129">
        <f t="shared" si="7"/>
        <v>0</v>
      </c>
      <c r="BD16" s="129">
        <f t="shared" si="7"/>
        <v>0</v>
      </c>
      <c r="BE16" s="129">
        <f t="shared" si="7"/>
        <v>0</v>
      </c>
      <c r="BF16" s="109">
        <f t="shared" si="7"/>
        <v>0</v>
      </c>
    </row>
    <row r="17" ht="15" customHeight="1" spans="4:58" x14ac:dyDescent="0.25">
      <c r="D17" s="192"/>
      <c r="E17" s="192"/>
      <c r="F17" s="192"/>
      <c r="G17" s="192"/>
      <c r="H17" s="192"/>
      <c r="I17" s="192"/>
      <c r="J17" s="192"/>
      <c r="K17" s="192"/>
      <c r="L17" s="192"/>
      <c r="M17" s="192"/>
      <c r="N17" s="192"/>
      <c r="O17" s="192"/>
      <c r="P17" s="192"/>
      <c r="Q17" s="192"/>
      <c r="R17" s="192"/>
      <c r="S17" s="192"/>
      <c r="T17" s="192"/>
      <c r="U17" s="192"/>
      <c r="V17" s="192"/>
      <c r="W17" s="196"/>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c r="AV17" s="196"/>
      <c r="AW17" s="192"/>
      <c r="AX17" s="192"/>
      <c r="AY17" s="192"/>
      <c r="AZ17" s="192"/>
      <c r="BA17" s="192"/>
      <c r="BB17" s="192"/>
      <c r="BC17" s="192"/>
      <c r="BD17" s="192"/>
      <c r="BE17" s="192"/>
      <c r="BF17" s="192"/>
    </row>
    <row r="18" hidden="1" spans="4:58" x14ac:dyDescent="0.25">
      <c r="D18" s="192"/>
      <c r="E18" s="192"/>
      <c r="F18" s="192"/>
      <c r="G18" s="192"/>
      <c r="H18" s="192"/>
      <c r="I18" s="192"/>
      <c r="J18" s="192"/>
      <c r="K18" s="192"/>
      <c r="L18" s="192"/>
      <c r="M18" s="192"/>
      <c r="N18" s="192"/>
      <c r="O18" s="192"/>
      <c r="P18" s="192"/>
      <c r="Q18" s="192"/>
      <c r="R18" s="192"/>
      <c r="S18" s="192"/>
      <c r="T18" s="192"/>
      <c r="U18" s="192"/>
      <c r="V18" s="192"/>
      <c r="W18" s="197"/>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7">
        <f>AV16+AG16-AV14-AG14-AV13-AV12-AG13-AG12</f>
        <v>0</v>
      </c>
      <c r="AW18" s="192"/>
      <c r="AX18" s="192"/>
      <c r="AY18" s="192"/>
      <c r="AZ18" s="192"/>
      <c r="BA18" s="192"/>
      <c r="BB18" s="192"/>
      <c r="BC18" s="192"/>
      <c r="BD18" s="192"/>
      <c r="BE18" s="192"/>
      <c r="BF18" s="192"/>
    </row>
    <row r="19" spans="4:58" x14ac:dyDescent="0.25">
      <c r="D19" s="192"/>
      <c r="E19" s="192"/>
      <c r="F19" s="192"/>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W19" s="192"/>
      <c r="AX19" s="192"/>
      <c r="AY19" s="192"/>
      <c r="AZ19" s="192"/>
      <c r="BA19" s="192"/>
      <c r="BB19" s="192"/>
      <c r="BC19" s="192"/>
      <c r="BD19" s="192"/>
      <c r="BE19" s="192"/>
      <c r="BF19" s="192"/>
    </row>
    <row r="20" ht="24" customHeight="1" spans="4:58" x14ac:dyDescent="0.25">
      <c r="D20" s="192"/>
      <c r="E20" s="192"/>
      <c r="F20" s="198" t="s">
        <v>2247</v>
      </c>
      <c r="G20" s="199">
        <f>IF(ISBLANK(ETPT_TJ_DDG!$D$5),"",IF(ISERROR(ETPT_TJ!G20),"",IF(ETPT_TJ!G20=0,"",ETPT_TJ!G20)))</f>
      </c>
      <c r="H20" s="192"/>
      <c r="I20" s="192"/>
      <c r="J20" s="192"/>
      <c r="K20" s="192"/>
      <c r="L20" s="192"/>
      <c r="M20" s="192"/>
      <c r="N20" s="192"/>
      <c r="O20" s="192"/>
      <c r="P20" s="192"/>
      <c r="Q20" s="192"/>
      <c r="R20" s="192"/>
      <c r="S20" s="192"/>
      <c r="T20" s="192"/>
      <c r="U20" s="200" t="s">
        <v>2248</v>
      </c>
      <c r="V20" s="199">
        <f>IF(ISBLANK(ETPT_TJ_DDG!$D$5),"",IF(ISERROR(ETPT_TJ!V20),"",IF(ETPT_TJ!V20=0,"",ETPT_TJ!V20)))</f>
      </c>
      <c r="W20" s="192"/>
      <c r="X20" s="192"/>
      <c r="Y20" s="192"/>
      <c r="Z20" s="192"/>
      <c r="AA20" s="192"/>
      <c r="AB20" s="192"/>
      <c r="AC20" s="201"/>
      <c r="AD20" s="192"/>
      <c r="AE20" s="192"/>
      <c r="AF20" s="192"/>
      <c r="AG20" s="192"/>
      <c r="AH20" s="192"/>
      <c r="AI20" s="192"/>
      <c r="AJ20" s="192"/>
      <c r="AK20" s="192"/>
      <c r="AL20" s="192"/>
      <c r="AM20" s="192"/>
      <c r="AN20" s="192"/>
      <c r="AO20" s="192"/>
      <c r="AP20" s="192"/>
      <c r="AQ20" s="192"/>
      <c r="AR20" s="192"/>
      <c r="AS20" s="200" t="s">
        <v>2249</v>
      </c>
      <c r="AT20" s="200"/>
      <c r="AU20" s="199">
        <f>IF(ISBLANK(ETPT_TJ_DDG!$D$5),"",IF(ISERROR(ETPT_TJ!AU20),"",IF(ETPT_TJ!AU20=0,"",ETPT_TJ!AU20)))</f>
      </c>
      <c r="AV20" s="192"/>
      <c r="AW20" s="192"/>
      <c r="AX20" s="192"/>
      <c r="AY20" s="192"/>
      <c r="AZ20" s="192"/>
      <c r="BA20" s="192"/>
      <c r="BB20" s="192"/>
      <c r="BC20" s="192"/>
      <c r="BD20" s="192"/>
      <c r="BE20" s="192"/>
      <c r="BF20" s="192"/>
    </row>
    <row r="21" ht="17" customHeight="1" spans="5:5" x14ac:dyDescent="0.25">
      <c r="E21" s="135"/>
    </row>
    <row r="22" ht="69" customHeight="1" spans="5:24" x14ac:dyDescent="0.25">
      <c r="E22" s="202" t="s">
        <v>2331</v>
      </c>
      <c r="F22" s="203"/>
      <c r="G22" s="203"/>
      <c r="H22" s="203"/>
      <c r="I22" s="203"/>
      <c r="J22" s="203"/>
      <c r="K22" s="203"/>
      <c r="L22" s="203"/>
      <c r="M22" s="203"/>
      <c r="N22" s="203"/>
      <c r="O22" s="203"/>
      <c r="P22" s="203"/>
      <c r="Q22" s="203"/>
      <c r="R22" s="203"/>
      <c r="S22" s="203"/>
      <c r="T22" s="203"/>
      <c r="U22" s="203"/>
      <c r="V22" s="203"/>
      <c r="W22" s="203"/>
      <c r="X22" s="204"/>
    </row>
  </sheetData>
  <mergeCells count="6">
    <mergeCell ref="H2:H4"/>
    <mergeCell ref="W2:W4"/>
    <mergeCell ref="AG2:AG4"/>
    <mergeCell ref="AV2:AV4"/>
    <mergeCell ref="BF2:BF4"/>
    <mergeCell ref="E22:X22"/>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EF2D"/>
  </sheetPr>
  <dimension ref="A1:BH22"/>
  <sheetViews>
    <sheetView workbookViewId="0" showGridLines="0" zoomScale="100" zoomScaleNormal="100">
      <selection activeCell="K5" sqref="K5"/>
    </sheetView>
  </sheetViews>
  <sheetFormatPr defaultRowHeight="16" outlineLevelRow="0" outlineLevelCol="0" x14ac:dyDescent="0.2" defaultColWidth="11" customHeight="1"/>
  <cols>
    <col min="1" max="3" width="11" style="91" hidden="1" customWidth="1"/>
    <col min="4" max="4" width="13.5" style="91" customWidth="1"/>
    <col min="5" max="5" width="11" style="91" customWidth="1"/>
    <col min="6" max="6" width="48.1640625" style="91" customWidth="1"/>
    <col min="7" max="16384" width="11" style="91" customWidth="1"/>
  </cols>
  <sheetData>
    <row r="1" ht="80" customHeight="1" spans="1:60" s="40" customFormat="1" x14ac:dyDescent="0.25">
      <c r="A1" s="41" t="s">
        <v>2299</v>
      </c>
      <c r="B1" s="42"/>
      <c r="C1" s="42"/>
      <c r="D1" s="41" t="s">
        <v>2332</v>
      </c>
      <c r="E1" s="43"/>
      <c r="F1" s="44"/>
      <c r="G1" s="44"/>
      <c r="H1" s="43"/>
      <c r="I1" s="43"/>
      <c r="J1" s="43"/>
      <c r="K1" s="43"/>
      <c r="L1" s="43"/>
      <c r="M1" s="43"/>
      <c r="N1" s="43"/>
      <c r="O1" s="43"/>
      <c r="P1" s="43"/>
      <c r="Q1" s="43"/>
      <c r="R1" s="43"/>
      <c r="S1" s="43"/>
      <c r="T1" s="43"/>
      <c r="U1" s="43"/>
      <c r="V1" s="43"/>
      <c r="W1" s="43"/>
      <c r="X1" s="43"/>
      <c r="Y1" s="43"/>
      <c r="Z1" s="43"/>
      <c r="AA1" s="43"/>
      <c r="AB1" s="43"/>
      <c r="AC1" s="43"/>
      <c r="AD1" s="43"/>
      <c r="AE1" s="43"/>
      <c r="AF1" s="43"/>
      <c r="AG1" s="43"/>
      <c r="AH1" s="91"/>
      <c r="AI1" s="91"/>
      <c r="AJ1" s="91"/>
      <c r="AK1" s="91"/>
      <c r="AL1" s="91"/>
      <c r="AM1" s="91"/>
      <c r="AN1" s="91"/>
      <c r="AO1" s="91"/>
      <c r="AP1" s="91"/>
      <c r="AQ1" s="91"/>
      <c r="AR1" s="91"/>
      <c r="AS1" s="91"/>
      <c r="AT1" s="91"/>
      <c r="AU1" s="91"/>
      <c r="AV1" s="91"/>
      <c r="AW1" s="91"/>
      <c r="AX1" s="91"/>
      <c r="AY1" s="91"/>
      <c r="AZ1" s="91"/>
      <c r="BA1" s="91"/>
      <c r="BB1" s="91"/>
      <c r="BC1" s="91"/>
      <c r="BD1" s="91"/>
      <c r="BE1" s="91"/>
      <c r="BF1" s="91"/>
      <c r="BG1" s="91"/>
      <c r="BH1" s="91"/>
    </row>
    <row r="2" ht="16" customHeight="1" hidden="1" spans="1:33" x14ac:dyDescent="0.25">
      <c r="A2" s="94"/>
      <c r="B2" s="94"/>
      <c r="C2" s="94"/>
      <c r="D2" s="192"/>
      <c r="E2" s="192"/>
      <c r="F2" s="192"/>
      <c r="G2" s="178" t="s">
        <v>2173</v>
      </c>
      <c r="H2" s="205" t="s">
        <v>2117</v>
      </c>
      <c r="I2" s="178" t="s">
        <v>2273</v>
      </c>
      <c r="J2" s="178" t="s">
        <v>2274</v>
      </c>
      <c r="K2" s="178" t="s">
        <v>2275</v>
      </c>
      <c r="L2" s="178" t="s">
        <v>2276</v>
      </c>
      <c r="M2" s="178" t="s">
        <v>2277</v>
      </c>
      <c r="N2" s="178" t="s">
        <v>2278</v>
      </c>
      <c r="O2" s="178" t="s">
        <v>2279</v>
      </c>
      <c r="P2" s="178" t="s">
        <v>2280</v>
      </c>
      <c r="Q2" s="178" t="s">
        <v>2281</v>
      </c>
      <c r="R2" s="178" t="s">
        <v>2333</v>
      </c>
      <c r="S2" s="205" t="s">
        <v>2119</v>
      </c>
      <c r="T2" s="178" t="s">
        <v>2282</v>
      </c>
      <c r="U2" s="178" t="s">
        <v>2283</v>
      </c>
      <c r="V2" s="178" t="s">
        <v>2334</v>
      </c>
      <c r="W2" s="178" t="s">
        <v>2285</v>
      </c>
      <c r="X2" s="178" t="s">
        <v>2286</v>
      </c>
      <c r="Y2" s="178" t="s">
        <v>2287</v>
      </c>
      <c r="Z2" s="178" t="s">
        <v>2288</v>
      </c>
      <c r="AA2" s="178" t="s">
        <v>2289</v>
      </c>
      <c r="AB2" s="178" t="s">
        <v>2290</v>
      </c>
      <c r="AC2" s="205" t="s">
        <v>2251</v>
      </c>
      <c r="AD2" s="178" t="s">
        <v>2335</v>
      </c>
      <c r="AE2" s="178" t="s">
        <v>2202</v>
      </c>
      <c r="AF2" s="178" t="s">
        <v>2209</v>
      </c>
      <c r="AG2" s="205" t="s">
        <v>2253</v>
      </c>
    </row>
    <row r="3" ht="36" customHeight="1" hidden="1" spans="1:33" x14ac:dyDescent="0.25">
      <c r="A3" s="94"/>
      <c r="B3" s="94"/>
      <c r="C3" s="94"/>
      <c r="D3" s="192"/>
      <c r="E3" s="192"/>
      <c r="F3" s="192"/>
      <c r="G3" s="178" t="s">
        <v>2173</v>
      </c>
      <c r="H3" s="205" t="s">
        <v>2117</v>
      </c>
      <c r="I3" s="178" t="s">
        <v>2273</v>
      </c>
      <c r="J3" s="178" t="s">
        <v>2274</v>
      </c>
      <c r="K3" s="178" t="s">
        <v>2275</v>
      </c>
      <c r="L3" s="178" t="s">
        <v>2276</v>
      </c>
      <c r="M3" s="178" t="s">
        <v>2277</v>
      </c>
      <c r="N3" s="178" t="s">
        <v>2278</v>
      </c>
      <c r="O3" s="178" t="s">
        <v>2279</v>
      </c>
      <c r="P3" s="178" t="s">
        <v>2280</v>
      </c>
      <c r="Q3" s="178" t="s">
        <v>2281</v>
      </c>
      <c r="R3" s="178" t="s">
        <v>2333</v>
      </c>
      <c r="S3" s="205" t="s">
        <v>2119</v>
      </c>
      <c r="T3" s="178" t="s">
        <v>2282</v>
      </c>
      <c r="U3" s="178" t="s">
        <v>2283</v>
      </c>
      <c r="V3" s="178" t="s">
        <v>2334</v>
      </c>
      <c r="W3" s="178" t="s">
        <v>2285</v>
      </c>
      <c r="X3" s="178" t="s">
        <v>2286</v>
      </c>
      <c r="Y3" s="178" t="s">
        <v>2287</v>
      </c>
      <c r="Z3" s="178" t="s">
        <v>2288</v>
      </c>
      <c r="AA3" s="178" t="s">
        <v>2289</v>
      </c>
      <c r="AB3" s="178" t="s">
        <v>2290</v>
      </c>
      <c r="AC3" s="205" t="s">
        <v>2251</v>
      </c>
      <c r="AD3" s="178" t="s">
        <v>2335</v>
      </c>
      <c r="AE3" s="178" t="s">
        <v>2202</v>
      </c>
      <c r="AF3" s="178" t="s">
        <v>2209</v>
      </c>
      <c r="AG3" s="205" t="s">
        <v>2253</v>
      </c>
    </row>
    <row r="4" ht="60" customHeight="1" spans="1:33" x14ac:dyDescent="0.25">
      <c r="A4" s="94"/>
      <c r="B4" s="101" t="s">
        <v>2169</v>
      </c>
      <c r="C4" s="101" t="s">
        <v>2170</v>
      </c>
      <c r="D4" s="101" t="s">
        <v>37</v>
      </c>
      <c r="E4" s="101" t="s">
        <v>2171</v>
      </c>
      <c r="F4" s="101" t="s">
        <v>2172</v>
      </c>
      <c r="G4" s="178" t="s">
        <v>2173</v>
      </c>
      <c r="H4" s="205" t="s">
        <v>2117</v>
      </c>
      <c r="I4" s="178" t="s">
        <v>2273</v>
      </c>
      <c r="J4" s="178" t="s">
        <v>2274</v>
      </c>
      <c r="K4" s="178" t="s">
        <v>2275</v>
      </c>
      <c r="L4" s="178" t="s">
        <v>2276</v>
      </c>
      <c r="M4" s="178" t="s">
        <v>2277</v>
      </c>
      <c r="N4" s="178" t="s">
        <v>2278</v>
      </c>
      <c r="O4" s="178" t="s">
        <v>2279</v>
      </c>
      <c r="P4" s="178" t="s">
        <v>2280</v>
      </c>
      <c r="Q4" s="178" t="s">
        <v>2281</v>
      </c>
      <c r="R4" s="178" t="s">
        <v>2333</v>
      </c>
      <c r="S4" s="205" t="s">
        <v>2119</v>
      </c>
      <c r="T4" s="178" t="s">
        <v>2282</v>
      </c>
      <c r="U4" s="178" t="s">
        <v>2283</v>
      </c>
      <c r="V4" s="178" t="s">
        <v>2334</v>
      </c>
      <c r="W4" s="178" t="s">
        <v>2285</v>
      </c>
      <c r="X4" s="178" t="s">
        <v>2286</v>
      </c>
      <c r="Y4" s="178" t="s">
        <v>2287</v>
      </c>
      <c r="Z4" s="178" t="s">
        <v>2288</v>
      </c>
      <c r="AA4" s="178" t="s">
        <v>2289</v>
      </c>
      <c r="AB4" s="178" t="s">
        <v>2290</v>
      </c>
      <c r="AC4" s="205" t="s">
        <v>2251</v>
      </c>
      <c r="AD4" s="178" t="s">
        <v>2335</v>
      </c>
      <c r="AE4" s="178" t="s">
        <v>2202</v>
      </c>
      <c r="AF4" s="178" t="s">
        <v>2209</v>
      </c>
      <c r="AG4" s="205" t="s">
        <v>2253</v>
      </c>
    </row>
    <row r="5" spans="1:33" x14ac:dyDescent="0.25">
      <c r="A5" s="145" t="s">
        <v>2292</v>
      </c>
      <c r="B5" s="115"/>
      <c r="C5" s="115"/>
      <c r="D5" s="206" t="s">
        <v>1084</v>
      </c>
      <c r="E5" s="115" t="s">
        <v>2220</v>
      </c>
      <c r="F5" s="207" t="s">
        <v>2221</v>
      </c>
      <c r="G5" s="153">
        <f>IF(ISBLANK(ETPT_TPRX_DDG!$D$5),"",IF(ISERROR(ETPT_TPRX!G5),"",IF(ETPT_TPRX!G5=0,"",ETPT_TPRX!G5)))</f>
      </c>
      <c r="H5" s="146">
        <f t="shared" ref="H5:H15" si="0">SUM(G5)</f>
        <v>0</v>
      </c>
      <c r="I5" s="153">
        <f>IF(ISBLANK(ETPT_TPRX_DDG!$D$5),"",IF(ISERROR(ETPT_TPRX!I5),"",IF(ETPT_TPRX!I5=0,"",ETPT_TPRX!I5)))</f>
      </c>
      <c r="J5" s="153">
        <f>IF(ISBLANK(ETPT_TPRX_DDG!$D$5),"",IF(ISERROR(ETPT_TPRX!J5),"",IF(ETPT_TPRX!J5=0,"",ETPT_TPRX!J5)))</f>
      </c>
      <c r="K5" s="153">
        <f>IF(ISBLANK(ETPT_TPRX_DDG!$D$5),"",IF(ISERROR(ETPT_TPRX!K5),"",IF(ETPT_TPRX!K5=0,"",ETPT_TPRX!K5)))</f>
      </c>
      <c r="L5" s="153">
        <f>IF(ISBLANK(ETPT_TPRX_DDG!$D$5),"",IF(ISERROR(ETPT_TPRX!L5),"",IF(ETPT_TPRX!L5=0,"",ETPT_TPRX!L5)))</f>
      </c>
      <c r="M5" s="153">
        <f>IF(ISBLANK(ETPT_TPRX_DDG!$D$5),"",IF(ISERROR(ETPT_TPRX!M5),"",IF(ETPT_TPRX!M5=0,"",ETPT_TPRX!M5)))</f>
      </c>
      <c r="N5" s="153">
        <f>IF(ISBLANK(ETPT_TPRX_DDG!$D$5),"",IF(ISERROR(ETPT_TPRX!N5),"",IF(ETPT_TPRX!N5=0,"",ETPT_TPRX!N5)))</f>
      </c>
      <c r="O5" s="153">
        <f>IF(ISBLANK(ETPT_TPRX_DDG!$D$5),"",IF(ISERROR(ETPT_TPRX!O5),"",IF(ETPT_TPRX!O5=0,"",ETPT_TPRX!O5)))</f>
      </c>
      <c r="P5" s="153">
        <f>IF(ISBLANK(ETPT_TPRX_DDG!$D$5),"",IF(ISERROR(ETPT_TPRX!P5),"",IF(ETPT_TPRX!P5=0,"",ETPT_TPRX!P5)))</f>
      </c>
      <c r="Q5" s="153">
        <f>IF(ISBLANK(ETPT_TPRX_DDG!$D$5),"",IF(ISERROR(ETPT_TPRX!Q5),"",IF(ETPT_TPRX!Q5=0,"",ETPT_TPRX!Q5)))</f>
      </c>
      <c r="R5" s="153">
        <f>IF(ISBLANK(ETPT_TPRX_DDG!$D$5),"",IF(ISERROR(ETPT_TPRX!R5),"",IF(ETPT_TPRX!R5=0,"",ETPT_TPRX!R5)))</f>
      </c>
      <c r="S5" s="146">
        <f t="shared" ref="S5:S15" si="1">SUM(I5:R5)</f>
        <v>0</v>
      </c>
      <c r="T5" s="153">
        <f>IF(ISBLANK(ETPT_TPRX_DDG!$D$5),"",IF(ISERROR(ETPT_TPRX!T5),"",IF(ETPT_TPRX!T5=0,"",ETPT_TPRX!T5)))</f>
      </c>
      <c r="U5" s="153">
        <f>IF(ISBLANK(ETPT_TPRX_DDG!$D$5),"",IF(ISERROR(ETPT_TPRX!U5),"",IF(ETPT_TPRX!U5=0,"",ETPT_TPRX!U5)))</f>
      </c>
      <c r="V5" s="153">
        <f>IF(ISBLANK(ETPT_TPRX_DDG!$D$5),"",IF(ISERROR(ETPT_TPRX!V5),"",IF(ETPT_TPRX!V5=0,"",ETPT_TPRX!V5)))</f>
      </c>
      <c r="W5" s="153">
        <f>IF(ISBLANK(ETPT_TPRX_DDG!$D$5),"",IF(ISERROR(ETPT_TPRX!W5),"",IF(ETPT_TPRX!W5=0,"",ETPT_TPRX!W5)))</f>
      </c>
      <c r="X5" s="153">
        <f>IF(ISBLANK(ETPT_TPRX_DDG!$D$5),"",IF(ISERROR(ETPT_TPRX!X5),"",IF(ETPT_TPRX!X5=0,"",ETPT_TPRX!X5)))</f>
      </c>
      <c r="Y5" s="153">
        <f>IF(ISBLANK(ETPT_TPRX_DDG!$D$5),"",IF(ISERROR(ETPT_TPRX!Y5),"",IF(ETPT_TPRX!Y5=0,"",ETPT_TPRX!Y5)))</f>
      </c>
      <c r="Z5" s="153">
        <f>IF(ISBLANK(ETPT_TPRX_DDG!$D$5),"",IF(ISERROR(ETPT_TPRX!Z5),"",IF(ETPT_TPRX!Z5=0,"",ETPT_TPRX!Z5)))</f>
      </c>
      <c r="AA5" s="153">
        <f>IF(ISBLANK(ETPT_TPRX_DDG!$D$5),"",IF(ISERROR(ETPT_TPRX!AA5),"",IF(ETPT_TPRX!AA5=0,"",ETPT_TPRX!AA5)))</f>
      </c>
      <c r="AB5" s="153">
        <f>IF(ISBLANK(ETPT_TPRX_DDG!$D$5),"",IF(ISERROR(ETPT_TPRX!AB5),"",IF(ETPT_TPRX!AB5=0,"",ETPT_TPRX!AB5)))</f>
      </c>
      <c r="AC5" s="146">
        <f t="shared" ref="AC5:AC15" si="2">SUM(T5:AB5)</f>
        <v>0</v>
      </c>
      <c r="AD5" s="153">
        <f>IF(ISBLANK(ETPT_TPRX_DDG!$D$5),"",IF(ISERROR(ETPT_TPRX!AD5),"",IF(ETPT_TPRX!AD5=0,"",ETPT_TPRX!AD5)))</f>
      </c>
      <c r="AE5" s="153">
        <f>IF(ISBLANK(ETPT_TPRX_DDG!$D$5),"",IF(ISERROR(ETPT_TPRX!AE5),"",IF(ETPT_TPRX!AE5=0,"",ETPT_TPRX!AE5)))</f>
      </c>
      <c r="AF5" s="153">
        <f>IF(ISBLANK(ETPT_TPRX_DDG!$D$5),"",IF(ISERROR(ETPT_TPRX!AF5),"",IF(ETPT_TPRX!AF5=0,"",ETPT_TPRX!AF5)))</f>
      </c>
      <c r="AG5" s="146">
        <f t="shared" ref="AG5:AG15" si="3">SUM(AD5:AF5)</f>
        <v>0</v>
      </c>
    </row>
    <row r="6" spans="1:33" x14ac:dyDescent="0.25">
      <c r="A6" s="145" t="s">
        <v>2292</v>
      </c>
      <c r="B6" s="115"/>
      <c r="C6" s="115"/>
      <c r="D6" s="115">
        <f t="shared" ref="D6:D15" si="4">IF(ISBLANK($D$5),"",$D$5)</f>
      </c>
      <c r="E6" s="115" t="s">
        <v>2222</v>
      </c>
      <c r="F6" s="207" t="s">
        <v>2223</v>
      </c>
      <c r="G6" s="153">
        <f>IF(ISBLANK(ETPT_TPRX_DDG!$D$5),"",IF(ISERROR(ETPT_TPRX!G6),"",IF(ETPT_TPRX!G6=0,"",ETPT_TPRX!G6)))</f>
      </c>
      <c r="H6" s="146">
        <f t="shared" si="0"/>
        <v>0</v>
      </c>
      <c r="I6" s="153">
        <f>IF(ISBLANK(ETPT_TPRX_DDG!$D$5),"",IF(ISERROR(ETPT_TPRX!I6),"",IF(ETPT_TPRX!I6=0,"",ETPT_TPRX!I6)))</f>
      </c>
      <c r="J6" s="153">
        <f>IF(ISBLANK(ETPT_TPRX_DDG!$D$5),"",IF(ISERROR(ETPT_TPRX!J6),"",IF(ETPT_TPRX!J6=0,"",ETPT_TPRX!J6)))</f>
      </c>
      <c r="K6" s="153">
        <f>IF(ISBLANK(ETPT_TPRX_DDG!$D$5),"",IF(ISERROR(ETPT_TPRX!K6),"",IF(ETPT_TPRX!K6=0,"",ETPT_TPRX!K6)))</f>
      </c>
      <c r="L6" s="153">
        <f>IF(ISBLANK(ETPT_TPRX_DDG!$D$5),"",IF(ISERROR(ETPT_TPRX!L6),"",IF(ETPT_TPRX!L6=0,"",ETPT_TPRX!L6)))</f>
      </c>
      <c r="M6" s="153">
        <f>IF(ISBLANK(ETPT_TPRX_DDG!$D$5),"",IF(ISERROR(ETPT_TPRX!M6),"",IF(ETPT_TPRX!M6=0,"",ETPT_TPRX!M6)))</f>
      </c>
      <c r="N6" s="153">
        <f>IF(ISBLANK(ETPT_TPRX_DDG!$D$5),"",IF(ISERROR(ETPT_TPRX!N6),"",IF(ETPT_TPRX!N6=0,"",ETPT_TPRX!N6)))</f>
      </c>
      <c r="O6" s="153">
        <f>IF(ISBLANK(ETPT_TPRX_DDG!$D$5),"",IF(ISERROR(ETPT_TPRX!O6),"",IF(ETPT_TPRX!O6=0,"",ETPT_TPRX!O6)))</f>
      </c>
      <c r="P6" s="153">
        <f>IF(ISBLANK(ETPT_TPRX_DDG!$D$5),"",IF(ISERROR(ETPT_TPRX!P6),"",IF(ETPT_TPRX!P6=0,"",ETPT_TPRX!P6)))</f>
      </c>
      <c r="Q6" s="153">
        <f>IF(ISBLANK(ETPT_TPRX_DDG!$D$5),"",IF(ISERROR(ETPT_TPRX!Q6),"",IF(ETPT_TPRX!Q6=0,"",ETPT_TPRX!Q6)))</f>
      </c>
      <c r="R6" s="153">
        <f>IF(ISBLANK(ETPT_TPRX_DDG!$D$5),"",IF(ISERROR(ETPT_TPRX!R6),"",IF(ETPT_TPRX!R6=0,"",ETPT_TPRX!R6)))</f>
      </c>
      <c r="S6" s="146">
        <f t="shared" si="1"/>
        <v>0</v>
      </c>
      <c r="T6" s="153">
        <f>IF(ISBLANK(ETPT_TPRX_DDG!$D$5),"",IF(ISERROR(ETPT_TPRX!T6),"",IF(ETPT_TPRX!T6=0,"",ETPT_TPRX!T6)))</f>
      </c>
      <c r="U6" s="153">
        <f>IF(ISBLANK(ETPT_TPRX_DDG!$D$5),"",IF(ISERROR(ETPT_TPRX!U6),"",IF(ETPT_TPRX!U6=0,"",ETPT_TPRX!U6)))</f>
      </c>
      <c r="V6" s="153">
        <f>IF(ISBLANK(ETPT_TPRX_DDG!$D$5),"",IF(ISERROR(ETPT_TPRX!V6),"",IF(ETPT_TPRX!V6=0,"",ETPT_TPRX!V6)))</f>
      </c>
      <c r="W6" s="153">
        <f>IF(ISBLANK(ETPT_TPRX_DDG!$D$5),"",IF(ISERROR(ETPT_TPRX!W6),"",IF(ETPT_TPRX!W6=0,"",ETPT_TPRX!W6)))</f>
      </c>
      <c r="X6" s="153">
        <f>IF(ISBLANK(ETPT_TPRX_DDG!$D$5),"",IF(ISERROR(ETPT_TPRX!X6),"",IF(ETPT_TPRX!X6=0,"",ETPT_TPRX!X6)))</f>
      </c>
      <c r="Y6" s="153">
        <f>IF(ISBLANK(ETPT_TPRX_DDG!$D$5),"",IF(ISERROR(ETPT_TPRX!Y6),"",IF(ETPT_TPRX!Y6=0,"",ETPT_TPRX!Y6)))</f>
      </c>
      <c r="Z6" s="153">
        <f>IF(ISBLANK(ETPT_TPRX_DDG!$D$5),"",IF(ISERROR(ETPT_TPRX!Z6),"",IF(ETPT_TPRX!Z6=0,"",ETPT_TPRX!Z6)))</f>
      </c>
      <c r="AA6" s="153">
        <f>IF(ISBLANK(ETPT_TPRX_DDG!$D$5),"",IF(ISERROR(ETPT_TPRX!AA6),"",IF(ETPT_TPRX!AA6=0,"",ETPT_TPRX!AA6)))</f>
      </c>
      <c r="AB6" s="153">
        <f>IF(ISBLANK(ETPT_TPRX_DDG!$D$5),"",IF(ISERROR(ETPT_TPRX!AB6),"",IF(ETPT_TPRX!AB6=0,"",ETPT_TPRX!AB6)))</f>
      </c>
      <c r="AC6" s="146">
        <f t="shared" si="2"/>
        <v>0</v>
      </c>
      <c r="AD6" s="153">
        <f>IF(ISBLANK(ETPT_TPRX_DDG!$D$5),"",IF(ISERROR(ETPT_TPRX!AD6),"",IF(ETPT_TPRX!AD6=0,"",ETPT_TPRX!AD6)))</f>
      </c>
      <c r="AE6" s="153">
        <f>IF(ISBLANK(ETPT_TPRX_DDG!$D$5),"",IF(ISERROR(ETPT_TPRX!AE6),"",IF(ETPT_TPRX!AE6=0,"",ETPT_TPRX!AE6)))</f>
      </c>
      <c r="AF6" s="153">
        <f>IF(ISBLANK(ETPT_TPRX_DDG!$D$5),"",IF(ISERROR(ETPT_TPRX!AF6),"",IF(ETPT_TPRX!AF6=0,"",ETPT_TPRX!AF6)))</f>
      </c>
      <c r="AG6" s="146">
        <f t="shared" si="3"/>
        <v>0</v>
      </c>
    </row>
    <row r="7" spans="1:33" x14ac:dyDescent="0.25">
      <c r="A7" s="145" t="s">
        <v>2292</v>
      </c>
      <c r="B7" s="115"/>
      <c r="C7" s="115"/>
      <c r="D7" s="115">
        <f t="shared" si="4"/>
      </c>
      <c r="E7" s="115" t="s">
        <v>2225</v>
      </c>
      <c r="F7" s="207" t="s">
        <v>2226</v>
      </c>
      <c r="G7" s="153">
        <f>IF(ISBLANK(ETPT_TPRX_DDG!$D$5),"",IF(ISERROR(ETPT_TPRX!G7),"",IF(ETPT_TPRX!G7=0,"",ETPT_TPRX!G7)))</f>
      </c>
      <c r="H7" s="146">
        <f t="shared" si="0"/>
        <v>0</v>
      </c>
      <c r="I7" s="153">
        <f>IF(ISBLANK(ETPT_TPRX_DDG!$D$5),"",IF(ISERROR(ETPT_TPRX!I7),"",IF(ETPT_TPRX!I7=0,"",ETPT_TPRX!I7)))</f>
      </c>
      <c r="J7" s="153">
        <f>IF(ISBLANK(ETPT_TPRX_DDG!$D$5),"",IF(ISERROR(ETPT_TPRX!J7),"",IF(ETPT_TPRX!J7=0,"",ETPT_TPRX!J7)))</f>
      </c>
      <c r="K7" s="153">
        <f>IF(ISBLANK(ETPT_TPRX_DDG!$D$5),"",IF(ISERROR(ETPT_TPRX!K7),"",IF(ETPT_TPRX!K7=0,"",ETPT_TPRX!K7)))</f>
      </c>
      <c r="L7" s="153">
        <f>IF(ISBLANK(ETPT_TPRX_DDG!$D$5),"",IF(ISERROR(ETPT_TPRX!L7),"",IF(ETPT_TPRX!L7=0,"",ETPT_TPRX!L7)))</f>
      </c>
      <c r="M7" s="153">
        <f>IF(ISBLANK(ETPT_TPRX_DDG!$D$5),"",IF(ISERROR(ETPT_TPRX!M7),"",IF(ETPT_TPRX!M7=0,"",ETPT_TPRX!M7)))</f>
      </c>
      <c r="N7" s="153">
        <f>IF(ISBLANK(ETPT_TPRX_DDG!$D$5),"",IF(ISERROR(ETPT_TPRX!N7),"",IF(ETPT_TPRX!N7=0,"",ETPT_TPRX!N7)))</f>
      </c>
      <c r="O7" s="153">
        <f>IF(ISBLANK(ETPT_TPRX_DDG!$D$5),"",IF(ISERROR(ETPT_TPRX!O7),"",IF(ETPT_TPRX!O7=0,"",ETPT_TPRX!O7)))</f>
      </c>
      <c r="P7" s="153">
        <f>IF(ISBLANK(ETPT_TPRX_DDG!$D$5),"",IF(ISERROR(ETPT_TPRX!P7),"",IF(ETPT_TPRX!P7=0,"",ETPT_TPRX!P7)))</f>
      </c>
      <c r="Q7" s="153">
        <f>IF(ISBLANK(ETPT_TPRX_DDG!$D$5),"",IF(ISERROR(ETPT_TPRX!Q7),"",IF(ETPT_TPRX!Q7=0,"",ETPT_TPRX!Q7)))</f>
      </c>
      <c r="R7" s="153">
        <f>IF(ISBLANK(ETPT_TPRX_DDG!$D$5),"",IF(ISERROR(ETPT_TPRX!R7),"",IF(ETPT_TPRX!R7=0,"",ETPT_TPRX!R7)))</f>
      </c>
      <c r="S7" s="146">
        <f t="shared" si="1"/>
        <v>0</v>
      </c>
      <c r="T7" s="153">
        <f>IF(ISBLANK(ETPT_TPRX_DDG!$D$5),"",IF(ISERROR(ETPT_TPRX!T7),"",IF(ETPT_TPRX!T7=0,"",ETPT_TPRX!T7)))</f>
      </c>
      <c r="U7" s="153">
        <f>IF(ISBLANK(ETPT_TPRX_DDG!$D$5),"",IF(ISERROR(ETPT_TPRX!U7),"",IF(ETPT_TPRX!U7=0,"",ETPT_TPRX!U7)))</f>
      </c>
      <c r="V7" s="153">
        <f>IF(ISBLANK(ETPT_TPRX_DDG!$D$5),"",IF(ISERROR(ETPT_TPRX!V7),"",IF(ETPT_TPRX!V7=0,"",ETPT_TPRX!V7)))</f>
      </c>
      <c r="W7" s="153">
        <f>IF(ISBLANK(ETPT_TPRX_DDG!$D$5),"",IF(ISERROR(ETPT_TPRX!W7),"",IF(ETPT_TPRX!W7=0,"",ETPT_TPRX!W7)))</f>
      </c>
      <c r="X7" s="153">
        <f>IF(ISBLANK(ETPT_TPRX_DDG!$D$5),"",IF(ISERROR(ETPT_TPRX!X7),"",IF(ETPT_TPRX!X7=0,"",ETPT_TPRX!X7)))</f>
      </c>
      <c r="Y7" s="153">
        <f>IF(ISBLANK(ETPT_TPRX_DDG!$D$5),"",IF(ISERROR(ETPT_TPRX!Y7),"",IF(ETPT_TPRX!Y7=0,"",ETPT_TPRX!Y7)))</f>
      </c>
      <c r="Z7" s="153">
        <f>IF(ISBLANK(ETPT_TPRX_DDG!$D$5),"",IF(ISERROR(ETPT_TPRX!Z7),"",IF(ETPT_TPRX!Z7=0,"",ETPT_TPRX!Z7)))</f>
      </c>
      <c r="AA7" s="153">
        <f>IF(ISBLANK(ETPT_TPRX_DDG!$D$5),"",IF(ISERROR(ETPT_TPRX!AA7),"",IF(ETPT_TPRX!AA7=0,"",ETPT_TPRX!AA7)))</f>
      </c>
      <c r="AB7" s="153">
        <f>IF(ISBLANK(ETPT_TPRX_DDG!$D$5),"",IF(ISERROR(ETPT_TPRX!AB7),"",IF(ETPT_TPRX!AB7=0,"",ETPT_TPRX!AB7)))</f>
      </c>
      <c r="AC7" s="146">
        <f t="shared" si="2"/>
        <v>0</v>
      </c>
      <c r="AD7" s="153">
        <f>IF(ISBLANK(ETPT_TPRX_DDG!$D$5),"",IF(ISERROR(ETPT_TPRX!AD7),"",IF(ETPT_TPRX!AD7=0,"",ETPT_TPRX!AD7)))</f>
      </c>
      <c r="AE7" s="153">
        <f>IF(ISBLANK(ETPT_TPRX_DDG!$D$5),"",IF(ISERROR(ETPT_TPRX!AE7),"",IF(ETPT_TPRX!AE7=0,"",ETPT_TPRX!AE7)))</f>
      </c>
      <c r="AF7" s="153">
        <f>IF(ISBLANK(ETPT_TPRX_DDG!$D$5),"",IF(ISERROR(ETPT_TPRX!AF7),"",IF(ETPT_TPRX!AF7=0,"",ETPT_TPRX!AF7)))</f>
      </c>
      <c r="AG7" s="146">
        <f t="shared" si="3"/>
        <v>0</v>
      </c>
    </row>
    <row r="8" spans="1:33" x14ac:dyDescent="0.25">
      <c r="A8" s="145" t="s">
        <v>2292</v>
      </c>
      <c r="B8" s="115"/>
      <c r="C8" s="115"/>
      <c r="D8" s="115">
        <f t="shared" si="4"/>
      </c>
      <c r="E8" s="115" t="s">
        <v>2229</v>
      </c>
      <c r="F8" s="207" t="s">
        <v>2230</v>
      </c>
      <c r="G8" s="153">
        <f>IF(ISBLANK(ETPT_TPRX_DDG!$D$5),"",IF(ISERROR(ETPT_TPRX!G8),"",IF(ETPT_TPRX!G8=0,"",ETPT_TPRX!G8)))</f>
      </c>
      <c r="H8" s="146">
        <f t="shared" si="0"/>
        <v>0</v>
      </c>
      <c r="I8" s="153">
        <f>IF(ISBLANK(ETPT_TPRX_DDG!$D$5),"",IF(ISERROR(ETPT_TPRX!I8),"",IF(ETPT_TPRX!I8=0,"",ETPT_TPRX!I8)))</f>
      </c>
      <c r="J8" s="153">
        <f>IF(ISBLANK(ETPT_TPRX_DDG!$D$5),"",IF(ISERROR(ETPT_TPRX!J8),"",IF(ETPT_TPRX!J8=0,"",ETPT_TPRX!J8)))</f>
      </c>
      <c r="K8" s="153">
        <f>IF(ISBLANK(ETPT_TPRX_DDG!$D$5),"",IF(ISERROR(ETPT_TPRX!K8),"",IF(ETPT_TPRX!K8=0,"",ETPT_TPRX!K8)))</f>
      </c>
      <c r="L8" s="153">
        <f>IF(ISBLANK(ETPT_TPRX_DDG!$D$5),"",IF(ISERROR(ETPT_TPRX!L8),"",IF(ETPT_TPRX!L8=0,"",ETPT_TPRX!L8)))</f>
      </c>
      <c r="M8" s="153">
        <f>IF(ISBLANK(ETPT_TPRX_DDG!$D$5),"",IF(ISERROR(ETPT_TPRX!M8),"",IF(ETPT_TPRX!M8=0,"",ETPT_TPRX!M8)))</f>
      </c>
      <c r="N8" s="153">
        <f>IF(ISBLANK(ETPT_TPRX_DDG!$D$5),"",IF(ISERROR(ETPT_TPRX!N8),"",IF(ETPT_TPRX!N8=0,"",ETPT_TPRX!N8)))</f>
      </c>
      <c r="O8" s="153">
        <f>IF(ISBLANK(ETPT_TPRX_DDG!$D$5),"",IF(ISERROR(ETPT_TPRX!O8),"",IF(ETPT_TPRX!O8=0,"",ETPT_TPRX!O8)))</f>
      </c>
      <c r="P8" s="153">
        <f>IF(ISBLANK(ETPT_TPRX_DDG!$D$5),"",IF(ISERROR(ETPT_TPRX!P8),"",IF(ETPT_TPRX!P8=0,"",ETPT_TPRX!P8)))</f>
      </c>
      <c r="Q8" s="153">
        <f>IF(ISBLANK(ETPT_TPRX_DDG!$D$5),"",IF(ISERROR(ETPT_TPRX!Q8),"",IF(ETPT_TPRX!Q8=0,"",ETPT_TPRX!Q8)))</f>
      </c>
      <c r="R8" s="153">
        <f>IF(ISBLANK(ETPT_TPRX_DDG!$D$5),"",IF(ISERROR(ETPT_TPRX!R8),"",IF(ETPT_TPRX!R8=0,"",ETPT_TPRX!R8)))</f>
      </c>
      <c r="S8" s="146">
        <f t="shared" si="1"/>
        <v>0</v>
      </c>
      <c r="T8" s="153">
        <f>IF(ISBLANK(ETPT_TPRX_DDG!$D$5),"",IF(ISERROR(ETPT_TPRX!T8),"",IF(ETPT_TPRX!T8=0,"",ETPT_TPRX!T8)))</f>
      </c>
      <c r="U8" s="153">
        <f>IF(ISBLANK(ETPT_TPRX_DDG!$D$5),"",IF(ISERROR(ETPT_TPRX!U8),"",IF(ETPT_TPRX!U8=0,"",ETPT_TPRX!U8)))</f>
      </c>
      <c r="V8" s="153">
        <f>IF(ISBLANK(ETPT_TPRX_DDG!$D$5),"",IF(ISERROR(ETPT_TPRX!V8),"",IF(ETPT_TPRX!V8=0,"",ETPT_TPRX!V8)))</f>
      </c>
      <c r="W8" s="153">
        <f>IF(ISBLANK(ETPT_TPRX_DDG!$D$5),"",IF(ISERROR(ETPT_TPRX!W8),"",IF(ETPT_TPRX!W8=0,"",ETPT_TPRX!W8)))</f>
      </c>
      <c r="X8" s="153">
        <f>IF(ISBLANK(ETPT_TPRX_DDG!$D$5),"",IF(ISERROR(ETPT_TPRX!X8),"",IF(ETPT_TPRX!X8=0,"",ETPT_TPRX!X8)))</f>
      </c>
      <c r="Y8" s="153">
        <f>IF(ISBLANK(ETPT_TPRX_DDG!$D$5),"",IF(ISERROR(ETPT_TPRX!Y8),"",IF(ETPT_TPRX!Y8=0,"",ETPT_TPRX!Y8)))</f>
      </c>
      <c r="Z8" s="153">
        <f>IF(ISBLANK(ETPT_TPRX_DDG!$D$5),"",IF(ISERROR(ETPT_TPRX!Z8),"",IF(ETPT_TPRX!Z8=0,"",ETPT_TPRX!Z8)))</f>
      </c>
      <c r="AA8" s="153">
        <f>IF(ISBLANK(ETPT_TPRX_DDG!$D$5),"",IF(ISERROR(ETPT_TPRX!AA8),"",IF(ETPT_TPRX!AA8=0,"",ETPT_TPRX!AA8)))</f>
      </c>
      <c r="AB8" s="153">
        <f>IF(ISBLANK(ETPT_TPRX_DDG!$D$5),"",IF(ISERROR(ETPT_TPRX!AB8),"",IF(ETPT_TPRX!AB8=0,"",ETPT_TPRX!AB8)))</f>
      </c>
      <c r="AC8" s="146">
        <f t="shared" si="2"/>
        <v>0</v>
      </c>
      <c r="AD8" s="153">
        <f>IF(ISBLANK(ETPT_TPRX_DDG!$D$5),"",IF(ISERROR(ETPT_TPRX!AD8),"",IF(ETPT_TPRX!AD8=0,"",ETPT_TPRX!AD8)))</f>
      </c>
      <c r="AE8" s="153">
        <f>IF(ISBLANK(ETPT_TPRX_DDG!$D$5),"",IF(ISERROR(ETPT_TPRX!AE8),"",IF(ETPT_TPRX!AE8=0,"",ETPT_TPRX!AE8)))</f>
      </c>
      <c r="AF8" s="153">
        <f>IF(ISBLANK(ETPT_TPRX_DDG!$D$5),"",IF(ISERROR(ETPT_TPRX!AF8),"",IF(ETPT_TPRX!AF8=0,"",ETPT_TPRX!AF8)))</f>
      </c>
      <c r="AG8" s="146">
        <f t="shared" si="3"/>
        <v>0</v>
      </c>
    </row>
    <row r="9" spans="1:33" x14ac:dyDescent="0.25">
      <c r="A9" s="145" t="s">
        <v>2292</v>
      </c>
      <c r="B9" s="115"/>
      <c r="C9" s="115"/>
      <c r="D9" s="115">
        <f t="shared" si="4"/>
      </c>
      <c r="E9" s="115" t="s">
        <v>2231</v>
      </c>
      <c r="F9" s="207" t="s">
        <v>2232</v>
      </c>
      <c r="G9" s="153">
        <f>IF(ISBLANK(ETPT_TPRX_DDG!$D$5),"",IF(ISERROR(ETPT_TPRX!G9),"",IF(ETPT_TPRX!G9=0,"",ETPT_TPRX!G9)))</f>
      </c>
      <c r="H9" s="146">
        <f t="shared" si="0"/>
        <v>0</v>
      </c>
      <c r="I9" s="153">
        <f>IF(ISBLANK(ETPT_TPRX_DDG!$D$5),"",IF(ISERROR(ETPT_TPRX!I9),"",IF(ETPT_TPRX!I9=0,"",ETPT_TPRX!I9)))</f>
      </c>
      <c r="J9" s="153">
        <f>IF(ISBLANK(ETPT_TPRX_DDG!$D$5),"",IF(ISERROR(ETPT_TPRX!J9),"",IF(ETPT_TPRX!J9=0,"",ETPT_TPRX!J9)))</f>
      </c>
      <c r="K9" s="153">
        <f>IF(ISBLANK(ETPT_TPRX_DDG!$D$5),"",IF(ISERROR(ETPT_TPRX!K9),"",IF(ETPT_TPRX!K9=0,"",ETPT_TPRX!K9)))</f>
      </c>
      <c r="L9" s="153">
        <f>IF(ISBLANK(ETPT_TPRX_DDG!$D$5),"",IF(ISERROR(ETPT_TPRX!L9),"",IF(ETPT_TPRX!L9=0,"",ETPT_TPRX!L9)))</f>
      </c>
      <c r="M9" s="153">
        <f>IF(ISBLANK(ETPT_TPRX_DDG!$D$5),"",IF(ISERROR(ETPT_TPRX!M9),"",IF(ETPT_TPRX!M9=0,"",ETPT_TPRX!M9)))</f>
      </c>
      <c r="N9" s="153">
        <f>IF(ISBLANK(ETPT_TPRX_DDG!$D$5),"",IF(ISERROR(ETPT_TPRX!N9),"",IF(ETPT_TPRX!N9=0,"",ETPT_TPRX!N9)))</f>
      </c>
      <c r="O9" s="153">
        <f>IF(ISBLANK(ETPT_TPRX_DDG!$D$5),"",IF(ISERROR(ETPT_TPRX!O9),"",IF(ETPT_TPRX!O9=0,"",ETPT_TPRX!O9)))</f>
      </c>
      <c r="P9" s="153">
        <f>IF(ISBLANK(ETPT_TPRX_DDG!$D$5),"",IF(ISERROR(ETPT_TPRX!P9),"",IF(ETPT_TPRX!P9=0,"",ETPT_TPRX!P9)))</f>
      </c>
      <c r="Q9" s="153">
        <f>IF(ISBLANK(ETPT_TPRX_DDG!$D$5),"",IF(ISERROR(ETPT_TPRX!Q9),"",IF(ETPT_TPRX!Q9=0,"",ETPT_TPRX!Q9)))</f>
      </c>
      <c r="R9" s="153">
        <f>IF(ISBLANK(ETPT_TPRX_DDG!$D$5),"",IF(ISERROR(ETPT_TPRX!R9),"",IF(ETPT_TPRX!R9=0,"",ETPT_TPRX!R9)))</f>
      </c>
      <c r="S9" s="146">
        <f t="shared" si="1"/>
        <v>0</v>
      </c>
      <c r="T9" s="153">
        <f>IF(ISBLANK(ETPT_TPRX_DDG!$D$5),"",IF(ISERROR(ETPT_TPRX!T9),"",IF(ETPT_TPRX!T9=0,"",ETPT_TPRX!T9)))</f>
      </c>
      <c r="U9" s="153">
        <f>IF(ISBLANK(ETPT_TPRX_DDG!$D$5),"",IF(ISERROR(ETPT_TPRX!U9),"",IF(ETPT_TPRX!U9=0,"",ETPT_TPRX!U9)))</f>
      </c>
      <c r="V9" s="153">
        <f>IF(ISBLANK(ETPT_TPRX_DDG!$D$5),"",IF(ISERROR(ETPT_TPRX!V9),"",IF(ETPT_TPRX!V9=0,"",ETPT_TPRX!V9)))</f>
      </c>
      <c r="W9" s="153">
        <f>IF(ISBLANK(ETPT_TPRX_DDG!$D$5),"",IF(ISERROR(ETPT_TPRX!W9),"",IF(ETPT_TPRX!W9=0,"",ETPT_TPRX!W9)))</f>
      </c>
      <c r="X9" s="153">
        <f>IF(ISBLANK(ETPT_TPRX_DDG!$D$5),"",IF(ISERROR(ETPT_TPRX!X9),"",IF(ETPT_TPRX!X9=0,"",ETPT_TPRX!X9)))</f>
      </c>
      <c r="Y9" s="153">
        <f>IF(ISBLANK(ETPT_TPRX_DDG!$D$5),"",IF(ISERROR(ETPT_TPRX!Y9),"",IF(ETPT_TPRX!Y9=0,"",ETPT_TPRX!Y9)))</f>
      </c>
      <c r="Z9" s="153">
        <f>IF(ISBLANK(ETPT_TPRX_DDG!$D$5),"",IF(ISERROR(ETPT_TPRX!Z9),"",IF(ETPT_TPRX!Z9=0,"",ETPT_TPRX!Z9)))</f>
      </c>
      <c r="AA9" s="153">
        <f>IF(ISBLANK(ETPT_TPRX_DDG!$D$5),"",IF(ISERROR(ETPT_TPRX!AA9),"",IF(ETPT_TPRX!AA9=0,"",ETPT_TPRX!AA9)))</f>
      </c>
      <c r="AB9" s="153">
        <f>IF(ISBLANK(ETPT_TPRX_DDG!$D$5),"",IF(ISERROR(ETPT_TPRX!AB9),"",IF(ETPT_TPRX!AB9=0,"",ETPT_TPRX!AB9)))</f>
      </c>
      <c r="AC9" s="146">
        <f t="shared" si="2"/>
        <v>0</v>
      </c>
      <c r="AD9" s="153">
        <f>IF(ISBLANK(ETPT_TPRX_DDG!$D$5),"",IF(ISERROR(ETPT_TPRX!AD9),"",IF(ETPT_TPRX!AD9=0,"",ETPT_TPRX!AD9)))</f>
      </c>
      <c r="AE9" s="153">
        <f>IF(ISBLANK(ETPT_TPRX_DDG!$D$5),"",IF(ISERROR(ETPT_TPRX!AE9),"",IF(ETPT_TPRX!AE9=0,"",ETPT_TPRX!AE9)))</f>
      </c>
      <c r="AF9" s="153">
        <f>IF(ISBLANK(ETPT_TPRX_DDG!$D$5),"",IF(ISERROR(ETPT_TPRX!AF9),"",IF(ETPT_TPRX!AF9=0,"",ETPT_TPRX!AF9)))</f>
      </c>
      <c r="AG9" s="146">
        <f t="shared" si="3"/>
        <v>0</v>
      </c>
    </row>
    <row r="10" spans="1:33" x14ac:dyDescent="0.25">
      <c r="A10" s="145" t="s">
        <v>2292</v>
      </c>
      <c r="B10" s="115"/>
      <c r="C10" s="115"/>
      <c r="D10" s="115">
        <f t="shared" si="4"/>
      </c>
      <c r="E10" s="115" t="s">
        <v>2233</v>
      </c>
      <c r="F10" s="207" t="s">
        <v>2234</v>
      </c>
      <c r="G10" s="153">
        <f>IF(ISBLANK(ETPT_TPRX_DDG!$D$5),"",IF(ISERROR(ETPT_TPRX!G10),"",IF(ETPT_TPRX!G10=0,"",ETPT_TPRX!G10)))</f>
      </c>
      <c r="H10" s="146">
        <f t="shared" si="0"/>
        <v>0</v>
      </c>
      <c r="I10" s="153">
        <f>IF(ISBLANK(ETPT_TPRX_DDG!$D$5),"",IF(ISERROR(ETPT_TPRX!I10),"",IF(ETPT_TPRX!I10=0,"",ETPT_TPRX!I10)))</f>
      </c>
      <c r="J10" s="153">
        <f>IF(ISBLANK(ETPT_TPRX_DDG!$D$5),"",IF(ISERROR(ETPT_TPRX!J10),"",IF(ETPT_TPRX!J10=0,"",ETPT_TPRX!J10)))</f>
      </c>
      <c r="K10" s="153">
        <f>IF(ISBLANK(ETPT_TPRX_DDG!$D$5),"",IF(ISERROR(ETPT_TPRX!K10),"",IF(ETPT_TPRX!K10=0,"",ETPT_TPRX!K10)))</f>
      </c>
      <c r="L10" s="153">
        <f>IF(ISBLANK(ETPT_TPRX_DDG!$D$5),"",IF(ISERROR(ETPT_TPRX!L10),"",IF(ETPT_TPRX!L10=0,"",ETPT_TPRX!L10)))</f>
      </c>
      <c r="M10" s="153">
        <f>IF(ISBLANK(ETPT_TPRX_DDG!$D$5),"",IF(ISERROR(ETPT_TPRX!M10),"",IF(ETPT_TPRX!M10=0,"",ETPT_TPRX!M10)))</f>
      </c>
      <c r="N10" s="153">
        <f>IF(ISBLANK(ETPT_TPRX_DDG!$D$5),"",IF(ISERROR(ETPT_TPRX!N10),"",IF(ETPT_TPRX!N10=0,"",ETPT_TPRX!N10)))</f>
      </c>
      <c r="O10" s="153">
        <f>IF(ISBLANK(ETPT_TPRX_DDG!$D$5),"",IF(ISERROR(ETPT_TPRX!O10),"",IF(ETPT_TPRX!O10=0,"",ETPT_TPRX!O10)))</f>
      </c>
      <c r="P10" s="153">
        <f>IF(ISBLANK(ETPT_TPRX_DDG!$D$5),"",IF(ISERROR(ETPT_TPRX!P10),"",IF(ETPT_TPRX!P10=0,"",ETPT_TPRX!P10)))</f>
      </c>
      <c r="Q10" s="153">
        <f>IF(ISBLANK(ETPT_TPRX_DDG!$D$5),"",IF(ISERROR(ETPT_TPRX!Q10),"",IF(ETPT_TPRX!Q10=0,"",ETPT_TPRX!Q10)))</f>
      </c>
      <c r="R10" s="153">
        <f>IF(ISBLANK(ETPT_TPRX_DDG!$D$5),"",IF(ISERROR(ETPT_TPRX!R10),"",IF(ETPT_TPRX!R10=0,"",ETPT_TPRX!R10)))</f>
      </c>
      <c r="S10" s="146">
        <f t="shared" si="1"/>
        <v>0</v>
      </c>
      <c r="T10" s="153">
        <f>IF(ISBLANK(ETPT_TPRX_DDG!$D$5),"",IF(ISERROR(ETPT_TPRX!T10),"",IF(ETPT_TPRX!T10=0,"",ETPT_TPRX!T10)))</f>
      </c>
      <c r="U10" s="153">
        <f>IF(ISBLANK(ETPT_TPRX_DDG!$D$5),"",IF(ISERROR(ETPT_TPRX!U10),"",IF(ETPT_TPRX!U10=0,"",ETPT_TPRX!U10)))</f>
      </c>
      <c r="V10" s="153">
        <f>IF(ISBLANK(ETPT_TPRX_DDG!$D$5),"",IF(ISERROR(ETPT_TPRX!V10),"",IF(ETPT_TPRX!V10=0,"",ETPT_TPRX!V10)))</f>
      </c>
      <c r="W10" s="153">
        <f>IF(ISBLANK(ETPT_TPRX_DDG!$D$5),"",IF(ISERROR(ETPT_TPRX!W10),"",IF(ETPT_TPRX!W10=0,"",ETPT_TPRX!W10)))</f>
      </c>
      <c r="X10" s="153">
        <f>IF(ISBLANK(ETPT_TPRX_DDG!$D$5),"",IF(ISERROR(ETPT_TPRX!X10),"",IF(ETPT_TPRX!X10=0,"",ETPT_TPRX!X10)))</f>
      </c>
      <c r="Y10" s="153">
        <f>IF(ISBLANK(ETPT_TPRX_DDG!$D$5),"",IF(ISERROR(ETPT_TPRX!Y10),"",IF(ETPT_TPRX!Y10=0,"",ETPT_TPRX!Y10)))</f>
      </c>
      <c r="Z10" s="153">
        <f>IF(ISBLANK(ETPT_TPRX_DDG!$D$5),"",IF(ISERROR(ETPT_TPRX!Z10),"",IF(ETPT_TPRX!Z10=0,"",ETPT_TPRX!Z10)))</f>
      </c>
      <c r="AA10" s="153">
        <f>IF(ISBLANK(ETPT_TPRX_DDG!$D$5),"",IF(ISERROR(ETPT_TPRX!AA10),"",IF(ETPT_TPRX!AA10=0,"",ETPT_TPRX!AA10)))</f>
      </c>
      <c r="AB10" s="153">
        <f>IF(ISBLANK(ETPT_TPRX_DDG!$D$5),"",IF(ISERROR(ETPT_TPRX!AB10),"",IF(ETPT_TPRX!AB10=0,"",ETPT_TPRX!AB10)))</f>
      </c>
      <c r="AC10" s="146">
        <f t="shared" si="2"/>
        <v>0</v>
      </c>
      <c r="AD10" s="153">
        <f>IF(ISBLANK(ETPT_TPRX_DDG!$D$5),"",IF(ISERROR(ETPT_TPRX!AD10),"",IF(ETPT_TPRX!AD10=0,"",ETPT_TPRX!AD10)))</f>
      </c>
      <c r="AE10" s="153">
        <f>IF(ISBLANK(ETPT_TPRX_DDG!$D$5),"",IF(ISERROR(ETPT_TPRX!AE10),"",IF(ETPT_TPRX!AE10=0,"",ETPT_TPRX!AE10)))</f>
      </c>
      <c r="AF10" s="153">
        <f>IF(ISBLANK(ETPT_TPRX_DDG!$D$5),"",IF(ISERROR(ETPT_TPRX!AF10),"",IF(ETPT_TPRX!AF10=0,"",ETPT_TPRX!AF10)))</f>
      </c>
      <c r="AG10" s="146">
        <f t="shared" si="3"/>
        <v>0</v>
      </c>
    </row>
    <row r="11" spans="1:33" x14ac:dyDescent="0.25">
      <c r="A11" s="145" t="s">
        <v>2292</v>
      </c>
      <c r="B11" s="115"/>
      <c r="C11" s="115"/>
      <c r="D11" s="115">
        <f t="shared" si="4"/>
      </c>
      <c r="E11" s="115" t="s">
        <v>2235</v>
      </c>
      <c r="F11" s="207" t="s">
        <v>2236</v>
      </c>
      <c r="G11" s="153">
        <f>IF(ISBLANK(ETPT_TPRX_DDG!$D$5),"",IF(ISERROR(ETPT_TPRX!G11),"",IF(ETPT_TPRX!G11=0,"",ETPT_TPRX!G11)))</f>
      </c>
      <c r="H11" s="146">
        <f t="shared" si="0"/>
        <v>0</v>
      </c>
      <c r="I11" s="153">
        <f>IF(ISBLANK(ETPT_TPRX_DDG!$D$5),"",IF(ISERROR(ETPT_TPRX!I11),"",IF(ETPT_TPRX!I11=0,"",ETPT_TPRX!I11)))</f>
      </c>
      <c r="J11" s="153">
        <f>IF(ISBLANK(ETPT_TPRX_DDG!$D$5),"",IF(ISERROR(ETPT_TPRX!J11),"",IF(ETPT_TPRX!J11=0,"",ETPT_TPRX!J11)))</f>
      </c>
      <c r="K11" s="153">
        <f>IF(ISBLANK(ETPT_TPRX_DDG!$D$5),"",IF(ISERROR(ETPT_TPRX!K11),"",IF(ETPT_TPRX!K11=0,"",ETPT_TPRX!K11)))</f>
      </c>
      <c r="L11" s="153">
        <f>IF(ISBLANK(ETPT_TPRX_DDG!$D$5),"",IF(ISERROR(ETPT_TPRX!L11),"",IF(ETPT_TPRX!L11=0,"",ETPT_TPRX!L11)))</f>
      </c>
      <c r="M11" s="153">
        <f>IF(ISBLANK(ETPT_TPRX_DDG!$D$5),"",IF(ISERROR(ETPT_TPRX!M11),"",IF(ETPT_TPRX!M11=0,"",ETPT_TPRX!M11)))</f>
      </c>
      <c r="N11" s="153">
        <f>IF(ISBLANK(ETPT_TPRX_DDG!$D$5),"",IF(ISERROR(ETPT_TPRX!N11),"",IF(ETPT_TPRX!N11=0,"",ETPT_TPRX!N11)))</f>
      </c>
      <c r="O11" s="153">
        <f>IF(ISBLANK(ETPT_TPRX_DDG!$D$5),"",IF(ISERROR(ETPT_TPRX!O11),"",IF(ETPT_TPRX!O11=0,"",ETPT_TPRX!O11)))</f>
      </c>
      <c r="P11" s="153">
        <f>IF(ISBLANK(ETPT_TPRX_DDG!$D$5),"",IF(ISERROR(ETPT_TPRX!P11),"",IF(ETPT_TPRX!P11=0,"",ETPT_TPRX!P11)))</f>
      </c>
      <c r="Q11" s="153">
        <f>IF(ISBLANK(ETPT_TPRX_DDG!$D$5),"",IF(ISERROR(ETPT_TPRX!Q11),"",IF(ETPT_TPRX!Q11=0,"",ETPT_TPRX!Q11)))</f>
      </c>
      <c r="R11" s="153">
        <f>IF(ISBLANK(ETPT_TPRX_DDG!$D$5),"",IF(ISERROR(ETPT_TPRX!R11),"",IF(ETPT_TPRX!R11=0,"",ETPT_TPRX!R11)))</f>
      </c>
      <c r="S11" s="146">
        <f t="shared" si="1"/>
        <v>0</v>
      </c>
      <c r="T11" s="153">
        <f>IF(ISBLANK(ETPT_TPRX_DDG!$D$5),"",IF(ISERROR(ETPT_TPRX!T11),"",IF(ETPT_TPRX!T11=0,"",ETPT_TPRX!T11)))</f>
      </c>
      <c r="U11" s="153">
        <f>IF(ISBLANK(ETPT_TPRX_DDG!$D$5),"",IF(ISERROR(ETPT_TPRX!U11),"",IF(ETPT_TPRX!U11=0,"",ETPT_TPRX!U11)))</f>
      </c>
      <c r="V11" s="153">
        <f>IF(ISBLANK(ETPT_TPRX_DDG!$D$5),"",IF(ISERROR(ETPT_TPRX!V11),"",IF(ETPT_TPRX!V11=0,"",ETPT_TPRX!V11)))</f>
      </c>
      <c r="W11" s="153">
        <f>IF(ISBLANK(ETPT_TPRX_DDG!$D$5),"",IF(ISERROR(ETPT_TPRX!W11),"",IF(ETPT_TPRX!W11=0,"",ETPT_TPRX!W11)))</f>
      </c>
      <c r="X11" s="153">
        <f>IF(ISBLANK(ETPT_TPRX_DDG!$D$5),"",IF(ISERROR(ETPT_TPRX!X11),"",IF(ETPT_TPRX!X11=0,"",ETPT_TPRX!X11)))</f>
      </c>
      <c r="Y11" s="153">
        <f>IF(ISBLANK(ETPT_TPRX_DDG!$D$5),"",IF(ISERROR(ETPT_TPRX!Y11),"",IF(ETPT_TPRX!Y11=0,"",ETPT_TPRX!Y11)))</f>
      </c>
      <c r="Z11" s="153">
        <f>IF(ISBLANK(ETPT_TPRX_DDG!$D$5),"",IF(ISERROR(ETPT_TPRX!Z11),"",IF(ETPT_TPRX!Z11=0,"",ETPT_TPRX!Z11)))</f>
      </c>
      <c r="AA11" s="153">
        <f>IF(ISBLANK(ETPT_TPRX_DDG!$D$5),"",IF(ISERROR(ETPT_TPRX!AA11),"",IF(ETPT_TPRX!AA11=0,"",ETPT_TPRX!AA11)))</f>
      </c>
      <c r="AB11" s="153">
        <f>IF(ISBLANK(ETPT_TPRX_DDG!$D$5),"",IF(ISERROR(ETPT_TPRX!AB11),"",IF(ETPT_TPRX!AB11=0,"",ETPT_TPRX!AB11)))</f>
      </c>
      <c r="AC11" s="146">
        <f t="shared" si="2"/>
        <v>0</v>
      </c>
      <c r="AD11" s="153">
        <f>IF(ISBLANK(ETPT_TPRX_DDG!$D$5),"",IF(ISERROR(ETPT_TPRX!AD11),"",IF(ETPT_TPRX!AD11=0,"",ETPT_TPRX!AD11)))</f>
      </c>
      <c r="AE11" s="153">
        <f>IF(ISBLANK(ETPT_TPRX_DDG!$D$5),"",IF(ISERROR(ETPT_TPRX!AE11),"",IF(ETPT_TPRX!AE11=0,"",ETPT_TPRX!AE11)))</f>
      </c>
      <c r="AF11" s="153">
        <f>IF(ISBLANK(ETPT_TPRX_DDG!$D$5),"",IF(ISERROR(ETPT_TPRX!AF11),"",IF(ETPT_TPRX!AF11=0,"",ETPT_TPRX!AF11)))</f>
      </c>
      <c r="AG11" s="146">
        <f t="shared" si="3"/>
        <v>0</v>
      </c>
    </row>
    <row r="12" spans="1:33" x14ac:dyDescent="0.25">
      <c r="A12" s="145" t="s">
        <v>2292</v>
      </c>
      <c r="B12" s="115"/>
      <c r="C12" s="115"/>
      <c r="D12" s="115">
        <f t="shared" si="4"/>
      </c>
      <c r="E12" s="115" t="s">
        <v>2237</v>
      </c>
      <c r="F12" s="207" t="s">
        <v>2238</v>
      </c>
      <c r="G12" s="153">
        <f>IF(ISBLANK(ETPT_TPRX_DDG!$D$5),"",IF(ISERROR(ETPT_TPRX!G12),"",IF(ETPT_TPRX!G12=0,"",ETPT_TPRX!G12)))</f>
      </c>
      <c r="H12" s="146">
        <f t="shared" si="0"/>
        <v>0</v>
      </c>
      <c r="I12" s="153">
        <f>IF(ISBLANK(ETPT_TPRX_DDG!$D$5),"",IF(ISERROR(ETPT_TPRX!I12),"",IF(ETPT_TPRX!I12=0,"",ETPT_TPRX!I12)))</f>
      </c>
      <c r="J12" s="153">
        <f>IF(ISBLANK(ETPT_TPRX_DDG!$D$5),"",IF(ISERROR(ETPT_TPRX!J12),"",IF(ETPT_TPRX!J12=0,"",ETPT_TPRX!J12)))</f>
      </c>
      <c r="K12" s="153">
        <f>IF(ISBLANK(ETPT_TPRX_DDG!$D$5),"",IF(ISERROR(ETPT_TPRX!K12),"",IF(ETPT_TPRX!K12=0,"",ETPT_TPRX!K12)))</f>
      </c>
      <c r="L12" s="153">
        <f>IF(ISBLANK(ETPT_TPRX_DDG!$D$5),"",IF(ISERROR(ETPT_TPRX!L12),"",IF(ETPT_TPRX!L12=0,"",ETPT_TPRX!L12)))</f>
      </c>
      <c r="M12" s="153">
        <f>IF(ISBLANK(ETPT_TPRX_DDG!$D$5),"",IF(ISERROR(ETPT_TPRX!M12),"",IF(ETPT_TPRX!M12=0,"",ETPT_TPRX!M12)))</f>
      </c>
      <c r="N12" s="153">
        <f>IF(ISBLANK(ETPT_TPRX_DDG!$D$5),"",IF(ISERROR(ETPT_TPRX!N12),"",IF(ETPT_TPRX!N12=0,"",ETPT_TPRX!N12)))</f>
      </c>
      <c r="O12" s="153">
        <f>IF(ISBLANK(ETPT_TPRX_DDG!$D$5),"",IF(ISERROR(ETPT_TPRX!O12),"",IF(ETPT_TPRX!O12=0,"",ETPT_TPRX!O12)))</f>
      </c>
      <c r="P12" s="153">
        <f>IF(ISBLANK(ETPT_TPRX_DDG!$D$5),"",IF(ISERROR(ETPT_TPRX!P12),"",IF(ETPT_TPRX!P12=0,"",ETPT_TPRX!P12)))</f>
      </c>
      <c r="Q12" s="153">
        <f>IF(ISBLANK(ETPT_TPRX_DDG!$D$5),"",IF(ISERROR(ETPT_TPRX!Q12),"",IF(ETPT_TPRX!Q12=0,"",ETPT_TPRX!Q12)))</f>
      </c>
      <c r="R12" s="153">
        <f>IF(ISBLANK(ETPT_TPRX_DDG!$D$5),"",IF(ISERROR(ETPT_TPRX!R12),"",IF(ETPT_TPRX!R12=0,"",ETPT_TPRX!R12)))</f>
      </c>
      <c r="S12" s="146">
        <f t="shared" si="1"/>
        <v>0</v>
      </c>
      <c r="T12" s="153">
        <f>IF(ISBLANK(ETPT_TPRX_DDG!$D$5),"",IF(ISERROR(ETPT_TPRX!T12),"",IF(ETPT_TPRX!T12=0,"",ETPT_TPRX!T12)))</f>
      </c>
      <c r="U12" s="153">
        <f>IF(ISBLANK(ETPT_TPRX_DDG!$D$5),"",IF(ISERROR(ETPT_TPRX!U12),"",IF(ETPT_TPRX!U12=0,"",ETPT_TPRX!U12)))</f>
      </c>
      <c r="V12" s="153">
        <f>IF(ISBLANK(ETPT_TPRX_DDG!$D$5),"",IF(ISERROR(ETPT_TPRX!V12),"",IF(ETPT_TPRX!V12=0,"",ETPT_TPRX!V12)))</f>
      </c>
      <c r="W12" s="153">
        <f>IF(ISBLANK(ETPT_TPRX_DDG!$D$5),"",IF(ISERROR(ETPT_TPRX!W12),"",IF(ETPT_TPRX!W12=0,"",ETPT_TPRX!W12)))</f>
      </c>
      <c r="X12" s="153">
        <f>IF(ISBLANK(ETPT_TPRX_DDG!$D$5),"",IF(ISERROR(ETPT_TPRX!X12),"",IF(ETPT_TPRX!X12=0,"",ETPT_TPRX!X12)))</f>
      </c>
      <c r="Y12" s="153">
        <f>IF(ISBLANK(ETPT_TPRX_DDG!$D$5),"",IF(ISERROR(ETPT_TPRX!Y12),"",IF(ETPT_TPRX!Y12=0,"",ETPT_TPRX!Y12)))</f>
      </c>
      <c r="Z12" s="153">
        <f>IF(ISBLANK(ETPT_TPRX_DDG!$D$5),"",IF(ISERROR(ETPT_TPRX!Z12),"",IF(ETPT_TPRX!Z12=0,"",ETPT_TPRX!Z12)))</f>
      </c>
      <c r="AA12" s="153">
        <f>IF(ISBLANK(ETPT_TPRX_DDG!$D$5),"",IF(ISERROR(ETPT_TPRX!AA12),"",IF(ETPT_TPRX!AA12=0,"",ETPT_TPRX!AA12)))</f>
      </c>
      <c r="AB12" s="153">
        <f>IF(ISBLANK(ETPT_TPRX_DDG!$D$5),"",IF(ISERROR(ETPT_TPRX!AB12),"",IF(ETPT_TPRX!AB12=0,"",ETPT_TPRX!AB12)))</f>
      </c>
      <c r="AC12" s="146">
        <f t="shared" si="2"/>
        <v>0</v>
      </c>
      <c r="AD12" s="153">
        <f>IF(ISBLANK(ETPT_TPRX_DDG!$D$5),"",IF(ISERROR(ETPT_TPRX!AD12),"",IF(ETPT_TPRX!AD12=0,"",ETPT_TPRX!AD12)))</f>
      </c>
      <c r="AE12" s="153">
        <f>IF(ISBLANK(ETPT_TPRX_DDG!$D$5),"",IF(ISERROR(ETPT_TPRX!AE12),"",IF(ETPT_TPRX!AE12=0,"",ETPT_TPRX!AE12)))</f>
      </c>
      <c r="AF12" s="153">
        <f>IF(ISBLANK(ETPT_TPRX_DDG!$D$5),"",IF(ISERROR(ETPT_TPRX!AF12),"",IF(ETPT_TPRX!AF12=0,"",ETPT_TPRX!AF12)))</f>
      </c>
      <c r="AG12" s="146">
        <f t="shared" si="3"/>
        <v>0</v>
      </c>
    </row>
    <row r="13" spans="1:33" x14ac:dyDescent="0.25">
      <c r="A13" s="145" t="s">
        <v>2292</v>
      </c>
      <c r="B13" s="115"/>
      <c r="C13" s="115"/>
      <c r="D13" s="115">
        <f t="shared" si="4"/>
      </c>
      <c r="E13" s="115" t="s">
        <v>2239</v>
      </c>
      <c r="F13" s="207" t="s">
        <v>2240</v>
      </c>
      <c r="G13" s="153">
        <f>IF(ISBLANK(ETPT_TPRX_DDG!$D$5),"",IF(ISERROR(ETPT_TPRX!G13),"",IF(ETPT_TPRX!G13=0,"",ETPT_TPRX!G13)))</f>
      </c>
      <c r="H13" s="146">
        <f t="shared" si="0"/>
        <v>0</v>
      </c>
      <c r="I13" s="153">
        <f>IF(ISBLANK(ETPT_TPRX_DDG!$D$5),"",IF(ISERROR(ETPT_TPRX!I13),"",IF(ETPT_TPRX!I13=0,"",ETPT_TPRX!I13)))</f>
      </c>
      <c r="J13" s="153">
        <f>IF(ISBLANK(ETPT_TPRX_DDG!$D$5),"",IF(ISERROR(ETPT_TPRX!J13),"",IF(ETPT_TPRX!J13=0,"",ETPT_TPRX!J13)))</f>
      </c>
      <c r="K13" s="153">
        <f>IF(ISBLANK(ETPT_TPRX_DDG!$D$5),"",IF(ISERROR(ETPT_TPRX!K13),"",IF(ETPT_TPRX!K13=0,"",ETPT_TPRX!K13)))</f>
      </c>
      <c r="L13" s="153">
        <f>IF(ISBLANK(ETPT_TPRX_DDG!$D$5),"",IF(ISERROR(ETPT_TPRX!L13),"",IF(ETPT_TPRX!L13=0,"",ETPT_TPRX!L13)))</f>
      </c>
      <c r="M13" s="153">
        <f>IF(ISBLANK(ETPT_TPRX_DDG!$D$5),"",IF(ISERROR(ETPT_TPRX!M13),"",IF(ETPT_TPRX!M13=0,"",ETPT_TPRX!M13)))</f>
      </c>
      <c r="N13" s="153">
        <f>IF(ISBLANK(ETPT_TPRX_DDG!$D$5),"",IF(ISERROR(ETPT_TPRX!N13),"",IF(ETPT_TPRX!N13=0,"",ETPT_TPRX!N13)))</f>
      </c>
      <c r="O13" s="153">
        <f>IF(ISBLANK(ETPT_TPRX_DDG!$D$5),"",IF(ISERROR(ETPT_TPRX!O13),"",IF(ETPT_TPRX!O13=0,"",ETPT_TPRX!O13)))</f>
      </c>
      <c r="P13" s="153">
        <f>IF(ISBLANK(ETPT_TPRX_DDG!$D$5),"",IF(ISERROR(ETPT_TPRX!P13),"",IF(ETPT_TPRX!P13=0,"",ETPT_TPRX!P13)))</f>
      </c>
      <c r="Q13" s="153">
        <f>IF(ISBLANK(ETPT_TPRX_DDG!$D$5),"",IF(ISERROR(ETPT_TPRX!Q13),"",IF(ETPT_TPRX!Q13=0,"",ETPT_TPRX!Q13)))</f>
      </c>
      <c r="R13" s="153">
        <f>IF(ISBLANK(ETPT_TPRX_DDG!$D$5),"",IF(ISERROR(ETPT_TPRX!R13),"",IF(ETPT_TPRX!R13=0,"",ETPT_TPRX!R13)))</f>
      </c>
      <c r="S13" s="146">
        <f t="shared" si="1"/>
        <v>0</v>
      </c>
      <c r="T13" s="153">
        <f>IF(ISBLANK(ETPT_TPRX_DDG!$D$5),"",IF(ISERROR(ETPT_TPRX!T13),"",IF(ETPT_TPRX!T13=0,"",ETPT_TPRX!T13)))</f>
      </c>
      <c r="U13" s="153">
        <f>IF(ISBLANK(ETPT_TPRX_DDG!$D$5),"",IF(ISERROR(ETPT_TPRX!U13),"",IF(ETPT_TPRX!U13=0,"",ETPT_TPRX!U13)))</f>
      </c>
      <c r="V13" s="153">
        <f>IF(ISBLANK(ETPT_TPRX_DDG!$D$5),"",IF(ISERROR(ETPT_TPRX!V13),"",IF(ETPT_TPRX!V13=0,"",ETPT_TPRX!V13)))</f>
      </c>
      <c r="W13" s="153">
        <f>IF(ISBLANK(ETPT_TPRX_DDG!$D$5),"",IF(ISERROR(ETPT_TPRX!W13),"",IF(ETPT_TPRX!W13=0,"",ETPT_TPRX!W13)))</f>
      </c>
      <c r="X13" s="153">
        <f>IF(ISBLANK(ETPT_TPRX_DDG!$D$5),"",IF(ISERROR(ETPT_TPRX!X13),"",IF(ETPT_TPRX!X13=0,"",ETPT_TPRX!X13)))</f>
      </c>
      <c r="Y13" s="153">
        <f>IF(ISBLANK(ETPT_TPRX_DDG!$D$5),"",IF(ISERROR(ETPT_TPRX!Y13),"",IF(ETPT_TPRX!Y13=0,"",ETPT_TPRX!Y13)))</f>
      </c>
      <c r="Z13" s="153">
        <f>IF(ISBLANK(ETPT_TPRX_DDG!$D$5),"",IF(ISERROR(ETPT_TPRX!Z13),"",IF(ETPT_TPRX!Z13=0,"",ETPT_TPRX!Z13)))</f>
      </c>
      <c r="AA13" s="153">
        <f>IF(ISBLANK(ETPT_TPRX_DDG!$D$5),"",IF(ISERROR(ETPT_TPRX!AA13),"",IF(ETPT_TPRX!AA13=0,"",ETPT_TPRX!AA13)))</f>
      </c>
      <c r="AB13" s="153">
        <f>IF(ISBLANK(ETPT_TPRX_DDG!$D$5),"",IF(ISERROR(ETPT_TPRX!AB13),"",IF(ETPT_TPRX!AB13=0,"",ETPT_TPRX!AB13)))</f>
      </c>
      <c r="AC13" s="146">
        <f t="shared" si="2"/>
        <v>0</v>
      </c>
      <c r="AD13" s="153">
        <f>IF(ISBLANK(ETPT_TPRX_DDG!$D$5),"",IF(ISERROR(ETPT_TPRX!AD13),"",IF(ETPT_TPRX!AD13=0,"",ETPT_TPRX!AD13)))</f>
      </c>
      <c r="AE13" s="153">
        <f>IF(ISBLANK(ETPT_TPRX_DDG!$D$5),"",IF(ISERROR(ETPT_TPRX!AE13),"",IF(ETPT_TPRX!AE13=0,"",ETPT_TPRX!AE13)))</f>
      </c>
      <c r="AF13" s="153">
        <f>IF(ISBLANK(ETPT_TPRX_DDG!$D$5),"",IF(ISERROR(ETPT_TPRX!AF13),"",IF(ETPT_TPRX!AF13=0,"",ETPT_TPRX!AF13)))</f>
      </c>
      <c r="AG13" s="146">
        <f t="shared" si="3"/>
        <v>0</v>
      </c>
    </row>
    <row r="14" spans="1:33" x14ac:dyDescent="0.25">
      <c r="A14" s="145" t="s">
        <v>2292</v>
      </c>
      <c r="B14" s="115"/>
      <c r="C14" s="115"/>
      <c r="D14" s="115">
        <f t="shared" si="4"/>
      </c>
      <c r="E14" s="115" t="s">
        <v>2241</v>
      </c>
      <c r="F14" s="207" t="s">
        <v>2242</v>
      </c>
      <c r="G14" s="153">
        <f>IF(ISBLANK(ETPT_TPRX_DDG!$D$5),"",IF(ISERROR(ETPT_TPRX!G14),"",IF(ETPT_TPRX!G14=0,"",ETPT_TPRX!G14)))</f>
      </c>
      <c r="H14" s="146">
        <f t="shared" si="0"/>
        <v>0</v>
      </c>
      <c r="I14" s="153">
        <f>IF(ISBLANK(ETPT_TPRX_DDG!$D$5),"",IF(ISERROR(ETPT_TPRX!I14),"",IF(ETPT_TPRX!I14=0,"",ETPT_TPRX!I14)))</f>
      </c>
      <c r="J14" s="153">
        <f>IF(ISBLANK(ETPT_TPRX_DDG!$D$5),"",IF(ISERROR(ETPT_TPRX!J14),"",IF(ETPT_TPRX!J14=0,"",ETPT_TPRX!J14)))</f>
      </c>
      <c r="K14" s="153">
        <f>IF(ISBLANK(ETPT_TPRX_DDG!$D$5),"",IF(ISERROR(ETPT_TPRX!K14),"",IF(ETPT_TPRX!K14=0,"",ETPT_TPRX!K14)))</f>
      </c>
      <c r="L14" s="153">
        <f>IF(ISBLANK(ETPT_TPRX_DDG!$D$5),"",IF(ISERROR(ETPT_TPRX!L14),"",IF(ETPT_TPRX!L14=0,"",ETPT_TPRX!L14)))</f>
      </c>
      <c r="M14" s="153">
        <f>IF(ISBLANK(ETPT_TPRX_DDG!$D$5),"",IF(ISERROR(ETPT_TPRX!M14),"",IF(ETPT_TPRX!M14=0,"",ETPT_TPRX!M14)))</f>
      </c>
      <c r="N14" s="153">
        <f>IF(ISBLANK(ETPT_TPRX_DDG!$D$5),"",IF(ISERROR(ETPT_TPRX!N14),"",IF(ETPT_TPRX!N14=0,"",ETPT_TPRX!N14)))</f>
      </c>
      <c r="O14" s="153">
        <f>IF(ISBLANK(ETPT_TPRX_DDG!$D$5),"",IF(ISERROR(ETPT_TPRX!O14),"",IF(ETPT_TPRX!O14=0,"",ETPT_TPRX!O14)))</f>
      </c>
      <c r="P14" s="153">
        <f>IF(ISBLANK(ETPT_TPRX_DDG!$D$5),"",IF(ISERROR(ETPT_TPRX!P14),"",IF(ETPT_TPRX!P14=0,"",ETPT_TPRX!P14)))</f>
      </c>
      <c r="Q14" s="153">
        <f>IF(ISBLANK(ETPT_TPRX_DDG!$D$5),"",IF(ISERROR(ETPT_TPRX!Q14),"",IF(ETPT_TPRX!Q14=0,"",ETPT_TPRX!Q14)))</f>
      </c>
      <c r="R14" s="153">
        <f>IF(ISBLANK(ETPT_TPRX_DDG!$D$5),"",IF(ISERROR(ETPT_TPRX!R14),"",IF(ETPT_TPRX!R14=0,"",ETPT_TPRX!R14)))</f>
      </c>
      <c r="S14" s="146">
        <f t="shared" si="1"/>
        <v>0</v>
      </c>
      <c r="T14" s="153">
        <f>IF(ISBLANK(ETPT_TPRX_DDG!$D$5),"",IF(ISERROR(ETPT_TPRX!T14),"",IF(ETPT_TPRX!T14=0,"",ETPT_TPRX!T14)))</f>
      </c>
      <c r="U14" s="153">
        <f>IF(ISBLANK(ETPT_TPRX_DDG!$D$5),"",IF(ISERROR(ETPT_TPRX!U14),"",IF(ETPT_TPRX!U14=0,"",ETPT_TPRX!U14)))</f>
      </c>
      <c r="V14" s="153">
        <f>IF(ISBLANK(ETPT_TPRX_DDG!$D$5),"",IF(ISERROR(ETPT_TPRX!V14),"",IF(ETPT_TPRX!V14=0,"",ETPT_TPRX!V14)))</f>
      </c>
      <c r="W14" s="153">
        <f>IF(ISBLANK(ETPT_TPRX_DDG!$D$5),"",IF(ISERROR(ETPT_TPRX!W14),"",IF(ETPT_TPRX!W14=0,"",ETPT_TPRX!W14)))</f>
      </c>
      <c r="X14" s="153">
        <f>IF(ISBLANK(ETPT_TPRX_DDG!$D$5),"",IF(ISERROR(ETPT_TPRX!X14),"",IF(ETPT_TPRX!X14=0,"",ETPT_TPRX!X14)))</f>
      </c>
      <c r="Y14" s="153">
        <f>IF(ISBLANK(ETPT_TPRX_DDG!$D$5),"",IF(ISERROR(ETPT_TPRX!Y14),"",IF(ETPT_TPRX!Y14=0,"",ETPT_TPRX!Y14)))</f>
      </c>
      <c r="Z14" s="153">
        <f>IF(ISBLANK(ETPT_TPRX_DDG!$D$5),"",IF(ISERROR(ETPT_TPRX!Z14),"",IF(ETPT_TPRX!Z14=0,"",ETPT_TPRX!Z14)))</f>
      </c>
      <c r="AA14" s="153">
        <f>IF(ISBLANK(ETPT_TPRX_DDG!$D$5),"",IF(ISERROR(ETPT_TPRX!AA14),"",IF(ETPT_TPRX!AA14=0,"",ETPT_TPRX!AA14)))</f>
      </c>
      <c r="AB14" s="153">
        <f>IF(ISBLANK(ETPT_TPRX_DDG!$D$5),"",IF(ISERROR(ETPT_TPRX!AB14),"",IF(ETPT_TPRX!AB14=0,"",ETPT_TPRX!AB14)))</f>
      </c>
      <c r="AC14" s="146">
        <f t="shared" si="2"/>
        <v>0</v>
      </c>
      <c r="AD14" s="153">
        <f>IF(ISBLANK(ETPT_TPRX_DDG!$D$5),"",IF(ISERROR(ETPT_TPRX!AD14),"",IF(ETPT_TPRX!AD14=0,"",ETPT_TPRX!AD14)))</f>
      </c>
      <c r="AE14" s="153">
        <f>IF(ISBLANK(ETPT_TPRX_DDG!$D$5),"",IF(ISERROR(ETPT_TPRX!AE14),"",IF(ETPT_TPRX!AE14=0,"",ETPT_TPRX!AE14)))</f>
      </c>
      <c r="AF14" s="153">
        <f>IF(ISBLANK(ETPT_TPRX_DDG!$D$5),"",IF(ISERROR(ETPT_TPRX!AF14),"",IF(ETPT_TPRX!AF14=0,"",ETPT_TPRX!AF14)))</f>
      </c>
      <c r="AG14" s="146">
        <f t="shared" si="3"/>
        <v>0</v>
      </c>
    </row>
    <row r="15" spans="1:33" x14ac:dyDescent="0.25">
      <c r="A15" s="145" t="s">
        <v>2292</v>
      </c>
      <c r="B15" s="115"/>
      <c r="C15" s="115"/>
      <c r="D15" s="115">
        <f t="shared" si="4"/>
      </c>
      <c r="E15" s="115" t="s">
        <v>2243</v>
      </c>
      <c r="F15" s="207" t="s">
        <v>2244</v>
      </c>
      <c r="G15" s="153">
        <f>IF(ISBLANK(ETPT_TPRX_DDG!$D$5),"",IF(ISERROR(ETPT_TPRX!G15),"",IF(ETPT_TPRX!G15=0,"",ETPT_TPRX!G15)))</f>
      </c>
      <c r="H15" s="146">
        <f t="shared" si="0"/>
        <v>0</v>
      </c>
      <c r="I15" s="153">
        <f>IF(ISBLANK(ETPT_TPRX_DDG!$D$5),"",IF(ISERROR(ETPT_TPRX!I15),"",IF(ETPT_TPRX!I15=0,"",ETPT_TPRX!I15)))</f>
      </c>
      <c r="J15" s="153">
        <f>IF(ISBLANK(ETPT_TPRX_DDG!$D$5),"",IF(ISERROR(ETPT_TPRX!J15),"",IF(ETPT_TPRX!J15=0,"",ETPT_TPRX!J15)))</f>
      </c>
      <c r="K15" s="153">
        <f>IF(ISBLANK(ETPT_TPRX_DDG!$D$5),"",IF(ISERROR(ETPT_TPRX!K15),"",IF(ETPT_TPRX!K15=0,"",ETPT_TPRX!K15)))</f>
      </c>
      <c r="L15" s="153">
        <f>IF(ISBLANK(ETPT_TPRX_DDG!$D$5),"",IF(ISERROR(ETPT_TPRX!L15),"",IF(ETPT_TPRX!L15=0,"",ETPT_TPRX!L15)))</f>
      </c>
      <c r="M15" s="153">
        <f>IF(ISBLANK(ETPT_TPRX_DDG!$D$5),"",IF(ISERROR(ETPT_TPRX!M15),"",IF(ETPT_TPRX!M15=0,"",ETPT_TPRX!M15)))</f>
      </c>
      <c r="N15" s="153">
        <f>IF(ISBLANK(ETPT_TPRX_DDG!$D$5),"",IF(ISERROR(ETPT_TPRX!N15),"",IF(ETPT_TPRX!N15=0,"",ETPT_TPRX!N15)))</f>
      </c>
      <c r="O15" s="153">
        <f>IF(ISBLANK(ETPT_TPRX_DDG!$D$5),"",IF(ISERROR(ETPT_TPRX!O15),"",IF(ETPT_TPRX!O15=0,"",ETPT_TPRX!O15)))</f>
      </c>
      <c r="P15" s="153">
        <f>IF(ISBLANK(ETPT_TPRX_DDG!$D$5),"",IF(ISERROR(ETPT_TPRX!P15),"",IF(ETPT_TPRX!P15=0,"",ETPT_TPRX!P15)))</f>
      </c>
      <c r="Q15" s="153">
        <f>IF(ISBLANK(ETPT_TPRX_DDG!$D$5),"",IF(ISERROR(ETPT_TPRX!Q15),"",IF(ETPT_TPRX!Q15=0,"",ETPT_TPRX!Q15)))</f>
      </c>
      <c r="R15" s="153">
        <f>IF(ISBLANK(ETPT_TPRX_DDG!$D$5),"",IF(ISERROR(ETPT_TPRX!R15),"",IF(ETPT_TPRX!R15=0,"",ETPT_TPRX!R15)))</f>
      </c>
      <c r="S15" s="146">
        <f t="shared" si="1"/>
        <v>0</v>
      </c>
      <c r="T15" s="153">
        <f>IF(ISBLANK(ETPT_TPRX_DDG!$D$5),"",IF(ISERROR(ETPT_TPRX!T15),"",IF(ETPT_TPRX!T15=0,"",ETPT_TPRX!T15)))</f>
      </c>
      <c r="U15" s="153">
        <f>IF(ISBLANK(ETPT_TPRX_DDG!$D$5),"",IF(ISERROR(ETPT_TPRX!U15),"",IF(ETPT_TPRX!U15=0,"",ETPT_TPRX!U15)))</f>
      </c>
      <c r="V15" s="153">
        <f>IF(ISBLANK(ETPT_TPRX_DDG!$D$5),"",IF(ISERROR(ETPT_TPRX!V15),"",IF(ETPT_TPRX!V15=0,"",ETPT_TPRX!V15)))</f>
      </c>
      <c r="W15" s="153">
        <f>IF(ISBLANK(ETPT_TPRX_DDG!$D$5),"",IF(ISERROR(ETPT_TPRX!W15),"",IF(ETPT_TPRX!W15=0,"",ETPT_TPRX!W15)))</f>
      </c>
      <c r="X15" s="153">
        <f>IF(ISBLANK(ETPT_TPRX_DDG!$D$5),"",IF(ISERROR(ETPT_TPRX!X15),"",IF(ETPT_TPRX!X15=0,"",ETPT_TPRX!X15)))</f>
      </c>
      <c r="Y15" s="153">
        <f>IF(ISBLANK(ETPT_TPRX_DDG!$D$5),"",IF(ISERROR(ETPT_TPRX!Y15),"",IF(ETPT_TPRX!Y15=0,"",ETPT_TPRX!Y15)))</f>
      </c>
      <c r="Z15" s="153">
        <f>IF(ISBLANK(ETPT_TPRX_DDG!$D$5),"",IF(ISERROR(ETPT_TPRX!Z15),"",IF(ETPT_TPRX!Z15=0,"",ETPT_TPRX!Z15)))</f>
      </c>
      <c r="AA15" s="153">
        <f>IF(ISBLANK(ETPT_TPRX_DDG!$D$5),"",IF(ISERROR(ETPT_TPRX!AA15),"",IF(ETPT_TPRX!AA15=0,"",ETPT_TPRX!AA15)))</f>
      </c>
      <c r="AB15" s="153">
        <f>IF(ISBLANK(ETPT_TPRX_DDG!$D$5),"",IF(ISERROR(ETPT_TPRX!AB15),"",IF(ETPT_TPRX!AB15=0,"",ETPT_TPRX!AB15)))</f>
      </c>
      <c r="AC15" s="146">
        <f t="shared" si="2"/>
        <v>0</v>
      </c>
      <c r="AD15" s="153">
        <f>IF(ISBLANK(ETPT_TPRX_DDG!$D$5),"",IF(ISERROR(ETPT_TPRX!AD15),"",IF(ETPT_TPRX!AD15=0,"",ETPT_TPRX!AD15)))</f>
      </c>
      <c r="AE15" s="153">
        <f>IF(ISBLANK(ETPT_TPRX_DDG!$D$5),"",IF(ISERROR(ETPT_TPRX!AE15),"",IF(ETPT_TPRX!AE15=0,"",ETPT_TPRX!AE15)))</f>
      </c>
      <c r="AF15" s="153">
        <f>IF(ISBLANK(ETPT_TPRX_DDG!$D$5),"",IF(ISERROR(ETPT_TPRX!AF15),"",IF(ETPT_TPRX!AF15=0,"",ETPT_TPRX!AF15)))</f>
      </c>
      <c r="AG15" s="146">
        <f t="shared" si="3"/>
        <v>0</v>
      </c>
    </row>
    <row r="16" spans="1:33" x14ac:dyDescent="0.25">
      <c r="A16" s="145"/>
      <c r="B16" s="155"/>
      <c r="C16" s="155"/>
      <c r="D16" s="155"/>
      <c r="E16" s="155"/>
      <c r="F16" s="208" t="s">
        <v>2245</v>
      </c>
      <c r="G16" s="109">
        <f t="shared" ref="G16:AG16" si="5">SUM(G5:G15)</f>
        <v>0</v>
      </c>
      <c r="H16" s="109">
        <f t="shared" si="5"/>
        <v>0</v>
      </c>
      <c r="I16" s="109">
        <f t="shared" si="5"/>
        <v>0</v>
      </c>
      <c r="J16" s="109">
        <f t="shared" si="5"/>
        <v>0</v>
      </c>
      <c r="K16" s="109">
        <f t="shared" si="5"/>
        <v>0</v>
      </c>
      <c r="L16" s="109">
        <f t="shared" si="5"/>
        <v>0</v>
      </c>
      <c r="M16" s="109">
        <f t="shared" si="5"/>
        <v>0</v>
      </c>
      <c r="N16" s="109">
        <f t="shared" si="5"/>
        <v>0</v>
      </c>
      <c r="O16" s="109">
        <f t="shared" si="5"/>
        <v>0</v>
      </c>
      <c r="P16" s="109">
        <f t="shared" si="5"/>
        <v>0</v>
      </c>
      <c r="Q16" s="109">
        <f t="shared" si="5"/>
        <v>0</v>
      </c>
      <c r="R16" s="109">
        <f t="shared" si="5"/>
        <v>0</v>
      </c>
      <c r="S16" s="109">
        <f t="shared" si="5"/>
        <v>0</v>
      </c>
      <c r="T16" s="109">
        <f t="shared" si="5"/>
        <v>0</v>
      </c>
      <c r="U16" s="109">
        <f t="shared" si="5"/>
        <v>0</v>
      </c>
      <c r="V16" s="109">
        <f t="shared" si="5"/>
        <v>0</v>
      </c>
      <c r="W16" s="109">
        <f t="shared" si="5"/>
        <v>0</v>
      </c>
      <c r="X16" s="109">
        <f t="shared" si="5"/>
        <v>0</v>
      </c>
      <c r="Y16" s="109">
        <f t="shared" si="5"/>
        <v>0</v>
      </c>
      <c r="Z16" s="109">
        <f t="shared" si="5"/>
        <v>0</v>
      </c>
      <c r="AA16" s="109">
        <f t="shared" si="5"/>
        <v>0</v>
      </c>
      <c r="AB16" s="109">
        <f t="shared" si="5"/>
        <v>0</v>
      </c>
      <c r="AC16" s="109">
        <f t="shared" si="5"/>
        <v>0</v>
      </c>
      <c r="AD16" s="109">
        <f t="shared" si="5"/>
        <v>0</v>
      </c>
      <c r="AE16" s="109">
        <f t="shared" si="5"/>
        <v>0</v>
      </c>
      <c r="AF16" s="109">
        <f t="shared" si="5"/>
        <v>0</v>
      </c>
      <c r="AG16" s="109">
        <f t="shared" si="5"/>
        <v>0</v>
      </c>
    </row>
    <row r="17" spans="4:33" x14ac:dyDescent="0.25">
      <c r="D17" s="192"/>
      <c r="E17" s="192"/>
      <c r="F17" s="192"/>
      <c r="G17" s="192"/>
      <c r="H17" s="192"/>
      <c r="I17" s="192"/>
      <c r="J17" s="192"/>
      <c r="K17" s="192"/>
      <c r="L17" s="192"/>
      <c r="M17" s="192"/>
      <c r="N17" s="192"/>
      <c r="O17" s="192"/>
      <c r="P17" s="192"/>
      <c r="Q17" s="192"/>
      <c r="R17" s="192"/>
      <c r="S17" s="196"/>
      <c r="T17" s="192"/>
      <c r="U17" s="192"/>
      <c r="V17" s="192"/>
      <c r="W17" s="192"/>
      <c r="X17" s="192"/>
      <c r="Y17" s="192"/>
      <c r="Z17" s="192"/>
      <c r="AA17" s="192"/>
      <c r="AB17" s="192"/>
      <c r="AC17" s="192"/>
      <c r="AD17" s="192"/>
      <c r="AE17" s="192"/>
      <c r="AF17" s="192"/>
      <c r="AG17" s="192"/>
    </row>
    <row r="18" ht="24" customHeight="1" spans="4:33" x14ac:dyDescent="0.25">
      <c r="D18" s="209"/>
      <c r="E18" s="210"/>
      <c r="F18" s="198" t="s">
        <v>2247</v>
      </c>
      <c r="G18" s="199">
        <f>IF(ISBLANK(ETPT_TPRX_DDG!$D$5),"",IF(ISERROR(ETPT_TPRX!G18),"",IF(ETPT_TPRX!G18=0,"",ETPT_TPRX!G18)))</f>
      </c>
      <c r="H18" s="210"/>
      <c r="I18" s="210"/>
      <c r="J18" s="210"/>
      <c r="K18" s="210"/>
      <c r="L18" s="192"/>
      <c r="M18" s="192"/>
      <c r="N18" s="192"/>
      <c r="O18" s="192"/>
      <c r="P18" s="192"/>
      <c r="Q18" s="200" t="s">
        <v>2248</v>
      </c>
      <c r="R18" s="199">
        <f>IF(ISBLANK(ETPT_TPRX_DDG!$D$5),"",IF(ISERROR(ETPT_TPRX!R18),"",IF(ETPT_TPRX!R18=0,"",ETPT_TPRX!R18)))</f>
      </c>
      <c r="S18" s="192"/>
      <c r="T18" s="192"/>
      <c r="U18" s="192"/>
      <c r="V18" s="192"/>
      <c r="W18" s="192"/>
      <c r="X18" s="192"/>
      <c r="Y18" s="192"/>
      <c r="Z18" s="192"/>
      <c r="AA18" s="192"/>
      <c r="AB18" s="192"/>
      <c r="AC18" s="192"/>
      <c r="AD18" s="210"/>
      <c r="AE18" s="200" t="s">
        <v>2249</v>
      </c>
      <c r="AF18" s="199">
        <f>IF(ISBLANK(ETPT_TPRX_DDG!$D$5),"",IF(ISERROR(ETPT_TPRX!AF18),"",IF(ETPT_TPRX!AF18=0,"",ETPT_TPRX!AF18)))</f>
      </c>
      <c r="AG18" s="192"/>
    </row>
    <row r="20" spans="5:11" x14ac:dyDescent="0.25">
      <c r="E20" s="211" t="s">
        <v>2336</v>
      </c>
      <c r="F20" s="91"/>
      <c r="G20" s="91"/>
      <c r="H20" s="91"/>
      <c r="I20" s="91"/>
      <c r="J20" s="91"/>
      <c r="K20" s="91"/>
    </row>
    <row r="21" ht="17" customHeight="1" spans="5:11" x14ac:dyDescent="0.25">
      <c r="E21" s="211"/>
      <c r="F21" s="91"/>
      <c r="G21" s="91"/>
      <c r="H21" s="91"/>
      <c r="I21" s="91"/>
      <c r="J21" s="91"/>
      <c r="K21" s="91"/>
    </row>
    <row r="22" ht="50" customHeight="1" spans="5:28" x14ac:dyDescent="0.25">
      <c r="E22" s="202" t="s">
        <v>2337</v>
      </c>
      <c r="F22" s="203"/>
      <c r="G22" s="203"/>
      <c r="H22" s="203"/>
      <c r="I22" s="203"/>
      <c r="J22" s="203"/>
      <c r="K22" s="203"/>
      <c r="L22" s="203"/>
      <c r="M22" s="203"/>
      <c r="N22" s="203"/>
      <c r="O22" s="203"/>
      <c r="P22" s="203"/>
      <c r="Q22" s="203"/>
      <c r="R22" s="203"/>
      <c r="S22" s="203"/>
      <c r="T22" s="203"/>
      <c r="U22" s="203"/>
      <c r="V22" s="203"/>
      <c r="W22" s="203"/>
      <c r="X22" s="203"/>
      <c r="Y22" s="203"/>
      <c r="Z22" s="203"/>
      <c r="AA22" s="203"/>
      <c r="AB22" s="204"/>
    </row>
  </sheetData>
  <mergeCells count="1">
    <mergeCell ref="E22:AB22"/>
  </mergeCells>
  <dataValidations count="1">
    <dataValidation type="list" showInputMessage="1" prompt="Aucun TPROX n'est disponible pour cette juridiction" showErrorMessage="1" error="Veuillez selectionner une valeur dans le menu déroulant" sqref="D5">
      <formula1>""</formula1>
    </dataValidation>
  </dataValidations>
  <pageMargins left="0.7" right="0.7" top="0.75" bottom="0.75" header="0.3" footer="0.3"/>
  <pageSetup paperSize="9" orientation="portrait" horizontalDpi="0" verticalDpi="0" scale="100" fitToWidth="1" fitToHeight="1" firstPageNumber="1" useFirstPageNumber="1" copies="1"/>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1A94F"/>
  </sheetPr>
  <dimension ref="A1:BJ18"/>
  <sheetViews>
    <sheetView workbookViewId="0" showGridLines="0" zoomScale="100" zoomScaleNormal="100">
      <selection activeCell="D1" sqref="D1"/>
    </sheetView>
  </sheetViews>
  <sheetFormatPr defaultRowHeight="16" outlineLevelRow="0" outlineLevelCol="0" x14ac:dyDescent="0.2" defaultColWidth="11" customHeight="1"/>
  <cols>
    <col min="1" max="3" width="11" style="91" hidden="1" customWidth="1"/>
    <col min="4" max="4" width="16.83203125" style="91" customWidth="1"/>
    <col min="5" max="5" width="11" style="91" customWidth="1"/>
    <col min="6" max="6" width="47.83203125" style="91" customWidth="1"/>
    <col min="7" max="10" width="11" style="91" customWidth="1"/>
    <col min="11" max="11" width="18.6640625" style="91" customWidth="1"/>
    <col min="12" max="16384" width="11" style="91" customWidth="1"/>
  </cols>
  <sheetData>
    <row r="1" ht="80" customHeight="1" spans="1:62" s="40" customFormat="1" x14ac:dyDescent="0.25">
      <c r="A1" s="41" t="s">
        <v>2299</v>
      </c>
      <c r="B1" s="42"/>
      <c r="C1" s="42"/>
      <c r="D1" s="41" t="s">
        <v>2338</v>
      </c>
      <c r="E1" s="43"/>
      <c r="F1" s="44"/>
      <c r="G1" s="44"/>
      <c r="H1" s="43"/>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1"/>
      <c r="BF1" s="91"/>
      <c r="BG1" s="91"/>
      <c r="BH1" s="91"/>
      <c r="BI1" s="91"/>
      <c r="BJ1" s="91"/>
    </row>
    <row r="2" ht="16" customHeight="1" hidden="1" spans="1:8" x14ac:dyDescent="0.25">
      <c r="A2" s="163"/>
      <c r="B2" s="163"/>
      <c r="C2" s="163"/>
      <c r="D2" s="163"/>
      <c r="E2" s="163"/>
      <c r="F2" s="163"/>
      <c r="G2" s="95" t="s">
        <v>2118</v>
      </c>
      <c r="H2" s="96" t="s">
        <v>2119</v>
      </c>
    </row>
    <row r="3" ht="36" customHeight="1" hidden="1" spans="1:8" x14ac:dyDescent="0.25">
      <c r="A3" s="163"/>
      <c r="B3" s="163"/>
      <c r="C3" s="163"/>
      <c r="D3" s="163"/>
      <c r="E3" s="163"/>
      <c r="F3" s="163"/>
      <c r="G3" s="95" t="s">
        <v>2139</v>
      </c>
      <c r="H3" s="96"/>
    </row>
    <row r="4" ht="36" customHeight="1" spans="1:8" x14ac:dyDescent="0.25">
      <c r="A4" s="164"/>
      <c r="B4" s="165" t="s">
        <v>2169</v>
      </c>
      <c r="C4" s="165" t="s">
        <v>2170</v>
      </c>
      <c r="D4" s="165" t="s">
        <v>37</v>
      </c>
      <c r="E4" s="165" t="s">
        <v>2171</v>
      </c>
      <c r="F4" s="165" t="s">
        <v>2172</v>
      </c>
      <c r="G4" s="95" t="s">
        <v>2187</v>
      </c>
      <c r="H4" s="96"/>
    </row>
    <row r="5" spans="1:8" x14ac:dyDescent="0.25">
      <c r="A5" s="166" t="s">
        <v>2298</v>
      </c>
      <c r="B5" s="167"/>
      <c r="C5" s="167"/>
      <c r="D5" s="212" t="s">
        <v>1084</v>
      </c>
      <c r="E5" s="167" t="s">
        <v>2220</v>
      </c>
      <c r="F5" s="184" t="s">
        <v>2221</v>
      </c>
      <c r="G5" s="154">
        <f>IF(ISBLANK(ETPT_CPH_DDG!$D$5),"",IF(ISERROR(ETPT_CPH!G5),"",IF(ETPT_CPH!G5=0,"",ETPT_CPH!G5)))</f>
      </c>
      <c r="H5" s="213">
        <f t="shared" ref="H5:H13" si="0">SUM(G5)</f>
        <v>0</v>
      </c>
    </row>
    <row r="6" spans="1:8" x14ac:dyDescent="0.25">
      <c r="A6" s="166" t="s">
        <v>2298</v>
      </c>
      <c r="B6" s="167"/>
      <c r="C6" s="167"/>
      <c r="D6" s="115">
        <f t="shared" ref="D6:D13" si="1">IF(ISBLANK($D$5),"",$D$5)</f>
      </c>
      <c r="E6" s="167" t="s">
        <v>2229</v>
      </c>
      <c r="F6" s="184" t="s">
        <v>2230</v>
      </c>
      <c r="G6" s="154">
        <f>IF(ISBLANK(ETPT_CPH_DDG!$D$5),"",IF(ISERROR(ETPT_CPH!G6),"",IF(ETPT_CPH!G6=0,"",ETPT_CPH!G6)))</f>
      </c>
      <c r="H6" s="213">
        <f t="shared" si="0"/>
        <v>0</v>
      </c>
    </row>
    <row r="7" spans="1:8" x14ac:dyDescent="0.25">
      <c r="A7" s="166" t="s">
        <v>2298</v>
      </c>
      <c r="B7" s="167"/>
      <c r="C7" s="167"/>
      <c r="D7" s="115">
        <f t="shared" si="1"/>
      </c>
      <c r="E7" s="167" t="s">
        <v>2231</v>
      </c>
      <c r="F7" s="184" t="s">
        <v>2232</v>
      </c>
      <c r="G7" s="154">
        <f>IF(ISBLANK(ETPT_CPH_DDG!$D$5),"",IF(ISERROR(ETPT_CPH!G7),"",IF(ETPT_CPH!G7=0,"",ETPT_CPH!G7)))</f>
      </c>
      <c r="H7" s="213">
        <f t="shared" si="0"/>
        <v>0</v>
      </c>
    </row>
    <row r="8" spans="1:8" x14ac:dyDescent="0.25">
      <c r="A8" s="166" t="s">
        <v>2298</v>
      </c>
      <c r="B8" s="167"/>
      <c r="C8" s="167"/>
      <c r="D8" s="115">
        <f t="shared" si="1"/>
      </c>
      <c r="E8" s="167" t="s">
        <v>2233</v>
      </c>
      <c r="F8" s="184" t="s">
        <v>2234</v>
      </c>
      <c r="G8" s="154">
        <f>IF(ISBLANK(ETPT_CPH_DDG!$D$5),"",IF(ISERROR(ETPT_CPH!G8),"",IF(ETPT_CPH!G8=0,"",ETPT_CPH!G8)))</f>
      </c>
      <c r="H8" s="213">
        <f t="shared" si="0"/>
        <v>0</v>
      </c>
    </row>
    <row r="9" spans="1:8" x14ac:dyDescent="0.25">
      <c r="A9" s="166" t="s">
        <v>2298</v>
      </c>
      <c r="B9" s="167"/>
      <c r="C9" s="167"/>
      <c r="D9" s="115">
        <f t="shared" si="1"/>
      </c>
      <c r="E9" s="167" t="s">
        <v>2235</v>
      </c>
      <c r="F9" s="184" t="s">
        <v>2236</v>
      </c>
      <c r="G9" s="154">
        <f>IF(ISBLANK(ETPT_CPH_DDG!$D$5),"",IF(ISERROR(ETPT_CPH!G9),"",IF(ETPT_CPH!G9=0,"",ETPT_CPH!G9)))</f>
      </c>
      <c r="H9" s="213">
        <f t="shared" si="0"/>
        <v>0</v>
      </c>
    </row>
    <row r="10" spans="1:8" x14ac:dyDescent="0.25">
      <c r="A10" s="166" t="s">
        <v>2298</v>
      </c>
      <c r="B10" s="167"/>
      <c r="C10" s="167"/>
      <c r="D10" s="115">
        <f t="shared" si="1"/>
      </c>
      <c r="E10" s="167" t="s">
        <v>2237</v>
      </c>
      <c r="F10" s="184" t="s">
        <v>2238</v>
      </c>
      <c r="G10" s="154">
        <f>IF(ISBLANK(ETPT_CPH_DDG!$D$5),"",IF(ISERROR(ETPT_CPH!G10),"",IF(ETPT_CPH!G10=0,"",ETPT_CPH!G10)))</f>
      </c>
      <c r="H10" s="213">
        <f t="shared" si="0"/>
        <v>0</v>
      </c>
    </row>
    <row r="11" spans="1:8" x14ac:dyDescent="0.25">
      <c r="A11" s="166" t="s">
        <v>2298</v>
      </c>
      <c r="B11" s="167"/>
      <c r="C11" s="167"/>
      <c r="D11" s="115">
        <f t="shared" si="1"/>
      </c>
      <c r="E11" s="167" t="s">
        <v>2239</v>
      </c>
      <c r="F11" s="184" t="s">
        <v>2240</v>
      </c>
      <c r="G11" s="154">
        <f>IF(ISBLANK(ETPT_CPH_DDG!$D$5),"",IF(ISERROR(ETPT_CPH!G11),"",IF(ETPT_CPH!G11=0,"",ETPT_CPH!G11)))</f>
      </c>
      <c r="H11" s="213">
        <f t="shared" si="0"/>
        <v>0</v>
      </c>
    </row>
    <row r="12" spans="1:8" x14ac:dyDescent="0.25">
      <c r="A12" s="166" t="s">
        <v>2298</v>
      </c>
      <c r="B12" s="167"/>
      <c r="C12" s="167"/>
      <c r="D12" s="115">
        <f t="shared" si="1"/>
      </c>
      <c r="E12" s="167" t="s">
        <v>2241</v>
      </c>
      <c r="F12" s="184" t="s">
        <v>2242</v>
      </c>
      <c r="G12" s="154">
        <f>IF(ISBLANK(ETPT_CPH_DDG!$D$5),"",IF(ISERROR(ETPT_CPH!G12),"",IF(ETPT_CPH!G12=0,"",ETPT_CPH!G12)))</f>
      </c>
      <c r="H12" s="213">
        <f t="shared" si="0"/>
        <v>0</v>
      </c>
    </row>
    <row r="13" spans="1:8" x14ac:dyDescent="0.25">
      <c r="A13" s="166" t="s">
        <v>2298</v>
      </c>
      <c r="B13" s="167"/>
      <c r="C13" s="167"/>
      <c r="D13" s="115">
        <f t="shared" si="1"/>
      </c>
      <c r="E13" s="167" t="s">
        <v>2243</v>
      </c>
      <c r="F13" s="184" t="s">
        <v>2244</v>
      </c>
      <c r="G13" s="154">
        <f>IF(ISBLANK(ETPT_CPH_DDG!$D$5),"",IF(ISERROR(ETPT_CPH!G13),"",IF(ETPT_CPH!G13=0,"",ETPT_CPH!G13)))</f>
      </c>
      <c r="H13" s="213">
        <f t="shared" si="0"/>
        <v>0</v>
      </c>
    </row>
    <row r="14" spans="1:8" x14ac:dyDescent="0.25">
      <c r="A14" s="174"/>
      <c r="B14" s="115"/>
      <c r="C14" s="115"/>
      <c r="D14" s="115"/>
      <c r="E14" s="155"/>
      <c r="F14" s="214" t="s">
        <v>2245</v>
      </c>
      <c r="G14" s="213">
        <f>SUM(G5:G13)</f>
        <v>0</v>
      </c>
      <c r="H14" s="213">
        <f>SUM(H5:H13)</f>
        <v>0</v>
      </c>
    </row>
    <row r="16" spans="5:10" x14ac:dyDescent="0.25">
      <c r="E16" s="211" t="s">
        <v>2336</v>
      </c>
      <c r="F16" s="1"/>
      <c r="G16" s="1"/>
      <c r="H16" s="1"/>
      <c r="I16" s="1"/>
      <c r="J16" s="1"/>
    </row>
    <row r="17" ht="17" customHeight="1" spans="4:10" x14ac:dyDescent="0.25">
      <c r="D17" s="211"/>
      <c r="F17" s="1"/>
      <c r="G17" s="1"/>
      <c r="H17" s="1"/>
      <c r="I17" s="1"/>
      <c r="J17" s="1"/>
    </row>
    <row r="18" ht="91" customHeight="1" spans="4:11" x14ac:dyDescent="0.25">
      <c r="D18" s="211"/>
      <c r="E18" s="202" t="s">
        <v>2339</v>
      </c>
      <c r="F18" s="203"/>
      <c r="G18" s="203"/>
      <c r="H18" s="203"/>
      <c r="I18" s="203"/>
      <c r="J18" s="203"/>
      <c r="K18" s="204"/>
    </row>
  </sheetData>
  <mergeCells count="2">
    <mergeCell ref="H2:H4"/>
    <mergeCell ref="E18:K18"/>
  </mergeCells>
  <dataValidations count="1">
    <dataValidation type="list" showInputMessage="1" prompt="Selectionner une juridiction" showErrorMessage="1" error="Veuillez selectionner une valeur dans le menu déroulant" sqref="D5">
      <formula1>""</formula1>
    </dataValidation>
  </dataValidation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H16"/>
  <sheetViews>
    <sheetView workbookViewId="0" showGridLines="0" zoomScale="78" zoomScaleNormal="78">
      <selection activeCell="A15" sqref="A15"/>
    </sheetView>
  </sheetViews>
  <sheetFormatPr defaultRowHeight="15" outlineLevelRow="0" outlineLevelCol="0" x14ac:dyDescent="0.2" defaultColWidth="10.83203125"/>
  <cols>
    <col min="1" max="1" width="1.1640625" style="1" customWidth="1"/>
    <col min="2" max="2" width="30" style="1" customWidth="1"/>
    <col min="3" max="3" width="102.1640625" style="1" customWidth="1"/>
    <col min="4" max="4" width="56.33203125" style="1" customWidth="1"/>
    <col min="5" max="5" width="14" style="1" customWidth="1"/>
    <col min="6" max="6" width="37.83203125" style="2" customWidth="1"/>
    <col min="7" max="16384" width="10.83203125" style="1" customWidth="1"/>
  </cols>
  <sheetData>
    <row r="1" ht="60" customHeight="1" spans="1:8" s="3" customFormat="1" x14ac:dyDescent="0.25">
      <c r="A1" s="4"/>
      <c r="B1" s="5" t="s">
        <v>0</v>
      </c>
      <c r="C1" s="6" t="s">
        <v>1</v>
      </c>
      <c r="D1" s="6"/>
      <c r="E1" s="6"/>
      <c r="F1" s="7"/>
      <c r="G1" s="3"/>
      <c r="H1" s="3"/>
    </row>
    <row r="2" ht="20" customHeight="1" spans="1:8" s="8" customFormat="1" x14ac:dyDescent="0.25">
      <c r="A2" s="9"/>
      <c r="B2" s="10"/>
      <c r="C2" s="11" t="s">
        <v>2</v>
      </c>
      <c r="D2" s="11"/>
      <c r="E2" s="11"/>
      <c r="F2" s="12"/>
      <c r="G2" s="8"/>
      <c r="H2" s="3"/>
    </row>
    <row r="3" ht="6.5" customHeight="1" spans="1:8" s="3" customFormat="1" x14ac:dyDescent="0.25">
      <c r="A3" s="13"/>
      <c r="B3" s="3"/>
      <c r="C3" s="3"/>
      <c r="D3" s="3"/>
      <c r="E3" s="3"/>
      <c r="F3" s="2"/>
      <c r="G3" s="3"/>
      <c r="H3" s="3"/>
    </row>
    <row r="4" ht="32.25" customHeight="1" spans="1:8" s="14" customFormat="1" x14ac:dyDescent="0.25">
      <c r="A4" s="15"/>
      <c r="B4" s="16" t="s">
        <v>3</v>
      </c>
      <c r="C4" s="17" t="s">
        <v>4</v>
      </c>
      <c r="D4" s="17" t="s">
        <v>5</v>
      </c>
      <c r="E4" s="18" t="s">
        <v>6</v>
      </c>
      <c r="F4" s="18"/>
      <c r="G4" s="19"/>
      <c r="H4" s="3"/>
    </row>
    <row r="5" ht="48" customHeight="1" spans="1:8" s="3" customFormat="1" x14ac:dyDescent="0.25">
      <c r="A5" s="13"/>
      <c r="B5" s="20" t="s">
        <v>7</v>
      </c>
      <c r="C5" s="21" t="s">
        <v>8</v>
      </c>
      <c r="D5" s="21" t="s">
        <v>9</v>
      </c>
      <c r="E5" s="22" t="s">
        <v>10</v>
      </c>
      <c r="F5" s="22"/>
      <c r="G5" s="23"/>
      <c r="H5" s="3"/>
    </row>
    <row r="6" ht="48" customHeight="1" spans="1:8" s="3" customFormat="1" x14ac:dyDescent="0.25">
      <c r="A6" s="13"/>
      <c r="B6" s="24" t="s">
        <v>11</v>
      </c>
      <c r="C6" s="25" t="s">
        <v>12</v>
      </c>
      <c r="D6" s="25" t="s">
        <v>13</v>
      </c>
      <c r="E6" s="26" t="s">
        <v>14</v>
      </c>
      <c r="F6" s="26"/>
      <c r="G6" s="23"/>
      <c r="H6" s="3"/>
    </row>
    <row r="7" ht="48" customHeight="1" spans="1:8" s="3" customFormat="1" x14ac:dyDescent="0.25">
      <c r="A7" s="13"/>
      <c r="B7" s="27" t="s">
        <v>15</v>
      </c>
      <c r="C7" s="25" t="s">
        <v>16</v>
      </c>
      <c r="D7" s="25" t="s">
        <v>17</v>
      </c>
      <c r="E7" s="26" t="s">
        <v>10</v>
      </c>
      <c r="F7" s="26"/>
      <c r="G7" s="23"/>
      <c r="H7" s="3"/>
    </row>
    <row r="8" ht="23" customHeight="1" spans="1:8" s="3" customFormat="1" x14ac:dyDescent="0.25">
      <c r="A8" s="13"/>
      <c r="B8" s="28" t="s">
        <v>18</v>
      </c>
      <c r="C8" s="29" t="s">
        <v>19</v>
      </c>
      <c r="D8" s="29" t="s">
        <v>20</v>
      </c>
      <c r="E8" s="30" t="s">
        <v>21</v>
      </c>
      <c r="F8" s="30"/>
      <c r="G8" s="23"/>
      <c r="H8" s="3"/>
    </row>
    <row r="9" ht="23" customHeight="1" spans="1:8" s="3" customFormat="1" x14ac:dyDescent="0.25">
      <c r="A9" s="13"/>
      <c r="B9" s="31" t="s">
        <v>22</v>
      </c>
      <c r="C9" s="29"/>
      <c r="D9" s="29"/>
      <c r="E9" s="30"/>
      <c r="F9" s="30"/>
      <c r="G9" s="23"/>
      <c r="H9" s="3"/>
    </row>
    <row r="10" ht="23" customHeight="1" spans="1:8" s="3" customFormat="1" x14ac:dyDescent="0.25">
      <c r="A10" s="13"/>
      <c r="B10" s="32" t="s">
        <v>23</v>
      </c>
      <c r="C10" s="29"/>
      <c r="D10" s="29"/>
      <c r="E10" s="30"/>
      <c r="F10" s="30"/>
      <c r="G10" s="23"/>
      <c r="H10" s="3"/>
    </row>
    <row r="11" ht="23" customHeight="1" spans="1:8" s="3" customFormat="1" x14ac:dyDescent="0.25">
      <c r="A11" s="13"/>
      <c r="B11" s="33" t="s">
        <v>24</v>
      </c>
      <c r="C11" s="29"/>
      <c r="D11" s="29"/>
      <c r="E11" s="30"/>
      <c r="F11" s="30"/>
      <c r="G11" s="23"/>
      <c r="H11" s="3"/>
    </row>
    <row r="12" ht="5" customHeight="1" spans="1:8" s="3" customFormat="1" x14ac:dyDescent="0.25">
      <c r="A12" s="13"/>
      <c r="B12" s="34"/>
      <c r="C12" s="34"/>
      <c r="D12" s="34"/>
      <c r="E12" s="34"/>
      <c r="F12" s="34"/>
      <c r="G12" s="3"/>
      <c r="H12" s="3"/>
    </row>
    <row r="13" ht="72" customHeight="1" spans="1:8" s="3" customFormat="1" x14ac:dyDescent="0.25">
      <c r="A13" s="13"/>
      <c r="B13" s="35"/>
      <c r="C13" s="36" t="s">
        <v>25</v>
      </c>
      <c r="D13" s="36"/>
      <c r="E13" s="36"/>
      <c r="F13" s="37"/>
      <c r="G13" s="3"/>
      <c r="H13" s="3"/>
    </row>
    <row r="14" ht="6" customHeight="1" spans="1:8" s="3" customFormat="1" x14ac:dyDescent="0.25">
      <c r="A14" s="38"/>
      <c r="B14" s="3"/>
      <c r="C14" s="3"/>
      <c r="D14" s="3"/>
      <c r="E14" s="3"/>
      <c r="F14" s="2"/>
      <c r="G14" s="3"/>
      <c r="H14" s="3"/>
    </row>
    <row r="15" ht="27" customHeight="1" spans="1:8" s="3" customFormat="1" x14ac:dyDescent="0.25">
      <c r="A15" s="39" t="s">
        <v>26</v>
      </c>
      <c r="B15" s="39"/>
      <c r="C15" s="39"/>
      <c r="D15" s="39"/>
      <c r="E15" s="39"/>
      <c r="F15" s="39"/>
      <c r="G15" s="3"/>
      <c r="H15" s="3"/>
    </row>
    <row r="16" ht="16" customHeight="1" spans="1:8" x14ac:dyDescent="0.25">
      <c r="A16" s="1"/>
      <c r="B16" s="1"/>
      <c r="C16" s="1"/>
      <c r="D16" s="1"/>
      <c r="E16" s="1"/>
      <c r="F16" s="2"/>
      <c r="G16" s="1"/>
      <c r="H16" s="1"/>
    </row>
  </sheetData>
  <mergeCells count="11">
    <mergeCell ref="C1:E1"/>
    <mergeCell ref="C2:E2"/>
    <mergeCell ref="E4:F4"/>
    <mergeCell ref="E5:F5"/>
    <mergeCell ref="E6:F6"/>
    <mergeCell ref="E7:F7"/>
    <mergeCell ref="E8:F11"/>
    <mergeCell ref="C8:C11"/>
    <mergeCell ref="D8:D11"/>
    <mergeCell ref="C13:E13"/>
    <mergeCell ref="A15:F15"/>
  </mergeCells>
  <hyperlinks>
    <hyperlink ref="E5" r:id="rId1"/>
    <hyperlink ref="E6" r:id="rId2"/>
    <hyperlink ref="E7" r:id="rId3"/>
    <hyperlink ref="E8" r:id="rId4"/>
  </hyperlinks>
  <pageMargins left="0.7" right="0.7" top="0.75" bottom="0.75" header="0.3" footer="0.3"/>
  <pageSetup paperSize="9" orientation="portrait" horizontalDpi="4294967295" verticalDpi="4294967295" scale="100" fitToWidth="1" fitToHeight="1" firstPageNumber="1" useFirstPageNumber="1" copies="1"/>
  <drawing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9"/>
  <sheetViews>
    <sheetView workbookViewId="0" zoomScale="113" zoomScaleNormal="100">
      <selection activeCell="O26" sqref="O26"/>
    </sheetView>
  </sheetViews>
  <sheetFormatPr defaultRowHeight="15" outlineLevelRow="0" outlineLevelCol="0" x14ac:dyDescent="0.2"/>
  <cols>
    <col min="2" max="2" hidden="1" customWidth="1"/>
    <col min="6" max="6" width="52.6640625" customWidth="1"/>
  </cols>
  <sheetData>
    <row r="1" ht="31" customHeight="1" spans="1:20" x14ac:dyDescent="0.25">
      <c r="A1" s="274" t="s">
        <v>2250</v>
      </c>
      <c r="B1" s="274"/>
      <c r="C1" s="274"/>
      <c r="D1" s="274"/>
      <c r="E1" s="274"/>
      <c r="F1" s="274"/>
      <c r="G1" s="275"/>
      <c r="H1" s="275"/>
      <c r="I1" s="275"/>
      <c r="J1" s="275"/>
      <c r="K1" s="275"/>
      <c r="L1" s="275"/>
      <c r="M1" s="275"/>
      <c r="N1" s="275"/>
      <c r="O1" s="275"/>
      <c r="P1" s="275"/>
      <c r="Q1" s="275"/>
      <c r="R1" s="275"/>
      <c r="S1" s="275"/>
      <c r="T1" s="275"/>
    </row>
    <row r="2" ht="15" customHeight="1" spans="1:20" x14ac:dyDescent="0.25">
      <c r="A2" s="276"/>
      <c r="B2" s="276"/>
      <c r="C2" s="276"/>
      <c r="D2" s="276"/>
      <c r="E2" s="276"/>
      <c r="F2" s="276"/>
      <c r="G2" s="144" t="s">
        <v>2120</v>
      </c>
      <c r="H2" s="144" t="s">
        <v>2120</v>
      </c>
      <c r="I2" s="144" t="s">
        <v>2120</v>
      </c>
      <c r="J2" s="144" t="s">
        <v>2120</v>
      </c>
      <c r="K2" s="144" t="s">
        <v>2120</v>
      </c>
      <c r="L2" s="144" t="s">
        <v>2120</v>
      </c>
      <c r="M2" s="144" t="s">
        <v>2120</v>
      </c>
      <c r="N2" s="144" t="s">
        <v>2120</v>
      </c>
      <c r="O2" s="144" t="s">
        <v>2120</v>
      </c>
      <c r="P2" s="277" t="s">
        <v>2251</v>
      </c>
      <c r="Q2" s="144" t="s">
        <v>2252</v>
      </c>
      <c r="R2" s="144" t="s">
        <v>2252</v>
      </c>
      <c r="S2" s="144" t="s">
        <v>2252</v>
      </c>
      <c r="T2" s="277" t="s">
        <v>2253</v>
      </c>
    </row>
    <row r="3" ht="24" customHeight="1" spans="1:20" x14ac:dyDescent="0.25">
      <c r="A3" s="276"/>
      <c r="B3" s="276"/>
      <c r="C3" s="276"/>
      <c r="D3" s="276"/>
      <c r="E3" s="276"/>
      <c r="F3" s="276"/>
      <c r="G3" s="144" t="s">
        <v>2263</v>
      </c>
      <c r="H3" s="144" t="s">
        <v>2264</v>
      </c>
      <c r="I3" s="144" t="s">
        <v>2265</v>
      </c>
      <c r="J3" s="144" t="s">
        <v>2266</v>
      </c>
      <c r="K3" s="144" t="s">
        <v>2267</v>
      </c>
      <c r="L3" s="144" t="s">
        <v>2268</v>
      </c>
      <c r="M3" s="144" t="s">
        <v>2269</v>
      </c>
      <c r="N3" s="144" t="s">
        <v>2270</v>
      </c>
      <c r="O3" s="144" t="s">
        <v>2271</v>
      </c>
      <c r="P3" s="277"/>
      <c r="Q3" s="144" t="s">
        <v>2272</v>
      </c>
      <c r="R3" s="144" t="s">
        <v>2153</v>
      </c>
      <c r="S3" s="144" t="s">
        <v>2159</v>
      </c>
      <c r="T3" s="277"/>
    </row>
    <row r="4" ht="60" customHeight="1" spans="1:20" x14ac:dyDescent="0.25">
      <c r="A4" s="276"/>
      <c r="B4" s="278" t="s">
        <v>2169</v>
      </c>
      <c r="C4" s="278" t="s">
        <v>2170</v>
      </c>
      <c r="D4" s="278" t="s">
        <v>37</v>
      </c>
      <c r="E4" s="278" t="s">
        <v>2171</v>
      </c>
      <c r="F4" s="278" t="s">
        <v>2172</v>
      </c>
      <c r="G4" s="144" t="s">
        <v>2282</v>
      </c>
      <c r="H4" s="144" t="s">
        <v>2283</v>
      </c>
      <c r="I4" s="144" t="s">
        <v>2284</v>
      </c>
      <c r="J4" s="144" t="s">
        <v>2285</v>
      </c>
      <c r="K4" s="144" t="s">
        <v>2286</v>
      </c>
      <c r="L4" s="144" t="s">
        <v>2287</v>
      </c>
      <c r="M4" s="144" t="s">
        <v>2288</v>
      </c>
      <c r="N4" s="144" t="s">
        <v>2289</v>
      </c>
      <c r="O4" s="144" t="s">
        <v>2290</v>
      </c>
      <c r="P4" s="277"/>
      <c r="Q4" s="144" t="s">
        <v>2291</v>
      </c>
      <c r="R4" s="144" t="s">
        <v>2202</v>
      </c>
      <c r="S4" s="144" t="s">
        <v>2209</v>
      </c>
      <c r="T4" s="277"/>
    </row>
    <row r="5" ht="204" customHeight="1" spans="1:20" x14ac:dyDescent="0.25">
      <c r="A5" s="279" t="s">
        <v>2292</v>
      </c>
      <c r="B5" s="280"/>
      <c r="C5" s="280"/>
      <c r="D5" s="280"/>
      <c r="E5" s="280" t="s">
        <v>2220</v>
      </c>
      <c r="F5" s="280" t="s">
        <v>2221</v>
      </c>
      <c r="G5" s="281"/>
      <c r="H5" s="253" t="s">
        <v>2463</v>
      </c>
      <c r="I5" s="253" t="s">
        <v>2464</v>
      </c>
      <c r="J5" s="253" t="s">
        <v>2465</v>
      </c>
      <c r="K5" s="282" t="s">
        <v>2466</v>
      </c>
      <c r="L5" s="282" t="s">
        <v>2466</v>
      </c>
      <c r="M5" s="282"/>
      <c r="N5" s="282"/>
      <c r="O5" s="282" t="s">
        <v>2467</v>
      </c>
      <c r="P5" s="283">
        <f t="shared" ref="P5:P15" si="0">SUM(G5:O5)</f>
        <v>0</v>
      </c>
      <c r="Q5" s="282" t="s">
        <v>2468</v>
      </c>
      <c r="R5" s="253" t="s">
        <v>2469</v>
      </c>
      <c r="S5" s="282" t="s">
        <v>2470</v>
      </c>
      <c r="T5" s="283">
        <f t="shared" ref="T5:T15" si="1">SUM(Q5:S5)</f>
        <v>0</v>
      </c>
    </row>
    <row r="6" ht="228" customHeight="1" spans="1:20" x14ac:dyDescent="0.25">
      <c r="A6" s="279" t="s">
        <v>2292</v>
      </c>
      <c r="B6" s="280"/>
      <c r="C6" s="280"/>
      <c r="D6" s="280"/>
      <c r="E6" s="280" t="s">
        <v>2222</v>
      </c>
      <c r="F6" s="280" t="s">
        <v>2223</v>
      </c>
      <c r="G6" s="281"/>
      <c r="H6" s="284"/>
      <c r="I6" s="284"/>
      <c r="J6" s="284"/>
      <c r="K6" s="284"/>
      <c r="L6" s="284"/>
      <c r="M6" s="282" t="s">
        <v>2471</v>
      </c>
      <c r="N6" s="282" t="s">
        <v>2472</v>
      </c>
      <c r="O6" s="282" t="s">
        <v>2467</v>
      </c>
      <c r="P6" s="283">
        <f t="shared" si="0"/>
        <v>0</v>
      </c>
      <c r="Q6" s="282" t="s">
        <v>2473</v>
      </c>
      <c r="R6" s="284"/>
      <c r="S6" s="282"/>
      <c r="T6" s="283">
        <f t="shared" si="1"/>
        <v>0</v>
      </c>
    </row>
    <row r="7" ht="108" customHeight="1" spans="1:20" x14ac:dyDescent="0.25">
      <c r="A7" s="279" t="s">
        <v>2292</v>
      </c>
      <c r="B7" s="280"/>
      <c r="C7" s="280"/>
      <c r="D7" s="280"/>
      <c r="E7" s="280" t="s">
        <v>2225</v>
      </c>
      <c r="F7" s="280" t="s">
        <v>2226</v>
      </c>
      <c r="G7" s="281"/>
      <c r="H7" s="284"/>
      <c r="I7" s="284"/>
      <c r="J7" s="284"/>
      <c r="K7" s="284"/>
      <c r="L7" s="284"/>
      <c r="M7" s="284"/>
      <c r="N7" s="285"/>
      <c r="O7" s="286"/>
      <c r="P7" s="283">
        <f>SUM(G7:O7)</f>
        <v>0</v>
      </c>
      <c r="Q7" s="284"/>
      <c r="R7" s="284"/>
      <c r="S7" s="253" t="s">
        <v>2474</v>
      </c>
      <c r="T7" s="283">
        <f>SUM(Q7:S7)</f>
        <v>0</v>
      </c>
    </row>
    <row r="8" ht="120" customHeight="1" spans="1:20" x14ac:dyDescent="0.25">
      <c r="A8" s="279" t="s">
        <v>2292</v>
      </c>
      <c r="B8" s="280"/>
      <c r="C8" s="280"/>
      <c r="D8" s="280"/>
      <c r="E8" s="280" t="s">
        <v>2229</v>
      </c>
      <c r="F8" s="280" t="s">
        <v>2230</v>
      </c>
      <c r="G8" s="281"/>
      <c r="H8" s="284"/>
      <c r="I8" s="284"/>
      <c r="J8" s="284"/>
      <c r="K8" s="284"/>
      <c r="L8" s="284"/>
      <c r="M8" s="284"/>
      <c r="N8" s="284"/>
      <c r="O8" s="284"/>
      <c r="P8" s="283">
        <f t="shared" si="0"/>
        <v>0</v>
      </c>
      <c r="Q8" s="284"/>
      <c r="R8" s="253"/>
      <c r="S8" s="253" t="s">
        <v>2475</v>
      </c>
      <c r="T8" s="283">
        <f>SUM(Q8:R8)</f>
        <v>0</v>
      </c>
    </row>
    <row r="9" ht="168" customHeight="1" spans="1:20" x14ac:dyDescent="0.25">
      <c r="A9" s="279" t="s">
        <v>2292</v>
      </c>
      <c r="B9" s="280"/>
      <c r="C9" s="280"/>
      <c r="D9" s="280"/>
      <c r="E9" s="280" t="s">
        <v>2231</v>
      </c>
      <c r="F9" s="280" t="s">
        <v>2232</v>
      </c>
      <c r="G9" s="281"/>
      <c r="H9" s="284"/>
      <c r="I9" s="284"/>
      <c r="J9" s="284"/>
      <c r="K9" s="284"/>
      <c r="L9" s="284"/>
      <c r="M9" s="284"/>
      <c r="N9" s="284"/>
      <c r="O9" s="284"/>
      <c r="P9" s="283">
        <f t="shared" si="0"/>
        <v>0</v>
      </c>
      <c r="Q9" s="284"/>
      <c r="R9" s="253"/>
      <c r="S9" s="253" t="s">
        <v>2476</v>
      </c>
      <c r="T9" s="283">
        <f>SUM(Q9:R9)</f>
        <v>0</v>
      </c>
    </row>
    <row r="10" ht="120" customHeight="1" spans="1:20" x14ac:dyDescent="0.25">
      <c r="A10" s="279" t="s">
        <v>2292</v>
      </c>
      <c r="B10" s="280"/>
      <c r="C10" s="280"/>
      <c r="D10" s="280"/>
      <c r="E10" s="280" t="s">
        <v>2233</v>
      </c>
      <c r="F10" s="280" t="s">
        <v>2234</v>
      </c>
      <c r="G10" s="281"/>
      <c r="H10" s="284"/>
      <c r="I10" s="284"/>
      <c r="J10" s="284"/>
      <c r="K10" s="284"/>
      <c r="L10" s="284"/>
      <c r="M10" s="284"/>
      <c r="N10" s="284"/>
      <c r="O10" s="284"/>
      <c r="P10" s="283">
        <f t="shared" si="0"/>
        <v>0</v>
      </c>
      <c r="Q10" s="284"/>
      <c r="R10" s="284"/>
      <c r="S10" s="253" t="s">
        <v>2477</v>
      </c>
      <c r="T10" s="283">
        <f t="shared" si="1"/>
        <v>0</v>
      </c>
    </row>
    <row r="11" ht="120" customHeight="1" spans="1:20" x14ac:dyDescent="0.25">
      <c r="A11" s="279" t="s">
        <v>2292</v>
      </c>
      <c r="B11" s="280"/>
      <c r="C11" s="280"/>
      <c r="D11" s="280"/>
      <c r="E11" s="280" t="s">
        <v>2235</v>
      </c>
      <c r="F11" s="280" t="s">
        <v>2236</v>
      </c>
      <c r="G11" s="281"/>
      <c r="H11" s="284"/>
      <c r="I11" s="284"/>
      <c r="J11" s="284"/>
      <c r="K11" s="284"/>
      <c r="L11" s="284"/>
      <c r="M11" s="284"/>
      <c r="N11" s="284"/>
      <c r="O11" s="284"/>
      <c r="P11" s="283">
        <f t="shared" si="0"/>
        <v>0</v>
      </c>
      <c r="Q11" s="284"/>
      <c r="R11" s="253"/>
      <c r="S11" s="253" t="s">
        <v>2478</v>
      </c>
      <c r="T11" s="283">
        <f>SUM(Q11:R11)</f>
        <v>0</v>
      </c>
    </row>
    <row r="12" ht="180" customHeight="1" spans="1:20" x14ac:dyDescent="0.25">
      <c r="A12" s="279" t="s">
        <v>2292</v>
      </c>
      <c r="B12" s="280"/>
      <c r="C12" s="280"/>
      <c r="D12" s="280"/>
      <c r="E12" s="280" t="s">
        <v>2237</v>
      </c>
      <c r="F12" s="280" t="s">
        <v>2238</v>
      </c>
      <c r="G12" s="281"/>
      <c r="H12" s="284"/>
      <c r="I12" s="284"/>
      <c r="J12" s="284"/>
      <c r="K12" s="284"/>
      <c r="L12" s="284"/>
      <c r="M12" s="284"/>
      <c r="N12" s="284"/>
      <c r="O12" s="284"/>
      <c r="P12" s="283">
        <f t="shared" si="0"/>
        <v>0</v>
      </c>
      <c r="Q12" s="284"/>
      <c r="R12" s="284"/>
      <c r="S12" s="253" t="s">
        <v>2479</v>
      </c>
      <c r="T12" s="283">
        <f t="shared" si="1"/>
        <v>0</v>
      </c>
    </row>
    <row r="13" ht="144" customHeight="1" spans="1:20" x14ac:dyDescent="0.25">
      <c r="A13" s="279" t="s">
        <v>2292</v>
      </c>
      <c r="B13" s="280"/>
      <c r="C13" s="280"/>
      <c r="D13" s="280"/>
      <c r="E13" s="280" t="s">
        <v>2239</v>
      </c>
      <c r="F13" s="280" t="s">
        <v>2240</v>
      </c>
      <c r="G13" s="287" t="s">
        <v>2480</v>
      </c>
      <c r="H13" s="284"/>
      <c r="I13" s="284"/>
      <c r="J13" s="284"/>
      <c r="K13" s="284"/>
      <c r="L13" s="284"/>
      <c r="M13" s="284"/>
      <c r="N13" s="284"/>
      <c r="O13" s="284"/>
      <c r="P13" s="283">
        <f t="shared" si="0"/>
        <v>0</v>
      </c>
      <c r="Q13" s="284"/>
      <c r="R13" s="284"/>
      <c r="S13" s="253" t="s">
        <v>2481</v>
      </c>
      <c r="T13" s="283">
        <f t="shared" si="1"/>
        <v>0</v>
      </c>
    </row>
    <row r="14" ht="240" customHeight="1" spans="1:20" x14ac:dyDescent="0.25">
      <c r="A14" s="279" t="s">
        <v>2292</v>
      </c>
      <c r="B14" s="280"/>
      <c r="C14" s="280"/>
      <c r="D14" s="280"/>
      <c r="E14" s="280" t="s">
        <v>2241</v>
      </c>
      <c r="F14" s="280" t="s">
        <v>2242</v>
      </c>
      <c r="G14" s="287" t="s">
        <v>2482</v>
      </c>
      <c r="H14" s="253" t="s">
        <v>2483</v>
      </c>
      <c r="I14" s="253" t="s">
        <v>2484</v>
      </c>
      <c r="J14" s="253" t="s">
        <v>2485</v>
      </c>
      <c r="K14" s="288"/>
      <c r="L14" s="288"/>
      <c r="M14" s="284"/>
      <c r="N14" s="284"/>
      <c r="O14" s="284"/>
      <c r="P14" s="283">
        <f t="shared" si="0"/>
        <v>0</v>
      </c>
      <c r="Q14" s="284"/>
      <c r="R14" s="253" t="s">
        <v>2486</v>
      </c>
      <c r="S14" s="253" t="s">
        <v>2487</v>
      </c>
      <c r="T14" s="283">
        <f t="shared" si="1"/>
        <v>0</v>
      </c>
    </row>
    <row r="15" ht="240" customHeight="1" spans="1:20" x14ac:dyDescent="0.25">
      <c r="A15" s="279" t="s">
        <v>2292</v>
      </c>
      <c r="B15" s="280"/>
      <c r="C15" s="280"/>
      <c r="D15" s="280"/>
      <c r="E15" s="280" t="s">
        <v>2243</v>
      </c>
      <c r="F15" s="280" t="s">
        <v>2244</v>
      </c>
      <c r="G15" s="287" t="s">
        <v>2488</v>
      </c>
      <c r="H15" s="253" t="s">
        <v>2489</v>
      </c>
      <c r="I15" s="253" t="s">
        <v>2490</v>
      </c>
      <c r="J15" s="253" t="s">
        <v>2491</v>
      </c>
      <c r="K15" s="288"/>
      <c r="L15" s="288"/>
      <c r="M15" s="284"/>
      <c r="N15" s="284"/>
      <c r="O15" s="284"/>
      <c r="P15" s="283">
        <f t="shared" si="0"/>
        <v>0</v>
      </c>
      <c r="Q15" s="284"/>
      <c r="R15" s="253" t="s">
        <v>2492</v>
      </c>
      <c r="S15" s="253" t="s">
        <v>2493</v>
      </c>
      <c r="T15" s="283">
        <f t="shared" si="1"/>
        <v>0</v>
      </c>
    </row>
    <row r="16" spans="1:20" x14ac:dyDescent="0.25">
      <c r="A16" s="279"/>
      <c r="B16" s="289"/>
      <c r="C16" s="289"/>
      <c r="D16" s="289"/>
      <c r="E16" s="289"/>
      <c r="F16" s="290" t="s">
        <v>2245</v>
      </c>
      <c r="G16" s="291">
        <f t="shared" ref="G16:T16" si="2">SUM(G5:G15)</f>
        <v>0</v>
      </c>
      <c r="H16" s="291">
        <f t="shared" si="2"/>
        <v>0</v>
      </c>
      <c r="I16" s="291">
        <f t="shared" si="2"/>
        <v>0</v>
      </c>
      <c r="J16" s="291">
        <f t="shared" si="2"/>
        <v>0</v>
      </c>
      <c r="K16" s="291">
        <f t="shared" si="2"/>
        <v>0</v>
      </c>
      <c r="L16" s="291">
        <f t="shared" si="2"/>
        <v>0</v>
      </c>
      <c r="M16" s="291">
        <f t="shared" si="2"/>
        <v>0</v>
      </c>
      <c r="N16" s="291">
        <f t="shared" si="2"/>
        <v>0</v>
      </c>
      <c r="O16" s="291">
        <f t="shared" si="2"/>
        <v>0</v>
      </c>
      <c r="P16" s="291">
        <f t="shared" si="2"/>
        <v>0</v>
      </c>
      <c r="Q16" s="291">
        <f t="shared" si="2"/>
        <v>0</v>
      </c>
      <c r="R16" s="291">
        <f t="shared" si="2"/>
        <v>0</v>
      </c>
      <c r="S16" s="291">
        <f t="shared" si="2"/>
        <v>0</v>
      </c>
      <c r="T16" s="291">
        <f t="shared" si="2"/>
        <v>0</v>
      </c>
    </row>
    <row r="17" spans="1:20" x14ac:dyDescent="0.25">
      <c r="A17" s="3"/>
      <c r="B17" s="3"/>
      <c r="C17" s="3"/>
      <c r="D17" s="3"/>
      <c r="E17" s="3"/>
      <c r="F17" s="3"/>
      <c r="G17" s="3"/>
      <c r="H17" s="3"/>
      <c r="I17" s="3"/>
      <c r="J17" s="3"/>
      <c r="K17" s="3"/>
      <c r="L17" s="3"/>
      <c r="M17" s="3"/>
      <c r="N17" s="3"/>
      <c r="O17" s="3"/>
      <c r="P17" s="3"/>
      <c r="Q17" s="3"/>
      <c r="R17" s="3"/>
      <c r="S17" s="3"/>
      <c r="T17" s="3"/>
    </row>
    <row r="18" spans="1:20" x14ac:dyDescent="0.25">
      <c r="A18" s="3"/>
      <c r="B18" s="3"/>
      <c r="C18" s="3"/>
      <c r="D18" s="3"/>
      <c r="E18" s="3"/>
      <c r="F18" s="3"/>
      <c r="G18" s="3"/>
      <c r="H18" s="3"/>
      <c r="I18" s="3"/>
      <c r="J18" s="3"/>
      <c r="K18" s="3"/>
      <c r="L18" s="3"/>
      <c r="M18" s="3"/>
      <c r="N18" s="3"/>
      <c r="O18" s="3"/>
      <c r="P18" s="3"/>
      <c r="Q18" s="3"/>
      <c r="R18" s="3"/>
      <c r="S18" s="3"/>
      <c r="T18" s="3"/>
    </row>
    <row r="19" ht="192" customHeight="1" spans="1:20" x14ac:dyDescent="0.25">
      <c r="A19" s="3"/>
      <c r="B19" s="3"/>
      <c r="C19" s="3"/>
      <c r="D19" s="3"/>
      <c r="E19" s="3"/>
      <c r="F19" s="3"/>
      <c r="G19" s="3"/>
      <c r="H19" s="3"/>
      <c r="I19" s="3"/>
      <c r="J19" s="3"/>
      <c r="K19" s="3"/>
      <c r="L19" s="3"/>
      <c r="M19" s="3"/>
      <c r="N19" s="3"/>
      <c r="O19" s="3"/>
      <c r="P19" s="3"/>
      <c r="Q19" s="292"/>
      <c r="R19" s="273" t="s">
        <v>2249</v>
      </c>
      <c r="S19" s="253" t="s">
        <v>2462</v>
      </c>
      <c r="T19" s="3"/>
    </row>
  </sheetData>
  <mergeCells count="3">
    <mergeCell ref="A1:F1"/>
    <mergeCell ref="P2:P4"/>
    <mergeCell ref="T2:T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9"/>
  <sheetViews>
    <sheetView workbookViewId="0" zoomScale="100" zoomScaleNormal="100">
      <selection activeCell="V15" sqref="V15"/>
    </sheetView>
  </sheetViews>
  <sheetFormatPr defaultRowHeight="15" outlineLevelRow="0" outlineLevelCol="0" x14ac:dyDescent="0.2"/>
  <cols>
    <col min="2" max="2" hidden="1" customWidth="1"/>
    <col min="6" max="6" width="42.83203125" customWidth="1"/>
    <col min="7" max="7" width="26.1640625" customWidth="1"/>
  </cols>
  <sheetData>
    <row r="1" ht="23" customHeight="1" spans="1:23" x14ac:dyDescent="0.25">
      <c r="A1" s="293"/>
      <c r="B1" s="294" t="s">
        <v>2115</v>
      </c>
      <c r="C1" s="294"/>
      <c r="D1" s="294"/>
      <c r="E1" s="294"/>
      <c r="F1" s="294"/>
      <c r="G1" s="294"/>
      <c r="H1" s="294"/>
      <c r="I1" s="294"/>
      <c r="J1" s="295"/>
      <c r="K1" s="295"/>
      <c r="L1" s="295"/>
      <c r="M1" s="295"/>
      <c r="N1" s="295"/>
      <c r="O1" s="295"/>
      <c r="P1" s="295"/>
      <c r="Q1" s="295"/>
      <c r="R1" s="295"/>
      <c r="S1" s="295"/>
      <c r="T1" s="295"/>
      <c r="U1" s="295"/>
      <c r="V1" s="295"/>
      <c r="W1" s="295"/>
    </row>
    <row r="2" ht="28" customHeight="1" spans="1:23" x14ac:dyDescent="0.25">
      <c r="A2" s="296"/>
      <c r="B2" s="296"/>
      <c r="C2" s="296"/>
      <c r="D2" s="296"/>
      <c r="E2" s="296"/>
      <c r="F2" s="296"/>
      <c r="G2" s="297" t="s">
        <v>2116</v>
      </c>
      <c r="H2" s="298" t="s">
        <v>2117</v>
      </c>
      <c r="I2" s="297" t="s">
        <v>2118</v>
      </c>
      <c r="J2" s="297" t="s">
        <v>2118</v>
      </c>
      <c r="K2" s="297" t="s">
        <v>2118</v>
      </c>
      <c r="L2" s="297" t="s">
        <v>2118</v>
      </c>
      <c r="M2" s="297" t="s">
        <v>2118</v>
      </c>
      <c r="N2" s="297" t="s">
        <v>2118</v>
      </c>
      <c r="O2" s="297" t="s">
        <v>2118</v>
      </c>
      <c r="P2" s="297" t="s">
        <v>2118</v>
      </c>
      <c r="Q2" s="297" t="s">
        <v>2118</v>
      </c>
      <c r="R2" s="297" t="s">
        <v>2118</v>
      </c>
      <c r="S2" s="297" t="s">
        <v>2118</v>
      </c>
      <c r="T2" s="297" t="s">
        <v>2118</v>
      </c>
      <c r="U2" s="297" t="s">
        <v>2118</v>
      </c>
      <c r="V2" s="297" t="s">
        <v>2118</v>
      </c>
      <c r="W2" s="298" t="s">
        <v>2119</v>
      </c>
    </row>
    <row r="3" ht="56" customHeight="1" spans="1:23" x14ac:dyDescent="0.25">
      <c r="A3" s="296"/>
      <c r="B3" s="296"/>
      <c r="C3" s="296"/>
      <c r="D3" s="296"/>
      <c r="E3" s="296"/>
      <c r="F3" s="296"/>
      <c r="G3" s="297" t="s">
        <v>2126</v>
      </c>
      <c r="H3" s="298"/>
      <c r="I3" s="297" t="s">
        <v>2127</v>
      </c>
      <c r="J3" s="297" t="s">
        <v>2128</v>
      </c>
      <c r="K3" s="297" t="s">
        <v>2129</v>
      </c>
      <c r="L3" s="297" t="s">
        <v>2130</v>
      </c>
      <c r="M3" s="297" t="s">
        <v>2131</v>
      </c>
      <c r="N3" s="297" t="s">
        <v>2132</v>
      </c>
      <c r="O3" s="297" t="s">
        <v>2133</v>
      </c>
      <c r="P3" s="297" t="s">
        <v>2134</v>
      </c>
      <c r="Q3" s="297" t="s">
        <v>2135</v>
      </c>
      <c r="R3" s="297"/>
      <c r="S3" s="297" t="s">
        <v>2136</v>
      </c>
      <c r="T3" s="297" t="s">
        <v>2137</v>
      </c>
      <c r="U3" s="297" t="s">
        <v>2138</v>
      </c>
      <c r="V3" s="297" t="s">
        <v>2139</v>
      </c>
      <c r="W3" s="298"/>
    </row>
    <row r="4" ht="98" customHeight="1" spans="1:23" x14ac:dyDescent="0.25">
      <c r="A4" s="299"/>
      <c r="B4" s="300" t="s">
        <v>2169</v>
      </c>
      <c r="C4" s="300" t="s">
        <v>2170</v>
      </c>
      <c r="D4" s="300" t="s">
        <v>37</v>
      </c>
      <c r="E4" s="300" t="s">
        <v>2171</v>
      </c>
      <c r="F4" s="300" t="s">
        <v>2172</v>
      </c>
      <c r="G4" s="297" t="s">
        <v>2173</v>
      </c>
      <c r="H4" s="298"/>
      <c r="I4" s="297" t="s">
        <v>2174</v>
      </c>
      <c r="J4" s="301" t="s">
        <v>2175</v>
      </c>
      <c r="K4" s="297" t="s">
        <v>2176</v>
      </c>
      <c r="L4" s="297" t="s">
        <v>2177</v>
      </c>
      <c r="M4" s="297" t="s">
        <v>2178</v>
      </c>
      <c r="N4" s="297" t="s">
        <v>2179</v>
      </c>
      <c r="O4" s="297" t="s">
        <v>2180</v>
      </c>
      <c r="P4" s="297" t="s">
        <v>2181</v>
      </c>
      <c r="Q4" s="297" t="s">
        <v>2182</v>
      </c>
      <c r="R4" s="301" t="s">
        <v>2494</v>
      </c>
      <c r="S4" s="297" t="s">
        <v>2184</v>
      </c>
      <c r="T4" s="297" t="s">
        <v>2185</v>
      </c>
      <c r="U4" s="297" t="s">
        <v>2186</v>
      </c>
      <c r="V4" s="301" t="s">
        <v>2187</v>
      </c>
      <c r="W4" s="298"/>
    </row>
    <row r="5" ht="371" customHeight="1" spans="1:23" x14ac:dyDescent="0.25">
      <c r="A5" s="302" t="s">
        <v>2219</v>
      </c>
      <c r="B5" s="303"/>
      <c r="C5" s="303"/>
      <c r="D5" s="304"/>
      <c r="E5" s="304" t="s">
        <v>2220</v>
      </c>
      <c r="F5" s="304" t="s">
        <v>2221</v>
      </c>
      <c r="G5" s="305" t="s">
        <v>2495</v>
      </c>
      <c r="H5" s="306">
        <f>SUMIF($G$2:G$2,G$2,$G5:G5)</f>
        <v>0</v>
      </c>
      <c r="I5" s="305" t="s">
        <v>2496</v>
      </c>
      <c r="J5" s="307"/>
      <c r="K5" s="308"/>
      <c r="L5" s="308"/>
      <c r="M5" s="308"/>
      <c r="N5" s="308"/>
      <c r="O5" s="308"/>
      <c r="P5" s="305" t="s">
        <v>2497</v>
      </c>
      <c r="Q5" s="305" t="s">
        <v>2498</v>
      </c>
      <c r="R5" s="305" t="s">
        <v>2499</v>
      </c>
      <c r="S5" s="305" t="s">
        <v>2500</v>
      </c>
      <c r="T5" s="305" t="s">
        <v>2501</v>
      </c>
      <c r="U5" s="305" t="s">
        <v>2502</v>
      </c>
      <c r="V5" s="305" t="s">
        <v>2503</v>
      </c>
      <c r="W5" s="306">
        <f>SUMIF($G$2:V$2,V$2,$G5:V5)</f>
        <v>0</v>
      </c>
    </row>
    <row r="6" ht="409.6" customHeight="1" spans="1:23" x14ac:dyDescent="0.25">
      <c r="A6" s="302" t="s">
        <v>2219</v>
      </c>
      <c r="B6" s="303"/>
      <c r="C6" s="303"/>
      <c r="D6" s="304"/>
      <c r="E6" s="304" t="s">
        <v>2222</v>
      </c>
      <c r="F6" s="304" t="s">
        <v>2223</v>
      </c>
      <c r="G6" s="305" t="s">
        <v>2504</v>
      </c>
      <c r="H6" s="306">
        <f>SUMIF($G$2:G$2,G$2,$G6:G6)</f>
        <v>0</v>
      </c>
      <c r="I6" s="307"/>
      <c r="J6" s="305" t="s">
        <v>2505</v>
      </c>
      <c r="K6" s="305" t="s">
        <v>2506</v>
      </c>
      <c r="L6" s="305" t="s">
        <v>2507</v>
      </c>
      <c r="M6" s="305" t="s">
        <v>2508</v>
      </c>
      <c r="N6" s="305" t="s">
        <v>2509</v>
      </c>
      <c r="O6" s="305" t="s">
        <v>2510</v>
      </c>
      <c r="P6" s="308"/>
      <c r="Q6" s="308"/>
      <c r="R6" s="305" t="s">
        <v>2511</v>
      </c>
      <c r="S6" s="308"/>
      <c r="T6" s="308"/>
      <c r="U6" s="308"/>
      <c r="V6" s="309" t="s">
        <v>2512</v>
      </c>
      <c r="W6" s="306">
        <f>SUMIF($G$2:V$2,V$2,$G6:V6)</f>
        <v>0</v>
      </c>
    </row>
    <row r="7" spans="1:23" x14ac:dyDescent="0.25">
      <c r="A7" s="302" t="s">
        <v>2219</v>
      </c>
      <c r="B7" s="303"/>
      <c r="C7" s="303"/>
      <c r="D7" s="304"/>
      <c r="E7" s="304" t="s">
        <v>2225</v>
      </c>
      <c r="F7" s="304" t="s">
        <v>2226</v>
      </c>
      <c r="G7" s="310"/>
      <c r="H7" s="306">
        <f>SUMIF($G$2:G$2,G$2,$G7:G7)</f>
        <v>0</v>
      </c>
      <c r="I7" s="311"/>
      <c r="J7" s="311"/>
      <c r="K7" s="311"/>
      <c r="L7" s="311"/>
      <c r="M7" s="311"/>
      <c r="N7" s="311"/>
      <c r="O7" s="311"/>
      <c r="P7" s="311"/>
      <c r="Q7" s="311"/>
      <c r="R7" s="311"/>
      <c r="S7" s="311"/>
      <c r="T7" s="311"/>
      <c r="U7" s="311"/>
      <c r="V7" s="310"/>
      <c r="W7" s="306">
        <f>SUMIF($G$2:V$2,V$2,$G7:V7)</f>
        <v>0</v>
      </c>
    </row>
    <row r="8" ht="196" customHeight="1" spans="1:23" x14ac:dyDescent="0.25">
      <c r="A8" s="302" t="s">
        <v>2219</v>
      </c>
      <c r="B8" s="303"/>
      <c r="C8" s="303"/>
      <c r="D8" s="304"/>
      <c r="E8" s="304" t="s">
        <v>2229</v>
      </c>
      <c r="F8" s="304" t="s">
        <v>2230</v>
      </c>
      <c r="G8" s="305" t="s">
        <v>2513</v>
      </c>
      <c r="H8" s="306">
        <f>SUMIF($G$2:G$2,G$2,$G8:G8)</f>
        <v>0</v>
      </c>
      <c r="I8" s="311"/>
      <c r="J8" s="311"/>
      <c r="K8" s="311"/>
      <c r="L8" s="311"/>
      <c r="M8" s="311"/>
      <c r="N8" s="311"/>
      <c r="O8" s="311"/>
      <c r="P8" s="311"/>
      <c r="Q8" s="311"/>
      <c r="R8" s="311"/>
      <c r="S8" s="311"/>
      <c r="T8" s="311"/>
      <c r="U8" s="311"/>
      <c r="V8" s="305" t="s">
        <v>2514</v>
      </c>
      <c r="W8" s="306">
        <f>SUMIF($G$2:V$2,V$2,$G8:V8)</f>
        <v>0</v>
      </c>
    </row>
    <row r="9" ht="280" customHeight="1" spans="1:23" x14ac:dyDescent="0.25">
      <c r="A9" s="302" t="s">
        <v>2219</v>
      </c>
      <c r="B9" s="303"/>
      <c r="C9" s="303"/>
      <c r="D9" s="304"/>
      <c r="E9" s="304" t="s">
        <v>2231</v>
      </c>
      <c r="F9" s="304" t="s">
        <v>2232</v>
      </c>
      <c r="G9" s="305" t="s">
        <v>2515</v>
      </c>
      <c r="H9" s="306">
        <f>SUMIF($G$2:G$2,G$2,$G9:G9)</f>
        <v>0</v>
      </c>
      <c r="I9" s="311"/>
      <c r="J9" s="311"/>
      <c r="K9" s="311"/>
      <c r="L9" s="311"/>
      <c r="M9" s="311"/>
      <c r="N9" s="311"/>
      <c r="O9" s="311"/>
      <c r="P9" s="311"/>
      <c r="Q9" s="311"/>
      <c r="R9" s="311"/>
      <c r="S9" s="311"/>
      <c r="T9" s="311"/>
      <c r="U9" s="311"/>
      <c r="V9" s="305" t="s">
        <v>2516</v>
      </c>
      <c r="W9" s="306">
        <f>SUMIF($G$2:V$2,V$2,$G9:V9)</f>
        <v>0</v>
      </c>
    </row>
    <row r="10" ht="196" customHeight="1" spans="1:23" x14ac:dyDescent="0.25">
      <c r="A10" s="302" t="s">
        <v>2219</v>
      </c>
      <c r="B10" s="303"/>
      <c r="C10" s="303"/>
      <c r="D10" s="304"/>
      <c r="E10" s="304" t="s">
        <v>2233</v>
      </c>
      <c r="F10" s="304" t="s">
        <v>2234</v>
      </c>
      <c r="G10" s="305" t="s">
        <v>2517</v>
      </c>
      <c r="H10" s="306">
        <f>SUMIF($G$2:G$2,G$2,$G10:G10)</f>
        <v>0</v>
      </c>
      <c r="I10" s="311"/>
      <c r="J10" s="311"/>
      <c r="K10" s="311"/>
      <c r="L10" s="311"/>
      <c r="M10" s="311"/>
      <c r="N10" s="311"/>
      <c r="O10" s="311"/>
      <c r="P10" s="311"/>
      <c r="Q10" s="311"/>
      <c r="S10" s="311"/>
      <c r="T10" s="311"/>
      <c r="U10" s="311"/>
      <c r="V10" s="305" t="s">
        <v>2518</v>
      </c>
      <c r="W10" s="306">
        <f>SUMIF($G$2:V$2,V$2,$G10:V10)</f>
        <v>0</v>
      </c>
    </row>
    <row r="11" ht="196" customHeight="1" spans="1:23" x14ac:dyDescent="0.25">
      <c r="A11" s="302" t="s">
        <v>2219</v>
      </c>
      <c r="B11" s="303"/>
      <c r="C11" s="303"/>
      <c r="D11" s="304"/>
      <c r="E11" s="304" t="s">
        <v>2235</v>
      </c>
      <c r="F11" s="304" t="s">
        <v>2236</v>
      </c>
      <c r="G11" s="305" t="s">
        <v>2519</v>
      </c>
      <c r="H11" s="306">
        <f>SUMIF($G$2:G$2,G$2,$G11:G11)</f>
        <v>0</v>
      </c>
      <c r="I11" s="311"/>
      <c r="J11" s="311"/>
      <c r="K11" s="311"/>
      <c r="L11" s="311"/>
      <c r="M11" s="311"/>
      <c r="N11" s="311"/>
      <c r="O11" s="311"/>
      <c r="P11" s="311"/>
      <c r="Q11" s="311"/>
      <c r="R11" s="311"/>
      <c r="S11" s="311"/>
      <c r="T11" s="311"/>
      <c r="U11" s="311"/>
      <c r="V11" s="305" t="s">
        <v>2520</v>
      </c>
      <c r="W11" s="306">
        <f>SUMIF($G$2:V$2,V$2,$G11:V11)</f>
        <v>0</v>
      </c>
    </row>
    <row r="12" ht="266" customHeight="1" spans="1:23" x14ac:dyDescent="0.25">
      <c r="A12" s="302" t="s">
        <v>2219</v>
      </c>
      <c r="B12" s="303"/>
      <c r="C12" s="303"/>
      <c r="D12" s="304"/>
      <c r="E12" s="304" t="s">
        <v>2237</v>
      </c>
      <c r="F12" s="304" t="s">
        <v>2238</v>
      </c>
      <c r="G12" s="305" t="s">
        <v>2521</v>
      </c>
      <c r="H12" s="306">
        <f>SUMIF($G$2:G$2,G$2,$G12:G12)</f>
        <v>0</v>
      </c>
      <c r="I12" s="311"/>
      <c r="J12" s="311"/>
      <c r="K12" s="311"/>
      <c r="L12" s="311"/>
      <c r="M12" s="311"/>
      <c r="N12" s="311"/>
      <c r="O12" s="311"/>
      <c r="P12" s="311"/>
      <c r="Q12" s="311"/>
      <c r="R12" s="311"/>
      <c r="S12" s="311"/>
      <c r="T12" s="311"/>
      <c r="U12" s="311"/>
      <c r="V12" s="305" t="s">
        <v>2522</v>
      </c>
      <c r="W12" s="306">
        <f>SUMIF($G$2:V$2,V$2,$G12:V12)</f>
        <v>0</v>
      </c>
    </row>
    <row r="13" ht="238" customHeight="1" spans="1:23" x14ac:dyDescent="0.25">
      <c r="A13" s="302" t="s">
        <v>2219</v>
      </c>
      <c r="B13" s="303"/>
      <c r="C13" s="303"/>
      <c r="D13" s="304"/>
      <c r="E13" s="304" t="s">
        <v>2239</v>
      </c>
      <c r="F13" s="304" t="s">
        <v>2240</v>
      </c>
      <c r="G13" s="305" t="s">
        <v>2523</v>
      </c>
      <c r="H13" s="306">
        <f>SUMIF($G$2:G$2,G$2,$G13:G13)</f>
        <v>0</v>
      </c>
      <c r="I13" s="311"/>
      <c r="J13" s="311"/>
      <c r="K13" s="311"/>
      <c r="L13" s="311"/>
      <c r="M13" s="311"/>
      <c r="N13" s="311"/>
      <c r="O13" s="311"/>
      <c r="P13" s="311"/>
      <c r="Q13" s="311"/>
      <c r="R13" s="311"/>
      <c r="S13" s="311"/>
      <c r="T13" s="311"/>
      <c r="U13" s="311"/>
      <c r="V13" s="305" t="s">
        <v>2524</v>
      </c>
      <c r="W13" s="306">
        <f>SUMIF($G$2:V$2,V$2,$G13:V13)</f>
        <v>0</v>
      </c>
    </row>
    <row r="14" ht="409.6" customHeight="1" spans="1:23" x14ac:dyDescent="0.25">
      <c r="A14" s="302" t="s">
        <v>2219</v>
      </c>
      <c r="B14" s="303"/>
      <c r="C14" s="303"/>
      <c r="D14" s="304"/>
      <c r="E14" s="304" t="s">
        <v>2241</v>
      </c>
      <c r="F14" s="304" t="s">
        <v>2242</v>
      </c>
      <c r="G14" s="305" t="s">
        <v>2525</v>
      </c>
      <c r="H14" s="306">
        <f>SUMIF($G$2:G$2,G$2,$G14:G14)</f>
        <v>0</v>
      </c>
      <c r="I14" s="305" t="s">
        <v>2526</v>
      </c>
      <c r="J14" s="305" t="s">
        <v>2527</v>
      </c>
      <c r="K14" s="305" t="s">
        <v>2528</v>
      </c>
      <c r="L14" s="305" t="s">
        <v>2529</v>
      </c>
      <c r="M14" s="305" t="s">
        <v>2530</v>
      </c>
      <c r="N14" s="305" t="s">
        <v>2531</v>
      </c>
      <c r="O14" s="305" t="s">
        <v>2532</v>
      </c>
      <c r="P14" s="305" t="s">
        <v>2533</v>
      </c>
      <c r="Q14" s="305" t="s">
        <v>2534</v>
      </c>
      <c r="R14" s="312" t="s">
        <v>2535</v>
      </c>
      <c r="S14" s="305" t="s">
        <v>2536</v>
      </c>
      <c r="T14" s="305" t="s">
        <v>2537</v>
      </c>
      <c r="U14" s="305" t="s">
        <v>2538</v>
      </c>
      <c r="V14" s="305" t="s">
        <v>2539</v>
      </c>
      <c r="W14" s="306">
        <f>SUMIF($G$2:V$2,V$2,$G14:V14)</f>
        <v>0</v>
      </c>
    </row>
    <row r="15" ht="409.6" customHeight="1" spans="1:23" x14ac:dyDescent="0.25">
      <c r="A15" s="302" t="s">
        <v>2219</v>
      </c>
      <c r="B15" s="303"/>
      <c r="C15" s="303"/>
      <c r="D15" s="304"/>
      <c r="E15" s="304" t="s">
        <v>2243</v>
      </c>
      <c r="F15" s="304" t="s">
        <v>2244</v>
      </c>
      <c r="G15" s="305" t="s">
        <v>2540</v>
      </c>
      <c r="H15" s="306">
        <f>SUMIF($G$2:G$2,G$2,$G15:G15)</f>
        <v>0</v>
      </c>
      <c r="I15" s="305" t="s">
        <v>2541</v>
      </c>
      <c r="J15" s="305" t="s">
        <v>2542</v>
      </c>
      <c r="K15" s="305" t="s">
        <v>2543</v>
      </c>
      <c r="L15" s="305" t="s">
        <v>2544</v>
      </c>
      <c r="M15" s="305" t="s">
        <v>2545</v>
      </c>
      <c r="N15" s="305" t="s">
        <v>2546</v>
      </c>
      <c r="O15" s="305" t="s">
        <v>2547</v>
      </c>
      <c r="P15" s="305" t="s">
        <v>2548</v>
      </c>
      <c r="Q15" s="305" t="s">
        <v>2549</v>
      </c>
      <c r="R15" s="312" t="s">
        <v>2550</v>
      </c>
      <c r="S15" s="305" t="s">
        <v>2551</v>
      </c>
      <c r="T15" s="305" t="s">
        <v>2552</v>
      </c>
      <c r="U15" s="305" t="s">
        <v>2553</v>
      </c>
      <c r="V15" s="309" t="s">
        <v>2554</v>
      </c>
      <c r="W15" s="306">
        <f>SUMIF($G$2:V$2,V$2,$G15:V15)</f>
        <v>0</v>
      </c>
    </row>
    <row r="16" spans="1:23" x14ac:dyDescent="0.25">
      <c r="A16" s="302"/>
      <c r="B16" s="313"/>
      <c r="C16" s="313"/>
      <c r="D16" s="314"/>
      <c r="E16" s="314"/>
      <c r="F16" s="315" t="s">
        <v>2245</v>
      </c>
      <c r="G16" s="306">
        <f>SUMIF($C$5:$C15,$C15,G$5:G15)</f>
        <v>0</v>
      </c>
      <c r="H16" s="316">
        <f>SUMIF($C$5:$C15,$C15,H$5:H15)</f>
        <v>0</v>
      </c>
      <c r="I16" s="306">
        <f>SUMIF($C$5:$C15,$C15,I$5:I15)</f>
        <v>0</v>
      </c>
      <c r="J16" s="306">
        <f>SUMIF($C$5:$C15,$C15,J$5:J15)</f>
        <v>0</v>
      </c>
      <c r="K16" s="306">
        <f>SUMIF($C$5:$C15,$C15,K$5:K15)</f>
        <v>0</v>
      </c>
      <c r="L16" s="306">
        <f>SUMIF($C$5:$C15,$C15,L$5:L15)</f>
        <v>0</v>
      </c>
      <c r="M16" s="306">
        <f>SUMIF($C$5:$C15,$C15,M$5:M15)</f>
        <v>0</v>
      </c>
      <c r="N16" s="306">
        <f>SUMIF($C$5:$C15,$C15,N$5:N15)</f>
        <v>0</v>
      </c>
      <c r="O16" s="306">
        <f>SUMIF($C$5:$C15,$C15,O$5:O15)</f>
        <v>0</v>
      </c>
      <c r="P16" s="306">
        <f>SUMIF($C$5:$C15,$C15,P$5:P15)</f>
        <v>0</v>
      </c>
      <c r="Q16" s="306">
        <f>SUMIF($C$5:$C15,$C15,Q$5:Q15)</f>
        <v>0</v>
      </c>
      <c r="R16" s="306"/>
      <c r="S16" s="306">
        <f>SUMIF($C$5:$C15,$C15,S$5:S15)</f>
        <v>0</v>
      </c>
      <c r="T16" s="306">
        <f>SUMIF($C$5:$C15,$C15,T$5:T15)</f>
        <v>0</v>
      </c>
      <c r="U16" s="306">
        <f>SUMIF($C$5:$C15,$C15,U$5:U15)</f>
        <v>0</v>
      </c>
      <c r="V16" s="306">
        <f>SUMIF($C$5:$C15,$C15,V$5:V15)</f>
        <v>0</v>
      </c>
      <c r="W16" s="306">
        <f>SUMIF($C$5:$C15,$C15,W$5:W15)</f>
        <v>0</v>
      </c>
    </row>
    <row r="17" spans="1:23" x14ac:dyDescent="0.25">
      <c r="A17" s="317"/>
      <c r="B17" s="317"/>
      <c r="C17" s="317"/>
      <c r="D17" s="317"/>
      <c r="E17" s="317"/>
      <c r="F17" s="317"/>
      <c r="G17" s="318"/>
      <c r="H17" s="318"/>
      <c r="I17" s="318"/>
      <c r="J17" s="318"/>
      <c r="K17" s="318"/>
      <c r="L17" s="318"/>
      <c r="M17" s="318"/>
      <c r="N17" s="318"/>
      <c r="O17" s="318"/>
      <c r="P17" s="318"/>
      <c r="Q17" s="318"/>
      <c r="R17" s="318"/>
      <c r="S17" s="318"/>
      <c r="T17" s="318"/>
      <c r="U17" s="318"/>
      <c r="V17" s="318"/>
      <c r="W17" s="318"/>
    </row>
    <row r="18" spans="1:23" x14ac:dyDescent="0.25">
      <c r="A18" s="317"/>
      <c r="B18" s="317"/>
      <c r="C18" s="317"/>
      <c r="D18" s="317"/>
      <c r="E18" s="317"/>
      <c r="F18" s="317"/>
      <c r="G18" s="318"/>
      <c r="H18" s="318"/>
      <c r="I18" s="318"/>
      <c r="J18" s="318"/>
      <c r="K18" s="318"/>
      <c r="L18" s="318"/>
      <c r="M18" s="318"/>
      <c r="N18" s="318"/>
      <c r="O18" s="318"/>
      <c r="P18" s="318"/>
      <c r="Q18" s="318"/>
      <c r="R18" s="318"/>
      <c r="S18" s="318"/>
      <c r="T18" s="318"/>
      <c r="U18" s="318"/>
      <c r="V18" s="318"/>
      <c r="W18" s="318"/>
    </row>
    <row r="19" ht="345" customHeight="1" spans="1:23" x14ac:dyDescent="0.25">
      <c r="A19" s="317"/>
      <c r="B19" s="317"/>
      <c r="C19" s="317"/>
      <c r="D19" s="317"/>
      <c r="E19" s="317"/>
      <c r="F19" s="319" t="s">
        <v>2247</v>
      </c>
      <c r="G19" s="305" t="s">
        <v>2555</v>
      </c>
      <c r="H19" s="318"/>
      <c r="I19" s="318"/>
      <c r="J19" s="318"/>
      <c r="K19" s="318"/>
      <c r="L19" s="318"/>
      <c r="M19" s="318"/>
      <c r="N19" s="318"/>
      <c r="O19" s="318"/>
      <c r="P19" s="318"/>
      <c r="Q19" s="318"/>
      <c r="R19" s="318"/>
      <c r="S19" s="318"/>
      <c r="T19" s="318"/>
      <c r="U19" s="319" t="s">
        <v>2248</v>
      </c>
      <c r="V19" s="305" t="s">
        <v>2556</v>
      </c>
      <c r="W19" s="318"/>
    </row>
  </sheetData>
  <mergeCells count="3">
    <mergeCell ref="B1:I1"/>
    <mergeCell ref="H2:H4"/>
    <mergeCell ref="W2:W4"/>
  </mergeCells>
  <pageMargins left="0.7" right="0.7" top="0.75" bottom="0.75" header="0.3" footer="0.3"/>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9"/>
  <sheetViews>
    <sheetView workbookViewId="0" zoomScale="100" zoomScaleNormal="100">
      <selection activeCell="A2" sqref="A2"/>
    </sheetView>
  </sheetViews>
  <sheetFormatPr defaultRowHeight="15" outlineLevelRow="0" outlineLevelCol="0" x14ac:dyDescent="0.2"/>
  <cols>
    <col min="2" max="2" hidden="1" customWidth="1"/>
    <col min="18" max="18" width="13.83203125" customWidth="1"/>
  </cols>
  <sheetData>
    <row r="1" ht="42" customHeight="1" spans="1:21" x14ac:dyDescent="0.25">
      <c r="A1" s="320" t="s">
        <v>2250</v>
      </c>
      <c r="B1" s="320"/>
      <c r="C1" s="320"/>
      <c r="D1" s="320"/>
      <c r="E1" s="320"/>
      <c r="F1" s="320"/>
      <c r="G1" s="320"/>
      <c r="H1" s="320"/>
      <c r="I1" s="321"/>
      <c r="J1" s="321"/>
      <c r="K1" s="321"/>
      <c r="L1" s="321"/>
      <c r="M1" s="321"/>
      <c r="N1" s="321"/>
      <c r="O1" s="321"/>
      <c r="P1" s="321"/>
      <c r="Q1" s="321"/>
      <c r="R1" s="321"/>
      <c r="S1" s="321"/>
      <c r="T1" s="322"/>
      <c r="U1" s="322"/>
    </row>
    <row r="2" ht="28" customHeight="1" spans="1:19" x14ac:dyDescent="0.25">
      <c r="A2" s="320"/>
      <c r="B2" s="320"/>
      <c r="C2" s="320"/>
      <c r="D2" s="320"/>
      <c r="E2" s="320"/>
      <c r="F2" s="320"/>
      <c r="G2" s="323" t="s">
        <v>2116</v>
      </c>
      <c r="H2" s="324" t="s">
        <v>2117</v>
      </c>
      <c r="I2" s="323" t="s">
        <v>2118</v>
      </c>
      <c r="J2" s="323" t="s">
        <v>2118</v>
      </c>
      <c r="K2" s="323" t="s">
        <v>2118</v>
      </c>
      <c r="L2" s="323" t="s">
        <v>2118</v>
      </c>
      <c r="M2" s="323" t="s">
        <v>2118</v>
      </c>
      <c r="N2" s="323" t="s">
        <v>2118</v>
      </c>
      <c r="O2" s="323" t="s">
        <v>2118</v>
      </c>
      <c r="P2" s="323" t="s">
        <v>2118</v>
      </c>
      <c r="Q2" s="323" t="s">
        <v>2118</v>
      </c>
      <c r="R2" s="323" t="s">
        <v>2118</v>
      </c>
      <c r="S2" s="324" t="s">
        <v>2119</v>
      </c>
    </row>
    <row r="3" ht="56" customHeight="1" spans="1:19" x14ac:dyDescent="0.25">
      <c r="A3" s="320"/>
      <c r="B3" s="320"/>
      <c r="C3" s="320"/>
      <c r="D3" s="320"/>
      <c r="E3" s="320"/>
      <c r="F3" s="320"/>
      <c r="G3" s="323" t="s">
        <v>2126</v>
      </c>
      <c r="H3" s="324"/>
      <c r="I3" s="323" t="s">
        <v>2254</v>
      </c>
      <c r="J3" s="323" t="s">
        <v>2255</v>
      </c>
      <c r="K3" s="323" t="s">
        <v>2256</v>
      </c>
      <c r="L3" s="323" t="s">
        <v>2257</v>
      </c>
      <c r="M3" s="323" t="s">
        <v>2258</v>
      </c>
      <c r="N3" s="323" t="s">
        <v>2259</v>
      </c>
      <c r="O3" s="323" t="s">
        <v>2260</v>
      </c>
      <c r="P3" s="323" t="s">
        <v>2261</v>
      </c>
      <c r="Q3" s="323" t="s">
        <v>2262</v>
      </c>
      <c r="R3" s="323" t="s">
        <v>2139</v>
      </c>
      <c r="S3" s="324"/>
    </row>
    <row r="4" ht="112" customHeight="1" spans="1:19" x14ac:dyDescent="0.25">
      <c r="A4" s="320"/>
      <c r="B4" s="325" t="s">
        <v>2169</v>
      </c>
      <c r="C4" s="325" t="s">
        <v>2170</v>
      </c>
      <c r="D4" s="325" t="s">
        <v>37</v>
      </c>
      <c r="E4" s="325" t="s">
        <v>2171</v>
      </c>
      <c r="F4" s="325" t="s">
        <v>2172</v>
      </c>
      <c r="G4" s="323" t="s">
        <v>2173</v>
      </c>
      <c r="H4" s="324"/>
      <c r="I4" s="323" t="s">
        <v>2273</v>
      </c>
      <c r="J4" s="323" t="s">
        <v>2274</v>
      </c>
      <c r="K4" s="323" t="s">
        <v>2275</v>
      </c>
      <c r="L4" s="323" t="s">
        <v>2276</v>
      </c>
      <c r="M4" s="323" t="s">
        <v>2277</v>
      </c>
      <c r="N4" s="323" t="s">
        <v>2278</v>
      </c>
      <c r="O4" s="323" t="s">
        <v>2279</v>
      </c>
      <c r="P4" s="323" t="s">
        <v>2280</v>
      </c>
      <c r="Q4" s="323" t="s">
        <v>2281</v>
      </c>
      <c r="R4" s="323" t="s">
        <v>2187</v>
      </c>
      <c r="S4" s="324"/>
    </row>
    <row r="5" ht="409.6" customHeight="1" spans="1:19" x14ac:dyDescent="0.25">
      <c r="A5" s="326" t="s">
        <v>2292</v>
      </c>
      <c r="B5" s="327"/>
      <c r="C5" s="327"/>
      <c r="D5" s="327"/>
      <c r="E5" s="327" t="s">
        <v>2220</v>
      </c>
      <c r="F5" s="328" t="s">
        <v>2221</v>
      </c>
      <c r="G5" s="305" t="s">
        <v>2557</v>
      </c>
      <c r="H5" s="329">
        <f t="shared" ref="H5:H15" si="0">SUM(G5)</f>
        <v>0</v>
      </c>
      <c r="I5" s="330"/>
      <c r="J5" s="305" t="s">
        <v>2558</v>
      </c>
      <c r="K5" s="305" t="s">
        <v>2559</v>
      </c>
      <c r="L5" s="305" t="s">
        <v>2560</v>
      </c>
      <c r="M5" s="331" t="s">
        <v>2467</v>
      </c>
      <c r="N5" s="331" t="s">
        <v>2467</v>
      </c>
      <c r="O5" s="332"/>
      <c r="P5" s="332"/>
      <c r="Q5" s="331" t="s">
        <v>2467</v>
      </c>
      <c r="R5" s="305" t="s">
        <v>2561</v>
      </c>
      <c r="S5" s="329">
        <f t="shared" ref="S5:S15" si="1">SUM(I5:R5)</f>
        <v>0</v>
      </c>
    </row>
    <row r="6" ht="132" customHeight="1" spans="1:19" x14ac:dyDescent="0.25">
      <c r="A6" s="326" t="s">
        <v>2292</v>
      </c>
      <c r="B6" s="327"/>
      <c r="C6" s="327"/>
      <c r="D6" s="327"/>
      <c r="E6" s="327" t="s">
        <v>2222</v>
      </c>
      <c r="F6" s="328" t="s">
        <v>2223</v>
      </c>
      <c r="G6" s="333"/>
      <c r="H6" s="329">
        <f t="shared" si="0"/>
        <v>0</v>
      </c>
      <c r="I6" s="330"/>
      <c r="J6" s="334"/>
      <c r="K6" s="334"/>
      <c r="L6" s="334"/>
      <c r="M6" s="335"/>
      <c r="N6" s="336"/>
      <c r="O6" s="331" t="s">
        <v>2467</v>
      </c>
      <c r="P6" s="331" t="s">
        <v>2467</v>
      </c>
      <c r="Q6" s="331" t="s">
        <v>2467</v>
      </c>
      <c r="R6" s="282" t="s">
        <v>2467</v>
      </c>
      <c r="S6" s="329">
        <f t="shared" si="1"/>
        <v>0</v>
      </c>
    </row>
    <row r="7" ht="70" customHeight="1" spans="1:19" x14ac:dyDescent="0.25">
      <c r="A7" s="326" t="s">
        <v>2292</v>
      </c>
      <c r="B7" s="327"/>
      <c r="C7" s="327"/>
      <c r="D7" s="327"/>
      <c r="E7" s="327" t="s">
        <v>2225</v>
      </c>
      <c r="F7" s="328" t="s">
        <v>2226</v>
      </c>
      <c r="G7" s="333"/>
      <c r="H7" s="329">
        <f t="shared" si="0"/>
        <v>0</v>
      </c>
      <c r="I7" s="330"/>
      <c r="J7" s="334"/>
      <c r="K7" s="334"/>
      <c r="L7" s="334"/>
      <c r="M7" s="334"/>
      <c r="N7" s="333"/>
      <c r="O7" s="334"/>
      <c r="P7" s="334"/>
      <c r="Q7" s="334"/>
      <c r="R7" s="334"/>
      <c r="S7" s="329">
        <f t="shared" si="1"/>
        <v>0</v>
      </c>
    </row>
    <row r="8" ht="168" customHeight="1" spans="1:19" x14ac:dyDescent="0.25">
      <c r="A8" s="326" t="s">
        <v>2292</v>
      </c>
      <c r="B8" s="327"/>
      <c r="C8" s="327"/>
      <c r="D8" s="327"/>
      <c r="E8" s="327" t="s">
        <v>2229</v>
      </c>
      <c r="F8" s="328" t="s">
        <v>2230</v>
      </c>
      <c r="G8" s="305" t="s">
        <v>2562</v>
      </c>
      <c r="H8" s="329">
        <f t="shared" si="0"/>
        <v>0</v>
      </c>
      <c r="I8" s="330"/>
      <c r="J8" s="334"/>
      <c r="K8" s="334"/>
      <c r="L8" s="334"/>
      <c r="M8" s="334"/>
      <c r="N8" s="333"/>
      <c r="O8" s="334"/>
      <c r="P8" s="334"/>
      <c r="Q8" s="334"/>
      <c r="R8" s="305" t="s">
        <v>2563</v>
      </c>
      <c r="S8" s="329">
        <f t="shared" si="1"/>
        <v>0</v>
      </c>
    </row>
    <row r="9" ht="252" customHeight="1" spans="1:19" x14ac:dyDescent="0.25">
      <c r="A9" s="326" t="s">
        <v>2292</v>
      </c>
      <c r="B9" s="327"/>
      <c r="C9" s="327"/>
      <c r="D9" s="327"/>
      <c r="E9" s="327" t="s">
        <v>2231</v>
      </c>
      <c r="F9" s="328" t="s">
        <v>2232</v>
      </c>
      <c r="G9" s="305" t="s">
        <v>2564</v>
      </c>
      <c r="H9" s="329">
        <f t="shared" si="0"/>
        <v>0</v>
      </c>
      <c r="I9" s="330"/>
      <c r="J9" s="334"/>
      <c r="K9" s="334"/>
      <c r="L9" s="334"/>
      <c r="M9" s="334"/>
      <c r="N9" s="333"/>
      <c r="O9" s="334"/>
      <c r="P9" s="334"/>
      <c r="Q9" s="334"/>
      <c r="R9" s="305" t="s">
        <v>2565</v>
      </c>
      <c r="S9" s="329">
        <f t="shared" si="1"/>
        <v>0</v>
      </c>
    </row>
    <row r="10" ht="168" customHeight="1" spans="1:19" x14ac:dyDescent="0.25">
      <c r="A10" s="326" t="s">
        <v>2292</v>
      </c>
      <c r="B10" s="327"/>
      <c r="C10" s="327"/>
      <c r="D10" s="327"/>
      <c r="E10" s="327" t="s">
        <v>2233</v>
      </c>
      <c r="F10" s="328" t="s">
        <v>2234</v>
      </c>
      <c r="G10" s="305" t="s">
        <v>2566</v>
      </c>
      <c r="H10" s="329">
        <f>SUM(G10)</f>
        <v>0</v>
      </c>
      <c r="I10" s="330"/>
      <c r="J10" s="334"/>
      <c r="K10" s="334"/>
      <c r="L10" s="334"/>
      <c r="M10" s="334"/>
      <c r="N10" s="333"/>
      <c r="O10" s="334"/>
      <c r="P10" s="334"/>
      <c r="Q10" s="334"/>
      <c r="R10" s="305" t="s">
        <v>2567</v>
      </c>
      <c r="S10" s="329">
        <f t="shared" si="1"/>
        <v>0</v>
      </c>
    </row>
    <row r="11" ht="168" customHeight="1" spans="1:19" x14ac:dyDescent="0.25">
      <c r="A11" s="326" t="s">
        <v>2292</v>
      </c>
      <c r="B11" s="327"/>
      <c r="C11" s="327"/>
      <c r="D11" s="327"/>
      <c r="E11" s="327" t="s">
        <v>2235</v>
      </c>
      <c r="F11" s="328" t="s">
        <v>2236</v>
      </c>
      <c r="G11" s="305" t="s">
        <v>2568</v>
      </c>
      <c r="H11" s="329">
        <f>SUM(G11)</f>
        <v>0</v>
      </c>
      <c r="I11" s="330"/>
      <c r="J11" s="334"/>
      <c r="K11" s="334"/>
      <c r="L11" s="334"/>
      <c r="M11" s="334"/>
      <c r="N11" s="333"/>
      <c r="O11" s="334"/>
      <c r="P11" s="334"/>
      <c r="Q11" s="334"/>
      <c r="R11" s="305" t="s">
        <v>2569</v>
      </c>
      <c r="S11" s="329">
        <f t="shared" si="1"/>
        <v>0</v>
      </c>
    </row>
    <row r="12" ht="196" customHeight="1" spans="1:19" x14ac:dyDescent="0.25">
      <c r="A12" s="326" t="s">
        <v>2292</v>
      </c>
      <c r="B12" s="327"/>
      <c r="C12" s="327"/>
      <c r="D12" s="327"/>
      <c r="E12" s="327" t="s">
        <v>2237</v>
      </c>
      <c r="F12" s="328" t="s">
        <v>2238</v>
      </c>
      <c r="G12" s="305" t="s">
        <v>2570</v>
      </c>
      <c r="H12" s="329">
        <f t="shared" si="0"/>
        <v>0</v>
      </c>
      <c r="I12" s="330"/>
      <c r="J12" s="334"/>
      <c r="K12" s="334"/>
      <c r="L12" s="334"/>
      <c r="M12" s="334"/>
      <c r="N12" s="333"/>
      <c r="O12" s="334"/>
      <c r="P12" s="334"/>
      <c r="Q12" s="334"/>
      <c r="R12" s="305" t="s">
        <v>2571</v>
      </c>
      <c r="S12" s="329">
        <f t="shared" si="1"/>
        <v>0</v>
      </c>
    </row>
    <row r="13" ht="210" customHeight="1" spans="1:19" x14ac:dyDescent="0.25">
      <c r="A13" s="326" t="s">
        <v>2292</v>
      </c>
      <c r="B13" s="327"/>
      <c r="C13" s="327"/>
      <c r="D13" s="327"/>
      <c r="E13" s="327" t="s">
        <v>2239</v>
      </c>
      <c r="F13" s="328" t="s">
        <v>2240</v>
      </c>
      <c r="G13" s="305" t="s">
        <v>2572</v>
      </c>
      <c r="H13" s="329">
        <f t="shared" si="0"/>
        <v>0</v>
      </c>
      <c r="I13" s="305" t="s">
        <v>2573</v>
      </c>
      <c r="J13" s="334"/>
      <c r="K13" s="334"/>
      <c r="L13" s="334"/>
      <c r="M13" s="334"/>
      <c r="N13" s="333"/>
      <c r="O13" s="334"/>
      <c r="P13" s="334"/>
      <c r="Q13" s="334"/>
      <c r="R13" s="305" t="s">
        <v>2574</v>
      </c>
      <c r="S13" s="329">
        <f t="shared" si="1"/>
        <v>0</v>
      </c>
    </row>
    <row r="14" ht="409.6" customHeight="1" spans="1:19" x14ac:dyDescent="0.25">
      <c r="A14" s="326" t="s">
        <v>2292</v>
      </c>
      <c r="B14" s="327"/>
      <c r="C14" s="327"/>
      <c r="D14" s="327"/>
      <c r="E14" s="327" t="s">
        <v>2241</v>
      </c>
      <c r="F14" s="328" t="s">
        <v>2242</v>
      </c>
      <c r="G14" s="305" t="s">
        <v>2575</v>
      </c>
      <c r="H14" s="329">
        <f t="shared" si="0"/>
        <v>0</v>
      </c>
      <c r="I14" s="305" t="s">
        <v>2576</v>
      </c>
      <c r="J14" s="305" t="s">
        <v>2577</v>
      </c>
      <c r="K14" s="305" t="s">
        <v>2578</v>
      </c>
      <c r="L14" s="305" t="s">
        <v>2579</v>
      </c>
      <c r="M14" s="333"/>
      <c r="N14" s="333"/>
      <c r="O14" s="334"/>
      <c r="P14" s="334"/>
      <c r="Q14" s="334"/>
      <c r="R14" s="305" t="s">
        <v>2580</v>
      </c>
      <c r="S14" s="329">
        <f t="shared" si="1"/>
        <v>0</v>
      </c>
    </row>
    <row r="15" ht="409.6" customHeight="1" spans="1:19" x14ac:dyDescent="0.25">
      <c r="A15" s="326" t="s">
        <v>2292</v>
      </c>
      <c r="B15" s="327"/>
      <c r="C15" s="327"/>
      <c r="D15" s="327"/>
      <c r="E15" s="327" t="s">
        <v>2243</v>
      </c>
      <c r="F15" s="328" t="s">
        <v>2244</v>
      </c>
      <c r="G15" s="305" t="s">
        <v>2581</v>
      </c>
      <c r="H15" s="329">
        <f t="shared" si="0"/>
        <v>0</v>
      </c>
      <c r="I15" s="305" t="s">
        <v>2582</v>
      </c>
      <c r="J15" s="305" t="s">
        <v>2583</v>
      </c>
      <c r="K15" s="305" t="s">
        <v>2584</v>
      </c>
      <c r="L15" s="305" t="s">
        <v>2585</v>
      </c>
      <c r="M15" s="333"/>
      <c r="N15" s="333"/>
      <c r="O15" s="334"/>
      <c r="P15" s="334"/>
      <c r="Q15" s="334"/>
      <c r="R15" s="305" t="s">
        <v>2586</v>
      </c>
      <c r="S15" s="329">
        <f t="shared" si="1"/>
        <v>0</v>
      </c>
    </row>
    <row r="16" ht="28" customHeight="1" spans="1:19" x14ac:dyDescent="0.25">
      <c r="A16" s="326"/>
      <c r="B16" s="337"/>
      <c r="C16" s="337"/>
      <c r="D16" s="337"/>
      <c r="E16" s="337"/>
      <c r="F16" s="324" t="s">
        <v>2245</v>
      </c>
      <c r="G16" s="329">
        <f t="shared" ref="G16:S16" si="2">SUM(G5:G15)</f>
        <v>0</v>
      </c>
      <c r="H16" s="329">
        <f t="shared" si="2"/>
        <v>0</v>
      </c>
      <c r="I16" s="329">
        <f t="shared" si="2"/>
        <v>0</v>
      </c>
      <c r="J16" s="329">
        <f t="shared" si="2"/>
        <v>0</v>
      </c>
      <c r="K16" s="329">
        <f t="shared" si="2"/>
        <v>0</v>
      </c>
      <c r="L16" s="329">
        <f t="shared" si="2"/>
        <v>0</v>
      </c>
      <c r="M16" s="329">
        <f t="shared" si="2"/>
        <v>0</v>
      </c>
      <c r="N16" s="329">
        <f t="shared" si="2"/>
        <v>0</v>
      </c>
      <c r="O16" s="329">
        <f>SUM(O6:O15)</f>
        <v>0</v>
      </c>
      <c r="P16" s="329">
        <f>SUM(P6:P15)</f>
        <v>0</v>
      </c>
      <c r="Q16" s="329">
        <f t="shared" si="2"/>
        <v>0</v>
      </c>
      <c r="R16" s="329">
        <f>SUM(R5:R15)</f>
        <v>0</v>
      </c>
      <c r="S16" s="329">
        <f t="shared" si="2"/>
        <v>0</v>
      </c>
    </row>
    <row r="17" spans="1:19" x14ac:dyDescent="0.25">
      <c r="A17" s="338"/>
      <c r="B17" s="338"/>
      <c r="C17" s="338"/>
      <c r="D17" s="338"/>
      <c r="E17" s="338"/>
      <c r="F17" s="339"/>
      <c r="G17" s="338"/>
      <c r="H17" s="338"/>
      <c r="I17" s="338"/>
      <c r="J17" s="338"/>
      <c r="K17" s="338"/>
      <c r="L17" s="338"/>
      <c r="M17" s="338"/>
      <c r="N17" s="338"/>
      <c r="O17" s="338"/>
      <c r="P17" s="338"/>
      <c r="Q17" s="338"/>
      <c r="R17" s="338"/>
      <c r="S17" s="340"/>
    </row>
    <row r="18" spans="1:21" x14ac:dyDescent="0.25">
      <c r="A18" s="338"/>
      <c r="B18" s="338"/>
      <c r="C18" s="338"/>
      <c r="D18" s="338"/>
      <c r="E18" s="338"/>
      <c r="F18" s="339"/>
      <c r="G18" s="338"/>
      <c r="H18" s="338"/>
      <c r="I18" s="338"/>
      <c r="J18" s="338"/>
      <c r="K18" s="338"/>
      <c r="L18" s="338"/>
      <c r="M18" s="338"/>
      <c r="N18" s="338"/>
      <c r="O18" s="338"/>
      <c r="P18" s="338"/>
      <c r="Q18" s="338"/>
      <c r="R18" s="338"/>
      <c r="S18" s="341"/>
      <c r="T18" s="338"/>
      <c r="U18" s="338"/>
    </row>
    <row r="19" ht="345" customHeight="1" spans="1:21" x14ac:dyDescent="0.25">
      <c r="A19" s="342"/>
      <c r="B19" s="342"/>
      <c r="C19" s="342"/>
      <c r="D19" s="343"/>
      <c r="E19" s="342"/>
      <c r="F19" s="319" t="s">
        <v>2247</v>
      </c>
      <c r="G19" s="305" t="s">
        <v>2587</v>
      </c>
      <c r="H19" s="342"/>
      <c r="I19" s="342"/>
      <c r="J19" s="342"/>
      <c r="K19" s="342"/>
      <c r="L19" s="342"/>
      <c r="M19" s="342"/>
      <c r="N19" s="342"/>
      <c r="O19" s="342"/>
      <c r="P19" s="342"/>
      <c r="Q19" s="319" t="s">
        <v>2248</v>
      </c>
      <c r="R19" s="305" t="s">
        <v>2588</v>
      </c>
      <c r="S19" s="342"/>
      <c r="T19" s="342"/>
      <c r="U19" s="342"/>
    </row>
  </sheetData>
  <mergeCells count="3">
    <mergeCell ref="A1:H1"/>
    <mergeCell ref="H2:H4"/>
    <mergeCell ref="S2:S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zoomScale="100" zoomScaleNormal="100">
      <selection activeCell="M15" sqref="M15"/>
    </sheetView>
  </sheetViews>
  <sheetFormatPr defaultRowHeight="37" outlineLevelRow="0" outlineLevelCol="0" x14ac:dyDescent="0.2" defaultColWidth="11" customHeight="1"/>
  <cols>
    <col min="1" max="3" style="91" hidden="1" customWidth="1"/>
    <col min="4" max="4" width="15.1640625" style="91" hidden="1" customWidth="1"/>
    <col min="5" max="5" width="11" style="91" customWidth="1"/>
    <col min="6" max="6" width="53.33203125" style="91" hidden="1" customWidth="1"/>
    <col min="7" max="7" width="13.5" style="91" customWidth="1"/>
    <col min="8" max="8" width="11" style="91" customWidth="1"/>
    <col min="9" max="9" width="13.5" style="91" customWidth="1"/>
    <col min="10" max="10" width="50.5" style="91" customWidth="1"/>
    <col min="11" max="11" width="15.1640625" style="91" customWidth="1"/>
    <col min="12" max="12" width="11" style="91" customWidth="1"/>
    <col min="13" max="13" width="15.1640625" style="91" customWidth="1"/>
    <col min="14" max="16384" width="11" style="91" customWidth="1"/>
  </cols>
  <sheetData>
    <row r="1" ht="37" customHeight="1" spans="1:14" x14ac:dyDescent="0.25">
      <c r="A1" s="92"/>
      <c r="C1" s="160"/>
      <c r="E1" s="143"/>
      <c r="F1" s="91"/>
      <c r="G1" s="344"/>
      <c r="H1" s="91"/>
      <c r="I1" s="344" t="s">
        <v>2293</v>
      </c>
      <c r="J1" s="345"/>
      <c r="K1" s="143"/>
      <c r="L1" s="143"/>
      <c r="M1" s="92"/>
      <c r="N1" s="92"/>
    </row>
    <row r="2" ht="37" customHeight="1" spans="1:14" x14ac:dyDescent="0.25">
      <c r="A2" s="161"/>
      <c r="B2" s="162"/>
      <c r="C2" s="162"/>
      <c r="D2" s="162"/>
      <c r="E2" s="346"/>
      <c r="F2" s="347"/>
      <c r="G2" s="347"/>
      <c r="H2" s="347"/>
      <c r="I2" s="347"/>
      <c r="J2" s="347"/>
      <c r="K2" s="144" t="s">
        <v>2118</v>
      </c>
      <c r="L2" s="348" t="s">
        <v>2119</v>
      </c>
      <c r="M2" s="95" t="s">
        <v>2294</v>
      </c>
      <c r="N2" s="96" t="s">
        <v>2295</v>
      </c>
    </row>
    <row r="3" ht="37" customHeight="1" spans="1:14" x14ac:dyDescent="0.25">
      <c r="A3" s="161"/>
      <c r="B3" s="162"/>
      <c r="C3" s="162"/>
      <c r="D3" s="162"/>
      <c r="E3" s="346"/>
      <c r="F3" s="347"/>
      <c r="G3" s="347"/>
      <c r="H3" s="347"/>
      <c r="I3" s="347"/>
      <c r="J3" s="347"/>
      <c r="K3" s="144" t="s">
        <v>2139</v>
      </c>
      <c r="L3" s="348"/>
      <c r="M3" s="95" t="s">
        <v>2296</v>
      </c>
      <c r="N3" s="96"/>
    </row>
    <row r="4" ht="37" customHeight="1" spans="1:14" x14ac:dyDescent="0.25">
      <c r="A4" s="349"/>
      <c r="B4" s="165"/>
      <c r="C4" s="165"/>
      <c r="D4" s="165"/>
      <c r="E4" s="350"/>
      <c r="F4" s="351" t="s">
        <v>2169</v>
      </c>
      <c r="G4" s="351" t="s">
        <v>2170</v>
      </c>
      <c r="H4" s="351" t="s">
        <v>37</v>
      </c>
      <c r="I4" s="351" t="s">
        <v>2171</v>
      </c>
      <c r="J4" s="351" t="s">
        <v>2172</v>
      </c>
      <c r="K4" s="144" t="s">
        <v>2187</v>
      </c>
      <c r="L4" s="348"/>
      <c r="M4" s="95" t="s">
        <v>2297</v>
      </c>
      <c r="N4" s="96"/>
    </row>
    <row r="5" ht="37" customHeight="1" spans="1:14" x14ac:dyDescent="0.25">
      <c r="A5" s="166"/>
      <c r="B5" s="167"/>
      <c r="C5" s="167"/>
      <c r="D5" s="352"/>
      <c r="E5" s="353" t="s">
        <v>2298</v>
      </c>
      <c r="F5" s="352"/>
      <c r="G5" s="352"/>
      <c r="H5" s="352"/>
      <c r="I5" s="352" t="s">
        <v>2220</v>
      </c>
      <c r="J5" s="354" t="s">
        <v>2221</v>
      </c>
      <c r="K5" s="355" t="s">
        <v>2589</v>
      </c>
      <c r="L5" s="356">
        <f t="shared" ref="L5:L13" si="0">SUM(K5)</f>
        <v>0</v>
      </c>
      <c r="M5" s="357"/>
      <c r="N5" s="213">
        <f t="shared" ref="N5:N13" si="1">SUM(M5)</f>
        <v>0</v>
      </c>
    </row>
    <row r="6" ht="37" customHeight="1" spans="1:14" x14ac:dyDescent="0.25">
      <c r="A6" s="166"/>
      <c r="B6" s="167"/>
      <c r="C6" s="167"/>
      <c r="D6" s="152"/>
      <c r="E6" s="353" t="s">
        <v>2298</v>
      </c>
      <c r="F6" s="352"/>
      <c r="G6" s="352"/>
      <c r="H6" s="152"/>
      <c r="I6" s="352" t="s">
        <v>2229</v>
      </c>
      <c r="J6" s="354" t="s">
        <v>2230</v>
      </c>
      <c r="K6" s="358"/>
      <c r="L6" s="356">
        <f t="shared" si="0"/>
        <v>0</v>
      </c>
      <c r="M6" s="357"/>
      <c r="N6" s="213">
        <f t="shared" si="1"/>
        <v>0</v>
      </c>
    </row>
    <row r="7" ht="37" customHeight="1" spans="1:14" x14ac:dyDescent="0.25">
      <c r="A7" s="166"/>
      <c r="B7" s="167"/>
      <c r="C7" s="167"/>
      <c r="D7" s="152"/>
      <c r="E7" s="353" t="s">
        <v>2298</v>
      </c>
      <c r="F7" s="352"/>
      <c r="G7" s="352"/>
      <c r="H7" s="152"/>
      <c r="I7" s="352" t="s">
        <v>2231</v>
      </c>
      <c r="J7" s="354" t="s">
        <v>2232</v>
      </c>
      <c r="K7" s="358"/>
      <c r="L7" s="356">
        <f t="shared" si="0"/>
        <v>0</v>
      </c>
      <c r="M7" s="359"/>
      <c r="N7" s="213">
        <f t="shared" si="1"/>
        <v>0</v>
      </c>
    </row>
    <row r="8" ht="37" customHeight="1" spans="1:14" x14ac:dyDescent="0.25">
      <c r="A8" s="166"/>
      <c r="B8" s="167"/>
      <c r="C8" s="167"/>
      <c r="D8" s="152"/>
      <c r="E8" s="353" t="s">
        <v>2298</v>
      </c>
      <c r="F8" s="352"/>
      <c r="G8" s="352"/>
      <c r="H8" s="152"/>
      <c r="I8" s="352" t="s">
        <v>2233</v>
      </c>
      <c r="J8" s="354" t="s">
        <v>2234</v>
      </c>
      <c r="K8" s="358"/>
      <c r="L8" s="356">
        <f t="shared" si="0"/>
        <v>0</v>
      </c>
      <c r="M8" s="357"/>
      <c r="N8" s="213">
        <f t="shared" si="1"/>
        <v>0</v>
      </c>
    </row>
    <row r="9" ht="37" customHeight="1" spans="1:14" x14ac:dyDescent="0.25">
      <c r="A9" s="166"/>
      <c r="B9" s="167"/>
      <c r="C9" s="167"/>
      <c r="D9" s="152"/>
      <c r="E9" s="353" t="s">
        <v>2298</v>
      </c>
      <c r="F9" s="352"/>
      <c r="G9" s="352"/>
      <c r="H9" s="152"/>
      <c r="I9" s="352" t="s">
        <v>2235</v>
      </c>
      <c r="J9" s="354" t="s">
        <v>2236</v>
      </c>
      <c r="K9" s="358"/>
      <c r="L9" s="356">
        <f t="shared" si="0"/>
        <v>0</v>
      </c>
      <c r="M9" s="359"/>
      <c r="N9" s="213">
        <f t="shared" si="1"/>
        <v>0</v>
      </c>
    </row>
    <row r="10" ht="37" customHeight="1" spans="1:14" x14ac:dyDescent="0.25">
      <c r="A10" s="166"/>
      <c r="B10" s="167"/>
      <c r="C10" s="167"/>
      <c r="D10" s="152"/>
      <c r="E10" s="353" t="s">
        <v>2298</v>
      </c>
      <c r="F10" s="352"/>
      <c r="G10" s="352"/>
      <c r="H10" s="152"/>
      <c r="I10" s="352" t="s">
        <v>2237</v>
      </c>
      <c r="J10" s="354" t="s">
        <v>2238</v>
      </c>
      <c r="K10" s="358"/>
      <c r="L10" s="356">
        <f t="shared" si="0"/>
        <v>0</v>
      </c>
      <c r="M10" s="357"/>
      <c r="N10" s="213">
        <f t="shared" si="1"/>
        <v>0</v>
      </c>
    </row>
    <row r="11" ht="37" customHeight="1" spans="1:14" x14ac:dyDescent="0.25">
      <c r="A11" s="166"/>
      <c r="B11" s="167"/>
      <c r="C11" s="167"/>
      <c r="D11" s="152"/>
      <c r="E11" s="353" t="s">
        <v>2298</v>
      </c>
      <c r="F11" s="352"/>
      <c r="G11" s="352"/>
      <c r="H11" s="152"/>
      <c r="I11" s="352" t="s">
        <v>2239</v>
      </c>
      <c r="J11" s="354" t="s">
        <v>2240</v>
      </c>
      <c r="K11" s="358"/>
      <c r="L11" s="356">
        <f t="shared" si="0"/>
        <v>0</v>
      </c>
      <c r="M11" s="359"/>
      <c r="N11" s="213">
        <f t="shared" si="1"/>
        <v>0</v>
      </c>
    </row>
    <row r="12" ht="179" customHeight="1" spans="1:14" x14ac:dyDescent="0.25">
      <c r="A12" s="166"/>
      <c r="B12" s="167"/>
      <c r="C12" s="167"/>
      <c r="D12" s="152"/>
      <c r="E12" s="353" t="s">
        <v>2298</v>
      </c>
      <c r="F12" s="352"/>
      <c r="G12" s="352"/>
      <c r="H12" s="152"/>
      <c r="I12" s="352" t="s">
        <v>2241</v>
      </c>
      <c r="J12" s="354" t="s">
        <v>2242</v>
      </c>
      <c r="K12" s="355" t="s">
        <v>2590</v>
      </c>
      <c r="L12" s="356">
        <f t="shared" si="0"/>
        <v>0</v>
      </c>
      <c r="M12" s="194"/>
      <c r="N12" s="213">
        <f t="shared" si="1"/>
        <v>0</v>
      </c>
    </row>
    <row r="13" ht="167" customHeight="1" spans="1:14" x14ac:dyDescent="0.25">
      <c r="A13" s="166"/>
      <c r="B13" s="167"/>
      <c r="C13" s="167"/>
      <c r="D13" s="152"/>
      <c r="E13" s="353" t="s">
        <v>2298</v>
      </c>
      <c r="F13" s="352"/>
      <c r="G13" s="352"/>
      <c r="H13" s="152"/>
      <c r="I13" s="352" t="s">
        <v>2243</v>
      </c>
      <c r="J13" s="354" t="s">
        <v>2244</v>
      </c>
      <c r="K13" s="355" t="s">
        <v>2591</v>
      </c>
      <c r="L13" s="356">
        <f t="shared" si="0"/>
        <v>0</v>
      </c>
      <c r="M13" s="194"/>
      <c r="N13" s="213">
        <f t="shared" si="1"/>
        <v>0</v>
      </c>
    </row>
    <row r="14" ht="37" customHeight="1" spans="1:14" x14ac:dyDescent="0.25">
      <c r="A14" s="360"/>
      <c r="B14" s="361"/>
      <c r="C14" s="361"/>
      <c r="D14" s="361"/>
      <c r="E14" s="362"/>
      <c r="F14" s="363"/>
      <c r="G14" s="363"/>
      <c r="H14" s="363"/>
      <c r="I14" s="364"/>
      <c r="J14" s="365" t="s">
        <v>2245</v>
      </c>
      <c r="K14" s="356">
        <f>SUM(K5:K13)</f>
        <v>0</v>
      </c>
      <c r="L14" s="356">
        <f>SUM(L5:L13)</f>
        <v>0</v>
      </c>
      <c r="M14" s="213">
        <f>SUM(M5:M13)</f>
        <v>0</v>
      </c>
      <c r="N14" s="213">
        <f>SUM(N5:N13)</f>
        <v>0</v>
      </c>
    </row>
    <row r="15" ht="37" customHeight="1" spans="5:14" x14ac:dyDescent="0.25">
      <c r="E15" s="91"/>
      <c r="F15" s="91"/>
      <c r="G15" s="91"/>
      <c r="H15" s="91"/>
      <c r="I15" s="91"/>
      <c r="J15" s="91"/>
      <c r="K15" s="91"/>
      <c r="L15" s="91"/>
      <c r="M15" s="91"/>
      <c r="N15" s="91"/>
    </row>
    <row r="16" ht="37" customHeight="1" spans="5:14" x14ac:dyDescent="0.25">
      <c r="E16" s="91"/>
      <c r="F16" s="91"/>
      <c r="G16" s="91"/>
      <c r="H16" s="91"/>
      <c r="I16" s="91"/>
      <c r="J16" s="91"/>
      <c r="K16" s="91"/>
      <c r="L16" s="91"/>
      <c r="M16" s="91"/>
      <c r="N16" s="91"/>
    </row>
    <row r="17" ht="37" customHeight="1" spans="4:4" x14ac:dyDescent="0.25">
      <c r="D17" s="135"/>
    </row>
  </sheetData>
  <mergeCells count="2">
    <mergeCell ref="L2:L4"/>
    <mergeCell ref="N2:N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BL145"/>
  <sheetViews>
    <sheetView workbookViewId="0" zoomScale="100" zoomScaleNormal="100">
      <selection activeCell="T5" sqref="T5"/>
    </sheetView>
  </sheetViews>
  <sheetFormatPr defaultRowHeight="15" outlineLevelRow="0" outlineLevelCol="0" x14ac:dyDescent="0.2"/>
  <cols>
    <col min="1" max="2" width="10.83203125" hidden="1" customWidth="1"/>
    <col min="3" max="3" width="9.83203125" customWidth="1"/>
    <col min="6" max="6" width="73.83203125" customWidth="1"/>
    <col min="7" max="7" width="13.33203125" customWidth="1"/>
    <col min="8" max="8" width="13.1640625" customWidth="1"/>
    <col min="9" max="18" width="13.33203125" customWidth="1"/>
  </cols>
  <sheetData>
    <row r="1" ht="80" customHeight="1" spans="1:64" s="40" customFormat="1" x14ac:dyDescent="0.25">
      <c r="A1" s="41" t="s">
        <v>2299</v>
      </c>
      <c r="B1" s="42"/>
      <c r="C1" s="42"/>
      <c r="D1" s="41" t="s">
        <v>2300</v>
      </c>
      <c r="E1" s="43"/>
      <c r="F1" s="44"/>
      <c r="G1" s="44"/>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row>
    <row r="2" ht="15" customHeight="1" hidden="1" spans="1:19" x14ac:dyDescent="0.25">
      <c r="A2" s="176"/>
      <c r="B2" s="177"/>
      <c r="C2" s="177"/>
      <c r="D2" s="177"/>
      <c r="E2" s="177"/>
      <c r="F2" s="177"/>
      <c r="G2" s="178" t="s">
        <v>2294</v>
      </c>
      <c r="H2" s="178" t="s">
        <v>2294</v>
      </c>
      <c r="I2" s="178" t="s">
        <v>2294</v>
      </c>
      <c r="J2" s="178"/>
      <c r="K2" s="178"/>
      <c r="L2" s="178" t="s">
        <v>2294</v>
      </c>
      <c r="M2" s="178"/>
      <c r="N2" s="178"/>
      <c r="O2" s="178" t="s">
        <v>2294</v>
      </c>
      <c r="P2" s="178" t="s">
        <v>2294</v>
      </c>
      <c r="Q2" s="178" t="s">
        <v>2294</v>
      </c>
      <c r="R2" s="178" t="s">
        <v>2294</v>
      </c>
      <c r="S2" s="179" t="s">
        <v>2301</v>
      </c>
    </row>
    <row r="3" ht="24" customHeight="1" hidden="1" spans="1:19" x14ac:dyDescent="0.25">
      <c r="A3" s="176"/>
      <c r="B3" s="177"/>
      <c r="C3" s="177"/>
      <c r="D3" s="177"/>
      <c r="E3" s="177"/>
      <c r="F3" s="177"/>
      <c r="G3" s="178" t="s">
        <v>2302</v>
      </c>
      <c r="H3" s="178" t="s">
        <v>2303</v>
      </c>
      <c r="I3" s="178" t="s">
        <v>2304</v>
      </c>
      <c r="J3" s="178"/>
      <c r="K3" s="178"/>
      <c r="L3" s="178" t="s">
        <v>2305</v>
      </c>
      <c r="M3" s="178"/>
      <c r="N3" s="178"/>
      <c r="O3" s="178" t="s">
        <v>2306</v>
      </c>
      <c r="P3" s="178" t="s">
        <v>2307</v>
      </c>
      <c r="Q3" s="178" t="s">
        <v>2308</v>
      </c>
      <c r="R3" s="178" t="s">
        <v>2309</v>
      </c>
      <c r="S3" s="179"/>
    </row>
    <row r="4" ht="36" customHeight="1" spans="1:19" x14ac:dyDescent="0.25">
      <c r="A4" s="180"/>
      <c r="B4" s="181" t="s">
        <v>2169</v>
      </c>
      <c r="C4" s="181" t="s">
        <v>2170</v>
      </c>
      <c r="D4" s="181" t="s">
        <v>37</v>
      </c>
      <c r="E4" s="181" t="s">
        <v>2310</v>
      </c>
      <c r="F4" s="182" t="s">
        <v>2172</v>
      </c>
      <c r="G4" s="178" t="s">
        <v>2311</v>
      </c>
      <c r="H4" s="178" t="s">
        <v>2312</v>
      </c>
      <c r="I4" s="178" t="s">
        <v>2313</v>
      </c>
      <c r="J4" s="178" t="s">
        <v>2314</v>
      </c>
      <c r="K4" s="178" t="s">
        <v>2315</v>
      </c>
      <c r="L4" s="178" t="s">
        <v>2316</v>
      </c>
      <c r="M4" s="178" t="s">
        <v>2317</v>
      </c>
      <c r="N4" s="178" t="s">
        <v>2318</v>
      </c>
      <c r="O4" s="178" t="s">
        <v>2319</v>
      </c>
      <c r="P4" s="178" t="s">
        <v>2320</v>
      </c>
      <c r="Q4" s="178" t="s">
        <v>2321</v>
      </c>
      <c r="R4" s="178" t="s">
        <v>2322</v>
      </c>
      <c r="S4" s="179"/>
    </row>
    <row r="5" spans="1:19" x14ac:dyDescent="0.25">
      <c r="A5" s="183" t="s">
        <v>2323</v>
      </c>
      <c r="B5" s="184"/>
      <c r="C5" s="184"/>
      <c r="D5" s="184">
        <f>ETPT_ATTJ_DDG!D5</f>
        <v>0</v>
      </c>
      <c r="E5" s="184" t="s">
        <v>2220</v>
      </c>
      <c r="F5" s="185" t="s">
        <v>2221</v>
      </c>
      <c r="G5" s="186" t="e">
        <f t="array" ref="G5">SUM(SUMIFS(
INDEX( 'ETPT Format DDG'!$A:$ZZ,,MATCH("1. TOTAL CONTENTIEUX SOCIAL",'ETPT Format DDG'!2:2,0)),
INDEX( 'ETPT Format DDG'!$A:$ZZ,,MATCH("Fonction recodée",'ETPT Format DDG'!2:2,0)),{"CONT A JP Siège";"CONT A JP Parquet";"CONT A VIF Siège";"CONT A VIF Parquet"},
INDEX( 'ETPT Format DDG'!$A:$ZZ,,MATCH("Juridiction",'ETPT Format DDG'!2:2,0)),$D$5))+
SUM(SUMIFS(
INDEX( 'ETPT Format DDG'!$A:$ZZ,,MATCH("2. TOTAL CONTENTIEUX JAF",'ETPT Format DDG'!2:2,0)),
INDEX( 'ETPT Format DDG'!$A:$ZZ,,MATCH("Fonction recodée",'ETPT Format DDG'!2:2,0)),{"CONT A JP Siège";"CONT A JP Parquet";"CONT A VIF Siège";"CONT A VIF Parquet"},
INDEX( 'ETPT Format DDG'!$A:$ZZ,,MATCH("Juridiction",'ETPT Format DDG'!2:2,0)),$D$5))+
SUM(SUMIFS(
INDEX( 'ETPT Format DDG'!$A:$ZZ,,MATCH("3. TOTAL CONTENTIEUX DE LA PROTECTION",'ETPT Format DDG'!2:2,0)),
INDEX( 'ETPT Format DDG'!$A:$ZZ,,MATCH("Fonction recodée",'ETPT Format DDG'!2:2,0)),{"CONT A JP Siège";"CONT A JP Parquet";"CONT A VIF Siège";"CONT A VIF Parquet"},
INDEX( 'ETPT Format DDG'!$A:$ZZ,,MATCH("Juridiction",'ETPT Format DDG'!2:2,0)),$D$5))+
SUM(SUMIFS(
INDEX( 'ETPT Format DDG'!$A:$ZZ,,MATCH("4. TOTAL CIVIL NON SPÉCIALISÉ",'ETPT Format DDG'!2:2,0)),
INDEX( 'ETPT Format DDG'!$A:$ZZ,,MATCH("Fonction recodée",'ETPT Format DDG'!2:2,0)),{"CONT A JP Siège";"CONT A JP Parquet";"CONT A VIF Siège";"CONT A VIF Parquet"},
INDEX( 'ETPT Format DDG'!$A:$ZZ,,MATCH("Juridiction",'ETPT Format DDG'!2:2,0)),$D$5))+
SUM(SUMIFS(
INDEX( 'ETPT Format DDG'!$A:$ZZ,,MATCH("5. TOTAL JLD CIVIL",'ETPT Format DDG'!2:2,0)),
INDEX( 'ETPT Format DDG'!$A:$ZZ,,MATCH("Fonction recodée",'ETPT Format DDG'!2:2,0)),{"CONT A JP Siège";"CONT A JP Parquet";"CONT A VIF Siège";"CONT A VIF Parquet"},
INDEX( 'ETPT Format DDG'!$A:$ZZ,,MATCH("Juridiction",'ETPT Format DDG'!2:2,0)),$D$5))+
SUM(SUMIFS(
INDEX( 'ETPT Format DDG'!$A:$ZZ,,MATCH("6.1. ACTIVITÉ CIVILE",'ETPT Format DDG'!2:2,0)),
INDEX( 'ETPT Format DDG'!$A:$ZZ,,MATCH("Fonction recodée",'ETPT Format DDG'!2:2,0)),{"CONT A JP Siège";"CONT A JP Parquet";"CONT A VIF Siège";"CONT A VIF Parquet"},
INDEX( 'ETPT Format DDG'!$A:$ZZ,,MATCH("Juridiction",'ETPT Format DDG'!2:2,0)),$D$5))+
SUM(SUMIFS(
INDEX( 'ETPT Format DDG'!$A:$ZZ,,MATCH("11.7. FONCTIONNAIRES AFFECTÉS AU CPH",'ETPT Format DDG'!2:2,0)),
INDEX( 'ETPT Format DDG'!$A:$ZZ,,MATCH("Fonction recodée",'ETPT Format DDG'!2:2,0)),{"CONT A JP Siège";"CONT A JP Parquet";"CONT A VIF Siège";"CONT A VIF Parquet"},
INDEX( 'ETPT Format DDG'!$A:$ZZ,,MATCH("Juridiction",'ETPT Format DDG'!2:2,0)),$D$5))</f>
        <v>#N/A</v>
      </c>
      <c r="H5" s="186" t="e">
        <f t="array" ref="H5">SUM(SUMIFS(
INDEX( 'ETPT Format DDG'!$A:$ZZ,,MATCH("11.8. FONCTIONNAIRES AFFECTÉS AUX ACTIVITÉS CIVILES ET COMMERCIALES DU PARQUET",'ETPT Format DDG'!2:2,0)),
INDEX( 'ETPT Format DDG'!$A:$ZZ,,MATCH("Fonction recodée",'ETPT Format DDG'!2:2,0)),{"CONT A JP Siège";"CONT A JP Parquet";"CONT A VIF Siège";"CONT A VIF Parquet"},
INDEX( 'ETPT Format DDG'!$A:$ZZ,,MATCH("Juridiction",'ETPT Format DDG'!2:2,0)),$D$5))</f>
        <v>#N/A</v>
      </c>
      <c r="I5" s="187" t="e">
        <f t="array" ref="I5">SUM(SUMIFS(
INDEX( 'ETPT Format DDG'!$A:$ZZ,,MATCH("1. TOTAL CONTENTIEUX SOCIAL",'ETPT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DDG'!$A:$ZZ,,MATCH("2. TOTAL CONTENTIEUX JAF",'ETPT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DDG'!$A:$ZZ,,MATCH("3. TOTAL CONTENTIEUX DE LA PROTECTION",'ETPT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DDG'!$A:$ZZ,,MATCH("4. TOTAL CIVIL NON SPÉCIALISÉ",'ETPT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DDG'!$A:$ZZ,,MATCH("5. TOTAL JLD CIVIL",'ETPT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DDG'!$A:$ZZ,,MATCH("11.7. FONCTIONNAIRES AFFECTÉS AU CPH",'ETPT Format DDG'!2:2,0)),
INDEX( 'ETPT Format DDG'!$A:$ZZ,,MATCH("Fonction recodée",'ETPT Format DDG'!2:2,0)),{"JA/AttJ JAP";"JA/AttJ JE";"JA/AttJ JI";"JA/AttJ JLD PÉNAL";"JA/AttJ Parquet";"JA/AttJ Siège autres";"JA/AttJ Siege Assises";"JA/AttJ Siege CCD"},
INDEX( 'ETPT Format DDG'!$A:$ZZ,,MATCH("Juridiction",'ETPT Format DDG'!2:2,0)),$D$5))</f>
        <v>#N/A</v>
      </c>
      <c r="J5" s="187"/>
      <c r="K5" s="187"/>
      <c r="L5" s="187" t="e">
        <f t="array" ref="L5">SUM(SUMIFS(
INDEX( 'ETPT Format DDG'!$A:$ZZ,,MATCH("11.8. FONCTIONNAIRES AFFECTÉS AUX ACTIVITÉS CIVILES ET COMMERCIALES DU PARQUET",'ETPT Format DDG'!2:2,0)),
INDEX( 'ETPT Format DDG'!$A:$ZZ,,MATCH("Fonction recodée",'ETPT Format DDG'!2:2,0)),{"JA/AttJ JAP";"JA/AttJ JE";"JA/AttJ JI";"JA/AttJ JLD PÉNAL";"JA/AttJ Parquet";"JA/AttJ Siège autres";"JA/AttJ Siege Assises";"JA/AttJ Siege CCD"},
INDEX( 'ETPT Format DDG'!$A:$ZZ,,MATCH("Juridiction",'ETPT Format DDG'!2:2,0)),$D$5))</f>
        <v>#N/A</v>
      </c>
      <c r="M5" s="187"/>
      <c r="N5" s="187"/>
      <c r="O5" s="187"/>
      <c r="P5" s="187" t="e">
        <f t="array" ref="P5">SUM(SUMIFS(
INDEX( 'ETPT Format DDG'!$A:$ZZ,,MATCH("6.1. ACTIVITÉ CIVILE",'ETPT Format DDG'!2:2,0)),
INDEX( 'ETPT Format DDG'!$A:$ZZ,,MATCH("Fonction recodée",'ETPT Format DDG'!2:2,0)),{"JA/AttJ JAP";"JA/AttJ JE";"JA/AttJ JI";"JA/AttJ JLD PÉNAL";"JA/AttJ Parquet";"JA/AttJ Siège autres";"JA/AttJ Siege Assises";"JA/AttJ Siege CCD"},
INDEX( 'ETPT Format DDG'!$A:$ZZ,,MATCH("Juridiction",'ETPT Format DDG'!2:2,0)),$D$5))</f>
        <v>#N/A</v>
      </c>
      <c r="Q5" s="187"/>
      <c r="R5" s="187"/>
      <c r="S5" s="188">
        <f t="shared" ref="S5:S12" si="0">_xlfn.AGGREGATE(9,6,G5:R5)</f>
        <v>0</v>
      </c>
    </row>
    <row r="6" spans="1:19" x14ac:dyDescent="0.25">
      <c r="A6" s="183" t="s">
        <v>2323</v>
      </c>
      <c r="B6" s="184"/>
      <c r="C6" s="184"/>
      <c r="D6" s="184">
        <f>ETPT_ATTJ_DDG!D6</f>
        <v>0</v>
      </c>
      <c r="E6" s="184" t="s">
        <v>2222</v>
      </c>
      <c r="F6" s="185" t="s">
        <v>2223</v>
      </c>
      <c r="G6" s="186" t="e">
        <f t="array" ref="G6">SUM(SUMIFS(
INDEX( 'ETPT Format DDG'!$A:$ZZ,,MATCH("6.2. ACTIVITÉ PÉNALE",'ETPT Format DDG'!2:2,0)),
INDEX( 'ETPT Format DDG'!$A:$ZZ,,MATCH("Fonction recodée",'ETPT Format DDG'!2:2,0)),{"CONT A JP Siège";"CONT A JP Parquet";"CONT A VIF Siège";"CONT A VIF Parquet"},
INDEX( 'ETPT Format DDG'!$A:$ZZ,,MATCH("Juridiction",'ETPT Format DDG'!2:2,0)),$D$5))+
SUM(SUMIFS(
INDEX( 'ETPT Format DDG'!$A:$ZZ,,MATCH("7. TOTAL SIÈGE PÉNAL",'ETPT Format DDG'!2:2,0)),
INDEX( 'ETPT Format DDG'!$A:$ZZ,,MATCH("Fonction recodée",'ETPT Format DDG'!2:2,0)),{"CONT A JP Siège";"CONT A JP Parquet";"CONT A VIF Siège";"CONT A VIF Parquet"},
INDEX( 'ETPT Format DDG'!$A:$ZZ,,MATCH("Juridiction",'ETPT Format DDG'!2:2,0)),$D$5))+
SUM(SUMIFS(
INDEX( 'ETPT Format DDG'!$A:$ZZ,,MATCH("8. TOTAL JUGES D'INSTRUCTION",'ETPT Format DDG'!2:2,0)),
INDEX( 'ETPT Format DDG'!$A:$ZZ,,MATCH("Fonction recodée",'ETPT Format DDG'!2:2,0)),{"CONT A JP Siège";"CONT A JP Parquet";"CONT A VIF Siège";"CONT A VIF Parquet"},
INDEX( 'ETPT Format DDG'!$A:$ZZ,,MATCH("Juridiction",'ETPT Format DDG'!2:2,0)),$D$5))+
SUM(SUMIFS(
INDEX( 'ETPT Format DDG'!$A:$ZZ,,MATCH("9. TOTAL JAP",'ETPT Format DDG'!2:2,0)),
INDEX( 'ETPT Format DDG'!$A:$ZZ,,MATCH("Fonction recodée",'ETPT Format DDG'!2:2,0)),{"CONT A JP Siège";"CONT A JP Parquet";"CONT A VIF Siège";"CONT A VIF Parquet"},
INDEX( 'ETPT Format DDG'!$A:$ZZ,,MATCH("Juridiction",'ETPT Format DDG'!2:2,0)),$D$5))+
SUM(SUMIFS(
INDEX( 'ETPT Format DDG'!$A:$ZZ,,MATCH("10. TOTAL JLD PÉNAL",'ETPT Format DDG'!2:2,0)),
INDEX( 'ETPT Format DDG'!$A:$ZZ,,MATCH("Fonction recodée",'ETPT Format DDG'!2:2,0)),{"CONT A JP Siège";"CONT A JP Parquet";"CONT A VIF Siège";"CONT A VIF Parquet"},
INDEX( 'ETPT Format DDG'!$A:$ZZ,,MATCH("Juridiction",'ETPT Format DDG'!2:2,0)),$D$5))</f>
        <v>#N/A</v>
      </c>
      <c r="H6" s="186" t="e">
        <f t="array" ref="H6">SUM(SUMIFS(
INDEX( 'ETPT Format DDG'!$A:$ZZ,,MATCH("11.9. FONCTIONNAIRES AFFECTÉS À L'EXÉCUTION DES PEINES",'ETPT Format DDG'!2:2,0)),
INDEX( 'ETPT Format DDG'!$A:$ZZ,,MATCH("Fonction recodée",'ETPT Format DDG'!2:2,0)),{"CONT A JP Siège";"CONT A JP Parquet";"CONT A VIF Siège";"CONT A VIF Parquet"},
INDEX( 'ETPT Format DDG'!$A:$ZZ,,MATCH("Juridiction",'ETPT Format DDG'!2:2,0)),$D$5))+
SUM(SUMIFS(
INDEX( 'ETPT Format DDG'!$A:$ZZ,,MATCH("11.10. AUTRES FONCTIONNAIRES AFFECTÉS AU PARQUET",'ETPT Format DDG'!2:2,0)),
INDEX( 'ETPT Format DDG'!$A:$ZZ,,MATCH("Fonction recodée",'ETPT Format DDG'!2:2,0)),{"CONT A JP Siège";"CONT A JP Parquet";"CONT A VIF Siège";"CONT A VIF Parquet"},
INDEX( 'ETPT Format DDG'!$A:$ZZ,,MATCH("Juridiction",'ETPT Format DDG'!2:2,0)),$D$5))</f>
        <v>#N/A</v>
      </c>
      <c r="I6" s="187" t="e">
        <f t="array" ref="I6">MAX(0,SUM(SUMIFS(
INDEX( 'ETPT Format DDG'!$A:$ZZ,,MATCH("7. TOTAL SIÈGE PÉNAL",'ETPT Format DDG'!2:2,0)),
INDEX( 'ETPT Format DDG'!$A:$ZZ,,MATCH("Fonction recodée",'ETPT Format DDG'!2:2,0)),{"JA/AttJ JAP";"JA/AttJ JE";"JA/AttJ JI";"JA/AttJ JLD PÉNAL";"JA/AttJ Parquet";"JA/AttJ Siège autres";"JA/AttJ Siege Assises";"JA/AttJ Siege CCD"},
INDEX( 'ETPT Format DDG'!$A:$ZZ,,MATCH("Juridiction",'ETPT Format DDG'!2:2,0)),$D$5)) -
SUM(SUMIFS(
INDEX( 'ETPT Format DDG'!$A:$ZZ,,MATCH("7.51. COUR D'ASSISES JIRS",'ETPT Format DDG'!2:2,0)),
INDEX( 'ETPT Format DDG'!$A:$ZZ,,MATCH("Fonction recodée",'ETPT Format DDG'!2:2,0)),{"JA/AttJ JAP";"JA/AttJ JE";"JA/AttJ JI";"JA/AttJ JLD PÉNAL";"JA/AttJ Parquet";"JA/AttJ Siège autres";"JA/AttJ Siege Assises";"JA/AttJ Siege CCD"},
INDEX( 'ETPT Format DDG'!$A:$ZZ,,MATCH("Juridiction",'ETPT Format DDG'!2:2,0)),$D$5)) -
SUM(SUMIFS(
INDEX( 'ETPT Format DDG'!$A:$ZZ,,MATCH("7.52. COUR CRIMINELLE",'ETPT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DDG'!$A:$ZZ,,MATCH("7.5. COUR D'ASSISES HORS JIRS",'ETPT Format DDG'!2:2,0)),
INDEX( 'ETPT Format DDG'!$A:$ZZ,,MATCH("Fonction recodée",'ETPT Format DDG'!2:2,0)),{"JA/AttJ JAP";"JA/AttJ JE";"JA/AttJ JI";"JA/AttJ JLD PÉNAL";"JA/AttJ Parquet";"JA/AttJ Siège autres";"JA/AttJ Siege Assises";"JA/AttJ Siege CCD"},
INDEX( 'ETPT Format DDG'!$A:$ZZ,,MATCH("Juridiction",'ETPT Format DDG'!2:2,0)),$D$5)))</f>
        <v>#N/A</v>
      </c>
      <c r="J6" s="187" t="e">
        <f t="array" ref="J6">SUM(SUMIFS(
INDEX( 'ETPT Format DDG'!$A:$ZZ,,MATCH("7.5. COUR D'ASSISES HORS JIRS",'ETPT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DDG'!$A:$ZZ,,MATCH("7.51. COUR D'ASSISES JIRS",'ETPT Format DDG'!2:2,0)),
INDEX( 'ETPT Format DDG'!$A:$ZZ,,MATCH("Fonction recodée",'ETPT Format DDG'!2:2,0)),{"JA/AttJ JAP";"JA/AttJ JE";"JA/AttJ JI";"JA/AttJ JLD PÉNAL";"JA/AttJ Parquet";"JA/AttJ Siège autres";"JA/AttJ Siege Assises";"JA/AttJ Siege CCD"},
INDEX( 'ETPT Format DDG'!$A:$ZZ,,MATCH("Juridiction",'ETPT Format DDG'!2:2,0)),$D$5))</f>
        <v>#N/A</v>
      </c>
      <c r="K6" s="187" t="e">
        <f t="array" ref="K6">SUM(SUMIFS(
INDEX( 'ETPT Format DDG'!$A:$ZZ,,MATCH("7.52. COUR CRIMINELLE",'ETPT Format DDG'!2:2,0)),
INDEX( 'ETPT Format DDG'!$A:$ZZ,,MATCH("Fonction recodée",'ETPT Format DDG'!2:2,0)),{"JA/AttJ JAP";"JA/AttJ JE";"JA/AttJ JI";"JA/AttJ JLD PÉNAL";"JA/AttJ Parquet";"JA/AttJ Siège autres";"JA/AttJ Siege Assises";"JA/AttJ Siege CCD"},
INDEX( 'ETPT Format DDG'!$A:$ZZ,,MATCH("Juridiction",'ETPT Format DDG'!2:2,0)),$D$5))</f>
        <v>#N/A</v>
      </c>
      <c r="L6" s="187" t="e">
        <f t="array" ref="L6">SUM(SUMIFS(
INDEX( 'ETPT Format DDG'!$A:$ZZ,,MATCH("11.9. FONCTIONNAIRES AFFECTÉS À L'EXÉCUTION DES PEINES",'ETPT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DDG'!$A:$ZZ,,MATCH("11.10. AUTRES FONCTIONNAIRES AFFECTÉS AU PARQUET",'ETPT Format DDG'!2:2,0)),
INDEX( 'ETPT Format DDG'!$A:$ZZ,,MATCH("Fonction recodée",'ETPT Format DDG'!2:2,0)),{"JA/AttJ JAP";"JA/AttJ JE";"JA/AttJ JI";"JA/AttJ JLD PÉNAL";"JA/AttJ Parquet";"JA/AttJ Siège autres";"JA/AttJ Siege Assises";"JA/AttJ Siege CCD"},
INDEX( 'ETPT Format DDG'!$A:$ZZ,,MATCH("Juridiction",'ETPT Format DDG'!2:2,0)),$D$5))</f>
        <v>#N/A</v>
      </c>
      <c r="M6" s="187"/>
      <c r="N6" s="187"/>
      <c r="O6" s="187" t="e">
        <f t="array" ref="O6">SUM(SUMIFS(
INDEX( 'ETPT Format DDG'!$A:$ZZ,,MATCH("9. TOTAL JAP",'ETPT Format DDG'!2:2,0)),
INDEX( 'ETPT Format DDG'!$A:$ZZ,,MATCH("Fonction recodée",'ETPT Format DDG'!2:2,0)),{"JA/AttJ JAP";"JA/AttJ JE";"JA/AttJ JI";"JA/AttJ JLD PÉNAL";"JA/AttJ Parquet";"JA/AttJ Siège autres";"JA/AttJ Siege Assises";"JA/AttJ Siege CCD"},
INDEX( 'ETPT Format DDG'!$A:$ZZ,,MATCH("Juridiction",'ETPT Format DDG'!2:2,0)),$D$5))</f>
        <v>#N/A</v>
      </c>
      <c r="P6" s="187" t="e">
        <f t="array" ref="P6">SUM(SUMIFS(
INDEX( 'ETPT Format DDG'!$A:$ZZ,,MATCH("6.2. ACTIVITÉ PÉNALE",'ETPT Format DDG'!2:2,0)),
INDEX( 'ETPT Format DDG'!$A:$ZZ,,MATCH("Fonction recodée",'ETPT Format DDG'!2:2,0)),{"JA/AttJ JAP";"JA/AttJ JE";"JA/AttJ JI";"JA/AttJ JLD PÉNAL";"JA/AttJ Parquet";"JA/AttJ Siège autres";"JA/AttJ Siege Assises";"JA/AttJ Siege CCD"},
INDEX( 'ETPT Format DDG'!$A:$ZZ,,MATCH("Juridiction",'ETPT Format DDG'!2:2,0)),$D$5))</f>
        <v>#N/A</v>
      </c>
      <c r="Q6" s="187" t="e">
        <f t="array" ref="Q6">SUM(SUMIFS(
INDEX( 'ETPT Format DDG'!$A:$ZZ,,MATCH("8. TOTAL JUGES D'INSTRUCTION",'ETPT Format DDG'!2:2,0)),
INDEX( 'ETPT Format DDG'!$A:$ZZ,,MATCH("Fonction recodée",'ETPT Format DDG'!2:2,0)),{"JA/AttJ JAP";"JA/AttJ JE";"JA/AttJ JI";"JA/AttJ JLD PÉNAL";"JA/AttJ Parquet";"JA/AttJ Siège autres";"JA/AttJ Siege Assises";"JA/AttJ Siege CCD"},
INDEX( 'ETPT Format DDG'!$A:$ZZ,,MATCH("Juridiction",'ETPT Format DDG'!2:2,0)),$D$5))</f>
        <v>#N/A</v>
      </c>
      <c r="R6" s="187" t="e">
        <f t="array" ref="R6">SUM(SUMIFS(
INDEX( 'ETPT Format DDG'!$A:$ZZ,,MATCH("10. TOTAL JLD PÉNAL",'ETPT Format DDG'!2:2,0)),
INDEX( 'ETPT Format DDG'!$A:$ZZ,,MATCH("Fonction recodée",'ETPT Format DDG'!2:2,0)),{"JA/AttJ JAP";"JA/AttJ JE";"JA/AttJ JI";"JA/AttJ JLD PÉNAL";"JA/AttJ Parquet";"JA/AttJ Siège autres";"JA/AttJ Siege Assises";"JA/AttJ Siege CCD"},
INDEX( 'ETPT Format DDG'!$A:$ZZ,,MATCH("Juridiction",'ETPT Format DDG'!2:2,0)),$D$5))</f>
        <v>#N/A</v>
      </c>
      <c r="S6" s="188">
        <f t="shared" si="0"/>
        <v>0</v>
      </c>
    </row>
    <row r="7" spans="1:19" x14ac:dyDescent="0.25">
      <c r="A7" s="183" t="s">
        <v>2323</v>
      </c>
      <c r="B7" s="184"/>
      <c r="C7" s="184"/>
      <c r="D7" s="184">
        <f>ETPT_ATTJ_DDG!D7</f>
        <v>0</v>
      </c>
      <c r="E7" s="184" t="s">
        <v>2229</v>
      </c>
      <c r="F7" s="185" t="s">
        <v>2230</v>
      </c>
      <c r="G7" s="186" t="e">
        <f t="array" ref="G7">SUM(SUMIFS(
INDEX( 'ETPT Format DDG'!$A:$ZZ,,MATCH("11.51. ACCUEIL DU JUSTICIABLE (DONT SAUJ)",'ETPT Format DDG'!2:2,0)),
INDEX( 'ETPT Format DDG'!$A:$ZZ,,MATCH("Fonction recodée",'ETPT Format DDG'!2:2,0)),{"CONT A JP Siège";"CONT A VIF Siège"},
INDEX( 'ETPT Format DDG'!$A:$ZZ,,MATCH("Juridiction",'ETPT Format DDG'!2:2,0)),$D$5))</f>
        <v>#N/A</v>
      </c>
      <c r="H7" s="186" t="e">
        <f t="array" ref="H7">SUM(SUMIFS(
INDEX( 'ETPT Format DDG'!$A:$ZZ,,MATCH("11.51. ACCUEIL DU JUSTICIABLE (DONT SAUJ)",'ETPT Format DDG'!2:2,0)),
INDEX( 'ETPT Format DDG'!$A:$ZZ,,MATCH("Fonction recodée",'ETPT Format DDG'!2:2,0)),{"CONT A JP Parquet";"CONT A VIF Parquet"},
INDEX( 'ETPT Format DDG'!$A:$ZZ,,MATCH("Juridiction",'ETPT Format DDG'!2:2,0)),$D$5))</f>
        <v>#N/A</v>
      </c>
      <c r="I7" s="187" t="e">
        <f>SUM(SUMIFS(
INDEX( 'ETPT Format DDG'!$A:$ZZ,,MATCH("11.51. ACCUEIL DU JUSTICIABLE (DONT SAUJ)",'ETPT Format DDG'!2:2,0)),
INDEX( 'ETPT Format DDG'!$A:$ZZ,,MATCH("Fonction recodée",'ETPT Format DDG'!2:2,0)),"JA/AttJ Siège autres",
INDEX( 'ETPT Format DDG'!$A:$ZZ,,MATCH("Juridiction",'ETPT Format DDG'!2:2,0)),$D$5))</f>
        <v>#N/A</v>
      </c>
      <c r="J7" s="187" t="e">
        <f>SUM(SUMIFS(
INDEX( 'ETPT Format DDG'!$A:$ZZ,,MATCH("11.51. ACCUEIL DU JUSTICIABLE (DONT SAUJ)",'ETPT Format DDG'!2:2,0)),
INDEX( 'ETPT Format DDG'!$A:$ZZ,,MATCH("Fonction recodée",'ETPT Format DDG'!2:2,0)),"JA/AttJ Siege Assises",
INDEX( 'ETPT Format DDG'!$A:$ZZ,,MATCH("Juridiction",'ETPT Format DDG'!2:2,0)),$D$5))</f>
        <v>#N/A</v>
      </c>
      <c r="K7" s="187" t="e">
        <f>SUM(SUMIFS(
INDEX( 'ETPT Format DDG'!$A:$ZZ,,MATCH("11.51. ACCUEIL DU JUSTICIABLE (DONT SAUJ)",'ETPT Format DDG'!2:2,0)),
INDEX( 'ETPT Format DDG'!$A:$ZZ,,MATCH("Fonction recodée",'ETPT Format DDG'!2:2,0)),"JA/AttJ Siege CCD",
INDEX( 'ETPT Format DDG'!$A:$ZZ,,MATCH("Juridiction",'ETPT Format DDG'!2:2,0)),$D$5))</f>
        <v>#N/A</v>
      </c>
      <c r="L7" s="187" t="e">
        <f>SUM(SUMIFS(
INDEX( 'ETPT Format DDG'!$A:$ZZ,,MATCH("11.51. ACCUEIL DU JUSTICIABLE (DONT SAUJ)",'ETPT Format DDG'!2:2,0)),
INDEX( 'ETPT Format DDG'!$A:$ZZ,,MATCH("Fonction recodée",'ETPT Format DDG'!2:2,0)),"JA/AttJ Parquet",
INDEX( 'ETPT Format DDG'!$A:$ZZ,,MATCH("Juridiction",'ETPT Format DDG'!2:2,0)),$D$5))</f>
        <v>#N/A</v>
      </c>
      <c r="M7" s="187"/>
      <c r="N7" s="187"/>
      <c r="O7" s="187" t="e">
        <f>SUM(SUMIFS(
INDEX( 'ETPT Format DDG'!$A:$ZZ,,MATCH("11.51. ACCUEIL DU JUSTICIABLE (DONT SAUJ)",'ETPT Format DDG'!2:2,0)),
INDEX( 'ETPT Format DDG'!$A:$ZZ,,MATCH("Fonction recodée",'ETPT Format DDG'!2:2,0)),"JA/AttJ JAP",
INDEX( 'ETPT Format DDG'!$A:$ZZ,,MATCH("Juridiction",'ETPT Format DDG'!2:2,0)),$D$5))</f>
        <v>#N/A</v>
      </c>
      <c r="P7" s="187" t="e">
        <f>SUM(SUMIFS(
INDEX( 'ETPT Format DDG'!$A:$ZZ,,MATCH("11.51. ACCUEIL DU JUSTICIABLE (DONT SAUJ)",'ETPT Format DDG'!2:2,0)),
INDEX( 'ETPT Format DDG'!$A:$ZZ,,MATCH("Fonction recodée",'ETPT Format DDG'!2:2,0)),"JA/AttJ JE",
INDEX( 'ETPT Format DDG'!$A:$ZZ,,MATCH("Juridiction",'ETPT Format DDG'!2:2,0)),$D$5))</f>
        <v>#N/A</v>
      </c>
      <c r="Q7" s="187" t="e">
        <f>SUM(SUMIFS(
INDEX( 'ETPT Format DDG'!$A:$ZZ,,MATCH("11.51. ACCUEIL DU JUSTICIABLE (DONT SAUJ)",'ETPT Format DDG'!2:2,0)),
INDEX( 'ETPT Format DDG'!$A:$ZZ,,MATCH("Fonction recodée",'ETPT Format DDG'!2:2,0)),"JA/AttJ JI",
INDEX( 'ETPT Format DDG'!$A:$ZZ,,MATCH("Juridiction",'ETPT Format DDG'!2:2,0)),$D$5))</f>
        <v>#N/A</v>
      </c>
      <c r="R7" s="187" t="e">
        <f>SUM(SUMIFS(
INDEX( 'ETPT Format DDG'!$A:$ZZ,,MATCH("11.51. ACCUEIL DU JUSTICIABLE (DONT SAUJ)",'ETPT Format DDG'!2:2,0)),
INDEX( 'ETPT Format DDG'!$A:$ZZ,,MATCH("Fonction recodée",'ETPT Format DDG'!2:2,0)),"JA/AttJ JLD PÉNAL",
INDEX( 'ETPT Format DDG'!$A:$ZZ,,MATCH("Juridiction",'ETPT Format DDG'!2:2,0)),$D$5))</f>
        <v>#N/A</v>
      </c>
      <c r="S7" s="188">
        <f t="shared" si="0"/>
        <v>0</v>
      </c>
    </row>
    <row r="8" spans="1:19" x14ac:dyDescent="0.25">
      <c r="A8" s="183" t="s">
        <v>2323</v>
      </c>
      <c r="B8" s="184"/>
      <c r="C8" s="184"/>
      <c r="D8" s="184">
        <f>ETPT_ATTJ_DDG!D8</f>
        <v>0</v>
      </c>
      <c r="E8" s="184" t="s">
        <v>2231</v>
      </c>
      <c r="F8" s="185" t="s">
        <v>2232</v>
      </c>
      <c r="G8" s="186" t="e">
        <f t="array" ref="G8">SUM(SUMIFS(
INDEX( 'ETPT Format DDG'!$A:$ZZ,,MATCH("11.1. SOUTIEN (HORS FORMATIONS SUIVIES)",'ETPT Format DDG'!2:2,0)),
INDEX( 'ETPT Format DDG'!$A:$ZZ,,MATCH("Fonction recodée",'ETPT Format DDG'!2:2,0)),{"CONT A JP Siège";"CONT A VIF Siège"},
INDEX( 'ETPT Format DDG'!$A:$ZZ,,MATCH("Juridiction",'ETPT Format DDG'!2:2,0)),$D$5))+
SUM(SUMIFS(
INDEX( 'ETPT Format DDG'!$A:$ZZ,,MATCH("11.2. FORMATIONS SUIVIES",'ETPT Format DDG'!2:2,0)),
INDEX( 'ETPT Format DDG'!$A:$ZZ,,MATCH("Fonction recodée",'ETPT Format DDG'!2:2,0)),{"CONT A JP Siège";"CONT A VIF Siège"},
INDEX( 'ETPT Format DDG'!$A:$ZZ,,MATCH("Juridiction",'ETPT Format DDG'!2:2,0)),$D$5))+
SUM(SUMIFS(
INDEX( 'ETPT Format DDG'!$A:$ZZ,,MATCH("11.6. AUTRES ACTIVITÉS NON JURIDICTIONNELLES",'ETPT Format DDG'!2:2,0)),
INDEX( 'ETPT Format DDG'!$A:$ZZ,,MATCH("Fonction recodée",'ETPT Format DDG'!2:2,0)),{"CONT A JP Siège";"CONT A VIF Siège"},
INDEX( 'ETPT Format DDG'!$A:$ZZ,,MATCH("Juridiction",'ETPT Format DDG'!2:2,0)),$D$5))</f>
        <v>#N/A</v>
      </c>
      <c r="H8" s="186" t="e">
        <f t="array" ref="H8">SUM(SUMIFS(
INDEX( 'ETPT Format DDG'!$A:$ZZ,,MATCH("11.1. SOUTIEN (HORS FORMATIONS SUIVIES)",'ETPT Format DDG'!2:2,0)),
INDEX( 'ETPT Format DDG'!$A:$ZZ,,MATCH("Fonction recodée",'ETPT Format DDG'!2:2,0)),{"CONT A JP Parquet";"CONT A VIF Parquet"},
INDEX( 'ETPT Format DDG'!$A:$ZZ,,MATCH("Juridiction",'ETPT Format DDG'!2:2,0)),$D$5))+
SUM(SUMIFS(
INDEX( 'ETPT Format DDG'!$A:$ZZ,,MATCH("11.2. FORMATIONS SUIVIES",'ETPT Format DDG'!2:2,0)),
INDEX( 'ETPT Format DDG'!$A:$ZZ,,MATCH("Fonction recodée",'ETPT Format DDG'!2:2,0)),{"CONT A JP Parquet";"CONT A VIF Parquet"},
INDEX( 'ETPT Format DDG'!$A:$ZZ,,MATCH("Juridiction",'ETPT Format DDG'!2:2,0)),$D$5))+
SUM(SUMIFS(
INDEX( 'ETPT Format DDG'!$A:$ZZ,,MATCH("11.6. AUTRES ACTIVITÉS NON JURIDICTIONNELLES",'ETPT Format DDG'!2:2,0)),
INDEX( 'ETPT Format DDG'!$A:$ZZ,,MATCH("Fonction recodée",'ETPT Format DDG'!2:2,0)),{"CONT A JP Parquet";"CONT A VIF Parquet"},
INDEX( 'ETPT Format DDG'!$A:$ZZ,,MATCH("Juridiction",'ETPT Format DDG'!2:2,0)),$D$5))</f>
        <v>#N/A</v>
      </c>
      <c r="I8" s="187" t="e">
        <f>SUM(SUMIFS(
INDEX( 'ETPT Format DDG'!$A:$ZZ,,MATCH("11.1. SOUTIEN (HORS FORMATIONS SUIVIES)",'ETPT Format DDG'!2:2,0)),
INDEX( 'ETPT Format DDG'!$A:$ZZ,,MATCH("Fonction recodée",'ETPT Format DDG'!2:2,0)),"JA/AttJ Siège autres",
INDEX( 'ETPT Format DDG'!$A:$ZZ,,MATCH("Juridiction",'ETPT Format DDG'!2:2,0)),$D$5))+
SUM(SUMIFS(
INDEX( 'ETPT Format DDG'!$A:$ZZ,,MATCH("11.2. FORMATIONS SUIVIES",'ETPT Format DDG'!2:2,0)),
INDEX( 'ETPT Format DDG'!$A:$ZZ,,MATCH("Fonction recodée",'ETPT Format DDG'!2:2,0)),"JA/AttJ Siège autres",
INDEX( 'ETPT Format DDG'!$A:$ZZ,,MATCH("Juridiction",'ETPT Format DDG'!2:2,0)),$D$5))+
SUM(SUMIFS(
INDEX( 'ETPT Format DDG'!$A:$ZZ,,MATCH("11.6. AUTRES ACTIVITÉS NON JURIDICTIONNELLES",'ETPT Format DDG'!2:2,0)),
INDEX( 'ETPT Format DDG'!$A:$ZZ,,MATCH("Fonction recodée",'ETPT Format DDG'!2:2,0)),"JA/AttJ Siège autres",
INDEX( 'ETPT Format DDG'!$A:$ZZ,,MATCH("Juridiction",'ETPT Format DDG'!2:2,0)),$D$5))</f>
        <v>#N/A</v>
      </c>
      <c r="J8" s="187" t="e">
        <f>SUM(SUMIFS(
INDEX( 'ETPT Format DDG'!$A:$ZZ,,MATCH("11.1. SOUTIEN (HORS FORMATIONS SUIVIES)",'ETPT Format DDG'!2:2,0)),
INDEX( 'ETPT Format DDG'!$A:$ZZ,,MATCH("Fonction recodée",'ETPT Format DDG'!2:2,0)),"JA/AttJ Siege Assises",
INDEX( 'ETPT Format DDG'!$A:$ZZ,,MATCH("Juridiction",'ETPT Format DDG'!2:2,0)),$D$5))+
SUM(SUMIFS(
INDEX( 'ETPT Format DDG'!$A:$ZZ,,MATCH("11.2. FORMATIONS SUIVIES",'ETPT Format DDG'!2:2,0)),
INDEX( 'ETPT Format DDG'!$A:$ZZ,,MATCH("Fonction recodée",'ETPT Format DDG'!2:2,0)),"JA/AttJ Siege Assises",
INDEX( 'ETPT Format DDG'!$A:$ZZ,,MATCH("Juridiction",'ETPT Format DDG'!2:2,0)),$D$5))+
SUM(SUMIFS(
INDEX( 'ETPT Format DDG'!$A:$ZZ,,MATCH("11.6. AUTRES ACTIVITÉS NON JURIDICTIONNELLES",'ETPT Format DDG'!2:2,0)),
INDEX( 'ETPT Format DDG'!$A:$ZZ,,MATCH("Fonction recodée",'ETPT Format DDG'!2:2,0)),"JA/AttJ Siege Assises",
INDEX( 'ETPT Format DDG'!$A:$ZZ,,MATCH("Juridiction",'ETPT Format DDG'!2:2,0)),$D$5))</f>
        <v>#N/A</v>
      </c>
      <c r="K8" s="187" t="e">
        <f>SUM(SUMIFS(
INDEX( 'ETPT Format DDG'!$A:$ZZ,,MATCH("11.1. SOUTIEN (HORS FORMATIONS SUIVIES)",'ETPT Format DDG'!2:2,0)),
INDEX( 'ETPT Format DDG'!$A:$ZZ,,MATCH("Fonction recodée",'ETPT Format DDG'!2:2,0)),"JA/AttJ Siege CCD",
INDEX( 'ETPT Format DDG'!$A:$ZZ,,MATCH("Juridiction",'ETPT Format DDG'!2:2,0)),$D$5))+
SUM(SUMIFS(
INDEX( 'ETPT Format DDG'!$A:$ZZ,,MATCH("11.2. FORMATIONS SUIVIES",'ETPT Format DDG'!2:2,0)),
INDEX( 'ETPT Format DDG'!$A:$ZZ,,MATCH("Fonction recodée",'ETPT Format DDG'!2:2,0)),"JA/AttJ Siege CCD",
INDEX( 'ETPT Format DDG'!$A:$ZZ,,MATCH("Juridiction",'ETPT Format DDG'!2:2,0)),$D$5))+
SUM(SUMIFS(
INDEX( 'ETPT Format DDG'!$A:$ZZ,,MATCH("11.6. AUTRES ACTIVITÉS NON JURIDICTIONNELLES",'ETPT Format DDG'!2:2,0)),
INDEX( 'ETPT Format DDG'!$A:$ZZ,,MATCH("Fonction recodée",'ETPT Format DDG'!2:2,0)),"JA/AttJ Siege CCD",
INDEX( 'ETPT Format DDG'!$A:$ZZ,,MATCH("Juridiction",'ETPT Format DDG'!2:2,0)),$D$5))</f>
        <v>#N/A</v>
      </c>
      <c r="L8" s="187" t="e">
        <f>SUM(SUMIFS(
INDEX( 'ETPT Format DDG'!$A:$ZZ,,MATCH("11.1. SOUTIEN (HORS FORMATIONS SUIVIES)",'ETPT Format DDG'!2:2,0)),
INDEX( 'ETPT Format DDG'!$A:$ZZ,,MATCH("Fonction recodée",'ETPT Format DDG'!2:2,0)),"JA/AttJ Parquet",
INDEX( 'ETPT Format DDG'!$A:$ZZ,,MATCH("Juridiction",'ETPT Format DDG'!2:2,0)),$D$5))+
SUM(SUMIFS(
INDEX( 'ETPT Format DDG'!$A:$ZZ,,MATCH("11.2. FORMATIONS SUIVIES",'ETPT Format DDG'!2:2,0)),
INDEX( 'ETPT Format DDG'!$A:$ZZ,,MATCH("Fonction recodée",'ETPT Format DDG'!2:2,0)),"JA/AttJ Parquet",
INDEX( 'ETPT Format DDG'!$A:$ZZ,,MATCH("Juridiction",'ETPT Format DDG'!2:2,0)),$D$5))+
SUM(SUMIFS(
INDEX( 'ETPT Format DDG'!$A:$ZZ,,MATCH("11.6. AUTRES ACTIVITÉS NON JURIDICTIONNELLES",'ETPT Format DDG'!2:2,0)),
INDEX( 'ETPT Format DDG'!$A:$ZZ,,MATCH("Fonction recodée",'ETPT Format DDG'!2:2,0)),"JA/AttJ Parquet",
INDEX( 'ETPT Format DDG'!$A:$ZZ,,MATCH("Juridiction",'ETPT Format DDG'!2:2,0)),$D$5))</f>
        <v>#N/A</v>
      </c>
      <c r="M8" s="187"/>
      <c r="N8" s="187"/>
      <c r="O8" s="187" t="e">
        <f>SUM(SUMIFS(
INDEX( 'ETPT Format DDG'!$A:$ZZ,,MATCH("11.1. SOUTIEN (HORS FORMATIONS SUIVIES)",'ETPT Format DDG'!2:2,0)),
INDEX( 'ETPT Format DDG'!$A:$ZZ,,MATCH("Fonction recodée",'ETPT Format DDG'!2:2,0)),"JA/AttJ JAP",
INDEX( 'ETPT Format DDG'!$A:$ZZ,,MATCH("Juridiction",'ETPT Format DDG'!2:2,0)),$D$5))+
SUM(SUMIFS(
INDEX( 'ETPT Format DDG'!$A:$ZZ,,MATCH("11.2. FORMATIONS SUIVIES",'ETPT Format DDG'!2:2,0)),
INDEX( 'ETPT Format DDG'!$A:$ZZ,,MATCH("Fonction recodée",'ETPT Format DDG'!2:2,0)),"JA/AttJ JAP",
INDEX( 'ETPT Format DDG'!$A:$ZZ,,MATCH("Juridiction",'ETPT Format DDG'!2:2,0)),$D$5))+
SUM(SUMIFS(
INDEX( 'ETPT Format DDG'!$A:$ZZ,,MATCH("11.6. AUTRES ACTIVITÉS NON JURIDICTIONNELLES",'ETPT Format DDG'!2:2,0)),
INDEX( 'ETPT Format DDG'!$A:$ZZ,,MATCH("Fonction recodée",'ETPT Format DDG'!2:2,0)),"JA/AttJ JAP",
INDEX( 'ETPT Format DDG'!$A:$ZZ,,MATCH("Juridiction",'ETPT Format DDG'!2:2,0)),$D$5))</f>
        <v>#N/A</v>
      </c>
      <c r="P8" s="187" t="e">
        <f>SUM(SUMIFS(
INDEX( 'ETPT Format DDG'!$A:$ZZ,,MATCH("11.1. SOUTIEN (HORS FORMATIONS SUIVIES)",'ETPT Format DDG'!2:2,0)),
INDEX( 'ETPT Format DDG'!$A:$ZZ,,MATCH("Fonction recodée",'ETPT Format DDG'!2:2,0)),"JA/AttJ JE",
INDEX( 'ETPT Format DDG'!$A:$ZZ,,MATCH("Juridiction",'ETPT Format DDG'!2:2,0)),$D$5))+
SUM(SUMIFS(
INDEX( 'ETPT Format DDG'!$A:$ZZ,,MATCH("11.2. FORMATIONS SUIVIES",'ETPT Format DDG'!2:2,0)),
INDEX( 'ETPT Format DDG'!$A:$ZZ,,MATCH("Fonction recodée",'ETPT Format DDG'!2:2,0)),"JA/AttJ JE",
INDEX( 'ETPT Format DDG'!$A:$ZZ,,MATCH("Juridiction",'ETPT Format DDG'!2:2,0)),$D$5))+
SUM(SUMIFS(
INDEX( 'ETPT Format DDG'!$A:$ZZ,,MATCH("11.6. AUTRES ACTIVITÉS NON JURIDICTIONNELLES",'ETPT Format DDG'!2:2,0)),
INDEX( 'ETPT Format DDG'!$A:$ZZ,,MATCH("Fonction recodée",'ETPT Format DDG'!2:2,0)),"JA/AttJ JE",
INDEX( 'ETPT Format DDG'!$A:$ZZ,,MATCH("Juridiction",'ETPT Format DDG'!2:2,0)),$D$5))</f>
        <v>#N/A</v>
      </c>
      <c r="Q8" s="187" t="e">
        <f>SUM(SUMIFS(
INDEX( 'ETPT Format DDG'!$A:$ZZ,,MATCH("11.1. SOUTIEN (HORS FORMATIONS SUIVIES)",'ETPT Format DDG'!2:2,0)),
INDEX( 'ETPT Format DDG'!$A:$ZZ,,MATCH("Fonction recodée",'ETPT Format DDG'!2:2,0)),"JA/AttJ JI",
INDEX( 'ETPT Format DDG'!$A:$ZZ,,MATCH("Juridiction",'ETPT Format DDG'!2:2,0)),$D$5))+
SUM(SUMIFS(
INDEX( 'ETPT Format DDG'!$A:$ZZ,,MATCH("11.2. FORMATIONS SUIVIES",'ETPT Format DDG'!2:2,0)),
INDEX( 'ETPT Format DDG'!$A:$ZZ,,MATCH("Fonction recodée",'ETPT Format DDG'!2:2,0)),"JA/AttJ JI",
INDEX( 'ETPT Format DDG'!$A:$ZZ,,MATCH("Juridiction",'ETPT Format DDG'!2:2,0)),$D$5))+
SUM(SUMIFS(
INDEX( 'ETPT Format DDG'!$A:$ZZ,,MATCH("11.6. AUTRES ACTIVITÉS NON JURIDICTIONNELLES",'ETPT Format DDG'!2:2,0)),
INDEX( 'ETPT Format DDG'!$A:$ZZ,,MATCH("Fonction recodée",'ETPT Format DDG'!2:2,0)),"JA/AttJ JI",
INDEX( 'ETPT Format DDG'!$A:$ZZ,,MATCH("Juridiction",'ETPT Format DDG'!2:2,0)),$D$5))</f>
        <v>#N/A</v>
      </c>
      <c r="R8" s="187" t="e">
        <f>SUM(SUMIFS(
INDEX( 'ETPT Format DDG'!$A:$ZZ,,MATCH("11.1. SOUTIEN (HORS FORMATIONS SUIVIES)",'ETPT Format DDG'!2:2,0)),
INDEX( 'ETPT Format DDG'!$A:$ZZ,,MATCH("Fonction recodée",'ETPT Format DDG'!2:2,0)),"JA/AttJ JLD PÉNAL",
INDEX( 'ETPT Format DDG'!$A:$ZZ,,MATCH("Juridiction",'ETPT Format DDG'!2:2,0)),$D$5))+
SUM(SUMIFS(
INDEX( 'ETPT Format DDG'!$A:$ZZ,,MATCH("11.2. FORMATIONS SUIVIES",'ETPT Format DDG'!2:2,0)),
INDEX( 'ETPT Format DDG'!$A:$ZZ,,MATCH("Fonction recodée",'ETPT Format DDG'!2:2,0)),"JA/AttJ JLD PÉNAL",
INDEX( 'ETPT Format DDG'!$A:$ZZ,,MATCH("Juridiction",'ETPT Format DDG'!2:2,0)),$D$5))+
SUM(SUMIFS(
INDEX( 'ETPT Format DDG'!$A:$ZZ,,MATCH("11.6. AUTRES ACTIVITÉS NON JURIDICTIONNELLES",'ETPT Format DDG'!2:2,0)),
INDEX( 'ETPT Format DDG'!$A:$ZZ,,MATCH("Fonction recodée",'ETPT Format DDG'!2:2,0)),"JA/AttJ JLD PÉNAL",
INDEX( 'ETPT Format DDG'!$A:$ZZ,,MATCH("Juridiction",'ETPT Format DDG'!2:2,0)),$D$5))</f>
        <v>#N/A</v>
      </c>
      <c r="S8" s="188">
        <f t="shared" si="0"/>
        <v>0</v>
      </c>
    </row>
    <row r="9" spans="1:19" x14ac:dyDescent="0.25">
      <c r="A9" s="183" t="s">
        <v>2323</v>
      </c>
      <c r="B9" s="184"/>
      <c r="C9" s="184"/>
      <c r="D9" s="184">
        <f>ETPT_ATTJ_DDG!D9</f>
        <v>0</v>
      </c>
      <c r="E9" s="184" t="s">
        <v>2233</v>
      </c>
      <c r="F9" s="185" t="s">
        <v>2234</v>
      </c>
      <c r="G9" s="186" t="e">
        <f t="array" ref="G9">SUM(SUMIFS(
INDEX( 'ETPT Format DDG'!$A:$ZZ,,MATCH("11.3. FORMATIONS DISPENSÉES",'ETPT Format DDG'!2:2,0)),
INDEX( 'ETPT Format DDG'!$A:$ZZ,,MATCH("Fonction recodée",'ETPT Format DDG'!2:2,0)),{"CONT A JP Siège";"CONT A VIF Siège"},
INDEX( 'ETPT Format DDG'!$A:$ZZ,,MATCH("Juridiction",'ETPT Format DDG'!2:2,0)),$D$5))</f>
        <v>#N/A</v>
      </c>
      <c r="H9" s="186" t="e">
        <f t="array" ref="H9">SUM(SUMIFS(
INDEX( 'ETPT Format DDG'!$A:$ZZ,,MATCH("11.3. FORMATIONS DISPENSÉES",'ETPT Format DDG'!2:2,0)),
INDEX( 'ETPT Format DDG'!$A:$ZZ,,MATCH("Fonction recodée",'ETPT Format DDG'!2:2,0)),{"CONT A JP Parquet";"CONT A VIF Parquet"},
INDEX( 'ETPT Format DDG'!$A:$ZZ,,MATCH("Juridiction",'ETPT Format DDG'!2:2,0)),$D$5))</f>
        <v>#N/A</v>
      </c>
      <c r="I9" s="187" t="e">
        <f>SUM(SUMIFS(
INDEX( 'ETPT Format DDG'!$A:$ZZ,,MATCH("11.3. FORMATIONS DISPENSÉES",'ETPT Format DDG'!2:2,0)),
INDEX( 'ETPT Format DDG'!$A:$ZZ,,MATCH("Fonction recodée",'ETPT Format DDG'!2:2,0)),"JA/AttJ Siège autres",
INDEX( 'ETPT Format DDG'!$A:$ZZ,,MATCH("Juridiction",'ETPT Format DDG'!2:2,0)),$D$5))</f>
        <v>#N/A</v>
      </c>
      <c r="J9" s="187" t="e">
        <f>SUM(SUMIFS(
INDEX( 'ETPT Format DDG'!$A:$ZZ,,MATCH("11.3. FORMATIONS DISPENSÉES",'ETPT Format DDG'!2:2,0)),
INDEX( 'ETPT Format DDG'!$A:$ZZ,,MATCH("Fonction recodée",'ETPT Format DDG'!2:2,0)),"JA/AttJ Siege Assises",
INDEX( 'ETPT Format DDG'!$A:$ZZ,,MATCH("Juridiction",'ETPT Format DDG'!2:2,0)),$D$5))</f>
        <v>#N/A</v>
      </c>
      <c r="K9" s="187" t="e">
        <f>SUM(SUMIFS(
INDEX( 'ETPT Format DDG'!$A:$ZZ,,MATCH("11.3. FORMATIONS DISPENSÉES",'ETPT Format DDG'!2:2,0)),
INDEX( 'ETPT Format DDG'!$A:$ZZ,,MATCH("Fonction recodée",'ETPT Format DDG'!2:2,0)),"JA/AttJ Siege CCD",
INDEX( 'ETPT Format DDG'!$A:$ZZ,,MATCH("Juridiction",'ETPT Format DDG'!2:2,0)),$D$5))</f>
        <v>#N/A</v>
      </c>
      <c r="L9" s="187" t="e">
        <f>SUM(SUMIFS(
INDEX( 'ETPT Format DDG'!$A:$ZZ,,MATCH("11.3. FORMATIONS DISPENSÉES",'ETPT Format DDG'!2:2,0)),
INDEX( 'ETPT Format DDG'!$A:$ZZ,,MATCH("Fonction recodée",'ETPT Format DDG'!2:2,0)),"JA/AttJ Parquet",
INDEX( 'ETPT Format DDG'!$A:$ZZ,,MATCH("Juridiction",'ETPT Format DDG'!2:2,0)),$D$5))</f>
        <v>#N/A</v>
      </c>
      <c r="M9" s="187"/>
      <c r="N9" s="187"/>
      <c r="O9" s="187" t="e">
        <f>SUM(SUMIFS(
INDEX( 'ETPT Format DDG'!$A:$ZZ,,MATCH("11.3. FORMATIONS DISPENSÉES",'ETPT Format DDG'!2:2,0)),
INDEX( 'ETPT Format DDG'!$A:$ZZ,,MATCH("Fonction recodée",'ETPT Format DDG'!2:2,0)),"JA/AttJ JAP",
INDEX( 'ETPT Format DDG'!$A:$ZZ,,MATCH("Juridiction",'ETPT Format DDG'!2:2,0)),$D$5))</f>
        <v>#N/A</v>
      </c>
      <c r="P9" s="187" t="e">
        <f>SUM(SUMIFS(
INDEX( 'ETPT Format DDG'!$A:$ZZ,,MATCH("11.3. FORMATIONS DISPENSÉES",'ETPT Format DDG'!2:2,0)),
INDEX( 'ETPT Format DDG'!$A:$ZZ,,MATCH("Fonction recodée",'ETPT Format DDG'!2:2,0)),"JA/AttJ JE",
INDEX( 'ETPT Format DDG'!$A:$ZZ,,MATCH("Juridiction",'ETPT Format DDG'!2:2,0)),$D$5))</f>
        <v>#N/A</v>
      </c>
      <c r="Q9" s="187" t="e">
        <f>SUM(SUMIFS(
INDEX( 'ETPT Format DDG'!$A:$ZZ,,MATCH("11.3. FORMATIONS DISPENSÉES",'ETPT Format DDG'!2:2,0)),
INDEX( 'ETPT Format DDG'!$A:$ZZ,,MATCH("Fonction recodée",'ETPT Format DDG'!2:2,0)),"JA/AttJ JI",
INDEX( 'ETPT Format DDG'!$A:$ZZ,,MATCH("Juridiction",'ETPT Format DDG'!2:2,0)),$D$5))</f>
        <v>#N/A</v>
      </c>
      <c r="R9" s="187" t="e">
        <f>SUM(SUMIFS(
INDEX( 'ETPT Format DDG'!$A:$ZZ,,MATCH("11.3. FORMATIONS DISPENSÉES",'ETPT Format DDG'!2:2,0)),
INDEX( 'ETPT Format DDG'!$A:$ZZ,,MATCH("Fonction recodée",'ETPT Format DDG'!2:2,0)),"JA/AttJ JLD PÉNAL",
INDEX( 'ETPT Format DDG'!$A:$ZZ,,MATCH("Juridiction",'ETPT Format DDG'!2:2,0)),$D$5))</f>
        <v>#N/A</v>
      </c>
      <c r="S9" s="188">
        <f t="shared" si="0"/>
        <v>0</v>
      </c>
    </row>
    <row r="10" spans="1:19" x14ac:dyDescent="0.25">
      <c r="A10" s="183" t="s">
        <v>2323</v>
      </c>
      <c r="B10" s="184"/>
      <c r="C10" s="184"/>
      <c r="D10" s="184">
        <f>ETPT_ATTJ_DDG!D10</f>
        <v>0</v>
      </c>
      <c r="E10" s="184" t="s">
        <v>2235</v>
      </c>
      <c r="F10" s="185" t="s">
        <v>2236</v>
      </c>
      <c r="G10" s="186" t="e">
        <f t="array" ref="G10">SUM(SUMIFS(
INDEX( 'ETPT Format DDG'!$A:$ZZ,,MATCH("11.4. ACCÈS AU DROIT ET À LA JUSTICE",'ETPT Format DDG'!2:2,0)),
INDEX( 'ETPT Format DDG'!$A:$ZZ,,MATCH("Fonction recodée",'ETPT Format DDG'!2:2,0)),{"CONT A JP Siège";"CONT A VIF Siège"},
INDEX( 'ETPT Format DDG'!$A:$ZZ,,MATCH("Juridiction",'ETPT Format DDG'!2:2,0)),$D$5))</f>
        <v>#N/A</v>
      </c>
      <c r="H10" s="186" t="e">
        <f t="array" ref="H10">SUM(SUMIFS(
INDEX( 'ETPT Format DDG'!$A:$ZZ,,MATCH("11.4. ACCÈS AU DROIT ET À LA JUSTICE",'ETPT Format DDG'!2:2,0)),
INDEX( 'ETPT Format DDG'!$A:$ZZ,,MATCH("Fonction recodée",'ETPT Format DDG'!2:2,0)),{"CONT A JP Parquet";"CONT A VIF Parquet"},
INDEX( 'ETPT Format DDG'!$A:$ZZ,,MATCH("Juridiction",'ETPT Format DDG'!2:2,0)),$D$5))</f>
        <v>#N/A</v>
      </c>
      <c r="I10" s="187" t="e">
        <f>SUM(SUMIFS(
INDEX( 'ETPT Format DDG'!$A:$ZZ,,MATCH("11.4. ACCÈS AU DROIT ET À LA JUSTICE",'ETPT Format DDG'!2:2,0)),
INDEX( 'ETPT Format DDG'!$A:$ZZ,,MATCH("Fonction recodée",'ETPT Format DDG'!2:2,0)),"JA/AttJ Siège autres",
INDEX( 'ETPT Format DDG'!$A:$ZZ,,MATCH("Juridiction",'ETPT Format DDG'!2:2,0)),$D$5))</f>
        <v>#N/A</v>
      </c>
      <c r="J10" s="187" t="e">
        <f>SUM(SUMIFS(
INDEX( 'ETPT Format DDG'!$A:$ZZ,,MATCH("11.4. ACCÈS AU DROIT ET À LA JUSTICE",'ETPT Format DDG'!2:2,0)),
INDEX( 'ETPT Format DDG'!$A:$ZZ,,MATCH("Fonction recodée",'ETPT Format DDG'!2:2,0)),"JA/AttJ Siege Assises",
INDEX( 'ETPT Format DDG'!$A:$ZZ,,MATCH("Juridiction",'ETPT Format DDG'!2:2,0)),$D$5))</f>
        <v>#N/A</v>
      </c>
      <c r="K10" s="187" t="e">
        <f>SUM(SUMIFS(
INDEX( 'ETPT Format DDG'!$A:$ZZ,,MATCH("11.4. ACCÈS AU DROIT ET À LA JUSTICE",'ETPT Format DDG'!2:2,0)),
INDEX( 'ETPT Format DDG'!$A:$ZZ,,MATCH("Fonction recodée",'ETPT Format DDG'!2:2,0)),"JA/AttJ Siege CCD",
INDEX( 'ETPT Format DDG'!$A:$ZZ,,MATCH("Juridiction",'ETPT Format DDG'!2:2,0)),$D$5))</f>
        <v>#N/A</v>
      </c>
      <c r="L10" s="187" t="e">
        <f>SUM(SUMIFS(
INDEX( 'ETPT Format DDG'!$A:$ZZ,,MATCH("11.4. ACCÈS AU DROIT ET À LA JUSTICE",'ETPT Format DDG'!2:2,0)),
INDEX( 'ETPT Format DDG'!$A:$ZZ,,MATCH("Fonction recodée",'ETPT Format DDG'!2:2,0)),"JA/AttJ Parquet",
INDEX( 'ETPT Format DDG'!$A:$ZZ,,MATCH("Juridiction",'ETPT Format DDG'!2:2,0)),$D$5))</f>
        <v>#N/A</v>
      </c>
      <c r="M10" s="187"/>
      <c r="N10" s="187"/>
      <c r="O10" s="187" t="e">
        <f>SUM(SUMIFS(
INDEX( 'ETPT Format DDG'!$A:$ZZ,,MATCH("11.4. ACCÈS AU DROIT ET À LA JUSTICE",'ETPT Format DDG'!2:2,0)),
INDEX( 'ETPT Format DDG'!$A:$ZZ,,MATCH("Fonction recodée",'ETPT Format DDG'!2:2,0)),"JA/AttJ JAP",
INDEX( 'ETPT Format DDG'!$A:$ZZ,,MATCH("Juridiction",'ETPT Format DDG'!2:2,0)),$D$5))</f>
        <v>#N/A</v>
      </c>
      <c r="P10" s="187" t="e">
        <f>SUM(SUMIFS(
INDEX( 'ETPT Format DDG'!$A:$ZZ,,MATCH("11.4. ACCÈS AU DROIT ET À LA JUSTICE",'ETPT Format DDG'!2:2,0)),
INDEX( 'ETPT Format DDG'!$A:$ZZ,,MATCH("Fonction recodée",'ETPT Format DDG'!2:2,0)),"JA/AttJ JE",
INDEX( 'ETPT Format DDG'!$A:$ZZ,,MATCH("Juridiction",'ETPT Format DDG'!2:2,0)),$D$5))</f>
        <v>#N/A</v>
      </c>
      <c r="Q10" s="187" t="e">
        <f>SUM(SUMIFS(
INDEX( 'ETPT Format DDG'!$A:$ZZ,,MATCH("11.4. ACCÈS AU DROIT ET À LA JUSTICE",'ETPT Format DDG'!2:2,0)),
INDEX( 'ETPT Format DDG'!$A:$ZZ,,MATCH("Fonction recodée",'ETPT Format DDG'!2:2,0)),"JA/AttJ JI",
INDEX( 'ETPT Format DDG'!$A:$ZZ,,MATCH("Juridiction",'ETPT Format DDG'!2:2,0)),$D$5))</f>
        <v>#N/A</v>
      </c>
      <c r="R10" s="187" t="e">
        <f>SUM(SUMIFS(
INDEX( 'ETPT Format DDG'!$A:$ZZ,,MATCH("11.4. ACCÈS AU DROIT ET À LA JUSTICE",'ETPT Format DDG'!2:2,0)),
INDEX( 'ETPT Format DDG'!$A:$ZZ,,MATCH("Fonction recodée",'ETPT Format DDG'!2:2,0)),"JA/AttJ JLD PÉNAL",
INDEX( 'ETPT Format DDG'!$A:$ZZ,,MATCH("Juridiction",'ETPT Format DDG'!2:2,0)),$D$5))</f>
        <v>#N/A</v>
      </c>
      <c r="S10" s="188">
        <f t="shared" si="0"/>
        <v>0</v>
      </c>
    </row>
    <row r="11" spans="1:19" x14ac:dyDescent="0.25">
      <c r="A11" s="183" t="s">
        <v>2323</v>
      </c>
      <c r="B11" s="184"/>
      <c r="C11" s="184"/>
      <c r="D11" s="184">
        <f>ETPT_ATTJ_DDG!D11</f>
        <v>0</v>
      </c>
      <c r="E11" s="184" t="s">
        <v>2237</v>
      </c>
      <c r="F11" s="185" t="s">
        <v>2238</v>
      </c>
      <c r="G11" s="186" t="e">
        <f t="array" ref="G11">MAX(0,SUM(SUMIFS(
INDEX( 'ETPT Format DDG'!$A:$ZZ,,MATCH("12. TOTAL des INDISPONIBILITÉS relevant de l'action 99",'ETPT Format DDG'!2:2,0)),
INDEX( 'ETPT Format DDG'!$A:$ZZ,,MATCH("Fonction recodée",'ETPT Format DDG'!2:2,0)),{"CONT A JP Siège";"CONT A VIF Siège"},
INDEX( 'ETPT Format DDG'!$A:$ZZ,,MATCH("Juridiction",'ETPT Format DDG'!2:2,0)),$D$5))-
SUM(SUMIFS(
INDEX( 'ETPT Format DDG'!$A:$ZZ,,MATCH("12.5. MISE À DISPOSITION",'ETPT Format DDG'!2:2,0)),
INDEX( 'ETPT Format DDG'!$A:$ZZ,,MATCH("Fonction recodée",'ETPT Format DDG'!2:2,0)),{"CONT A JP Siège";"CONT A VIF Siège"},
INDEX( 'ETPT Format DDG'!$A:$ZZ,,MATCH("Juridiction",'ETPT Format DDG'!2:2,0)),$D$5)))</f>
        <v>#N/A</v>
      </c>
      <c r="H11" s="186" t="e">
        <f t="array" ref="H11">MAX(0,SUM(SUMIFS(
INDEX( 'ETPT Format DDG'!$A:$ZZ,,MATCH("12. TOTAL des INDISPONIBILITÉS relevant de l'action 99",'ETPT Format DDG'!2:2,0)),
INDEX( 'ETPT Format DDG'!$A:$ZZ,,MATCH("Fonction recodée",'ETPT Format DDG'!2:2,0)),{"CONT A JP Parquet";"CONT A VIF Parquet"},
INDEX( 'ETPT Format DDG'!$A:$ZZ,,MATCH("Juridiction",'ETPT Format DDG'!2:2,0)),$D$5))-
SUM(SUMIFS(
INDEX( 'ETPT Format DDG'!$A:$ZZ,,MATCH("12.5. MISE À DISPOSITION",'ETPT Format DDG'!2:2,0)),
INDEX( 'ETPT Format DDG'!$A:$ZZ,,MATCH("Fonction recodée",'ETPT Format DDG'!2:2,0)),{"CONT A JP Parquet";"CONT A VIF Parquet"},
INDEX( 'ETPT Format DDG'!$A:$ZZ,,MATCH("Juridiction",'ETPT Format DDG'!2:2,0)),$D$5)))</f>
        <v>#N/A</v>
      </c>
      <c r="I11" s="187" t="e">
        <f>MAX(0,SUM(SUMIFS(
INDEX( 'ETPT Format DDG'!$A:$ZZ,,MATCH("12. TOTAL des INDISPONIBILITÉS relevant de l'action 99",'ETPT Format DDG'!2:2,0)),
INDEX( 'ETPT Format DDG'!$A:$ZZ,,MATCH("Fonction recodée",'ETPT Format DDG'!2:2,0)),"JA/AttJ Siège autres",
INDEX( 'ETPT Format DDG'!$A:$ZZ,,MATCH("Juridiction",'ETPT Format DDG'!2:2,0)),$D$5))-
SUM(SUMIFS(
INDEX( 'ETPT Format DDG'!$A:$ZZ,,MATCH("12.5. MISE À DISPOSITION",'ETPT Format DDG'!2:2,0)),
INDEX( 'ETPT Format DDG'!$A:$ZZ,,MATCH("Fonction recodée",'ETPT Format DDG'!2:2,0)),"JA/AttJ Siège autres",
INDEX( 'ETPT Format DDG'!$A:$ZZ,,MATCH("Juridiction",'ETPT Format DDG'!2:2,0)),$D$5)))</f>
        <v>#N/A</v>
      </c>
      <c r="J11" s="187" t="e">
        <f>MAX(0,SUM(SUMIFS(
INDEX( 'ETPT Format DDG'!$A:$ZZ,,MATCH("12. TOTAL des INDISPONIBILITÉS relevant de l'action 99",'ETPT Format DDG'!2:2,0)),
INDEX( 'ETPT Format DDG'!$A:$ZZ,,MATCH("Fonction recodée",'ETPT Format DDG'!2:2,0)),"JA/AttJ Siege Assises",
INDEX( 'ETPT Format DDG'!$A:$ZZ,,MATCH("Juridiction",'ETPT Format DDG'!2:2,0)),$D$5))-
SUM(SUMIFS(
INDEX( 'ETPT Format DDG'!$A:$ZZ,,MATCH("12.5. MISE À DISPOSITION",'ETPT Format DDG'!2:2,0)),
INDEX( 'ETPT Format DDG'!$A:$ZZ,,MATCH("Fonction recodée",'ETPT Format DDG'!2:2,0)),"JA/AttJ Siege Assises",
INDEX( 'ETPT Format DDG'!$A:$ZZ,,MATCH("Juridiction",'ETPT Format DDG'!2:2,0)),$D$5)))</f>
        <v>#N/A</v>
      </c>
      <c r="K11" s="187" t="e">
        <f>MAX(0,SUM(SUMIFS(
INDEX( 'ETPT Format DDG'!$A:$ZZ,,MATCH("12. TOTAL des INDISPONIBILITÉS relevant de l'action 99",'ETPT Format DDG'!2:2,0)),
INDEX( 'ETPT Format DDG'!$A:$ZZ,,MATCH("Fonction recodée",'ETPT Format DDG'!2:2,0)),"JA/AttJ Siege CCD",
INDEX( 'ETPT Format DDG'!$A:$ZZ,,MATCH("Juridiction",'ETPT Format DDG'!2:2,0)),$D$5))-
SUM(SUMIFS(
INDEX( 'ETPT Format DDG'!$A:$ZZ,,MATCH("12.5. MISE À DISPOSITION",'ETPT Format DDG'!2:2,0)),
INDEX( 'ETPT Format DDG'!$A:$ZZ,,MATCH("Fonction recodée",'ETPT Format DDG'!2:2,0)),"JA/AttJ Siege CCD",
INDEX( 'ETPT Format DDG'!$A:$ZZ,,MATCH("Juridiction",'ETPT Format DDG'!2:2,0)),$D$5)))</f>
        <v>#N/A</v>
      </c>
      <c r="L11" s="187" t="e">
        <f>MAX(0,SUM(SUMIFS(
INDEX( 'ETPT Format DDG'!$A:$ZZ,,MATCH("12. TOTAL des INDISPONIBILITÉS relevant de l'action 99",'ETPT Format DDG'!2:2,0)),
INDEX( 'ETPT Format DDG'!$A:$ZZ,,MATCH("Fonction recodée",'ETPT Format DDG'!2:2,0)),"JA/AttJ Parquet",
INDEX( 'ETPT Format DDG'!$A:$ZZ,,MATCH("Juridiction",'ETPT Format DDG'!2:2,0)),$D$5))-
SUM(SUMIFS(
INDEX( 'ETPT Format DDG'!$A:$ZZ,,MATCH("12.5. MISE À DISPOSITION",'ETPT Format DDG'!2:2,0)),
INDEX( 'ETPT Format DDG'!$A:$ZZ,,MATCH("Fonction recodée",'ETPT Format DDG'!2:2,0)),"JA/AttJ Parquet",
INDEX( 'ETPT Format DDG'!$A:$ZZ,,MATCH("Juridiction",'ETPT Format DDG'!2:2,0)),$D$5)))</f>
        <v>#N/A</v>
      </c>
      <c r="M11" s="187"/>
      <c r="N11" s="187"/>
      <c r="O11" s="187" t="e">
        <f>MAX(0,SUM(SUMIFS(
INDEX( 'ETPT Format DDG'!$A:$ZZ,,MATCH("12. TOTAL des INDISPONIBILITÉS relevant de l'action 99",'ETPT Format DDG'!2:2,0)),
INDEX( 'ETPT Format DDG'!$A:$ZZ,,MATCH("Fonction recodée",'ETPT Format DDG'!2:2,0)),"JA/AttJ JAP",
INDEX( 'ETPT Format DDG'!$A:$ZZ,,MATCH("Juridiction",'ETPT Format DDG'!2:2,0)),$D$5))-
SUM(SUMIFS(
INDEX( 'ETPT Format DDG'!$A:$ZZ,,MATCH("12.5. MISE À DISPOSITION",'ETPT Format DDG'!2:2,0)),
INDEX( 'ETPT Format DDG'!$A:$ZZ,,MATCH("Fonction recodée",'ETPT Format DDG'!2:2,0)),"JA/AttJ JAP",
INDEX( 'ETPT Format DDG'!$A:$ZZ,,MATCH("Juridiction",'ETPT Format DDG'!2:2,0)),$D$5)))</f>
        <v>#N/A</v>
      </c>
      <c r="P11" s="187" t="e">
        <f>MAX(0,SUM(SUMIFS(
INDEX( 'ETPT Format DDG'!$A:$ZZ,,MATCH("12. TOTAL des INDISPONIBILITÉS relevant de l'action 99",'ETPT Format DDG'!2:2,0)),
INDEX( 'ETPT Format DDG'!$A:$ZZ,,MATCH("Fonction recodée",'ETPT Format DDG'!2:2,0)),"JA/AttJ JE",
INDEX( 'ETPT Format DDG'!$A:$ZZ,,MATCH("Juridiction",'ETPT Format DDG'!2:2,0)),$D$5))-
SUM(SUMIFS(
INDEX( 'ETPT Format DDG'!$A:$ZZ,,MATCH("12.5. MISE À DISPOSITION",'ETPT Format DDG'!2:2,0)),
INDEX( 'ETPT Format DDG'!$A:$ZZ,,MATCH("Fonction recodée",'ETPT Format DDG'!2:2,0)),"JA/AttJ JE",
INDEX( 'ETPT Format DDG'!$A:$ZZ,,MATCH("Juridiction",'ETPT Format DDG'!2:2,0)),$D$5)))</f>
        <v>#N/A</v>
      </c>
      <c r="Q11" s="187" t="e">
        <f>MAX(0,SUM(SUMIFS(
INDEX( 'ETPT Format DDG'!$A:$ZZ,,MATCH("12. TOTAL des INDISPONIBILITÉS relevant de l'action 99",'ETPT Format DDG'!2:2,0)),
INDEX( 'ETPT Format DDG'!$A:$ZZ,,MATCH("Fonction recodée",'ETPT Format DDG'!2:2,0)),"JA/AttJ JI",
INDEX( 'ETPT Format DDG'!$A:$ZZ,,MATCH("Juridiction",'ETPT Format DDG'!2:2,0)),$D$5))-
SUM(SUMIFS(
INDEX( 'ETPT Format DDG'!$A:$ZZ,,MATCH("12.5. MISE À DISPOSITION",'ETPT Format DDG'!2:2,0)),
INDEX( 'ETPT Format DDG'!$A:$ZZ,,MATCH("Fonction recodée",'ETPT Format DDG'!2:2,0)),"JA/AttJ JI",
INDEX( 'ETPT Format DDG'!$A:$ZZ,,MATCH("Juridiction",'ETPT Format DDG'!2:2,0)),$D$5)))</f>
        <v>#N/A</v>
      </c>
      <c r="R11" s="187" t="e">
        <f>MAX(0,SUM(SUMIFS(
INDEX( 'ETPT Format DDG'!$A:$ZZ,,MATCH("12. TOTAL des INDISPONIBILITÉS relevant de l'action 99",'ETPT Format DDG'!2:2,0)),
INDEX( 'ETPT Format DDG'!$A:$ZZ,,MATCH("Fonction recodée",'ETPT Format DDG'!2:2,0)),"JA/AttJ JLD PÉNAL",
INDEX( 'ETPT Format DDG'!$A:$ZZ,,MATCH("Juridiction",'ETPT Format DDG'!2:2,0)),$D$5))-
SUM(SUMIFS(
INDEX( 'ETPT Format DDG'!$A:$ZZ,,MATCH("12.5. MISE À DISPOSITION",'ETPT Format DDG'!2:2,0)),
INDEX( 'ETPT Format DDG'!$A:$ZZ,,MATCH("Fonction recodée",'ETPT Format DDG'!2:2,0)),"JA/AttJ JLD PÉNAL",
INDEX( 'ETPT Format DDG'!$A:$ZZ,,MATCH("Juridiction",'ETPT Format DDG'!2:2,0)),$D$5)))</f>
        <v>#N/A</v>
      </c>
      <c r="S11" s="188">
        <f t="shared" si="0"/>
        <v>0</v>
      </c>
    </row>
    <row r="12" spans="1:19" x14ac:dyDescent="0.25">
      <c r="A12" s="183" t="s">
        <v>2323</v>
      </c>
      <c r="B12" s="184"/>
      <c r="C12" s="184"/>
      <c r="D12" s="184">
        <f>ETPT_ATTJ_DDG!D12</f>
        <v>0</v>
      </c>
      <c r="E12" s="184" t="s">
        <v>2239</v>
      </c>
      <c r="F12" s="185" t="s">
        <v>2240</v>
      </c>
      <c r="G12" s="186" t="e">
        <f t="array" ref="G12">SUM(SUMIFS(
INDEX( 'ETPT Format DDG'!$A:$ZZ,,MATCH("12.5. MISE À DISPOSITION",'ETPT Format DDG'!2:2,0)),
INDEX( 'ETPT Format DDG'!$A:$ZZ,,MATCH("Fonction recodée",'ETPT Format DDG'!2:2,0)),{"CONT A JP Siège";"CONT A VIF Siège"},
INDEX( 'ETPT Format DDG'!$A:$ZZ,,MATCH("Juridiction",'ETPT Format DDG'!2:2,0)),$D$5))+
_xlfn.IFNA(SUM(SUMIFS(
INDEX( 'ETPT Format DDG'!$A:$ZZ,,MATCH("13. TOTAL CONTENTIEUX LOCAUX SPÉCIFIQUES",'ETPT Format DDG'!2:2,0)),
INDEX( 'ETPT Format DDG'!$A:$ZZ,,MATCH("Fonction recodée",'ETPT Format DDG'!2:2,0)),{"CONT A JP Siège";"CONT A VIF Siège"},
INDEX( 'ETPT Format DDG'!$A:$ZZ,,MATCH("Juridiction",'ETPT Format DDG'!2:2,0)),$D$5)),0)</f>
        <v>#N/A</v>
      </c>
      <c r="H12" s="186" t="e">
        <f t="array" ref="H12">SUM(SUMIFS(
INDEX( 'ETPT Format DDG'!$A:$ZZ,,MATCH("12.5. MISE À DISPOSITION",'ETPT Format DDG'!2:2,0)),
INDEX( 'ETPT Format DDG'!$A:$ZZ,,MATCH("Fonction recodée",'ETPT Format DDG'!2:2,0)),{"CONT A JP Parquet";"CONT A VIF Parquet"},
INDEX( 'ETPT Format DDG'!$A:$ZZ,,MATCH("Juridiction",'ETPT Format DDG'!2:2,0)),$D$5))+
_xlfn.IFNA(SUM(SUMIFS(
INDEX( 'ETPT Format DDG'!$A:$ZZ,,MATCH("13. TOTAL CONTENTIEUX LOCAUX SPÉCIFIQUES",'ETPT Format DDG'!2:2,0)),
INDEX( 'ETPT Format DDG'!$A:$ZZ,,MATCH("Fonction recodée",'ETPT Format DDG'!2:2,0)),{"CONT A JP Parquet";"CONT A VIF Parquet"},
INDEX( 'ETPT Format DDG'!$A:$ZZ,,MATCH("Juridiction",'ETPT Format DDG'!2:2,0)),$D$5)),0)</f>
        <v>#N/A</v>
      </c>
      <c r="I12" s="187" t="e">
        <f>SUM(SUMIFS(
INDEX( 'ETPT Format DDG'!$A:$ZZ,,MATCH("12.5. MISE À DISPOSITION",'ETPT Format DDG'!2:2,0)),
INDEX( 'ETPT Format DDG'!$A:$ZZ,,MATCH("Fonction recodée",'ETPT Format DDG'!2:2,0)),"JA/AttJ Siège autres",
INDEX( 'ETPT Format DDG'!$A:$ZZ,,MATCH("Juridiction",'ETPT Format DDG'!2:2,0)),$D$5))+
_xlfn.IFNA(SUM(SUMIFS(
INDEX( 'ETPT Format DDG'!$A:$ZZ,,MATCH("13. TOTAL CONTENTIEUX LOCAUX SPÉCIFIQUES",'ETPT Format DDG'!2:2,0)),
INDEX( 'ETPT Format DDG'!$A:$ZZ,,MATCH("Fonction recodée",'ETPT Format DDG'!2:2,0)),"JA/AttJ Siège autres",
INDEX( 'ETPT Format DDG'!$A:$ZZ,,MATCH("Juridiction",'ETPT Format DDG'!2:2,0)),$D$5)),0)</f>
        <v>#N/A</v>
      </c>
      <c r="J12" s="187" t="e">
        <f>SUM(SUMIFS(
INDEX( 'ETPT Format DDG'!$A:$ZZ,,MATCH("12.5. MISE À DISPOSITION",'ETPT Format DDG'!2:2,0)),
INDEX( 'ETPT Format DDG'!$A:$ZZ,,MATCH("Fonction recodée",'ETPT Format DDG'!2:2,0)),"JA/AttJ Siege Assises",
INDEX( 'ETPT Format DDG'!$A:$ZZ,,MATCH("Juridiction",'ETPT Format DDG'!2:2,0)),$D$5))+
_xlfn.IFNA(SUM(SUMIFS(
INDEX( 'ETPT Format DDG'!$A:$ZZ,,MATCH("13. TOTAL CONTENTIEUX LOCAUX SPÉCIFIQUES",'ETPT Format DDG'!2:2,0)),
INDEX( 'ETPT Format DDG'!$A:$ZZ,,MATCH("Fonction recodée",'ETPT Format DDG'!2:2,0)),"JA/AttJ Siege Assises",
INDEX( 'ETPT Format DDG'!$A:$ZZ,,MATCH("Juridiction",'ETPT Format DDG'!2:2,0)),$D$5)),0)</f>
        <v>#N/A</v>
      </c>
      <c r="K12" s="187" t="e">
        <f>SUM(SUMIFS(
INDEX( 'ETPT Format DDG'!$A:$ZZ,,MATCH("12.5. MISE À DISPOSITION",'ETPT Format DDG'!2:2,0)),
INDEX( 'ETPT Format DDG'!$A:$ZZ,,MATCH("Fonction recodée",'ETPT Format DDG'!2:2,0)),"JA/AttJ Siege CCD",
INDEX( 'ETPT Format DDG'!$A:$ZZ,,MATCH("Juridiction",'ETPT Format DDG'!2:2,0)),$D$5))+
_xlfn.IFNA(SUM(SUMIFS(
INDEX( 'ETPT Format DDG'!$A:$ZZ,,MATCH("13. TOTAL CONTENTIEUX LOCAUX SPÉCIFIQUES",'ETPT Format DDG'!2:2,0)),
INDEX( 'ETPT Format DDG'!$A:$ZZ,,MATCH("Fonction recodée",'ETPT Format DDG'!2:2,0)),"JA/AttJ Siege CCD",
INDEX( 'ETPT Format DDG'!$A:$ZZ,,MATCH("Juridiction",'ETPT Format DDG'!2:2,0)),$D$5)),0)</f>
        <v>#N/A</v>
      </c>
      <c r="L12" s="187" t="e">
        <f>SUM(SUMIFS(
INDEX( 'ETPT Format DDG'!$A:$ZZ,,MATCH("12.5. MISE À DISPOSITION",'ETPT Format DDG'!2:2,0)),
INDEX( 'ETPT Format DDG'!$A:$ZZ,,MATCH("Fonction recodée",'ETPT Format DDG'!2:2,0)),"JA/AttJ Parquet",
INDEX( 'ETPT Format DDG'!$A:$ZZ,,MATCH("Juridiction",'ETPT Format DDG'!2:2,0)),$D$5))+
_xlfn.IFNA(SUM(SUMIFS(
INDEX( 'ETPT Format DDG'!$A:$ZZ,,MATCH("13. TOTAL CONTENTIEUX LOCAUX SPÉCIFIQUES",'ETPT Format DDG'!2:2,0)),
INDEX( 'ETPT Format DDG'!$A:$ZZ,,MATCH("Fonction recodée",'ETPT Format DDG'!2:2,0)),"JA/AttJ Parquet",
INDEX( 'ETPT Format DDG'!$A:$ZZ,,MATCH("Juridiction",'ETPT Format DDG'!2:2,0)),$D$5)),0)</f>
        <v>#N/A</v>
      </c>
      <c r="M12" s="187"/>
      <c r="N12" s="187"/>
      <c r="O12" s="187" t="e">
        <f>SUM(SUMIFS(
INDEX( 'ETPT Format DDG'!$A:$ZZ,,MATCH("12.5. MISE À DISPOSITION",'ETPT Format DDG'!2:2,0)),
INDEX( 'ETPT Format DDG'!$A:$ZZ,,MATCH("Fonction recodée",'ETPT Format DDG'!2:2,0)),"JA/AttJ JAP",
INDEX( 'ETPT Format DDG'!$A:$ZZ,,MATCH("Juridiction",'ETPT Format DDG'!2:2,0)),$D$5))+
_xlfn.IFNA(SUM(SUMIFS(
INDEX( 'ETPT Format DDG'!$A:$ZZ,,MATCH("13. TOTAL CONTENTIEUX LOCAUX SPÉCIFIQUES",'ETPT Format DDG'!2:2,0)),
INDEX( 'ETPT Format DDG'!$A:$ZZ,,MATCH("Fonction recodée",'ETPT Format DDG'!2:2,0)),"JA/AttJ JAP",
INDEX( 'ETPT Format DDG'!$A:$ZZ,,MATCH("Juridiction",'ETPT Format DDG'!2:2,0)),$D$5)),0)</f>
        <v>#N/A</v>
      </c>
      <c r="P12" s="187" t="e">
        <f>SUM(SUMIFS(
INDEX( 'ETPT Format DDG'!$A:$ZZ,,MATCH("12.5. MISE À DISPOSITION",'ETPT Format DDG'!2:2,0)),
INDEX( 'ETPT Format DDG'!$A:$ZZ,,MATCH("Fonction recodée",'ETPT Format DDG'!2:2,0)),"JA/AttJ JE",
INDEX( 'ETPT Format DDG'!$A:$ZZ,,MATCH("Juridiction",'ETPT Format DDG'!2:2,0)),$D$5))+
_xlfn.IFNA(SUM(SUMIFS(
INDEX( 'ETPT Format DDG'!$A:$ZZ,,MATCH("13. TOTAL CONTENTIEUX LOCAUX SPÉCIFIQUES",'ETPT Format DDG'!2:2,0)),
INDEX( 'ETPT Format DDG'!$A:$ZZ,,MATCH("Fonction recodée",'ETPT Format DDG'!2:2,0)),"JA/AttJ JE",
INDEX( 'ETPT Format DDG'!$A:$ZZ,,MATCH("Juridiction",'ETPT Format DDG'!2:2,0)),$D$5)),0)</f>
        <v>#N/A</v>
      </c>
      <c r="Q12" s="187" t="e">
        <f>SUM(SUMIFS(
INDEX( 'ETPT Format DDG'!$A:$ZZ,,MATCH("12.5. MISE À DISPOSITION",'ETPT Format DDG'!2:2,0)),
INDEX( 'ETPT Format DDG'!$A:$ZZ,,MATCH("Fonction recodée",'ETPT Format DDG'!2:2,0)),"JA/AttJ JI",
INDEX( 'ETPT Format DDG'!$A:$ZZ,,MATCH("Juridiction",'ETPT Format DDG'!2:2,0)),$D$5))+
_xlfn.IFNA(SUM(SUMIFS(
INDEX( 'ETPT Format DDG'!$A:$ZZ,,MATCH("13. TOTAL CONTENTIEUX LOCAUX SPÉCIFIQUES",'ETPT Format DDG'!2:2,0)),
INDEX( 'ETPT Format DDG'!$A:$ZZ,,MATCH("Fonction recodée",'ETPT Format DDG'!2:2,0)),"JA/AttJ JI",
INDEX( 'ETPT Format DDG'!$A:$ZZ,,MATCH("Juridiction",'ETPT Format DDG'!2:2,0)),$D$5)),0)</f>
        <v>#N/A</v>
      </c>
      <c r="R12" s="187" t="e">
        <f>SUM(SUMIFS(
INDEX( 'ETPT Format DDG'!$A:$ZZ,,MATCH("12.5. MISE À DISPOSITION",'ETPT Format DDG'!2:2,0)),
INDEX( 'ETPT Format DDG'!$A:$ZZ,,MATCH("Fonction recodée",'ETPT Format DDG'!2:2,0)),"JA/AttJ JLD PÉNAL",
INDEX( 'ETPT Format DDG'!$A:$ZZ,,MATCH("Juridiction",'ETPT Format DDG'!2:2,0)),$D$5))+
_xlfn.IFNA(SUM(SUMIFS(
INDEX( 'ETPT Format DDG'!$A:$ZZ,,MATCH("13. TOTAL CONTENTIEUX LOCAUX SPÉCIFIQUES",'ETPT Format DDG'!2:2,0)),
INDEX( 'ETPT Format DDG'!$A:$ZZ,,MATCH("Fonction recodée",'ETPT Format DDG'!2:2,0)),"JA/AttJ JLD PÉNAL",
INDEX( 'ETPT Format DDG'!$A:$ZZ,,MATCH("Juridiction",'ETPT Format DDG'!2:2,0)),$D$5)),0)</f>
        <v>#N/A</v>
      </c>
      <c r="S12" s="188">
        <f t="shared" si="0"/>
        <v>0</v>
      </c>
    </row>
    <row r="13" ht="16" customHeight="1" spans="1:19" x14ac:dyDescent="0.25">
      <c r="A13" s="189"/>
      <c r="B13" s="189"/>
      <c r="C13" s="189"/>
      <c r="D13" s="189"/>
      <c r="E13" s="190"/>
      <c r="F13" s="191" t="s">
        <v>2245</v>
      </c>
      <c r="G13" s="188">
        <f>_xlfn.AGGREGATE(9,6,G5:G12)</f>
        <v>0</v>
      </c>
      <c r="H13" s="188">
        <f>_xlfn.AGGREGATE(9,6,H5:H12)</f>
        <v>0</v>
      </c>
      <c r="I13" s="188">
        <f t="shared" ref="I13:R13" si="1">_xlfn.AGGREGATE(9,6,I5:I12)</f>
        <v>0</v>
      </c>
      <c r="J13" s="188">
        <f t="shared" si="1"/>
        <v>0</v>
      </c>
      <c r="K13" s="188">
        <f t="shared" si="1"/>
        <v>0</v>
      </c>
      <c r="L13" s="188">
        <f t="shared" si="1"/>
        <v>0</v>
      </c>
      <c r="M13" s="188">
        <f t="shared" si="1"/>
        <v>0</v>
      </c>
      <c r="N13" s="188">
        <f t="shared" si="1"/>
        <v>0</v>
      </c>
      <c r="O13" s="188">
        <f t="shared" si="1"/>
        <v>0</v>
      </c>
      <c r="P13" s="188">
        <f t="shared" si="1"/>
        <v>0</v>
      </c>
      <c r="Q13" s="188">
        <f t="shared" si="1"/>
        <v>0</v>
      </c>
      <c r="R13" s="188">
        <f t="shared" si="1"/>
        <v>0</v>
      </c>
      <c r="S13" s="188">
        <f>_xlfn.AGGREGATE(9,6,S5:S12)</f>
        <v>0</v>
      </c>
    </row>
    <row r="14" ht="16" customHeight="1" spans="1:19" x14ac:dyDescent="0.25">
      <c r="A14" s="189"/>
      <c r="B14" s="189"/>
      <c r="C14" s="189"/>
      <c r="D14" s="189"/>
      <c r="E14" s="190"/>
      <c r="F14" s="190"/>
      <c r="G14" s="190"/>
      <c r="H14" s="190"/>
      <c r="I14" s="190"/>
      <c r="J14" s="190"/>
      <c r="K14" s="190"/>
      <c r="L14" s="190"/>
      <c r="M14" s="190"/>
      <c r="N14" s="190"/>
      <c r="O14" s="190"/>
      <c r="P14" s="190"/>
      <c r="Q14" s="190"/>
      <c r="R14" s="190"/>
      <c r="S14" s="190"/>
    </row>
    <row r="15" ht="16" customHeight="1" spans="1:19" x14ac:dyDescent="0.25">
      <c r="A15" s="189"/>
      <c r="B15" s="189"/>
      <c r="C15" s="189"/>
      <c r="D15" s="189"/>
      <c r="E15" s="189"/>
      <c r="F15" s="189"/>
      <c r="G15" s="189"/>
      <c r="H15" s="189"/>
      <c r="I15" s="190"/>
      <c r="J15" s="190"/>
      <c r="K15" s="190"/>
      <c r="O15" s="190"/>
      <c r="P15" s="190"/>
      <c r="Q15" s="190"/>
      <c r="R15" s="190"/>
      <c r="S15" s="190"/>
    </row>
    <row r="16" ht="16" customHeight="1" spans="1:19" x14ac:dyDescent="0.25">
      <c r="A16" s="189"/>
      <c r="B16" s="189"/>
      <c r="C16" s="189"/>
      <c r="D16" s="189"/>
      <c r="E16" s="189"/>
      <c r="F16" s="189"/>
      <c r="G16" s="189"/>
      <c r="H16" s="189"/>
      <c r="I16" s="190"/>
      <c r="J16" s="190"/>
      <c r="K16" s="190"/>
      <c r="O16" s="190"/>
      <c r="P16" s="190"/>
      <c r="Q16" s="190"/>
      <c r="R16" s="190"/>
      <c r="S16" s="190"/>
    </row>
    <row r="17" ht="16" customHeight="1" spans="1:20" x14ac:dyDescent="0.25">
      <c r="A17" s="189"/>
      <c r="B17" s="189"/>
      <c r="C17" s="189"/>
      <c r="D17" s="189"/>
      <c r="E17" s="189"/>
      <c r="F17" s="189"/>
      <c r="G17" s="189"/>
      <c r="H17" s="189"/>
      <c r="I17" s="190"/>
      <c r="J17" s="190"/>
      <c r="K17" s="190"/>
      <c r="O17" s="190"/>
      <c r="P17" s="190"/>
      <c r="Q17" s="190"/>
      <c r="R17" s="190"/>
      <c r="S17" s="190"/>
      <c r="T17" s="190"/>
    </row>
    <row r="18" ht="16" customHeight="1" spans="1:20" x14ac:dyDescent="0.25">
      <c r="A18" s="189"/>
      <c r="B18" s="189"/>
      <c r="C18" s="189"/>
      <c r="D18" s="189"/>
      <c r="E18" s="189"/>
      <c r="F18" s="189"/>
      <c r="G18" s="189"/>
      <c r="H18" s="189"/>
      <c r="I18" s="190"/>
      <c r="J18" s="190"/>
      <c r="K18" s="190"/>
      <c r="O18" s="190"/>
      <c r="P18" s="190"/>
      <c r="Q18" s="190"/>
      <c r="R18" s="190"/>
      <c r="S18" s="190"/>
      <c r="T18" s="190"/>
    </row>
    <row r="19" ht="16" customHeight="1" spans="1:20" x14ac:dyDescent="0.25">
      <c r="A19" s="189"/>
      <c r="B19" s="189"/>
      <c r="C19" s="189"/>
      <c r="D19" s="189"/>
      <c r="E19" s="189"/>
      <c r="F19" s="189"/>
      <c r="G19" s="189"/>
      <c r="H19" s="189"/>
      <c r="I19" s="190"/>
      <c r="J19" s="190"/>
      <c r="K19" s="190"/>
      <c r="O19" s="190"/>
      <c r="P19" s="190"/>
      <c r="Q19" s="190"/>
      <c r="R19" s="190"/>
      <c r="S19" s="190"/>
      <c r="T19" s="190"/>
    </row>
    <row r="20" ht="16" customHeight="1" spans="1:20" x14ac:dyDescent="0.25">
      <c r="A20" s="189"/>
      <c r="B20" s="189"/>
      <c r="C20" s="189"/>
      <c r="D20" s="189"/>
      <c r="E20" s="189"/>
      <c r="F20" s="189"/>
      <c r="G20" s="189"/>
      <c r="H20" s="189"/>
      <c r="I20" s="190"/>
      <c r="J20" s="190"/>
      <c r="K20" s="190"/>
      <c r="O20" s="190"/>
      <c r="P20" s="190"/>
      <c r="Q20" s="190"/>
      <c r="R20" s="190"/>
      <c r="S20" s="190"/>
      <c r="T20" s="190"/>
    </row>
    <row r="21" ht="16" customHeight="1" spans="1:20" x14ac:dyDescent="0.25">
      <c r="A21" s="189"/>
      <c r="B21" s="189"/>
      <c r="C21" s="189"/>
      <c r="D21" s="189"/>
      <c r="E21" s="189"/>
      <c r="F21" s="189"/>
      <c r="G21" s="189"/>
      <c r="H21" s="189"/>
      <c r="I21" s="190"/>
      <c r="J21" s="190"/>
      <c r="K21" s="190"/>
      <c r="O21" s="190"/>
      <c r="P21" s="190"/>
      <c r="Q21" s="190"/>
      <c r="R21" s="190"/>
      <c r="S21" s="190"/>
      <c r="T21" s="190"/>
    </row>
    <row r="22" ht="16" customHeight="1" spans="1:20" x14ac:dyDescent="0.25">
      <c r="A22" s="189"/>
      <c r="B22" s="189"/>
      <c r="C22" s="189"/>
      <c r="D22" s="189"/>
      <c r="E22" s="189"/>
      <c r="F22" s="189"/>
      <c r="G22" s="189"/>
      <c r="H22" s="189"/>
      <c r="I22" s="190"/>
      <c r="J22" s="190"/>
      <c r="K22" s="190"/>
      <c r="O22" s="190"/>
      <c r="P22" s="190"/>
      <c r="Q22" s="190"/>
      <c r="R22" s="190"/>
      <c r="S22" s="190"/>
      <c r="T22" s="190"/>
    </row>
    <row r="23" ht="16" customHeight="1" spans="1:20" x14ac:dyDescent="0.25">
      <c r="A23" s="189"/>
      <c r="B23" s="189"/>
      <c r="C23" s="189"/>
      <c r="D23" s="189"/>
      <c r="E23" s="189"/>
      <c r="F23" s="189"/>
      <c r="G23" s="189"/>
      <c r="H23" s="189"/>
      <c r="I23" s="190"/>
      <c r="J23" s="190"/>
      <c r="K23" s="190"/>
      <c r="L23" s="190"/>
      <c r="M23" s="190"/>
      <c r="N23" s="190"/>
      <c r="O23" s="190"/>
      <c r="P23" s="190"/>
      <c r="Q23" s="190"/>
      <c r="R23" s="190"/>
      <c r="S23" s="190"/>
      <c r="T23" s="190"/>
    </row>
    <row r="24" ht="16" customHeight="1" spans="1:20" x14ac:dyDescent="0.25">
      <c r="A24" s="189"/>
      <c r="B24" s="189"/>
      <c r="C24" s="189"/>
      <c r="D24" s="189"/>
      <c r="E24" s="189"/>
      <c r="F24" s="189"/>
      <c r="G24" s="189"/>
      <c r="H24" s="189"/>
      <c r="I24" s="190"/>
      <c r="J24" s="190"/>
      <c r="K24" s="190"/>
      <c r="L24" s="190"/>
      <c r="M24" s="190"/>
      <c r="N24" s="190"/>
      <c r="O24" s="190"/>
      <c r="P24" s="190"/>
      <c r="Q24" s="190"/>
      <c r="R24" s="190"/>
      <c r="S24" s="190"/>
      <c r="T24" s="190"/>
    </row>
    <row r="25" ht="16" customHeight="1" spans="1:20" x14ac:dyDescent="0.25">
      <c r="A25" s="189"/>
      <c r="B25" s="189"/>
      <c r="C25" s="189"/>
      <c r="D25" s="189"/>
      <c r="E25" s="189"/>
      <c r="F25" s="189"/>
      <c r="G25" s="189"/>
      <c r="H25" s="189"/>
      <c r="I25" s="190"/>
      <c r="J25" s="190"/>
      <c r="K25" s="190"/>
      <c r="L25" s="190"/>
      <c r="M25" s="190"/>
      <c r="N25" s="190"/>
      <c r="O25" s="190"/>
      <c r="P25" s="190"/>
      <c r="Q25" s="190"/>
      <c r="R25" s="190"/>
      <c r="S25" s="190"/>
      <c r="T25" s="190"/>
    </row>
    <row r="26" ht="16" customHeight="1" spans="1:20" x14ac:dyDescent="0.25">
      <c r="A26" s="189"/>
      <c r="B26" s="189"/>
      <c r="C26" s="189"/>
      <c r="D26" s="189"/>
      <c r="E26" s="189"/>
      <c r="F26" s="189"/>
      <c r="G26" s="189"/>
      <c r="H26" s="189"/>
      <c r="I26" s="190"/>
      <c r="J26" s="190"/>
      <c r="K26" s="190"/>
      <c r="L26" s="190"/>
      <c r="M26" s="190"/>
      <c r="N26" s="190"/>
      <c r="O26" s="190"/>
      <c r="P26" s="190"/>
      <c r="Q26" s="190"/>
      <c r="R26" s="190"/>
      <c r="S26" s="190"/>
      <c r="T26" s="190"/>
    </row>
    <row r="27" ht="16" customHeight="1" spans="1:20" x14ac:dyDescent="0.25">
      <c r="A27" s="189"/>
      <c r="B27" s="189"/>
      <c r="C27" s="189"/>
      <c r="D27" s="189"/>
      <c r="E27" s="189"/>
      <c r="F27" s="189"/>
      <c r="G27" s="189"/>
      <c r="H27" s="189"/>
      <c r="I27" s="190"/>
      <c r="J27" s="190"/>
      <c r="K27" s="190"/>
      <c r="L27" s="190"/>
      <c r="M27" s="190"/>
      <c r="N27" s="190"/>
      <c r="O27" s="190"/>
      <c r="P27" s="190"/>
      <c r="Q27" s="190"/>
      <c r="R27" s="190"/>
      <c r="S27" s="190"/>
      <c r="T27" s="190"/>
    </row>
    <row r="28" ht="16" customHeight="1" spans="1:20" x14ac:dyDescent="0.25">
      <c r="A28" s="189"/>
      <c r="B28" s="189"/>
      <c r="C28" s="189"/>
      <c r="D28" s="189"/>
      <c r="E28" s="189"/>
      <c r="F28" s="189"/>
      <c r="G28" s="189"/>
      <c r="H28" s="189"/>
      <c r="I28" s="190"/>
      <c r="J28" s="190"/>
      <c r="K28" s="190"/>
      <c r="L28" s="190"/>
      <c r="M28" s="190"/>
      <c r="N28" s="190"/>
      <c r="O28" s="190"/>
      <c r="P28" s="190"/>
      <c r="Q28" s="190"/>
      <c r="R28" s="190"/>
      <c r="S28" s="190"/>
      <c r="T28" s="190"/>
    </row>
    <row r="29" ht="16" customHeight="1" spans="1:20" x14ac:dyDescent="0.25">
      <c r="A29" s="189"/>
      <c r="B29" s="189"/>
      <c r="C29" s="189"/>
      <c r="D29" s="189"/>
      <c r="E29" s="189"/>
      <c r="F29" s="189"/>
      <c r="G29" s="189"/>
      <c r="H29" s="189"/>
      <c r="I29" s="190"/>
      <c r="J29" s="190"/>
      <c r="K29" s="190"/>
      <c r="L29" s="190"/>
      <c r="M29" s="190"/>
      <c r="N29" s="190"/>
      <c r="O29" s="190"/>
      <c r="P29" s="190"/>
      <c r="Q29" s="190"/>
      <c r="R29" s="190"/>
      <c r="S29" s="190"/>
      <c r="T29" s="190"/>
    </row>
    <row r="30" ht="16" customHeight="1" spans="1:20" x14ac:dyDescent="0.25">
      <c r="A30" s="189"/>
      <c r="B30" s="189"/>
      <c r="C30" s="189"/>
      <c r="D30" s="189"/>
      <c r="E30" s="189"/>
      <c r="F30" s="189"/>
      <c r="G30" s="189"/>
      <c r="H30" s="189"/>
      <c r="I30" s="190"/>
      <c r="J30" s="190"/>
      <c r="K30" s="190"/>
      <c r="L30" s="190"/>
      <c r="M30" s="190"/>
      <c r="N30" s="190"/>
      <c r="O30" s="190"/>
      <c r="P30" s="190"/>
      <c r="Q30" s="190"/>
      <c r="R30" s="190"/>
      <c r="S30" s="190"/>
      <c r="T30" s="190"/>
    </row>
    <row r="31" ht="16" customHeight="1" spans="1:20" x14ac:dyDescent="0.25">
      <c r="A31" s="189"/>
      <c r="B31" s="189"/>
      <c r="C31" s="189"/>
      <c r="D31" s="189"/>
      <c r="E31" s="189"/>
      <c r="F31" s="189"/>
      <c r="G31" s="189"/>
      <c r="H31" s="189"/>
      <c r="I31" s="190"/>
      <c r="J31" s="190"/>
      <c r="K31" s="190"/>
      <c r="L31" s="190"/>
      <c r="M31" s="190"/>
      <c r="N31" s="190"/>
      <c r="O31" s="190"/>
      <c r="P31" s="190"/>
      <c r="Q31" s="190"/>
      <c r="R31" s="190"/>
      <c r="S31" s="190"/>
      <c r="T31" s="190"/>
    </row>
    <row r="32" ht="16" customHeight="1" spans="1:20" x14ac:dyDescent="0.25">
      <c r="A32" s="189"/>
      <c r="B32" s="189"/>
      <c r="C32" s="189"/>
      <c r="D32" s="189"/>
      <c r="E32" s="189"/>
      <c r="F32" s="189"/>
      <c r="G32" s="189"/>
      <c r="H32" s="189"/>
      <c r="I32" s="190"/>
      <c r="J32" s="190"/>
      <c r="K32" s="190"/>
      <c r="L32" s="190"/>
      <c r="M32" s="190"/>
      <c r="N32" s="190"/>
      <c r="O32" s="190"/>
      <c r="P32" s="190"/>
      <c r="Q32" s="190"/>
      <c r="R32" s="190"/>
      <c r="S32" s="190"/>
      <c r="T32" s="190"/>
    </row>
    <row r="33" ht="16" customHeight="1" spans="1:20" x14ac:dyDescent="0.25">
      <c r="A33" s="189"/>
      <c r="B33" s="189"/>
      <c r="C33" s="189"/>
      <c r="D33" s="189"/>
      <c r="E33" s="189"/>
      <c r="F33" s="189"/>
      <c r="G33" s="189"/>
      <c r="H33" s="189"/>
      <c r="I33" s="190"/>
      <c r="J33" s="190"/>
      <c r="K33" s="190"/>
      <c r="L33" s="190"/>
      <c r="M33" s="190"/>
      <c r="N33" s="190"/>
      <c r="O33" s="190"/>
      <c r="P33" s="190"/>
      <c r="Q33" s="190"/>
      <c r="R33" s="190"/>
      <c r="S33" s="190"/>
      <c r="T33" s="190"/>
    </row>
    <row r="34" ht="16" customHeight="1" spans="1:20" x14ac:dyDescent="0.25">
      <c r="A34" s="189"/>
      <c r="B34" s="189"/>
      <c r="C34" s="189"/>
      <c r="D34" s="189"/>
      <c r="E34" s="189"/>
      <c r="F34" s="189"/>
      <c r="G34" s="189"/>
      <c r="H34" s="189"/>
      <c r="I34" s="190"/>
      <c r="J34" s="190"/>
      <c r="K34" s="190"/>
      <c r="L34" s="190"/>
      <c r="M34" s="190"/>
      <c r="N34" s="190"/>
      <c r="O34" s="190"/>
      <c r="P34" s="190"/>
      <c r="Q34" s="190"/>
      <c r="R34" s="190"/>
      <c r="S34" s="190"/>
      <c r="T34" s="190"/>
    </row>
    <row r="35" ht="16" customHeight="1" spans="1:20" x14ac:dyDescent="0.25">
      <c r="A35" s="189"/>
      <c r="B35" s="189"/>
      <c r="C35" s="189"/>
      <c r="D35" s="189"/>
      <c r="E35" s="189"/>
      <c r="F35" s="189"/>
      <c r="G35" s="189"/>
      <c r="H35" s="189"/>
      <c r="I35" s="190"/>
      <c r="J35" s="190"/>
      <c r="K35" s="190"/>
      <c r="L35" s="190"/>
      <c r="M35" s="190"/>
      <c r="N35" s="190"/>
      <c r="O35" s="190"/>
      <c r="P35" s="190"/>
      <c r="Q35" s="190"/>
      <c r="R35" s="190"/>
      <c r="S35" s="190"/>
      <c r="T35" s="190"/>
    </row>
    <row r="36" ht="16" customHeight="1" spans="1:20" x14ac:dyDescent="0.25">
      <c r="A36" s="189"/>
      <c r="B36" s="189"/>
      <c r="C36" s="189"/>
      <c r="D36" s="189"/>
      <c r="E36" s="189"/>
      <c r="F36" s="189"/>
      <c r="G36" s="189"/>
      <c r="H36" s="189"/>
      <c r="I36" s="190"/>
      <c r="J36" s="190"/>
      <c r="K36" s="190"/>
      <c r="L36" s="190"/>
      <c r="M36" s="190"/>
      <c r="N36" s="190"/>
      <c r="O36" s="190"/>
      <c r="P36" s="190"/>
      <c r="Q36" s="190"/>
      <c r="R36" s="190"/>
      <c r="S36" s="190"/>
      <c r="T36" s="190"/>
    </row>
    <row r="37" ht="16" customHeight="1" spans="1:20" x14ac:dyDescent="0.25">
      <c r="A37" s="189"/>
      <c r="B37" s="189"/>
      <c r="C37" s="189"/>
      <c r="D37" s="189"/>
      <c r="E37" s="189"/>
      <c r="F37" s="189"/>
      <c r="G37" s="189"/>
      <c r="H37" s="189"/>
      <c r="I37" s="190"/>
      <c r="J37" s="190"/>
      <c r="K37" s="190"/>
      <c r="L37" s="190"/>
      <c r="M37" s="190"/>
      <c r="N37" s="190"/>
      <c r="O37" s="190"/>
      <c r="P37" s="190"/>
      <c r="Q37" s="190"/>
      <c r="R37" s="190"/>
      <c r="S37" s="190"/>
      <c r="T37" s="190"/>
    </row>
    <row r="38" ht="16" customHeight="1" spans="1:20" x14ac:dyDescent="0.25">
      <c r="A38" s="189"/>
      <c r="B38" s="189"/>
      <c r="C38" s="189"/>
      <c r="D38" s="189"/>
      <c r="E38" s="189"/>
      <c r="F38" s="189"/>
      <c r="G38" s="189"/>
      <c r="H38" s="189"/>
      <c r="I38" s="190"/>
      <c r="J38" s="190"/>
      <c r="K38" s="190"/>
      <c r="L38" s="190"/>
      <c r="M38" s="190"/>
      <c r="N38" s="190"/>
      <c r="O38" s="190"/>
      <c r="P38" s="190"/>
      <c r="Q38" s="190"/>
      <c r="R38" s="190"/>
      <c r="S38" s="190"/>
      <c r="T38" s="190"/>
    </row>
    <row r="39" ht="16" customHeight="1" spans="1:20" x14ac:dyDescent="0.25">
      <c r="A39" s="189"/>
      <c r="B39" s="189"/>
      <c r="C39" s="189"/>
      <c r="D39" s="189"/>
      <c r="E39" s="189"/>
      <c r="F39" s="189"/>
      <c r="G39" s="189"/>
      <c r="H39" s="189"/>
      <c r="I39" s="190"/>
      <c r="J39" s="190"/>
      <c r="K39" s="190"/>
      <c r="L39" s="190"/>
      <c r="M39" s="190"/>
      <c r="N39" s="190"/>
      <c r="O39" s="190"/>
      <c r="P39" s="190"/>
      <c r="Q39" s="190"/>
      <c r="R39" s="190"/>
      <c r="S39" s="190"/>
      <c r="T39" s="190"/>
    </row>
    <row r="40" ht="16" customHeight="1" spans="1:20" x14ac:dyDescent="0.25">
      <c r="A40" s="189"/>
      <c r="B40" s="189"/>
      <c r="C40" s="189"/>
      <c r="D40" s="189"/>
      <c r="E40" s="189"/>
      <c r="F40" s="189"/>
      <c r="G40" s="189"/>
      <c r="H40" s="189"/>
      <c r="I40" s="190"/>
      <c r="J40" s="190"/>
      <c r="K40" s="190"/>
      <c r="L40" s="190"/>
      <c r="M40" s="190"/>
      <c r="N40" s="190"/>
      <c r="O40" s="190"/>
      <c r="P40" s="190"/>
      <c r="Q40" s="190"/>
      <c r="R40" s="190"/>
      <c r="S40" s="190"/>
      <c r="T40" s="190"/>
    </row>
    <row r="41" ht="16" customHeight="1" spans="1:20" x14ac:dyDescent="0.25">
      <c r="A41" s="189"/>
      <c r="B41" s="189"/>
      <c r="C41" s="189"/>
      <c r="D41" s="189"/>
      <c r="E41" s="189"/>
      <c r="F41" s="189"/>
      <c r="G41" s="189"/>
      <c r="H41" s="189"/>
      <c r="I41" s="190"/>
      <c r="J41" s="190"/>
      <c r="K41" s="190"/>
      <c r="L41" s="190"/>
      <c r="M41" s="190"/>
      <c r="N41" s="190"/>
      <c r="O41" s="190"/>
      <c r="P41" s="190"/>
      <c r="Q41" s="190"/>
      <c r="R41" s="190"/>
      <c r="S41" s="190"/>
      <c r="T41" s="190"/>
    </row>
    <row r="42" ht="16" customHeight="1" spans="1:20" x14ac:dyDescent="0.25">
      <c r="A42" s="189"/>
      <c r="B42" s="189"/>
      <c r="C42" s="189"/>
      <c r="D42" s="189"/>
      <c r="E42" s="189"/>
      <c r="F42" s="189"/>
      <c r="G42" s="189"/>
      <c r="H42" s="189"/>
      <c r="I42" s="190"/>
      <c r="J42" s="190"/>
      <c r="K42" s="190"/>
      <c r="L42" s="190"/>
      <c r="M42" s="190"/>
      <c r="N42" s="190"/>
      <c r="O42" s="190"/>
      <c r="P42" s="190"/>
      <c r="Q42" s="190"/>
      <c r="R42" s="190"/>
      <c r="S42" s="190"/>
      <c r="T42" s="190"/>
    </row>
    <row r="43" ht="16" customHeight="1" spans="1:20" x14ac:dyDescent="0.25">
      <c r="A43" s="189"/>
      <c r="B43" s="189"/>
      <c r="C43" s="189"/>
      <c r="D43" s="189"/>
      <c r="E43" s="189"/>
      <c r="F43" s="189"/>
      <c r="G43" s="189"/>
      <c r="H43" s="189"/>
      <c r="I43" s="190"/>
      <c r="J43" s="190"/>
      <c r="K43" s="190"/>
      <c r="L43" s="190"/>
      <c r="M43" s="190"/>
      <c r="N43" s="190"/>
      <c r="O43" s="190"/>
      <c r="P43" s="190"/>
      <c r="Q43" s="190"/>
      <c r="R43" s="190"/>
      <c r="S43" s="190"/>
      <c r="T43" s="190"/>
    </row>
    <row r="44" ht="16" customHeight="1" spans="1:20" x14ac:dyDescent="0.25">
      <c r="A44" s="189"/>
      <c r="B44" s="189"/>
      <c r="C44" s="189"/>
      <c r="D44" s="189"/>
      <c r="E44" s="189"/>
      <c r="F44" s="189"/>
      <c r="G44" s="189"/>
      <c r="H44" s="189"/>
      <c r="I44" s="190"/>
      <c r="J44" s="190"/>
      <c r="K44" s="190"/>
      <c r="L44" s="190"/>
      <c r="M44" s="190"/>
      <c r="N44" s="190"/>
      <c r="O44" s="190"/>
      <c r="P44" s="190"/>
      <c r="Q44" s="190"/>
      <c r="R44" s="190"/>
      <c r="S44" s="190"/>
      <c r="T44" s="190"/>
    </row>
    <row r="45" ht="16" customHeight="1" spans="1:20" x14ac:dyDescent="0.25">
      <c r="A45" s="189"/>
      <c r="B45" s="189"/>
      <c r="C45" s="189"/>
      <c r="D45" s="189"/>
      <c r="E45" s="189"/>
      <c r="F45" s="189"/>
      <c r="G45" s="189"/>
      <c r="H45" s="189"/>
      <c r="I45" s="190"/>
      <c r="J45" s="190"/>
      <c r="K45" s="190"/>
      <c r="L45" s="190"/>
      <c r="M45" s="190"/>
      <c r="N45" s="190"/>
      <c r="O45" s="190"/>
      <c r="P45" s="190"/>
      <c r="Q45" s="190"/>
      <c r="R45" s="190"/>
      <c r="S45" s="190"/>
      <c r="T45" s="190"/>
    </row>
    <row r="46" ht="16" customHeight="1" spans="1:20" x14ac:dyDescent="0.25">
      <c r="A46" s="189"/>
      <c r="B46" s="189"/>
      <c r="C46" s="189"/>
      <c r="D46" s="189"/>
      <c r="E46" s="189"/>
      <c r="F46" s="189"/>
      <c r="G46" s="189"/>
      <c r="H46" s="189"/>
      <c r="I46" s="190"/>
      <c r="J46" s="190"/>
      <c r="K46" s="190"/>
      <c r="L46" s="190"/>
      <c r="M46" s="190"/>
      <c r="N46" s="190"/>
      <c r="O46" s="190"/>
      <c r="P46" s="190"/>
      <c r="Q46" s="190"/>
      <c r="R46" s="190"/>
      <c r="S46" s="190"/>
      <c r="T46" s="190"/>
    </row>
    <row r="47" ht="16" customHeight="1" spans="1:20" x14ac:dyDescent="0.25">
      <c r="A47" s="189"/>
      <c r="B47" s="189"/>
      <c r="C47" s="189"/>
      <c r="D47" s="189"/>
      <c r="E47" s="189"/>
      <c r="F47" s="189"/>
      <c r="G47" s="189"/>
      <c r="H47" s="189"/>
      <c r="I47" s="190"/>
      <c r="J47" s="190"/>
      <c r="K47" s="190"/>
      <c r="L47" s="190"/>
      <c r="M47" s="190"/>
      <c r="N47" s="190"/>
      <c r="O47" s="190"/>
      <c r="P47" s="190"/>
      <c r="Q47" s="190"/>
      <c r="R47" s="190"/>
      <c r="S47" s="190"/>
      <c r="T47" s="190"/>
    </row>
    <row r="48" ht="16" customHeight="1" spans="1:20" x14ac:dyDescent="0.25">
      <c r="A48" s="189"/>
      <c r="B48" s="189"/>
      <c r="C48" s="189"/>
      <c r="D48" s="189"/>
      <c r="E48" s="189"/>
      <c r="F48" s="189"/>
      <c r="G48" s="189"/>
      <c r="H48" s="189"/>
      <c r="I48" s="190"/>
      <c r="J48" s="190"/>
      <c r="K48" s="190"/>
      <c r="L48" s="190"/>
      <c r="M48" s="190"/>
      <c r="N48" s="190"/>
      <c r="O48" s="190"/>
      <c r="P48" s="190"/>
      <c r="Q48" s="190"/>
      <c r="R48" s="190"/>
      <c r="S48" s="190"/>
      <c r="T48" s="190"/>
    </row>
    <row r="49" ht="16" customHeight="1" spans="1:20" x14ac:dyDescent="0.25">
      <c r="A49" s="189"/>
      <c r="B49" s="189"/>
      <c r="C49" s="189"/>
      <c r="D49" s="189"/>
      <c r="E49" s="189"/>
      <c r="F49" s="189"/>
      <c r="G49" s="189"/>
      <c r="H49" s="189"/>
      <c r="I49" s="190"/>
      <c r="J49" s="190"/>
      <c r="K49" s="190"/>
      <c r="L49" s="190"/>
      <c r="M49" s="190"/>
      <c r="N49" s="190"/>
      <c r="O49" s="190"/>
      <c r="P49" s="190"/>
      <c r="Q49" s="190"/>
      <c r="R49" s="190"/>
      <c r="S49" s="190"/>
      <c r="T49" s="190"/>
    </row>
    <row r="50" ht="16" customHeight="1" spans="1:20" x14ac:dyDescent="0.25">
      <c r="A50" s="189"/>
      <c r="B50" s="189"/>
      <c r="C50" s="189"/>
      <c r="D50" s="189"/>
      <c r="E50" s="189"/>
      <c r="F50" s="189"/>
      <c r="G50" s="189"/>
      <c r="H50" s="189"/>
      <c r="I50" s="190"/>
      <c r="J50" s="190"/>
      <c r="K50" s="190"/>
      <c r="L50" s="190"/>
      <c r="M50" s="190"/>
      <c r="N50" s="190"/>
      <c r="O50" s="190"/>
      <c r="P50" s="190"/>
      <c r="Q50" s="190"/>
      <c r="R50" s="190"/>
      <c r="S50" s="190"/>
      <c r="T50" s="190"/>
    </row>
    <row r="51" ht="16" customHeight="1" spans="1:20" x14ac:dyDescent="0.25">
      <c r="A51" s="189"/>
      <c r="B51" s="189"/>
      <c r="C51" s="189"/>
      <c r="D51" s="189"/>
      <c r="E51" s="189"/>
      <c r="F51" s="189"/>
      <c r="G51" s="189"/>
      <c r="H51" s="189"/>
      <c r="I51" s="190"/>
      <c r="J51" s="190"/>
      <c r="K51" s="190"/>
      <c r="L51" s="190"/>
      <c r="M51" s="190"/>
      <c r="N51" s="190"/>
      <c r="O51" s="190"/>
      <c r="P51" s="190"/>
      <c r="Q51" s="190"/>
      <c r="R51" s="190"/>
      <c r="S51" s="190"/>
      <c r="T51" s="190"/>
    </row>
    <row r="52" ht="16" customHeight="1" spans="1:20" x14ac:dyDescent="0.25">
      <c r="A52" s="189"/>
      <c r="B52" s="189"/>
      <c r="C52" s="189"/>
      <c r="D52" s="189"/>
      <c r="E52" s="189"/>
      <c r="F52" s="189"/>
      <c r="G52" s="189"/>
      <c r="H52" s="189"/>
      <c r="I52" s="190"/>
      <c r="J52" s="190"/>
      <c r="K52" s="190"/>
      <c r="L52" s="190"/>
      <c r="M52" s="190"/>
      <c r="N52" s="190"/>
      <c r="O52" s="190"/>
      <c r="P52" s="190"/>
      <c r="Q52" s="190"/>
      <c r="R52" s="190"/>
      <c r="S52" s="190"/>
      <c r="T52" s="190"/>
    </row>
    <row r="53" ht="16" customHeight="1" spans="1:20" x14ac:dyDescent="0.25">
      <c r="A53" s="189"/>
      <c r="B53" s="189"/>
      <c r="C53" s="189"/>
      <c r="D53" s="189"/>
      <c r="E53" s="189"/>
      <c r="F53" s="189"/>
      <c r="G53" s="189"/>
      <c r="H53" s="189"/>
      <c r="I53" s="190"/>
      <c r="J53" s="190"/>
      <c r="K53" s="190"/>
      <c r="L53" s="190"/>
      <c r="M53" s="190"/>
      <c r="N53" s="190"/>
      <c r="O53" s="190"/>
      <c r="P53" s="190"/>
      <c r="Q53" s="190"/>
      <c r="R53" s="190"/>
      <c r="S53" s="190"/>
      <c r="T53" s="190"/>
    </row>
    <row r="54" ht="16" customHeight="1" spans="1:20" x14ac:dyDescent="0.25">
      <c r="A54" s="189"/>
      <c r="B54" s="189"/>
      <c r="C54" s="189"/>
      <c r="D54" s="189"/>
      <c r="E54" s="189"/>
      <c r="F54" s="189"/>
      <c r="G54" s="189"/>
      <c r="H54" s="189"/>
      <c r="I54" s="190"/>
      <c r="J54" s="190"/>
      <c r="K54" s="190"/>
      <c r="L54" s="190"/>
      <c r="M54" s="190"/>
      <c r="N54" s="190"/>
      <c r="O54" s="190"/>
      <c r="P54" s="190"/>
      <c r="Q54" s="190"/>
      <c r="R54" s="190"/>
      <c r="S54" s="190"/>
      <c r="T54" s="190"/>
    </row>
    <row r="55" ht="16" customHeight="1" spans="1:20" x14ac:dyDescent="0.25">
      <c r="A55" s="189"/>
      <c r="B55" s="189"/>
      <c r="C55" s="189"/>
      <c r="D55" s="189"/>
      <c r="E55" s="189"/>
      <c r="F55" s="189"/>
      <c r="G55" s="189"/>
      <c r="H55" s="189"/>
      <c r="I55" s="190"/>
      <c r="J55" s="190"/>
      <c r="K55" s="190"/>
      <c r="L55" s="190"/>
      <c r="M55" s="190"/>
      <c r="N55" s="190"/>
      <c r="O55" s="190"/>
      <c r="P55" s="190"/>
      <c r="Q55" s="190"/>
      <c r="R55" s="190"/>
      <c r="S55" s="190"/>
      <c r="T55" s="190"/>
    </row>
    <row r="56" ht="16" customHeight="1" spans="1:20" x14ac:dyDescent="0.25">
      <c r="A56" s="189"/>
      <c r="B56" s="189"/>
      <c r="C56" s="189"/>
      <c r="D56" s="189"/>
      <c r="E56" s="189"/>
      <c r="F56" s="189"/>
      <c r="G56" s="189"/>
      <c r="H56" s="189"/>
      <c r="I56" s="190"/>
      <c r="J56" s="190"/>
      <c r="K56" s="190"/>
      <c r="L56" s="190"/>
      <c r="M56" s="190"/>
      <c r="N56" s="190"/>
      <c r="O56" s="190"/>
      <c r="P56" s="190"/>
      <c r="Q56" s="190"/>
      <c r="R56" s="190"/>
      <c r="S56" s="190"/>
      <c r="T56" s="190"/>
    </row>
    <row r="57" ht="16" customHeight="1" spans="1:20" x14ac:dyDescent="0.25">
      <c r="A57" s="189"/>
      <c r="B57" s="189"/>
      <c r="C57" s="189"/>
      <c r="D57" s="189"/>
      <c r="E57" s="189"/>
      <c r="F57" s="189"/>
      <c r="G57" s="189"/>
      <c r="H57" s="189"/>
      <c r="I57" s="190"/>
      <c r="J57" s="190"/>
      <c r="K57" s="190"/>
      <c r="L57" s="190"/>
      <c r="M57" s="190"/>
      <c r="N57" s="190"/>
      <c r="O57" s="190"/>
      <c r="P57" s="190"/>
      <c r="Q57" s="190"/>
      <c r="R57" s="190"/>
      <c r="S57" s="190"/>
      <c r="T57" s="190"/>
    </row>
    <row r="58" ht="16" customHeight="1" spans="1:20" x14ac:dyDescent="0.25">
      <c r="A58" s="189"/>
      <c r="B58" s="189"/>
      <c r="C58" s="189"/>
      <c r="D58" s="189"/>
      <c r="E58" s="189"/>
      <c r="F58" s="189"/>
      <c r="G58" s="189"/>
      <c r="H58" s="189"/>
      <c r="I58" s="190"/>
      <c r="J58" s="190"/>
      <c r="K58" s="190"/>
      <c r="L58" s="190"/>
      <c r="M58" s="190"/>
      <c r="N58" s="190"/>
      <c r="O58" s="190"/>
      <c r="P58" s="190"/>
      <c r="Q58" s="190"/>
      <c r="R58" s="190"/>
      <c r="S58" s="190"/>
      <c r="T58" s="190"/>
    </row>
    <row r="59" ht="16" customHeight="1" spans="1:20" x14ac:dyDescent="0.25">
      <c r="A59" s="189"/>
      <c r="B59" s="189"/>
      <c r="C59" s="189"/>
      <c r="D59" s="189"/>
      <c r="E59" s="189"/>
      <c r="F59" s="189"/>
      <c r="G59" s="189"/>
      <c r="H59" s="189"/>
      <c r="I59" s="190"/>
      <c r="J59" s="190"/>
      <c r="K59" s="190"/>
      <c r="L59" s="190"/>
      <c r="M59" s="190"/>
      <c r="N59" s="190"/>
      <c r="O59" s="190"/>
      <c r="P59" s="190"/>
      <c r="Q59" s="190"/>
      <c r="R59" s="190"/>
      <c r="S59" s="190"/>
      <c r="T59" s="190"/>
    </row>
    <row r="60" ht="16" customHeight="1" spans="1:20" x14ac:dyDescent="0.25">
      <c r="A60" s="189"/>
      <c r="B60" s="189"/>
      <c r="C60" s="189"/>
      <c r="D60" s="189"/>
      <c r="E60" s="189"/>
      <c r="F60" s="189"/>
      <c r="G60" s="189"/>
      <c r="H60" s="189"/>
      <c r="I60" s="190"/>
      <c r="J60" s="190"/>
      <c r="K60" s="190"/>
      <c r="L60" s="190"/>
      <c r="M60" s="190"/>
      <c r="N60" s="190"/>
      <c r="O60" s="190"/>
      <c r="P60" s="190"/>
      <c r="Q60" s="190"/>
      <c r="R60" s="190"/>
      <c r="S60" s="190"/>
      <c r="T60" s="190"/>
    </row>
    <row r="61" ht="16" customHeight="1" spans="1:20" x14ac:dyDescent="0.25">
      <c r="A61" s="189"/>
      <c r="B61" s="189"/>
      <c r="C61" s="189"/>
      <c r="D61" s="189"/>
      <c r="E61" s="189"/>
      <c r="F61" s="189"/>
      <c r="G61" s="189"/>
      <c r="H61" s="189"/>
      <c r="I61" s="190"/>
      <c r="J61" s="190"/>
      <c r="K61" s="190"/>
      <c r="L61" s="190"/>
      <c r="M61" s="190"/>
      <c r="N61" s="190"/>
      <c r="O61" s="190"/>
      <c r="P61" s="190"/>
      <c r="Q61" s="190"/>
      <c r="R61" s="190"/>
      <c r="S61" s="190"/>
      <c r="T61" s="190"/>
    </row>
    <row r="62" ht="16" customHeight="1" spans="1:20" x14ac:dyDescent="0.25">
      <c r="A62" s="189"/>
      <c r="B62" s="189"/>
      <c r="C62" s="189"/>
      <c r="D62" s="189"/>
      <c r="E62" s="189"/>
      <c r="F62" s="189"/>
      <c r="G62" s="189"/>
      <c r="H62" s="189"/>
      <c r="I62" s="190"/>
      <c r="J62" s="190"/>
      <c r="K62" s="190"/>
      <c r="L62" s="190"/>
      <c r="M62" s="190"/>
      <c r="N62" s="190"/>
      <c r="O62" s="190"/>
      <c r="P62" s="190"/>
      <c r="Q62" s="190"/>
      <c r="R62" s="190"/>
      <c r="S62" s="190"/>
      <c r="T62" s="190"/>
    </row>
    <row r="63" ht="16" customHeight="1" spans="1:20" x14ac:dyDescent="0.25">
      <c r="A63" s="189"/>
      <c r="B63" s="189"/>
      <c r="C63" s="189"/>
      <c r="D63" s="189"/>
      <c r="E63" s="189"/>
      <c r="F63" s="189"/>
      <c r="G63" s="189"/>
      <c r="H63" s="189"/>
      <c r="I63" s="190"/>
      <c r="J63" s="190"/>
      <c r="K63" s="190"/>
      <c r="L63" s="190"/>
      <c r="M63" s="190"/>
      <c r="N63" s="190"/>
      <c r="O63" s="190"/>
      <c r="P63" s="190"/>
      <c r="Q63" s="190"/>
      <c r="R63" s="190"/>
      <c r="S63" s="190"/>
      <c r="T63" s="190"/>
    </row>
    <row r="64" ht="16" customHeight="1" spans="1:20" x14ac:dyDescent="0.25">
      <c r="A64" s="189"/>
      <c r="B64" s="189"/>
      <c r="C64" s="189"/>
      <c r="D64" s="189"/>
      <c r="E64" s="189"/>
      <c r="F64" s="189"/>
      <c r="G64" s="189"/>
      <c r="H64" s="189"/>
      <c r="I64" s="190"/>
      <c r="J64" s="190"/>
      <c r="K64" s="190"/>
      <c r="L64" s="190"/>
      <c r="M64" s="190"/>
      <c r="N64" s="190"/>
      <c r="O64" s="190"/>
      <c r="P64" s="190"/>
      <c r="Q64" s="190"/>
      <c r="R64" s="190"/>
      <c r="S64" s="190"/>
      <c r="T64" s="190"/>
    </row>
    <row r="65" ht="16" customHeight="1" spans="1:20" x14ac:dyDescent="0.25">
      <c r="A65" s="189"/>
      <c r="B65" s="189"/>
      <c r="C65" s="189"/>
      <c r="D65" s="189"/>
      <c r="E65" s="189"/>
      <c r="F65" s="189"/>
      <c r="G65" s="189"/>
      <c r="H65" s="189"/>
      <c r="I65" s="190"/>
      <c r="J65" s="190"/>
      <c r="K65" s="190"/>
      <c r="L65" s="190"/>
      <c r="M65" s="190"/>
      <c r="N65" s="190"/>
      <c r="O65" s="190"/>
      <c r="P65" s="190"/>
      <c r="Q65" s="190"/>
      <c r="R65" s="190"/>
      <c r="S65" s="190"/>
      <c r="T65" s="190"/>
    </row>
    <row r="66" ht="16" customHeight="1" spans="1:20" x14ac:dyDescent="0.25">
      <c r="A66" s="189"/>
      <c r="B66" s="189"/>
      <c r="C66" s="189"/>
      <c r="D66" s="189"/>
      <c r="E66" s="189"/>
      <c r="F66" s="189"/>
      <c r="G66" s="189"/>
      <c r="H66" s="189"/>
      <c r="I66" s="190"/>
      <c r="J66" s="190"/>
      <c r="K66" s="190"/>
      <c r="L66" s="190"/>
      <c r="M66" s="190"/>
      <c r="N66" s="190"/>
      <c r="O66" s="190"/>
      <c r="P66" s="190"/>
      <c r="Q66" s="190"/>
      <c r="R66" s="190"/>
      <c r="S66" s="190"/>
      <c r="T66" s="190"/>
    </row>
    <row r="67" ht="16" customHeight="1" spans="1:20" x14ac:dyDescent="0.25">
      <c r="A67" s="189"/>
      <c r="B67" s="189"/>
      <c r="C67" s="189"/>
      <c r="D67" s="189"/>
      <c r="E67" s="189"/>
      <c r="F67" s="189"/>
      <c r="G67" s="189"/>
      <c r="H67" s="189"/>
      <c r="I67" s="190"/>
      <c r="J67" s="190"/>
      <c r="K67" s="190"/>
      <c r="L67" s="190"/>
      <c r="M67" s="190"/>
      <c r="N67" s="190"/>
      <c r="O67" s="190"/>
      <c r="P67" s="190"/>
      <c r="Q67" s="190"/>
      <c r="R67" s="190"/>
      <c r="S67" s="190"/>
      <c r="T67" s="190"/>
    </row>
    <row r="68" ht="16" customHeight="1" spans="1:20" x14ac:dyDescent="0.25">
      <c r="A68" s="189"/>
      <c r="B68" s="189"/>
      <c r="C68" s="189"/>
      <c r="D68" s="189"/>
      <c r="E68" s="189"/>
      <c r="F68" s="189"/>
      <c r="G68" s="189"/>
      <c r="H68" s="189"/>
      <c r="I68" s="190"/>
      <c r="J68" s="190"/>
      <c r="K68" s="190"/>
      <c r="L68" s="190"/>
      <c r="M68" s="190"/>
      <c r="N68" s="190"/>
      <c r="O68" s="190"/>
      <c r="P68" s="190"/>
      <c r="Q68" s="190"/>
      <c r="R68" s="190"/>
      <c r="S68" s="190"/>
      <c r="T68" s="190"/>
    </row>
    <row r="69" ht="16" customHeight="1" spans="1:20" x14ac:dyDescent="0.25">
      <c r="A69" s="189"/>
      <c r="B69" s="189"/>
      <c r="C69" s="189"/>
      <c r="D69" s="189"/>
      <c r="E69" s="189"/>
      <c r="F69" s="189"/>
      <c r="G69" s="189"/>
      <c r="H69" s="189"/>
      <c r="I69" s="190"/>
      <c r="J69" s="190"/>
      <c r="K69" s="190"/>
      <c r="L69" s="190"/>
      <c r="M69" s="190"/>
      <c r="N69" s="190"/>
      <c r="O69" s="190"/>
      <c r="P69" s="190"/>
      <c r="Q69" s="190"/>
      <c r="R69" s="190"/>
      <c r="S69" s="190"/>
      <c r="T69" s="190"/>
    </row>
    <row r="70" ht="16" customHeight="1" spans="1:20" x14ac:dyDescent="0.25">
      <c r="A70" s="189"/>
      <c r="B70" s="189"/>
      <c r="C70" s="189"/>
      <c r="D70" s="189"/>
      <c r="E70" s="189"/>
      <c r="F70" s="189"/>
      <c r="G70" s="189"/>
      <c r="H70" s="189"/>
      <c r="I70" s="190"/>
      <c r="J70" s="190"/>
      <c r="K70" s="190"/>
      <c r="L70" s="190"/>
      <c r="M70" s="190"/>
      <c r="N70" s="190"/>
      <c r="O70" s="190"/>
      <c r="P70" s="190"/>
      <c r="Q70" s="190"/>
      <c r="R70" s="190"/>
      <c r="S70" s="190"/>
      <c r="T70" s="190"/>
    </row>
    <row r="71" ht="16" customHeight="1" spans="1:20" x14ac:dyDescent="0.25">
      <c r="A71" s="189"/>
      <c r="B71" s="189"/>
      <c r="C71" s="189"/>
      <c r="D71" s="189"/>
      <c r="E71" s="189"/>
      <c r="F71" s="189"/>
      <c r="G71" s="189"/>
      <c r="H71" s="189"/>
      <c r="I71" s="190"/>
      <c r="J71" s="190"/>
      <c r="K71" s="190"/>
      <c r="L71" s="190"/>
      <c r="M71" s="190"/>
      <c r="N71" s="190"/>
      <c r="O71" s="190"/>
      <c r="P71" s="190"/>
      <c r="Q71" s="190"/>
      <c r="R71" s="190"/>
      <c r="S71" s="190"/>
      <c r="T71" s="190"/>
    </row>
    <row r="72" ht="16" customHeight="1" spans="1:20" x14ac:dyDescent="0.25">
      <c r="A72" s="189"/>
      <c r="B72" s="189"/>
      <c r="C72" s="189"/>
      <c r="D72" s="189"/>
      <c r="E72" s="189"/>
      <c r="F72" s="189"/>
      <c r="G72" s="189"/>
      <c r="H72" s="189"/>
      <c r="I72" s="190"/>
      <c r="J72" s="190"/>
      <c r="K72" s="190"/>
      <c r="L72" s="190"/>
      <c r="M72" s="190"/>
      <c r="N72" s="190"/>
      <c r="O72" s="190"/>
      <c r="P72" s="190"/>
      <c r="Q72" s="190"/>
      <c r="R72" s="190"/>
      <c r="S72" s="190"/>
      <c r="T72" s="190"/>
    </row>
    <row r="73" ht="16" customHeight="1" spans="1:20" x14ac:dyDescent="0.25">
      <c r="A73" s="189"/>
      <c r="B73" s="189"/>
      <c r="C73" s="189"/>
      <c r="D73" s="189"/>
      <c r="E73" s="189"/>
      <c r="F73" s="189"/>
      <c r="G73" s="189"/>
      <c r="H73" s="189"/>
      <c r="I73" s="190"/>
      <c r="J73" s="190"/>
      <c r="K73" s="190"/>
      <c r="L73" s="190"/>
      <c r="M73" s="190"/>
      <c r="N73" s="190"/>
      <c r="O73" s="190"/>
      <c r="P73" s="190"/>
      <c r="Q73" s="190"/>
      <c r="R73" s="190"/>
      <c r="S73" s="190"/>
      <c r="T73" s="190"/>
    </row>
    <row r="74" ht="16" customHeight="1" spans="1:20" x14ac:dyDescent="0.25">
      <c r="A74" s="189"/>
      <c r="B74" s="189"/>
      <c r="C74" s="189"/>
      <c r="D74" s="189"/>
      <c r="E74" s="189"/>
      <c r="F74" s="189"/>
      <c r="G74" s="189"/>
      <c r="H74" s="189"/>
      <c r="I74" s="190"/>
      <c r="J74" s="190"/>
      <c r="K74" s="190"/>
      <c r="L74" s="190"/>
      <c r="M74" s="190"/>
      <c r="N74" s="190"/>
      <c r="O74" s="190"/>
      <c r="P74" s="190"/>
      <c r="Q74" s="190"/>
      <c r="R74" s="190"/>
      <c r="S74" s="190"/>
      <c r="T74" s="190"/>
    </row>
    <row r="75" ht="16" customHeight="1" spans="1:20" x14ac:dyDescent="0.25">
      <c r="A75" s="189"/>
      <c r="B75" s="189"/>
      <c r="C75" s="189"/>
      <c r="D75" s="189"/>
      <c r="E75" s="189"/>
      <c r="F75" s="189"/>
      <c r="G75" s="189"/>
      <c r="H75" s="189"/>
      <c r="I75" s="190"/>
      <c r="J75" s="190"/>
      <c r="K75" s="190"/>
      <c r="L75" s="190"/>
      <c r="M75" s="190"/>
      <c r="N75" s="190"/>
      <c r="O75" s="190"/>
      <c r="P75" s="190"/>
      <c r="Q75" s="190"/>
      <c r="R75" s="190"/>
      <c r="S75" s="190"/>
      <c r="T75" s="190"/>
    </row>
    <row r="76" ht="16" customHeight="1" spans="1:20" x14ac:dyDescent="0.25">
      <c r="A76" s="189"/>
      <c r="B76" s="189"/>
      <c r="C76" s="189"/>
      <c r="D76" s="189"/>
      <c r="E76" s="189"/>
      <c r="F76" s="189"/>
      <c r="G76" s="189"/>
      <c r="H76" s="189"/>
      <c r="I76" s="190"/>
      <c r="J76" s="190"/>
      <c r="K76" s="190"/>
      <c r="L76" s="190"/>
      <c r="M76" s="190"/>
      <c r="N76" s="190"/>
      <c r="O76" s="190"/>
      <c r="P76" s="190"/>
      <c r="Q76" s="190"/>
      <c r="R76" s="190"/>
      <c r="S76" s="190"/>
      <c r="T76" s="190"/>
    </row>
    <row r="77" ht="16" customHeight="1" spans="1:20" x14ac:dyDescent="0.25">
      <c r="A77" s="189"/>
      <c r="B77" s="189"/>
      <c r="C77" s="189"/>
      <c r="D77" s="189"/>
      <c r="E77" s="189"/>
      <c r="F77" s="189"/>
      <c r="G77" s="189"/>
      <c r="H77" s="189"/>
      <c r="I77" s="190"/>
      <c r="J77" s="190"/>
      <c r="K77" s="190"/>
      <c r="L77" s="190"/>
      <c r="M77" s="190"/>
      <c r="N77" s="190"/>
      <c r="O77" s="190"/>
      <c r="P77" s="190"/>
      <c r="Q77" s="190"/>
      <c r="R77" s="190"/>
      <c r="S77" s="190"/>
      <c r="T77" s="190"/>
    </row>
    <row r="78" ht="16" customHeight="1" spans="1:20" x14ac:dyDescent="0.25">
      <c r="A78" s="189"/>
      <c r="B78" s="189"/>
      <c r="C78" s="189"/>
      <c r="D78" s="189"/>
      <c r="E78" s="189"/>
      <c r="F78" s="189"/>
      <c r="G78" s="189"/>
      <c r="H78" s="189"/>
      <c r="I78" s="190"/>
      <c r="J78" s="190"/>
      <c r="K78" s="190"/>
      <c r="L78" s="190"/>
      <c r="M78" s="190"/>
      <c r="N78" s="190"/>
      <c r="O78" s="190"/>
      <c r="P78" s="190"/>
      <c r="Q78" s="190"/>
      <c r="R78" s="190"/>
      <c r="S78" s="190"/>
      <c r="T78" s="190"/>
    </row>
    <row r="79" ht="16" customHeight="1" spans="1:20" x14ac:dyDescent="0.25">
      <c r="A79" s="189"/>
      <c r="B79" s="189"/>
      <c r="C79" s="189"/>
      <c r="D79" s="189"/>
      <c r="E79" s="189"/>
      <c r="F79" s="189"/>
      <c r="G79" s="189"/>
      <c r="H79" s="189"/>
      <c r="I79" s="190"/>
      <c r="J79" s="190"/>
      <c r="K79" s="190"/>
      <c r="L79" s="190"/>
      <c r="M79" s="190"/>
      <c r="N79" s="190"/>
      <c r="O79" s="190"/>
      <c r="P79" s="190"/>
      <c r="Q79" s="190"/>
      <c r="R79" s="190"/>
      <c r="S79" s="190"/>
      <c r="T79" s="190"/>
    </row>
    <row r="80" ht="16" customHeight="1" spans="1:20" x14ac:dyDescent="0.25">
      <c r="A80" s="189"/>
      <c r="B80" s="189"/>
      <c r="C80" s="189"/>
      <c r="D80" s="189"/>
      <c r="E80" s="189"/>
      <c r="F80" s="189"/>
      <c r="G80" s="189"/>
      <c r="H80" s="189"/>
      <c r="I80" s="190"/>
      <c r="J80" s="190"/>
      <c r="K80" s="190"/>
      <c r="L80" s="190"/>
      <c r="M80" s="190"/>
      <c r="N80" s="190"/>
      <c r="O80" s="190"/>
      <c r="P80" s="190"/>
      <c r="Q80" s="190"/>
      <c r="R80" s="190"/>
      <c r="S80" s="190"/>
      <c r="T80" s="190"/>
    </row>
    <row r="81" ht="16" customHeight="1" spans="1:20" x14ac:dyDescent="0.25">
      <c r="A81" s="189"/>
      <c r="B81" s="189"/>
      <c r="C81" s="189"/>
      <c r="D81" s="189"/>
      <c r="E81" s="189"/>
      <c r="F81" s="189"/>
      <c r="G81" s="189"/>
      <c r="H81" s="189"/>
      <c r="I81" s="190"/>
      <c r="J81" s="190"/>
      <c r="K81" s="190"/>
      <c r="L81" s="190"/>
      <c r="M81" s="190"/>
      <c r="N81" s="190"/>
      <c r="O81" s="190"/>
      <c r="P81" s="190"/>
      <c r="Q81" s="190"/>
      <c r="R81" s="190"/>
      <c r="S81" s="190"/>
      <c r="T81" s="190"/>
    </row>
    <row r="82" ht="16" customHeight="1" spans="1:20" x14ac:dyDescent="0.25">
      <c r="A82" s="189"/>
      <c r="B82" s="189"/>
      <c r="C82" s="189"/>
      <c r="D82" s="189"/>
      <c r="E82" s="189"/>
      <c r="F82" s="189"/>
      <c r="G82" s="189"/>
      <c r="H82" s="189"/>
      <c r="I82" s="190"/>
      <c r="J82" s="190"/>
      <c r="K82" s="190"/>
      <c r="L82" s="190"/>
      <c r="M82" s="190"/>
      <c r="N82" s="190"/>
      <c r="O82" s="190"/>
      <c r="P82" s="190"/>
      <c r="Q82" s="190"/>
      <c r="R82" s="190"/>
      <c r="S82" s="190"/>
      <c r="T82" s="190"/>
    </row>
    <row r="83" ht="16" customHeight="1" spans="1:20" x14ac:dyDescent="0.25">
      <c r="A83" s="189"/>
      <c r="B83" s="189"/>
      <c r="C83" s="189"/>
      <c r="D83" s="189"/>
      <c r="E83" s="189"/>
      <c r="F83" s="189"/>
      <c r="G83" s="189"/>
      <c r="H83" s="189"/>
      <c r="I83" s="190"/>
      <c r="J83" s="190"/>
      <c r="K83" s="190"/>
      <c r="L83" s="190"/>
      <c r="M83" s="190"/>
      <c r="N83" s="190"/>
      <c r="O83" s="190"/>
      <c r="P83" s="190"/>
      <c r="Q83" s="190"/>
      <c r="R83" s="190"/>
      <c r="S83" s="190"/>
      <c r="T83" s="190"/>
    </row>
    <row r="84" ht="16" customHeight="1" spans="1:20" x14ac:dyDescent="0.25">
      <c r="A84" s="189"/>
      <c r="B84" s="189"/>
      <c r="C84" s="189"/>
      <c r="D84" s="189"/>
      <c r="E84" s="189"/>
      <c r="F84" s="189"/>
      <c r="G84" s="189"/>
      <c r="H84" s="189"/>
      <c r="I84" s="190"/>
      <c r="J84" s="190"/>
      <c r="K84" s="190"/>
      <c r="L84" s="190"/>
      <c r="M84" s="190"/>
      <c r="N84" s="190"/>
      <c r="O84" s="190"/>
      <c r="P84" s="190"/>
      <c r="Q84" s="190"/>
      <c r="R84" s="190"/>
      <c r="S84" s="190"/>
      <c r="T84" s="190"/>
    </row>
    <row r="85" ht="16" customHeight="1" spans="1:20" x14ac:dyDescent="0.25">
      <c r="A85" s="189"/>
      <c r="B85" s="189"/>
      <c r="C85" s="189"/>
      <c r="D85" s="189"/>
      <c r="E85" s="189"/>
      <c r="F85" s="189"/>
      <c r="G85" s="189"/>
      <c r="H85" s="189"/>
      <c r="I85" s="190"/>
      <c r="J85" s="190"/>
      <c r="K85" s="190"/>
      <c r="L85" s="190"/>
      <c r="M85" s="190"/>
      <c r="N85" s="190"/>
      <c r="O85" s="190"/>
      <c r="P85" s="190"/>
      <c r="Q85" s="190"/>
      <c r="R85" s="190"/>
      <c r="S85" s="190"/>
      <c r="T85" s="190"/>
    </row>
    <row r="86" ht="16" customHeight="1" spans="1:20" x14ac:dyDescent="0.25">
      <c r="A86" s="189"/>
      <c r="B86" s="189"/>
      <c r="C86" s="189"/>
      <c r="D86" s="189"/>
      <c r="E86" s="189"/>
      <c r="F86" s="189"/>
      <c r="G86" s="189"/>
      <c r="H86" s="189"/>
      <c r="I86" s="190"/>
      <c r="J86" s="190"/>
      <c r="K86" s="190"/>
      <c r="L86" s="190"/>
      <c r="M86" s="190"/>
      <c r="N86" s="190"/>
      <c r="O86" s="190"/>
      <c r="P86" s="190"/>
      <c r="Q86" s="190"/>
      <c r="R86" s="190"/>
      <c r="S86" s="190"/>
      <c r="T86" s="190"/>
    </row>
    <row r="87" ht="16" customHeight="1" spans="1:20" x14ac:dyDescent="0.25">
      <c r="A87" s="189"/>
      <c r="B87" s="189"/>
      <c r="C87" s="189"/>
      <c r="D87" s="189"/>
      <c r="E87" s="189"/>
      <c r="F87" s="189"/>
      <c r="G87" s="189"/>
      <c r="H87" s="189"/>
      <c r="I87" s="190"/>
      <c r="J87" s="190"/>
      <c r="K87" s="190"/>
      <c r="L87" s="190"/>
      <c r="M87" s="190"/>
      <c r="N87" s="190"/>
      <c r="O87" s="190"/>
      <c r="P87" s="190"/>
      <c r="Q87" s="190"/>
      <c r="R87" s="190"/>
      <c r="S87" s="190"/>
      <c r="T87" s="190"/>
    </row>
    <row r="88" ht="16" customHeight="1" spans="1:20" x14ac:dyDescent="0.25">
      <c r="A88" s="189"/>
      <c r="B88" s="189"/>
      <c r="C88" s="189"/>
      <c r="D88" s="189"/>
      <c r="E88" s="189"/>
      <c r="F88" s="189"/>
      <c r="G88" s="189"/>
      <c r="H88" s="189"/>
      <c r="I88" s="190"/>
      <c r="J88" s="190"/>
      <c r="K88" s="190"/>
      <c r="L88" s="190"/>
      <c r="M88" s="190"/>
      <c r="N88" s="190"/>
      <c r="O88" s="190"/>
      <c r="P88" s="190"/>
      <c r="Q88" s="190"/>
      <c r="R88" s="190"/>
      <c r="S88" s="190"/>
      <c r="T88" s="190"/>
    </row>
    <row r="89" ht="16" customHeight="1" spans="1:20" x14ac:dyDescent="0.25">
      <c r="A89" s="189"/>
      <c r="B89" s="189"/>
      <c r="C89" s="189"/>
      <c r="D89" s="189"/>
      <c r="E89" s="189"/>
      <c r="F89" s="189"/>
      <c r="G89" s="189"/>
      <c r="H89" s="189"/>
      <c r="I89" s="190"/>
      <c r="J89" s="190"/>
      <c r="K89" s="190"/>
      <c r="L89" s="190"/>
      <c r="M89" s="190"/>
      <c r="N89" s="190"/>
      <c r="O89" s="190"/>
      <c r="P89" s="190"/>
      <c r="Q89" s="190"/>
      <c r="R89" s="190"/>
      <c r="S89" s="190"/>
      <c r="T89" s="190"/>
    </row>
    <row r="90" ht="16" customHeight="1" spans="1:20" x14ac:dyDescent="0.25">
      <c r="A90" s="189"/>
      <c r="B90" s="189"/>
      <c r="C90" s="189"/>
      <c r="D90" s="189"/>
      <c r="E90" s="189"/>
      <c r="F90" s="189"/>
      <c r="G90" s="189"/>
      <c r="H90" s="189"/>
      <c r="I90" s="190"/>
      <c r="J90" s="190"/>
      <c r="K90" s="190"/>
      <c r="L90" s="190"/>
      <c r="M90" s="190"/>
      <c r="N90" s="190"/>
      <c r="O90" s="190"/>
      <c r="P90" s="190"/>
      <c r="Q90" s="190"/>
      <c r="R90" s="190"/>
      <c r="S90" s="190"/>
      <c r="T90" s="190"/>
    </row>
    <row r="91" ht="16" customHeight="1" spans="1:20" x14ac:dyDescent="0.25">
      <c r="A91" s="189"/>
      <c r="B91" s="189"/>
      <c r="C91" s="189"/>
      <c r="D91" s="189"/>
      <c r="E91" s="189"/>
      <c r="F91" s="189"/>
      <c r="G91" s="189"/>
      <c r="H91" s="189"/>
      <c r="I91" s="190"/>
      <c r="J91" s="190"/>
      <c r="K91" s="190"/>
      <c r="L91" s="190"/>
      <c r="M91" s="190"/>
      <c r="N91" s="190"/>
      <c r="O91" s="190"/>
      <c r="P91" s="190"/>
      <c r="Q91" s="190"/>
      <c r="R91" s="190"/>
      <c r="S91" s="190"/>
      <c r="T91" s="190"/>
    </row>
    <row r="92" ht="16" customHeight="1" spans="1:20" x14ac:dyDescent="0.25">
      <c r="A92" s="189"/>
      <c r="B92" s="189"/>
      <c r="C92" s="189"/>
      <c r="D92" s="189"/>
      <c r="E92" s="189"/>
      <c r="F92" s="189"/>
      <c r="G92" s="189"/>
      <c r="H92" s="189"/>
      <c r="I92" s="190"/>
      <c r="J92" s="190"/>
      <c r="K92" s="190"/>
      <c r="L92" s="190"/>
      <c r="M92" s="190"/>
      <c r="N92" s="190"/>
      <c r="O92" s="190"/>
      <c r="P92" s="190"/>
      <c r="Q92" s="190"/>
      <c r="R92" s="190"/>
      <c r="S92" s="190"/>
      <c r="T92" s="190"/>
    </row>
    <row r="93" ht="16" customHeight="1" spans="1:20" x14ac:dyDescent="0.25">
      <c r="A93" s="189"/>
      <c r="B93" s="189"/>
      <c r="C93" s="189"/>
      <c r="D93" s="189"/>
      <c r="E93" s="189"/>
      <c r="F93" s="189"/>
      <c r="G93" s="189"/>
      <c r="H93" s="189"/>
      <c r="I93" s="190"/>
      <c r="J93" s="190"/>
      <c r="K93" s="190"/>
      <c r="L93" s="190"/>
      <c r="M93" s="190"/>
      <c r="N93" s="190"/>
      <c r="O93" s="190"/>
      <c r="P93" s="190"/>
      <c r="Q93" s="190"/>
      <c r="R93" s="190"/>
      <c r="S93" s="190"/>
      <c r="T93" s="190"/>
    </row>
    <row r="94" ht="16" customHeight="1" spans="1:20" x14ac:dyDescent="0.25">
      <c r="A94" s="189"/>
      <c r="B94" s="189"/>
      <c r="C94" s="189"/>
      <c r="D94" s="189"/>
      <c r="E94" s="189"/>
      <c r="F94" s="189"/>
      <c r="G94" s="189"/>
      <c r="H94" s="189"/>
      <c r="I94" s="190"/>
      <c r="J94" s="190"/>
      <c r="K94" s="190"/>
      <c r="L94" s="190"/>
      <c r="M94" s="190"/>
      <c r="N94" s="190"/>
      <c r="O94" s="190"/>
      <c r="P94" s="190"/>
      <c r="Q94" s="190"/>
      <c r="R94" s="190"/>
      <c r="S94" s="190"/>
      <c r="T94" s="190"/>
    </row>
    <row r="95" ht="16" customHeight="1" spans="1:20" x14ac:dyDescent="0.25">
      <c r="A95" s="189"/>
      <c r="B95" s="189"/>
      <c r="C95" s="189"/>
      <c r="D95" s="189"/>
      <c r="E95" s="189"/>
      <c r="F95" s="189"/>
      <c r="G95" s="189"/>
      <c r="H95" s="189"/>
      <c r="I95" s="190"/>
      <c r="J95" s="190"/>
      <c r="K95" s="190"/>
      <c r="L95" s="190"/>
      <c r="M95" s="190"/>
      <c r="N95" s="190"/>
      <c r="O95" s="190"/>
      <c r="P95" s="190"/>
      <c r="Q95" s="190"/>
      <c r="R95" s="190"/>
      <c r="S95" s="190"/>
      <c r="T95" s="190"/>
    </row>
    <row r="96" ht="16" customHeight="1" spans="1:20" x14ac:dyDescent="0.25">
      <c r="A96" s="189"/>
      <c r="B96" s="189"/>
      <c r="C96" s="189"/>
      <c r="D96" s="189"/>
      <c r="E96" s="189"/>
      <c r="F96" s="189"/>
      <c r="G96" s="189"/>
      <c r="H96" s="189"/>
      <c r="I96" s="190"/>
      <c r="J96" s="190"/>
      <c r="K96" s="190"/>
      <c r="L96" s="190"/>
      <c r="M96" s="190"/>
      <c r="N96" s="190"/>
      <c r="O96" s="190"/>
      <c r="P96" s="190"/>
      <c r="Q96" s="190"/>
      <c r="R96" s="190"/>
      <c r="S96" s="190"/>
      <c r="T96" s="190"/>
    </row>
    <row r="97" ht="16" customHeight="1" spans="1:20" x14ac:dyDescent="0.25">
      <c r="A97" s="189"/>
      <c r="B97" s="189"/>
      <c r="C97" s="189"/>
      <c r="D97" s="189"/>
      <c r="E97" s="189"/>
      <c r="F97" s="189"/>
      <c r="G97" s="189"/>
      <c r="H97" s="189"/>
      <c r="I97" s="190"/>
      <c r="J97" s="190"/>
      <c r="K97" s="190"/>
      <c r="L97" s="190"/>
      <c r="M97" s="190"/>
      <c r="N97" s="190"/>
      <c r="O97" s="190"/>
      <c r="P97" s="190"/>
      <c r="Q97" s="190"/>
      <c r="R97" s="190"/>
      <c r="S97" s="190"/>
      <c r="T97" s="190"/>
    </row>
    <row r="98" ht="16" customHeight="1" spans="1:20" x14ac:dyDescent="0.25">
      <c r="A98" s="189"/>
      <c r="B98" s="189"/>
      <c r="C98" s="189"/>
      <c r="D98" s="189"/>
      <c r="E98" s="189"/>
      <c r="F98" s="189"/>
      <c r="G98" s="189"/>
      <c r="H98" s="189"/>
      <c r="I98" s="190"/>
      <c r="J98" s="190"/>
      <c r="K98" s="190"/>
      <c r="L98" s="190"/>
      <c r="M98" s="190"/>
      <c r="N98" s="190"/>
      <c r="O98" s="190"/>
      <c r="P98" s="190"/>
      <c r="Q98" s="190"/>
      <c r="R98" s="190"/>
      <c r="S98" s="190"/>
      <c r="T98" s="190"/>
    </row>
    <row r="99" ht="16" customHeight="1" spans="1:20" x14ac:dyDescent="0.25">
      <c r="A99" s="189"/>
      <c r="B99" s="189"/>
      <c r="C99" s="189"/>
      <c r="D99" s="189"/>
      <c r="E99" s="189"/>
      <c r="F99" s="189"/>
      <c r="G99" s="189"/>
      <c r="H99" s="189"/>
      <c r="I99" s="190"/>
      <c r="J99" s="190"/>
      <c r="K99" s="190"/>
      <c r="L99" s="190"/>
      <c r="M99" s="190"/>
      <c r="N99" s="190"/>
      <c r="O99" s="190"/>
      <c r="P99" s="190"/>
      <c r="Q99" s="190"/>
      <c r="R99" s="190"/>
      <c r="S99" s="190"/>
      <c r="T99" s="190"/>
    </row>
    <row r="100" ht="16" customHeight="1" spans="1:20" x14ac:dyDescent="0.25">
      <c r="A100" s="189"/>
      <c r="B100" s="189"/>
      <c r="C100" s="189"/>
      <c r="D100" s="189"/>
      <c r="E100" s="189"/>
      <c r="F100" s="189"/>
      <c r="G100" s="189"/>
      <c r="H100" s="189"/>
      <c r="I100" s="190"/>
      <c r="J100" s="190"/>
      <c r="K100" s="190"/>
      <c r="L100" s="190"/>
      <c r="M100" s="190"/>
      <c r="N100" s="190"/>
      <c r="O100" s="190"/>
      <c r="P100" s="190"/>
      <c r="Q100" s="190"/>
      <c r="R100" s="190"/>
      <c r="S100" s="190"/>
      <c r="T100" s="190"/>
    </row>
    <row r="101" ht="16" customHeight="1" spans="1:20" x14ac:dyDescent="0.25">
      <c r="A101" s="189"/>
      <c r="B101" s="189"/>
      <c r="C101" s="189"/>
      <c r="D101" s="189"/>
      <c r="E101" s="189"/>
      <c r="F101" s="189"/>
      <c r="G101" s="189"/>
      <c r="H101" s="189"/>
      <c r="I101" s="190"/>
      <c r="J101" s="190"/>
      <c r="K101" s="190"/>
      <c r="L101" s="190"/>
      <c r="M101" s="190"/>
      <c r="N101" s="190"/>
      <c r="O101" s="190"/>
      <c r="P101" s="190"/>
      <c r="Q101" s="190"/>
      <c r="R101" s="190"/>
      <c r="S101" s="190"/>
      <c r="T101" s="190"/>
    </row>
    <row r="102" ht="16" customHeight="1" spans="1:20" x14ac:dyDescent="0.25">
      <c r="A102" s="189"/>
      <c r="B102" s="189"/>
      <c r="C102" s="189"/>
      <c r="D102" s="189"/>
      <c r="E102" s="189"/>
      <c r="F102" s="189"/>
      <c r="G102" s="189"/>
      <c r="H102" s="189"/>
      <c r="I102" s="190"/>
      <c r="J102" s="190"/>
      <c r="K102" s="190"/>
      <c r="L102" s="190"/>
      <c r="M102" s="190"/>
      <c r="N102" s="190"/>
      <c r="O102" s="190"/>
      <c r="P102" s="190"/>
      <c r="Q102" s="190"/>
      <c r="R102" s="190"/>
      <c r="S102" s="190"/>
      <c r="T102" s="190"/>
    </row>
    <row r="103" ht="16" customHeight="1" spans="1:20" x14ac:dyDescent="0.25">
      <c r="A103" s="189"/>
      <c r="B103" s="189"/>
      <c r="C103" s="189"/>
      <c r="D103" s="189"/>
      <c r="E103" s="189"/>
      <c r="F103" s="189"/>
      <c r="G103" s="189"/>
      <c r="H103" s="189"/>
      <c r="I103" s="190"/>
      <c r="J103" s="190"/>
      <c r="K103" s="190"/>
      <c r="L103" s="190"/>
      <c r="M103" s="190"/>
      <c r="N103" s="190"/>
      <c r="O103" s="190"/>
      <c r="P103" s="190"/>
      <c r="Q103" s="190"/>
      <c r="R103" s="190"/>
      <c r="S103" s="190"/>
      <c r="T103" s="190"/>
    </row>
    <row r="104" ht="16" customHeight="1" spans="1:20" x14ac:dyDescent="0.25">
      <c r="A104" s="189"/>
      <c r="B104" s="189"/>
      <c r="C104" s="189"/>
      <c r="D104" s="189"/>
      <c r="E104" s="189"/>
      <c r="F104" s="189"/>
      <c r="G104" s="189"/>
      <c r="H104" s="189"/>
      <c r="I104" s="190"/>
      <c r="J104" s="190"/>
      <c r="K104" s="190"/>
      <c r="L104" s="190"/>
      <c r="M104" s="190"/>
      <c r="N104" s="190"/>
      <c r="O104" s="190"/>
      <c r="P104" s="190"/>
      <c r="Q104" s="190"/>
      <c r="R104" s="190"/>
      <c r="S104" s="190"/>
      <c r="T104" s="190"/>
    </row>
    <row r="105" ht="16" customHeight="1" spans="1:20" x14ac:dyDescent="0.25">
      <c r="A105" s="189"/>
      <c r="B105" s="189"/>
      <c r="C105" s="189"/>
      <c r="D105" s="189"/>
      <c r="E105" s="189"/>
      <c r="F105" s="189"/>
      <c r="G105" s="189"/>
      <c r="H105" s="189"/>
      <c r="I105" s="190"/>
      <c r="J105" s="190"/>
      <c r="K105" s="190"/>
      <c r="L105" s="190"/>
      <c r="M105" s="190"/>
      <c r="N105" s="190"/>
      <c r="O105" s="190"/>
      <c r="P105" s="190"/>
      <c r="Q105" s="190"/>
      <c r="R105" s="190"/>
      <c r="S105" s="190"/>
      <c r="T105" s="190"/>
    </row>
    <row r="106" ht="16" customHeight="1" spans="1:20" x14ac:dyDescent="0.25">
      <c r="A106" s="189"/>
      <c r="B106" s="189"/>
      <c r="C106" s="189"/>
      <c r="D106" s="189"/>
      <c r="E106" s="189"/>
      <c r="F106" s="189"/>
      <c r="G106" s="189"/>
      <c r="H106" s="189"/>
      <c r="I106" s="190"/>
      <c r="J106" s="190"/>
      <c r="K106" s="190"/>
      <c r="L106" s="190"/>
      <c r="M106" s="190"/>
      <c r="N106" s="190"/>
      <c r="O106" s="190"/>
      <c r="P106" s="190"/>
      <c r="Q106" s="190"/>
      <c r="R106" s="190"/>
      <c r="S106" s="190"/>
      <c r="T106" s="190"/>
    </row>
    <row r="107" ht="16" customHeight="1" spans="1:20" x14ac:dyDescent="0.25">
      <c r="A107" s="189"/>
      <c r="B107" s="189"/>
      <c r="C107" s="189"/>
      <c r="D107" s="189"/>
      <c r="E107" s="189"/>
      <c r="F107" s="189"/>
      <c r="G107" s="189"/>
      <c r="H107" s="189"/>
      <c r="I107" s="190"/>
      <c r="J107" s="190"/>
      <c r="K107" s="190"/>
      <c r="L107" s="190"/>
      <c r="M107" s="190"/>
      <c r="N107" s="190"/>
      <c r="O107" s="190"/>
      <c r="P107" s="190"/>
      <c r="Q107" s="190"/>
      <c r="R107" s="190"/>
      <c r="S107" s="190"/>
      <c r="T107" s="190"/>
    </row>
    <row r="108" ht="16" customHeight="1" spans="1:20" x14ac:dyDescent="0.25">
      <c r="A108" s="189"/>
      <c r="B108" s="189"/>
      <c r="C108" s="189"/>
      <c r="D108" s="189"/>
      <c r="E108" s="189"/>
      <c r="F108" s="189"/>
      <c r="G108" s="189"/>
      <c r="H108" s="189"/>
      <c r="I108" s="190"/>
      <c r="J108" s="190"/>
      <c r="K108" s="190"/>
      <c r="L108" s="190"/>
      <c r="M108" s="190"/>
      <c r="N108" s="190"/>
      <c r="O108" s="190"/>
      <c r="P108" s="190"/>
      <c r="Q108" s="190"/>
      <c r="R108" s="190"/>
      <c r="S108" s="190"/>
      <c r="T108" s="190"/>
    </row>
    <row r="109" ht="16" customHeight="1" spans="1:20" x14ac:dyDescent="0.25">
      <c r="A109" s="189"/>
      <c r="B109" s="189"/>
      <c r="C109" s="189"/>
      <c r="D109" s="189"/>
      <c r="E109" s="189"/>
      <c r="F109" s="189"/>
      <c r="G109" s="189"/>
      <c r="H109" s="189"/>
      <c r="I109" s="190"/>
      <c r="J109" s="190"/>
      <c r="K109" s="190"/>
      <c r="L109" s="190"/>
      <c r="M109" s="190"/>
      <c r="N109" s="190"/>
      <c r="O109" s="190"/>
      <c r="P109" s="190"/>
      <c r="Q109" s="190"/>
      <c r="R109" s="190"/>
      <c r="S109" s="190"/>
      <c r="T109" s="190"/>
    </row>
    <row r="110" ht="16" customHeight="1" spans="1:20" x14ac:dyDescent="0.25">
      <c r="A110" s="189"/>
      <c r="B110" s="189"/>
      <c r="C110" s="189"/>
      <c r="D110" s="189"/>
      <c r="E110" s="189"/>
      <c r="F110" s="189"/>
      <c r="G110" s="189"/>
      <c r="H110" s="189"/>
      <c r="I110" s="190"/>
      <c r="J110" s="190"/>
      <c r="K110" s="190"/>
      <c r="L110" s="190"/>
      <c r="M110" s="190"/>
      <c r="N110" s="190"/>
      <c r="O110" s="190"/>
      <c r="P110" s="190"/>
      <c r="Q110" s="190"/>
      <c r="R110" s="190"/>
      <c r="S110" s="190"/>
      <c r="T110" s="190"/>
    </row>
    <row r="111" ht="16" customHeight="1" spans="1:20" x14ac:dyDescent="0.25">
      <c r="A111" s="189"/>
      <c r="B111" s="189"/>
      <c r="C111" s="189"/>
      <c r="D111" s="189"/>
      <c r="E111" s="189"/>
      <c r="F111" s="189"/>
      <c r="G111" s="189"/>
      <c r="H111" s="189"/>
      <c r="I111" s="190"/>
      <c r="J111" s="190"/>
      <c r="K111" s="190"/>
      <c r="L111" s="190"/>
      <c r="M111" s="190"/>
      <c r="N111" s="190"/>
      <c r="O111" s="190"/>
      <c r="P111" s="190"/>
      <c r="Q111" s="190"/>
      <c r="R111" s="190"/>
      <c r="S111" s="190"/>
      <c r="T111" s="190"/>
    </row>
    <row r="112" ht="16" customHeight="1" spans="1:20" x14ac:dyDescent="0.25">
      <c r="A112" s="189"/>
      <c r="B112" s="189"/>
      <c r="C112" s="189"/>
      <c r="D112" s="189"/>
      <c r="E112" s="189"/>
      <c r="F112" s="189"/>
      <c r="G112" s="189"/>
      <c r="H112" s="189"/>
      <c r="I112" s="190"/>
      <c r="J112" s="190"/>
      <c r="K112" s="190"/>
      <c r="L112" s="190"/>
      <c r="M112" s="190"/>
      <c r="N112" s="190"/>
      <c r="O112" s="190"/>
      <c r="P112" s="190"/>
      <c r="Q112" s="190"/>
      <c r="R112" s="190"/>
      <c r="S112" s="190"/>
      <c r="T112" s="190"/>
    </row>
    <row r="113" ht="16" customHeight="1" spans="1:20" x14ac:dyDescent="0.25">
      <c r="A113" s="189"/>
      <c r="B113" s="189"/>
      <c r="C113" s="189"/>
      <c r="D113" s="189"/>
      <c r="E113" s="189"/>
      <c r="F113" s="189"/>
      <c r="G113" s="189"/>
      <c r="H113" s="189"/>
      <c r="I113" s="190"/>
      <c r="J113" s="190"/>
      <c r="K113" s="190"/>
      <c r="L113" s="190"/>
      <c r="M113" s="190"/>
      <c r="N113" s="190"/>
      <c r="O113" s="190"/>
      <c r="P113" s="190"/>
      <c r="Q113" s="190"/>
      <c r="R113" s="190"/>
      <c r="S113" s="190"/>
      <c r="T113" s="190"/>
    </row>
    <row r="114" ht="16" customHeight="1" spans="1:20" x14ac:dyDescent="0.25">
      <c r="A114" s="189"/>
      <c r="B114" s="189"/>
      <c r="C114" s="189"/>
      <c r="D114" s="189"/>
      <c r="E114" s="189"/>
      <c r="F114" s="189"/>
      <c r="G114" s="189"/>
      <c r="H114" s="189"/>
      <c r="I114" s="190"/>
      <c r="J114" s="190"/>
      <c r="K114" s="190"/>
      <c r="L114" s="190"/>
      <c r="M114" s="190"/>
      <c r="N114" s="190"/>
      <c r="O114" s="190"/>
      <c r="P114" s="190"/>
      <c r="Q114" s="190"/>
      <c r="R114" s="190"/>
      <c r="S114" s="190"/>
      <c r="T114" s="190"/>
    </row>
    <row r="115" ht="16" customHeight="1" spans="1:20" x14ac:dyDescent="0.25">
      <c r="A115" s="189"/>
      <c r="B115" s="189"/>
      <c r="C115" s="189"/>
      <c r="D115" s="189"/>
      <c r="E115" s="189"/>
      <c r="F115" s="189"/>
      <c r="G115" s="189"/>
      <c r="H115" s="189"/>
      <c r="I115" s="190"/>
      <c r="J115" s="190"/>
      <c r="K115" s="190"/>
      <c r="L115" s="190"/>
      <c r="M115" s="190"/>
      <c r="N115" s="190"/>
      <c r="O115" s="190"/>
      <c r="P115" s="190"/>
      <c r="Q115" s="190"/>
      <c r="R115" s="190"/>
      <c r="S115" s="190"/>
      <c r="T115" s="190"/>
    </row>
    <row r="116" ht="16" customHeight="1" spans="1:20" x14ac:dyDescent="0.25">
      <c r="A116" s="189"/>
      <c r="B116" s="189"/>
      <c r="C116" s="189"/>
      <c r="D116" s="189"/>
      <c r="E116" s="189"/>
      <c r="F116" s="189"/>
      <c r="G116" s="189"/>
      <c r="H116" s="189"/>
      <c r="I116" s="190"/>
      <c r="J116" s="190"/>
      <c r="K116" s="190"/>
      <c r="L116" s="190"/>
      <c r="M116" s="190"/>
      <c r="N116" s="190"/>
      <c r="O116" s="190"/>
      <c r="P116" s="190"/>
      <c r="Q116" s="190"/>
      <c r="R116" s="190"/>
      <c r="S116" s="190"/>
      <c r="T116" s="190"/>
    </row>
    <row r="117" ht="16" customHeight="1" spans="1:20" x14ac:dyDescent="0.25">
      <c r="A117" s="189"/>
      <c r="B117" s="189"/>
      <c r="C117" s="189"/>
      <c r="D117" s="189"/>
      <c r="E117" s="189"/>
      <c r="F117" s="189"/>
      <c r="G117" s="189"/>
      <c r="H117" s="189"/>
      <c r="I117" s="190"/>
      <c r="J117" s="190"/>
      <c r="K117" s="190"/>
      <c r="L117" s="190"/>
      <c r="M117" s="190"/>
      <c r="N117" s="190"/>
      <c r="O117" s="190"/>
      <c r="P117" s="190"/>
      <c r="Q117" s="190"/>
      <c r="R117" s="190"/>
      <c r="S117" s="190"/>
      <c r="T117" s="190"/>
    </row>
    <row r="118" ht="16" customHeight="1" spans="1:20" x14ac:dyDescent="0.25">
      <c r="A118" s="189"/>
      <c r="B118" s="189"/>
      <c r="C118" s="189"/>
      <c r="D118" s="189"/>
      <c r="E118" s="189"/>
      <c r="F118" s="189"/>
      <c r="G118" s="189"/>
      <c r="H118" s="189"/>
      <c r="I118" s="190"/>
      <c r="J118" s="190"/>
      <c r="K118" s="190"/>
      <c r="L118" s="190"/>
      <c r="M118" s="190"/>
      <c r="N118" s="190"/>
      <c r="O118" s="190"/>
      <c r="P118" s="190"/>
      <c r="Q118" s="190"/>
      <c r="R118" s="190"/>
      <c r="S118" s="190"/>
      <c r="T118" s="190"/>
    </row>
    <row r="119" ht="16" customHeight="1" spans="1:20" x14ac:dyDescent="0.25">
      <c r="A119" s="189"/>
      <c r="B119" s="189"/>
      <c r="C119" s="189"/>
      <c r="D119" s="189"/>
      <c r="E119" s="189"/>
      <c r="F119" s="189"/>
      <c r="G119" s="189"/>
      <c r="H119" s="189"/>
      <c r="I119" s="190"/>
      <c r="J119" s="190"/>
      <c r="K119" s="190"/>
      <c r="L119" s="190"/>
      <c r="M119" s="190"/>
      <c r="N119" s="190"/>
      <c r="O119" s="190"/>
      <c r="P119" s="190"/>
      <c r="Q119" s="190"/>
      <c r="R119" s="190"/>
      <c r="S119" s="190"/>
      <c r="T119" s="190"/>
    </row>
    <row r="120" ht="16" customHeight="1" spans="1:20" x14ac:dyDescent="0.25">
      <c r="A120" s="189"/>
      <c r="B120" s="189"/>
      <c r="C120" s="189"/>
      <c r="D120" s="189"/>
      <c r="E120" s="189"/>
      <c r="F120" s="189"/>
      <c r="G120" s="189"/>
      <c r="H120" s="189"/>
      <c r="I120" s="190"/>
      <c r="J120" s="190"/>
      <c r="K120" s="190"/>
      <c r="L120" s="190"/>
      <c r="M120" s="190"/>
      <c r="N120" s="190"/>
      <c r="O120" s="190"/>
      <c r="P120" s="190"/>
      <c r="Q120" s="190"/>
      <c r="R120" s="190"/>
      <c r="S120" s="190"/>
      <c r="T120" s="190"/>
    </row>
    <row r="121" ht="16" customHeight="1" spans="1:20" x14ac:dyDescent="0.25">
      <c r="A121" s="189"/>
      <c r="B121" s="189"/>
      <c r="C121" s="189"/>
      <c r="D121" s="189"/>
      <c r="E121" s="189"/>
      <c r="F121" s="189"/>
      <c r="G121" s="189"/>
      <c r="H121" s="189"/>
      <c r="I121" s="190"/>
      <c r="J121" s="190"/>
      <c r="K121" s="190"/>
      <c r="L121" s="190"/>
      <c r="M121" s="190"/>
      <c r="N121" s="190"/>
      <c r="O121" s="190"/>
      <c r="P121" s="190"/>
      <c r="Q121" s="190"/>
      <c r="R121" s="190"/>
      <c r="S121" s="190"/>
      <c r="T121" s="190"/>
    </row>
    <row r="122" ht="16" customHeight="1" spans="1:20" x14ac:dyDescent="0.25">
      <c r="A122" s="189"/>
      <c r="B122" s="189"/>
      <c r="C122" s="189"/>
      <c r="D122" s="189"/>
      <c r="E122" s="189"/>
      <c r="F122" s="189"/>
      <c r="G122" s="189"/>
      <c r="H122" s="189"/>
      <c r="I122" s="190"/>
      <c r="J122" s="190"/>
      <c r="K122" s="190"/>
      <c r="L122" s="190"/>
      <c r="M122" s="190"/>
      <c r="N122" s="190"/>
      <c r="O122" s="190"/>
      <c r="P122" s="190"/>
      <c r="Q122" s="190"/>
      <c r="R122" s="190"/>
      <c r="S122" s="190"/>
      <c r="T122" s="190"/>
    </row>
    <row r="123" ht="16" customHeight="1" spans="1:20" x14ac:dyDescent="0.25">
      <c r="A123" s="189"/>
      <c r="B123" s="189"/>
      <c r="C123" s="189"/>
      <c r="D123" s="189"/>
      <c r="E123" s="189"/>
      <c r="F123" s="189"/>
      <c r="G123" s="189"/>
      <c r="H123" s="189"/>
      <c r="I123" s="190"/>
      <c r="J123" s="190"/>
      <c r="K123" s="190"/>
      <c r="L123" s="190"/>
      <c r="M123" s="190"/>
      <c r="N123" s="190"/>
      <c r="O123" s="190"/>
      <c r="P123" s="190"/>
      <c r="Q123" s="190"/>
      <c r="R123" s="190"/>
      <c r="S123" s="190"/>
      <c r="T123" s="190"/>
    </row>
    <row r="124" ht="16" customHeight="1" spans="1:20" x14ac:dyDescent="0.25">
      <c r="A124" s="189"/>
      <c r="B124" s="189"/>
      <c r="C124" s="189"/>
      <c r="D124" s="189"/>
      <c r="E124" s="189"/>
      <c r="F124" s="189"/>
      <c r="G124" s="189"/>
      <c r="H124" s="189"/>
      <c r="I124" s="190"/>
      <c r="J124" s="190"/>
      <c r="K124" s="190"/>
      <c r="L124" s="190"/>
      <c r="M124" s="190"/>
      <c r="N124" s="190"/>
      <c r="O124" s="190"/>
      <c r="P124" s="190"/>
      <c r="Q124" s="190"/>
      <c r="R124" s="190"/>
      <c r="S124" s="190"/>
      <c r="T124" s="190"/>
    </row>
    <row r="125" ht="16" customHeight="1" spans="1:20" x14ac:dyDescent="0.25">
      <c r="A125" s="189"/>
      <c r="B125" s="189"/>
      <c r="C125" s="189"/>
      <c r="D125" s="189"/>
      <c r="E125" s="189"/>
      <c r="F125" s="189"/>
      <c r="G125" s="189"/>
      <c r="H125" s="189"/>
      <c r="I125" s="190"/>
      <c r="J125" s="190"/>
      <c r="K125" s="190"/>
      <c r="L125" s="190"/>
      <c r="M125" s="190"/>
      <c r="N125" s="190"/>
      <c r="O125" s="190"/>
      <c r="P125" s="190"/>
      <c r="Q125" s="190"/>
      <c r="R125" s="190"/>
      <c r="S125" s="190"/>
      <c r="T125" s="190"/>
    </row>
    <row r="126" ht="16" customHeight="1" spans="1:20" x14ac:dyDescent="0.25">
      <c r="A126" s="189"/>
      <c r="B126" s="189"/>
      <c r="C126" s="189"/>
      <c r="D126" s="189"/>
      <c r="E126" s="189"/>
      <c r="F126" s="189"/>
      <c r="G126" s="189"/>
      <c r="H126" s="189"/>
      <c r="I126" s="190"/>
      <c r="J126" s="190"/>
      <c r="K126" s="190"/>
      <c r="L126" s="190"/>
      <c r="M126" s="190"/>
      <c r="N126" s="190"/>
      <c r="O126" s="190"/>
      <c r="P126" s="190"/>
      <c r="Q126" s="190"/>
      <c r="R126" s="190"/>
      <c r="S126" s="190"/>
      <c r="T126" s="190"/>
    </row>
    <row r="127" ht="16" customHeight="1" spans="1:20" x14ac:dyDescent="0.25">
      <c r="A127" s="189"/>
      <c r="B127" s="189"/>
      <c r="C127" s="189"/>
      <c r="D127" s="189"/>
      <c r="E127" s="189"/>
      <c r="F127" s="189"/>
      <c r="G127" s="189"/>
      <c r="H127" s="189"/>
      <c r="I127" s="190"/>
      <c r="J127" s="190"/>
      <c r="K127" s="190"/>
      <c r="L127" s="190"/>
      <c r="M127" s="190"/>
      <c r="N127" s="190"/>
      <c r="O127" s="190"/>
      <c r="P127" s="190"/>
      <c r="Q127" s="190"/>
      <c r="R127" s="190"/>
      <c r="S127" s="190"/>
      <c r="T127" s="190"/>
    </row>
    <row r="128" ht="16" customHeight="1" spans="1:20" x14ac:dyDescent="0.25">
      <c r="A128" s="189"/>
      <c r="B128" s="189"/>
      <c r="C128" s="189"/>
      <c r="D128" s="189"/>
      <c r="E128" s="189"/>
      <c r="F128" s="189"/>
      <c r="G128" s="189"/>
      <c r="H128" s="189"/>
      <c r="I128" s="190"/>
      <c r="J128" s="190"/>
      <c r="K128" s="190"/>
      <c r="L128" s="190"/>
      <c r="M128" s="190"/>
      <c r="N128" s="190"/>
      <c r="O128" s="190"/>
      <c r="P128" s="190"/>
      <c r="Q128" s="190"/>
      <c r="R128" s="190"/>
      <c r="S128" s="190"/>
      <c r="T128" s="190"/>
    </row>
    <row r="129" ht="16" customHeight="1" spans="1:20" x14ac:dyDescent="0.25">
      <c r="A129" s="189"/>
      <c r="B129" s="189"/>
      <c r="C129" s="189"/>
      <c r="D129" s="189"/>
      <c r="E129" s="189"/>
      <c r="F129" s="189"/>
      <c r="G129" s="189"/>
      <c r="H129" s="189"/>
      <c r="I129" s="190"/>
      <c r="J129" s="190"/>
      <c r="K129" s="190"/>
      <c r="L129" s="190"/>
      <c r="M129" s="190"/>
      <c r="N129" s="190"/>
      <c r="O129" s="190"/>
      <c r="P129" s="190"/>
      <c r="Q129" s="190"/>
      <c r="R129" s="190"/>
      <c r="S129" s="190"/>
      <c r="T129" s="190"/>
    </row>
    <row r="130" ht="16" customHeight="1" spans="1:20" x14ac:dyDescent="0.25">
      <c r="A130" s="189"/>
      <c r="B130" s="189"/>
      <c r="C130" s="189"/>
      <c r="D130" s="189"/>
      <c r="E130" s="189"/>
      <c r="F130" s="189"/>
      <c r="G130" s="189"/>
      <c r="H130" s="189"/>
      <c r="I130" s="190"/>
      <c r="J130" s="190"/>
      <c r="K130" s="190"/>
      <c r="L130" s="190"/>
      <c r="M130" s="190"/>
      <c r="N130" s="190"/>
      <c r="O130" s="190"/>
      <c r="P130" s="190"/>
      <c r="Q130" s="190"/>
      <c r="R130" s="190"/>
      <c r="S130" s="190"/>
      <c r="T130" s="190"/>
    </row>
    <row r="131" ht="16" customHeight="1" spans="1:20" x14ac:dyDescent="0.25">
      <c r="A131" s="189"/>
      <c r="B131" s="189"/>
      <c r="C131" s="189"/>
      <c r="D131" s="189"/>
      <c r="E131" s="189"/>
      <c r="F131" s="189"/>
      <c r="G131" s="189"/>
      <c r="H131" s="189"/>
      <c r="I131" s="190"/>
      <c r="J131" s="190"/>
      <c r="K131" s="190"/>
      <c r="L131" s="190"/>
      <c r="M131" s="190"/>
      <c r="N131" s="190"/>
      <c r="O131" s="190"/>
      <c r="P131" s="190"/>
      <c r="Q131" s="190"/>
      <c r="R131" s="190"/>
      <c r="S131" s="190"/>
      <c r="T131" s="190"/>
    </row>
    <row r="132" ht="16" customHeight="1" spans="1:20" x14ac:dyDescent="0.25">
      <c r="A132" s="189"/>
      <c r="B132" s="189"/>
      <c r="C132" s="189"/>
      <c r="D132" s="189"/>
      <c r="E132" s="189"/>
      <c r="F132" s="189"/>
      <c r="G132" s="189"/>
      <c r="H132" s="189"/>
      <c r="I132" s="190"/>
      <c r="J132" s="190"/>
      <c r="K132" s="190"/>
      <c r="L132" s="190"/>
      <c r="M132" s="190"/>
      <c r="N132" s="190"/>
      <c r="O132" s="190"/>
      <c r="P132" s="190"/>
      <c r="Q132" s="190"/>
      <c r="R132" s="190"/>
      <c r="S132" s="190"/>
      <c r="T132" s="190"/>
    </row>
    <row r="133" ht="16" customHeight="1" spans="1:20" x14ac:dyDescent="0.25">
      <c r="A133" s="189"/>
      <c r="B133" s="189"/>
      <c r="C133" s="189"/>
      <c r="D133" s="189"/>
      <c r="E133" s="189"/>
      <c r="F133" s="189"/>
      <c r="G133" s="189"/>
      <c r="H133" s="189"/>
      <c r="I133" s="190"/>
      <c r="J133" s="190"/>
      <c r="K133" s="190"/>
      <c r="L133" s="190"/>
      <c r="M133" s="190"/>
      <c r="N133" s="190"/>
      <c r="O133" s="190"/>
      <c r="P133" s="190"/>
      <c r="Q133" s="190"/>
      <c r="R133" s="190"/>
      <c r="S133" s="190"/>
      <c r="T133" s="190"/>
    </row>
    <row r="134" ht="16" customHeight="1" spans="1:20" x14ac:dyDescent="0.25">
      <c r="A134" s="189"/>
      <c r="B134" s="189"/>
      <c r="C134" s="189"/>
      <c r="D134" s="189"/>
      <c r="E134" s="189"/>
      <c r="F134" s="189"/>
      <c r="G134" s="189"/>
      <c r="H134" s="189"/>
      <c r="I134" s="190"/>
      <c r="J134" s="190"/>
      <c r="K134" s="190"/>
      <c r="L134" s="190"/>
      <c r="M134" s="190"/>
      <c r="N134" s="190"/>
      <c r="O134" s="190"/>
      <c r="P134" s="190"/>
      <c r="Q134" s="190"/>
      <c r="R134" s="190"/>
      <c r="S134" s="190"/>
      <c r="T134" s="190"/>
    </row>
    <row r="135" ht="16" customHeight="1" spans="1:20" x14ac:dyDescent="0.25">
      <c r="A135" s="189"/>
      <c r="B135" s="189"/>
      <c r="C135" s="189"/>
      <c r="D135" s="189"/>
      <c r="E135" s="189"/>
      <c r="F135" s="189"/>
      <c r="G135" s="189"/>
      <c r="H135" s="189"/>
      <c r="I135" s="190"/>
      <c r="J135" s="190"/>
      <c r="K135" s="190"/>
      <c r="L135" s="190"/>
      <c r="M135" s="190"/>
      <c r="N135" s="190"/>
      <c r="O135" s="190"/>
      <c r="P135" s="190"/>
      <c r="Q135" s="190"/>
      <c r="R135" s="190"/>
      <c r="S135" s="190"/>
      <c r="T135" s="190"/>
    </row>
    <row r="136" ht="16" customHeight="1" spans="1:20" x14ac:dyDescent="0.25">
      <c r="A136" s="189"/>
      <c r="B136" s="189"/>
      <c r="C136" s="189"/>
      <c r="D136" s="189"/>
      <c r="E136" s="189"/>
      <c r="F136" s="189"/>
      <c r="G136" s="189"/>
      <c r="H136" s="189"/>
      <c r="I136" s="190"/>
      <c r="J136" s="190"/>
      <c r="K136" s="190"/>
      <c r="L136" s="190"/>
      <c r="M136" s="190"/>
      <c r="N136" s="190"/>
      <c r="O136" s="190"/>
      <c r="P136" s="190"/>
      <c r="Q136" s="190"/>
      <c r="R136" s="190"/>
      <c r="S136" s="190"/>
      <c r="T136" s="190"/>
    </row>
    <row r="137" ht="16" customHeight="1" spans="1:20" x14ac:dyDescent="0.25">
      <c r="A137" s="189"/>
      <c r="B137" s="189"/>
      <c r="C137" s="189"/>
      <c r="D137" s="189"/>
      <c r="E137" s="189"/>
      <c r="F137" s="189"/>
      <c r="G137" s="189"/>
      <c r="H137" s="189"/>
      <c r="I137" s="190"/>
      <c r="J137" s="190"/>
      <c r="K137" s="190"/>
      <c r="L137" s="190"/>
      <c r="M137" s="190"/>
      <c r="N137" s="190"/>
      <c r="O137" s="190"/>
      <c r="P137" s="190"/>
      <c r="Q137" s="190"/>
      <c r="R137" s="190"/>
      <c r="S137" s="190"/>
      <c r="T137" s="190"/>
    </row>
    <row r="138" ht="16" customHeight="1" spans="1:20" x14ac:dyDescent="0.25">
      <c r="A138" s="189"/>
      <c r="B138" s="189"/>
      <c r="C138" s="189"/>
      <c r="D138" s="189"/>
      <c r="E138" s="189"/>
      <c r="F138" s="189"/>
      <c r="G138" s="189"/>
      <c r="H138" s="189"/>
      <c r="I138" s="190"/>
      <c r="J138" s="190"/>
      <c r="K138" s="190"/>
      <c r="L138" s="190"/>
      <c r="M138" s="190"/>
      <c r="N138" s="190"/>
      <c r="O138" s="190"/>
      <c r="P138" s="190"/>
      <c r="Q138" s="190"/>
      <c r="R138" s="190"/>
      <c r="S138" s="190"/>
      <c r="T138" s="190"/>
    </row>
    <row r="139" ht="16" customHeight="1" spans="1:20" x14ac:dyDescent="0.25">
      <c r="A139" s="189"/>
      <c r="B139" s="189"/>
      <c r="C139" s="189"/>
      <c r="D139" s="189"/>
      <c r="E139" s="189"/>
      <c r="F139" s="189"/>
      <c r="G139" s="189"/>
      <c r="H139" s="189"/>
      <c r="I139" s="190"/>
      <c r="J139" s="190"/>
      <c r="K139" s="190"/>
      <c r="L139" s="190"/>
      <c r="M139" s="190"/>
      <c r="N139" s="190"/>
      <c r="O139" s="190"/>
      <c r="P139" s="190"/>
      <c r="Q139" s="190"/>
      <c r="R139" s="190"/>
      <c r="S139" s="190"/>
      <c r="T139" s="190"/>
    </row>
    <row r="140" ht="16" customHeight="1" spans="1:20" x14ac:dyDescent="0.25">
      <c r="A140" s="189"/>
      <c r="B140" s="189"/>
      <c r="C140" s="189"/>
      <c r="D140" s="189"/>
      <c r="E140" s="189"/>
      <c r="F140" s="189"/>
      <c r="G140" s="189"/>
      <c r="H140" s="189"/>
      <c r="I140" s="190"/>
      <c r="J140" s="190"/>
      <c r="K140" s="190"/>
      <c r="L140" s="190"/>
      <c r="M140" s="190"/>
      <c r="N140" s="190"/>
      <c r="O140" s="190"/>
      <c r="P140" s="190"/>
      <c r="Q140" s="190"/>
      <c r="R140" s="190"/>
      <c r="S140" s="190"/>
      <c r="T140" s="190"/>
    </row>
    <row r="141" ht="16" customHeight="1" spans="1:20" x14ac:dyDescent="0.25">
      <c r="A141" s="189"/>
      <c r="B141" s="189"/>
      <c r="C141" s="189"/>
      <c r="D141" s="189"/>
      <c r="E141" s="189"/>
      <c r="F141" s="189"/>
      <c r="G141" s="189"/>
      <c r="H141" s="189"/>
      <c r="I141" s="190"/>
      <c r="J141" s="190"/>
      <c r="K141" s="190"/>
      <c r="L141" s="190"/>
      <c r="M141" s="190"/>
      <c r="N141" s="190"/>
      <c r="O141" s="190"/>
      <c r="P141" s="190"/>
      <c r="Q141" s="190"/>
      <c r="R141" s="190"/>
      <c r="S141" s="190"/>
      <c r="T141" s="190"/>
    </row>
    <row r="142" ht="16" customHeight="1" spans="1:20" x14ac:dyDescent="0.25">
      <c r="A142" s="189"/>
      <c r="B142" s="189"/>
      <c r="C142" s="189"/>
      <c r="D142" s="189"/>
      <c r="E142" s="189"/>
      <c r="F142" s="189"/>
      <c r="G142" s="189"/>
      <c r="H142" s="189"/>
      <c r="I142" s="190"/>
      <c r="J142" s="190"/>
      <c r="K142" s="190"/>
      <c r="L142" s="190"/>
      <c r="M142" s="190"/>
      <c r="N142" s="190"/>
      <c r="O142" s="190"/>
      <c r="P142" s="190"/>
      <c r="Q142" s="190"/>
      <c r="R142" s="190"/>
      <c r="S142" s="190"/>
      <c r="T142" s="190"/>
    </row>
    <row r="143" ht="16" customHeight="1" spans="1:20" x14ac:dyDescent="0.25">
      <c r="A143" s="189"/>
      <c r="B143" s="189"/>
      <c r="C143" s="189"/>
      <c r="D143" s="189"/>
      <c r="E143" s="189"/>
      <c r="F143" s="189"/>
      <c r="G143" s="189"/>
      <c r="H143" s="189"/>
      <c r="I143" s="190"/>
      <c r="J143" s="190"/>
      <c r="K143" s="190"/>
      <c r="L143" s="190"/>
      <c r="M143" s="190"/>
      <c r="N143" s="190"/>
      <c r="O143" s="190"/>
      <c r="P143" s="190"/>
      <c r="Q143" s="190"/>
      <c r="R143" s="190"/>
      <c r="S143" s="190"/>
      <c r="T143" s="190"/>
    </row>
    <row r="144" ht="16" customHeight="1" spans="1:20" x14ac:dyDescent="0.25">
      <c r="A144" s="189"/>
      <c r="B144" s="189"/>
      <c r="C144" s="189"/>
      <c r="D144" s="189"/>
      <c r="E144" s="189"/>
      <c r="F144" s="189"/>
      <c r="G144" s="189"/>
      <c r="H144" s="189"/>
      <c r="I144" s="190"/>
      <c r="J144" s="190"/>
      <c r="K144" s="190"/>
      <c r="L144" s="190"/>
      <c r="M144" s="190"/>
      <c r="N144" s="190"/>
      <c r="O144" s="190"/>
      <c r="P144" s="190"/>
      <c r="Q144" s="190"/>
      <c r="R144" s="190"/>
      <c r="S144" s="190"/>
      <c r="T144" s="190"/>
    </row>
    <row r="145" spans="1:8" x14ac:dyDescent="0.25">
      <c r="A145" s="189"/>
      <c r="B145" s="189"/>
      <c r="C145" s="189"/>
      <c r="D145" s="189"/>
      <c r="E145" s="189"/>
      <c r="F145" s="189"/>
      <c r="G145" s="189"/>
      <c r="H145" s="189"/>
    </row>
  </sheetData>
  <mergeCells count="1">
    <mergeCell ref="S2:S4"/>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T17"/>
  <sheetViews>
    <sheetView workbookViewId="0" showGridLines="0" zoomScale="100" zoomScaleNormal="100">
      <selection activeCell="L12" sqref="L12"/>
    </sheetView>
  </sheetViews>
  <sheetFormatPr defaultRowHeight="15" outlineLevelRow="0" outlineLevelCol="0" x14ac:dyDescent="0.2"/>
  <cols>
    <col min="1" max="3" hidden="1" customWidth="1"/>
    <col min="4" max="4" width="16.83203125" customWidth="1"/>
    <col min="6" max="6" width="68.83203125" customWidth="1"/>
    <col min="7" max="18" width="13.5" customWidth="1"/>
  </cols>
  <sheetData>
    <row r="1" ht="80" customHeight="1" spans="1:19" s="40" customFormat="1" x14ac:dyDescent="0.25">
      <c r="A1" s="41"/>
      <c r="B1" s="42"/>
      <c r="C1" s="42"/>
      <c r="D1" s="41" t="s">
        <v>2340</v>
      </c>
      <c r="E1" s="43"/>
      <c r="F1" s="44"/>
      <c r="G1" s="44"/>
      <c r="H1" s="43"/>
      <c r="I1" s="43"/>
      <c r="J1" s="43"/>
      <c r="K1" s="43"/>
      <c r="L1" s="43"/>
      <c r="M1" s="43"/>
      <c r="N1" s="43"/>
      <c r="O1" s="43"/>
      <c r="P1" s="43"/>
      <c r="Q1" s="43"/>
      <c r="R1" s="43"/>
      <c r="S1" s="43"/>
    </row>
    <row r="2" hidden="1" spans="1:19" x14ac:dyDescent="0.25">
      <c r="A2" s="215"/>
      <c r="B2" s="177"/>
      <c r="C2" s="177"/>
      <c r="D2" s="177"/>
      <c r="E2" s="177"/>
      <c r="F2" s="177"/>
      <c r="G2" s="178" t="s">
        <v>2294</v>
      </c>
      <c r="H2" s="178" t="s">
        <v>2294</v>
      </c>
      <c r="I2" s="178" t="s">
        <v>2294</v>
      </c>
      <c r="J2" s="178"/>
      <c r="K2" s="178"/>
      <c r="L2" s="178" t="s">
        <v>2294</v>
      </c>
      <c r="M2" s="178"/>
      <c r="N2" s="178"/>
      <c r="O2" s="178" t="s">
        <v>2294</v>
      </c>
      <c r="P2" s="178" t="s">
        <v>2294</v>
      </c>
      <c r="Q2" s="178" t="s">
        <v>2294</v>
      </c>
      <c r="R2" s="178" t="s">
        <v>2294</v>
      </c>
      <c r="S2" s="179" t="s">
        <v>2301</v>
      </c>
    </row>
    <row r="3" hidden="1" spans="1:19" x14ac:dyDescent="0.25">
      <c r="A3" s="215"/>
      <c r="B3" s="177"/>
      <c r="C3" s="177"/>
      <c r="D3" s="177"/>
      <c r="E3" s="177"/>
      <c r="F3" s="177"/>
      <c r="G3" s="178" t="s">
        <v>2302</v>
      </c>
      <c r="H3" s="178" t="s">
        <v>2303</v>
      </c>
      <c r="I3" s="178" t="s">
        <v>2304</v>
      </c>
      <c r="J3" s="178"/>
      <c r="K3" s="178"/>
      <c r="L3" s="178" t="s">
        <v>2305</v>
      </c>
      <c r="M3" s="178"/>
      <c r="N3" s="178"/>
      <c r="O3" s="178" t="s">
        <v>2306</v>
      </c>
      <c r="P3" s="178" t="s">
        <v>2307</v>
      </c>
      <c r="Q3" s="178" t="s">
        <v>2308</v>
      </c>
      <c r="R3" s="178" t="s">
        <v>2309</v>
      </c>
      <c r="S3" s="179"/>
    </row>
    <row r="4" ht="36" customHeight="1" spans="1:19" x14ac:dyDescent="0.25">
      <c r="A4" s="216"/>
      <c r="B4" s="182" t="s">
        <v>2169</v>
      </c>
      <c r="C4" s="182" t="s">
        <v>2170</v>
      </c>
      <c r="D4" s="182" t="s">
        <v>37</v>
      </c>
      <c r="E4" s="182" t="s">
        <v>2310</v>
      </c>
      <c r="F4" s="182" t="s">
        <v>2172</v>
      </c>
      <c r="G4" s="178" t="s">
        <v>2311</v>
      </c>
      <c r="H4" s="178" t="s">
        <v>2312</v>
      </c>
      <c r="I4" s="178" t="s">
        <v>2313</v>
      </c>
      <c r="J4" s="178" t="s">
        <v>2314</v>
      </c>
      <c r="K4" s="178" t="s">
        <v>2315</v>
      </c>
      <c r="L4" s="178" t="s">
        <v>2316</v>
      </c>
      <c r="M4" s="178" t="s">
        <v>2317</v>
      </c>
      <c r="N4" s="178" t="s">
        <v>2318</v>
      </c>
      <c r="O4" s="178" t="s">
        <v>2319</v>
      </c>
      <c r="P4" s="178" t="s">
        <v>2320</v>
      </c>
      <c r="Q4" s="178" t="s">
        <v>2321</v>
      </c>
      <c r="R4" s="178" t="s">
        <v>2322</v>
      </c>
      <c r="S4" s="179"/>
    </row>
    <row r="5" spans="1:19" x14ac:dyDescent="0.25">
      <c r="A5" s="183" t="s">
        <v>2323</v>
      </c>
      <c r="B5" s="184"/>
      <c r="C5" s="184"/>
      <c r="D5" s="217" t="s">
        <v>1084</v>
      </c>
      <c r="E5" s="184" t="s">
        <v>2220</v>
      </c>
      <c r="F5" s="218" t="s">
        <v>2221</v>
      </c>
      <c r="G5" s="219">
        <f>IF(ISBLANK(ETPT_ATTJ!G5),"",IF(ISERROR(ETPT_ATTJ!G5),"",IF(ETPT_ATTJ!G5=0,"",ETPT_ATTJ!G5)))</f>
      </c>
      <c r="H5" s="219">
        <f>IF(ISBLANK(ETPT_ATTJ!H5),"",IF(ISERROR(ETPT_ATTJ!H5),"",IF(ETPT_ATTJ!H5=0,"",ETPT_ATTJ!H5)))</f>
      </c>
      <c r="I5" s="219">
        <f>IF(ISBLANK(ETPT_ATTJ!I5),"",IF(ISERROR(ETPT_ATTJ!I5),"",IF(ETPT_ATTJ!I5=0,"",ETPT_ATTJ!I5)))</f>
      </c>
      <c r="J5" s="219"/>
      <c r="K5" s="219"/>
      <c r="L5" s="219">
        <f>IF(ISBLANK(ETPT_ATTJ!L5),"",IF(ISERROR(ETPT_ATTJ!L5),"",IF(ETPT_ATTJ!L5=0,"",ETPT_ATTJ!L5)))</f>
      </c>
      <c r="M5" s="219"/>
      <c r="N5" s="219"/>
      <c r="O5" s="219">
        <f>IF(ISBLANK(ETPT_ATTJ!O5),"",IF(ISERROR(ETPT_ATTJ!O5),"",IF(ETPT_ATTJ!O5=0,"",ETPT_ATTJ!O5)))</f>
      </c>
      <c r="P5" s="219">
        <f>IF(ISBLANK(ETPT_ATTJ!P5),"",IF(ISERROR(ETPT_ATTJ!P5),"",IF(ETPT_ATTJ!P5=0,"",ETPT_ATTJ!P5)))</f>
      </c>
      <c r="Q5" s="219">
        <f>IF(ISBLANK(ETPT_ATTJ!Q5),"",IF(ISERROR(ETPT_ATTJ!Q5),"",IF(ETPT_ATTJ!Q5=0,"",ETPT_ATTJ!Q5)))</f>
      </c>
      <c r="R5" s="219">
        <f>IF(ISBLANK(ETPT_ATTJ!R5),"",IF(ISERROR(ETPT_ATTJ!R5),"",IF(ETPT_ATTJ!R5=0,"",ETPT_ATTJ!R5)))</f>
      </c>
      <c r="S5" s="220">
        <f>ETPT_ATTJ!S5</f>
        <v>0</v>
      </c>
    </row>
    <row r="6" spans="1:19" x14ac:dyDescent="0.25">
      <c r="A6" s="183" t="s">
        <v>2323</v>
      </c>
      <c r="B6" s="184"/>
      <c r="C6" s="184"/>
      <c r="D6" s="207">
        <f>$D$5</f>
        <v>0</v>
      </c>
      <c r="E6" s="184" t="s">
        <v>2222</v>
      </c>
      <c r="F6" s="218" t="s">
        <v>2223</v>
      </c>
      <c r="G6" s="219">
        <f>IF(ISBLANK(ETPT_ATTJ!G6),"",IF(ISERROR(ETPT_ATTJ!G6),"",IF(ETPT_ATTJ!G6=0,"",ETPT_ATTJ!G6)))</f>
      </c>
      <c r="H6" s="219">
        <f>IF(ISBLANK(ETPT_ATTJ!H6),"",IF(ISERROR(ETPT_ATTJ!H6),"",IF(ETPT_ATTJ!H6=0,"",ETPT_ATTJ!H6)))</f>
      </c>
      <c r="I6" s="219">
        <f>IF(ISBLANK(ETPT_ATTJ!I6),"",IF(ISERROR(ETPT_ATTJ!I6),"",IF(ETPT_ATTJ!I6=0,"",ETPT_ATTJ!I6)))</f>
      </c>
      <c r="J6" s="219">
        <f>IF(ISBLANK(ETPT_ATTJ!J6),"",IF(ISERROR(ETPT_ATTJ!J6),"",IF(ETPT_ATTJ!J6=0,"",ETPT_ATTJ!J6)))</f>
      </c>
      <c r="K6" s="219">
        <f>IF(ISBLANK(ETPT_ATTJ!K6),"",IF(ISERROR(ETPT_ATTJ!K6),"",IF(ETPT_ATTJ!K6=0,"",ETPT_ATTJ!K6)))</f>
      </c>
      <c r="L6" s="219">
        <f>IF(ISBLANK(ETPT_ATTJ!L6),"",IF(ISERROR(ETPT_ATTJ!L6),"",IF(ETPT_ATTJ!L6=0,"",ETPT_ATTJ!L6)))</f>
      </c>
      <c r="M6" s="219"/>
      <c r="N6" s="219"/>
      <c r="O6" s="219">
        <f>IF(ISBLANK(ETPT_ATTJ!O6),"",IF(ISERROR(ETPT_ATTJ!O6),"",IF(ETPT_ATTJ!O6=0,"",ETPT_ATTJ!O6)))</f>
      </c>
      <c r="P6" s="219">
        <f>IF(ISBLANK(ETPT_ATTJ!P6),"",IF(ISERROR(ETPT_ATTJ!P6),"",IF(ETPT_ATTJ!P6=0,"",ETPT_ATTJ!P6)))</f>
      </c>
      <c r="Q6" s="219">
        <f>IF(ISBLANK(ETPT_ATTJ!Q6),"",IF(ISERROR(ETPT_ATTJ!Q6),"",IF(ETPT_ATTJ!Q6=0,"",ETPT_ATTJ!Q6)))</f>
      </c>
      <c r="R6" s="219">
        <f>IF(ISBLANK(ETPT_ATTJ!R6),"",IF(ISERROR(ETPT_ATTJ!R6),"",IF(ETPT_ATTJ!R6=0,"",ETPT_ATTJ!R6)))</f>
      </c>
      <c r="S6" s="220">
        <f>ETPT_ATTJ!S6</f>
        <v>0</v>
      </c>
    </row>
    <row r="7" spans="1:19" x14ac:dyDescent="0.25">
      <c r="A7" s="183" t="s">
        <v>2323</v>
      </c>
      <c r="B7" s="184"/>
      <c r="C7" s="184"/>
      <c r="D7" s="207">
        <f t="shared" ref="D7:D12" si="0">$D$5</f>
        <v>0</v>
      </c>
      <c r="E7" s="184" t="s">
        <v>2229</v>
      </c>
      <c r="F7" s="218" t="s">
        <v>2230</v>
      </c>
      <c r="G7" s="219">
        <f>IF(ISBLANK(ETPT_ATTJ!G7),"",IF(ISERROR(ETPT_ATTJ!G7),"",IF(ETPT_ATTJ!G7=0,"",ETPT_ATTJ!G7)))</f>
      </c>
      <c r="H7" s="219">
        <f>IF(ISBLANK(ETPT_ATTJ!H7),"",IF(ISERROR(ETPT_ATTJ!H7),"",IF(ETPT_ATTJ!H7=0,"",ETPT_ATTJ!H7)))</f>
      </c>
      <c r="I7" s="219">
        <f>IF(ISBLANK(ETPT_ATTJ!I7),"",IF(ISERROR(ETPT_ATTJ!I7),"",IF(ETPT_ATTJ!I7=0,"",ETPT_ATTJ!I7)))</f>
      </c>
      <c r="J7" s="219">
        <f>IF(ISBLANK(ETPT_ATTJ!J7),"",IF(ISERROR(ETPT_ATTJ!J7),"",IF(ETPT_ATTJ!J7=0,"",ETPT_ATTJ!J7)))</f>
      </c>
      <c r="K7" s="219">
        <f>IF(ISBLANK(ETPT_ATTJ!K7),"",IF(ISERROR(ETPT_ATTJ!K7),"",IF(ETPT_ATTJ!K7=0,"",ETPT_ATTJ!K7)))</f>
      </c>
      <c r="L7" s="219">
        <f>IF(ISBLANK(ETPT_ATTJ!L7),"",IF(ISERROR(ETPT_ATTJ!L7),"",IF(ETPT_ATTJ!L7=0,"",ETPT_ATTJ!L7)))</f>
      </c>
      <c r="M7" s="219"/>
      <c r="N7" s="219"/>
      <c r="O7" s="219">
        <f>IF(ISBLANK(ETPT_ATTJ!O7),"",IF(ISERROR(ETPT_ATTJ!O7),"",IF(ETPT_ATTJ!O7=0,"",ETPT_ATTJ!O7)))</f>
      </c>
      <c r="P7" s="219">
        <f>IF(ISBLANK(ETPT_ATTJ!P7),"",IF(ISERROR(ETPT_ATTJ!P7),"",IF(ETPT_ATTJ!P7=0,"",ETPT_ATTJ!P7)))</f>
      </c>
      <c r="Q7" s="219">
        <f>IF(ISBLANK(ETPT_ATTJ!Q7),"",IF(ISERROR(ETPT_ATTJ!Q7),"",IF(ETPT_ATTJ!Q7=0,"",ETPT_ATTJ!Q7)))</f>
      </c>
      <c r="R7" s="219">
        <f>IF(ISBLANK(ETPT_ATTJ!R7),"",IF(ISERROR(ETPT_ATTJ!R7),"",IF(ETPT_ATTJ!R7=0,"",ETPT_ATTJ!R7)))</f>
      </c>
      <c r="S7" s="220">
        <f>ETPT_ATTJ!S7</f>
        <v>0</v>
      </c>
    </row>
    <row r="8" spans="1:19" x14ac:dyDescent="0.25">
      <c r="A8" s="183" t="s">
        <v>2323</v>
      </c>
      <c r="B8" s="184"/>
      <c r="C8" s="184"/>
      <c r="D8" s="207">
        <f t="shared" si="0"/>
        <v>0</v>
      </c>
      <c r="E8" s="184" t="s">
        <v>2231</v>
      </c>
      <c r="F8" s="218" t="s">
        <v>2232</v>
      </c>
      <c r="G8" s="219">
        <f>IF(ISBLANK(ETPT_ATTJ!G8),"",IF(ISERROR(ETPT_ATTJ!G8),"",IF(ETPT_ATTJ!G8=0,"",ETPT_ATTJ!G8)))</f>
      </c>
      <c r="H8" s="219">
        <f>IF(ISBLANK(ETPT_ATTJ!H8),"",IF(ISERROR(ETPT_ATTJ!H8),"",IF(ETPT_ATTJ!H8=0,"",ETPT_ATTJ!H8)))</f>
      </c>
      <c r="I8" s="219">
        <f>IF(ISBLANK(ETPT_ATTJ!I8),"",IF(ISERROR(ETPT_ATTJ!I8),"",IF(ETPT_ATTJ!I8=0,"",ETPT_ATTJ!I8)))</f>
      </c>
      <c r="J8" s="219">
        <f>IF(ISBLANK(ETPT_ATTJ!J8),"",IF(ISERROR(ETPT_ATTJ!J8),"",IF(ETPT_ATTJ!J8=0,"",ETPT_ATTJ!J8)))</f>
      </c>
      <c r="K8" s="219">
        <f>IF(ISBLANK(ETPT_ATTJ!K8),"",IF(ISERROR(ETPT_ATTJ!K8),"",IF(ETPT_ATTJ!K8=0,"",ETPT_ATTJ!K8)))</f>
      </c>
      <c r="L8" s="219">
        <f>IF(ISBLANK(ETPT_ATTJ!L8),"",IF(ISERROR(ETPT_ATTJ!L8),"",IF(ETPT_ATTJ!L8=0,"",ETPT_ATTJ!L8)))</f>
      </c>
      <c r="M8" s="219"/>
      <c r="N8" s="219"/>
      <c r="O8" s="219">
        <f>IF(ISBLANK(ETPT_ATTJ!O8),"",IF(ISERROR(ETPT_ATTJ!O8),"",IF(ETPT_ATTJ!O8=0,"",ETPT_ATTJ!O8)))</f>
      </c>
      <c r="P8" s="219">
        <f>IF(ISBLANK(ETPT_ATTJ!P8),"",IF(ISERROR(ETPT_ATTJ!P8),"",IF(ETPT_ATTJ!P8=0,"",ETPT_ATTJ!P8)))</f>
      </c>
      <c r="Q8" s="219">
        <f>IF(ISBLANK(ETPT_ATTJ!Q8),"",IF(ISERROR(ETPT_ATTJ!Q8),"",IF(ETPT_ATTJ!Q8=0,"",ETPT_ATTJ!Q8)))</f>
      </c>
      <c r="R8" s="219">
        <f>IF(ISBLANK(ETPT_ATTJ!R8),"",IF(ISERROR(ETPT_ATTJ!R8),"",IF(ETPT_ATTJ!R8=0,"",ETPT_ATTJ!R8)))</f>
      </c>
      <c r="S8" s="220">
        <f>ETPT_ATTJ!S8</f>
        <v>0</v>
      </c>
    </row>
    <row r="9" spans="1:19" x14ac:dyDescent="0.25">
      <c r="A9" s="183" t="s">
        <v>2323</v>
      </c>
      <c r="B9" s="184"/>
      <c r="C9" s="184"/>
      <c r="D9" s="207">
        <f t="shared" si="0"/>
        <v>0</v>
      </c>
      <c r="E9" s="184" t="s">
        <v>2233</v>
      </c>
      <c r="F9" s="218" t="s">
        <v>2234</v>
      </c>
      <c r="G9" s="219">
        <f>IF(ISBLANK(ETPT_ATTJ!G9),"",IF(ISERROR(ETPT_ATTJ!G9),"",IF(ETPT_ATTJ!G9=0,"",ETPT_ATTJ!G9)))</f>
      </c>
      <c r="H9" s="219">
        <f>IF(ISBLANK(ETPT_ATTJ!H9),"",IF(ISERROR(ETPT_ATTJ!H9),"",IF(ETPT_ATTJ!H9=0,"",ETPT_ATTJ!H9)))</f>
      </c>
      <c r="I9" s="219">
        <f>IF(ISBLANK(ETPT_ATTJ!I9),"",IF(ISERROR(ETPT_ATTJ!I9),"",IF(ETPT_ATTJ!I9=0,"",ETPT_ATTJ!I9)))</f>
      </c>
      <c r="J9" s="219">
        <f>IF(ISBLANK(ETPT_ATTJ!J9),"",IF(ISERROR(ETPT_ATTJ!J9),"",IF(ETPT_ATTJ!J9=0,"",ETPT_ATTJ!J9)))</f>
      </c>
      <c r="K9" s="219">
        <f>IF(ISBLANK(ETPT_ATTJ!K9),"",IF(ISERROR(ETPT_ATTJ!K9),"",IF(ETPT_ATTJ!K9=0,"",ETPT_ATTJ!K9)))</f>
      </c>
      <c r="L9" s="219">
        <f>IF(ISBLANK(ETPT_ATTJ!L9),"",IF(ISERROR(ETPT_ATTJ!L9),"",IF(ETPT_ATTJ!L9=0,"",ETPT_ATTJ!L9)))</f>
      </c>
      <c r="M9" s="219"/>
      <c r="N9" s="219"/>
      <c r="O9" s="219">
        <f>IF(ISBLANK(ETPT_ATTJ!O9),"",IF(ISERROR(ETPT_ATTJ!O9),"",IF(ETPT_ATTJ!O9=0,"",ETPT_ATTJ!O9)))</f>
      </c>
      <c r="P9" s="219">
        <f>IF(ISBLANK(ETPT_ATTJ!P9),"",IF(ISERROR(ETPT_ATTJ!P9),"",IF(ETPT_ATTJ!P9=0,"",ETPT_ATTJ!P9)))</f>
      </c>
      <c r="Q9" s="219">
        <f>IF(ISBLANK(ETPT_ATTJ!Q9),"",IF(ISERROR(ETPT_ATTJ!Q9),"",IF(ETPT_ATTJ!Q9=0,"",ETPT_ATTJ!Q9)))</f>
      </c>
      <c r="R9" s="219">
        <f>IF(ISBLANK(ETPT_ATTJ!R9),"",IF(ISERROR(ETPT_ATTJ!R9),"",IF(ETPT_ATTJ!R9=0,"",ETPT_ATTJ!R9)))</f>
      </c>
      <c r="S9" s="220">
        <f>ETPT_ATTJ!S9</f>
        <v>0</v>
      </c>
    </row>
    <row r="10" spans="1:19" x14ac:dyDescent="0.25">
      <c r="A10" s="183" t="s">
        <v>2323</v>
      </c>
      <c r="B10" s="184"/>
      <c r="C10" s="184"/>
      <c r="D10" s="207">
        <f t="shared" si="0"/>
        <v>0</v>
      </c>
      <c r="E10" s="184" t="s">
        <v>2235</v>
      </c>
      <c r="F10" s="218" t="s">
        <v>2236</v>
      </c>
      <c r="G10" s="219">
        <f>IF(ISBLANK(ETPT_ATTJ!G10),"",IF(ISERROR(ETPT_ATTJ!G10),"",IF(ETPT_ATTJ!G10=0,"",ETPT_ATTJ!G10)))</f>
      </c>
      <c r="H10" s="219">
        <f>IF(ISBLANK(ETPT_ATTJ!H10),"",IF(ISERROR(ETPT_ATTJ!H10),"",IF(ETPT_ATTJ!H10=0,"",ETPT_ATTJ!H10)))</f>
      </c>
      <c r="I10" s="219">
        <f>IF(ISBLANK(ETPT_ATTJ!I10),"",IF(ISERROR(ETPT_ATTJ!I10),"",IF(ETPT_ATTJ!I10=0,"",ETPT_ATTJ!I10)))</f>
      </c>
      <c r="J10" s="219">
        <f>IF(ISBLANK(ETPT_ATTJ!J10),"",IF(ISERROR(ETPT_ATTJ!J10),"",IF(ETPT_ATTJ!J10=0,"",ETPT_ATTJ!J10)))</f>
      </c>
      <c r="K10" s="219">
        <f>IF(ISBLANK(ETPT_ATTJ!K10),"",IF(ISERROR(ETPT_ATTJ!K10),"",IF(ETPT_ATTJ!K10=0,"",ETPT_ATTJ!K10)))</f>
      </c>
      <c r="L10" s="219">
        <f>IF(ISBLANK(ETPT_ATTJ!L10),"",IF(ISERROR(ETPT_ATTJ!L10),"",IF(ETPT_ATTJ!L10=0,"",ETPT_ATTJ!L10)))</f>
      </c>
      <c r="M10" s="219"/>
      <c r="N10" s="219"/>
      <c r="O10" s="219">
        <f>IF(ISBLANK(ETPT_ATTJ!O10),"",IF(ISERROR(ETPT_ATTJ!O10),"",IF(ETPT_ATTJ!O10=0,"",ETPT_ATTJ!O10)))</f>
      </c>
      <c r="P10" s="219">
        <f>IF(ISBLANK(ETPT_ATTJ!P10),"",IF(ISERROR(ETPT_ATTJ!P10),"",IF(ETPT_ATTJ!P10=0,"",ETPT_ATTJ!P10)))</f>
      </c>
      <c r="Q10" s="219">
        <f>IF(ISBLANK(ETPT_ATTJ!Q10),"",IF(ISERROR(ETPT_ATTJ!Q10),"",IF(ETPT_ATTJ!Q10=0,"",ETPT_ATTJ!Q10)))</f>
      </c>
      <c r="R10" s="219">
        <f>IF(ISBLANK(ETPT_ATTJ!R10),"",IF(ISERROR(ETPT_ATTJ!R10),"",IF(ETPT_ATTJ!R10=0,"",ETPT_ATTJ!R10)))</f>
      </c>
      <c r="S10" s="220">
        <f>ETPT_ATTJ!S10</f>
        <v>0</v>
      </c>
    </row>
    <row r="11" spans="1:19" x14ac:dyDescent="0.25">
      <c r="A11" s="183" t="s">
        <v>2323</v>
      </c>
      <c r="B11" s="184"/>
      <c r="C11" s="184"/>
      <c r="D11" s="207">
        <f t="shared" si="0"/>
        <v>0</v>
      </c>
      <c r="E11" s="184" t="s">
        <v>2237</v>
      </c>
      <c r="F11" s="218" t="s">
        <v>2238</v>
      </c>
      <c r="G11" s="219">
        <f>IF(ISBLANK(ETPT_ATTJ!G11),"",IF(ISERROR(ETPT_ATTJ!G11),"",IF(ETPT_ATTJ!G11=0,"",ETPT_ATTJ!G11)))</f>
      </c>
      <c r="H11" s="219">
        <f>IF(ISBLANK(ETPT_ATTJ!H11),"",IF(ISERROR(ETPT_ATTJ!H11),"",IF(ETPT_ATTJ!H11=0,"",ETPT_ATTJ!H11)))</f>
      </c>
      <c r="I11" s="219">
        <f>IF(ISBLANK(ETPT_ATTJ!I11),"",IF(ISERROR(ETPT_ATTJ!I11),"",IF(ETPT_ATTJ!I11=0,"",ETPT_ATTJ!I11)))</f>
      </c>
      <c r="J11" s="219">
        <f>IF(ISBLANK(ETPT_ATTJ!J11),"",IF(ISERROR(ETPT_ATTJ!J11),"",IF(ETPT_ATTJ!J11=0,"",ETPT_ATTJ!J11)))</f>
      </c>
      <c r="K11" s="219">
        <f>IF(ISBLANK(ETPT_ATTJ!K11),"",IF(ISERROR(ETPT_ATTJ!K11),"",IF(ETPT_ATTJ!K11=0,"",ETPT_ATTJ!K11)))</f>
      </c>
      <c r="L11" s="219">
        <f>IF(ISBLANK(ETPT_ATTJ!L11),"",IF(ISERROR(ETPT_ATTJ!L11),"",IF(ETPT_ATTJ!L11=0,"",ETPT_ATTJ!L11)))</f>
      </c>
      <c r="M11" s="219"/>
      <c r="N11" s="219"/>
      <c r="O11" s="219">
        <f>IF(ISBLANK(ETPT_ATTJ!O11),"",IF(ISERROR(ETPT_ATTJ!O11),"",IF(ETPT_ATTJ!O11=0,"",ETPT_ATTJ!O11)))</f>
      </c>
      <c r="P11" s="219">
        <f>IF(ISBLANK(ETPT_ATTJ!P11),"",IF(ISERROR(ETPT_ATTJ!P11),"",IF(ETPT_ATTJ!P11=0,"",ETPT_ATTJ!P11)))</f>
      </c>
      <c r="Q11" s="219">
        <f>IF(ISBLANK(ETPT_ATTJ!Q11),"",IF(ISERROR(ETPT_ATTJ!Q11),"",IF(ETPT_ATTJ!Q11=0,"",ETPT_ATTJ!Q11)))</f>
      </c>
      <c r="R11" s="219">
        <f>IF(ISBLANK(ETPT_ATTJ!R11),"",IF(ISERROR(ETPT_ATTJ!R11),"",IF(ETPT_ATTJ!R11=0,"",ETPT_ATTJ!R11)))</f>
      </c>
      <c r="S11" s="220">
        <f>ETPT_ATTJ!S11</f>
        <v>0</v>
      </c>
    </row>
    <row r="12" spans="1:19" x14ac:dyDescent="0.25">
      <c r="A12" s="183" t="s">
        <v>2323</v>
      </c>
      <c r="B12" s="184"/>
      <c r="C12" s="184"/>
      <c r="D12" s="221">
        <f t="shared" si="0"/>
        <v>0</v>
      </c>
      <c r="E12" s="222" t="s">
        <v>2239</v>
      </c>
      <c r="F12" s="218" t="s">
        <v>2240</v>
      </c>
      <c r="G12" s="219">
        <f>IF(ISBLANK(ETPT_ATTJ!G12),"",IF(ISERROR(ETPT_ATTJ!G12),"",IF(ETPT_ATTJ!G12=0,"",ETPT_ATTJ!G12)))</f>
      </c>
      <c r="H12" s="219">
        <f>IF(ISBLANK(ETPT_ATTJ!H12),"",IF(ISERROR(ETPT_ATTJ!H12),"",IF(ETPT_ATTJ!H12=0,"",ETPT_ATTJ!H12)))</f>
      </c>
      <c r="I12" s="219">
        <f>IF(ISBLANK(ETPT_ATTJ!I12),"",IF(ISERROR(ETPT_ATTJ!I12),"",IF(ETPT_ATTJ!I12=0,"",ETPT_ATTJ!I12)))</f>
      </c>
      <c r="J12" s="219">
        <f>IF(ISBLANK(ETPT_ATTJ!J12),"",IF(ISERROR(ETPT_ATTJ!J12),"",IF(ETPT_ATTJ!J12=0,"",ETPT_ATTJ!J12)))</f>
      </c>
      <c r="K12" s="219">
        <f>IF(ISBLANK(ETPT_ATTJ!K12),"",IF(ISERROR(ETPT_ATTJ!K12),"",IF(ETPT_ATTJ!K12=0,"",ETPT_ATTJ!K12)))</f>
      </c>
      <c r="L12" s="219">
        <f>IF(ISBLANK(ETPT_ATTJ!L12),"",IF(ISERROR(ETPT_ATTJ!L12),"",IF(ETPT_ATTJ!L12=0,"",ETPT_ATTJ!L12)))</f>
      </c>
      <c r="M12" s="219"/>
      <c r="N12" s="219"/>
      <c r="O12" s="219">
        <f>IF(ISBLANK(ETPT_ATTJ!O12),"",IF(ISERROR(ETPT_ATTJ!O12),"",IF(ETPT_ATTJ!O12=0,"",ETPT_ATTJ!O12)))</f>
      </c>
      <c r="P12" s="219">
        <f>IF(ISBLANK(ETPT_ATTJ!P12),"",IF(ISERROR(ETPT_ATTJ!P12),"",IF(ETPT_ATTJ!P12=0,"",ETPT_ATTJ!P12)))</f>
      </c>
      <c r="Q12" s="219">
        <f>IF(ISBLANK(ETPT_ATTJ!Q12),"",IF(ISERROR(ETPT_ATTJ!Q12),"",IF(ETPT_ATTJ!Q12=0,"",ETPT_ATTJ!Q12)))</f>
      </c>
      <c r="R12" s="219">
        <f>IF(ISBLANK(ETPT_ATTJ!R12),"",IF(ISERROR(ETPT_ATTJ!R12),"",IF(ETPT_ATTJ!R12=0,"",ETPT_ATTJ!R12)))</f>
      </c>
      <c r="S12" s="220">
        <f>ETPT_ATTJ!S12</f>
        <v>0</v>
      </c>
    </row>
    <row r="13" spans="1:19" x14ac:dyDescent="0.25">
      <c r="A13" s="223"/>
      <c r="B13" s="223"/>
      <c r="C13" s="223"/>
      <c r="D13" s="224"/>
      <c r="E13" s="225"/>
      <c r="F13" s="226" t="s">
        <v>2245</v>
      </c>
      <c r="G13" s="220">
        <f>ETPT_ATTJ!G13</f>
        <v>0</v>
      </c>
      <c r="H13" s="220">
        <f>ETPT_ATTJ!H13</f>
        <v>0</v>
      </c>
      <c r="I13" s="220">
        <f>ETPT_ATTJ!I13</f>
        <v>0</v>
      </c>
      <c r="J13" s="220">
        <f>ETPT_ATTJ!J13</f>
        <v>0</v>
      </c>
      <c r="K13" s="220">
        <f>ETPT_ATTJ!K13</f>
        <v>0</v>
      </c>
      <c r="L13" s="220">
        <f>ETPT_ATTJ!L13</f>
        <v>0</v>
      </c>
      <c r="M13" s="220">
        <f>ETPT_ATTJ!M13</f>
        <v>0</v>
      </c>
      <c r="N13" s="220">
        <f>ETPT_ATTJ!N13</f>
        <v>0</v>
      </c>
      <c r="O13" s="220">
        <f>ETPT_ATTJ!O13</f>
        <v>0</v>
      </c>
      <c r="P13" s="220">
        <f>ETPT_ATTJ!P13</f>
        <v>0</v>
      </c>
      <c r="Q13" s="220">
        <f>ETPT_ATTJ!Q13</f>
        <v>0</v>
      </c>
      <c r="R13" s="220">
        <f>ETPT_ATTJ!R13</f>
        <v>0</v>
      </c>
      <c r="S13" s="220">
        <f>ETPT_ATTJ!S13</f>
        <v>0</v>
      </c>
    </row>
    <row r="14" ht="16" customHeight="1" spans="1:20" x14ac:dyDescent="0.25">
      <c r="A14" s="189"/>
      <c r="B14" s="189"/>
      <c r="C14" s="189"/>
      <c r="D14" s="189"/>
      <c r="E14" s="190"/>
      <c r="F14" s="190"/>
      <c r="G14" s="190"/>
      <c r="H14" s="190"/>
      <c r="I14" s="190"/>
      <c r="J14" s="190"/>
      <c r="K14" s="190"/>
      <c r="L14" s="190"/>
      <c r="M14" s="190"/>
      <c r="N14" s="190"/>
      <c r="O14" s="190"/>
      <c r="P14" s="190"/>
      <c r="Q14" s="190"/>
      <c r="R14" s="190"/>
      <c r="S14" s="190"/>
      <c r="T14" s="190"/>
    </row>
    <row r="15" ht="16" customHeight="1" spans="1:20" x14ac:dyDescent="0.25">
      <c r="A15" s="189"/>
      <c r="B15" s="189"/>
      <c r="C15" s="189"/>
      <c r="E15" s="211" t="s">
        <v>2336</v>
      </c>
      <c r="F15" s="189"/>
      <c r="G15" s="189"/>
      <c r="H15" s="189"/>
      <c r="I15" s="190"/>
      <c r="J15" s="190"/>
      <c r="K15" s="190"/>
      <c r="L15" s="190"/>
      <c r="M15" s="190"/>
      <c r="N15" s="190"/>
      <c r="O15" s="190"/>
      <c r="P15" s="190"/>
      <c r="Q15" s="190"/>
      <c r="R15" s="190"/>
      <c r="S15" s="190"/>
      <c r="T15" s="190"/>
    </row>
    <row r="16" ht="16" customHeight="1" spans="1:19" x14ac:dyDescent="0.25">
      <c r="A16" s="189"/>
      <c r="B16" s="189"/>
      <c r="C16" s="189"/>
      <c r="D16" s="189"/>
      <c r="E16" s="189"/>
      <c r="F16" s="189"/>
      <c r="G16" s="189"/>
      <c r="H16" s="189"/>
      <c r="I16" s="190"/>
      <c r="J16" s="190"/>
      <c r="K16" s="190"/>
      <c r="L16" s="190"/>
      <c r="M16" s="190"/>
      <c r="N16" s="190"/>
      <c r="O16" s="190"/>
      <c r="P16" s="190"/>
      <c r="Q16" s="190"/>
      <c r="R16" s="190"/>
      <c r="S16" s="190"/>
    </row>
    <row r="17" ht="16" customHeight="1" spans="1:20" x14ac:dyDescent="0.25">
      <c r="A17" s="189"/>
      <c r="B17" s="189"/>
      <c r="C17" s="189"/>
      <c r="D17" s="189"/>
      <c r="E17" s="189"/>
      <c r="F17" s="189"/>
      <c r="G17" s="189"/>
      <c r="H17" s="189"/>
      <c r="I17" s="190"/>
      <c r="J17" s="190"/>
      <c r="K17" s="190"/>
      <c r="L17" s="190"/>
      <c r="M17" s="190"/>
      <c r="N17" s="190"/>
      <c r="O17" s="190"/>
      <c r="P17" s="190"/>
      <c r="Q17" s="190"/>
      <c r="R17" s="190"/>
      <c r="S17" s="190"/>
      <c r="T17" s="190"/>
    </row>
  </sheetData>
  <mergeCells count="1">
    <mergeCell ref="S2:S4"/>
  </mergeCells>
  <dataValidations count="1">
    <dataValidation type="list" showInputMessage="1" prompt="Selectionner une juridiction" showErrorMessage="1" error="Veuillez selectionner une valeur dans le menu déroulant" sqref="D5">
      <formula1>""</formula1>
    </dataValidation>
  </dataValidation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
  <sheetViews>
    <sheetView workbookViewId="0" zoomScale="100" zoomScaleNormal="100">
      <selection activeCell="I6" sqref="I6"/>
    </sheetView>
  </sheetViews>
  <sheetFormatPr defaultRowHeight="15" outlineLevelRow="0" outlineLevelCol="0" x14ac:dyDescent="0.2"/>
  <cols>
    <col min="6" max="6" width="82.83203125" customWidth="1"/>
    <col min="7" max="7" width="20.1640625" customWidth="1"/>
    <col min="8" max="10" width="20.83203125" customWidth="1"/>
    <col min="11" max="13" width="25.6640625" customWidth="1"/>
    <col min="14" max="14" width="19.33203125" customWidth="1"/>
    <col min="15" max="15" width="25" customWidth="1"/>
    <col min="16" max="16" width="17.5" customWidth="1"/>
    <col min="17" max="17" width="19" customWidth="1"/>
    <col min="18" max="18" width="28.6640625" customWidth="1"/>
  </cols>
  <sheetData>
    <row r="1" spans="1:19" x14ac:dyDescent="0.25">
      <c r="A1" s="239"/>
      <c r="B1" s="366" t="s">
        <v>2592</v>
      </c>
      <c r="C1" s="366"/>
      <c r="D1" s="366"/>
      <c r="E1" s="366"/>
      <c r="F1" s="367"/>
      <c r="G1" s="239"/>
      <c r="H1" s="239"/>
      <c r="I1" s="239"/>
      <c r="J1" s="239"/>
      <c r="K1" s="239"/>
      <c r="L1" s="239"/>
      <c r="M1" s="239"/>
      <c r="N1" s="239"/>
      <c r="O1" s="239"/>
      <c r="P1" s="239"/>
      <c r="Q1" s="239"/>
      <c r="R1" s="239"/>
      <c r="S1" s="239"/>
    </row>
    <row r="2" spans="1:19" x14ac:dyDescent="0.25">
      <c r="A2" s="368"/>
      <c r="B2" s="240"/>
      <c r="C2" s="240"/>
      <c r="D2" s="240"/>
      <c r="E2" s="240"/>
      <c r="F2" s="296"/>
      <c r="G2" s="241" t="s">
        <v>2593</v>
      </c>
      <c r="H2" s="241" t="s">
        <v>2593</v>
      </c>
      <c r="I2" s="241" t="s">
        <v>2593</v>
      </c>
      <c r="J2" s="241" t="s">
        <v>2593</v>
      </c>
      <c r="K2" s="241" t="s">
        <v>2593</v>
      </c>
      <c r="L2" s="241" t="s">
        <v>2593</v>
      </c>
      <c r="M2" s="241" t="s">
        <v>2593</v>
      </c>
      <c r="N2" s="241" t="s">
        <v>2593</v>
      </c>
      <c r="O2" s="241" t="s">
        <v>2593</v>
      </c>
      <c r="P2" s="241" t="s">
        <v>2593</v>
      </c>
      <c r="Q2" s="241" t="s">
        <v>2593</v>
      </c>
      <c r="R2" s="241" t="s">
        <v>2593</v>
      </c>
      <c r="S2" s="369" t="s">
        <v>2301</v>
      </c>
    </row>
    <row r="3" spans="1:19" s="370" customFormat="1" x14ac:dyDescent="0.25">
      <c r="A3" s="371"/>
      <c r="B3" s="372"/>
      <c r="C3" s="372"/>
      <c r="D3" s="372"/>
      <c r="E3" s="372"/>
      <c r="F3" s="373"/>
      <c r="G3" s="374" t="s">
        <v>2303</v>
      </c>
      <c r="H3" s="374" t="s">
        <v>1497</v>
      </c>
      <c r="I3" s="374"/>
      <c r="J3" s="374"/>
      <c r="K3" s="374" t="s">
        <v>2305</v>
      </c>
      <c r="L3" s="374"/>
      <c r="M3" s="374"/>
      <c r="N3" s="374" t="s">
        <v>2594</v>
      </c>
      <c r="O3" s="374" t="s">
        <v>2306</v>
      </c>
      <c r="P3" s="374" t="s">
        <v>2307</v>
      </c>
      <c r="Q3" s="374" t="s">
        <v>2308</v>
      </c>
      <c r="R3" s="374" t="s">
        <v>2309</v>
      </c>
      <c r="S3" s="369"/>
    </row>
    <row r="4" ht="42" customHeight="1" spans="1:19" x14ac:dyDescent="0.25">
      <c r="A4" s="375"/>
      <c r="B4" s="376" t="s">
        <v>2169</v>
      </c>
      <c r="C4" s="376" t="s">
        <v>2170</v>
      </c>
      <c r="D4" s="376" t="s">
        <v>37</v>
      </c>
      <c r="E4" s="376" t="s">
        <v>2310</v>
      </c>
      <c r="F4" s="376" t="s">
        <v>2172</v>
      </c>
      <c r="G4" s="297" t="s">
        <v>2595</v>
      </c>
      <c r="H4" s="297" t="s">
        <v>2596</v>
      </c>
      <c r="I4" s="297" t="s">
        <v>2314</v>
      </c>
      <c r="J4" s="297" t="s">
        <v>2597</v>
      </c>
      <c r="K4" s="297" t="s">
        <v>2598</v>
      </c>
      <c r="L4" s="297" t="s">
        <v>2317</v>
      </c>
      <c r="M4" s="297" t="s">
        <v>2599</v>
      </c>
      <c r="N4" s="297" t="s">
        <v>2600</v>
      </c>
      <c r="O4" s="297" t="s">
        <v>2601</v>
      </c>
      <c r="P4" s="297" t="s">
        <v>2602</v>
      </c>
      <c r="Q4" s="297" t="s">
        <v>2603</v>
      </c>
      <c r="R4" s="297" t="s">
        <v>2604</v>
      </c>
      <c r="S4" s="369"/>
    </row>
    <row r="5" ht="332" customHeight="1" spans="1:19" x14ac:dyDescent="0.25">
      <c r="A5" s="377" t="s">
        <v>2323</v>
      </c>
      <c r="B5" s="378"/>
      <c r="C5" s="378"/>
      <c r="D5" s="378"/>
      <c r="E5" s="378" t="s">
        <v>2220</v>
      </c>
      <c r="F5" s="379" t="s">
        <v>2221</v>
      </c>
      <c r="G5" s="380" t="s">
        <v>2605</v>
      </c>
      <c r="H5" s="381" t="s">
        <v>2606</v>
      </c>
      <c r="I5" s="382"/>
      <c r="J5" s="382"/>
      <c r="K5" s="380" t="s">
        <v>2607</v>
      </c>
      <c r="L5" s="380"/>
      <c r="M5" s="380"/>
      <c r="N5" s="380" t="s">
        <v>2608</v>
      </c>
      <c r="O5" s="380"/>
      <c r="P5" s="380" t="s">
        <v>2609</v>
      </c>
      <c r="Q5" s="380"/>
      <c r="R5" s="380"/>
      <c r="S5" s="383">
        <f>SUMIF($G$2:R$2,R$2,$G5:R5)</f>
        <v>0</v>
      </c>
    </row>
    <row r="6" ht="266" customHeight="1" spans="1:19" x14ac:dyDescent="0.25">
      <c r="A6" s="377" t="s">
        <v>2323</v>
      </c>
      <c r="B6" s="378"/>
      <c r="C6" s="378"/>
      <c r="D6" s="378"/>
      <c r="E6" s="378" t="s">
        <v>2222</v>
      </c>
      <c r="F6" s="379" t="s">
        <v>2223</v>
      </c>
      <c r="G6" s="380" t="s">
        <v>2610</v>
      </c>
      <c r="H6" s="381" t="s">
        <v>2611</v>
      </c>
      <c r="I6" s="381" t="s">
        <v>2612</v>
      </c>
      <c r="J6" s="381" t="s">
        <v>2613</v>
      </c>
      <c r="K6" s="380" t="s">
        <v>2614</v>
      </c>
      <c r="L6" s="380"/>
      <c r="M6" s="380"/>
      <c r="N6" s="380" t="s">
        <v>2615</v>
      </c>
      <c r="O6" s="380" t="s">
        <v>2616</v>
      </c>
      <c r="P6" s="380" t="s">
        <v>2617</v>
      </c>
      <c r="Q6" s="380" t="s">
        <v>2618</v>
      </c>
      <c r="R6" s="380" t="s">
        <v>2619</v>
      </c>
      <c r="S6" s="383">
        <f>SUMIF($G$2:R$2,R$2,$G6:R6)</f>
        <v>0</v>
      </c>
    </row>
    <row r="7" ht="154" customHeight="1" spans="1:19" x14ac:dyDescent="0.25">
      <c r="A7" s="377" t="s">
        <v>2323</v>
      </c>
      <c r="B7" s="378"/>
      <c r="C7" s="378"/>
      <c r="D7" s="378"/>
      <c r="E7" s="378" t="s">
        <v>2229</v>
      </c>
      <c r="F7" s="379" t="s">
        <v>2230</v>
      </c>
      <c r="G7" s="380" t="s">
        <v>2620</v>
      </c>
      <c r="H7" s="381" t="s">
        <v>2621</v>
      </c>
      <c r="I7" s="381" t="s">
        <v>2622</v>
      </c>
      <c r="J7" s="381" t="s">
        <v>2623</v>
      </c>
      <c r="K7" s="380" t="s">
        <v>2624</v>
      </c>
      <c r="L7" s="380"/>
      <c r="M7" s="380"/>
      <c r="N7" s="380" t="s">
        <v>2625</v>
      </c>
      <c r="O7" s="380" t="s">
        <v>2626</v>
      </c>
      <c r="P7" s="380" t="s">
        <v>2627</v>
      </c>
      <c r="Q7" s="380" t="s">
        <v>2628</v>
      </c>
      <c r="R7" s="380" t="s">
        <v>2629</v>
      </c>
      <c r="S7" s="383">
        <f>SUMIF($G$2:R$2,R$2,$G7:R7)</f>
        <v>0</v>
      </c>
    </row>
    <row r="8" ht="238" customHeight="1" spans="1:19" x14ac:dyDescent="0.25">
      <c r="A8" s="377" t="s">
        <v>2323</v>
      </c>
      <c r="B8" s="378"/>
      <c r="C8" s="378"/>
      <c r="D8" s="378"/>
      <c r="E8" s="378" t="s">
        <v>2231</v>
      </c>
      <c r="F8" s="379" t="s">
        <v>2232</v>
      </c>
      <c r="G8" s="380" t="s">
        <v>2630</v>
      </c>
      <c r="H8" s="381" t="s">
        <v>2631</v>
      </c>
      <c r="I8" s="381" t="s">
        <v>2632</v>
      </c>
      <c r="J8" s="381" t="s">
        <v>2633</v>
      </c>
      <c r="K8" s="380" t="s">
        <v>2634</v>
      </c>
      <c r="L8" s="380"/>
      <c r="M8" s="380"/>
      <c r="N8" s="380" t="s">
        <v>2635</v>
      </c>
      <c r="O8" s="380" t="s">
        <v>2636</v>
      </c>
      <c r="P8" s="380" t="s">
        <v>2637</v>
      </c>
      <c r="Q8" s="380" t="s">
        <v>2638</v>
      </c>
      <c r="R8" s="380" t="s">
        <v>2639</v>
      </c>
      <c r="S8" s="383">
        <f>SUMIF($G$2:R$2,R$2,$G8:R8)</f>
        <v>0</v>
      </c>
    </row>
    <row r="9" ht="140" customHeight="1" spans="1:19" x14ac:dyDescent="0.25">
      <c r="A9" s="377" t="s">
        <v>2323</v>
      </c>
      <c r="B9" s="378"/>
      <c r="C9" s="378"/>
      <c r="D9" s="378"/>
      <c r="E9" s="378" t="s">
        <v>2233</v>
      </c>
      <c r="F9" s="379" t="s">
        <v>2234</v>
      </c>
      <c r="G9" s="380" t="s">
        <v>2640</v>
      </c>
      <c r="H9" s="381" t="s">
        <v>2641</v>
      </c>
      <c r="I9" s="381" t="s">
        <v>2642</v>
      </c>
      <c r="J9" s="381" t="s">
        <v>2643</v>
      </c>
      <c r="K9" s="380" t="s">
        <v>2644</v>
      </c>
      <c r="L9" s="380"/>
      <c r="M9" s="380"/>
      <c r="N9" s="380" t="s">
        <v>2645</v>
      </c>
      <c r="O9" s="380" t="s">
        <v>2646</v>
      </c>
      <c r="P9" s="380" t="s">
        <v>2647</v>
      </c>
      <c r="Q9" s="380" t="s">
        <v>2648</v>
      </c>
      <c r="R9" s="380" t="s">
        <v>2649</v>
      </c>
      <c r="S9" s="383">
        <f>SUMIF($G$2:R$2,R$2,$G9:R9)</f>
        <v>0</v>
      </c>
    </row>
    <row r="10" ht="154" customHeight="1" spans="1:19" x14ac:dyDescent="0.25">
      <c r="A10" s="377" t="s">
        <v>2323</v>
      </c>
      <c r="B10" s="378"/>
      <c r="C10" s="378"/>
      <c r="D10" s="378"/>
      <c r="E10" s="378" t="s">
        <v>2235</v>
      </c>
      <c r="F10" s="379" t="s">
        <v>2236</v>
      </c>
      <c r="G10" s="380" t="s">
        <v>2650</v>
      </c>
      <c r="H10" s="381" t="s">
        <v>2651</v>
      </c>
      <c r="I10" s="381" t="s">
        <v>2652</v>
      </c>
      <c r="J10" s="381" t="s">
        <v>2653</v>
      </c>
      <c r="K10" s="380" t="s">
        <v>2654</v>
      </c>
      <c r="L10" s="380"/>
      <c r="M10" s="380"/>
      <c r="N10" s="380" t="s">
        <v>2655</v>
      </c>
      <c r="O10" s="380" t="s">
        <v>2656</v>
      </c>
      <c r="P10" s="380" t="s">
        <v>2657</v>
      </c>
      <c r="Q10" s="380" t="s">
        <v>2658</v>
      </c>
      <c r="R10" s="380" t="s">
        <v>2659</v>
      </c>
      <c r="S10" s="383">
        <f>SUMIF($G$2:R$2,R$2,$G10:R10)</f>
        <v>0</v>
      </c>
    </row>
    <row r="11" ht="182" customHeight="1" spans="1:19" x14ac:dyDescent="0.25">
      <c r="A11" s="377" t="s">
        <v>2323</v>
      </c>
      <c r="B11" s="378"/>
      <c r="C11" s="378"/>
      <c r="D11" s="378"/>
      <c r="E11" s="378" t="s">
        <v>2237</v>
      </c>
      <c r="F11" s="379" t="s">
        <v>2238</v>
      </c>
      <c r="G11" s="380" t="s">
        <v>2660</v>
      </c>
      <c r="H11" s="381" t="s">
        <v>2661</v>
      </c>
      <c r="I11" s="381" t="s">
        <v>2662</v>
      </c>
      <c r="J11" s="381" t="s">
        <v>2663</v>
      </c>
      <c r="K11" s="380" t="s">
        <v>2664</v>
      </c>
      <c r="L11" s="380"/>
      <c r="M11" s="380"/>
      <c r="N11" s="380" t="s">
        <v>2665</v>
      </c>
      <c r="O11" s="380" t="s">
        <v>2666</v>
      </c>
      <c r="P11" s="380" t="s">
        <v>2667</v>
      </c>
      <c r="Q11" s="380" t="s">
        <v>2668</v>
      </c>
      <c r="R11" s="380" t="s">
        <v>2669</v>
      </c>
      <c r="S11" s="383">
        <f>SUMIF($G$2:R$2,R$2,$G11:R11)</f>
        <v>0</v>
      </c>
    </row>
    <row r="12" ht="182" customHeight="1" spans="1:19" x14ac:dyDescent="0.25">
      <c r="A12" s="377" t="s">
        <v>2323</v>
      </c>
      <c r="B12" s="378"/>
      <c r="C12" s="378"/>
      <c r="D12" s="378"/>
      <c r="E12" s="378" t="s">
        <v>2239</v>
      </c>
      <c r="F12" s="379" t="s">
        <v>2240</v>
      </c>
      <c r="G12" s="380" t="s">
        <v>2670</v>
      </c>
      <c r="H12" s="381" t="s">
        <v>2671</v>
      </c>
      <c r="I12" s="381" t="s">
        <v>2672</v>
      </c>
      <c r="J12" s="381" t="s">
        <v>2673</v>
      </c>
      <c r="K12" s="380" t="s">
        <v>2674</v>
      </c>
      <c r="L12" s="380"/>
      <c r="M12" s="380"/>
      <c r="N12" s="380" t="s">
        <v>2675</v>
      </c>
      <c r="O12" s="380" t="s">
        <v>2676</v>
      </c>
      <c r="P12" s="380" t="s">
        <v>2677</v>
      </c>
      <c r="Q12" s="380" t="s">
        <v>2678</v>
      </c>
      <c r="R12" s="380" t="s">
        <v>2679</v>
      </c>
      <c r="S12" s="383">
        <f>SUMIF($G$2:R$2,R$2,$G12:R12)</f>
        <v>0</v>
      </c>
    </row>
    <row r="13" spans="1:19" x14ac:dyDescent="0.25">
      <c r="A13" s="384"/>
      <c r="B13" s="385"/>
      <c r="C13" s="385"/>
      <c r="D13" s="386"/>
      <c r="E13" s="385"/>
      <c r="F13" s="387" t="s">
        <v>2245</v>
      </c>
      <c r="G13" s="383">
        <f>SUMIF($C$5:$C12,$C12,G$5:G12)</f>
        <v>0</v>
      </c>
      <c r="H13" s="383">
        <f>SUMIF($C$5:$C12,$C12,H$5:H12)</f>
        <v>0</v>
      </c>
      <c r="I13" s="383"/>
      <c r="J13" s="383"/>
      <c r="K13" s="383">
        <f>SUMIF($C$5:$C12,$C12,K$5:K12)</f>
        <v>0</v>
      </c>
      <c r="L13" s="383"/>
      <c r="M13" s="383"/>
      <c r="N13" s="383">
        <f>SUMIF($C$5:$C12,$C12,N$5:N12)</f>
        <v>0</v>
      </c>
      <c r="O13" s="383">
        <f>SUMIF($C$5:$C12,$C12,O$5:O12)</f>
        <v>0</v>
      </c>
      <c r="P13" s="383">
        <f>SUMIF($C$5:$C12,$C12,P$5:P12)</f>
        <v>0</v>
      </c>
      <c r="Q13" s="383">
        <f>SUMIF($C$5:$C12,$C12,Q$5:Q12)</f>
        <v>0</v>
      </c>
      <c r="R13" s="383">
        <f>SUMIF($C$5:$C12,$C12,R$5:R12)</f>
        <v>0</v>
      </c>
      <c r="S13" s="383">
        <f>SUMIF($C$5:$C12,$C12,S$5:S12)</f>
        <v>0</v>
      </c>
    </row>
  </sheetData>
  <mergeCells count="2">
    <mergeCell ref="B1:E1"/>
    <mergeCell ref="S2:S4"/>
  </mergeCells>
  <pageMargins left="0.7" right="0.7" top="0.75" bottom="0.75" header="0.3" footer="0.3"/>
  <pageSetup paperSize="9" orientation="portrait" horizontalDpi="0" verticalDpi="0" scale="100" fitToWidth="1" fitToHeight="1" firstPageNumber="1" useFirstPageNumber="1" copies="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84"/>
  <sheetViews>
    <sheetView workbookViewId="0" zoomScale="100" zoomScaleNormal="100">
      <pane ySplit="1" topLeftCell="A2" activePane="bottomLeft" state="frozen"/>
      <selection pane="bottomLeft" activeCell="A2" sqref="A2"/>
    </sheetView>
  </sheetViews>
  <sheetFormatPr defaultRowHeight="15" outlineLevelRow="0" outlineLevelCol="0" x14ac:dyDescent="0.2"/>
  <cols>
    <col min="2" max="2" width="41" customWidth="1"/>
    <col min="4" max="5" width="13.33203125" customWidth="1"/>
    <col min="6" max="6" width="13.33203125" hidden="1" customWidth="1"/>
    <col min="7" max="8" width="13.33203125" customWidth="1"/>
    <col min="9" max="9" width="12" customWidth="1"/>
    <col min="11" max="11" width="15" customWidth="1"/>
    <col min="12" max="12" width="12.83203125" customWidth="1"/>
    <col min="13" max="13" width="18.5" customWidth="1"/>
    <col min="14" max="14" width="12.83203125" customWidth="1"/>
    <col min="15" max="15" width="24.33203125" customWidth="1"/>
    <col min="16" max="16" width="13.83203125" customWidth="1"/>
    <col min="17" max="17" width="12.83203125" customWidth="1"/>
    <col min="18" max="18" width="12.33203125" customWidth="1"/>
    <col min="19" max="19" width="22.5" customWidth="1"/>
    <col min="20" max="20" width="15.5" customWidth="1"/>
    <col min="22" max="22" width="255.6640625" customWidth="1"/>
    <col min="23" max="23" width="19.33203125" customWidth="1"/>
  </cols>
  <sheetData>
    <row r="1" ht="76" customHeight="1" spans="1:23" x14ac:dyDescent="0.25">
      <c r="A1" s="46" t="s">
        <v>28</v>
      </c>
      <c r="B1" s="46" t="s">
        <v>1543</v>
      </c>
      <c r="C1" s="46" t="s">
        <v>33</v>
      </c>
      <c r="D1" s="46" t="s">
        <v>39</v>
      </c>
      <c r="E1" s="46" t="s">
        <v>40</v>
      </c>
      <c r="F1" s="46"/>
      <c r="G1" s="80" t="s">
        <v>1544</v>
      </c>
      <c r="H1" s="80" t="s">
        <v>1545</v>
      </c>
      <c r="I1" s="81" t="s">
        <v>1546</v>
      </c>
      <c r="J1" s="81" t="s">
        <v>1547</v>
      </c>
      <c r="K1" s="81" t="s">
        <v>1548</v>
      </c>
      <c r="L1" s="82" t="s">
        <v>1549</v>
      </c>
      <c r="M1" s="46" t="s">
        <v>1550</v>
      </c>
      <c r="N1" s="82" t="s">
        <v>1551</v>
      </c>
      <c r="O1" s="83" t="s">
        <v>1552</v>
      </c>
      <c r="P1" s="46" t="s">
        <v>1553</v>
      </c>
      <c r="Q1" s="83" t="s">
        <v>1554</v>
      </c>
      <c r="R1" s="83" t="s">
        <v>1555</v>
      </c>
      <c r="S1" s="80" t="s">
        <v>1556</v>
      </c>
      <c r="T1" s="80" t="s">
        <v>1085</v>
      </c>
      <c r="U1" s="46" t="s">
        <v>1557</v>
      </c>
      <c r="V1" s="84" t="s">
        <v>1558</v>
      </c>
    </row>
    <row r="2" ht="15" customHeight="1" spans="1:23" x14ac:dyDescent="0.25">
      <c r="A2" s="85">
        <v>846</v>
      </c>
      <c r="B2" s="85" t="s">
        <v>1559</v>
      </c>
      <c r="C2" s="85" t="s">
        <v>161</v>
      </c>
      <c r="D2" s="85" t="s">
        <v>257</v>
      </c>
      <c r="E2" s="85"/>
      <c r="F2" s="85" t="s">
        <v>155</v>
      </c>
      <c r="G2" s="85"/>
      <c r="H2" s="85"/>
      <c r="I2" s="86"/>
      <c r="J2" s="86"/>
      <c r="K2" s="87"/>
      <c r="L2" s="87"/>
      <c r="M2" s="88"/>
      <c r="N2" s="89"/>
      <c r="O2" s="87"/>
      <c r="P2" s="87"/>
      <c r="Q2" s="87"/>
      <c r="R2" s="87"/>
      <c r="S2" s="87">
        <v>1</v>
      </c>
      <c r="T2" s="87">
        <v>1</v>
      </c>
      <c r="U2" s="87">
        <v>1</v>
      </c>
      <c r="V2" s="90" t="s">
        <v>1560</v>
      </c>
    </row>
    <row r="3" ht="15" customHeight="1" spans="1:23" x14ac:dyDescent="0.25">
      <c r="A3" s="85">
        <v>846</v>
      </c>
      <c r="B3" s="85" t="s">
        <v>1559</v>
      </c>
      <c r="C3" s="85" t="s">
        <v>161</v>
      </c>
      <c r="D3" s="85" t="s">
        <v>257</v>
      </c>
      <c r="E3" s="85"/>
      <c r="F3" s="85" t="s">
        <v>1084</v>
      </c>
      <c r="G3" s="85" t="s">
        <v>283</v>
      </c>
      <c r="H3" s="85" t="s">
        <v>1561</v>
      </c>
      <c r="I3" s="86">
        <v>248</v>
      </c>
      <c r="J3" s="86">
        <v>248</v>
      </c>
      <c r="K3" s="87">
        <v>1</v>
      </c>
      <c r="L3" s="87">
        <v>1</v>
      </c>
      <c r="M3" s="88">
        <v>1</v>
      </c>
      <c r="N3" s="89"/>
      <c r="O3" s="87"/>
      <c r="P3" s="87"/>
      <c r="Q3" s="87"/>
      <c r="R3" s="87"/>
      <c r="S3" s="87">
        <v>1</v>
      </c>
      <c r="T3" s="87"/>
      <c r="U3" s="87">
        <v>1</v>
      </c>
      <c r="V3" s="90" t="s">
        <v>1560</v>
      </c>
    </row>
    <row r="4" ht="15" customHeight="1" spans="1:23" x14ac:dyDescent="0.25">
      <c r="A4" s="85">
        <v>1352</v>
      </c>
      <c r="B4" s="85" t="s">
        <v>1562</v>
      </c>
      <c r="C4" s="85" t="s">
        <v>161</v>
      </c>
      <c r="D4" s="85" t="s">
        <v>257</v>
      </c>
      <c r="E4" s="85"/>
      <c r="F4" s="85" t="s">
        <v>155</v>
      </c>
      <c r="G4" s="85"/>
      <c r="H4" s="85"/>
      <c r="I4" s="86"/>
      <c r="J4" s="86"/>
      <c r="K4" s="87"/>
      <c r="L4" s="87"/>
      <c r="M4" s="88"/>
      <c r="N4" s="89"/>
      <c r="O4" s="87"/>
      <c r="P4" s="87"/>
      <c r="Q4" s="87"/>
      <c r="R4" s="87"/>
      <c r="S4" s="87">
        <v>1</v>
      </c>
      <c r="T4" s="87">
        <v>1</v>
      </c>
      <c r="U4" s="87">
        <v>1</v>
      </c>
      <c r="V4" s="90" t="s">
        <v>1563</v>
      </c>
    </row>
    <row r="5" ht="15" customHeight="1" spans="1:23" x14ac:dyDescent="0.25">
      <c r="A5" s="85">
        <v>1352</v>
      </c>
      <c r="B5" s="85" t="s">
        <v>1562</v>
      </c>
      <c r="C5" s="85" t="s">
        <v>161</v>
      </c>
      <c r="D5" s="85" t="s">
        <v>257</v>
      </c>
      <c r="E5" s="85"/>
      <c r="F5" s="85" t="s">
        <v>1084</v>
      </c>
      <c r="G5" s="85" t="s">
        <v>283</v>
      </c>
      <c r="H5" s="85" t="s">
        <v>1561</v>
      </c>
      <c r="I5" s="86">
        <v>248</v>
      </c>
      <c r="J5" s="86">
        <v>248</v>
      </c>
      <c r="K5" s="87">
        <v>1</v>
      </c>
      <c r="L5" s="87">
        <v>1</v>
      </c>
      <c r="M5" s="88">
        <v>1</v>
      </c>
      <c r="N5" s="89"/>
      <c r="O5" s="87"/>
      <c r="P5" s="87"/>
      <c r="Q5" s="87"/>
      <c r="R5" s="87"/>
      <c r="S5" s="87">
        <v>1</v>
      </c>
      <c r="T5" s="87"/>
      <c r="U5" s="87">
        <v>1</v>
      </c>
      <c r="V5" s="90" t="s">
        <v>1563</v>
      </c>
    </row>
    <row r="6" ht="15" customHeight="1" spans="1:23" x14ac:dyDescent="0.25">
      <c r="A6" s="85">
        <v>1383</v>
      </c>
      <c r="B6" s="85" t="s">
        <v>1564</v>
      </c>
      <c r="C6" s="85" t="s">
        <v>161</v>
      </c>
      <c r="D6" s="85" t="s">
        <v>257</v>
      </c>
      <c r="E6" s="85"/>
      <c r="F6" s="85" t="s">
        <v>155</v>
      </c>
      <c r="G6" s="85"/>
      <c r="H6" s="85"/>
      <c r="I6" s="86"/>
      <c r="J6" s="86"/>
      <c r="K6" s="87"/>
      <c r="L6" s="87"/>
      <c r="M6" s="88"/>
      <c r="N6" s="89"/>
      <c r="O6" s="87"/>
      <c r="P6" s="87"/>
      <c r="Q6" s="87"/>
      <c r="R6" s="87"/>
      <c r="S6" s="87">
        <v>1</v>
      </c>
      <c r="T6" s="87">
        <v>1</v>
      </c>
      <c r="U6" s="87">
        <v>1</v>
      </c>
      <c r="V6" s="90" t="s">
        <v>1565</v>
      </c>
    </row>
    <row r="7" ht="15" customHeight="1" spans="1:23" x14ac:dyDescent="0.25">
      <c r="A7" s="85">
        <v>1383</v>
      </c>
      <c r="B7" s="85" t="s">
        <v>1564</v>
      </c>
      <c r="C7" s="85" t="s">
        <v>161</v>
      </c>
      <c r="D7" s="85" t="s">
        <v>257</v>
      </c>
      <c r="E7" s="85"/>
      <c r="F7" s="85" t="s">
        <v>1084</v>
      </c>
      <c r="G7" s="85" t="s">
        <v>283</v>
      </c>
      <c r="H7" s="85" t="s">
        <v>1561</v>
      </c>
      <c r="I7" s="86">
        <v>248</v>
      </c>
      <c r="J7" s="86">
        <v>248</v>
      </c>
      <c r="K7" s="87">
        <v>1</v>
      </c>
      <c r="L7" s="87">
        <v>1</v>
      </c>
      <c r="M7" s="88">
        <v>1</v>
      </c>
      <c r="N7" s="89"/>
      <c r="O7" s="87"/>
      <c r="P7" s="87"/>
      <c r="Q7" s="87"/>
      <c r="R7" s="87"/>
      <c r="S7" s="87">
        <v>1</v>
      </c>
      <c r="T7" s="87"/>
      <c r="U7" s="87">
        <v>1</v>
      </c>
      <c r="V7" s="90" t="s">
        <v>1566</v>
      </c>
    </row>
    <row r="8" ht="15" customHeight="1" spans="1:23" x14ac:dyDescent="0.25">
      <c r="A8" s="85">
        <v>1550</v>
      </c>
      <c r="B8" s="85" t="s">
        <v>1567</v>
      </c>
      <c r="C8" s="85" t="s">
        <v>161</v>
      </c>
      <c r="D8" s="85" t="s">
        <v>257</v>
      </c>
      <c r="E8" s="85"/>
      <c r="F8" s="85" t="s">
        <v>155</v>
      </c>
      <c r="G8" s="85"/>
      <c r="H8" s="85"/>
      <c r="I8" s="86"/>
      <c r="J8" s="86"/>
      <c r="K8" s="87"/>
      <c r="L8" s="87"/>
      <c r="M8" s="88"/>
      <c r="N8" s="89"/>
      <c r="O8" s="87"/>
      <c r="P8" s="87"/>
      <c r="Q8" s="87"/>
      <c r="R8" s="87"/>
      <c r="S8" s="87">
        <v>1</v>
      </c>
      <c r="T8" s="87">
        <v>1</v>
      </c>
      <c r="U8" s="87">
        <v>1</v>
      </c>
      <c r="V8" s="90" t="s">
        <v>1568</v>
      </c>
    </row>
    <row r="9" ht="15" customHeight="1" spans="1:23" x14ac:dyDescent="0.25">
      <c r="A9" s="85">
        <v>1550</v>
      </c>
      <c r="B9" s="85" t="s">
        <v>1567</v>
      </c>
      <c r="C9" s="85" t="s">
        <v>161</v>
      </c>
      <c r="D9" s="85" t="s">
        <v>257</v>
      </c>
      <c r="E9" s="85"/>
      <c r="F9" s="85" t="s">
        <v>1084</v>
      </c>
      <c r="G9" s="85" t="s">
        <v>283</v>
      </c>
      <c r="H9" s="85" t="s">
        <v>1561</v>
      </c>
      <c r="I9" s="86">
        <v>248</v>
      </c>
      <c r="J9" s="86">
        <v>248</v>
      </c>
      <c r="K9" s="87">
        <v>1</v>
      </c>
      <c r="L9" s="87">
        <v>1</v>
      </c>
      <c r="M9" s="88">
        <v>1</v>
      </c>
      <c r="N9" s="89"/>
      <c r="O9" s="87"/>
      <c r="P9" s="87"/>
      <c r="Q9" s="87"/>
      <c r="R9" s="87"/>
      <c r="S9" s="87">
        <v>1</v>
      </c>
      <c r="T9" s="87"/>
      <c r="U9" s="87">
        <v>1</v>
      </c>
      <c r="V9" s="90" t="s">
        <v>1569</v>
      </c>
    </row>
    <row r="10" ht="15" customHeight="1" spans="1:23" x14ac:dyDescent="0.25">
      <c r="A10" s="85">
        <v>2138</v>
      </c>
      <c r="B10" s="85" t="s">
        <v>1570</v>
      </c>
      <c r="C10" s="85"/>
      <c r="D10" s="85" t="s">
        <v>156</v>
      </c>
      <c r="E10" s="85"/>
      <c r="F10" s="85" t="s">
        <v>155</v>
      </c>
      <c r="G10" s="85"/>
      <c r="H10" s="85"/>
      <c r="I10" s="86"/>
      <c r="J10" s="86"/>
      <c r="K10" s="87"/>
      <c r="L10" s="87"/>
      <c r="M10" s="88"/>
      <c r="N10" s="89"/>
      <c r="O10" s="87"/>
      <c r="P10" s="87"/>
      <c r="Q10" s="87"/>
      <c r="R10" s="87"/>
      <c r="S10" s="87">
        <v>0</v>
      </c>
      <c r="T10" s="87">
        <v>0</v>
      </c>
      <c r="U10" s="87">
        <v>0</v>
      </c>
      <c r="V10" s="90" t="s">
        <v>1084</v>
      </c>
    </row>
    <row r="11" ht="15" customHeight="1" spans="1:23" x14ac:dyDescent="0.25">
      <c r="A11" s="85">
        <v>2138</v>
      </c>
      <c r="B11" s="85" t="s">
        <v>1570</v>
      </c>
      <c r="C11" s="85"/>
      <c r="D11" s="85" t="s">
        <v>156</v>
      </c>
      <c r="E11" s="85"/>
      <c r="F11" s="85" t="s">
        <v>1084</v>
      </c>
      <c r="G11" s="85" t="s">
        <v>283</v>
      </c>
      <c r="H11" s="85" t="s">
        <v>1561</v>
      </c>
      <c r="I11" s="86">
        <v>248</v>
      </c>
      <c r="J11" s="86">
        <v>248</v>
      </c>
      <c r="K11" s="87">
        <v>1</v>
      </c>
      <c r="L11" s="87">
        <v>0</v>
      </c>
      <c r="M11" s="88">
        <v>0</v>
      </c>
      <c r="N11" s="89"/>
      <c r="O11" s="87"/>
      <c r="P11" s="87"/>
      <c r="Q11" s="87"/>
      <c r="R11" s="87"/>
      <c r="S11" s="87">
        <v>0</v>
      </c>
      <c r="T11" s="87"/>
      <c r="U11" s="87">
        <v>0</v>
      </c>
      <c r="V11" s="90" t="s">
        <v>1571</v>
      </c>
    </row>
    <row r="12" ht="15" customHeight="1" spans="1:23" x14ac:dyDescent="0.25">
      <c r="A12" s="85">
        <v>3302</v>
      </c>
      <c r="B12" s="85" t="s">
        <v>1572</v>
      </c>
      <c r="C12" s="85" t="s">
        <v>380</v>
      </c>
      <c r="D12" s="85" t="s">
        <v>960</v>
      </c>
      <c r="E12" s="85"/>
      <c r="F12" s="85" t="s">
        <v>155</v>
      </c>
      <c r="G12" s="85"/>
      <c r="H12" s="85"/>
      <c r="I12" s="86"/>
      <c r="J12" s="86"/>
      <c r="K12" s="87"/>
      <c r="L12" s="87"/>
      <c r="M12" s="88"/>
      <c r="N12" s="89"/>
      <c r="O12" s="87"/>
      <c r="P12" s="87"/>
      <c r="Q12" s="87"/>
      <c r="R12" s="87"/>
      <c r="S12" s="87">
        <v>0.9</v>
      </c>
      <c r="T12" s="87">
        <v>0.9</v>
      </c>
      <c r="U12" s="87"/>
      <c r="V12" s="90" t="s">
        <v>1084</v>
      </c>
    </row>
    <row r="13" ht="15" customHeight="1" spans="1:23" x14ac:dyDescent="0.25">
      <c r="A13" s="85">
        <v>3302</v>
      </c>
      <c r="B13" s="85" t="s">
        <v>1572</v>
      </c>
      <c r="C13" s="85" t="s">
        <v>380</v>
      </c>
      <c r="D13" s="85" t="s">
        <v>960</v>
      </c>
      <c r="E13" s="85"/>
      <c r="F13" s="85" t="s">
        <v>1084</v>
      </c>
      <c r="G13" s="85" t="s">
        <v>283</v>
      </c>
      <c r="H13" s="85" t="s">
        <v>1561</v>
      </c>
      <c r="I13" s="86">
        <v>248</v>
      </c>
      <c r="J13" s="86">
        <v>248</v>
      </c>
      <c r="K13" s="87">
        <v>1</v>
      </c>
      <c r="L13" s="87">
        <v>0.9</v>
      </c>
      <c r="M13" s="88">
        <v>0.9</v>
      </c>
      <c r="N13" s="89"/>
      <c r="O13" s="87"/>
      <c r="P13" s="87"/>
      <c r="Q13" s="87"/>
      <c r="R13" s="87"/>
      <c r="S13" s="87">
        <v>0.9</v>
      </c>
      <c r="T13" s="87"/>
      <c r="U13" s="87">
        <v>0</v>
      </c>
      <c r="V13" s="90" t="s">
        <v>1084</v>
      </c>
    </row>
    <row r="14" ht="15" customHeight="1" spans="1:23" x14ac:dyDescent="0.25">
      <c r="A14" s="85">
        <v>3333</v>
      </c>
      <c r="B14" s="85" t="s">
        <v>1573</v>
      </c>
      <c r="C14" s="85" t="s">
        <v>380</v>
      </c>
      <c r="D14" s="85" t="s">
        <v>821</v>
      </c>
      <c r="E14" s="85"/>
      <c r="F14" s="85" t="s">
        <v>155</v>
      </c>
      <c r="G14" s="85"/>
      <c r="H14" s="85"/>
      <c r="I14" s="86"/>
      <c r="J14" s="86"/>
      <c r="K14" s="87"/>
      <c r="L14" s="87"/>
      <c r="M14" s="88"/>
      <c r="N14" s="89"/>
      <c r="O14" s="87"/>
      <c r="P14" s="87"/>
      <c r="Q14" s="87"/>
      <c r="R14" s="87"/>
      <c r="S14" s="87">
        <v>1</v>
      </c>
      <c r="T14" s="87">
        <v>1</v>
      </c>
      <c r="U14" s="87"/>
      <c r="V14" s="90" t="s">
        <v>1084</v>
      </c>
    </row>
    <row r="15" ht="15" customHeight="1" spans="1:23" x14ac:dyDescent="0.25">
      <c r="A15" s="85">
        <v>3333</v>
      </c>
      <c r="B15" s="85" t="s">
        <v>1573</v>
      </c>
      <c r="C15" s="85" t="s">
        <v>380</v>
      </c>
      <c r="D15" s="85" t="s">
        <v>821</v>
      </c>
      <c r="E15" s="85"/>
      <c r="F15" s="85" t="s">
        <v>1084</v>
      </c>
      <c r="G15" s="85" t="s">
        <v>283</v>
      </c>
      <c r="H15" s="85" t="s">
        <v>1561</v>
      </c>
      <c r="I15" s="86">
        <v>248</v>
      </c>
      <c r="J15" s="86">
        <v>248</v>
      </c>
      <c r="K15" s="87">
        <v>1</v>
      </c>
      <c r="L15" s="87">
        <v>1</v>
      </c>
      <c r="M15" s="88">
        <v>1</v>
      </c>
      <c r="N15" s="89"/>
      <c r="O15" s="87"/>
      <c r="P15" s="87"/>
      <c r="Q15" s="87"/>
      <c r="R15" s="87"/>
      <c r="S15" s="87">
        <v>1</v>
      </c>
      <c r="T15" s="87"/>
      <c r="U15" s="87">
        <v>0</v>
      </c>
      <c r="V15" s="90" t="s">
        <v>1084</v>
      </c>
    </row>
    <row r="16" ht="15" customHeight="1" spans="1:23" x14ac:dyDescent="0.25">
      <c r="A16" s="85">
        <v>3682</v>
      </c>
      <c r="B16" s="85" t="s">
        <v>1574</v>
      </c>
      <c r="C16" s="85" t="s">
        <v>380</v>
      </c>
      <c r="D16" s="85" t="s">
        <v>921</v>
      </c>
      <c r="E16" s="85"/>
      <c r="F16" s="85" t="s">
        <v>155</v>
      </c>
      <c r="G16" s="85"/>
      <c r="H16" s="85"/>
      <c r="I16" s="86"/>
      <c r="J16" s="86"/>
      <c r="K16" s="87"/>
      <c r="L16" s="87"/>
      <c r="M16" s="88"/>
      <c r="N16" s="89"/>
      <c r="O16" s="87"/>
      <c r="P16" s="87"/>
      <c r="Q16" s="87"/>
      <c r="R16" s="87"/>
      <c r="S16" s="87">
        <v>0.8</v>
      </c>
      <c r="T16" s="87">
        <v>0.8</v>
      </c>
      <c r="U16" s="87">
        <v>0.8</v>
      </c>
      <c r="V16" s="90" t="s">
        <v>1575</v>
      </c>
    </row>
    <row r="17" ht="15" customHeight="1" spans="1:23" x14ac:dyDescent="0.25">
      <c r="A17" s="85">
        <v>3682</v>
      </c>
      <c r="B17" s="85" t="s">
        <v>1574</v>
      </c>
      <c r="C17" s="85" t="s">
        <v>380</v>
      </c>
      <c r="D17" s="85" t="s">
        <v>921</v>
      </c>
      <c r="E17" s="85"/>
      <c r="F17" s="85" t="s">
        <v>1084</v>
      </c>
      <c r="G17" s="85" t="s">
        <v>934</v>
      </c>
      <c r="H17" s="85" t="s">
        <v>1561</v>
      </c>
      <c r="I17" s="86">
        <v>248</v>
      </c>
      <c r="J17" s="86">
        <v>184</v>
      </c>
      <c r="K17" s="87">
        <v>0.7419354838709677</v>
      </c>
      <c r="L17" s="87">
        <v>0.8</v>
      </c>
      <c r="M17" s="88">
        <v>0.5935483870967743</v>
      </c>
      <c r="N17" s="89"/>
      <c r="O17" s="87"/>
      <c r="P17" s="87"/>
      <c r="Q17" s="87"/>
      <c r="R17" s="87"/>
      <c r="S17" s="87">
        <v>0.5935483870967743</v>
      </c>
      <c r="T17" s="87"/>
      <c r="U17" s="87">
        <v>0.5935483870967743</v>
      </c>
      <c r="V17" s="90" t="s">
        <v>1576</v>
      </c>
    </row>
    <row r="18" ht="15" customHeight="1" spans="1:23" x14ac:dyDescent="0.25">
      <c r="A18" s="85">
        <v>3682</v>
      </c>
      <c r="B18" s="85" t="s">
        <v>1574</v>
      </c>
      <c r="C18" s="85" t="s">
        <v>380</v>
      </c>
      <c r="D18" s="85" t="s">
        <v>921</v>
      </c>
      <c r="E18" s="85"/>
      <c r="F18" s="85" t="s">
        <v>1084</v>
      </c>
      <c r="G18" s="85" t="s">
        <v>283</v>
      </c>
      <c r="H18" s="85" t="s">
        <v>1047</v>
      </c>
      <c r="I18" s="86">
        <v>248</v>
      </c>
      <c r="J18" s="86">
        <v>64</v>
      </c>
      <c r="K18" s="87">
        <v>0.25806451612903225</v>
      </c>
      <c r="L18" s="87">
        <v>0.8</v>
      </c>
      <c r="M18" s="88">
        <v>0.2064516129032258</v>
      </c>
      <c r="N18" s="89"/>
      <c r="O18" s="87"/>
      <c r="P18" s="87"/>
      <c r="Q18" s="87"/>
      <c r="R18" s="87"/>
      <c r="S18" s="87">
        <v>0.2064516129032258</v>
      </c>
      <c r="T18" s="87"/>
      <c r="U18" s="87">
        <v>0.20645161290322583</v>
      </c>
      <c r="V18" s="90" t="s">
        <v>1577</v>
      </c>
    </row>
    <row r="19" ht="15" customHeight="1" spans="1:23" x14ac:dyDescent="0.25">
      <c r="A19" s="85">
        <v>3699</v>
      </c>
      <c r="B19" s="85" t="s">
        <v>1578</v>
      </c>
      <c r="C19" s="85" t="s">
        <v>380</v>
      </c>
      <c r="D19" s="85" t="s">
        <v>176</v>
      </c>
      <c r="E19" s="85"/>
      <c r="F19" s="85" t="s">
        <v>155</v>
      </c>
      <c r="G19" s="85"/>
      <c r="H19" s="85"/>
      <c r="I19" s="86"/>
      <c r="J19" s="86"/>
      <c r="K19" s="87"/>
      <c r="L19" s="87"/>
      <c r="M19" s="88"/>
      <c r="N19" s="89"/>
      <c r="O19" s="87"/>
      <c r="P19" s="87"/>
      <c r="Q19" s="87"/>
      <c r="R19" s="87"/>
      <c r="S19" s="87">
        <v>1</v>
      </c>
      <c r="T19" s="87">
        <v>1</v>
      </c>
      <c r="U19" s="87">
        <v>1</v>
      </c>
      <c r="V19" s="90" t="s">
        <v>1579</v>
      </c>
    </row>
    <row r="20" ht="15" customHeight="1" spans="1:23" x14ac:dyDescent="0.25">
      <c r="A20" s="85">
        <v>3699</v>
      </c>
      <c r="B20" s="85" t="s">
        <v>1578</v>
      </c>
      <c r="C20" s="85" t="s">
        <v>380</v>
      </c>
      <c r="D20" s="85" t="s">
        <v>176</v>
      </c>
      <c r="E20" s="85"/>
      <c r="F20" s="85" t="s">
        <v>1084</v>
      </c>
      <c r="G20" s="85" t="s">
        <v>283</v>
      </c>
      <c r="H20" s="85" t="s">
        <v>1561</v>
      </c>
      <c r="I20" s="86">
        <v>248</v>
      </c>
      <c r="J20" s="86">
        <v>248</v>
      </c>
      <c r="K20" s="87">
        <v>1</v>
      </c>
      <c r="L20" s="87">
        <v>1</v>
      </c>
      <c r="M20" s="88">
        <v>1</v>
      </c>
      <c r="N20" s="89"/>
      <c r="O20" s="87"/>
      <c r="P20" s="87"/>
      <c r="Q20" s="87"/>
      <c r="R20" s="87"/>
      <c r="S20" s="87">
        <v>1</v>
      </c>
      <c r="T20" s="87"/>
      <c r="U20" s="87">
        <v>1</v>
      </c>
      <c r="V20" s="90" t="s">
        <v>1579</v>
      </c>
    </row>
    <row r="21" ht="15" customHeight="1" spans="1:23" x14ac:dyDescent="0.25">
      <c r="A21" s="85">
        <v>4282</v>
      </c>
      <c r="B21" s="85" t="s">
        <v>1580</v>
      </c>
      <c r="C21" s="85" t="s">
        <v>380</v>
      </c>
      <c r="D21" s="85" t="s">
        <v>542</v>
      </c>
      <c r="E21" s="85"/>
      <c r="F21" s="85" t="s">
        <v>155</v>
      </c>
      <c r="G21" s="85"/>
      <c r="H21" s="85"/>
      <c r="I21" s="86"/>
      <c r="J21" s="86"/>
      <c r="K21" s="87"/>
      <c r="L21" s="87"/>
      <c r="M21" s="88"/>
      <c r="N21" s="89"/>
      <c r="O21" s="87"/>
      <c r="P21" s="87"/>
      <c r="Q21" s="87"/>
      <c r="R21" s="87"/>
      <c r="S21" s="87">
        <v>1</v>
      </c>
      <c r="T21" s="87">
        <v>1</v>
      </c>
      <c r="U21" s="87">
        <v>1</v>
      </c>
      <c r="V21" s="90" t="s">
        <v>1581</v>
      </c>
    </row>
    <row r="22" ht="15" customHeight="1" spans="1:23" x14ac:dyDescent="0.25">
      <c r="A22" s="85">
        <v>4282</v>
      </c>
      <c r="B22" s="85" t="s">
        <v>1580</v>
      </c>
      <c r="C22" s="85" t="s">
        <v>380</v>
      </c>
      <c r="D22" s="85" t="s">
        <v>542</v>
      </c>
      <c r="E22" s="85"/>
      <c r="F22" s="85" t="s">
        <v>1084</v>
      </c>
      <c r="G22" s="85" t="s">
        <v>283</v>
      </c>
      <c r="H22" s="85" t="s">
        <v>1561</v>
      </c>
      <c r="I22" s="86">
        <v>248</v>
      </c>
      <c r="J22" s="86">
        <v>248</v>
      </c>
      <c r="K22" s="87">
        <v>1</v>
      </c>
      <c r="L22" s="87">
        <v>1</v>
      </c>
      <c r="M22" s="88">
        <v>1</v>
      </c>
      <c r="N22" s="89"/>
      <c r="O22" s="87"/>
      <c r="P22" s="87"/>
      <c r="Q22" s="87"/>
      <c r="R22" s="87"/>
      <c r="S22" s="87">
        <v>1</v>
      </c>
      <c r="T22" s="87"/>
      <c r="U22" s="87">
        <v>1</v>
      </c>
      <c r="V22" s="90" t="s">
        <v>1581</v>
      </c>
    </row>
    <row r="23" ht="15" customHeight="1" spans="1:23" x14ac:dyDescent="0.25">
      <c r="A23" s="85">
        <v>5032</v>
      </c>
      <c r="B23" s="85" t="s">
        <v>1582</v>
      </c>
      <c r="C23" s="85" t="s">
        <v>380</v>
      </c>
      <c r="D23" s="85" t="s">
        <v>495</v>
      </c>
      <c r="E23" s="85"/>
      <c r="F23" s="85" t="s">
        <v>155</v>
      </c>
      <c r="G23" s="85"/>
      <c r="H23" s="85"/>
      <c r="I23" s="86"/>
      <c r="J23" s="86"/>
      <c r="K23" s="87"/>
      <c r="L23" s="87"/>
      <c r="M23" s="88"/>
      <c r="N23" s="89"/>
      <c r="O23" s="87"/>
      <c r="P23" s="87"/>
      <c r="Q23" s="87"/>
      <c r="R23" s="87"/>
      <c r="S23" s="87">
        <v>1</v>
      </c>
      <c r="T23" s="87">
        <v>1</v>
      </c>
      <c r="U23" s="87">
        <v>1</v>
      </c>
      <c r="V23" s="90" t="s">
        <v>1583</v>
      </c>
    </row>
    <row r="24" ht="15" customHeight="1" spans="1:23" x14ac:dyDescent="0.25">
      <c r="A24" s="85">
        <v>5032</v>
      </c>
      <c r="B24" s="85" t="s">
        <v>1582</v>
      </c>
      <c r="C24" s="85" t="s">
        <v>380</v>
      </c>
      <c r="D24" s="85" t="s">
        <v>495</v>
      </c>
      <c r="E24" s="85"/>
      <c r="F24" s="85" t="s">
        <v>1084</v>
      </c>
      <c r="G24" s="85" t="s">
        <v>283</v>
      </c>
      <c r="H24" s="85" t="s">
        <v>1561</v>
      </c>
      <c r="I24" s="86">
        <v>248</v>
      </c>
      <c r="J24" s="86">
        <v>248</v>
      </c>
      <c r="K24" s="87">
        <v>1</v>
      </c>
      <c r="L24" s="87">
        <v>1</v>
      </c>
      <c r="M24" s="88">
        <v>1</v>
      </c>
      <c r="N24" s="89"/>
      <c r="O24" s="87"/>
      <c r="P24" s="87"/>
      <c r="Q24" s="87"/>
      <c r="R24" s="87"/>
      <c r="S24" s="87">
        <v>1</v>
      </c>
      <c r="T24" s="87"/>
      <c r="U24" s="87">
        <v>1</v>
      </c>
      <c r="V24" s="90" t="s">
        <v>1584</v>
      </c>
    </row>
    <row r="25" ht="15" customHeight="1" spans="1:23" x14ac:dyDescent="0.25">
      <c r="A25" s="85">
        <v>5366</v>
      </c>
      <c r="B25" s="85" t="s">
        <v>1585</v>
      </c>
      <c r="C25" s="85" t="s">
        <v>380</v>
      </c>
      <c r="D25" s="85" t="s">
        <v>400</v>
      </c>
      <c r="E25" s="85"/>
      <c r="F25" s="85" t="s">
        <v>155</v>
      </c>
      <c r="G25" s="85"/>
      <c r="H25" s="85"/>
      <c r="I25" s="86"/>
      <c r="J25" s="86"/>
      <c r="K25" s="87"/>
      <c r="L25" s="87"/>
      <c r="M25" s="88"/>
      <c r="N25" s="89"/>
      <c r="O25" s="87"/>
      <c r="P25" s="87"/>
      <c r="Q25" s="87"/>
      <c r="R25" s="87"/>
      <c r="S25" s="87">
        <v>1</v>
      </c>
      <c r="T25" s="87">
        <v>1</v>
      </c>
      <c r="U25" s="87">
        <v>1</v>
      </c>
      <c r="V25" s="90" t="s">
        <v>1586</v>
      </c>
    </row>
    <row r="26" ht="15" customHeight="1" spans="1:23" x14ac:dyDescent="0.25">
      <c r="A26" s="85">
        <v>5366</v>
      </c>
      <c r="B26" s="85" t="s">
        <v>1585</v>
      </c>
      <c r="C26" s="85" t="s">
        <v>380</v>
      </c>
      <c r="D26" s="85" t="s">
        <v>400</v>
      </c>
      <c r="E26" s="85"/>
      <c r="F26" s="85" t="s">
        <v>1084</v>
      </c>
      <c r="G26" s="85" t="s">
        <v>283</v>
      </c>
      <c r="H26" s="85" t="s">
        <v>1561</v>
      </c>
      <c r="I26" s="86">
        <v>248</v>
      </c>
      <c r="J26" s="86">
        <v>248</v>
      </c>
      <c r="K26" s="87">
        <v>1</v>
      </c>
      <c r="L26" s="87">
        <v>1</v>
      </c>
      <c r="M26" s="88">
        <v>1</v>
      </c>
      <c r="N26" s="89"/>
      <c r="O26" s="87"/>
      <c r="P26" s="87"/>
      <c r="Q26" s="87"/>
      <c r="R26" s="87"/>
      <c r="S26" s="87">
        <v>1</v>
      </c>
      <c r="T26" s="87"/>
      <c r="U26" s="87">
        <v>1</v>
      </c>
      <c r="V26" s="90" t="s">
        <v>1587</v>
      </c>
    </row>
    <row r="27" ht="15" customHeight="1" spans="1:23" x14ac:dyDescent="0.25">
      <c r="A27" s="85">
        <v>5830</v>
      </c>
      <c r="B27" s="85" t="s">
        <v>1588</v>
      </c>
      <c r="C27" s="85" t="s">
        <v>380</v>
      </c>
      <c r="D27" s="85" t="s">
        <v>753</v>
      </c>
      <c r="E27" s="85"/>
      <c r="F27" s="85" t="s">
        <v>155</v>
      </c>
      <c r="G27" s="85"/>
      <c r="H27" s="85"/>
      <c r="I27" s="86"/>
      <c r="J27" s="86"/>
      <c r="K27" s="87"/>
      <c r="L27" s="87"/>
      <c r="M27" s="88"/>
      <c r="N27" s="89"/>
      <c r="O27" s="87"/>
      <c r="P27" s="87"/>
      <c r="Q27" s="87">
        <v>1</v>
      </c>
      <c r="R27" s="87"/>
      <c r="S27" s="87">
        <v>1</v>
      </c>
      <c r="T27" s="87">
        <v>1</v>
      </c>
      <c r="U27" s="87">
        <v>1</v>
      </c>
      <c r="V27" s="90" t="s">
        <v>1589</v>
      </c>
    </row>
    <row r="28" ht="15" customHeight="1" spans="1:23" x14ac:dyDescent="0.25">
      <c r="A28" s="85">
        <v>5830</v>
      </c>
      <c r="B28" s="85" t="s">
        <v>1588</v>
      </c>
      <c r="C28" s="85" t="s">
        <v>380</v>
      </c>
      <c r="D28" s="85" t="s">
        <v>753</v>
      </c>
      <c r="E28" s="85"/>
      <c r="F28" s="85" t="s">
        <v>1084</v>
      </c>
      <c r="G28" s="85" t="s">
        <v>283</v>
      </c>
      <c r="H28" s="85" t="s">
        <v>1561</v>
      </c>
      <c r="I28" s="86">
        <v>248</v>
      </c>
      <c r="J28" s="86">
        <v>248</v>
      </c>
      <c r="K28" s="87">
        <v>1</v>
      </c>
      <c r="L28" s="87">
        <v>1</v>
      </c>
      <c r="M28" s="88">
        <v>1</v>
      </c>
      <c r="N28" s="89">
        <v>1</v>
      </c>
      <c r="O28" s="87">
        <v>1</v>
      </c>
      <c r="P28" s="87"/>
      <c r="Q28" s="87">
        <v>1</v>
      </c>
      <c r="R28" s="87"/>
      <c r="S28" s="87">
        <v>1</v>
      </c>
      <c r="T28" s="87"/>
      <c r="U28" s="87">
        <v>1</v>
      </c>
      <c r="V28" s="90" t="s">
        <v>1590</v>
      </c>
    </row>
    <row r="29" ht="15" customHeight="1" spans="1:23" x14ac:dyDescent="0.25">
      <c r="A29" s="85">
        <v>5839</v>
      </c>
      <c r="B29" s="85" t="s">
        <v>1591</v>
      </c>
      <c r="C29" s="85" t="s">
        <v>380</v>
      </c>
      <c r="D29" s="85" t="s">
        <v>709</v>
      </c>
      <c r="E29" s="85"/>
      <c r="F29" s="85" t="s">
        <v>155</v>
      </c>
      <c r="G29" s="85"/>
      <c r="H29" s="85"/>
      <c r="I29" s="86"/>
      <c r="J29" s="86"/>
      <c r="K29" s="87"/>
      <c r="L29" s="87"/>
      <c r="M29" s="88"/>
      <c r="N29" s="89"/>
      <c r="O29" s="87"/>
      <c r="P29" s="87"/>
      <c r="Q29" s="87"/>
      <c r="R29" s="87"/>
      <c r="S29" s="87">
        <v>1</v>
      </c>
      <c r="T29" s="87">
        <v>1</v>
      </c>
      <c r="U29" s="87">
        <v>1</v>
      </c>
      <c r="V29" s="90" t="s">
        <v>1592</v>
      </c>
    </row>
    <row r="30" ht="15" customHeight="1" spans="1:23" x14ac:dyDescent="0.25">
      <c r="A30" s="85">
        <v>5839</v>
      </c>
      <c r="B30" s="85" t="s">
        <v>1591</v>
      </c>
      <c r="C30" s="85" t="s">
        <v>380</v>
      </c>
      <c r="D30" s="85" t="s">
        <v>709</v>
      </c>
      <c r="E30" s="85"/>
      <c r="F30" s="85" t="s">
        <v>1084</v>
      </c>
      <c r="G30" s="85" t="s">
        <v>283</v>
      </c>
      <c r="H30" s="85" t="s">
        <v>1561</v>
      </c>
      <c r="I30" s="86">
        <v>248</v>
      </c>
      <c r="J30" s="86">
        <v>248</v>
      </c>
      <c r="K30" s="87">
        <v>1</v>
      </c>
      <c r="L30" s="87">
        <v>1</v>
      </c>
      <c r="M30" s="88">
        <v>1</v>
      </c>
      <c r="N30" s="89"/>
      <c r="O30" s="87"/>
      <c r="P30" s="87"/>
      <c r="Q30" s="87"/>
      <c r="R30" s="87"/>
      <c r="S30" s="87">
        <v>1</v>
      </c>
      <c r="T30" s="87"/>
      <c r="U30" s="87">
        <v>1</v>
      </c>
      <c r="V30" s="90" t="s">
        <v>1592</v>
      </c>
    </row>
    <row r="31" ht="15" customHeight="1" spans="1:23" x14ac:dyDescent="0.25">
      <c r="A31" s="85">
        <v>5973</v>
      </c>
      <c r="B31" s="85" t="s">
        <v>1593</v>
      </c>
      <c r="C31" s="85" t="s">
        <v>380</v>
      </c>
      <c r="D31" s="85" t="s">
        <v>642</v>
      </c>
      <c r="E31" s="85"/>
      <c r="F31" s="85" t="s">
        <v>155</v>
      </c>
      <c r="G31" s="85"/>
      <c r="H31" s="85"/>
      <c r="I31" s="86"/>
      <c r="J31" s="86"/>
      <c r="K31" s="87"/>
      <c r="L31" s="87"/>
      <c r="M31" s="88"/>
      <c r="N31" s="89"/>
      <c r="O31" s="87"/>
      <c r="P31" s="87"/>
      <c r="Q31" s="87"/>
      <c r="R31" s="87"/>
      <c r="S31" s="87">
        <v>1</v>
      </c>
      <c r="T31" s="87">
        <v>1</v>
      </c>
      <c r="U31" s="87"/>
      <c r="V31" s="90" t="s">
        <v>1084</v>
      </c>
    </row>
    <row r="32" ht="15" customHeight="1" spans="1:23" x14ac:dyDescent="0.25">
      <c r="A32" s="85">
        <v>5973</v>
      </c>
      <c r="B32" s="85" t="s">
        <v>1593</v>
      </c>
      <c r="C32" s="85" t="s">
        <v>380</v>
      </c>
      <c r="D32" s="85" t="s">
        <v>642</v>
      </c>
      <c r="E32" s="85"/>
      <c r="F32" s="85" t="s">
        <v>1084</v>
      </c>
      <c r="G32" s="85" t="s">
        <v>283</v>
      </c>
      <c r="H32" s="85" t="s">
        <v>1561</v>
      </c>
      <c r="I32" s="86">
        <v>248</v>
      </c>
      <c r="J32" s="86">
        <v>248</v>
      </c>
      <c r="K32" s="87">
        <v>1</v>
      </c>
      <c r="L32" s="87">
        <v>1</v>
      </c>
      <c r="M32" s="88">
        <v>1</v>
      </c>
      <c r="N32" s="89"/>
      <c r="O32" s="87"/>
      <c r="P32" s="87"/>
      <c r="Q32" s="87"/>
      <c r="R32" s="87"/>
      <c r="S32" s="87">
        <v>1</v>
      </c>
      <c r="T32" s="87"/>
      <c r="U32" s="87">
        <v>0</v>
      </c>
      <c r="V32" s="90" t="s">
        <v>1084</v>
      </c>
    </row>
    <row r="33" ht="15" customHeight="1" spans="1:23" x14ac:dyDescent="0.25">
      <c r="A33" s="85">
        <v>6375</v>
      </c>
      <c r="B33" s="85" t="s">
        <v>1594</v>
      </c>
      <c r="C33" s="85" t="s">
        <v>161</v>
      </c>
      <c r="D33" s="85" t="s">
        <v>163</v>
      </c>
      <c r="E33" s="85"/>
      <c r="F33" s="85" t="s">
        <v>155</v>
      </c>
      <c r="G33" s="85"/>
      <c r="H33" s="85"/>
      <c r="I33" s="86"/>
      <c r="J33" s="86"/>
      <c r="K33" s="87"/>
      <c r="L33" s="87"/>
      <c r="M33" s="88"/>
      <c r="N33" s="89"/>
      <c r="O33" s="87"/>
      <c r="P33" s="87"/>
      <c r="Q33" s="87"/>
      <c r="R33" s="87"/>
      <c r="S33" s="87">
        <v>1</v>
      </c>
      <c r="T33" s="87">
        <v>1</v>
      </c>
      <c r="U33" s="87"/>
      <c r="V33" s="90" t="s">
        <v>1084</v>
      </c>
    </row>
    <row r="34" ht="15" customHeight="1" spans="1:23" x14ac:dyDescent="0.25">
      <c r="A34" s="85">
        <v>6375</v>
      </c>
      <c r="B34" s="85" t="s">
        <v>1594</v>
      </c>
      <c r="C34" s="85" t="s">
        <v>161</v>
      </c>
      <c r="D34" s="85" t="s">
        <v>163</v>
      </c>
      <c r="E34" s="85"/>
      <c r="F34" s="85" t="s">
        <v>1084</v>
      </c>
      <c r="G34" s="85" t="s">
        <v>283</v>
      </c>
      <c r="H34" s="85" t="s">
        <v>1561</v>
      </c>
      <c r="I34" s="86">
        <v>248</v>
      </c>
      <c r="J34" s="86">
        <v>248</v>
      </c>
      <c r="K34" s="87">
        <v>1</v>
      </c>
      <c r="L34" s="87">
        <v>1</v>
      </c>
      <c r="M34" s="88">
        <v>1</v>
      </c>
      <c r="N34" s="89"/>
      <c r="O34" s="87"/>
      <c r="P34" s="87"/>
      <c r="Q34" s="87"/>
      <c r="R34" s="87"/>
      <c r="S34" s="87">
        <v>1</v>
      </c>
      <c r="T34" s="87"/>
      <c r="U34" s="87">
        <v>0</v>
      </c>
      <c r="V34" s="90" t="s">
        <v>1084</v>
      </c>
    </row>
    <row r="35" ht="15" customHeight="1" spans="1:23" x14ac:dyDescent="0.25">
      <c r="A35" s="85">
        <v>6858</v>
      </c>
      <c r="B35" s="85" t="s">
        <v>1595</v>
      </c>
      <c r="C35" s="85" t="s">
        <v>380</v>
      </c>
      <c r="D35" s="85" t="s">
        <v>591</v>
      </c>
      <c r="E35" s="85"/>
      <c r="F35" s="85" t="s">
        <v>155</v>
      </c>
      <c r="G35" s="85"/>
      <c r="H35" s="85"/>
      <c r="I35" s="86"/>
      <c r="J35" s="86"/>
      <c r="K35" s="87"/>
      <c r="L35" s="87"/>
      <c r="M35" s="88"/>
      <c r="N35" s="89"/>
      <c r="O35" s="87"/>
      <c r="P35" s="87"/>
      <c r="Q35" s="87"/>
      <c r="R35" s="87"/>
      <c r="S35" s="87">
        <v>1</v>
      </c>
      <c r="T35" s="87">
        <v>1</v>
      </c>
      <c r="U35" s="87">
        <v>1</v>
      </c>
      <c r="V35" s="90" t="s">
        <v>1596</v>
      </c>
    </row>
    <row r="36" ht="15" customHeight="1" spans="1:23" x14ac:dyDescent="0.25">
      <c r="A36" s="85">
        <v>6858</v>
      </c>
      <c r="B36" s="85" t="s">
        <v>1595</v>
      </c>
      <c r="C36" s="85" t="s">
        <v>380</v>
      </c>
      <c r="D36" s="85" t="s">
        <v>591</v>
      </c>
      <c r="E36" s="85"/>
      <c r="F36" s="85" t="s">
        <v>1084</v>
      </c>
      <c r="G36" s="85" t="s">
        <v>283</v>
      </c>
      <c r="H36" s="85" t="s">
        <v>1561</v>
      </c>
      <c r="I36" s="86">
        <v>248</v>
      </c>
      <c r="J36" s="86">
        <v>248</v>
      </c>
      <c r="K36" s="87">
        <v>1</v>
      </c>
      <c r="L36" s="87">
        <v>1</v>
      </c>
      <c r="M36" s="88">
        <v>1</v>
      </c>
      <c r="N36" s="89"/>
      <c r="O36" s="87"/>
      <c r="P36" s="87"/>
      <c r="Q36" s="87"/>
      <c r="R36" s="87"/>
      <c r="S36" s="87">
        <v>1</v>
      </c>
      <c r="T36" s="87"/>
      <c r="U36" s="87">
        <v>1</v>
      </c>
      <c r="V36" s="90" t="s">
        <v>1596</v>
      </c>
    </row>
    <row r="37" ht="15" customHeight="1" spans="1:23" x14ac:dyDescent="0.25">
      <c r="A37" s="85">
        <v>6926</v>
      </c>
      <c r="B37" s="85" t="s">
        <v>1597</v>
      </c>
      <c r="C37" s="85" t="s">
        <v>380</v>
      </c>
      <c r="D37" s="85" t="s">
        <v>440</v>
      </c>
      <c r="E37" s="85"/>
      <c r="F37" s="85" t="s">
        <v>155</v>
      </c>
      <c r="G37" s="85"/>
      <c r="H37" s="85"/>
      <c r="I37" s="86"/>
      <c r="J37" s="86"/>
      <c r="K37" s="87"/>
      <c r="L37" s="87"/>
      <c r="M37" s="88"/>
      <c r="N37" s="89"/>
      <c r="O37" s="87"/>
      <c r="P37" s="87"/>
      <c r="Q37" s="87"/>
      <c r="R37" s="87"/>
      <c r="S37" s="87">
        <v>1</v>
      </c>
      <c r="T37" s="87">
        <v>1</v>
      </c>
      <c r="U37" s="87"/>
      <c r="V37" s="90" t="s">
        <v>1084</v>
      </c>
    </row>
    <row r="38" ht="15" customHeight="1" spans="1:23" x14ac:dyDescent="0.25">
      <c r="A38" s="85">
        <v>6926</v>
      </c>
      <c r="B38" s="85" t="s">
        <v>1597</v>
      </c>
      <c r="C38" s="85" t="s">
        <v>380</v>
      </c>
      <c r="D38" s="85" t="s">
        <v>440</v>
      </c>
      <c r="E38" s="85"/>
      <c r="F38" s="85" t="s">
        <v>1084</v>
      </c>
      <c r="G38" s="85" t="s">
        <v>283</v>
      </c>
      <c r="H38" s="85" t="s">
        <v>1561</v>
      </c>
      <c r="I38" s="86">
        <v>248</v>
      </c>
      <c r="J38" s="86">
        <v>248</v>
      </c>
      <c r="K38" s="87">
        <v>1</v>
      </c>
      <c r="L38" s="87">
        <v>1</v>
      </c>
      <c r="M38" s="88">
        <v>1</v>
      </c>
      <c r="N38" s="89"/>
      <c r="O38" s="87"/>
      <c r="P38" s="87"/>
      <c r="Q38" s="87"/>
      <c r="R38" s="87"/>
      <c r="S38" s="87">
        <v>1</v>
      </c>
      <c r="T38" s="87"/>
      <c r="U38" s="87">
        <v>0</v>
      </c>
      <c r="V38" s="90" t="s">
        <v>1084</v>
      </c>
    </row>
    <row r="39" ht="15" customHeight="1" spans="1:23" x14ac:dyDescent="0.25">
      <c r="A39" s="85">
        <v>6961</v>
      </c>
      <c r="B39" s="85" t="s">
        <v>1598</v>
      </c>
      <c r="C39" s="85" t="s">
        <v>965</v>
      </c>
      <c r="D39" s="85" t="s">
        <v>176</v>
      </c>
      <c r="E39" s="85"/>
      <c r="F39" s="85" t="s">
        <v>155</v>
      </c>
      <c r="G39" s="85"/>
      <c r="H39" s="85"/>
      <c r="I39" s="86"/>
      <c r="J39" s="86"/>
      <c r="K39" s="87"/>
      <c r="L39" s="87"/>
      <c r="M39" s="88"/>
      <c r="N39" s="89"/>
      <c r="O39" s="87"/>
      <c r="P39" s="87"/>
      <c r="Q39" s="87"/>
      <c r="R39" s="87"/>
      <c r="S39" s="87">
        <v>1</v>
      </c>
      <c r="T39" s="87">
        <v>1</v>
      </c>
      <c r="U39" s="87"/>
      <c r="V39" s="90" t="s">
        <v>1084</v>
      </c>
    </row>
    <row r="40" ht="15" customHeight="1" spans="1:23" x14ac:dyDescent="0.25">
      <c r="A40" s="85">
        <v>6961</v>
      </c>
      <c r="B40" s="85" t="s">
        <v>1598</v>
      </c>
      <c r="C40" s="85" t="s">
        <v>965</v>
      </c>
      <c r="D40" s="85" t="s">
        <v>176</v>
      </c>
      <c r="E40" s="85"/>
      <c r="F40" s="85" t="s">
        <v>1084</v>
      </c>
      <c r="G40" s="85" t="s">
        <v>283</v>
      </c>
      <c r="H40" s="85" t="s">
        <v>1561</v>
      </c>
      <c r="I40" s="86">
        <v>248</v>
      </c>
      <c r="J40" s="86">
        <v>248</v>
      </c>
      <c r="K40" s="87">
        <v>1</v>
      </c>
      <c r="L40" s="87">
        <v>1</v>
      </c>
      <c r="M40" s="88">
        <v>1</v>
      </c>
      <c r="N40" s="89"/>
      <c r="O40" s="87"/>
      <c r="P40" s="87"/>
      <c r="Q40" s="87"/>
      <c r="R40" s="87"/>
      <c r="S40" s="87">
        <v>1</v>
      </c>
      <c r="T40" s="87"/>
      <c r="U40" s="87">
        <v>0</v>
      </c>
      <c r="V40" s="90" t="s">
        <v>1084</v>
      </c>
    </row>
    <row r="41" ht="15" customHeight="1" spans="1:23" x14ac:dyDescent="0.25">
      <c r="A41" s="85">
        <v>6994</v>
      </c>
      <c r="B41" s="85" t="s">
        <v>1599</v>
      </c>
      <c r="C41" s="85" t="s">
        <v>380</v>
      </c>
      <c r="D41" s="85" t="s">
        <v>606</v>
      </c>
      <c r="E41" s="85"/>
      <c r="F41" s="85" t="s">
        <v>155</v>
      </c>
      <c r="G41" s="85"/>
      <c r="H41" s="85"/>
      <c r="I41" s="86"/>
      <c r="J41" s="86"/>
      <c r="K41" s="87"/>
      <c r="L41" s="87"/>
      <c r="M41" s="88"/>
      <c r="N41" s="89"/>
      <c r="O41" s="87"/>
      <c r="P41" s="87"/>
      <c r="Q41" s="87"/>
      <c r="R41" s="87"/>
      <c r="S41" s="87">
        <v>1</v>
      </c>
      <c r="T41" s="87">
        <v>1</v>
      </c>
      <c r="U41" s="87">
        <v>1</v>
      </c>
      <c r="V41" s="90" t="s">
        <v>1581</v>
      </c>
    </row>
    <row r="42" ht="15" customHeight="1" spans="1:23" x14ac:dyDescent="0.25">
      <c r="A42" s="85">
        <v>6994</v>
      </c>
      <c r="B42" s="85" t="s">
        <v>1599</v>
      </c>
      <c r="C42" s="85" t="s">
        <v>380</v>
      </c>
      <c r="D42" s="85" t="s">
        <v>606</v>
      </c>
      <c r="E42" s="85"/>
      <c r="F42" s="85" t="s">
        <v>1084</v>
      </c>
      <c r="G42" s="85" t="s">
        <v>283</v>
      </c>
      <c r="H42" s="85" t="s">
        <v>1561</v>
      </c>
      <c r="I42" s="86">
        <v>248</v>
      </c>
      <c r="J42" s="86">
        <v>248</v>
      </c>
      <c r="K42" s="87">
        <v>1</v>
      </c>
      <c r="L42" s="87">
        <v>1</v>
      </c>
      <c r="M42" s="88">
        <v>1</v>
      </c>
      <c r="N42" s="89"/>
      <c r="O42" s="87"/>
      <c r="P42" s="87"/>
      <c r="Q42" s="87"/>
      <c r="R42" s="87"/>
      <c r="S42" s="87">
        <v>1</v>
      </c>
      <c r="T42" s="87"/>
      <c r="U42" s="87">
        <v>1</v>
      </c>
      <c r="V42" s="90" t="s">
        <v>1581</v>
      </c>
    </row>
    <row r="43" ht="15" customHeight="1" spans="1:23" x14ac:dyDescent="0.25">
      <c r="A43" s="85">
        <v>7048</v>
      </c>
      <c r="B43" s="85" t="s">
        <v>1600</v>
      </c>
      <c r="C43" s="85" t="s">
        <v>380</v>
      </c>
      <c r="D43" s="85" t="s">
        <v>831</v>
      </c>
      <c r="E43" s="85"/>
      <c r="F43" s="85" t="s">
        <v>155</v>
      </c>
      <c r="G43" s="85"/>
      <c r="H43" s="85"/>
      <c r="I43" s="86"/>
      <c r="J43" s="86"/>
      <c r="K43" s="87"/>
      <c r="L43" s="87"/>
      <c r="M43" s="88"/>
      <c r="N43" s="89"/>
      <c r="O43" s="87"/>
      <c r="P43" s="87"/>
      <c r="Q43" s="87"/>
      <c r="R43" s="87">
        <v>0.5</v>
      </c>
      <c r="S43" s="87">
        <v>0</v>
      </c>
      <c r="T43" s="87">
        <v>0.5</v>
      </c>
      <c r="U43" s="87"/>
      <c r="V43" s="90" t="s">
        <v>1601</v>
      </c>
    </row>
    <row r="44" ht="15" customHeight="1" spans="1:23" x14ac:dyDescent="0.25">
      <c r="A44" s="85">
        <v>7048</v>
      </c>
      <c r="B44" s="85" t="s">
        <v>1600</v>
      </c>
      <c r="C44" s="85" t="s">
        <v>380</v>
      </c>
      <c r="D44" s="85" t="s">
        <v>831</v>
      </c>
      <c r="E44" s="85"/>
      <c r="F44" s="85" t="s">
        <v>1084</v>
      </c>
      <c r="G44" s="85" t="s">
        <v>283</v>
      </c>
      <c r="H44" s="85" t="s">
        <v>1561</v>
      </c>
      <c r="I44" s="86">
        <v>248</v>
      </c>
      <c r="J44" s="86">
        <v>248</v>
      </c>
      <c r="K44" s="87">
        <v>1</v>
      </c>
      <c r="L44" s="87">
        <v>0.5</v>
      </c>
      <c r="M44" s="88">
        <v>0.5</v>
      </c>
      <c r="N44" s="89">
        <v>1</v>
      </c>
      <c r="O44" s="87">
        <v>0.5</v>
      </c>
      <c r="P44" s="87"/>
      <c r="Q44" s="87"/>
      <c r="R44" s="87">
        <v>0.5</v>
      </c>
      <c r="S44" s="87">
        <v>0</v>
      </c>
      <c r="T44" s="87"/>
      <c r="U44" s="87">
        <v>0</v>
      </c>
      <c r="V44" s="90" t="s">
        <v>1602</v>
      </c>
    </row>
    <row r="45" ht="15" customHeight="1" spans="1:23" x14ac:dyDescent="0.25">
      <c r="A45" s="85">
        <v>7094</v>
      </c>
      <c r="B45" s="85" t="s">
        <v>1603</v>
      </c>
      <c r="C45" s="85" t="s">
        <v>380</v>
      </c>
      <c r="D45" s="85" t="s">
        <v>836</v>
      </c>
      <c r="E45" s="85"/>
      <c r="F45" s="85" t="s">
        <v>155</v>
      </c>
      <c r="G45" s="85"/>
      <c r="H45" s="85"/>
      <c r="I45" s="86"/>
      <c r="J45" s="86"/>
      <c r="K45" s="87"/>
      <c r="L45" s="87"/>
      <c r="M45" s="88"/>
      <c r="N45" s="89"/>
      <c r="O45" s="87"/>
      <c r="P45" s="87"/>
      <c r="Q45" s="87"/>
      <c r="R45" s="87"/>
      <c r="S45" s="87">
        <v>1</v>
      </c>
      <c r="T45" s="87">
        <v>1</v>
      </c>
      <c r="U45" s="87">
        <v>1</v>
      </c>
      <c r="V45" s="90" t="s">
        <v>1604</v>
      </c>
    </row>
    <row r="46" ht="15" customHeight="1" spans="1:23" x14ac:dyDescent="0.25">
      <c r="A46" s="85">
        <v>7094</v>
      </c>
      <c r="B46" s="85" t="s">
        <v>1603</v>
      </c>
      <c r="C46" s="85" t="s">
        <v>380</v>
      </c>
      <c r="D46" s="85" t="s">
        <v>836</v>
      </c>
      <c r="E46" s="85"/>
      <c r="F46" s="85" t="s">
        <v>1084</v>
      </c>
      <c r="G46" s="85" t="s">
        <v>283</v>
      </c>
      <c r="H46" s="85" t="s">
        <v>1561</v>
      </c>
      <c r="I46" s="86">
        <v>248</v>
      </c>
      <c r="J46" s="86">
        <v>248</v>
      </c>
      <c r="K46" s="87">
        <v>1</v>
      </c>
      <c r="L46" s="87">
        <v>1</v>
      </c>
      <c r="M46" s="88">
        <v>1</v>
      </c>
      <c r="N46" s="89"/>
      <c r="O46" s="87"/>
      <c r="P46" s="87"/>
      <c r="Q46" s="87"/>
      <c r="R46" s="87"/>
      <c r="S46" s="87">
        <v>1</v>
      </c>
      <c r="T46" s="87"/>
      <c r="U46" s="87">
        <v>1</v>
      </c>
      <c r="V46" s="90" t="s">
        <v>1604</v>
      </c>
    </row>
    <row r="47" ht="15" customHeight="1" spans="1:23" x14ac:dyDescent="0.25">
      <c r="A47" s="85">
        <v>7853</v>
      </c>
      <c r="B47" s="85" t="s">
        <v>1605</v>
      </c>
      <c r="C47" s="85" t="s">
        <v>380</v>
      </c>
      <c r="D47" s="85" t="s">
        <v>556</v>
      </c>
      <c r="E47" s="85"/>
      <c r="F47" s="85" t="s">
        <v>155</v>
      </c>
      <c r="G47" s="85"/>
      <c r="H47" s="85"/>
      <c r="I47" s="86"/>
      <c r="J47" s="86"/>
      <c r="K47" s="87"/>
      <c r="L47" s="87"/>
      <c r="M47" s="88"/>
      <c r="N47" s="89"/>
      <c r="O47" s="87"/>
      <c r="P47" s="87"/>
      <c r="Q47" s="87"/>
      <c r="R47" s="87"/>
      <c r="S47" s="87">
        <v>1</v>
      </c>
      <c r="T47" s="87">
        <v>1</v>
      </c>
      <c r="U47" s="87">
        <v>1</v>
      </c>
      <c r="V47" s="90" t="s">
        <v>1606</v>
      </c>
    </row>
    <row r="48" ht="15" customHeight="1" spans="1:23" x14ac:dyDescent="0.25">
      <c r="A48" s="85">
        <v>7853</v>
      </c>
      <c r="B48" s="85" t="s">
        <v>1605</v>
      </c>
      <c r="C48" s="85" t="s">
        <v>380</v>
      </c>
      <c r="D48" s="85" t="s">
        <v>556</v>
      </c>
      <c r="E48" s="85"/>
      <c r="F48" s="85" t="s">
        <v>1084</v>
      </c>
      <c r="G48" s="85" t="s">
        <v>283</v>
      </c>
      <c r="H48" s="85" t="s">
        <v>1561</v>
      </c>
      <c r="I48" s="86">
        <v>248</v>
      </c>
      <c r="J48" s="86">
        <v>248</v>
      </c>
      <c r="K48" s="87">
        <v>1</v>
      </c>
      <c r="L48" s="87">
        <v>1</v>
      </c>
      <c r="M48" s="88">
        <v>1</v>
      </c>
      <c r="N48" s="89"/>
      <c r="O48" s="87"/>
      <c r="P48" s="87"/>
      <c r="Q48" s="87"/>
      <c r="R48" s="87"/>
      <c r="S48" s="87">
        <v>1</v>
      </c>
      <c r="T48" s="87"/>
      <c r="U48" s="87">
        <v>1</v>
      </c>
      <c r="V48" s="90" t="s">
        <v>1606</v>
      </c>
    </row>
    <row r="49" ht="15" customHeight="1" spans="1:23" x14ac:dyDescent="0.25">
      <c r="A49" s="85">
        <v>7931</v>
      </c>
      <c r="B49" s="85" t="s">
        <v>1607</v>
      </c>
      <c r="C49" s="85" t="s">
        <v>380</v>
      </c>
      <c r="D49" s="85" t="s">
        <v>596</v>
      </c>
      <c r="E49" s="85"/>
      <c r="F49" s="85" t="s">
        <v>155</v>
      </c>
      <c r="G49" s="85"/>
      <c r="H49" s="85"/>
      <c r="I49" s="86"/>
      <c r="J49" s="86"/>
      <c r="K49" s="87"/>
      <c r="L49" s="87"/>
      <c r="M49" s="88"/>
      <c r="N49" s="89"/>
      <c r="O49" s="87"/>
      <c r="P49" s="87"/>
      <c r="Q49" s="87">
        <v>0.04032258064516129</v>
      </c>
      <c r="R49" s="87"/>
      <c r="S49" s="87">
        <v>1</v>
      </c>
      <c r="T49" s="87">
        <v>1</v>
      </c>
      <c r="U49" s="87">
        <v>1</v>
      </c>
      <c r="V49" s="90" t="s">
        <v>1608</v>
      </c>
    </row>
    <row r="50" ht="15" customHeight="1" spans="1:23" x14ac:dyDescent="0.25">
      <c r="A50" s="85">
        <v>7931</v>
      </c>
      <c r="B50" s="85" t="s">
        <v>1607</v>
      </c>
      <c r="C50" s="85" t="s">
        <v>380</v>
      </c>
      <c r="D50" s="85" t="s">
        <v>596</v>
      </c>
      <c r="E50" s="85"/>
      <c r="F50" s="85" t="s">
        <v>1084</v>
      </c>
      <c r="G50" s="85" t="s">
        <v>1071</v>
      </c>
      <c r="H50" s="85" t="s">
        <v>1561</v>
      </c>
      <c r="I50" s="86">
        <v>248</v>
      </c>
      <c r="J50" s="86">
        <v>10</v>
      </c>
      <c r="K50" s="87">
        <v>0.04032258064516129</v>
      </c>
      <c r="L50" s="87">
        <v>1</v>
      </c>
      <c r="M50" s="88">
        <v>0.04032258064516129</v>
      </c>
      <c r="N50" s="89">
        <v>1</v>
      </c>
      <c r="O50" s="87">
        <v>0.04032258064516129</v>
      </c>
      <c r="P50" s="87"/>
      <c r="Q50" s="87">
        <v>0.04032258064516129</v>
      </c>
      <c r="R50" s="87"/>
      <c r="S50" s="87">
        <v>0.04032258064516129</v>
      </c>
      <c r="T50" s="87"/>
      <c r="U50" s="87">
        <v>0.04032258064516129</v>
      </c>
      <c r="V50" s="90" t="s">
        <v>1609</v>
      </c>
    </row>
    <row r="51" ht="15" customHeight="1" spans="1:23" x14ac:dyDescent="0.25">
      <c r="A51" s="85">
        <v>7931</v>
      </c>
      <c r="B51" s="85" t="s">
        <v>1607</v>
      </c>
      <c r="C51" s="85" t="s">
        <v>380</v>
      </c>
      <c r="D51" s="85" t="s">
        <v>596</v>
      </c>
      <c r="E51" s="85"/>
      <c r="F51" s="85" t="s">
        <v>1084</v>
      </c>
      <c r="G51" s="85" t="s">
        <v>283</v>
      </c>
      <c r="H51" s="85" t="s">
        <v>1610</v>
      </c>
      <c r="I51" s="86">
        <v>248</v>
      </c>
      <c r="J51" s="86">
        <v>238</v>
      </c>
      <c r="K51" s="87">
        <v>0.9596774193548387</v>
      </c>
      <c r="L51" s="87">
        <v>1</v>
      </c>
      <c r="M51" s="88">
        <v>0.9596774193548387</v>
      </c>
      <c r="N51" s="89"/>
      <c r="O51" s="87"/>
      <c r="P51" s="87"/>
      <c r="Q51" s="87"/>
      <c r="R51" s="87"/>
      <c r="S51" s="87">
        <v>0.9596774193548387</v>
      </c>
      <c r="T51" s="87"/>
      <c r="U51" s="87">
        <v>0.9596774193548387</v>
      </c>
      <c r="V51" s="90" t="s">
        <v>1611</v>
      </c>
    </row>
    <row r="52" ht="15" customHeight="1" spans="1:23" x14ac:dyDescent="0.25">
      <c r="A52" s="85">
        <v>7953</v>
      </c>
      <c r="B52" s="85" t="s">
        <v>1612</v>
      </c>
      <c r="C52" s="85" t="s">
        <v>965</v>
      </c>
      <c r="D52" s="85" t="s">
        <v>176</v>
      </c>
      <c r="E52" s="85" t="s">
        <v>1020</v>
      </c>
      <c r="F52" s="85" t="s">
        <v>155</v>
      </c>
      <c r="G52" s="85"/>
      <c r="H52" s="85"/>
      <c r="I52" s="86"/>
      <c r="J52" s="86"/>
      <c r="K52" s="87"/>
      <c r="L52" s="87"/>
      <c r="M52" s="88"/>
      <c r="N52" s="89"/>
      <c r="O52" s="87"/>
      <c r="P52" s="87"/>
      <c r="Q52" s="87"/>
      <c r="R52" s="87"/>
      <c r="S52" s="87">
        <v>0.10483870967741936</v>
      </c>
      <c r="T52" s="87">
        <v>0.10483870967741936</v>
      </c>
      <c r="U52" s="87">
        <v>0.10483870967741936</v>
      </c>
      <c r="V52" s="90" t="s">
        <v>1613</v>
      </c>
    </row>
    <row r="53" ht="15" customHeight="1" spans="1:23" x14ac:dyDescent="0.25">
      <c r="A53" s="85">
        <v>7953</v>
      </c>
      <c r="B53" s="85" t="s">
        <v>1612</v>
      </c>
      <c r="C53" s="85" t="s">
        <v>965</v>
      </c>
      <c r="D53" s="85" t="s">
        <v>176</v>
      </c>
      <c r="E53" s="85" t="s">
        <v>1020</v>
      </c>
      <c r="F53" s="85" t="s">
        <v>1084</v>
      </c>
      <c r="G53" s="85" t="s">
        <v>283</v>
      </c>
      <c r="H53" s="85" t="s">
        <v>1020</v>
      </c>
      <c r="I53" s="86">
        <v>248</v>
      </c>
      <c r="J53" s="86">
        <v>26</v>
      </c>
      <c r="K53" s="87">
        <v>0.10483870967741936</v>
      </c>
      <c r="L53" s="87">
        <v>1</v>
      </c>
      <c r="M53" s="88">
        <v>0.10483870967741936</v>
      </c>
      <c r="N53" s="89"/>
      <c r="O53" s="87"/>
      <c r="P53" s="87"/>
      <c r="Q53" s="87"/>
      <c r="R53" s="87"/>
      <c r="S53" s="87">
        <v>0.10483870967741936</v>
      </c>
      <c r="T53" s="87"/>
      <c r="U53" s="87">
        <v>0.10483870967741936</v>
      </c>
      <c r="V53" s="90" t="s">
        <v>1613</v>
      </c>
    </row>
    <row r="54" ht="15" customHeight="1" spans="1:23" x14ac:dyDescent="0.25">
      <c r="A54" s="85">
        <v>8152</v>
      </c>
      <c r="B54" s="85" t="s">
        <v>1614</v>
      </c>
      <c r="C54" s="85" t="s">
        <v>380</v>
      </c>
      <c r="D54" s="85" t="s">
        <v>841</v>
      </c>
      <c r="E54" s="85"/>
      <c r="F54" s="85" t="s">
        <v>155</v>
      </c>
      <c r="G54" s="85"/>
      <c r="H54" s="85"/>
      <c r="I54" s="86"/>
      <c r="J54" s="86"/>
      <c r="K54" s="87"/>
      <c r="L54" s="87"/>
      <c r="M54" s="88"/>
      <c r="N54" s="89"/>
      <c r="O54" s="87"/>
      <c r="P54" s="87"/>
      <c r="Q54" s="87"/>
      <c r="R54" s="87"/>
      <c r="S54" s="87">
        <v>1</v>
      </c>
      <c r="T54" s="87">
        <v>1</v>
      </c>
      <c r="U54" s="87">
        <v>0.9999999999999999</v>
      </c>
      <c r="V54" s="90" t="s">
        <v>1615</v>
      </c>
    </row>
    <row r="55" ht="15" customHeight="1" spans="1:23" x14ac:dyDescent="0.25">
      <c r="A55" s="85">
        <v>8152</v>
      </c>
      <c r="B55" s="85" t="s">
        <v>1614</v>
      </c>
      <c r="C55" s="85" t="s">
        <v>380</v>
      </c>
      <c r="D55" s="85" t="s">
        <v>841</v>
      </c>
      <c r="E55" s="85"/>
      <c r="F55" s="85" t="s">
        <v>1084</v>
      </c>
      <c r="G55" s="85" t="s">
        <v>1071</v>
      </c>
      <c r="H55" s="85" t="s">
        <v>1561</v>
      </c>
      <c r="I55" s="86">
        <v>248</v>
      </c>
      <c r="J55" s="86">
        <v>10</v>
      </c>
      <c r="K55" s="87">
        <v>0.04032258064516129</v>
      </c>
      <c r="L55" s="87">
        <v>1</v>
      </c>
      <c r="M55" s="88">
        <v>0.04032258064516129</v>
      </c>
      <c r="N55" s="89"/>
      <c r="O55" s="87"/>
      <c r="P55" s="87"/>
      <c r="Q55" s="87"/>
      <c r="R55" s="87"/>
      <c r="S55" s="87">
        <v>0.04032258064516129</v>
      </c>
      <c r="T55" s="87"/>
      <c r="U55" s="87">
        <v>0.04032258064516129</v>
      </c>
      <c r="V55" s="90" t="s">
        <v>1616</v>
      </c>
    </row>
    <row r="56" ht="15" customHeight="1" spans="1:23" x14ac:dyDescent="0.25">
      <c r="A56" s="85">
        <v>8152</v>
      </c>
      <c r="B56" s="85" t="s">
        <v>1614</v>
      </c>
      <c r="C56" s="85" t="s">
        <v>380</v>
      </c>
      <c r="D56" s="85" t="s">
        <v>841</v>
      </c>
      <c r="E56" s="85"/>
      <c r="F56" s="85" t="s">
        <v>1084</v>
      </c>
      <c r="G56" s="85" t="s">
        <v>283</v>
      </c>
      <c r="H56" s="85" t="s">
        <v>1610</v>
      </c>
      <c r="I56" s="86">
        <v>248</v>
      </c>
      <c r="J56" s="86">
        <v>238</v>
      </c>
      <c r="K56" s="87">
        <v>0.9596774193548387</v>
      </c>
      <c r="L56" s="87">
        <v>1</v>
      </c>
      <c r="M56" s="88">
        <v>0.9596774193548387</v>
      </c>
      <c r="N56" s="89"/>
      <c r="O56" s="87"/>
      <c r="P56" s="87"/>
      <c r="Q56" s="87"/>
      <c r="R56" s="87"/>
      <c r="S56" s="87">
        <v>0.9596774193548387</v>
      </c>
      <c r="T56" s="87"/>
      <c r="U56" s="87">
        <v>0.9596774193548386</v>
      </c>
      <c r="V56" s="90" t="s">
        <v>1617</v>
      </c>
    </row>
    <row r="57" ht="15" customHeight="1" spans="1:23" x14ac:dyDescent="0.25">
      <c r="A57" s="85">
        <v>8171</v>
      </c>
      <c r="B57" s="85" t="s">
        <v>1618</v>
      </c>
      <c r="C57" s="85" t="s">
        <v>161</v>
      </c>
      <c r="D57" s="85" t="s">
        <v>176</v>
      </c>
      <c r="E57" s="85"/>
      <c r="F57" s="85" t="s">
        <v>155</v>
      </c>
      <c r="G57" s="85"/>
      <c r="H57" s="85"/>
      <c r="I57" s="86"/>
      <c r="J57" s="86"/>
      <c r="K57" s="87"/>
      <c r="L57" s="87"/>
      <c r="M57" s="88"/>
      <c r="N57" s="89"/>
      <c r="O57" s="87"/>
      <c r="P57" s="87"/>
      <c r="Q57" s="87"/>
      <c r="R57" s="87"/>
      <c r="S57" s="87">
        <v>1</v>
      </c>
      <c r="T57" s="87">
        <v>1</v>
      </c>
      <c r="U57" s="87">
        <v>1</v>
      </c>
      <c r="V57" s="90" t="s">
        <v>1619</v>
      </c>
    </row>
    <row r="58" ht="15" customHeight="1" spans="1:23" x14ac:dyDescent="0.25">
      <c r="A58" s="85">
        <v>8171</v>
      </c>
      <c r="B58" s="85" t="s">
        <v>1618</v>
      </c>
      <c r="C58" s="85" t="s">
        <v>161</v>
      </c>
      <c r="D58" s="85" t="s">
        <v>176</v>
      </c>
      <c r="E58" s="85"/>
      <c r="F58" s="85" t="s">
        <v>1084</v>
      </c>
      <c r="G58" s="85" t="s">
        <v>283</v>
      </c>
      <c r="H58" s="85" t="s">
        <v>1561</v>
      </c>
      <c r="I58" s="86">
        <v>248</v>
      </c>
      <c r="J58" s="86">
        <v>248</v>
      </c>
      <c r="K58" s="87">
        <v>1</v>
      </c>
      <c r="L58" s="87">
        <v>1</v>
      </c>
      <c r="M58" s="88">
        <v>1</v>
      </c>
      <c r="N58" s="89"/>
      <c r="O58" s="87"/>
      <c r="P58" s="87"/>
      <c r="Q58" s="87"/>
      <c r="R58" s="87"/>
      <c r="S58" s="87">
        <v>1</v>
      </c>
      <c r="T58" s="87"/>
      <c r="U58" s="87">
        <v>1</v>
      </c>
      <c r="V58" s="90" t="s">
        <v>1620</v>
      </c>
    </row>
    <row r="59" ht="15" customHeight="1" spans="1:23" x14ac:dyDescent="0.25">
      <c r="A59" s="85">
        <v>8422</v>
      </c>
      <c r="B59" s="85" t="s">
        <v>1621</v>
      </c>
      <c r="C59" s="85" t="s">
        <v>380</v>
      </c>
      <c r="D59" s="85" t="s">
        <v>841</v>
      </c>
      <c r="E59" s="85"/>
      <c r="F59" s="85" t="s">
        <v>155</v>
      </c>
      <c r="G59" s="85"/>
      <c r="H59" s="85"/>
      <c r="I59" s="86"/>
      <c r="J59" s="86"/>
      <c r="K59" s="87"/>
      <c r="L59" s="87"/>
      <c r="M59" s="88"/>
      <c r="N59" s="89"/>
      <c r="O59" s="87"/>
      <c r="P59" s="87"/>
      <c r="Q59" s="87"/>
      <c r="R59" s="87"/>
      <c r="S59" s="87">
        <v>1</v>
      </c>
      <c r="T59" s="87">
        <v>1</v>
      </c>
      <c r="U59" s="87">
        <v>1</v>
      </c>
      <c r="V59" s="90" t="s">
        <v>1622</v>
      </c>
    </row>
    <row r="60" ht="15" customHeight="1" spans="1:23" x14ac:dyDescent="0.25">
      <c r="A60" s="85">
        <v>8422</v>
      </c>
      <c r="B60" s="85" t="s">
        <v>1621</v>
      </c>
      <c r="C60" s="85" t="s">
        <v>380</v>
      </c>
      <c r="D60" s="85" t="s">
        <v>841</v>
      </c>
      <c r="E60" s="85"/>
      <c r="F60" s="85" t="s">
        <v>1084</v>
      </c>
      <c r="G60" s="85" t="s">
        <v>283</v>
      </c>
      <c r="H60" s="85" t="s">
        <v>1561</v>
      </c>
      <c r="I60" s="86">
        <v>248</v>
      </c>
      <c r="J60" s="86">
        <v>248</v>
      </c>
      <c r="K60" s="87">
        <v>1</v>
      </c>
      <c r="L60" s="87">
        <v>1</v>
      </c>
      <c r="M60" s="88">
        <v>1</v>
      </c>
      <c r="N60" s="89"/>
      <c r="O60" s="87"/>
      <c r="P60" s="87"/>
      <c r="Q60" s="87"/>
      <c r="R60" s="87"/>
      <c r="S60" s="87">
        <v>1</v>
      </c>
      <c r="T60" s="87"/>
      <c r="U60" s="87">
        <v>1</v>
      </c>
      <c r="V60" s="90" t="s">
        <v>1622</v>
      </c>
    </row>
    <row r="61" ht="15" customHeight="1" spans="1:23" x14ac:dyDescent="0.25">
      <c r="A61" s="85">
        <v>8436</v>
      </c>
      <c r="B61" s="85" t="s">
        <v>1623</v>
      </c>
      <c r="C61" s="85" t="s">
        <v>380</v>
      </c>
      <c r="D61" s="85" t="s">
        <v>898</v>
      </c>
      <c r="E61" s="85"/>
      <c r="F61" s="85" t="s">
        <v>155</v>
      </c>
      <c r="G61" s="85"/>
      <c r="H61" s="85"/>
      <c r="I61" s="86"/>
      <c r="J61" s="86"/>
      <c r="K61" s="87"/>
      <c r="L61" s="87"/>
      <c r="M61" s="88"/>
      <c r="N61" s="89"/>
      <c r="O61" s="87"/>
      <c r="P61" s="87"/>
      <c r="Q61" s="87"/>
      <c r="R61" s="87"/>
      <c r="S61" s="87">
        <v>1</v>
      </c>
      <c r="T61" s="87">
        <v>1</v>
      </c>
      <c r="U61" s="87">
        <v>1</v>
      </c>
      <c r="V61" s="90" t="s">
        <v>1624</v>
      </c>
    </row>
    <row r="62" ht="15" customHeight="1" spans="1:23" x14ac:dyDescent="0.25">
      <c r="A62" s="85">
        <v>8436</v>
      </c>
      <c r="B62" s="85" t="s">
        <v>1623</v>
      </c>
      <c r="C62" s="85" t="s">
        <v>380</v>
      </c>
      <c r="D62" s="85" t="s">
        <v>898</v>
      </c>
      <c r="E62" s="85"/>
      <c r="F62" s="85" t="s">
        <v>1084</v>
      </c>
      <c r="G62" s="85" t="s">
        <v>283</v>
      </c>
      <c r="H62" s="85" t="s">
        <v>1561</v>
      </c>
      <c r="I62" s="86">
        <v>248</v>
      </c>
      <c r="J62" s="86">
        <v>248</v>
      </c>
      <c r="K62" s="87">
        <v>1</v>
      </c>
      <c r="L62" s="87">
        <v>1</v>
      </c>
      <c r="M62" s="88">
        <v>1</v>
      </c>
      <c r="N62" s="89"/>
      <c r="O62" s="87"/>
      <c r="P62" s="87"/>
      <c r="Q62" s="87"/>
      <c r="R62" s="87"/>
      <c r="S62" s="87">
        <v>1</v>
      </c>
      <c r="T62" s="87"/>
      <c r="U62" s="87">
        <v>1</v>
      </c>
      <c r="V62" s="90" t="s">
        <v>1625</v>
      </c>
    </row>
    <row r="63" ht="15" customHeight="1" spans="1:23" x14ac:dyDescent="0.25">
      <c r="A63" s="85">
        <v>8826</v>
      </c>
      <c r="B63" s="85" t="s">
        <v>1626</v>
      </c>
      <c r="C63" s="85" t="s">
        <v>161</v>
      </c>
      <c r="D63" s="85" t="s">
        <v>233</v>
      </c>
      <c r="E63" s="85"/>
      <c r="F63" s="85" t="s">
        <v>155</v>
      </c>
      <c r="G63" s="85"/>
      <c r="H63" s="85"/>
      <c r="I63" s="86"/>
      <c r="J63" s="86"/>
      <c r="K63" s="87"/>
      <c r="L63" s="87"/>
      <c r="M63" s="88"/>
      <c r="N63" s="89"/>
      <c r="O63" s="87"/>
      <c r="P63" s="87"/>
      <c r="Q63" s="87">
        <v>0.21774193548387097</v>
      </c>
      <c r="R63" s="87"/>
      <c r="S63" s="87">
        <v>1</v>
      </c>
      <c r="T63" s="87">
        <v>1</v>
      </c>
      <c r="U63" s="87">
        <v>1</v>
      </c>
      <c r="V63" s="90" t="s">
        <v>1627</v>
      </c>
    </row>
    <row r="64" ht="15" customHeight="1" spans="1:23" x14ac:dyDescent="0.25">
      <c r="A64" s="85">
        <v>8826</v>
      </c>
      <c r="B64" s="85" t="s">
        <v>1626</v>
      </c>
      <c r="C64" s="85" t="s">
        <v>161</v>
      </c>
      <c r="D64" s="85" t="s">
        <v>233</v>
      </c>
      <c r="E64" s="85"/>
      <c r="F64" s="85" t="s">
        <v>1084</v>
      </c>
      <c r="G64" s="85" t="s">
        <v>1628</v>
      </c>
      <c r="H64" s="85" t="s">
        <v>1561</v>
      </c>
      <c r="I64" s="86">
        <v>248</v>
      </c>
      <c r="J64" s="86">
        <v>194</v>
      </c>
      <c r="K64" s="87">
        <v>0.782258064516129</v>
      </c>
      <c r="L64" s="87">
        <v>1</v>
      </c>
      <c r="M64" s="88">
        <v>0.782258064516129</v>
      </c>
      <c r="N64" s="89"/>
      <c r="O64" s="87"/>
      <c r="P64" s="87"/>
      <c r="Q64" s="87"/>
      <c r="R64" s="87"/>
      <c r="S64" s="87">
        <v>0.782258064516129</v>
      </c>
      <c r="T64" s="87"/>
      <c r="U64" s="87">
        <v>0.782258064516129</v>
      </c>
      <c r="V64" s="90" t="s">
        <v>1629</v>
      </c>
    </row>
    <row r="65" ht="15" customHeight="1" spans="1:23" x14ac:dyDescent="0.25">
      <c r="A65" s="85">
        <v>8826</v>
      </c>
      <c r="B65" s="85" t="s">
        <v>1626</v>
      </c>
      <c r="C65" s="85" t="s">
        <v>161</v>
      </c>
      <c r="D65" s="85" t="s">
        <v>233</v>
      </c>
      <c r="E65" s="85"/>
      <c r="F65" s="85" t="s">
        <v>1084</v>
      </c>
      <c r="G65" s="85" t="s">
        <v>283</v>
      </c>
      <c r="H65" s="85" t="s">
        <v>1630</v>
      </c>
      <c r="I65" s="86">
        <v>248</v>
      </c>
      <c r="J65" s="86">
        <v>54</v>
      </c>
      <c r="K65" s="87">
        <v>0.21774193548387097</v>
      </c>
      <c r="L65" s="87">
        <v>1</v>
      </c>
      <c r="M65" s="88">
        <v>0.21774193548387097</v>
      </c>
      <c r="N65" s="89">
        <v>1</v>
      </c>
      <c r="O65" s="87">
        <v>0.21774193548387097</v>
      </c>
      <c r="P65" s="87"/>
      <c r="Q65" s="87">
        <v>0.21774193548387097</v>
      </c>
      <c r="R65" s="87"/>
      <c r="S65" s="87">
        <v>0.21774193548387097</v>
      </c>
      <c r="T65" s="87"/>
      <c r="U65" s="87">
        <v>0.21774193548387097</v>
      </c>
      <c r="V65" s="90" t="s">
        <v>1631</v>
      </c>
    </row>
    <row r="66" ht="15" customHeight="1" spans="1:23" x14ac:dyDescent="0.25">
      <c r="A66" s="85">
        <v>8967</v>
      </c>
      <c r="B66" s="85" t="s">
        <v>1632</v>
      </c>
      <c r="C66" s="85" t="s">
        <v>380</v>
      </c>
      <c r="D66" s="85" t="s">
        <v>470</v>
      </c>
      <c r="E66" s="85"/>
      <c r="F66" s="85" t="s">
        <v>155</v>
      </c>
      <c r="G66" s="85"/>
      <c r="H66" s="85"/>
      <c r="I66" s="86"/>
      <c r="J66" s="86"/>
      <c r="K66" s="87"/>
      <c r="L66" s="87"/>
      <c r="M66" s="88"/>
      <c r="N66" s="89"/>
      <c r="O66" s="87"/>
      <c r="P66" s="87"/>
      <c r="Q66" s="87"/>
      <c r="R66" s="87"/>
      <c r="S66" s="87">
        <v>1</v>
      </c>
      <c r="T66" s="87">
        <v>1</v>
      </c>
      <c r="U66" s="87"/>
      <c r="V66" s="90" t="s">
        <v>1084</v>
      </c>
    </row>
    <row r="67" ht="15" customHeight="1" spans="1:23" x14ac:dyDescent="0.25">
      <c r="A67" s="85">
        <v>8967</v>
      </c>
      <c r="B67" s="85" t="s">
        <v>1632</v>
      </c>
      <c r="C67" s="85" t="s">
        <v>380</v>
      </c>
      <c r="D67" s="85" t="s">
        <v>470</v>
      </c>
      <c r="E67" s="85"/>
      <c r="F67" s="85" t="s">
        <v>1084</v>
      </c>
      <c r="G67" s="85" t="s">
        <v>283</v>
      </c>
      <c r="H67" s="85" t="s">
        <v>1561</v>
      </c>
      <c r="I67" s="86">
        <v>248</v>
      </c>
      <c r="J67" s="86">
        <v>248</v>
      </c>
      <c r="K67" s="87">
        <v>1</v>
      </c>
      <c r="L67" s="87">
        <v>1</v>
      </c>
      <c r="M67" s="88">
        <v>1</v>
      </c>
      <c r="N67" s="89"/>
      <c r="O67" s="87"/>
      <c r="P67" s="87"/>
      <c r="Q67" s="87"/>
      <c r="R67" s="87"/>
      <c r="S67" s="87">
        <v>1</v>
      </c>
      <c r="T67" s="87"/>
      <c r="U67" s="87">
        <v>0</v>
      </c>
      <c r="V67" s="90" t="s">
        <v>1084</v>
      </c>
    </row>
    <row r="68" ht="15" customHeight="1" spans="1:23" x14ac:dyDescent="0.25">
      <c r="A68" s="85">
        <v>9023</v>
      </c>
      <c r="B68" s="85" t="s">
        <v>1633</v>
      </c>
      <c r="C68" s="85" t="s">
        <v>380</v>
      </c>
      <c r="D68" s="85" t="s">
        <v>490</v>
      </c>
      <c r="E68" s="85"/>
      <c r="F68" s="85" t="s">
        <v>155</v>
      </c>
      <c r="G68" s="85"/>
      <c r="H68" s="85"/>
      <c r="I68" s="86"/>
      <c r="J68" s="86"/>
      <c r="K68" s="87"/>
      <c r="L68" s="87"/>
      <c r="M68" s="88"/>
      <c r="N68" s="89"/>
      <c r="O68" s="87"/>
      <c r="P68" s="87"/>
      <c r="Q68" s="87"/>
      <c r="R68" s="87"/>
      <c r="S68" s="87">
        <v>1</v>
      </c>
      <c r="T68" s="87">
        <v>1</v>
      </c>
      <c r="U68" s="87"/>
      <c r="V68" s="90" t="s">
        <v>1084</v>
      </c>
    </row>
    <row r="69" ht="15" customHeight="1" spans="1:23" x14ac:dyDescent="0.25">
      <c r="A69" s="85">
        <v>9023</v>
      </c>
      <c r="B69" s="85" t="s">
        <v>1633</v>
      </c>
      <c r="C69" s="85" t="s">
        <v>380</v>
      </c>
      <c r="D69" s="85" t="s">
        <v>490</v>
      </c>
      <c r="E69" s="85"/>
      <c r="F69" s="85" t="s">
        <v>1084</v>
      </c>
      <c r="G69" s="85" t="s">
        <v>283</v>
      </c>
      <c r="H69" s="85" t="s">
        <v>1561</v>
      </c>
      <c r="I69" s="86">
        <v>248</v>
      </c>
      <c r="J69" s="86">
        <v>248</v>
      </c>
      <c r="K69" s="87">
        <v>1</v>
      </c>
      <c r="L69" s="87">
        <v>1</v>
      </c>
      <c r="M69" s="88">
        <v>1</v>
      </c>
      <c r="N69" s="89"/>
      <c r="O69" s="87"/>
      <c r="P69" s="87"/>
      <c r="Q69" s="87"/>
      <c r="R69" s="87"/>
      <c r="S69" s="87">
        <v>1</v>
      </c>
      <c r="T69" s="87"/>
      <c r="U69" s="87">
        <v>0</v>
      </c>
      <c r="V69" s="90" t="s">
        <v>1084</v>
      </c>
    </row>
    <row r="70" ht="15" customHeight="1" spans="1:23" x14ac:dyDescent="0.25">
      <c r="A70" s="85">
        <v>9416</v>
      </c>
      <c r="B70" s="85" t="s">
        <v>1634</v>
      </c>
      <c r="C70" s="85" t="s">
        <v>380</v>
      </c>
      <c r="D70" s="85" t="s">
        <v>400</v>
      </c>
      <c r="E70" s="85"/>
      <c r="F70" s="85" t="s">
        <v>155</v>
      </c>
      <c r="G70" s="85"/>
      <c r="H70" s="85"/>
      <c r="I70" s="86"/>
      <c r="J70" s="86"/>
      <c r="K70" s="87"/>
      <c r="L70" s="87"/>
      <c r="M70" s="88"/>
      <c r="N70" s="89"/>
      <c r="O70" s="87"/>
      <c r="P70" s="87"/>
      <c r="Q70" s="87"/>
      <c r="R70" s="87"/>
      <c r="S70" s="87">
        <v>1</v>
      </c>
      <c r="T70" s="87">
        <v>1</v>
      </c>
      <c r="U70" s="87"/>
      <c r="V70" s="90" t="s">
        <v>1084</v>
      </c>
    </row>
    <row r="71" ht="15" customHeight="1" spans="1:23" x14ac:dyDescent="0.25">
      <c r="A71" s="85">
        <v>9416</v>
      </c>
      <c r="B71" s="85" t="s">
        <v>1634</v>
      </c>
      <c r="C71" s="85" t="s">
        <v>380</v>
      </c>
      <c r="D71" s="85" t="s">
        <v>400</v>
      </c>
      <c r="E71" s="85"/>
      <c r="F71" s="85" t="s">
        <v>1084</v>
      </c>
      <c r="G71" s="85" t="s">
        <v>283</v>
      </c>
      <c r="H71" s="85" t="s">
        <v>1561</v>
      </c>
      <c r="I71" s="86">
        <v>248</v>
      </c>
      <c r="J71" s="86">
        <v>248</v>
      </c>
      <c r="K71" s="87">
        <v>1</v>
      </c>
      <c r="L71" s="87">
        <v>1</v>
      </c>
      <c r="M71" s="88">
        <v>1</v>
      </c>
      <c r="N71" s="89"/>
      <c r="O71" s="87"/>
      <c r="P71" s="87"/>
      <c r="Q71" s="87"/>
      <c r="R71" s="87"/>
      <c r="S71" s="87">
        <v>1</v>
      </c>
      <c r="T71" s="87"/>
      <c r="U71" s="87">
        <v>0</v>
      </c>
      <c r="V71" s="90" t="s">
        <v>1084</v>
      </c>
    </row>
    <row r="72" ht="15" customHeight="1" spans="1:23" x14ac:dyDescent="0.25">
      <c r="A72" s="85">
        <v>9433</v>
      </c>
      <c r="B72" s="85" t="s">
        <v>1635</v>
      </c>
      <c r="C72" s="85" t="s">
        <v>380</v>
      </c>
      <c r="D72" s="85" t="s">
        <v>176</v>
      </c>
      <c r="E72" s="85"/>
      <c r="F72" s="85" t="s">
        <v>155</v>
      </c>
      <c r="G72" s="85"/>
      <c r="H72" s="85"/>
      <c r="I72" s="86"/>
      <c r="J72" s="86"/>
      <c r="K72" s="87"/>
      <c r="L72" s="87"/>
      <c r="M72" s="88"/>
      <c r="N72" s="89"/>
      <c r="O72" s="87"/>
      <c r="P72" s="87"/>
      <c r="Q72" s="87"/>
      <c r="R72" s="87"/>
      <c r="S72" s="87">
        <v>1</v>
      </c>
      <c r="T72" s="87">
        <v>1</v>
      </c>
      <c r="U72" s="87"/>
      <c r="V72" s="90" t="s">
        <v>1084</v>
      </c>
    </row>
    <row r="73" ht="15" customHeight="1" spans="1:23" x14ac:dyDescent="0.25">
      <c r="A73" s="85">
        <v>9433</v>
      </c>
      <c r="B73" s="85" t="s">
        <v>1635</v>
      </c>
      <c r="C73" s="85" t="s">
        <v>380</v>
      </c>
      <c r="D73" s="85" t="s">
        <v>176</v>
      </c>
      <c r="E73" s="85"/>
      <c r="F73" s="85" t="s">
        <v>1084</v>
      </c>
      <c r="G73" s="85" t="s">
        <v>283</v>
      </c>
      <c r="H73" s="85" t="s">
        <v>1561</v>
      </c>
      <c r="I73" s="86">
        <v>248</v>
      </c>
      <c r="J73" s="86">
        <v>248</v>
      </c>
      <c r="K73" s="87">
        <v>1</v>
      </c>
      <c r="L73" s="87">
        <v>1</v>
      </c>
      <c r="M73" s="88">
        <v>1</v>
      </c>
      <c r="N73" s="89"/>
      <c r="O73" s="87"/>
      <c r="P73" s="87"/>
      <c r="Q73" s="87"/>
      <c r="R73" s="87"/>
      <c r="S73" s="87">
        <v>1</v>
      </c>
      <c r="T73" s="87"/>
      <c r="U73" s="87">
        <v>0</v>
      </c>
      <c r="V73" s="90" t="s">
        <v>1084</v>
      </c>
    </row>
    <row r="74" ht="15" customHeight="1" spans="1:23" x14ac:dyDescent="0.25">
      <c r="A74" s="85">
        <v>9689</v>
      </c>
      <c r="B74" s="85" t="s">
        <v>1636</v>
      </c>
      <c r="C74" s="85" t="s">
        <v>380</v>
      </c>
      <c r="D74" s="85" t="s">
        <v>460</v>
      </c>
      <c r="E74" s="85"/>
      <c r="F74" s="85" t="s">
        <v>155</v>
      </c>
      <c r="G74" s="85"/>
      <c r="H74" s="85"/>
      <c r="I74" s="86"/>
      <c r="J74" s="86"/>
      <c r="K74" s="87"/>
      <c r="L74" s="87"/>
      <c r="M74" s="88"/>
      <c r="N74" s="89"/>
      <c r="O74" s="87"/>
      <c r="P74" s="87"/>
      <c r="Q74" s="87"/>
      <c r="R74" s="87"/>
      <c r="S74" s="87">
        <v>1</v>
      </c>
      <c r="T74" s="87">
        <v>1</v>
      </c>
      <c r="U74" s="87"/>
      <c r="V74" s="90" t="s">
        <v>1084</v>
      </c>
    </row>
    <row r="75" ht="15" customHeight="1" spans="1:23" x14ac:dyDescent="0.25">
      <c r="A75" s="85">
        <v>9689</v>
      </c>
      <c r="B75" s="85" t="s">
        <v>1636</v>
      </c>
      <c r="C75" s="85" t="s">
        <v>380</v>
      </c>
      <c r="D75" s="85" t="s">
        <v>460</v>
      </c>
      <c r="E75" s="85"/>
      <c r="F75" s="85" t="s">
        <v>1084</v>
      </c>
      <c r="G75" s="85" t="s">
        <v>283</v>
      </c>
      <c r="H75" s="85" t="s">
        <v>1561</v>
      </c>
      <c r="I75" s="86">
        <v>248</v>
      </c>
      <c r="J75" s="86">
        <v>248</v>
      </c>
      <c r="K75" s="87">
        <v>1</v>
      </c>
      <c r="L75" s="87">
        <v>1</v>
      </c>
      <c r="M75" s="88">
        <v>1</v>
      </c>
      <c r="N75" s="89"/>
      <c r="O75" s="87"/>
      <c r="P75" s="87"/>
      <c r="Q75" s="87"/>
      <c r="R75" s="87"/>
      <c r="S75" s="87">
        <v>1</v>
      </c>
      <c r="T75" s="87"/>
      <c r="U75" s="87">
        <v>0</v>
      </c>
      <c r="V75" s="90" t="s">
        <v>1084</v>
      </c>
    </row>
    <row r="76" ht="15" customHeight="1" spans="1:23" x14ac:dyDescent="0.25">
      <c r="A76" s="85">
        <v>9874</v>
      </c>
      <c r="B76" s="85" t="s">
        <v>1637</v>
      </c>
      <c r="C76" s="85" t="s">
        <v>380</v>
      </c>
      <c r="D76" s="85" t="s">
        <v>495</v>
      </c>
      <c r="E76" s="85"/>
      <c r="F76" s="85" t="s">
        <v>155</v>
      </c>
      <c r="G76" s="85"/>
      <c r="H76" s="85"/>
      <c r="I76" s="86"/>
      <c r="J76" s="86"/>
      <c r="K76" s="87"/>
      <c r="L76" s="87"/>
      <c r="M76" s="88"/>
      <c r="N76" s="89"/>
      <c r="O76" s="87"/>
      <c r="P76" s="87"/>
      <c r="Q76" s="87"/>
      <c r="R76" s="87"/>
      <c r="S76" s="87">
        <v>1</v>
      </c>
      <c r="T76" s="87">
        <v>1</v>
      </c>
      <c r="U76" s="87"/>
      <c r="V76" s="90" t="s">
        <v>1084</v>
      </c>
    </row>
    <row r="77" ht="15" customHeight="1" spans="1:23" x14ac:dyDescent="0.25">
      <c r="A77" s="85">
        <v>9874</v>
      </c>
      <c r="B77" s="85" t="s">
        <v>1637</v>
      </c>
      <c r="C77" s="85" t="s">
        <v>380</v>
      </c>
      <c r="D77" s="85" t="s">
        <v>495</v>
      </c>
      <c r="E77" s="85"/>
      <c r="F77" s="85" t="s">
        <v>1084</v>
      </c>
      <c r="G77" s="85" t="s">
        <v>283</v>
      </c>
      <c r="H77" s="85" t="s">
        <v>1561</v>
      </c>
      <c r="I77" s="86">
        <v>248</v>
      </c>
      <c r="J77" s="86">
        <v>248</v>
      </c>
      <c r="K77" s="87">
        <v>1</v>
      </c>
      <c r="L77" s="87">
        <v>1</v>
      </c>
      <c r="M77" s="88">
        <v>1</v>
      </c>
      <c r="N77" s="89"/>
      <c r="O77" s="87"/>
      <c r="P77" s="87"/>
      <c r="Q77" s="87"/>
      <c r="R77" s="87"/>
      <c r="S77" s="87">
        <v>1</v>
      </c>
      <c r="T77" s="87"/>
      <c r="U77" s="87">
        <v>0</v>
      </c>
      <c r="V77" s="90" t="s">
        <v>1084</v>
      </c>
    </row>
    <row r="78" ht="15" customHeight="1" spans="1:23" x14ac:dyDescent="0.25">
      <c r="A78" s="85">
        <v>10320</v>
      </c>
      <c r="B78" s="85" t="s">
        <v>1638</v>
      </c>
      <c r="C78" s="85" t="s">
        <v>380</v>
      </c>
      <c r="D78" s="85" t="s">
        <v>601</v>
      </c>
      <c r="E78" s="85"/>
      <c r="F78" s="85" t="s">
        <v>155</v>
      </c>
      <c r="G78" s="85"/>
      <c r="H78" s="85"/>
      <c r="I78" s="86"/>
      <c r="J78" s="86"/>
      <c r="K78" s="87"/>
      <c r="L78" s="87"/>
      <c r="M78" s="88"/>
      <c r="N78" s="89"/>
      <c r="O78" s="87"/>
      <c r="P78" s="87"/>
      <c r="Q78" s="87"/>
      <c r="R78" s="87"/>
      <c r="S78" s="87">
        <v>1</v>
      </c>
      <c r="T78" s="87">
        <v>1</v>
      </c>
      <c r="U78" s="87"/>
      <c r="V78" s="90" t="s">
        <v>1084</v>
      </c>
    </row>
    <row r="79" ht="15" customHeight="1" spans="1:23" x14ac:dyDescent="0.25">
      <c r="A79" s="85">
        <v>10320</v>
      </c>
      <c r="B79" s="85" t="s">
        <v>1638</v>
      </c>
      <c r="C79" s="85" t="s">
        <v>380</v>
      </c>
      <c r="D79" s="85" t="s">
        <v>601</v>
      </c>
      <c r="E79" s="85"/>
      <c r="F79" s="85" t="s">
        <v>1084</v>
      </c>
      <c r="G79" s="85" t="s">
        <v>283</v>
      </c>
      <c r="H79" s="85" t="s">
        <v>1561</v>
      </c>
      <c r="I79" s="86">
        <v>248</v>
      </c>
      <c r="J79" s="86">
        <v>248</v>
      </c>
      <c r="K79" s="87">
        <v>1</v>
      </c>
      <c r="L79" s="87">
        <v>1</v>
      </c>
      <c r="M79" s="88">
        <v>1</v>
      </c>
      <c r="N79" s="89"/>
      <c r="O79" s="87"/>
      <c r="P79" s="87"/>
      <c r="Q79" s="87"/>
      <c r="R79" s="87"/>
      <c r="S79" s="87">
        <v>1</v>
      </c>
      <c r="T79" s="87"/>
      <c r="U79" s="87">
        <v>0</v>
      </c>
      <c r="V79" s="90" t="s">
        <v>1084</v>
      </c>
    </row>
    <row r="80" ht="15" customHeight="1" spans="1:23" x14ac:dyDescent="0.25">
      <c r="A80" s="85">
        <v>10460</v>
      </c>
      <c r="B80" s="85" t="s">
        <v>1639</v>
      </c>
      <c r="C80" s="85" t="s">
        <v>380</v>
      </c>
      <c r="D80" s="85" t="s">
        <v>798</v>
      </c>
      <c r="E80" s="85"/>
      <c r="F80" s="85" t="s">
        <v>155</v>
      </c>
      <c r="G80" s="85"/>
      <c r="H80" s="85"/>
      <c r="I80" s="86"/>
      <c r="J80" s="86"/>
      <c r="K80" s="87"/>
      <c r="L80" s="87"/>
      <c r="M80" s="88"/>
      <c r="N80" s="89"/>
      <c r="O80" s="87"/>
      <c r="P80" s="87"/>
      <c r="Q80" s="87"/>
      <c r="R80" s="87"/>
      <c r="S80" s="87">
        <v>1</v>
      </c>
      <c r="T80" s="87">
        <v>1</v>
      </c>
      <c r="U80" s="87"/>
      <c r="V80" s="90" t="s">
        <v>1084</v>
      </c>
    </row>
    <row r="81" ht="15" customHeight="1" spans="1:23" x14ac:dyDescent="0.25">
      <c r="A81" s="85">
        <v>10460</v>
      </c>
      <c r="B81" s="85" t="s">
        <v>1639</v>
      </c>
      <c r="C81" s="85" t="s">
        <v>380</v>
      </c>
      <c r="D81" s="85" t="s">
        <v>798</v>
      </c>
      <c r="E81" s="85"/>
      <c r="F81" s="85" t="s">
        <v>1084</v>
      </c>
      <c r="G81" s="85" t="s">
        <v>283</v>
      </c>
      <c r="H81" s="85" t="s">
        <v>1561</v>
      </c>
      <c r="I81" s="86">
        <v>248</v>
      </c>
      <c r="J81" s="86">
        <v>248</v>
      </c>
      <c r="K81" s="87">
        <v>1</v>
      </c>
      <c r="L81" s="87">
        <v>1</v>
      </c>
      <c r="M81" s="88">
        <v>1</v>
      </c>
      <c r="N81" s="89"/>
      <c r="O81" s="87"/>
      <c r="P81" s="87"/>
      <c r="Q81" s="87"/>
      <c r="R81" s="87"/>
      <c r="S81" s="87">
        <v>1</v>
      </c>
      <c r="T81" s="87"/>
      <c r="U81" s="87">
        <v>0</v>
      </c>
      <c r="V81" s="90" t="s">
        <v>1084</v>
      </c>
    </row>
    <row r="82" ht="15" customHeight="1" spans="1:23" x14ac:dyDescent="0.25">
      <c r="A82" s="85">
        <v>10477</v>
      </c>
      <c r="B82" s="85" t="s">
        <v>1640</v>
      </c>
      <c r="C82" s="85" t="s">
        <v>380</v>
      </c>
      <c r="D82" s="85" t="s">
        <v>898</v>
      </c>
      <c r="E82" s="85"/>
      <c r="F82" s="85" t="s">
        <v>155</v>
      </c>
      <c r="G82" s="85"/>
      <c r="H82" s="85"/>
      <c r="I82" s="86"/>
      <c r="J82" s="86"/>
      <c r="K82" s="87"/>
      <c r="L82" s="87"/>
      <c r="M82" s="88"/>
      <c r="N82" s="89"/>
      <c r="O82" s="87"/>
      <c r="P82" s="87"/>
      <c r="Q82" s="87"/>
      <c r="R82" s="87"/>
      <c r="S82" s="87">
        <v>1</v>
      </c>
      <c r="T82" s="87">
        <v>1</v>
      </c>
      <c r="U82" s="87"/>
      <c r="V82" s="90" t="s">
        <v>1084</v>
      </c>
    </row>
    <row r="83" ht="15" customHeight="1" spans="1:23" x14ac:dyDescent="0.25">
      <c r="A83" s="85">
        <v>10477</v>
      </c>
      <c r="B83" s="85" t="s">
        <v>1640</v>
      </c>
      <c r="C83" s="85" t="s">
        <v>380</v>
      </c>
      <c r="D83" s="85" t="s">
        <v>898</v>
      </c>
      <c r="E83" s="85"/>
      <c r="F83" s="85" t="s">
        <v>1084</v>
      </c>
      <c r="G83" s="85" t="s">
        <v>283</v>
      </c>
      <c r="H83" s="85" t="s">
        <v>1561</v>
      </c>
      <c r="I83" s="86">
        <v>248</v>
      </c>
      <c r="J83" s="86">
        <v>248</v>
      </c>
      <c r="K83" s="87">
        <v>1</v>
      </c>
      <c r="L83" s="87">
        <v>1</v>
      </c>
      <c r="M83" s="88">
        <v>1</v>
      </c>
      <c r="N83" s="89"/>
      <c r="O83" s="87"/>
      <c r="P83" s="87"/>
      <c r="Q83" s="87"/>
      <c r="R83" s="87"/>
      <c r="S83" s="87">
        <v>1</v>
      </c>
      <c r="T83" s="87"/>
      <c r="U83" s="87">
        <v>0</v>
      </c>
      <c r="V83" s="90" t="s">
        <v>1084</v>
      </c>
    </row>
    <row r="84" ht="15" customHeight="1" spans="1:23" x14ac:dyDescent="0.25">
      <c r="A84" s="85">
        <v>11137</v>
      </c>
      <c r="B84" s="85" t="s">
        <v>1641</v>
      </c>
      <c r="C84" s="85" t="s">
        <v>965</v>
      </c>
      <c r="D84" s="85" t="s">
        <v>1043</v>
      </c>
      <c r="E84" s="85"/>
      <c r="F84" s="85" t="s">
        <v>155</v>
      </c>
      <c r="G84" s="85"/>
      <c r="H84" s="85"/>
      <c r="I84" s="86"/>
      <c r="J84" s="86"/>
      <c r="K84" s="87"/>
      <c r="L84" s="87"/>
      <c r="M84" s="88"/>
      <c r="N84" s="89"/>
      <c r="O84" s="87"/>
      <c r="P84" s="87"/>
      <c r="Q84" s="87"/>
      <c r="R84" s="87"/>
      <c r="S84" s="87">
        <v>1</v>
      </c>
      <c r="T84" s="87">
        <v>1</v>
      </c>
      <c r="U84" s="87">
        <v>1</v>
      </c>
      <c r="V84" s="90" t="s">
        <v>1642</v>
      </c>
    </row>
    <row r="85" ht="15" customHeight="1" spans="1:23" x14ac:dyDescent="0.25">
      <c r="A85" s="85">
        <v>11137</v>
      </c>
      <c r="B85" s="85" t="s">
        <v>1641</v>
      </c>
      <c r="C85" s="85" t="s">
        <v>965</v>
      </c>
      <c r="D85" s="85" t="s">
        <v>1043</v>
      </c>
      <c r="E85" s="85"/>
      <c r="F85" s="85" t="s">
        <v>1084</v>
      </c>
      <c r="G85" s="85" t="s">
        <v>283</v>
      </c>
      <c r="H85" s="85" t="s">
        <v>1561</v>
      </c>
      <c r="I85" s="86">
        <v>248</v>
      </c>
      <c r="J85" s="86">
        <v>248</v>
      </c>
      <c r="K85" s="87">
        <v>1</v>
      </c>
      <c r="L85" s="87">
        <v>1</v>
      </c>
      <c r="M85" s="88">
        <v>1</v>
      </c>
      <c r="N85" s="89"/>
      <c r="O85" s="87"/>
      <c r="P85" s="87"/>
      <c r="Q85" s="87"/>
      <c r="R85" s="87"/>
      <c r="S85" s="87">
        <v>1</v>
      </c>
      <c r="T85" s="87"/>
      <c r="U85" s="87">
        <v>1</v>
      </c>
      <c r="V85" s="90" t="s">
        <v>1642</v>
      </c>
    </row>
    <row r="86" ht="15" customHeight="1" spans="1:23" x14ac:dyDescent="0.25">
      <c r="A86" s="85">
        <v>11180</v>
      </c>
      <c r="B86" s="85" t="s">
        <v>1643</v>
      </c>
      <c r="C86" s="85" t="s">
        <v>161</v>
      </c>
      <c r="D86" s="85" t="s">
        <v>320</v>
      </c>
      <c r="E86" s="85"/>
      <c r="F86" s="85" t="s">
        <v>155</v>
      </c>
      <c r="G86" s="85"/>
      <c r="H86" s="85"/>
      <c r="I86" s="86"/>
      <c r="J86" s="86"/>
      <c r="K86" s="87"/>
      <c r="L86" s="87"/>
      <c r="M86" s="88"/>
      <c r="N86" s="89"/>
      <c r="O86" s="87"/>
      <c r="P86" s="87"/>
      <c r="Q86" s="87"/>
      <c r="R86" s="87"/>
      <c r="S86" s="87">
        <v>1</v>
      </c>
      <c r="T86" s="87">
        <v>1</v>
      </c>
      <c r="U86" s="87"/>
      <c r="V86" s="90" t="s">
        <v>1084</v>
      </c>
    </row>
    <row r="87" ht="15" customHeight="1" spans="1:23" x14ac:dyDescent="0.25">
      <c r="A87" s="85">
        <v>11180</v>
      </c>
      <c r="B87" s="85" t="s">
        <v>1643</v>
      </c>
      <c r="C87" s="85" t="s">
        <v>161</v>
      </c>
      <c r="D87" s="85" t="s">
        <v>320</v>
      </c>
      <c r="E87" s="85"/>
      <c r="F87" s="85" t="s">
        <v>1084</v>
      </c>
      <c r="G87" s="85" t="s">
        <v>283</v>
      </c>
      <c r="H87" s="85" t="s">
        <v>1561</v>
      </c>
      <c r="I87" s="86">
        <v>248</v>
      </c>
      <c r="J87" s="86">
        <v>248</v>
      </c>
      <c r="K87" s="87">
        <v>1</v>
      </c>
      <c r="L87" s="87">
        <v>1</v>
      </c>
      <c r="M87" s="88">
        <v>1</v>
      </c>
      <c r="N87" s="89"/>
      <c r="O87" s="87"/>
      <c r="P87" s="87"/>
      <c r="Q87" s="87"/>
      <c r="R87" s="87"/>
      <c r="S87" s="87">
        <v>1</v>
      </c>
      <c r="T87" s="87"/>
      <c r="U87" s="87">
        <v>0</v>
      </c>
      <c r="V87" s="90" t="s">
        <v>1084</v>
      </c>
    </row>
    <row r="88" ht="15" customHeight="1" spans="1:23" x14ac:dyDescent="0.25">
      <c r="A88" s="85">
        <v>11280</v>
      </c>
      <c r="B88" s="85" t="s">
        <v>1644</v>
      </c>
      <c r="C88" s="85" t="s">
        <v>380</v>
      </c>
      <c r="D88" s="85" t="s">
        <v>516</v>
      </c>
      <c r="E88" s="85"/>
      <c r="F88" s="85" t="s">
        <v>155</v>
      </c>
      <c r="G88" s="85"/>
      <c r="H88" s="85"/>
      <c r="I88" s="86"/>
      <c r="J88" s="86"/>
      <c r="K88" s="87"/>
      <c r="L88" s="87"/>
      <c r="M88" s="88"/>
      <c r="N88" s="89"/>
      <c r="O88" s="87"/>
      <c r="P88" s="87"/>
      <c r="Q88" s="87"/>
      <c r="R88" s="87"/>
      <c r="S88" s="87">
        <v>1</v>
      </c>
      <c r="T88" s="87">
        <v>1</v>
      </c>
      <c r="U88" s="87">
        <v>1</v>
      </c>
      <c r="V88" s="90" t="s">
        <v>1622</v>
      </c>
    </row>
    <row r="89" ht="15" customHeight="1" spans="1:23" x14ac:dyDescent="0.25">
      <c r="A89" s="85">
        <v>11280</v>
      </c>
      <c r="B89" s="85" t="s">
        <v>1644</v>
      </c>
      <c r="C89" s="85" t="s">
        <v>380</v>
      </c>
      <c r="D89" s="85" t="s">
        <v>516</v>
      </c>
      <c r="E89" s="85"/>
      <c r="F89" s="85" t="s">
        <v>1084</v>
      </c>
      <c r="G89" s="85" t="s">
        <v>283</v>
      </c>
      <c r="H89" s="85" t="s">
        <v>1561</v>
      </c>
      <c r="I89" s="86">
        <v>248</v>
      </c>
      <c r="J89" s="86">
        <v>248</v>
      </c>
      <c r="K89" s="87">
        <v>1</v>
      </c>
      <c r="L89" s="87">
        <v>1</v>
      </c>
      <c r="M89" s="88">
        <v>1</v>
      </c>
      <c r="N89" s="89"/>
      <c r="O89" s="87"/>
      <c r="P89" s="87"/>
      <c r="Q89" s="87"/>
      <c r="R89" s="87"/>
      <c r="S89" s="87">
        <v>1</v>
      </c>
      <c r="T89" s="87"/>
      <c r="U89" s="87">
        <v>1</v>
      </c>
      <c r="V89" s="90" t="s">
        <v>1622</v>
      </c>
    </row>
    <row r="90" ht="15" customHeight="1" spans="1:23" x14ac:dyDescent="0.25">
      <c r="A90" s="85">
        <v>11310</v>
      </c>
      <c r="B90" s="85" t="s">
        <v>1645</v>
      </c>
      <c r="C90" s="85" t="s">
        <v>380</v>
      </c>
      <c r="D90" s="85" t="s">
        <v>500</v>
      </c>
      <c r="E90" s="85"/>
      <c r="F90" s="85" t="s">
        <v>155</v>
      </c>
      <c r="G90" s="85"/>
      <c r="H90" s="85"/>
      <c r="I90" s="86"/>
      <c r="J90" s="86"/>
      <c r="K90" s="87"/>
      <c r="L90" s="87"/>
      <c r="M90" s="88"/>
      <c r="N90" s="89"/>
      <c r="O90" s="87"/>
      <c r="P90" s="87"/>
      <c r="Q90" s="87"/>
      <c r="R90" s="87"/>
      <c r="S90" s="87">
        <v>0.5161290322580645</v>
      </c>
      <c r="T90" s="87">
        <v>0.5161290322580645</v>
      </c>
      <c r="U90" s="87">
        <v>0.4838709677419355</v>
      </c>
      <c r="V90" s="90" t="s">
        <v>1646</v>
      </c>
    </row>
    <row r="91" ht="15" customHeight="1" spans="1:23" x14ac:dyDescent="0.25">
      <c r="A91" s="85">
        <v>11310</v>
      </c>
      <c r="B91" s="85" t="s">
        <v>1645</v>
      </c>
      <c r="C91" s="85" t="s">
        <v>380</v>
      </c>
      <c r="D91" s="85" t="s">
        <v>500</v>
      </c>
      <c r="E91" s="85"/>
      <c r="F91" s="85" t="s">
        <v>1084</v>
      </c>
      <c r="G91" s="85" t="s">
        <v>1647</v>
      </c>
      <c r="H91" s="85" t="s">
        <v>1561</v>
      </c>
      <c r="I91" s="86">
        <v>248</v>
      </c>
      <c r="J91" s="86">
        <v>240</v>
      </c>
      <c r="K91" s="87">
        <v>0.967741935483871</v>
      </c>
      <c r="L91" s="87">
        <v>0.5</v>
      </c>
      <c r="M91" s="88">
        <v>0.4838709677419355</v>
      </c>
      <c r="N91" s="89"/>
      <c r="O91" s="87"/>
      <c r="P91" s="87"/>
      <c r="Q91" s="87"/>
      <c r="R91" s="87"/>
      <c r="S91" s="87">
        <v>0.4838709677419355</v>
      </c>
      <c r="T91" s="87"/>
      <c r="U91" s="87">
        <v>0.4838709677419355</v>
      </c>
      <c r="V91" s="90" t="s">
        <v>1646</v>
      </c>
    </row>
    <row r="92" ht="15" customHeight="1" spans="1:23" x14ac:dyDescent="0.25">
      <c r="A92" s="85">
        <v>11310</v>
      </c>
      <c r="B92" s="85" t="s">
        <v>1645</v>
      </c>
      <c r="C92" s="85" t="s">
        <v>380</v>
      </c>
      <c r="D92" s="85" t="s">
        <v>500</v>
      </c>
      <c r="E92" s="85"/>
      <c r="F92" s="85" t="s">
        <v>1084</v>
      </c>
      <c r="G92" s="85" t="s">
        <v>283</v>
      </c>
      <c r="H92" s="85" t="s">
        <v>1648</v>
      </c>
      <c r="I92" s="86">
        <v>248</v>
      </c>
      <c r="J92" s="86">
        <v>8</v>
      </c>
      <c r="K92" s="87">
        <v>0.03225806451612903</v>
      </c>
      <c r="L92" s="87">
        <v>1</v>
      </c>
      <c r="M92" s="88">
        <v>0.03225806451612903</v>
      </c>
      <c r="N92" s="89"/>
      <c r="O92" s="87"/>
      <c r="P92" s="87"/>
      <c r="Q92" s="87"/>
      <c r="R92" s="87"/>
      <c r="S92" s="87">
        <v>0.03225806451612903</v>
      </c>
      <c r="T92" s="87"/>
      <c r="U92" s="87">
        <v>0</v>
      </c>
      <c r="V92" s="90" t="s">
        <v>1084</v>
      </c>
    </row>
    <row r="93" ht="15" customHeight="1" spans="1:23" x14ac:dyDescent="0.25">
      <c r="A93" s="85">
        <v>11341</v>
      </c>
      <c r="B93" s="85" t="s">
        <v>1649</v>
      </c>
      <c r="C93" s="85" t="s">
        <v>161</v>
      </c>
      <c r="D93" s="85" t="s">
        <v>182</v>
      </c>
      <c r="E93" s="85"/>
      <c r="F93" s="85" t="s">
        <v>155</v>
      </c>
      <c r="G93" s="85"/>
      <c r="H93" s="85"/>
      <c r="I93" s="86"/>
      <c r="J93" s="86"/>
      <c r="K93" s="87"/>
      <c r="L93" s="87"/>
      <c r="M93" s="88"/>
      <c r="N93" s="89"/>
      <c r="O93" s="87"/>
      <c r="P93" s="87"/>
      <c r="Q93" s="87"/>
      <c r="R93" s="87"/>
      <c r="S93" s="87">
        <v>1</v>
      </c>
      <c r="T93" s="87">
        <v>1</v>
      </c>
      <c r="U93" s="87">
        <v>1</v>
      </c>
      <c r="V93" s="90" t="s">
        <v>1650</v>
      </c>
    </row>
    <row r="94" ht="15" customHeight="1" spans="1:23" x14ac:dyDescent="0.25">
      <c r="A94" s="85">
        <v>11341</v>
      </c>
      <c r="B94" s="85" t="s">
        <v>1649</v>
      </c>
      <c r="C94" s="85" t="s">
        <v>161</v>
      </c>
      <c r="D94" s="85" t="s">
        <v>182</v>
      </c>
      <c r="E94" s="85"/>
      <c r="F94" s="85" t="s">
        <v>1084</v>
      </c>
      <c r="G94" s="85" t="s">
        <v>283</v>
      </c>
      <c r="H94" s="85" t="s">
        <v>1561</v>
      </c>
      <c r="I94" s="86">
        <v>248</v>
      </c>
      <c r="J94" s="86">
        <v>248</v>
      </c>
      <c r="K94" s="87">
        <v>1</v>
      </c>
      <c r="L94" s="87">
        <v>1</v>
      </c>
      <c r="M94" s="88">
        <v>1</v>
      </c>
      <c r="N94" s="89"/>
      <c r="O94" s="87"/>
      <c r="P94" s="87"/>
      <c r="Q94" s="87"/>
      <c r="R94" s="87"/>
      <c r="S94" s="87">
        <v>1</v>
      </c>
      <c r="T94" s="87"/>
      <c r="U94" s="87">
        <v>1</v>
      </c>
      <c r="V94" s="90" t="s">
        <v>1651</v>
      </c>
    </row>
    <row r="95" ht="15" customHeight="1" spans="1:23" x14ac:dyDescent="0.25">
      <c r="A95" s="85">
        <v>11524</v>
      </c>
      <c r="B95" s="85" t="s">
        <v>1652</v>
      </c>
      <c r="C95" s="85" t="s">
        <v>380</v>
      </c>
      <c r="D95" s="85" t="s">
        <v>667</v>
      </c>
      <c r="E95" s="85"/>
      <c r="F95" s="85" t="s">
        <v>155</v>
      </c>
      <c r="G95" s="85"/>
      <c r="H95" s="85"/>
      <c r="I95" s="86"/>
      <c r="J95" s="86"/>
      <c r="K95" s="87"/>
      <c r="L95" s="87"/>
      <c r="M95" s="88"/>
      <c r="N95" s="89"/>
      <c r="O95" s="87"/>
      <c r="P95" s="87"/>
      <c r="Q95" s="87"/>
      <c r="R95" s="87"/>
      <c r="S95" s="87">
        <v>1</v>
      </c>
      <c r="T95" s="87">
        <v>1</v>
      </c>
      <c r="U95" s="87">
        <v>1</v>
      </c>
      <c r="V95" s="90" t="s">
        <v>1653</v>
      </c>
    </row>
    <row r="96" ht="15" customHeight="1" spans="1:23" x14ac:dyDescent="0.25">
      <c r="A96" s="85">
        <v>11524</v>
      </c>
      <c r="B96" s="85" t="s">
        <v>1652</v>
      </c>
      <c r="C96" s="85" t="s">
        <v>380</v>
      </c>
      <c r="D96" s="85" t="s">
        <v>667</v>
      </c>
      <c r="E96" s="85"/>
      <c r="F96" s="85" t="s">
        <v>1084</v>
      </c>
      <c r="G96" s="85" t="s">
        <v>283</v>
      </c>
      <c r="H96" s="85" t="s">
        <v>1561</v>
      </c>
      <c r="I96" s="86">
        <v>248</v>
      </c>
      <c r="J96" s="86">
        <v>248</v>
      </c>
      <c r="K96" s="87">
        <v>1</v>
      </c>
      <c r="L96" s="87">
        <v>1</v>
      </c>
      <c r="M96" s="88">
        <v>1</v>
      </c>
      <c r="N96" s="89"/>
      <c r="O96" s="87"/>
      <c r="P96" s="87"/>
      <c r="Q96" s="87"/>
      <c r="R96" s="87"/>
      <c r="S96" s="87">
        <v>1</v>
      </c>
      <c r="T96" s="87"/>
      <c r="U96" s="87">
        <v>1</v>
      </c>
      <c r="V96" s="90" t="s">
        <v>1653</v>
      </c>
    </row>
    <row r="97" ht="15" customHeight="1" spans="1:23" x14ac:dyDescent="0.25">
      <c r="A97" s="85">
        <v>11769</v>
      </c>
      <c r="B97" s="85" t="s">
        <v>1654</v>
      </c>
      <c r="C97" s="85" t="s">
        <v>161</v>
      </c>
      <c r="D97" s="85" t="s">
        <v>330</v>
      </c>
      <c r="E97" s="85"/>
      <c r="F97" s="85" t="s">
        <v>155</v>
      </c>
      <c r="G97" s="85"/>
      <c r="H97" s="85"/>
      <c r="I97" s="86"/>
      <c r="J97" s="86"/>
      <c r="K97" s="87"/>
      <c r="L97" s="87"/>
      <c r="M97" s="88"/>
      <c r="N97" s="89"/>
      <c r="O97" s="87"/>
      <c r="P97" s="87"/>
      <c r="Q97" s="87"/>
      <c r="R97" s="87"/>
      <c r="S97" s="87">
        <v>1</v>
      </c>
      <c r="T97" s="87">
        <v>1</v>
      </c>
      <c r="U97" s="87">
        <v>1</v>
      </c>
      <c r="V97" s="90" t="s">
        <v>1655</v>
      </c>
    </row>
    <row r="98" ht="15" customHeight="1" spans="1:23" x14ac:dyDescent="0.25">
      <c r="A98" s="85">
        <v>11769</v>
      </c>
      <c r="B98" s="85" t="s">
        <v>1654</v>
      </c>
      <c r="C98" s="85" t="s">
        <v>161</v>
      </c>
      <c r="D98" s="85" t="s">
        <v>330</v>
      </c>
      <c r="E98" s="85"/>
      <c r="F98" s="85" t="s">
        <v>1084</v>
      </c>
      <c r="G98" s="85" t="s">
        <v>283</v>
      </c>
      <c r="H98" s="85" t="s">
        <v>1561</v>
      </c>
      <c r="I98" s="86">
        <v>248</v>
      </c>
      <c r="J98" s="86">
        <v>248</v>
      </c>
      <c r="K98" s="87">
        <v>1</v>
      </c>
      <c r="L98" s="87">
        <v>1</v>
      </c>
      <c r="M98" s="88">
        <v>1</v>
      </c>
      <c r="N98" s="89"/>
      <c r="O98" s="87"/>
      <c r="P98" s="87"/>
      <c r="Q98" s="87"/>
      <c r="R98" s="87"/>
      <c r="S98" s="87">
        <v>1</v>
      </c>
      <c r="T98" s="87"/>
      <c r="U98" s="87">
        <v>1</v>
      </c>
      <c r="V98" s="90" t="s">
        <v>1656</v>
      </c>
    </row>
    <row r="99" ht="15" customHeight="1" spans="1:23" x14ac:dyDescent="0.25">
      <c r="A99" s="85">
        <v>12108</v>
      </c>
      <c r="B99" s="85" t="s">
        <v>1657</v>
      </c>
      <c r="C99" s="85" t="s">
        <v>380</v>
      </c>
      <c r="D99" s="85" t="s">
        <v>615</v>
      </c>
      <c r="E99" s="85"/>
      <c r="F99" s="85" t="s">
        <v>155</v>
      </c>
      <c r="G99" s="85"/>
      <c r="H99" s="85"/>
      <c r="I99" s="86"/>
      <c r="J99" s="86"/>
      <c r="K99" s="87"/>
      <c r="L99" s="87"/>
      <c r="M99" s="88"/>
      <c r="N99" s="89"/>
      <c r="O99" s="87"/>
      <c r="P99" s="87"/>
      <c r="Q99" s="87"/>
      <c r="R99" s="87"/>
      <c r="S99" s="87">
        <v>1</v>
      </c>
      <c r="T99" s="87">
        <v>1</v>
      </c>
      <c r="U99" s="87">
        <v>1</v>
      </c>
      <c r="V99" s="90" t="s">
        <v>1581</v>
      </c>
    </row>
    <row r="100" ht="15" customHeight="1" spans="1:23" x14ac:dyDescent="0.25">
      <c r="A100" s="85">
        <v>12108</v>
      </c>
      <c r="B100" s="85" t="s">
        <v>1657</v>
      </c>
      <c r="C100" s="85" t="s">
        <v>380</v>
      </c>
      <c r="D100" s="85" t="s">
        <v>615</v>
      </c>
      <c r="E100" s="85"/>
      <c r="F100" s="85" t="s">
        <v>1084</v>
      </c>
      <c r="G100" s="85" t="s">
        <v>283</v>
      </c>
      <c r="H100" s="85" t="s">
        <v>1561</v>
      </c>
      <c r="I100" s="86">
        <v>248</v>
      </c>
      <c r="J100" s="86">
        <v>248</v>
      </c>
      <c r="K100" s="87">
        <v>1</v>
      </c>
      <c r="L100" s="87">
        <v>1</v>
      </c>
      <c r="M100" s="88">
        <v>1</v>
      </c>
      <c r="N100" s="89"/>
      <c r="O100" s="87"/>
      <c r="P100" s="87"/>
      <c r="Q100" s="87"/>
      <c r="R100" s="87"/>
      <c r="S100" s="87">
        <v>1</v>
      </c>
      <c r="T100" s="87"/>
      <c r="U100" s="87">
        <v>1</v>
      </c>
      <c r="V100" s="90" t="s">
        <v>1581</v>
      </c>
    </row>
    <row r="101" ht="15" customHeight="1" spans="1:23" x14ac:dyDescent="0.25">
      <c r="A101" s="85">
        <v>12122</v>
      </c>
      <c r="B101" s="85" t="s">
        <v>1658</v>
      </c>
      <c r="C101" s="85" t="s">
        <v>380</v>
      </c>
      <c r="D101" s="85" t="s">
        <v>455</v>
      </c>
      <c r="E101" s="85"/>
      <c r="F101" s="85" t="s">
        <v>155</v>
      </c>
      <c r="G101" s="85"/>
      <c r="H101" s="85"/>
      <c r="I101" s="86"/>
      <c r="J101" s="86"/>
      <c r="K101" s="87"/>
      <c r="L101" s="87"/>
      <c r="M101" s="88"/>
      <c r="N101" s="89"/>
      <c r="O101" s="87"/>
      <c r="P101" s="87"/>
      <c r="Q101" s="87"/>
      <c r="R101" s="87"/>
      <c r="S101" s="87">
        <v>0.8</v>
      </c>
      <c r="T101" s="87">
        <v>0.8</v>
      </c>
      <c r="U101" s="87">
        <v>0.8</v>
      </c>
      <c r="V101" s="90" t="s">
        <v>1659</v>
      </c>
    </row>
    <row r="102" ht="15" customHeight="1" spans="1:23" x14ac:dyDescent="0.25">
      <c r="A102" s="85">
        <v>12122</v>
      </c>
      <c r="B102" s="85" t="s">
        <v>1658</v>
      </c>
      <c r="C102" s="85" t="s">
        <v>380</v>
      </c>
      <c r="D102" s="85" t="s">
        <v>455</v>
      </c>
      <c r="E102" s="85"/>
      <c r="F102" s="85" t="s">
        <v>1084</v>
      </c>
      <c r="G102" s="85" t="s">
        <v>283</v>
      </c>
      <c r="H102" s="85" t="s">
        <v>1561</v>
      </c>
      <c r="I102" s="86">
        <v>248</v>
      </c>
      <c r="J102" s="86">
        <v>248</v>
      </c>
      <c r="K102" s="87">
        <v>1</v>
      </c>
      <c r="L102" s="87">
        <v>0.8</v>
      </c>
      <c r="M102" s="88">
        <v>0.8</v>
      </c>
      <c r="N102" s="89"/>
      <c r="O102" s="87"/>
      <c r="P102" s="87"/>
      <c r="Q102" s="87"/>
      <c r="R102" s="87"/>
      <c r="S102" s="87">
        <v>0.8</v>
      </c>
      <c r="T102" s="87"/>
      <c r="U102" s="87">
        <v>0.8</v>
      </c>
      <c r="V102" s="90" t="s">
        <v>1659</v>
      </c>
    </row>
    <row r="103" ht="15" customHeight="1" spans="1:23" x14ac:dyDescent="0.25">
      <c r="A103" s="85">
        <v>12347</v>
      </c>
      <c r="B103" s="85" t="s">
        <v>1660</v>
      </c>
      <c r="C103" s="85" t="s">
        <v>380</v>
      </c>
      <c r="D103" s="85" t="s">
        <v>435</v>
      </c>
      <c r="E103" s="85"/>
      <c r="F103" s="85" t="s">
        <v>155</v>
      </c>
      <c r="G103" s="85"/>
      <c r="H103" s="85"/>
      <c r="I103" s="86"/>
      <c r="J103" s="86"/>
      <c r="K103" s="87"/>
      <c r="L103" s="87"/>
      <c r="M103" s="88"/>
      <c r="N103" s="89"/>
      <c r="O103" s="87"/>
      <c r="P103" s="87"/>
      <c r="Q103" s="87"/>
      <c r="R103" s="87"/>
      <c r="S103" s="87">
        <v>1</v>
      </c>
      <c r="T103" s="87">
        <v>1</v>
      </c>
      <c r="U103" s="87"/>
      <c r="V103" s="90" t="s">
        <v>1084</v>
      </c>
    </row>
    <row r="104" ht="15" customHeight="1" spans="1:23" x14ac:dyDescent="0.25">
      <c r="A104" s="85">
        <v>12347</v>
      </c>
      <c r="B104" s="85" t="s">
        <v>1660</v>
      </c>
      <c r="C104" s="85" t="s">
        <v>380</v>
      </c>
      <c r="D104" s="85" t="s">
        <v>435</v>
      </c>
      <c r="E104" s="85"/>
      <c r="F104" s="85" t="s">
        <v>1084</v>
      </c>
      <c r="G104" s="85" t="s">
        <v>283</v>
      </c>
      <c r="H104" s="85" t="s">
        <v>1561</v>
      </c>
      <c r="I104" s="86">
        <v>248</v>
      </c>
      <c r="J104" s="86">
        <v>248</v>
      </c>
      <c r="K104" s="87">
        <v>1</v>
      </c>
      <c r="L104" s="87">
        <v>1</v>
      </c>
      <c r="M104" s="88">
        <v>1</v>
      </c>
      <c r="N104" s="89"/>
      <c r="O104" s="87"/>
      <c r="P104" s="87"/>
      <c r="Q104" s="87"/>
      <c r="R104" s="87"/>
      <c r="S104" s="87">
        <v>1</v>
      </c>
      <c r="T104" s="87"/>
      <c r="U104" s="87">
        <v>0</v>
      </c>
      <c r="V104" s="90" t="s">
        <v>1084</v>
      </c>
    </row>
    <row r="105" ht="15" customHeight="1" spans="1:23" x14ac:dyDescent="0.25">
      <c r="A105" s="85">
        <v>12702</v>
      </c>
      <c r="B105" s="85" t="s">
        <v>1661</v>
      </c>
      <c r="C105" s="85" t="s">
        <v>380</v>
      </c>
      <c r="D105" s="85" t="s">
        <v>470</v>
      </c>
      <c r="E105" s="85"/>
      <c r="F105" s="85" t="s">
        <v>155</v>
      </c>
      <c r="G105" s="85"/>
      <c r="H105" s="85"/>
      <c r="I105" s="86"/>
      <c r="J105" s="86"/>
      <c r="K105" s="87"/>
      <c r="L105" s="87"/>
      <c r="M105" s="88"/>
      <c r="N105" s="89"/>
      <c r="O105" s="87"/>
      <c r="P105" s="87"/>
      <c r="Q105" s="87">
        <v>0.06048387096774192</v>
      </c>
      <c r="R105" s="87">
        <v>0.012096774193548387</v>
      </c>
      <c r="S105" s="87">
        <v>0.9879032258064515</v>
      </c>
      <c r="T105" s="87">
        <v>0.9999999999999999</v>
      </c>
      <c r="U105" s="87">
        <v>0.9879032258064515</v>
      </c>
      <c r="V105" s="90" t="s">
        <v>1662</v>
      </c>
    </row>
    <row r="106" ht="15" customHeight="1" spans="1:23" x14ac:dyDescent="0.25">
      <c r="A106" s="85">
        <v>12702</v>
      </c>
      <c r="B106" s="85" t="s">
        <v>1661</v>
      </c>
      <c r="C106" s="85" t="s">
        <v>380</v>
      </c>
      <c r="D106" s="85" t="s">
        <v>470</v>
      </c>
      <c r="E106" s="85"/>
      <c r="F106" s="85" t="s">
        <v>1084</v>
      </c>
      <c r="G106" s="85" t="s">
        <v>1663</v>
      </c>
      <c r="H106" s="85" t="s">
        <v>1561</v>
      </c>
      <c r="I106" s="86">
        <v>248</v>
      </c>
      <c r="J106" s="86">
        <v>70</v>
      </c>
      <c r="K106" s="87">
        <v>0.28225806451612906</v>
      </c>
      <c r="L106" s="87">
        <v>1</v>
      </c>
      <c r="M106" s="88">
        <v>0.28225806451612906</v>
      </c>
      <c r="N106" s="89"/>
      <c r="O106" s="87"/>
      <c r="P106" s="87"/>
      <c r="Q106" s="87"/>
      <c r="R106" s="87"/>
      <c r="S106" s="87">
        <v>0.28225806451612906</v>
      </c>
      <c r="T106" s="87"/>
      <c r="U106" s="87">
        <v>0.28225806451612906</v>
      </c>
      <c r="V106" s="90" t="s">
        <v>1664</v>
      </c>
    </row>
    <row r="107" ht="15" customHeight="1" spans="1:23" x14ac:dyDescent="0.25">
      <c r="A107" s="85">
        <v>12702</v>
      </c>
      <c r="B107" s="85" t="s">
        <v>1661</v>
      </c>
      <c r="C107" s="85" t="s">
        <v>380</v>
      </c>
      <c r="D107" s="85" t="s">
        <v>470</v>
      </c>
      <c r="E107" s="85"/>
      <c r="F107" s="85" t="s">
        <v>1084</v>
      </c>
      <c r="G107" s="85" t="s">
        <v>1665</v>
      </c>
      <c r="H107" s="85" t="s">
        <v>1665</v>
      </c>
      <c r="I107" s="86">
        <v>248</v>
      </c>
      <c r="J107" s="86">
        <v>1</v>
      </c>
      <c r="K107" s="87">
        <v>0.004032258064516129</v>
      </c>
      <c r="L107" s="87">
        <v>1</v>
      </c>
      <c r="M107" s="88">
        <v>0.004032258064516129</v>
      </c>
      <c r="N107" s="89">
        <v>1</v>
      </c>
      <c r="O107" s="87">
        <v>0.004032258064516129</v>
      </c>
      <c r="P107" s="87"/>
      <c r="Q107" s="87">
        <v>0.004032258064516129</v>
      </c>
      <c r="R107" s="87"/>
      <c r="S107" s="87">
        <v>0.004032258064516129</v>
      </c>
      <c r="T107" s="87"/>
      <c r="U107" s="87">
        <v>0.004032258064516129</v>
      </c>
      <c r="V107" s="90" t="s">
        <v>1666</v>
      </c>
    </row>
    <row r="108" ht="15" customHeight="1" spans="1:23" x14ac:dyDescent="0.25">
      <c r="A108" s="85">
        <v>12702</v>
      </c>
      <c r="B108" s="85" t="s">
        <v>1661</v>
      </c>
      <c r="C108" s="85" t="s">
        <v>380</v>
      </c>
      <c r="D108" s="85" t="s">
        <v>470</v>
      </c>
      <c r="E108" s="85"/>
      <c r="F108" s="85" t="s">
        <v>1084</v>
      </c>
      <c r="G108" s="85" t="s">
        <v>934</v>
      </c>
      <c r="H108" s="85" t="s">
        <v>480</v>
      </c>
      <c r="I108" s="86">
        <v>248</v>
      </c>
      <c r="J108" s="86">
        <v>113</v>
      </c>
      <c r="K108" s="87">
        <v>0.45564516129032256</v>
      </c>
      <c r="L108" s="87">
        <v>1</v>
      </c>
      <c r="M108" s="88">
        <v>0.45564516129032256</v>
      </c>
      <c r="N108" s="89"/>
      <c r="O108" s="87"/>
      <c r="P108" s="87"/>
      <c r="Q108" s="87"/>
      <c r="R108" s="87"/>
      <c r="S108" s="87">
        <v>0.45564516129032256</v>
      </c>
      <c r="T108" s="87"/>
      <c r="U108" s="87">
        <v>0.45564516129032256</v>
      </c>
      <c r="V108" s="90" t="s">
        <v>1667</v>
      </c>
    </row>
    <row r="109" ht="15" customHeight="1" spans="1:23" x14ac:dyDescent="0.25">
      <c r="A109" s="85">
        <v>12702</v>
      </c>
      <c r="B109" s="85" t="s">
        <v>1661</v>
      </c>
      <c r="C109" s="85" t="s">
        <v>380</v>
      </c>
      <c r="D109" s="85" t="s">
        <v>470</v>
      </c>
      <c r="E109" s="85"/>
      <c r="F109" s="85" t="s">
        <v>1084</v>
      </c>
      <c r="G109" s="85" t="s">
        <v>1047</v>
      </c>
      <c r="H109" s="85" t="s">
        <v>1047</v>
      </c>
      <c r="I109" s="86">
        <v>248</v>
      </c>
      <c r="J109" s="86">
        <v>1</v>
      </c>
      <c r="K109" s="87">
        <v>0.004032258064516129</v>
      </c>
      <c r="L109" s="87">
        <v>1</v>
      </c>
      <c r="M109" s="88">
        <v>0.004032258064516129</v>
      </c>
      <c r="N109" s="89">
        <v>1</v>
      </c>
      <c r="O109" s="87">
        <v>0.004032258064516129</v>
      </c>
      <c r="P109" s="87"/>
      <c r="Q109" s="87">
        <v>0.004032258064516129</v>
      </c>
      <c r="R109" s="87"/>
      <c r="S109" s="87">
        <v>0.004032258064516129</v>
      </c>
      <c r="T109" s="87"/>
      <c r="U109" s="87">
        <v>0.004032258064516129</v>
      </c>
      <c r="V109" s="90" t="s">
        <v>1668</v>
      </c>
    </row>
    <row r="110" ht="15" customHeight="1" spans="1:23" x14ac:dyDescent="0.25">
      <c r="A110" s="85">
        <v>12702</v>
      </c>
      <c r="B110" s="85" t="s">
        <v>1661</v>
      </c>
      <c r="C110" s="85" t="s">
        <v>380</v>
      </c>
      <c r="D110" s="85" t="s">
        <v>470</v>
      </c>
      <c r="E110" s="85"/>
      <c r="F110" s="85" t="s">
        <v>1084</v>
      </c>
      <c r="G110" s="85" t="s">
        <v>1669</v>
      </c>
      <c r="H110" s="85" t="s">
        <v>1670</v>
      </c>
      <c r="I110" s="86">
        <v>248</v>
      </c>
      <c r="J110" s="86">
        <v>15</v>
      </c>
      <c r="K110" s="87">
        <v>0.06048387096774194</v>
      </c>
      <c r="L110" s="87">
        <v>1</v>
      </c>
      <c r="M110" s="88">
        <v>0.06048387096774194</v>
      </c>
      <c r="N110" s="89"/>
      <c r="O110" s="87"/>
      <c r="P110" s="87"/>
      <c r="Q110" s="87"/>
      <c r="R110" s="87"/>
      <c r="S110" s="87">
        <v>0.06048387096774194</v>
      </c>
      <c r="T110" s="87"/>
      <c r="U110" s="87">
        <v>0.06048387096774194</v>
      </c>
      <c r="V110" s="90" t="s">
        <v>1671</v>
      </c>
    </row>
    <row r="111" ht="15" customHeight="1" spans="1:23" x14ac:dyDescent="0.25">
      <c r="A111" s="85">
        <v>12702</v>
      </c>
      <c r="B111" s="85" t="s">
        <v>1661</v>
      </c>
      <c r="C111" s="85" t="s">
        <v>380</v>
      </c>
      <c r="D111" s="85" t="s">
        <v>470</v>
      </c>
      <c r="E111" s="85"/>
      <c r="F111" s="85" t="s">
        <v>1084</v>
      </c>
      <c r="G111" s="85" t="s">
        <v>1672</v>
      </c>
      <c r="H111" s="85" t="s">
        <v>1672</v>
      </c>
      <c r="I111" s="86">
        <v>248</v>
      </c>
      <c r="J111" s="86">
        <v>1</v>
      </c>
      <c r="K111" s="87">
        <v>0.004032258064516129</v>
      </c>
      <c r="L111" s="87">
        <v>1</v>
      </c>
      <c r="M111" s="88">
        <v>0.004032258064516129</v>
      </c>
      <c r="N111" s="89">
        <v>1</v>
      </c>
      <c r="O111" s="87">
        <v>0.004032258064516129</v>
      </c>
      <c r="P111" s="87"/>
      <c r="Q111" s="87"/>
      <c r="R111" s="87">
        <v>0.004032258064516129</v>
      </c>
      <c r="S111" s="87">
        <v>0</v>
      </c>
      <c r="T111" s="87"/>
      <c r="U111" s="87">
        <v>0</v>
      </c>
      <c r="V111" s="90" t="s">
        <v>1673</v>
      </c>
    </row>
    <row r="112" ht="15" customHeight="1" spans="1:23" x14ac:dyDescent="0.25">
      <c r="A112" s="85">
        <v>12702</v>
      </c>
      <c r="B112" s="85" t="s">
        <v>1661</v>
      </c>
      <c r="C112" s="85" t="s">
        <v>380</v>
      </c>
      <c r="D112" s="85" t="s">
        <v>470</v>
      </c>
      <c r="E112" s="85"/>
      <c r="F112" s="85" t="s">
        <v>1084</v>
      </c>
      <c r="G112" s="85" t="s">
        <v>1674</v>
      </c>
      <c r="H112" s="85" t="s">
        <v>1675</v>
      </c>
      <c r="I112" s="86">
        <v>248</v>
      </c>
      <c r="J112" s="86">
        <v>3</v>
      </c>
      <c r="K112" s="87">
        <v>0.012096774193548387</v>
      </c>
      <c r="L112" s="87">
        <v>1</v>
      </c>
      <c r="M112" s="88">
        <v>0.012096774193548387</v>
      </c>
      <c r="N112" s="89"/>
      <c r="O112" s="87"/>
      <c r="P112" s="87"/>
      <c r="Q112" s="87"/>
      <c r="R112" s="87"/>
      <c r="S112" s="87">
        <v>0.012096774193548387</v>
      </c>
      <c r="T112" s="87"/>
      <c r="U112" s="87">
        <v>0.012096774193548387</v>
      </c>
      <c r="V112" s="90" t="s">
        <v>1676</v>
      </c>
    </row>
    <row r="113" ht="15" customHeight="1" spans="1:23" x14ac:dyDescent="0.25">
      <c r="A113" s="85">
        <v>12702</v>
      </c>
      <c r="B113" s="85" t="s">
        <v>1661</v>
      </c>
      <c r="C113" s="85" t="s">
        <v>380</v>
      </c>
      <c r="D113" s="85" t="s">
        <v>470</v>
      </c>
      <c r="E113" s="85"/>
      <c r="F113" s="85" t="s">
        <v>1084</v>
      </c>
      <c r="G113" s="85" t="s">
        <v>1677</v>
      </c>
      <c r="H113" s="85" t="s">
        <v>1677</v>
      </c>
      <c r="I113" s="86">
        <v>248</v>
      </c>
      <c r="J113" s="86">
        <v>1</v>
      </c>
      <c r="K113" s="87">
        <v>0.004032258064516129</v>
      </c>
      <c r="L113" s="87">
        <v>1</v>
      </c>
      <c r="M113" s="88">
        <v>0.004032258064516129</v>
      </c>
      <c r="N113" s="89">
        <v>1</v>
      </c>
      <c r="O113" s="87">
        <v>0.004032258064516129</v>
      </c>
      <c r="P113" s="87"/>
      <c r="Q113" s="87"/>
      <c r="R113" s="87">
        <v>0.004032258064516129</v>
      </c>
      <c r="S113" s="87">
        <v>0</v>
      </c>
      <c r="T113" s="87"/>
      <c r="U113" s="87">
        <v>0</v>
      </c>
      <c r="V113" s="90" t="s">
        <v>1673</v>
      </c>
    </row>
    <row r="114" ht="15" customHeight="1" spans="1:23" x14ac:dyDescent="0.25">
      <c r="A114" s="85">
        <v>12702</v>
      </c>
      <c r="B114" s="85" t="s">
        <v>1661</v>
      </c>
      <c r="C114" s="85" t="s">
        <v>380</v>
      </c>
      <c r="D114" s="85" t="s">
        <v>470</v>
      </c>
      <c r="E114" s="85"/>
      <c r="F114" s="85" t="s">
        <v>1084</v>
      </c>
      <c r="G114" s="85" t="s">
        <v>1678</v>
      </c>
      <c r="H114" s="85" t="s">
        <v>782</v>
      </c>
      <c r="I114" s="86">
        <v>248</v>
      </c>
      <c r="J114" s="86">
        <v>23</v>
      </c>
      <c r="K114" s="87">
        <v>0.09274193548387097</v>
      </c>
      <c r="L114" s="87">
        <v>1</v>
      </c>
      <c r="M114" s="88">
        <v>0.09274193548387097</v>
      </c>
      <c r="N114" s="89"/>
      <c r="O114" s="87"/>
      <c r="P114" s="87"/>
      <c r="Q114" s="87"/>
      <c r="R114" s="87"/>
      <c r="S114" s="87">
        <v>0.09274193548387097</v>
      </c>
      <c r="T114" s="87"/>
      <c r="U114" s="87">
        <v>0.09274193548387097</v>
      </c>
      <c r="V114" s="90" t="s">
        <v>1679</v>
      </c>
    </row>
    <row r="115" ht="15" customHeight="1" spans="1:23" x14ac:dyDescent="0.25">
      <c r="A115" s="85">
        <v>12702</v>
      </c>
      <c r="B115" s="85" t="s">
        <v>1661</v>
      </c>
      <c r="C115" s="85" t="s">
        <v>380</v>
      </c>
      <c r="D115" s="85" t="s">
        <v>470</v>
      </c>
      <c r="E115" s="85"/>
      <c r="F115" s="85" t="s">
        <v>1084</v>
      </c>
      <c r="G115" s="85" t="s">
        <v>1680</v>
      </c>
      <c r="H115" s="85" t="s">
        <v>1680</v>
      </c>
      <c r="I115" s="86">
        <v>248</v>
      </c>
      <c r="J115" s="86">
        <v>1</v>
      </c>
      <c r="K115" s="87">
        <v>0.004032258064516129</v>
      </c>
      <c r="L115" s="87">
        <v>1</v>
      </c>
      <c r="M115" s="88">
        <v>0.004032258064516129</v>
      </c>
      <c r="N115" s="89">
        <v>1</v>
      </c>
      <c r="O115" s="87">
        <v>0.004032258064516129</v>
      </c>
      <c r="P115" s="87"/>
      <c r="Q115" s="87">
        <v>0.004032258064516129</v>
      </c>
      <c r="R115" s="87"/>
      <c r="S115" s="87">
        <v>0.004032258064516129</v>
      </c>
      <c r="T115" s="87"/>
      <c r="U115" s="87">
        <v>0.004032258064516129</v>
      </c>
      <c r="V115" s="90" t="s">
        <v>1668</v>
      </c>
    </row>
    <row r="116" ht="15" customHeight="1" spans="1:23" x14ac:dyDescent="0.25">
      <c r="A116" s="85">
        <v>12702</v>
      </c>
      <c r="B116" s="85" t="s">
        <v>1661</v>
      </c>
      <c r="C116" s="85" t="s">
        <v>380</v>
      </c>
      <c r="D116" s="85" t="s">
        <v>470</v>
      </c>
      <c r="E116" s="85"/>
      <c r="F116" s="85" t="s">
        <v>1084</v>
      </c>
      <c r="G116" s="85" t="s">
        <v>1681</v>
      </c>
      <c r="H116" s="85" t="s">
        <v>1682</v>
      </c>
      <c r="I116" s="86">
        <v>248</v>
      </c>
      <c r="J116" s="86">
        <v>5</v>
      </c>
      <c r="K116" s="87">
        <v>0.020161290322580645</v>
      </c>
      <c r="L116" s="87">
        <v>1</v>
      </c>
      <c r="M116" s="88">
        <v>0.020161290322580645</v>
      </c>
      <c r="N116" s="89"/>
      <c r="O116" s="87"/>
      <c r="P116" s="87"/>
      <c r="Q116" s="87"/>
      <c r="R116" s="87"/>
      <c r="S116" s="87">
        <v>0.020161290322580645</v>
      </c>
      <c r="T116" s="87"/>
      <c r="U116" s="87">
        <v>0.020161290322580645</v>
      </c>
      <c r="V116" s="90" t="s">
        <v>1683</v>
      </c>
    </row>
    <row r="117" ht="15" customHeight="1" spans="1:23" x14ac:dyDescent="0.25">
      <c r="A117" s="85">
        <v>12702</v>
      </c>
      <c r="B117" s="85" t="s">
        <v>1661</v>
      </c>
      <c r="C117" s="85" t="s">
        <v>380</v>
      </c>
      <c r="D117" s="85" t="s">
        <v>470</v>
      </c>
      <c r="E117" s="85"/>
      <c r="F117" s="85" t="s">
        <v>1084</v>
      </c>
      <c r="G117" s="85" t="s">
        <v>1684</v>
      </c>
      <c r="H117" s="85" t="s">
        <v>1684</v>
      </c>
      <c r="I117" s="86">
        <v>248</v>
      </c>
      <c r="J117" s="86">
        <v>1</v>
      </c>
      <c r="K117" s="87">
        <v>0.004032258064516129</v>
      </c>
      <c r="L117" s="87">
        <v>1</v>
      </c>
      <c r="M117" s="88">
        <v>0.004032258064516129</v>
      </c>
      <c r="N117" s="89">
        <v>1</v>
      </c>
      <c r="O117" s="87">
        <v>0.004032258064516129</v>
      </c>
      <c r="P117" s="87"/>
      <c r="Q117" s="87"/>
      <c r="R117" s="87">
        <v>0.004032258064516129</v>
      </c>
      <c r="S117" s="87">
        <v>0</v>
      </c>
      <c r="T117" s="87"/>
      <c r="U117" s="87">
        <v>0</v>
      </c>
      <c r="V117" s="90" t="s">
        <v>1673</v>
      </c>
    </row>
    <row r="118" ht="15" customHeight="1" spans="1:23" x14ac:dyDescent="0.25">
      <c r="A118" s="85">
        <v>12702</v>
      </c>
      <c r="B118" s="85" t="s">
        <v>1661</v>
      </c>
      <c r="C118" s="85" t="s">
        <v>380</v>
      </c>
      <c r="D118" s="85" t="s">
        <v>470</v>
      </c>
      <c r="E118" s="85"/>
      <c r="F118" s="85" t="s">
        <v>1084</v>
      </c>
      <c r="G118" s="85" t="s">
        <v>1685</v>
      </c>
      <c r="H118" s="85" t="s">
        <v>570</v>
      </c>
      <c r="I118" s="86">
        <v>248</v>
      </c>
      <c r="J118" s="86">
        <v>5</v>
      </c>
      <c r="K118" s="87">
        <v>0.020161290322580645</v>
      </c>
      <c r="L118" s="87">
        <v>1</v>
      </c>
      <c r="M118" s="88">
        <v>0.020161290322580645</v>
      </c>
      <c r="N118" s="89">
        <v>1</v>
      </c>
      <c r="O118" s="87">
        <v>0.020161290322580645</v>
      </c>
      <c r="P118" s="87"/>
      <c r="Q118" s="87">
        <v>0.020161290322580645</v>
      </c>
      <c r="R118" s="87"/>
      <c r="S118" s="87">
        <v>0.020161290322580645</v>
      </c>
      <c r="T118" s="87"/>
      <c r="U118" s="87">
        <v>0.020161290322580645</v>
      </c>
      <c r="V118" s="90" t="s">
        <v>1686</v>
      </c>
    </row>
    <row r="119" ht="15" customHeight="1" spans="1:23" x14ac:dyDescent="0.25">
      <c r="A119" s="85">
        <v>12702</v>
      </c>
      <c r="B119" s="85" t="s">
        <v>1661</v>
      </c>
      <c r="C119" s="85" t="s">
        <v>380</v>
      </c>
      <c r="D119" s="85" t="s">
        <v>470</v>
      </c>
      <c r="E119" s="85"/>
      <c r="F119" s="85" t="s">
        <v>1084</v>
      </c>
      <c r="G119" s="85" t="s">
        <v>1687</v>
      </c>
      <c r="H119" s="85" t="s">
        <v>1648</v>
      </c>
      <c r="I119" s="86">
        <v>248</v>
      </c>
      <c r="J119" s="86">
        <v>5</v>
      </c>
      <c r="K119" s="87">
        <v>0.020161290322580645</v>
      </c>
      <c r="L119" s="87">
        <v>1</v>
      </c>
      <c r="M119" s="88">
        <v>0.020161290322580645</v>
      </c>
      <c r="N119" s="89">
        <v>1</v>
      </c>
      <c r="O119" s="87">
        <v>0.020161290322580645</v>
      </c>
      <c r="P119" s="87"/>
      <c r="Q119" s="87">
        <v>0.020161290322580645</v>
      </c>
      <c r="R119" s="87"/>
      <c r="S119" s="87">
        <v>0.020161290322580645</v>
      </c>
      <c r="T119" s="87"/>
      <c r="U119" s="87">
        <v>0.020161290322580645</v>
      </c>
      <c r="V119" s="90" t="s">
        <v>1686</v>
      </c>
    </row>
    <row r="120" ht="15" customHeight="1" spans="1:23" x14ac:dyDescent="0.25">
      <c r="A120" s="85">
        <v>12702</v>
      </c>
      <c r="B120" s="85" t="s">
        <v>1661</v>
      </c>
      <c r="C120" s="85" t="s">
        <v>380</v>
      </c>
      <c r="D120" s="85" t="s">
        <v>470</v>
      </c>
      <c r="E120" s="85"/>
      <c r="F120" s="85" t="s">
        <v>1084</v>
      </c>
      <c r="G120" s="85" t="s">
        <v>1688</v>
      </c>
      <c r="H120" s="85" t="s">
        <v>1689</v>
      </c>
      <c r="I120" s="86">
        <v>248</v>
      </c>
      <c r="J120" s="86">
        <v>2</v>
      </c>
      <c r="K120" s="87">
        <v>0.008064516129032258</v>
      </c>
      <c r="L120" s="87">
        <v>1</v>
      </c>
      <c r="M120" s="88">
        <v>0.008064516129032258</v>
      </c>
      <c r="N120" s="89">
        <v>1</v>
      </c>
      <c r="O120" s="87">
        <v>0.008064516129032258</v>
      </c>
      <c r="P120" s="87"/>
      <c r="Q120" s="87">
        <v>0.008064516129032258</v>
      </c>
      <c r="R120" s="87"/>
      <c r="S120" s="87">
        <v>0.008064516129032258</v>
      </c>
      <c r="T120" s="87"/>
      <c r="U120" s="87">
        <v>0.008064516129032258</v>
      </c>
      <c r="V120" s="90" t="s">
        <v>1690</v>
      </c>
    </row>
    <row r="121" ht="15" customHeight="1" spans="1:23" x14ac:dyDescent="0.25">
      <c r="A121" s="85">
        <v>12702</v>
      </c>
      <c r="B121" s="85" t="s">
        <v>1661</v>
      </c>
      <c r="C121" s="85" t="s">
        <v>380</v>
      </c>
      <c r="D121" s="85" t="s">
        <v>470</v>
      </c>
      <c r="E121" s="85"/>
      <c r="F121" s="85" t="s">
        <v>1084</v>
      </c>
      <c r="G121" s="85" t="s">
        <v>283</v>
      </c>
      <c r="H121" s="85" t="s">
        <v>283</v>
      </c>
      <c r="I121" s="86">
        <v>248</v>
      </c>
      <c r="J121" s="86">
        <v>1</v>
      </c>
      <c r="K121" s="87">
        <v>0.004032258064516129</v>
      </c>
      <c r="L121" s="87">
        <v>1</v>
      </c>
      <c r="M121" s="88">
        <v>0.004032258064516129</v>
      </c>
      <c r="N121" s="89"/>
      <c r="O121" s="87"/>
      <c r="P121" s="87"/>
      <c r="Q121" s="87"/>
      <c r="R121" s="87"/>
      <c r="S121" s="87">
        <v>0.004032258064516129</v>
      </c>
      <c r="T121" s="87"/>
      <c r="U121" s="87">
        <v>0.004032258064516129</v>
      </c>
      <c r="V121" s="90" t="s">
        <v>1691</v>
      </c>
    </row>
    <row r="122" ht="15" customHeight="1" spans="1:23" x14ac:dyDescent="0.25">
      <c r="A122" s="85">
        <v>12930</v>
      </c>
      <c r="B122" s="85" t="s">
        <v>1692</v>
      </c>
      <c r="C122" s="85" t="s">
        <v>380</v>
      </c>
      <c r="D122" s="85" t="s">
        <v>846</v>
      </c>
      <c r="E122" s="85"/>
      <c r="F122" s="85" t="s">
        <v>155</v>
      </c>
      <c r="G122" s="85"/>
      <c r="H122" s="85"/>
      <c r="I122" s="86"/>
      <c r="J122" s="86"/>
      <c r="K122" s="87"/>
      <c r="L122" s="87"/>
      <c r="M122" s="88"/>
      <c r="N122" s="89"/>
      <c r="O122" s="87"/>
      <c r="P122" s="87"/>
      <c r="Q122" s="87"/>
      <c r="R122" s="87"/>
      <c r="S122" s="87">
        <v>1</v>
      </c>
      <c r="T122" s="87">
        <v>1</v>
      </c>
      <c r="U122" s="87"/>
      <c r="V122" s="90" t="s">
        <v>1084</v>
      </c>
    </row>
    <row r="123" ht="15" customHeight="1" spans="1:23" x14ac:dyDescent="0.25">
      <c r="A123" s="85">
        <v>12930</v>
      </c>
      <c r="B123" s="85" t="s">
        <v>1692</v>
      </c>
      <c r="C123" s="85" t="s">
        <v>380</v>
      </c>
      <c r="D123" s="85" t="s">
        <v>846</v>
      </c>
      <c r="E123" s="85"/>
      <c r="F123" s="85" t="s">
        <v>1084</v>
      </c>
      <c r="G123" s="85" t="s">
        <v>283</v>
      </c>
      <c r="H123" s="85" t="s">
        <v>1561</v>
      </c>
      <c r="I123" s="86">
        <v>248</v>
      </c>
      <c r="J123" s="86">
        <v>248</v>
      </c>
      <c r="K123" s="87">
        <v>1</v>
      </c>
      <c r="L123" s="87">
        <v>1</v>
      </c>
      <c r="M123" s="88">
        <v>1</v>
      </c>
      <c r="N123" s="89"/>
      <c r="O123" s="87"/>
      <c r="P123" s="87"/>
      <c r="Q123" s="87"/>
      <c r="R123" s="87"/>
      <c r="S123" s="87">
        <v>1</v>
      </c>
      <c r="T123" s="87"/>
      <c r="U123" s="87">
        <v>0</v>
      </c>
      <c r="V123" s="90" t="s">
        <v>1084</v>
      </c>
    </row>
    <row r="124" ht="15" customHeight="1" spans="1:23" x14ac:dyDescent="0.25">
      <c r="A124" s="85">
        <v>12968</v>
      </c>
      <c r="B124" s="85" t="s">
        <v>1693</v>
      </c>
      <c r="C124" s="85" t="s">
        <v>380</v>
      </c>
      <c r="D124" s="85" t="s">
        <v>596</v>
      </c>
      <c r="E124" s="85"/>
      <c r="F124" s="85" t="s">
        <v>155</v>
      </c>
      <c r="G124" s="85"/>
      <c r="H124" s="85"/>
      <c r="I124" s="86"/>
      <c r="J124" s="86"/>
      <c r="K124" s="87"/>
      <c r="L124" s="87"/>
      <c r="M124" s="88"/>
      <c r="N124" s="89"/>
      <c r="O124" s="87"/>
      <c r="P124" s="87"/>
      <c r="Q124" s="87">
        <v>0.024193548387096774</v>
      </c>
      <c r="R124" s="87"/>
      <c r="S124" s="87">
        <v>1</v>
      </c>
      <c r="T124" s="87">
        <v>1</v>
      </c>
      <c r="U124" s="87">
        <v>1</v>
      </c>
      <c r="V124" s="90" t="s">
        <v>1694</v>
      </c>
    </row>
    <row r="125" ht="15" customHeight="1" spans="1:23" x14ac:dyDescent="0.25">
      <c r="A125" s="85">
        <v>12968</v>
      </c>
      <c r="B125" s="85" t="s">
        <v>1693</v>
      </c>
      <c r="C125" s="85" t="s">
        <v>380</v>
      </c>
      <c r="D125" s="85" t="s">
        <v>596</v>
      </c>
      <c r="E125" s="85"/>
      <c r="F125" s="85" t="s">
        <v>1084</v>
      </c>
      <c r="G125" s="85" t="s">
        <v>169</v>
      </c>
      <c r="H125" s="85" t="s">
        <v>1561</v>
      </c>
      <c r="I125" s="86">
        <v>248</v>
      </c>
      <c r="J125" s="86">
        <v>75</v>
      </c>
      <c r="K125" s="87">
        <v>0.3024193548387097</v>
      </c>
      <c r="L125" s="87">
        <v>1</v>
      </c>
      <c r="M125" s="88">
        <v>0.3024193548387097</v>
      </c>
      <c r="N125" s="89"/>
      <c r="O125" s="87"/>
      <c r="P125" s="87"/>
      <c r="Q125" s="87"/>
      <c r="R125" s="87"/>
      <c r="S125" s="87">
        <v>0.3024193548387097</v>
      </c>
      <c r="T125" s="87"/>
      <c r="U125" s="87">
        <v>0.3024193548387097</v>
      </c>
      <c r="V125" s="90" t="s">
        <v>1695</v>
      </c>
    </row>
    <row r="126" ht="15" customHeight="1" spans="1:23" x14ac:dyDescent="0.25">
      <c r="A126" s="85">
        <v>12968</v>
      </c>
      <c r="B126" s="85" t="s">
        <v>1693</v>
      </c>
      <c r="C126" s="85" t="s">
        <v>380</v>
      </c>
      <c r="D126" s="85" t="s">
        <v>596</v>
      </c>
      <c r="E126" s="85"/>
      <c r="F126" s="85" t="s">
        <v>1084</v>
      </c>
      <c r="G126" s="85" t="s">
        <v>1696</v>
      </c>
      <c r="H126" s="85" t="s">
        <v>935</v>
      </c>
      <c r="I126" s="86">
        <v>248</v>
      </c>
      <c r="J126" s="86">
        <v>106</v>
      </c>
      <c r="K126" s="87">
        <v>0.4274193548387097</v>
      </c>
      <c r="L126" s="87">
        <v>1</v>
      </c>
      <c r="M126" s="88">
        <v>0.4274193548387097</v>
      </c>
      <c r="N126" s="89"/>
      <c r="O126" s="87"/>
      <c r="P126" s="87"/>
      <c r="Q126" s="87"/>
      <c r="R126" s="87"/>
      <c r="S126" s="87">
        <v>0.4274193548387097</v>
      </c>
      <c r="T126" s="87"/>
      <c r="U126" s="87">
        <v>0.4274193548387097</v>
      </c>
      <c r="V126" s="90" t="s">
        <v>1697</v>
      </c>
    </row>
    <row r="127" ht="15" customHeight="1" spans="1:23" x14ac:dyDescent="0.25">
      <c r="A127" s="85">
        <v>12968</v>
      </c>
      <c r="B127" s="85" t="s">
        <v>1693</v>
      </c>
      <c r="C127" s="85" t="s">
        <v>380</v>
      </c>
      <c r="D127" s="85" t="s">
        <v>596</v>
      </c>
      <c r="E127" s="85"/>
      <c r="F127" s="85" t="s">
        <v>1084</v>
      </c>
      <c r="G127" s="85" t="s">
        <v>1698</v>
      </c>
      <c r="H127" s="85" t="s">
        <v>1699</v>
      </c>
      <c r="I127" s="86">
        <v>248</v>
      </c>
      <c r="J127" s="86">
        <v>6</v>
      </c>
      <c r="K127" s="87">
        <v>0.024193548387096774</v>
      </c>
      <c r="L127" s="87">
        <v>1</v>
      </c>
      <c r="M127" s="88">
        <v>0.024193548387096774</v>
      </c>
      <c r="N127" s="89">
        <v>1</v>
      </c>
      <c r="O127" s="87">
        <v>0.024193548387096774</v>
      </c>
      <c r="P127" s="87"/>
      <c r="Q127" s="87">
        <v>0.024193548387096774</v>
      </c>
      <c r="R127" s="87"/>
      <c r="S127" s="87">
        <v>0.024193548387096774</v>
      </c>
      <c r="T127" s="87"/>
      <c r="U127" s="87">
        <v>0.024193548387096774</v>
      </c>
      <c r="V127" s="90" t="s">
        <v>1700</v>
      </c>
    </row>
    <row r="128" ht="15" customHeight="1" spans="1:23" x14ac:dyDescent="0.25">
      <c r="A128" s="85">
        <v>12968</v>
      </c>
      <c r="B128" s="85" t="s">
        <v>1693</v>
      </c>
      <c r="C128" s="85" t="s">
        <v>380</v>
      </c>
      <c r="D128" s="85" t="s">
        <v>596</v>
      </c>
      <c r="E128" s="85"/>
      <c r="F128" s="85" t="s">
        <v>1084</v>
      </c>
      <c r="G128" s="85" t="s">
        <v>283</v>
      </c>
      <c r="H128" s="85" t="s">
        <v>1701</v>
      </c>
      <c r="I128" s="86">
        <v>248</v>
      </c>
      <c r="J128" s="86">
        <v>61</v>
      </c>
      <c r="K128" s="87">
        <v>0.24596774193548387</v>
      </c>
      <c r="L128" s="87">
        <v>1</v>
      </c>
      <c r="M128" s="88">
        <v>0.24596774193548387</v>
      </c>
      <c r="N128" s="89"/>
      <c r="O128" s="87"/>
      <c r="P128" s="87"/>
      <c r="Q128" s="87"/>
      <c r="R128" s="87"/>
      <c r="S128" s="87">
        <v>0.24596774193548387</v>
      </c>
      <c r="T128" s="87"/>
      <c r="U128" s="87">
        <v>0.24596774193548387</v>
      </c>
      <c r="V128" s="90" t="s">
        <v>1702</v>
      </c>
    </row>
    <row r="129" ht="15" customHeight="1" spans="1:23" x14ac:dyDescent="0.25">
      <c r="A129" s="85">
        <v>13497</v>
      </c>
      <c r="B129" s="85" t="s">
        <v>1703</v>
      </c>
      <c r="C129" s="85" t="s">
        <v>380</v>
      </c>
      <c r="D129" s="85" t="s">
        <v>581</v>
      </c>
      <c r="E129" s="85"/>
      <c r="F129" s="85" t="s">
        <v>155</v>
      </c>
      <c r="G129" s="85"/>
      <c r="H129" s="85"/>
      <c r="I129" s="86"/>
      <c r="J129" s="86"/>
      <c r="K129" s="87"/>
      <c r="L129" s="87"/>
      <c r="M129" s="88"/>
      <c r="N129" s="89"/>
      <c r="O129" s="87"/>
      <c r="P129" s="87"/>
      <c r="Q129" s="87"/>
      <c r="R129" s="87"/>
      <c r="S129" s="87">
        <v>1</v>
      </c>
      <c r="T129" s="87">
        <v>1</v>
      </c>
      <c r="U129" s="87"/>
      <c r="V129" s="90" t="s">
        <v>1084</v>
      </c>
    </row>
    <row r="130" ht="15" customHeight="1" spans="1:23" x14ac:dyDescent="0.25">
      <c r="A130" s="85">
        <v>13497</v>
      </c>
      <c r="B130" s="85" t="s">
        <v>1703</v>
      </c>
      <c r="C130" s="85" t="s">
        <v>380</v>
      </c>
      <c r="D130" s="85" t="s">
        <v>581</v>
      </c>
      <c r="E130" s="85"/>
      <c r="F130" s="85" t="s">
        <v>1084</v>
      </c>
      <c r="G130" s="85" t="s">
        <v>283</v>
      </c>
      <c r="H130" s="85" t="s">
        <v>1561</v>
      </c>
      <c r="I130" s="86">
        <v>248</v>
      </c>
      <c r="J130" s="86">
        <v>248</v>
      </c>
      <c r="K130" s="87">
        <v>1</v>
      </c>
      <c r="L130" s="87">
        <v>1</v>
      </c>
      <c r="M130" s="88">
        <v>1</v>
      </c>
      <c r="N130" s="89"/>
      <c r="O130" s="87"/>
      <c r="P130" s="87"/>
      <c r="Q130" s="87"/>
      <c r="R130" s="87"/>
      <c r="S130" s="87">
        <v>1</v>
      </c>
      <c r="T130" s="87"/>
      <c r="U130" s="87">
        <v>0</v>
      </c>
      <c r="V130" s="90" t="s">
        <v>1084</v>
      </c>
    </row>
    <row r="131" ht="15" customHeight="1" spans="1:23" x14ac:dyDescent="0.25">
      <c r="A131" s="85">
        <v>13503</v>
      </c>
      <c r="B131" s="85" t="s">
        <v>1704</v>
      </c>
      <c r="C131" s="85" t="s">
        <v>380</v>
      </c>
      <c r="D131" s="85" t="s">
        <v>400</v>
      </c>
      <c r="E131" s="85"/>
      <c r="F131" s="85" t="s">
        <v>155</v>
      </c>
      <c r="G131" s="85"/>
      <c r="H131" s="85"/>
      <c r="I131" s="86"/>
      <c r="J131" s="86"/>
      <c r="K131" s="87"/>
      <c r="L131" s="87"/>
      <c r="M131" s="88"/>
      <c r="N131" s="89"/>
      <c r="O131" s="87"/>
      <c r="P131" s="87"/>
      <c r="Q131" s="87"/>
      <c r="R131" s="87"/>
      <c r="S131" s="87">
        <v>1</v>
      </c>
      <c r="T131" s="87">
        <v>1</v>
      </c>
      <c r="U131" s="87"/>
      <c r="V131" s="90" t="s">
        <v>1084</v>
      </c>
    </row>
    <row r="132" ht="15" customHeight="1" spans="1:23" x14ac:dyDescent="0.25">
      <c r="A132" s="85">
        <v>13503</v>
      </c>
      <c r="B132" s="85" t="s">
        <v>1704</v>
      </c>
      <c r="C132" s="85" t="s">
        <v>380</v>
      </c>
      <c r="D132" s="85" t="s">
        <v>400</v>
      </c>
      <c r="E132" s="85"/>
      <c r="F132" s="85" t="s">
        <v>1084</v>
      </c>
      <c r="G132" s="85" t="s">
        <v>283</v>
      </c>
      <c r="H132" s="85" t="s">
        <v>1561</v>
      </c>
      <c r="I132" s="86">
        <v>248</v>
      </c>
      <c r="J132" s="86">
        <v>248</v>
      </c>
      <c r="K132" s="87">
        <v>1</v>
      </c>
      <c r="L132" s="87">
        <v>1</v>
      </c>
      <c r="M132" s="88">
        <v>1</v>
      </c>
      <c r="N132" s="89"/>
      <c r="O132" s="87"/>
      <c r="P132" s="87"/>
      <c r="Q132" s="87"/>
      <c r="R132" s="87"/>
      <c r="S132" s="87">
        <v>1</v>
      </c>
      <c r="T132" s="87"/>
      <c r="U132" s="87">
        <v>0</v>
      </c>
      <c r="V132" s="90" t="s">
        <v>1084</v>
      </c>
    </row>
    <row r="133" ht="15" customHeight="1" spans="1:23" x14ac:dyDescent="0.25">
      <c r="A133" s="85">
        <v>13624</v>
      </c>
      <c r="B133" s="85" t="s">
        <v>1705</v>
      </c>
      <c r="C133" s="85" t="s">
        <v>380</v>
      </c>
      <c r="D133" s="85" t="s">
        <v>257</v>
      </c>
      <c r="E133" s="85"/>
      <c r="F133" s="85" t="s">
        <v>155</v>
      </c>
      <c r="G133" s="85"/>
      <c r="H133" s="85"/>
      <c r="I133" s="86"/>
      <c r="J133" s="86"/>
      <c r="K133" s="87"/>
      <c r="L133" s="87"/>
      <c r="M133" s="88"/>
      <c r="N133" s="89"/>
      <c r="O133" s="87"/>
      <c r="P133" s="87"/>
      <c r="Q133" s="87"/>
      <c r="R133" s="87"/>
      <c r="S133" s="87">
        <v>1</v>
      </c>
      <c r="T133" s="87">
        <v>1</v>
      </c>
      <c r="U133" s="87"/>
      <c r="V133" s="90" t="s">
        <v>1084</v>
      </c>
    </row>
    <row r="134" ht="15" customHeight="1" spans="1:23" x14ac:dyDescent="0.25">
      <c r="A134" s="85">
        <v>13624</v>
      </c>
      <c r="B134" s="85" t="s">
        <v>1705</v>
      </c>
      <c r="C134" s="85" t="s">
        <v>380</v>
      </c>
      <c r="D134" s="85" t="s">
        <v>257</v>
      </c>
      <c r="E134" s="85"/>
      <c r="F134" s="85" t="s">
        <v>1084</v>
      </c>
      <c r="G134" s="85" t="s">
        <v>283</v>
      </c>
      <c r="H134" s="85" t="s">
        <v>1561</v>
      </c>
      <c r="I134" s="86">
        <v>248</v>
      </c>
      <c r="J134" s="86">
        <v>248</v>
      </c>
      <c r="K134" s="87">
        <v>1</v>
      </c>
      <c r="L134" s="87">
        <v>1</v>
      </c>
      <c r="M134" s="88">
        <v>1</v>
      </c>
      <c r="N134" s="89"/>
      <c r="O134" s="87"/>
      <c r="P134" s="87"/>
      <c r="Q134" s="87"/>
      <c r="R134" s="87"/>
      <c r="S134" s="87">
        <v>1</v>
      </c>
      <c r="T134" s="87"/>
      <c r="U134" s="87">
        <v>0</v>
      </c>
      <c r="V134" s="90" t="s">
        <v>1084</v>
      </c>
    </row>
    <row r="135" ht="15" customHeight="1" spans="1:23" x14ac:dyDescent="0.25">
      <c r="A135" s="85">
        <v>13697</v>
      </c>
      <c r="B135" s="85" t="s">
        <v>1706</v>
      </c>
      <c r="C135" s="85" t="s">
        <v>380</v>
      </c>
      <c r="D135" s="85" t="s">
        <v>893</v>
      </c>
      <c r="E135" s="85"/>
      <c r="F135" s="85" t="s">
        <v>155</v>
      </c>
      <c r="G135" s="85"/>
      <c r="H135" s="85"/>
      <c r="I135" s="86"/>
      <c r="J135" s="86"/>
      <c r="K135" s="87"/>
      <c r="L135" s="87"/>
      <c r="M135" s="88"/>
      <c r="N135" s="89"/>
      <c r="O135" s="87"/>
      <c r="P135" s="87"/>
      <c r="Q135" s="87"/>
      <c r="R135" s="87"/>
      <c r="S135" s="87">
        <v>1</v>
      </c>
      <c r="T135" s="87">
        <v>1</v>
      </c>
      <c r="U135" s="87"/>
      <c r="V135" s="90" t="s">
        <v>1084</v>
      </c>
    </row>
    <row r="136" ht="15" customHeight="1" spans="1:23" x14ac:dyDescent="0.25">
      <c r="A136" s="85">
        <v>13697</v>
      </c>
      <c r="B136" s="85" t="s">
        <v>1706</v>
      </c>
      <c r="C136" s="85" t="s">
        <v>380</v>
      </c>
      <c r="D136" s="85" t="s">
        <v>893</v>
      </c>
      <c r="E136" s="85"/>
      <c r="F136" s="85" t="s">
        <v>1084</v>
      </c>
      <c r="G136" s="85" t="s">
        <v>283</v>
      </c>
      <c r="H136" s="85" t="s">
        <v>1561</v>
      </c>
      <c r="I136" s="86">
        <v>248</v>
      </c>
      <c r="J136" s="86">
        <v>248</v>
      </c>
      <c r="K136" s="87">
        <v>1</v>
      </c>
      <c r="L136" s="87">
        <v>1</v>
      </c>
      <c r="M136" s="88">
        <v>1</v>
      </c>
      <c r="N136" s="89"/>
      <c r="O136" s="87"/>
      <c r="P136" s="87"/>
      <c r="Q136" s="87"/>
      <c r="R136" s="87"/>
      <c r="S136" s="87">
        <v>1</v>
      </c>
      <c r="T136" s="87"/>
      <c r="U136" s="87">
        <v>0</v>
      </c>
      <c r="V136" s="90" t="s">
        <v>1084</v>
      </c>
    </row>
    <row r="137" ht="15" customHeight="1" spans="1:23" x14ac:dyDescent="0.25">
      <c r="A137" s="85">
        <v>14021</v>
      </c>
      <c r="B137" s="85" t="s">
        <v>1707</v>
      </c>
      <c r="C137" s="85" t="s">
        <v>380</v>
      </c>
      <c r="D137" s="85" t="s">
        <v>412</v>
      </c>
      <c r="E137" s="85"/>
      <c r="F137" s="85" t="s">
        <v>155</v>
      </c>
      <c r="G137" s="85"/>
      <c r="H137" s="85"/>
      <c r="I137" s="86"/>
      <c r="J137" s="86"/>
      <c r="K137" s="87"/>
      <c r="L137" s="87"/>
      <c r="M137" s="88"/>
      <c r="N137" s="89"/>
      <c r="O137" s="87"/>
      <c r="P137" s="87"/>
      <c r="Q137" s="87"/>
      <c r="R137" s="87"/>
      <c r="S137" s="87">
        <v>1</v>
      </c>
      <c r="T137" s="87">
        <v>1</v>
      </c>
      <c r="U137" s="87"/>
      <c r="V137" s="90" t="s">
        <v>1084</v>
      </c>
    </row>
    <row r="138" ht="15" customHeight="1" spans="1:23" x14ac:dyDescent="0.25">
      <c r="A138" s="85">
        <v>14021</v>
      </c>
      <c r="B138" s="85" t="s">
        <v>1707</v>
      </c>
      <c r="C138" s="85" t="s">
        <v>380</v>
      </c>
      <c r="D138" s="85" t="s">
        <v>412</v>
      </c>
      <c r="E138" s="85"/>
      <c r="F138" s="85" t="s">
        <v>1084</v>
      </c>
      <c r="G138" s="85" t="s">
        <v>283</v>
      </c>
      <c r="H138" s="85" t="s">
        <v>1561</v>
      </c>
      <c r="I138" s="86">
        <v>248</v>
      </c>
      <c r="J138" s="86">
        <v>248</v>
      </c>
      <c r="K138" s="87">
        <v>1</v>
      </c>
      <c r="L138" s="87">
        <v>1</v>
      </c>
      <c r="M138" s="88">
        <v>1</v>
      </c>
      <c r="N138" s="89"/>
      <c r="O138" s="87"/>
      <c r="P138" s="87"/>
      <c r="Q138" s="87"/>
      <c r="R138" s="87"/>
      <c r="S138" s="87">
        <v>1</v>
      </c>
      <c r="T138" s="87"/>
      <c r="U138" s="87">
        <v>0</v>
      </c>
      <c r="V138" s="90" t="s">
        <v>1084</v>
      </c>
    </row>
    <row r="139" ht="15" customHeight="1" spans="1:23" x14ac:dyDescent="0.25">
      <c r="A139" s="85">
        <v>14185</v>
      </c>
      <c r="B139" s="85" t="s">
        <v>1708</v>
      </c>
      <c r="C139" s="85" t="s">
        <v>161</v>
      </c>
      <c r="D139" s="85" t="s">
        <v>176</v>
      </c>
      <c r="E139" s="85"/>
      <c r="F139" s="85" t="s">
        <v>155</v>
      </c>
      <c r="G139" s="85"/>
      <c r="H139" s="85"/>
      <c r="I139" s="86"/>
      <c r="J139" s="86"/>
      <c r="K139" s="87"/>
      <c r="L139" s="87"/>
      <c r="M139" s="88"/>
      <c r="N139" s="89"/>
      <c r="O139" s="87"/>
      <c r="P139" s="87"/>
      <c r="Q139" s="87"/>
      <c r="R139" s="87"/>
      <c r="S139" s="87">
        <v>1</v>
      </c>
      <c r="T139" s="87">
        <v>1</v>
      </c>
      <c r="U139" s="87">
        <v>1</v>
      </c>
      <c r="V139" s="90" t="s">
        <v>1709</v>
      </c>
    </row>
    <row r="140" ht="15" customHeight="1" spans="1:23" x14ac:dyDescent="0.25">
      <c r="A140" s="85">
        <v>14185</v>
      </c>
      <c r="B140" s="85" t="s">
        <v>1708</v>
      </c>
      <c r="C140" s="85" t="s">
        <v>161</v>
      </c>
      <c r="D140" s="85" t="s">
        <v>176</v>
      </c>
      <c r="E140" s="85"/>
      <c r="F140" s="85" t="s">
        <v>1084</v>
      </c>
      <c r="G140" s="85" t="s">
        <v>283</v>
      </c>
      <c r="H140" s="85" t="s">
        <v>1561</v>
      </c>
      <c r="I140" s="86">
        <v>248</v>
      </c>
      <c r="J140" s="86">
        <v>248</v>
      </c>
      <c r="K140" s="87">
        <v>1</v>
      </c>
      <c r="L140" s="87">
        <v>1</v>
      </c>
      <c r="M140" s="88">
        <v>1</v>
      </c>
      <c r="N140" s="89"/>
      <c r="O140" s="87"/>
      <c r="P140" s="87"/>
      <c r="Q140" s="87"/>
      <c r="R140" s="87"/>
      <c r="S140" s="87">
        <v>1</v>
      </c>
      <c r="T140" s="87"/>
      <c r="U140" s="87">
        <v>1</v>
      </c>
      <c r="V140" s="90" t="s">
        <v>1709</v>
      </c>
    </row>
    <row r="141" ht="15" customHeight="1" spans="1:23" x14ac:dyDescent="0.25">
      <c r="A141" s="85">
        <v>14208</v>
      </c>
      <c r="B141" s="85" t="s">
        <v>1710</v>
      </c>
      <c r="C141" s="85" t="s">
        <v>380</v>
      </c>
      <c r="D141" s="85" t="s">
        <v>176</v>
      </c>
      <c r="E141" s="85"/>
      <c r="F141" s="85" t="s">
        <v>155</v>
      </c>
      <c r="G141" s="85"/>
      <c r="H141" s="85"/>
      <c r="I141" s="86"/>
      <c r="J141" s="86"/>
      <c r="K141" s="87"/>
      <c r="L141" s="87"/>
      <c r="M141" s="88"/>
      <c r="N141" s="89"/>
      <c r="O141" s="87"/>
      <c r="P141" s="87"/>
      <c r="Q141" s="87"/>
      <c r="R141" s="87"/>
      <c r="S141" s="87">
        <v>1</v>
      </c>
      <c r="T141" s="87">
        <v>1</v>
      </c>
      <c r="U141" s="87">
        <v>1</v>
      </c>
      <c r="V141" s="90" t="s">
        <v>1581</v>
      </c>
    </row>
    <row r="142" ht="15" customHeight="1" spans="1:23" x14ac:dyDescent="0.25">
      <c r="A142" s="85">
        <v>14208</v>
      </c>
      <c r="B142" s="85" t="s">
        <v>1710</v>
      </c>
      <c r="C142" s="85" t="s">
        <v>380</v>
      </c>
      <c r="D142" s="85" t="s">
        <v>176</v>
      </c>
      <c r="E142" s="85"/>
      <c r="F142" s="85" t="s">
        <v>1084</v>
      </c>
      <c r="G142" s="85" t="s">
        <v>283</v>
      </c>
      <c r="H142" s="85" t="s">
        <v>1561</v>
      </c>
      <c r="I142" s="86">
        <v>248</v>
      </c>
      <c r="J142" s="86">
        <v>248</v>
      </c>
      <c r="K142" s="87">
        <v>1</v>
      </c>
      <c r="L142" s="87">
        <v>1</v>
      </c>
      <c r="M142" s="88">
        <v>1</v>
      </c>
      <c r="N142" s="89"/>
      <c r="O142" s="87"/>
      <c r="P142" s="87"/>
      <c r="Q142" s="87"/>
      <c r="R142" s="87"/>
      <c r="S142" s="87">
        <v>1</v>
      </c>
      <c r="T142" s="87"/>
      <c r="U142" s="87">
        <v>1</v>
      </c>
      <c r="V142" s="90" t="s">
        <v>1581</v>
      </c>
    </row>
    <row r="143" ht="15" customHeight="1" spans="1:23" x14ac:dyDescent="0.25">
      <c r="A143" s="85">
        <v>14344</v>
      </c>
      <c r="B143" s="85" t="s">
        <v>1711</v>
      </c>
      <c r="C143" s="85" t="s">
        <v>380</v>
      </c>
      <c r="D143" s="85" t="s">
        <v>808</v>
      </c>
      <c r="E143" s="85"/>
      <c r="F143" s="85" t="s">
        <v>155</v>
      </c>
      <c r="G143" s="85"/>
      <c r="H143" s="85"/>
      <c r="I143" s="86"/>
      <c r="J143" s="86"/>
      <c r="K143" s="87"/>
      <c r="L143" s="87"/>
      <c r="M143" s="88"/>
      <c r="N143" s="89"/>
      <c r="O143" s="87"/>
      <c r="P143" s="87"/>
      <c r="Q143" s="87"/>
      <c r="R143" s="87"/>
      <c r="S143" s="87">
        <v>1</v>
      </c>
      <c r="T143" s="87">
        <v>1</v>
      </c>
      <c r="U143" s="87"/>
      <c r="V143" s="90" t="s">
        <v>1084</v>
      </c>
    </row>
    <row r="144" ht="15" customHeight="1" spans="1:23" x14ac:dyDescent="0.25">
      <c r="A144" s="85">
        <v>14344</v>
      </c>
      <c r="B144" s="85" t="s">
        <v>1711</v>
      </c>
      <c r="C144" s="85" t="s">
        <v>380</v>
      </c>
      <c r="D144" s="85" t="s">
        <v>808</v>
      </c>
      <c r="E144" s="85"/>
      <c r="F144" s="85" t="s">
        <v>1084</v>
      </c>
      <c r="G144" s="85" t="s">
        <v>283</v>
      </c>
      <c r="H144" s="85" t="s">
        <v>1561</v>
      </c>
      <c r="I144" s="86">
        <v>248</v>
      </c>
      <c r="J144" s="86">
        <v>248</v>
      </c>
      <c r="K144" s="87">
        <v>1</v>
      </c>
      <c r="L144" s="87">
        <v>1</v>
      </c>
      <c r="M144" s="88">
        <v>1</v>
      </c>
      <c r="N144" s="89"/>
      <c r="O144" s="87"/>
      <c r="P144" s="87"/>
      <c r="Q144" s="87"/>
      <c r="R144" s="87"/>
      <c r="S144" s="87">
        <v>1</v>
      </c>
      <c r="T144" s="87"/>
      <c r="U144" s="87">
        <v>0</v>
      </c>
      <c r="V144" s="90" t="s">
        <v>1084</v>
      </c>
    </row>
    <row r="145" ht="15" customHeight="1" spans="1:23" x14ac:dyDescent="0.25">
      <c r="A145" s="85">
        <v>14547</v>
      </c>
      <c r="B145" s="85" t="s">
        <v>1712</v>
      </c>
      <c r="C145" s="85" t="s">
        <v>161</v>
      </c>
      <c r="D145" s="85" t="s">
        <v>182</v>
      </c>
      <c r="E145" s="85"/>
      <c r="F145" s="85" t="s">
        <v>155</v>
      </c>
      <c r="G145" s="85"/>
      <c r="H145" s="85"/>
      <c r="I145" s="86"/>
      <c r="J145" s="86"/>
      <c r="K145" s="87"/>
      <c r="L145" s="87"/>
      <c r="M145" s="88"/>
      <c r="N145" s="89"/>
      <c r="O145" s="87"/>
      <c r="P145" s="87"/>
      <c r="Q145" s="87"/>
      <c r="R145" s="87"/>
      <c r="S145" s="87">
        <v>1</v>
      </c>
      <c r="T145" s="87">
        <v>1</v>
      </c>
      <c r="U145" s="87"/>
      <c r="V145" s="90" t="s">
        <v>1084</v>
      </c>
    </row>
    <row r="146" ht="15" customHeight="1" spans="1:23" x14ac:dyDescent="0.25">
      <c r="A146" s="85">
        <v>14547</v>
      </c>
      <c r="B146" s="85" t="s">
        <v>1712</v>
      </c>
      <c r="C146" s="85" t="s">
        <v>161</v>
      </c>
      <c r="D146" s="85" t="s">
        <v>182</v>
      </c>
      <c r="E146" s="85"/>
      <c r="F146" s="85" t="s">
        <v>1084</v>
      </c>
      <c r="G146" s="85" t="s">
        <v>283</v>
      </c>
      <c r="H146" s="85" t="s">
        <v>1561</v>
      </c>
      <c r="I146" s="86">
        <v>248</v>
      </c>
      <c r="J146" s="86">
        <v>248</v>
      </c>
      <c r="K146" s="87">
        <v>1</v>
      </c>
      <c r="L146" s="87">
        <v>1</v>
      </c>
      <c r="M146" s="88">
        <v>1</v>
      </c>
      <c r="N146" s="89"/>
      <c r="O146" s="87"/>
      <c r="P146" s="87"/>
      <c r="Q146" s="87"/>
      <c r="R146" s="87"/>
      <c r="S146" s="87">
        <v>1</v>
      </c>
      <c r="T146" s="87"/>
      <c r="U146" s="87">
        <v>0</v>
      </c>
      <c r="V146" s="90" t="s">
        <v>1084</v>
      </c>
    </row>
    <row r="147" ht="15" customHeight="1" spans="1:23" x14ac:dyDescent="0.25">
      <c r="A147" s="85">
        <v>14603</v>
      </c>
      <c r="B147" s="85" t="s">
        <v>1713</v>
      </c>
      <c r="C147" s="85" t="s">
        <v>161</v>
      </c>
      <c r="D147" s="85" t="s">
        <v>228</v>
      </c>
      <c r="E147" s="85"/>
      <c r="F147" s="85" t="s">
        <v>155</v>
      </c>
      <c r="G147" s="85"/>
      <c r="H147" s="85"/>
      <c r="I147" s="86"/>
      <c r="J147" s="86"/>
      <c r="K147" s="87"/>
      <c r="L147" s="87"/>
      <c r="M147" s="88"/>
      <c r="N147" s="89"/>
      <c r="O147" s="87"/>
      <c r="P147" s="87"/>
      <c r="Q147" s="87"/>
      <c r="R147" s="87"/>
      <c r="S147" s="87">
        <v>0.9</v>
      </c>
      <c r="T147" s="87">
        <v>0.9</v>
      </c>
      <c r="U147" s="87"/>
      <c r="V147" s="90" t="s">
        <v>1084</v>
      </c>
    </row>
    <row r="148" ht="15" customHeight="1" spans="1:23" x14ac:dyDescent="0.25">
      <c r="A148" s="85">
        <v>14603</v>
      </c>
      <c r="B148" s="85" t="s">
        <v>1713</v>
      </c>
      <c r="C148" s="85" t="s">
        <v>161</v>
      </c>
      <c r="D148" s="85" t="s">
        <v>228</v>
      </c>
      <c r="E148" s="85"/>
      <c r="F148" s="85" t="s">
        <v>1084</v>
      </c>
      <c r="G148" s="85" t="s">
        <v>283</v>
      </c>
      <c r="H148" s="85" t="s">
        <v>1561</v>
      </c>
      <c r="I148" s="86">
        <v>248</v>
      </c>
      <c r="J148" s="86">
        <v>248</v>
      </c>
      <c r="K148" s="87">
        <v>1</v>
      </c>
      <c r="L148" s="87">
        <v>0.9</v>
      </c>
      <c r="M148" s="88">
        <v>0.9</v>
      </c>
      <c r="N148" s="89"/>
      <c r="O148" s="87"/>
      <c r="P148" s="87"/>
      <c r="Q148" s="87"/>
      <c r="R148" s="87"/>
      <c r="S148" s="87">
        <v>0.9</v>
      </c>
      <c r="T148" s="87"/>
      <c r="U148" s="87">
        <v>0</v>
      </c>
      <c r="V148" s="90" t="s">
        <v>1084</v>
      </c>
    </row>
    <row r="149" ht="15" customHeight="1" spans="1:23" x14ac:dyDescent="0.25">
      <c r="A149" s="85">
        <v>14878</v>
      </c>
      <c r="B149" s="85" t="s">
        <v>1714</v>
      </c>
      <c r="C149" s="85" t="s">
        <v>380</v>
      </c>
      <c r="D149" s="85" t="s">
        <v>440</v>
      </c>
      <c r="E149" s="85"/>
      <c r="F149" s="85" t="s">
        <v>155</v>
      </c>
      <c r="G149" s="85"/>
      <c r="H149" s="85"/>
      <c r="I149" s="86"/>
      <c r="J149" s="86"/>
      <c r="K149" s="87"/>
      <c r="L149" s="87"/>
      <c r="M149" s="88"/>
      <c r="N149" s="89"/>
      <c r="O149" s="87"/>
      <c r="P149" s="87"/>
      <c r="Q149" s="87"/>
      <c r="R149" s="87"/>
      <c r="S149" s="87">
        <v>1</v>
      </c>
      <c r="T149" s="87">
        <v>1</v>
      </c>
      <c r="U149" s="87">
        <v>1</v>
      </c>
      <c r="V149" s="90" t="s">
        <v>1715</v>
      </c>
    </row>
    <row r="150" ht="15" customHeight="1" spans="1:23" x14ac:dyDescent="0.25">
      <c r="A150" s="85">
        <v>14878</v>
      </c>
      <c r="B150" s="85" t="s">
        <v>1714</v>
      </c>
      <c r="C150" s="85" t="s">
        <v>380</v>
      </c>
      <c r="D150" s="85" t="s">
        <v>440</v>
      </c>
      <c r="E150" s="85"/>
      <c r="F150" s="85" t="s">
        <v>1084</v>
      </c>
      <c r="G150" s="85" t="s">
        <v>283</v>
      </c>
      <c r="H150" s="85" t="s">
        <v>1561</v>
      </c>
      <c r="I150" s="86">
        <v>248</v>
      </c>
      <c r="J150" s="86">
        <v>248</v>
      </c>
      <c r="K150" s="87">
        <v>1</v>
      </c>
      <c r="L150" s="87">
        <v>1</v>
      </c>
      <c r="M150" s="88">
        <v>1</v>
      </c>
      <c r="N150" s="89"/>
      <c r="O150" s="87"/>
      <c r="P150" s="87"/>
      <c r="Q150" s="87"/>
      <c r="R150" s="87"/>
      <c r="S150" s="87">
        <v>1</v>
      </c>
      <c r="T150" s="87"/>
      <c r="U150" s="87">
        <v>1</v>
      </c>
      <c r="V150" s="90" t="s">
        <v>1715</v>
      </c>
    </row>
    <row r="151" ht="15" customHeight="1" spans="1:23" x14ac:dyDescent="0.25">
      <c r="A151" s="85">
        <v>15360</v>
      </c>
      <c r="B151" s="85" t="s">
        <v>1716</v>
      </c>
      <c r="C151" s="85" t="s">
        <v>380</v>
      </c>
      <c r="D151" s="85" t="s">
        <v>596</v>
      </c>
      <c r="E151" s="85"/>
      <c r="F151" s="85" t="s">
        <v>155</v>
      </c>
      <c r="G151" s="85"/>
      <c r="H151" s="85"/>
      <c r="I151" s="86"/>
      <c r="J151" s="86"/>
      <c r="K151" s="87"/>
      <c r="L151" s="87"/>
      <c r="M151" s="88"/>
      <c r="N151" s="89"/>
      <c r="O151" s="87"/>
      <c r="P151" s="87"/>
      <c r="Q151" s="87"/>
      <c r="R151" s="87"/>
      <c r="S151" s="87">
        <v>1</v>
      </c>
      <c r="T151" s="87">
        <v>1</v>
      </c>
      <c r="U151" s="87"/>
      <c r="V151" s="90" t="s">
        <v>1084</v>
      </c>
    </row>
    <row r="152" ht="15" customHeight="1" spans="1:23" x14ac:dyDescent="0.25">
      <c r="A152" s="85">
        <v>15360</v>
      </c>
      <c r="B152" s="85" t="s">
        <v>1716</v>
      </c>
      <c r="C152" s="85" t="s">
        <v>380</v>
      </c>
      <c r="D152" s="85" t="s">
        <v>596</v>
      </c>
      <c r="E152" s="85"/>
      <c r="F152" s="85" t="s">
        <v>1084</v>
      </c>
      <c r="G152" s="85" t="s">
        <v>283</v>
      </c>
      <c r="H152" s="85" t="s">
        <v>1561</v>
      </c>
      <c r="I152" s="86">
        <v>248</v>
      </c>
      <c r="J152" s="86">
        <v>248</v>
      </c>
      <c r="K152" s="87">
        <v>1</v>
      </c>
      <c r="L152" s="87">
        <v>1</v>
      </c>
      <c r="M152" s="88">
        <v>1</v>
      </c>
      <c r="N152" s="89"/>
      <c r="O152" s="87"/>
      <c r="P152" s="87"/>
      <c r="Q152" s="87"/>
      <c r="R152" s="87"/>
      <c r="S152" s="87">
        <v>1</v>
      </c>
      <c r="T152" s="87"/>
      <c r="U152" s="87">
        <v>0</v>
      </c>
      <c r="V152" s="90" t="s">
        <v>1084</v>
      </c>
    </row>
    <row r="153" ht="15" customHeight="1" spans="1:23" x14ac:dyDescent="0.25">
      <c r="A153" s="85">
        <v>15446</v>
      </c>
      <c r="B153" s="85" t="s">
        <v>1717</v>
      </c>
      <c r="C153" s="85" t="s">
        <v>161</v>
      </c>
      <c r="D153" s="85" t="s">
        <v>375</v>
      </c>
      <c r="E153" s="85" t="s">
        <v>170</v>
      </c>
      <c r="F153" s="85" t="s">
        <v>155</v>
      </c>
      <c r="G153" s="85"/>
      <c r="H153" s="85"/>
      <c r="I153" s="86"/>
      <c r="J153" s="86"/>
      <c r="K153" s="87"/>
      <c r="L153" s="87"/>
      <c r="M153" s="88"/>
      <c r="N153" s="89"/>
      <c r="O153" s="87"/>
      <c r="P153" s="87"/>
      <c r="Q153" s="87"/>
      <c r="R153" s="87"/>
      <c r="S153" s="87">
        <v>1</v>
      </c>
      <c r="T153" s="87">
        <v>1</v>
      </c>
      <c r="U153" s="87">
        <v>1</v>
      </c>
      <c r="V153" s="90" t="s">
        <v>1718</v>
      </c>
    </row>
    <row r="154" ht="15" customHeight="1" spans="1:23" x14ac:dyDescent="0.25">
      <c r="A154" s="85">
        <v>15446</v>
      </c>
      <c r="B154" s="85" t="s">
        <v>1717</v>
      </c>
      <c r="C154" s="85" t="s">
        <v>161</v>
      </c>
      <c r="D154" s="85" t="s">
        <v>375</v>
      </c>
      <c r="E154" s="85" t="s">
        <v>170</v>
      </c>
      <c r="F154" s="85" t="s">
        <v>1084</v>
      </c>
      <c r="G154" s="85" t="s">
        <v>283</v>
      </c>
      <c r="H154" s="85" t="s">
        <v>1561</v>
      </c>
      <c r="I154" s="86">
        <v>248</v>
      </c>
      <c r="J154" s="86">
        <v>248</v>
      </c>
      <c r="K154" s="87">
        <v>1</v>
      </c>
      <c r="L154" s="87">
        <v>1</v>
      </c>
      <c r="M154" s="88">
        <v>1</v>
      </c>
      <c r="N154" s="89"/>
      <c r="O154" s="87"/>
      <c r="P154" s="87"/>
      <c r="Q154" s="87"/>
      <c r="R154" s="87"/>
      <c r="S154" s="87">
        <v>1</v>
      </c>
      <c r="T154" s="87"/>
      <c r="U154" s="87">
        <v>1</v>
      </c>
      <c r="V154" s="90" t="s">
        <v>1719</v>
      </c>
    </row>
    <row r="155" ht="15" customHeight="1" spans="1:23" x14ac:dyDescent="0.25">
      <c r="A155" s="85">
        <v>15461</v>
      </c>
      <c r="B155" s="85" t="s">
        <v>1720</v>
      </c>
      <c r="C155" s="85" t="s">
        <v>965</v>
      </c>
      <c r="D155" s="85" t="s">
        <v>1052</v>
      </c>
      <c r="E155" s="85"/>
      <c r="F155" s="85" t="s">
        <v>155</v>
      </c>
      <c r="G155" s="85"/>
      <c r="H155" s="85"/>
      <c r="I155" s="86"/>
      <c r="J155" s="86"/>
      <c r="K155" s="87"/>
      <c r="L155" s="87"/>
      <c r="M155" s="88"/>
      <c r="N155" s="89"/>
      <c r="O155" s="87"/>
      <c r="P155" s="87"/>
      <c r="Q155" s="87"/>
      <c r="R155" s="87"/>
      <c r="S155" s="87">
        <v>1</v>
      </c>
      <c r="T155" s="87">
        <v>1</v>
      </c>
      <c r="U155" s="87">
        <v>1</v>
      </c>
      <c r="V155" s="90" t="s">
        <v>1721</v>
      </c>
    </row>
    <row r="156" ht="15" customHeight="1" spans="1:23" x14ac:dyDescent="0.25">
      <c r="A156" s="85">
        <v>15461</v>
      </c>
      <c r="B156" s="85" t="s">
        <v>1720</v>
      </c>
      <c r="C156" s="85" t="s">
        <v>965</v>
      </c>
      <c r="D156" s="85" t="s">
        <v>1052</v>
      </c>
      <c r="E156" s="85"/>
      <c r="F156" s="85" t="s">
        <v>1084</v>
      </c>
      <c r="G156" s="85" t="s">
        <v>283</v>
      </c>
      <c r="H156" s="85" t="s">
        <v>1561</v>
      </c>
      <c r="I156" s="86">
        <v>248</v>
      </c>
      <c r="J156" s="86">
        <v>248</v>
      </c>
      <c r="K156" s="87">
        <v>1</v>
      </c>
      <c r="L156" s="87">
        <v>1</v>
      </c>
      <c r="M156" s="88">
        <v>1</v>
      </c>
      <c r="N156" s="89"/>
      <c r="O156" s="87"/>
      <c r="P156" s="87"/>
      <c r="Q156" s="87"/>
      <c r="R156" s="87"/>
      <c r="S156" s="87">
        <v>1</v>
      </c>
      <c r="T156" s="87"/>
      <c r="U156" s="87">
        <v>1</v>
      </c>
      <c r="V156" s="90" t="s">
        <v>1721</v>
      </c>
    </row>
    <row r="157" ht="15" customHeight="1" spans="1:23" x14ac:dyDescent="0.25">
      <c r="A157" s="85">
        <v>15551</v>
      </c>
      <c r="B157" s="85" t="s">
        <v>1722</v>
      </c>
      <c r="C157" s="85" t="s">
        <v>380</v>
      </c>
      <c r="D157" s="85" t="s">
        <v>450</v>
      </c>
      <c r="E157" s="85"/>
      <c r="F157" s="85" t="s">
        <v>155</v>
      </c>
      <c r="G157" s="85"/>
      <c r="H157" s="85"/>
      <c r="I157" s="86"/>
      <c r="J157" s="86"/>
      <c r="K157" s="87"/>
      <c r="L157" s="87"/>
      <c r="M157" s="88"/>
      <c r="N157" s="89"/>
      <c r="O157" s="87"/>
      <c r="P157" s="87"/>
      <c r="Q157" s="87"/>
      <c r="R157" s="87"/>
      <c r="S157" s="87">
        <v>1</v>
      </c>
      <c r="T157" s="87">
        <v>1</v>
      </c>
      <c r="U157" s="87">
        <v>1</v>
      </c>
      <c r="V157" s="90" t="s">
        <v>1723</v>
      </c>
    </row>
    <row r="158" ht="15" customHeight="1" spans="1:23" x14ac:dyDescent="0.25">
      <c r="A158" s="85">
        <v>15551</v>
      </c>
      <c r="B158" s="85" t="s">
        <v>1722</v>
      </c>
      <c r="C158" s="85" t="s">
        <v>380</v>
      </c>
      <c r="D158" s="85" t="s">
        <v>450</v>
      </c>
      <c r="E158" s="85"/>
      <c r="F158" s="85" t="s">
        <v>1084</v>
      </c>
      <c r="G158" s="85" t="s">
        <v>1071</v>
      </c>
      <c r="H158" s="85" t="s">
        <v>1561</v>
      </c>
      <c r="I158" s="86">
        <v>248</v>
      </c>
      <c r="J158" s="86">
        <v>10</v>
      </c>
      <c r="K158" s="87">
        <v>0.04032258064516129</v>
      </c>
      <c r="L158" s="87">
        <v>1</v>
      </c>
      <c r="M158" s="88">
        <v>0.04032258064516129</v>
      </c>
      <c r="N158" s="89"/>
      <c r="O158" s="87"/>
      <c r="P158" s="87"/>
      <c r="Q158" s="87"/>
      <c r="R158" s="87"/>
      <c r="S158" s="87">
        <v>0.04032258064516129</v>
      </c>
      <c r="T158" s="87"/>
      <c r="U158" s="87">
        <v>0.04032258064516129</v>
      </c>
      <c r="V158" s="90" t="s">
        <v>1724</v>
      </c>
    </row>
    <row r="159" ht="15" customHeight="1" spans="1:23" x14ac:dyDescent="0.25">
      <c r="A159" s="85">
        <v>15551</v>
      </c>
      <c r="B159" s="85" t="s">
        <v>1722</v>
      </c>
      <c r="C159" s="85" t="s">
        <v>380</v>
      </c>
      <c r="D159" s="85" t="s">
        <v>450</v>
      </c>
      <c r="E159" s="85"/>
      <c r="F159" s="85" t="s">
        <v>1084</v>
      </c>
      <c r="G159" s="85" t="s">
        <v>283</v>
      </c>
      <c r="H159" s="85" t="s">
        <v>1610</v>
      </c>
      <c r="I159" s="86">
        <v>248</v>
      </c>
      <c r="J159" s="86">
        <v>238</v>
      </c>
      <c r="K159" s="87">
        <v>0.9596774193548387</v>
      </c>
      <c r="L159" s="87">
        <v>1</v>
      </c>
      <c r="M159" s="88">
        <v>0.9596774193548387</v>
      </c>
      <c r="N159" s="89"/>
      <c r="O159" s="87"/>
      <c r="P159" s="87"/>
      <c r="Q159" s="87"/>
      <c r="R159" s="87"/>
      <c r="S159" s="87">
        <v>0.9596774193548387</v>
      </c>
      <c r="T159" s="87"/>
      <c r="U159" s="87">
        <v>0.9596774193548387</v>
      </c>
      <c r="V159" s="90" t="s">
        <v>1725</v>
      </c>
    </row>
    <row r="160" ht="15" customHeight="1" spans="1:23" x14ac:dyDescent="0.25">
      <c r="A160" s="85">
        <v>15792</v>
      </c>
      <c r="B160" s="85" t="s">
        <v>1726</v>
      </c>
      <c r="C160" s="85" t="s">
        <v>380</v>
      </c>
      <c r="D160" s="85" t="s">
        <v>511</v>
      </c>
      <c r="E160" s="85"/>
      <c r="F160" s="85" t="s">
        <v>155</v>
      </c>
      <c r="G160" s="85"/>
      <c r="H160" s="85"/>
      <c r="I160" s="86"/>
      <c r="J160" s="86"/>
      <c r="K160" s="87"/>
      <c r="L160" s="87"/>
      <c r="M160" s="88"/>
      <c r="N160" s="89"/>
      <c r="O160" s="87"/>
      <c r="P160" s="87"/>
      <c r="Q160" s="87">
        <v>0.1814516129032258</v>
      </c>
      <c r="R160" s="87"/>
      <c r="S160" s="87">
        <v>1</v>
      </c>
      <c r="T160" s="87">
        <v>1</v>
      </c>
      <c r="U160" s="87">
        <v>1</v>
      </c>
      <c r="V160" s="90" t="s">
        <v>1727</v>
      </c>
    </row>
    <row r="161" ht="15" customHeight="1" spans="1:23" x14ac:dyDescent="0.25">
      <c r="A161" s="85">
        <v>15792</v>
      </c>
      <c r="B161" s="85" t="s">
        <v>1726</v>
      </c>
      <c r="C161" s="85" t="s">
        <v>380</v>
      </c>
      <c r="D161" s="85" t="s">
        <v>511</v>
      </c>
      <c r="E161" s="85"/>
      <c r="F161" s="85" t="s">
        <v>1084</v>
      </c>
      <c r="G161" s="85" t="s">
        <v>1728</v>
      </c>
      <c r="H161" s="85" t="s">
        <v>1561</v>
      </c>
      <c r="I161" s="86">
        <v>248</v>
      </c>
      <c r="J161" s="86">
        <v>130</v>
      </c>
      <c r="K161" s="87">
        <v>0.5241935483870968</v>
      </c>
      <c r="L161" s="87">
        <v>1</v>
      </c>
      <c r="M161" s="88">
        <v>0.5241935483870968</v>
      </c>
      <c r="N161" s="89"/>
      <c r="O161" s="87"/>
      <c r="P161" s="87"/>
      <c r="Q161" s="87"/>
      <c r="R161" s="87"/>
      <c r="S161" s="87">
        <v>0.5241935483870968</v>
      </c>
      <c r="T161" s="87"/>
      <c r="U161" s="87">
        <v>0.5241935483870968</v>
      </c>
      <c r="V161" s="90" t="s">
        <v>1729</v>
      </c>
    </row>
    <row r="162" ht="15" customHeight="1" spans="1:23" x14ac:dyDescent="0.25">
      <c r="A162" s="85">
        <v>15792</v>
      </c>
      <c r="B162" s="85" t="s">
        <v>1726</v>
      </c>
      <c r="C162" s="85" t="s">
        <v>380</v>
      </c>
      <c r="D162" s="85" t="s">
        <v>511</v>
      </c>
      <c r="E162" s="85"/>
      <c r="F162" s="85" t="s">
        <v>1084</v>
      </c>
      <c r="G162" s="85" t="s">
        <v>1730</v>
      </c>
      <c r="H162" s="85" t="s">
        <v>1731</v>
      </c>
      <c r="I162" s="86">
        <v>248</v>
      </c>
      <c r="J162" s="86">
        <v>20</v>
      </c>
      <c r="K162" s="87">
        <v>0.08064516129032258</v>
      </c>
      <c r="L162" s="87">
        <v>1</v>
      </c>
      <c r="M162" s="88">
        <v>0.08064516129032258</v>
      </c>
      <c r="N162" s="89">
        <v>1</v>
      </c>
      <c r="O162" s="87">
        <v>0.08064516129032258</v>
      </c>
      <c r="P162" s="87"/>
      <c r="Q162" s="87">
        <v>0.08064516129032258</v>
      </c>
      <c r="R162" s="87"/>
      <c r="S162" s="87">
        <v>0.08064516129032258</v>
      </c>
      <c r="T162" s="87"/>
      <c r="U162" s="87">
        <v>0.08064516129032258</v>
      </c>
      <c r="V162" s="90" t="s">
        <v>1732</v>
      </c>
    </row>
    <row r="163" ht="15" customHeight="1" spans="1:23" x14ac:dyDescent="0.25">
      <c r="A163" s="85">
        <v>15792</v>
      </c>
      <c r="B163" s="85" t="s">
        <v>1726</v>
      </c>
      <c r="C163" s="85" t="s">
        <v>380</v>
      </c>
      <c r="D163" s="85" t="s">
        <v>511</v>
      </c>
      <c r="E163" s="85"/>
      <c r="F163" s="85" t="s">
        <v>1084</v>
      </c>
      <c r="G163" s="85" t="s">
        <v>1733</v>
      </c>
      <c r="H163" s="85" t="s">
        <v>1734</v>
      </c>
      <c r="I163" s="86">
        <v>248</v>
      </c>
      <c r="J163" s="86">
        <v>12</v>
      </c>
      <c r="K163" s="87">
        <v>0.04838709677419355</v>
      </c>
      <c r="L163" s="87">
        <v>1</v>
      </c>
      <c r="M163" s="88">
        <v>0.04838709677419355</v>
      </c>
      <c r="N163" s="89">
        <v>1</v>
      </c>
      <c r="O163" s="87">
        <v>0.04838709677419355</v>
      </c>
      <c r="P163" s="87"/>
      <c r="Q163" s="87">
        <v>0.04838709677419355</v>
      </c>
      <c r="R163" s="87"/>
      <c r="S163" s="87">
        <v>0.04838709677419355</v>
      </c>
      <c r="T163" s="87"/>
      <c r="U163" s="87">
        <v>0.04838709677419355</v>
      </c>
      <c r="V163" s="90" t="s">
        <v>1735</v>
      </c>
    </row>
    <row r="164" ht="15" customHeight="1" spans="1:23" x14ac:dyDescent="0.25">
      <c r="A164" s="85">
        <v>15792</v>
      </c>
      <c r="B164" s="85" t="s">
        <v>1726</v>
      </c>
      <c r="C164" s="85" t="s">
        <v>380</v>
      </c>
      <c r="D164" s="85" t="s">
        <v>511</v>
      </c>
      <c r="E164" s="85"/>
      <c r="F164" s="85" t="s">
        <v>1084</v>
      </c>
      <c r="G164" s="85" t="s">
        <v>1736</v>
      </c>
      <c r="H164" s="85" t="s">
        <v>1737</v>
      </c>
      <c r="I164" s="86">
        <v>248</v>
      </c>
      <c r="J164" s="86">
        <v>10</v>
      </c>
      <c r="K164" s="87">
        <v>0.04032258064516129</v>
      </c>
      <c r="L164" s="87">
        <v>1</v>
      </c>
      <c r="M164" s="88">
        <v>0.04032258064516129</v>
      </c>
      <c r="N164" s="89">
        <v>1</v>
      </c>
      <c r="O164" s="87">
        <v>0.04032258064516129</v>
      </c>
      <c r="P164" s="87"/>
      <c r="Q164" s="87">
        <v>0.04032258064516129</v>
      </c>
      <c r="R164" s="87"/>
      <c r="S164" s="87">
        <v>0.04032258064516129</v>
      </c>
      <c r="T164" s="87"/>
      <c r="U164" s="87">
        <v>0.04032258064516129</v>
      </c>
      <c r="V164" s="90" t="s">
        <v>1738</v>
      </c>
    </row>
    <row r="165" ht="15" customHeight="1" spans="1:23" x14ac:dyDescent="0.25">
      <c r="A165" s="85">
        <v>15792</v>
      </c>
      <c r="B165" s="85" t="s">
        <v>1726</v>
      </c>
      <c r="C165" s="85" t="s">
        <v>380</v>
      </c>
      <c r="D165" s="85" t="s">
        <v>511</v>
      </c>
      <c r="E165" s="85"/>
      <c r="F165" s="85" t="s">
        <v>1084</v>
      </c>
      <c r="G165" s="85" t="s">
        <v>1739</v>
      </c>
      <c r="H165" s="85" t="s">
        <v>1740</v>
      </c>
      <c r="I165" s="86">
        <v>248</v>
      </c>
      <c r="J165" s="86">
        <v>73</v>
      </c>
      <c r="K165" s="87">
        <v>0.29435483870967744</v>
      </c>
      <c r="L165" s="87">
        <v>1</v>
      </c>
      <c r="M165" s="88">
        <v>0.29435483870967744</v>
      </c>
      <c r="N165" s="89"/>
      <c r="O165" s="87"/>
      <c r="P165" s="87"/>
      <c r="Q165" s="87"/>
      <c r="R165" s="87"/>
      <c r="S165" s="87">
        <v>0.29435483870967744</v>
      </c>
      <c r="T165" s="87"/>
      <c r="U165" s="87">
        <v>0.29435483870967744</v>
      </c>
      <c r="V165" s="90" t="s">
        <v>1741</v>
      </c>
    </row>
    <row r="166" ht="15" customHeight="1" spans="1:23" x14ac:dyDescent="0.25">
      <c r="A166" s="85">
        <v>15792</v>
      </c>
      <c r="B166" s="85" t="s">
        <v>1726</v>
      </c>
      <c r="C166" s="85" t="s">
        <v>380</v>
      </c>
      <c r="D166" s="85" t="s">
        <v>511</v>
      </c>
      <c r="E166" s="85"/>
      <c r="F166" s="85" t="s">
        <v>1084</v>
      </c>
      <c r="G166" s="85" t="s">
        <v>283</v>
      </c>
      <c r="H166" s="85" t="s">
        <v>1689</v>
      </c>
      <c r="I166" s="86">
        <v>248</v>
      </c>
      <c r="J166" s="86">
        <v>3</v>
      </c>
      <c r="K166" s="87">
        <v>0.012096774193548387</v>
      </c>
      <c r="L166" s="87">
        <v>1</v>
      </c>
      <c r="M166" s="88">
        <v>0.012096774193548387</v>
      </c>
      <c r="N166" s="89">
        <v>1</v>
      </c>
      <c r="O166" s="87">
        <v>0.012096774193548387</v>
      </c>
      <c r="P166" s="87"/>
      <c r="Q166" s="87">
        <v>0.012096774193548387</v>
      </c>
      <c r="R166" s="87"/>
      <c r="S166" s="87">
        <v>0.012096774193548387</v>
      </c>
      <c r="T166" s="87"/>
      <c r="U166" s="87">
        <v>0.012096774193548387</v>
      </c>
      <c r="V166" s="90" t="s">
        <v>1742</v>
      </c>
    </row>
    <row r="167" ht="15" customHeight="1" spans="1:23" x14ac:dyDescent="0.25">
      <c r="A167" s="85">
        <v>16159</v>
      </c>
      <c r="B167" s="85" t="s">
        <v>1743</v>
      </c>
      <c r="C167" s="85" t="s">
        <v>380</v>
      </c>
      <c r="D167" s="85" t="s">
        <v>866</v>
      </c>
      <c r="E167" s="85"/>
      <c r="F167" s="85" t="s">
        <v>155</v>
      </c>
      <c r="G167" s="85"/>
      <c r="H167" s="85"/>
      <c r="I167" s="86"/>
      <c r="J167" s="86"/>
      <c r="K167" s="87"/>
      <c r="L167" s="87"/>
      <c r="M167" s="88"/>
      <c r="N167" s="89"/>
      <c r="O167" s="87"/>
      <c r="P167" s="87"/>
      <c r="Q167" s="87">
        <v>0.7358870967741936</v>
      </c>
      <c r="R167" s="87">
        <v>0.12096774193548387</v>
      </c>
      <c r="S167" s="87">
        <v>0.8568548387096775</v>
      </c>
      <c r="T167" s="87">
        <v>0.9778225806451614</v>
      </c>
      <c r="U167" s="87">
        <v>0.8568548387096775</v>
      </c>
      <c r="V167" s="90" t="s">
        <v>1744</v>
      </c>
    </row>
    <row r="168" ht="15" customHeight="1" spans="1:23" x14ac:dyDescent="0.25">
      <c r="A168" s="85">
        <v>16159</v>
      </c>
      <c r="B168" s="85" t="s">
        <v>1743</v>
      </c>
      <c r="C168" s="85" t="s">
        <v>380</v>
      </c>
      <c r="D168" s="85" t="s">
        <v>866</v>
      </c>
      <c r="E168" s="85"/>
      <c r="F168" s="85" t="s">
        <v>1084</v>
      </c>
      <c r="G168" s="85" t="s">
        <v>1745</v>
      </c>
      <c r="H168" s="85" t="s">
        <v>1561</v>
      </c>
      <c r="I168" s="86">
        <v>248</v>
      </c>
      <c r="J168" s="86">
        <v>60</v>
      </c>
      <c r="K168" s="87">
        <v>0.24193548387096775</v>
      </c>
      <c r="L168" s="87">
        <v>1</v>
      </c>
      <c r="M168" s="88">
        <v>0.24193548387096775</v>
      </c>
      <c r="N168" s="89">
        <v>0.5</v>
      </c>
      <c r="O168" s="87">
        <v>0.12096774193548387</v>
      </c>
      <c r="P168" s="87"/>
      <c r="Q168" s="87"/>
      <c r="R168" s="87">
        <v>0.12096774193548387</v>
      </c>
      <c r="S168" s="87">
        <v>0.12096774193548387</v>
      </c>
      <c r="T168" s="87"/>
      <c r="U168" s="87">
        <v>0.12096774193548387</v>
      </c>
      <c r="V168" s="90" t="s">
        <v>1746</v>
      </c>
    </row>
    <row r="169" ht="15" customHeight="1" spans="1:23" x14ac:dyDescent="0.25">
      <c r="A169" s="85">
        <v>16159</v>
      </c>
      <c r="B169" s="85" t="s">
        <v>1743</v>
      </c>
      <c r="C169" s="85" t="s">
        <v>380</v>
      </c>
      <c r="D169" s="85" t="s">
        <v>866</v>
      </c>
      <c r="E169" s="85"/>
      <c r="F169" s="85" t="s">
        <v>1084</v>
      </c>
      <c r="G169" s="85" t="s">
        <v>1747</v>
      </c>
      <c r="H169" s="85" t="s">
        <v>1748</v>
      </c>
      <c r="I169" s="86">
        <v>248</v>
      </c>
      <c r="J169" s="86">
        <v>55</v>
      </c>
      <c r="K169" s="87">
        <v>0.2217741935483871</v>
      </c>
      <c r="L169" s="87">
        <v>1</v>
      </c>
      <c r="M169" s="88">
        <v>0.2217741935483871</v>
      </c>
      <c r="N169" s="89">
        <v>1</v>
      </c>
      <c r="O169" s="87">
        <v>0.2217741935483871</v>
      </c>
      <c r="P169" s="87"/>
      <c r="Q169" s="87">
        <v>0.2217741935483871</v>
      </c>
      <c r="R169" s="87"/>
      <c r="S169" s="87">
        <v>0.2217741935483871</v>
      </c>
      <c r="T169" s="87"/>
      <c r="U169" s="87">
        <v>0.2217741935483871</v>
      </c>
      <c r="V169" s="90" t="s">
        <v>1749</v>
      </c>
    </row>
    <row r="170" ht="15" customHeight="1" spans="1:23" x14ac:dyDescent="0.25">
      <c r="A170" s="85">
        <v>16159</v>
      </c>
      <c r="B170" s="85" t="s">
        <v>1743</v>
      </c>
      <c r="C170" s="85" t="s">
        <v>380</v>
      </c>
      <c r="D170" s="85" t="s">
        <v>866</v>
      </c>
      <c r="E170" s="85"/>
      <c r="F170" s="85" t="s">
        <v>1084</v>
      </c>
      <c r="G170" s="85" t="s">
        <v>1750</v>
      </c>
      <c r="H170" s="85" t="s">
        <v>1751</v>
      </c>
      <c r="I170" s="86">
        <v>248</v>
      </c>
      <c r="J170" s="86">
        <v>26</v>
      </c>
      <c r="K170" s="87">
        <v>0.10483870967741936</v>
      </c>
      <c r="L170" s="87">
        <v>1</v>
      </c>
      <c r="M170" s="88">
        <v>0.10483870967741936</v>
      </c>
      <c r="N170" s="89">
        <v>1</v>
      </c>
      <c r="O170" s="87">
        <v>0.10483870967741936</v>
      </c>
      <c r="P170" s="87"/>
      <c r="Q170" s="87">
        <v>0.10483870967741936</v>
      </c>
      <c r="R170" s="87"/>
      <c r="S170" s="87">
        <v>0.10483870967741936</v>
      </c>
      <c r="T170" s="87"/>
      <c r="U170" s="87">
        <v>0.10483870967741936</v>
      </c>
      <c r="V170" s="90" t="s">
        <v>1752</v>
      </c>
    </row>
    <row r="171" ht="15" customHeight="1" spans="1:23" x14ac:dyDescent="0.25">
      <c r="A171" s="85">
        <v>16159</v>
      </c>
      <c r="B171" s="85" t="s">
        <v>1743</v>
      </c>
      <c r="C171" s="85" t="s">
        <v>380</v>
      </c>
      <c r="D171" s="85" t="s">
        <v>866</v>
      </c>
      <c r="E171" s="85"/>
      <c r="F171" s="85" t="s">
        <v>1084</v>
      </c>
      <c r="G171" s="85" t="s">
        <v>1753</v>
      </c>
      <c r="H171" s="85" t="s">
        <v>1754</v>
      </c>
      <c r="I171" s="86">
        <v>248</v>
      </c>
      <c r="J171" s="86">
        <v>24</v>
      </c>
      <c r="K171" s="87">
        <v>0.0967741935483871</v>
      </c>
      <c r="L171" s="87">
        <v>1</v>
      </c>
      <c r="M171" s="88">
        <v>0.0967741935483871</v>
      </c>
      <c r="N171" s="89">
        <v>1</v>
      </c>
      <c r="O171" s="87">
        <v>0.0967741935483871</v>
      </c>
      <c r="P171" s="87"/>
      <c r="Q171" s="87">
        <v>0.0967741935483871</v>
      </c>
      <c r="R171" s="87"/>
      <c r="S171" s="87">
        <v>0.0967741935483871</v>
      </c>
      <c r="T171" s="87"/>
      <c r="U171" s="87">
        <v>0.0967741935483871</v>
      </c>
      <c r="V171" s="90" t="s">
        <v>1755</v>
      </c>
    </row>
    <row r="172" ht="15" customHeight="1" spans="1:23" x14ac:dyDescent="0.25">
      <c r="A172" s="85">
        <v>16159</v>
      </c>
      <c r="B172" s="85" t="s">
        <v>1743</v>
      </c>
      <c r="C172" s="85" t="s">
        <v>380</v>
      </c>
      <c r="D172" s="85" t="s">
        <v>866</v>
      </c>
      <c r="E172" s="85"/>
      <c r="F172" s="85" t="s">
        <v>1084</v>
      </c>
      <c r="G172" s="85" t="s">
        <v>1756</v>
      </c>
      <c r="H172" s="85" t="s">
        <v>1757</v>
      </c>
      <c r="I172" s="86">
        <v>248</v>
      </c>
      <c r="J172" s="86">
        <v>44</v>
      </c>
      <c r="K172" s="87">
        <v>0.1774193548387097</v>
      </c>
      <c r="L172" s="87">
        <v>1</v>
      </c>
      <c r="M172" s="88">
        <v>0.1774193548387097</v>
      </c>
      <c r="N172" s="89">
        <v>1</v>
      </c>
      <c r="O172" s="87">
        <v>0.1774193548387097</v>
      </c>
      <c r="P172" s="87"/>
      <c r="Q172" s="87">
        <v>0.1774193548387097</v>
      </c>
      <c r="R172" s="87"/>
      <c r="S172" s="87">
        <v>0.1774193548387097</v>
      </c>
      <c r="T172" s="87"/>
      <c r="U172" s="87">
        <v>0.1774193548387097</v>
      </c>
      <c r="V172" s="90" t="s">
        <v>1758</v>
      </c>
    </row>
    <row r="173" ht="15" customHeight="1" spans="1:23" x14ac:dyDescent="0.25">
      <c r="A173" s="85">
        <v>16159</v>
      </c>
      <c r="B173" s="85" t="s">
        <v>1743</v>
      </c>
      <c r="C173" s="85" t="s">
        <v>380</v>
      </c>
      <c r="D173" s="85" t="s">
        <v>866</v>
      </c>
      <c r="E173" s="85"/>
      <c r="F173" s="85" t="s">
        <v>1084</v>
      </c>
      <c r="G173" s="85" t="s">
        <v>1759</v>
      </c>
      <c r="H173" s="85" t="s">
        <v>1760</v>
      </c>
      <c r="I173" s="86">
        <v>248</v>
      </c>
      <c r="J173" s="86">
        <v>28</v>
      </c>
      <c r="K173" s="87">
        <v>0.11290322580645161</v>
      </c>
      <c r="L173" s="87">
        <v>1</v>
      </c>
      <c r="M173" s="88">
        <v>0.11290322580645161</v>
      </c>
      <c r="N173" s="89">
        <v>1</v>
      </c>
      <c r="O173" s="87">
        <v>0.11290322580645161</v>
      </c>
      <c r="P173" s="87"/>
      <c r="Q173" s="87">
        <v>0.11290322580645161</v>
      </c>
      <c r="R173" s="87"/>
      <c r="S173" s="87">
        <v>0.11290322580645161</v>
      </c>
      <c r="T173" s="87"/>
      <c r="U173" s="87">
        <v>0.11290322580645161</v>
      </c>
      <c r="V173" s="90" t="s">
        <v>1761</v>
      </c>
    </row>
    <row r="174" ht="15" customHeight="1" spans="1:23" x14ac:dyDescent="0.25">
      <c r="A174" s="85">
        <v>16159</v>
      </c>
      <c r="B174" s="85" t="s">
        <v>1743</v>
      </c>
      <c r="C174" s="85" t="s">
        <v>380</v>
      </c>
      <c r="D174" s="85" t="s">
        <v>866</v>
      </c>
      <c r="E174" s="85"/>
      <c r="F174" s="85" t="s">
        <v>1084</v>
      </c>
      <c r="G174" s="85" t="s">
        <v>283</v>
      </c>
      <c r="H174" s="85" t="s">
        <v>1762</v>
      </c>
      <c r="I174" s="86">
        <v>248</v>
      </c>
      <c r="J174" s="86">
        <v>11</v>
      </c>
      <c r="K174" s="87">
        <v>0.04435483870967742</v>
      </c>
      <c r="L174" s="87">
        <v>0.5</v>
      </c>
      <c r="M174" s="88">
        <v>0.02217741935483871</v>
      </c>
      <c r="N174" s="89">
        <v>1</v>
      </c>
      <c r="O174" s="87">
        <v>0.02217741935483871</v>
      </c>
      <c r="P174" s="87"/>
      <c r="Q174" s="87">
        <v>0.02217741935483871</v>
      </c>
      <c r="R174" s="87"/>
      <c r="S174" s="87">
        <v>0.02217741935483871</v>
      </c>
      <c r="T174" s="87"/>
      <c r="U174" s="87">
        <v>0.02217741935483871</v>
      </c>
      <c r="V174" s="90" t="s">
        <v>1763</v>
      </c>
    </row>
    <row r="175" ht="15" customHeight="1" spans="1:23" x14ac:dyDescent="0.25">
      <c r="A175" s="85">
        <v>16511</v>
      </c>
      <c r="B175" s="85" t="s">
        <v>1764</v>
      </c>
      <c r="C175" s="85" t="s">
        <v>380</v>
      </c>
      <c r="D175" s="85" t="s">
        <v>386</v>
      </c>
      <c r="E175" s="85"/>
      <c r="F175" s="85" t="s">
        <v>155</v>
      </c>
      <c r="G175" s="85"/>
      <c r="H175" s="85"/>
      <c r="I175" s="86"/>
      <c r="J175" s="86"/>
      <c r="K175" s="87"/>
      <c r="L175" s="87"/>
      <c r="M175" s="88"/>
      <c r="N175" s="89"/>
      <c r="O175" s="87"/>
      <c r="P175" s="87"/>
      <c r="Q175" s="87"/>
      <c r="R175" s="87"/>
      <c r="S175" s="87">
        <v>1</v>
      </c>
      <c r="T175" s="87">
        <v>1</v>
      </c>
      <c r="U175" s="87">
        <v>1</v>
      </c>
      <c r="V175" s="90" t="s">
        <v>1765</v>
      </c>
    </row>
    <row r="176" ht="15" customHeight="1" spans="1:23" x14ac:dyDescent="0.25">
      <c r="A176" s="85">
        <v>16511</v>
      </c>
      <c r="B176" s="85" t="s">
        <v>1764</v>
      </c>
      <c r="C176" s="85" t="s">
        <v>380</v>
      </c>
      <c r="D176" s="85" t="s">
        <v>386</v>
      </c>
      <c r="E176" s="85"/>
      <c r="F176" s="85" t="s">
        <v>1084</v>
      </c>
      <c r="G176" s="85" t="s">
        <v>283</v>
      </c>
      <c r="H176" s="85" t="s">
        <v>1561</v>
      </c>
      <c r="I176" s="86">
        <v>248</v>
      </c>
      <c r="J176" s="86">
        <v>248</v>
      </c>
      <c r="K176" s="87">
        <v>1</v>
      </c>
      <c r="L176" s="87">
        <v>1</v>
      </c>
      <c r="M176" s="88">
        <v>1</v>
      </c>
      <c r="N176" s="89"/>
      <c r="O176" s="87"/>
      <c r="P176" s="87"/>
      <c r="Q176" s="87"/>
      <c r="R176" s="87"/>
      <c r="S176" s="87">
        <v>1</v>
      </c>
      <c r="T176" s="87"/>
      <c r="U176" s="87">
        <v>1</v>
      </c>
      <c r="V176" s="90" t="s">
        <v>1766</v>
      </c>
    </row>
    <row r="177" ht="15" customHeight="1" spans="1:23" x14ac:dyDescent="0.25">
      <c r="A177" s="85">
        <v>16634</v>
      </c>
      <c r="B177" s="85" t="s">
        <v>1767</v>
      </c>
      <c r="C177" s="85" t="s">
        <v>380</v>
      </c>
      <c r="D177" s="85" t="s">
        <v>176</v>
      </c>
      <c r="E177" s="85"/>
      <c r="F177" s="85" t="s">
        <v>155</v>
      </c>
      <c r="G177" s="85"/>
      <c r="H177" s="85"/>
      <c r="I177" s="86"/>
      <c r="J177" s="86"/>
      <c r="K177" s="87"/>
      <c r="L177" s="87"/>
      <c r="M177" s="88"/>
      <c r="N177" s="89"/>
      <c r="O177" s="87"/>
      <c r="P177" s="87"/>
      <c r="Q177" s="87"/>
      <c r="R177" s="87"/>
      <c r="S177" s="87">
        <v>1</v>
      </c>
      <c r="T177" s="87">
        <v>1</v>
      </c>
      <c r="U177" s="87"/>
      <c r="V177" s="90" t="s">
        <v>1084</v>
      </c>
    </row>
    <row r="178" ht="15" customHeight="1" spans="1:23" x14ac:dyDescent="0.25">
      <c r="A178" s="85">
        <v>16634</v>
      </c>
      <c r="B178" s="85" t="s">
        <v>1767</v>
      </c>
      <c r="C178" s="85" t="s">
        <v>380</v>
      </c>
      <c r="D178" s="85" t="s">
        <v>176</v>
      </c>
      <c r="E178" s="85"/>
      <c r="F178" s="85" t="s">
        <v>1084</v>
      </c>
      <c r="G178" s="85" t="s">
        <v>283</v>
      </c>
      <c r="H178" s="85" t="s">
        <v>1561</v>
      </c>
      <c r="I178" s="86">
        <v>248</v>
      </c>
      <c r="J178" s="86">
        <v>248</v>
      </c>
      <c r="K178" s="87">
        <v>1</v>
      </c>
      <c r="L178" s="87">
        <v>1</v>
      </c>
      <c r="M178" s="88">
        <v>1</v>
      </c>
      <c r="N178" s="89"/>
      <c r="O178" s="87"/>
      <c r="P178" s="87"/>
      <c r="Q178" s="87"/>
      <c r="R178" s="87"/>
      <c r="S178" s="87">
        <v>1</v>
      </c>
      <c r="T178" s="87"/>
      <c r="U178" s="87">
        <v>0</v>
      </c>
      <c r="V178" s="90" t="s">
        <v>1084</v>
      </c>
    </row>
    <row r="179" ht="15" customHeight="1" spans="1:23" x14ac:dyDescent="0.25">
      <c r="A179" s="85">
        <v>16883</v>
      </c>
      <c r="B179" s="85" t="s">
        <v>1768</v>
      </c>
      <c r="C179" s="85" t="s">
        <v>380</v>
      </c>
      <c r="D179" s="85" t="s">
        <v>475</v>
      </c>
      <c r="E179" s="85" t="s">
        <v>570</v>
      </c>
      <c r="F179" s="85" t="s">
        <v>155</v>
      </c>
      <c r="G179" s="85"/>
      <c r="H179" s="85"/>
      <c r="I179" s="86"/>
      <c r="J179" s="86"/>
      <c r="K179" s="87"/>
      <c r="L179" s="87"/>
      <c r="M179" s="88"/>
      <c r="N179" s="89"/>
      <c r="O179" s="87"/>
      <c r="P179" s="87"/>
      <c r="Q179" s="87"/>
      <c r="R179" s="87"/>
      <c r="S179" s="87">
        <v>0.05241935483870968</v>
      </c>
      <c r="T179" s="87">
        <v>0.05241935483870968</v>
      </c>
      <c r="U179" s="87"/>
      <c r="V179" s="90" t="s">
        <v>1084</v>
      </c>
    </row>
    <row r="180" ht="15" customHeight="1" spans="1:23" x14ac:dyDescent="0.25">
      <c r="A180" s="85">
        <v>16883</v>
      </c>
      <c r="B180" s="85" t="s">
        <v>1768</v>
      </c>
      <c r="C180" s="85" t="s">
        <v>380</v>
      </c>
      <c r="D180" s="85" t="s">
        <v>475</v>
      </c>
      <c r="E180" s="85" t="s">
        <v>570</v>
      </c>
      <c r="F180" s="85" t="s">
        <v>1084</v>
      </c>
      <c r="G180" s="85" t="s">
        <v>283</v>
      </c>
      <c r="H180" s="85" t="s">
        <v>570</v>
      </c>
      <c r="I180" s="86">
        <v>248</v>
      </c>
      <c r="J180" s="86">
        <v>13</v>
      </c>
      <c r="K180" s="87">
        <v>0.05241935483870968</v>
      </c>
      <c r="L180" s="87">
        <v>1</v>
      </c>
      <c r="M180" s="88">
        <v>0.05241935483870968</v>
      </c>
      <c r="N180" s="89"/>
      <c r="O180" s="87"/>
      <c r="P180" s="87"/>
      <c r="Q180" s="87"/>
      <c r="R180" s="87"/>
      <c r="S180" s="87">
        <v>0.05241935483870968</v>
      </c>
      <c r="T180" s="87"/>
      <c r="U180" s="87">
        <v>0</v>
      </c>
      <c r="V180" s="90" t="s">
        <v>1084</v>
      </c>
    </row>
    <row r="181" ht="15" customHeight="1" spans="1:23" x14ac:dyDescent="0.25">
      <c r="A181" s="85">
        <v>16972</v>
      </c>
      <c r="B181" s="85" t="s">
        <v>1769</v>
      </c>
      <c r="C181" s="85" t="s">
        <v>380</v>
      </c>
      <c r="D181" s="85" t="s">
        <v>208</v>
      </c>
      <c r="E181" s="85" t="s">
        <v>662</v>
      </c>
      <c r="F181" s="85" t="s">
        <v>155</v>
      </c>
      <c r="G181" s="85"/>
      <c r="H181" s="85"/>
      <c r="I181" s="86"/>
      <c r="J181" s="86"/>
      <c r="K181" s="87"/>
      <c r="L181" s="87"/>
      <c r="M181" s="88"/>
      <c r="N181" s="89"/>
      <c r="O181" s="87"/>
      <c r="P181" s="87"/>
      <c r="Q181" s="87"/>
      <c r="R181" s="87"/>
      <c r="S181" s="87">
        <v>1</v>
      </c>
      <c r="T181" s="87">
        <v>1</v>
      </c>
      <c r="U181" s="87">
        <v>1</v>
      </c>
      <c r="V181" s="90" t="s">
        <v>1770</v>
      </c>
    </row>
    <row r="182" ht="15" customHeight="1" spans="1:23" x14ac:dyDescent="0.25">
      <c r="A182" s="85">
        <v>16972</v>
      </c>
      <c r="B182" s="85" t="s">
        <v>1769</v>
      </c>
      <c r="C182" s="85" t="s">
        <v>380</v>
      </c>
      <c r="D182" s="85" t="s">
        <v>208</v>
      </c>
      <c r="E182" s="85" t="s">
        <v>662</v>
      </c>
      <c r="F182" s="85" t="s">
        <v>1084</v>
      </c>
      <c r="G182" s="85" t="s">
        <v>283</v>
      </c>
      <c r="H182" s="85" t="s">
        <v>1561</v>
      </c>
      <c r="I182" s="86">
        <v>248</v>
      </c>
      <c r="J182" s="86">
        <v>248</v>
      </c>
      <c r="K182" s="87">
        <v>1</v>
      </c>
      <c r="L182" s="87">
        <v>1</v>
      </c>
      <c r="M182" s="88">
        <v>1</v>
      </c>
      <c r="N182" s="89"/>
      <c r="O182" s="87"/>
      <c r="P182" s="87"/>
      <c r="Q182" s="87"/>
      <c r="R182" s="87"/>
      <c r="S182" s="87">
        <v>1</v>
      </c>
      <c r="T182" s="87"/>
      <c r="U182" s="87">
        <v>1</v>
      </c>
      <c r="V182" s="90" t="s">
        <v>1770</v>
      </c>
    </row>
    <row r="183" ht="15" customHeight="1" spans="1:23" x14ac:dyDescent="0.25">
      <c r="A183" s="85">
        <v>16977</v>
      </c>
      <c r="B183" s="85" t="s">
        <v>1771</v>
      </c>
      <c r="C183" s="85" t="s">
        <v>380</v>
      </c>
      <c r="D183" s="85" t="s">
        <v>386</v>
      </c>
      <c r="E183" s="85"/>
      <c r="F183" s="85" t="s">
        <v>155</v>
      </c>
      <c r="G183" s="85"/>
      <c r="H183" s="85"/>
      <c r="I183" s="86"/>
      <c r="J183" s="86"/>
      <c r="K183" s="87"/>
      <c r="L183" s="87"/>
      <c r="M183" s="88"/>
      <c r="N183" s="89"/>
      <c r="O183" s="87"/>
      <c r="P183" s="87"/>
      <c r="Q183" s="87"/>
      <c r="R183" s="87"/>
      <c r="S183" s="87">
        <v>1</v>
      </c>
      <c r="T183" s="87">
        <v>1</v>
      </c>
      <c r="U183" s="87"/>
      <c r="V183" s="90" t="s">
        <v>1084</v>
      </c>
    </row>
    <row r="184" ht="15" customHeight="1" spans="1:23" x14ac:dyDescent="0.25">
      <c r="A184" s="85">
        <v>16977</v>
      </c>
      <c r="B184" s="85" t="s">
        <v>1771</v>
      </c>
      <c r="C184" s="85" t="s">
        <v>380</v>
      </c>
      <c r="D184" s="85" t="s">
        <v>386</v>
      </c>
      <c r="E184" s="85"/>
      <c r="F184" s="85" t="s">
        <v>1084</v>
      </c>
      <c r="G184" s="85" t="s">
        <v>283</v>
      </c>
      <c r="H184" s="85" t="s">
        <v>1561</v>
      </c>
      <c r="I184" s="86">
        <v>248</v>
      </c>
      <c r="J184" s="86">
        <v>248</v>
      </c>
      <c r="K184" s="87">
        <v>1</v>
      </c>
      <c r="L184" s="87">
        <v>1</v>
      </c>
      <c r="M184" s="88">
        <v>1</v>
      </c>
      <c r="N184" s="89"/>
      <c r="O184" s="87"/>
      <c r="P184" s="87"/>
      <c r="Q184" s="87"/>
      <c r="R184" s="87"/>
      <c r="S184" s="87">
        <v>1</v>
      </c>
      <c r="T184" s="87"/>
      <c r="U184" s="87">
        <v>0</v>
      </c>
      <c r="V184" s="90" t="s">
        <v>1084</v>
      </c>
    </row>
    <row r="185" ht="15" customHeight="1" spans="1:23" x14ac:dyDescent="0.25">
      <c r="A185" s="85">
        <v>17000</v>
      </c>
      <c r="B185" s="85" t="s">
        <v>1772</v>
      </c>
      <c r="C185" s="85" t="s">
        <v>161</v>
      </c>
      <c r="D185" s="85" t="s">
        <v>182</v>
      </c>
      <c r="E185" s="85"/>
      <c r="F185" s="85" t="s">
        <v>155</v>
      </c>
      <c r="G185" s="85"/>
      <c r="H185" s="85"/>
      <c r="I185" s="86"/>
      <c r="J185" s="86"/>
      <c r="K185" s="87"/>
      <c r="L185" s="87"/>
      <c r="M185" s="88"/>
      <c r="N185" s="89"/>
      <c r="O185" s="87"/>
      <c r="P185" s="87"/>
      <c r="Q185" s="87"/>
      <c r="R185" s="87"/>
      <c r="S185" s="87">
        <v>1</v>
      </c>
      <c r="T185" s="87">
        <v>1</v>
      </c>
      <c r="U185" s="87"/>
      <c r="V185" s="90" t="s">
        <v>1084</v>
      </c>
    </row>
    <row r="186" ht="15" customHeight="1" spans="1:23" x14ac:dyDescent="0.25">
      <c r="A186" s="85">
        <v>17000</v>
      </c>
      <c r="B186" s="85" t="s">
        <v>1772</v>
      </c>
      <c r="C186" s="85" t="s">
        <v>161</v>
      </c>
      <c r="D186" s="85" t="s">
        <v>182</v>
      </c>
      <c r="E186" s="85"/>
      <c r="F186" s="85" t="s">
        <v>1084</v>
      </c>
      <c r="G186" s="85" t="s">
        <v>283</v>
      </c>
      <c r="H186" s="85" t="s">
        <v>1561</v>
      </c>
      <c r="I186" s="86">
        <v>248</v>
      </c>
      <c r="J186" s="86">
        <v>248</v>
      </c>
      <c r="K186" s="87">
        <v>1</v>
      </c>
      <c r="L186" s="87">
        <v>1</v>
      </c>
      <c r="M186" s="88">
        <v>1</v>
      </c>
      <c r="N186" s="89"/>
      <c r="O186" s="87"/>
      <c r="P186" s="87"/>
      <c r="Q186" s="87"/>
      <c r="R186" s="87"/>
      <c r="S186" s="87">
        <v>1</v>
      </c>
      <c r="T186" s="87"/>
      <c r="U186" s="87">
        <v>0</v>
      </c>
      <c r="V186" s="90" t="s">
        <v>1084</v>
      </c>
    </row>
    <row r="187" ht="15" customHeight="1" spans="1:23" x14ac:dyDescent="0.25">
      <c r="A187" s="85">
        <v>17147</v>
      </c>
      <c r="B187" s="85" t="s">
        <v>1773</v>
      </c>
      <c r="C187" s="85" t="s">
        <v>380</v>
      </c>
      <c r="D187" s="85" t="s">
        <v>400</v>
      </c>
      <c r="E187" s="85"/>
      <c r="F187" s="85" t="s">
        <v>155</v>
      </c>
      <c r="G187" s="85"/>
      <c r="H187" s="85"/>
      <c r="I187" s="86"/>
      <c r="J187" s="86"/>
      <c r="K187" s="87"/>
      <c r="L187" s="87"/>
      <c r="M187" s="88"/>
      <c r="N187" s="89"/>
      <c r="O187" s="87"/>
      <c r="P187" s="87"/>
      <c r="Q187" s="87"/>
      <c r="R187" s="87"/>
      <c r="S187" s="87">
        <v>1</v>
      </c>
      <c r="T187" s="87">
        <v>1</v>
      </c>
      <c r="U187" s="87"/>
      <c r="V187" s="90" t="s">
        <v>1084</v>
      </c>
    </row>
    <row r="188" ht="15" customHeight="1" spans="1:23" x14ac:dyDescent="0.25">
      <c r="A188" s="85">
        <v>17147</v>
      </c>
      <c r="B188" s="85" t="s">
        <v>1773</v>
      </c>
      <c r="C188" s="85" t="s">
        <v>380</v>
      </c>
      <c r="D188" s="85" t="s">
        <v>400</v>
      </c>
      <c r="E188" s="85"/>
      <c r="F188" s="85" t="s">
        <v>1084</v>
      </c>
      <c r="G188" s="85" t="s">
        <v>283</v>
      </c>
      <c r="H188" s="85" t="s">
        <v>1561</v>
      </c>
      <c r="I188" s="86">
        <v>248</v>
      </c>
      <c r="J188" s="86">
        <v>248</v>
      </c>
      <c r="K188" s="87">
        <v>1</v>
      </c>
      <c r="L188" s="87">
        <v>1</v>
      </c>
      <c r="M188" s="88">
        <v>1</v>
      </c>
      <c r="N188" s="89"/>
      <c r="O188" s="87"/>
      <c r="P188" s="87"/>
      <c r="Q188" s="87"/>
      <c r="R188" s="87"/>
      <c r="S188" s="87">
        <v>1</v>
      </c>
      <c r="T188" s="87"/>
      <c r="U188" s="87">
        <v>0</v>
      </c>
      <c r="V188" s="90" t="s">
        <v>1084</v>
      </c>
    </row>
    <row r="189" ht="15" customHeight="1" spans="1:23" x14ac:dyDescent="0.25">
      <c r="A189" s="85">
        <v>17440</v>
      </c>
      <c r="B189" s="85" t="s">
        <v>1774</v>
      </c>
      <c r="C189" s="85" t="s">
        <v>380</v>
      </c>
      <c r="D189" s="85" t="s">
        <v>475</v>
      </c>
      <c r="E189" s="85"/>
      <c r="F189" s="85" t="s">
        <v>155</v>
      </c>
      <c r="G189" s="85"/>
      <c r="H189" s="85"/>
      <c r="I189" s="86"/>
      <c r="J189" s="86"/>
      <c r="K189" s="87"/>
      <c r="L189" s="87"/>
      <c r="M189" s="88"/>
      <c r="N189" s="89"/>
      <c r="O189" s="87"/>
      <c r="P189" s="87"/>
      <c r="Q189" s="87"/>
      <c r="R189" s="87"/>
      <c r="S189" s="87">
        <v>1</v>
      </c>
      <c r="T189" s="87">
        <v>1</v>
      </c>
      <c r="U189" s="87"/>
      <c r="V189" s="90" t="s">
        <v>1084</v>
      </c>
    </row>
    <row r="190" ht="15" customHeight="1" spans="1:23" x14ac:dyDescent="0.25">
      <c r="A190" s="85">
        <v>17440</v>
      </c>
      <c r="B190" s="85" t="s">
        <v>1774</v>
      </c>
      <c r="C190" s="85" t="s">
        <v>380</v>
      </c>
      <c r="D190" s="85" t="s">
        <v>475</v>
      </c>
      <c r="E190" s="85"/>
      <c r="F190" s="85" t="s">
        <v>1084</v>
      </c>
      <c r="G190" s="85" t="s">
        <v>283</v>
      </c>
      <c r="H190" s="85" t="s">
        <v>1561</v>
      </c>
      <c r="I190" s="86">
        <v>248</v>
      </c>
      <c r="J190" s="86">
        <v>248</v>
      </c>
      <c r="K190" s="87">
        <v>1</v>
      </c>
      <c r="L190" s="87">
        <v>1</v>
      </c>
      <c r="M190" s="88">
        <v>1</v>
      </c>
      <c r="N190" s="89"/>
      <c r="O190" s="87"/>
      <c r="P190" s="87"/>
      <c r="Q190" s="87"/>
      <c r="R190" s="87"/>
      <c r="S190" s="87">
        <v>1</v>
      </c>
      <c r="T190" s="87"/>
      <c r="U190" s="87">
        <v>0</v>
      </c>
      <c r="V190" s="90" t="s">
        <v>1084</v>
      </c>
    </row>
    <row r="191" ht="15" customHeight="1" spans="1:23" x14ac:dyDescent="0.25">
      <c r="A191" s="85">
        <v>17843</v>
      </c>
      <c r="B191" s="85" t="s">
        <v>1775</v>
      </c>
      <c r="C191" s="85" t="s">
        <v>380</v>
      </c>
      <c r="D191" s="85" t="s">
        <v>704</v>
      </c>
      <c r="E191" s="85"/>
      <c r="F191" s="85" t="s">
        <v>155</v>
      </c>
      <c r="G191" s="85"/>
      <c r="H191" s="85"/>
      <c r="I191" s="86"/>
      <c r="J191" s="86"/>
      <c r="K191" s="87"/>
      <c r="L191" s="87"/>
      <c r="M191" s="88"/>
      <c r="N191" s="89"/>
      <c r="O191" s="87"/>
      <c r="P191" s="87"/>
      <c r="Q191" s="87">
        <v>0.4798387096774194</v>
      </c>
      <c r="R191" s="87"/>
      <c r="S191" s="87">
        <v>0.9040322580645161</v>
      </c>
      <c r="T191" s="87">
        <v>0.9040322580645161</v>
      </c>
      <c r="U191" s="87">
        <v>0.9040322580645161</v>
      </c>
      <c r="V191" s="90" t="s">
        <v>1776</v>
      </c>
    </row>
    <row r="192" ht="15" customHeight="1" spans="1:23" x14ac:dyDescent="0.25">
      <c r="A192" s="85">
        <v>17843</v>
      </c>
      <c r="B192" s="85" t="s">
        <v>1775</v>
      </c>
      <c r="C192" s="85" t="s">
        <v>380</v>
      </c>
      <c r="D192" s="85" t="s">
        <v>704</v>
      </c>
      <c r="E192" s="85"/>
      <c r="F192" s="85" t="s">
        <v>1084</v>
      </c>
      <c r="G192" s="85" t="s">
        <v>528</v>
      </c>
      <c r="H192" s="85" t="s">
        <v>1561</v>
      </c>
      <c r="I192" s="86">
        <v>248</v>
      </c>
      <c r="J192" s="86">
        <v>119</v>
      </c>
      <c r="K192" s="87">
        <v>0.4798387096774194</v>
      </c>
      <c r="L192" s="87">
        <v>0.8</v>
      </c>
      <c r="M192" s="88">
        <v>0.3838709677419355</v>
      </c>
      <c r="N192" s="89"/>
      <c r="O192" s="87"/>
      <c r="P192" s="87"/>
      <c r="Q192" s="87"/>
      <c r="R192" s="87"/>
      <c r="S192" s="87">
        <v>0.3838709677419355</v>
      </c>
      <c r="T192" s="87"/>
      <c r="U192" s="87">
        <v>0.3838709677419355</v>
      </c>
      <c r="V192" s="90" t="s">
        <v>1777</v>
      </c>
    </row>
    <row r="193" ht="15" customHeight="1" spans="1:23" x14ac:dyDescent="0.25">
      <c r="A193" s="85">
        <v>17843</v>
      </c>
      <c r="B193" s="85" t="s">
        <v>1775</v>
      </c>
      <c r="C193" s="85" t="s">
        <v>380</v>
      </c>
      <c r="D193" s="85" t="s">
        <v>704</v>
      </c>
      <c r="E193" s="85"/>
      <c r="F193" s="85" t="s">
        <v>1084</v>
      </c>
      <c r="G193" s="85" t="s">
        <v>1778</v>
      </c>
      <c r="H193" s="85" t="s">
        <v>1779</v>
      </c>
      <c r="I193" s="86">
        <v>248</v>
      </c>
      <c r="J193" s="86">
        <v>10</v>
      </c>
      <c r="K193" s="87">
        <v>0.04032258064516129</v>
      </c>
      <c r="L193" s="87">
        <v>1</v>
      </c>
      <c r="M193" s="88">
        <v>0.04032258064516129</v>
      </c>
      <c r="N193" s="89"/>
      <c r="O193" s="87"/>
      <c r="P193" s="87"/>
      <c r="Q193" s="87"/>
      <c r="R193" s="87"/>
      <c r="S193" s="87">
        <v>0.04032258064516129</v>
      </c>
      <c r="T193" s="87"/>
      <c r="U193" s="87">
        <v>0.04032258064516129</v>
      </c>
      <c r="V193" s="90" t="s">
        <v>1780</v>
      </c>
    </row>
    <row r="194" ht="15" customHeight="1" spans="1:23" x14ac:dyDescent="0.25">
      <c r="A194" s="85">
        <v>17843</v>
      </c>
      <c r="B194" s="85" t="s">
        <v>1775</v>
      </c>
      <c r="C194" s="85" t="s">
        <v>380</v>
      </c>
      <c r="D194" s="85" t="s">
        <v>704</v>
      </c>
      <c r="E194" s="85"/>
      <c r="F194" s="85" t="s">
        <v>1084</v>
      </c>
      <c r="G194" s="85" t="s">
        <v>283</v>
      </c>
      <c r="H194" s="85" t="s">
        <v>1781</v>
      </c>
      <c r="I194" s="86">
        <v>248</v>
      </c>
      <c r="J194" s="86">
        <v>119</v>
      </c>
      <c r="K194" s="87">
        <v>0.4798387096774194</v>
      </c>
      <c r="L194" s="87">
        <v>1</v>
      </c>
      <c r="M194" s="88">
        <v>0.4798387096774194</v>
      </c>
      <c r="N194" s="89">
        <v>1</v>
      </c>
      <c r="O194" s="87">
        <v>0.4798387096774194</v>
      </c>
      <c r="P194" s="87"/>
      <c r="Q194" s="87">
        <v>0.4798387096774194</v>
      </c>
      <c r="R194" s="87"/>
      <c r="S194" s="87">
        <v>0.4798387096774194</v>
      </c>
      <c r="T194" s="87"/>
      <c r="U194" s="87">
        <v>0.4798387096774194</v>
      </c>
      <c r="V194" s="90" t="s">
        <v>1782</v>
      </c>
    </row>
    <row r="195" ht="15" customHeight="1" spans="1:23" x14ac:dyDescent="0.25">
      <c r="A195" s="85">
        <v>17965</v>
      </c>
      <c r="B195" s="85" t="s">
        <v>1783</v>
      </c>
      <c r="C195" s="85" t="s">
        <v>380</v>
      </c>
      <c r="D195" s="85" t="s">
        <v>176</v>
      </c>
      <c r="E195" s="85"/>
      <c r="F195" s="85" t="s">
        <v>155</v>
      </c>
      <c r="G195" s="85"/>
      <c r="H195" s="85"/>
      <c r="I195" s="86"/>
      <c r="J195" s="86"/>
      <c r="K195" s="87"/>
      <c r="L195" s="87"/>
      <c r="M195" s="88"/>
      <c r="N195" s="89"/>
      <c r="O195" s="87"/>
      <c r="P195" s="87"/>
      <c r="Q195" s="87"/>
      <c r="R195" s="87"/>
      <c r="S195" s="87">
        <v>1</v>
      </c>
      <c r="T195" s="87">
        <v>1</v>
      </c>
      <c r="U195" s="87">
        <v>1</v>
      </c>
      <c r="V195" s="90" t="s">
        <v>1596</v>
      </c>
    </row>
    <row r="196" ht="15" customHeight="1" spans="1:23" x14ac:dyDescent="0.25">
      <c r="A196" s="85">
        <v>17965</v>
      </c>
      <c r="B196" s="85" t="s">
        <v>1783</v>
      </c>
      <c r="C196" s="85" t="s">
        <v>380</v>
      </c>
      <c r="D196" s="85" t="s">
        <v>176</v>
      </c>
      <c r="E196" s="85"/>
      <c r="F196" s="85" t="s">
        <v>1084</v>
      </c>
      <c r="G196" s="85" t="s">
        <v>283</v>
      </c>
      <c r="H196" s="85" t="s">
        <v>1561</v>
      </c>
      <c r="I196" s="86">
        <v>248</v>
      </c>
      <c r="J196" s="86">
        <v>248</v>
      </c>
      <c r="K196" s="87">
        <v>1</v>
      </c>
      <c r="L196" s="87">
        <v>1</v>
      </c>
      <c r="M196" s="88">
        <v>1</v>
      </c>
      <c r="N196" s="89"/>
      <c r="O196" s="87"/>
      <c r="P196" s="87"/>
      <c r="Q196" s="87"/>
      <c r="R196" s="87"/>
      <c r="S196" s="87">
        <v>1</v>
      </c>
      <c r="T196" s="87"/>
      <c r="U196" s="87">
        <v>1</v>
      </c>
      <c r="V196" s="90" t="s">
        <v>1596</v>
      </c>
    </row>
    <row r="197" ht="15" customHeight="1" spans="1:23" x14ac:dyDescent="0.25">
      <c r="A197" s="85">
        <v>18199</v>
      </c>
      <c r="B197" s="85" t="s">
        <v>1784</v>
      </c>
      <c r="C197" s="85" t="s">
        <v>380</v>
      </c>
      <c r="D197" s="85" t="s">
        <v>400</v>
      </c>
      <c r="E197" s="85"/>
      <c r="F197" s="85" t="s">
        <v>155</v>
      </c>
      <c r="G197" s="85"/>
      <c r="H197" s="85"/>
      <c r="I197" s="86"/>
      <c r="J197" s="86"/>
      <c r="K197" s="87"/>
      <c r="L197" s="87"/>
      <c r="M197" s="88"/>
      <c r="N197" s="89"/>
      <c r="O197" s="87"/>
      <c r="P197" s="87"/>
      <c r="Q197" s="87"/>
      <c r="R197" s="87"/>
      <c r="S197" s="87">
        <v>1</v>
      </c>
      <c r="T197" s="87">
        <v>1</v>
      </c>
      <c r="U197" s="87"/>
      <c r="V197" s="90" t="s">
        <v>1084</v>
      </c>
    </row>
    <row r="198" ht="15" customHeight="1" spans="1:23" x14ac:dyDescent="0.25">
      <c r="A198" s="85">
        <v>18199</v>
      </c>
      <c r="B198" s="85" t="s">
        <v>1784</v>
      </c>
      <c r="C198" s="85" t="s">
        <v>380</v>
      </c>
      <c r="D198" s="85" t="s">
        <v>400</v>
      </c>
      <c r="E198" s="85"/>
      <c r="F198" s="85" t="s">
        <v>1084</v>
      </c>
      <c r="G198" s="85" t="s">
        <v>283</v>
      </c>
      <c r="H198" s="85" t="s">
        <v>1561</v>
      </c>
      <c r="I198" s="86">
        <v>248</v>
      </c>
      <c r="J198" s="86">
        <v>248</v>
      </c>
      <c r="K198" s="87">
        <v>1</v>
      </c>
      <c r="L198" s="87">
        <v>1</v>
      </c>
      <c r="M198" s="88">
        <v>1</v>
      </c>
      <c r="N198" s="89"/>
      <c r="O198" s="87"/>
      <c r="P198" s="87"/>
      <c r="Q198" s="87"/>
      <c r="R198" s="87"/>
      <c r="S198" s="87">
        <v>1</v>
      </c>
      <c r="T198" s="87"/>
      <c r="U198" s="87">
        <v>0</v>
      </c>
      <c r="V198" s="90" t="s">
        <v>1084</v>
      </c>
    </row>
    <row r="199" ht="15" customHeight="1" spans="1:23" x14ac:dyDescent="0.25">
      <c r="A199" s="85">
        <v>18351</v>
      </c>
      <c r="B199" s="85" t="s">
        <v>1785</v>
      </c>
      <c r="C199" s="85" t="s">
        <v>380</v>
      </c>
      <c r="D199" s="85" t="s">
        <v>561</v>
      </c>
      <c r="E199" s="85"/>
      <c r="F199" s="85" t="s">
        <v>155</v>
      </c>
      <c r="G199" s="85"/>
      <c r="H199" s="85"/>
      <c r="I199" s="86"/>
      <c r="J199" s="86"/>
      <c r="K199" s="87"/>
      <c r="L199" s="87"/>
      <c r="M199" s="88"/>
      <c r="N199" s="89"/>
      <c r="O199" s="87"/>
      <c r="P199" s="87"/>
      <c r="Q199" s="87"/>
      <c r="R199" s="87"/>
      <c r="S199" s="87">
        <v>1</v>
      </c>
      <c r="T199" s="87">
        <v>1</v>
      </c>
      <c r="U199" s="87"/>
      <c r="V199" s="90" t="s">
        <v>1084</v>
      </c>
    </row>
    <row r="200" ht="15" customHeight="1" spans="1:23" x14ac:dyDescent="0.25">
      <c r="A200" s="85">
        <v>18351</v>
      </c>
      <c r="B200" s="85" t="s">
        <v>1785</v>
      </c>
      <c r="C200" s="85" t="s">
        <v>380</v>
      </c>
      <c r="D200" s="85" t="s">
        <v>561</v>
      </c>
      <c r="E200" s="85"/>
      <c r="F200" s="85" t="s">
        <v>1084</v>
      </c>
      <c r="G200" s="85" t="s">
        <v>283</v>
      </c>
      <c r="H200" s="85" t="s">
        <v>1561</v>
      </c>
      <c r="I200" s="86">
        <v>248</v>
      </c>
      <c r="J200" s="86">
        <v>248</v>
      </c>
      <c r="K200" s="87">
        <v>1</v>
      </c>
      <c r="L200" s="87">
        <v>1</v>
      </c>
      <c r="M200" s="88">
        <v>1</v>
      </c>
      <c r="N200" s="89"/>
      <c r="O200" s="87"/>
      <c r="P200" s="87"/>
      <c r="Q200" s="87"/>
      <c r="R200" s="87"/>
      <c r="S200" s="87">
        <v>1</v>
      </c>
      <c r="T200" s="87"/>
      <c r="U200" s="87">
        <v>0</v>
      </c>
      <c r="V200" s="90" t="s">
        <v>1084</v>
      </c>
    </row>
    <row r="201" ht="15" customHeight="1" spans="1:23" x14ac:dyDescent="0.25">
      <c r="A201" s="85">
        <v>18432</v>
      </c>
      <c r="B201" s="85" t="s">
        <v>1786</v>
      </c>
      <c r="C201" s="85" t="s">
        <v>380</v>
      </c>
      <c r="D201" s="85" t="s">
        <v>736</v>
      </c>
      <c r="E201" s="85"/>
      <c r="F201" s="85" t="s">
        <v>155</v>
      </c>
      <c r="G201" s="85"/>
      <c r="H201" s="85"/>
      <c r="I201" s="86"/>
      <c r="J201" s="86"/>
      <c r="K201" s="87"/>
      <c r="L201" s="87"/>
      <c r="M201" s="88"/>
      <c r="N201" s="89"/>
      <c r="O201" s="87"/>
      <c r="P201" s="87"/>
      <c r="Q201" s="87"/>
      <c r="R201" s="87"/>
      <c r="S201" s="87">
        <v>1</v>
      </c>
      <c r="T201" s="87">
        <v>1</v>
      </c>
      <c r="U201" s="87"/>
      <c r="V201" s="90" t="s">
        <v>1084</v>
      </c>
    </row>
    <row r="202" ht="15" customHeight="1" spans="1:23" x14ac:dyDescent="0.25">
      <c r="A202" s="85">
        <v>18432</v>
      </c>
      <c r="B202" s="85" t="s">
        <v>1786</v>
      </c>
      <c r="C202" s="85" t="s">
        <v>380</v>
      </c>
      <c r="D202" s="85" t="s">
        <v>736</v>
      </c>
      <c r="E202" s="85"/>
      <c r="F202" s="85" t="s">
        <v>1084</v>
      </c>
      <c r="G202" s="85" t="s">
        <v>283</v>
      </c>
      <c r="H202" s="85" t="s">
        <v>1561</v>
      </c>
      <c r="I202" s="86">
        <v>248</v>
      </c>
      <c r="J202" s="86">
        <v>248</v>
      </c>
      <c r="K202" s="87">
        <v>1</v>
      </c>
      <c r="L202" s="87">
        <v>1</v>
      </c>
      <c r="M202" s="88">
        <v>1</v>
      </c>
      <c r="N202" s="89"/>
      <c r="O202" s="87"/>
      <c r="P202" s="87"/>
      <c r="Q202" s="87"/>
      <c r="R202" s="87"/>
      <c r="S202" s="87">
        <v>1</v>
      </c>
      <c r="T202" s="87"/>
      <c r="U202" s="87">
        <v>0</v>
      </c>
      <c r="V202" s="90" t="s">
        <v>1084</v>
      </c>
    </row>
    <row r="203" ht="15" customHeight="1" spans="1:23" x14ac:dyDescent="0.25">
      <c r="A203" s="85">
        <v>18473</v>
      </c>
      <c r="B203" s="85" t="s">
        <v>1787</v>
      </c>
      <c r="C203" s="85" t="s">
        <v>380</v>
      </c>
      <c r="D203" s="85" t="s">
        <v>596</v>
      </c>
      <c r="E203" s="85"/>
      <c r="F203" s="85" t="s">
        <v>155</v>
      </c>
      <c r="G203" s="85"/>
      <c r="H203" s="85"/>
      <c r="I203" s="86"/>
      <c r="J203" s="86"/>
      <c r="K203" s="87"/>
      <c r="L203" s="87"/>
      <c r="M203" s="88"/>
      <c r="N203" s="89"/>
      <c r="O203" s="87"/>
      <c r="P203" s="87"/>
      <c r="Q203" s="87"/>
      <c r="R203" s="87"/>
      <c r="S203" s="87">
        <v>1</v>
      </c>
      <c r="T203" s="87">
        <v>1</v>
      </c>
      <c r="U203" s="87"/>
      <c r="V203" s="90" t="s">
        <v>1084</v>
      </c>
    </row>
    <row r="204" ht="15" customHeight="1" spans="1:23" x14ac:dyDescent="0.25">
      <c r="A204" s="85">
        <v>18473</v>
      </c>
      <c r="B204" s="85" t="s">
        <v>1787</v>
      </c>
      <c r="C204" s="85" t="s">
        <v>380</v>
      </c>
      <c r="D204" s="85" t="s">
        <v>596</v>
      </c>
      <c r="E204" s="85"/>
      <c r="F204" s="85" t="s">
        <v>1084</v>
      </c>
      <c r="G204" s="85" t="s">
        <v>283</v>
      </c>
      <c r="H204" s="85" t="s">
        <v>1561</v>
      </c>
      <c r="I204" s="86">
        <v>248</v>
      </c>
      <c r="J204" s="86">
        <v>248</v>
      </c>
      <c r="K204" s="87">
        <v>1</v>
      </c>
      <c r="L204" s="87">
        <v>1</v>
      </c>
      <c r="M204" s="88">
        <v>1</v>
      </c>
      <c r="N204" s="89"/>
      <c r="O204" s="87"/>
      <c r="P204" s="87"/>
      <c r="Q204" s="87"/>
      <c r="R204" s="87"/>
      <c r="S204" s="87">
        <v>1</v>
      </c>
      <c r="T204" s="87"/>
      <c r="U204" s="87">
        <v>0</v>
      </c>
      <c r="V204" s="90" t="s">
        <v>1084</v>
      </c>
    </row>
    <row r="205" ht="15" customHeight="1" spans="1:23" x14ac:dyDescent="0.25">
      <c r="A205" s="85">
        <v>18602</v>
      </c>
      <c r="B205" s="85" t="s">
        <v>1788</v>
      </c>
      <c r="C205" s="85" t="s">
        <v>380</v>
      </c>
      <c r="D205" s="85" t="s">
        <v>719</v>
      </c>
      <c r="E205" s="85"/>
      <c r="F205" s="85" t="s">
        <v>155</v>
      </c>
      <c r="G205" s="85"/>
      <c r="H205" s="85"/>
      <c r="I205" s="86"/>
      <c r="J205" s="86"/>
      <c r="K205" s="87"/>
      <c r="L205" s="87"/>
      <c r="M205" s="88"/>
      <c r="N205" s="89"/>
      <c r="O205" s="87"/>
      <c r="P205" s="87"/>
      <c r="Q205" s="87"/>
      <c r="R205" s="87"/>
      <c r="S205" s="87">
        <v>1</v>
      </c>
      <c r="T205" s="87">
        <v>1</v>
      </c>
      <c r="U205" s="87"/>
      <c r="V205" s="90" t="s">
        <v>1084</v>
      </c>
    </row>
    <row r="206" ht="15" customHeight="1" spans="1:23" x14ac:dyDescent="0.25">
      <c r="A206" s="85">
        <v>18602</v>
      </c>
      <c r="B206" s="85" t="s">
        <v>1788</v>
      </c>
      <c r="C206" s="85" t="s">
        <v>380</v>
      </c>
      <c r="D206" s="85" t="s">
        <v>719</v>
      </c>
      <c r="E206" s="85"/>
      <c r="F206" s="85" t="s">
        <v>1084</v>
      </c>
      <c r="G206" s="85" t="s">
        <v>283</v>
      </c>
      <c r="H206" s="85" t="s">
        <v>1561</v>
      </c>
      <c r="I206" s="86">
        <v>248</v>
      </c>
      <c r="J206" s="86">
        <v>248</v>
      </c>
      <c r="K206" s="87">
        <v>1</v>
      </c>
      <c r="L206" s="87">
        <v>1</v>
      </c>
      <c r="M206" s="88">
        <v>1</v>
      </c>
      <c r="N206" s="89"/>
      <c r="O206" s="87"/>
      <c r="P206" s="87"/>
      <c r="Q206" s="87"/>
      <c r="R206" s="87"/>
      <c r="S206" s="87">
        <v>1</v>
      </c>
      <c r="T206" s="87"/>
      <c r="U206" s="87">
        <v>0</v>
      </c>
      <c r="V206" s="90" t="s">
        <v>1084</v>
      </c>
    </row>
    <row r="207" ht="15" customHeight="1" spans="1:23" x14ac:dyDescent="0.25">
      <c r="A207" s="85">
        <v>18868</v>
      </c>
      <c r="B207" s="85" t="s">
        <v>1789</v>
      </c>
      <c r="C207" s="85" t="s">
        <v>380</v>
      </c>
      <c r="D207" s="85" t="s">
        <v>485</v>
      </c>
      <c r="E207" s="85"/>
      <c r="F207" s="85" t="s">
        <v>155</v>
      </c>
      <c r="G207" s="85"/>
      <c r="H207" s="85"/>
      <c r="I207" s="86"/>
      <c r="J207" s="86"/>
      <c r="K207" s="87"/>
      <c r="L207" s="87"/>
      <c r="M207" s="88"/>
      <c r="N207" s="89"/>
      <c r="O207" s="87"/>
      <c r="P207" s="87"/>
      <c r="Q207" s="87"/>
      <c r="R207" s="87"/>
      <c r="S207" s="87">
        <v>1</v>
      </c>
      <c r="T207" s="87">
        <v>1</v>
      </c>
      <c r="U207" s="87"/>
      <c r="V207" s="90" t="s">
        <v>1084</v>
      </c>
    </row>
    <row r="208" ht="15" customHeight="1" spans="1:23" x14ac:dyDescent="0.25">
      <c r="A208" s="85">
        <v>18868</v>
      </c>
      <c r="B208" s="85" t="s">
        <v>1789</v>
      </c>
      <c r="C208" s="85" t="s">
        <v>380</v>
      </c>
      <c r="D208" s="85" t="s">
        <v>485</v>
      </c>
      <c r="E208" s="85"/>
      <c r="F208" s="85" t="s">
        <v>1084</v>
      </c>
      <c r="G208" s="85" t="s">
        <v>283</v>
      </c>
      <c r="H208" s="85" t="s">
        <v>1561</v>
      </c>
      <c r="I208" s="86">
        <v>248</v>
      </c>
      <c r="J208" s="86">
        <v>248</v>
      </c>
      <c r="K208" s="87">
        <v>1</v>
      </c>
      <c r="L208" s="87">
        <v>1</v>
      </c>
      <c r="M208" s="88">
        <v>1</v>
      </c>
      <c r="N208" s="89"/>
      <c r="O208" s="87"/>
      <c r="P208" s="87"/>
      <c r="Q208" s="87"/>
      <c r="R208" s="87"/>
      <c r="S208" s="87">
        <v>1</v>
      </c>
      <c r="T208" s="87"/>
      <c r="U208" s="87">
        <v>0</v>
      </c>
      <c r="V208" s="90" t="s">
        <v>1084</v>
      </c>
    </row>
    <row r="209" ht="15" customHeight="1" spans="1:23" x14ac:dyDescent="0.25">
      <c r="A209" s="85">
        <v>19120</v>
      </c>
      <c r="B209" s="85" t="s">
        <v>1790</v>
      </c>
      <c r="C209" s="85" t="s">
        <v>380</v>
      </c>
      <c r="D209" s="85" t="s">
        <v>475</v>
      </c>
      <c r="E209" s="85"/>
      <c r="F209" s="85" t="s">
        <v>155</v>
      </c>
      <c r="G209" s="85"/>
      <c r="H209" s="85"/>
      <c r="I209" s="86"/>
      <c r="J209" s="86"/>
      <c r="K209" s="87"/>
      <c r="L209" s="87"/>
      <c r="M209" s="88"/>
      <c r="N209" s="89"/>
      <c r="O209" s="87"/>
      <c r="P209" s="87"/>
      <c r="Q209" s="87"/>
      <c r="R209" s="87"/>
      <c r="S209" s="87">
        <v>1</v>
      </c>
      <c r="T209" s="87">
        <v>1</v>
      </c>
      <c r="U209" s="87"/>
      <c r="V209" s="90" t="s">
        <v>1084</v>
      </c>
    </row>
    <row r="210" ht="15" customHeight="1" spans="1:23" x14ac:dyDescent="0.25">
      <c r="A210" s="85">
        <v>19120</v>
      </c>
      <c r="B210" s="85" t="s">
        <v>1790</v>
      </c>
      <c r="C210" s="85" t="s">
        <v>380</v>
      </c>
      <c r="D210" s="85" t="s">
        <v>475</v>
      </c>
      <c r="E210" s="85"/>
      <c r="F210" s="85" t="s">
        <v>1084</v>
      </c>
      <c r="G210" s="85" t="s">
        <v>283</v>
      </c>
      <c r="H210" s="85" t="s">
        <v>1561</v>
      </c>
      <c r="I210" s="86">
        <v>248</v>
      </c>
      <c r="J210" s="86">
        <v>248</v>
      </c>
      <c r="K210" s="87">
        <v>1</v>
      </c>
      <c r="L210" s="87">
        <v>1</v>
      </c>
      <c r="M210" s="88">
        <v>1</v>
      </c>
      <c r="N210" s="89"/>
      <c r="O210" s="87"/>
      <c r="P210" s="87"/>
      <c r="Q210" s="87"/>
      <c r="R210" s="87"/>
      <c r="S210" s="87">
        <v>1</v>
      </c>
      <c r="T210" s="87"/>
      <c r="U210" s="87">
        <v>0</v>
      </c>
      <c r="V210" s="90" t="s">
        <v>1084</v>
      </c>
    </row>
    <row r="211" ht="15" customHeight="1" spans="1:23" x14ac:dyDescent="0.25">
      <c r="A211" s="85">
        <v>19552</v>
      </c>
      <c r="B211" s="85" t="s">
        <v>1791</v>
      </c>
      <c r="C211" s="85" t="s">
        <v>161</v>
      </c>
      <c r="D211" s="85" t="s">
        <v>198</v>
      </c>
      <c r="E211" s="85" t="s">
        <v>169</v>
      </c>
      <c r="F211" s="85" t="s">
        <v>155</v>
      </c>
      <c r="G211" s="85"/>
      <c r="H211" s="85"/>
      <c r="I211" s="86"/>
      <c r="J211" s="86"/>
      <c r="K211" s="87"/>
      <c r="L211" s="87"/>
      <c r="M211" s="88"/>
      <c r="N211" s="89"/>
      <c r="O211" s="87"/>
      <c r="P211" s="87"/>
      <c r="Q211" s="87"/>
      <c r="R211" s="87"/>
      <c r="S211" s="87">
        <v>0.7016129032258065</v>
      </c>
      <c r="T211" s="87">
        <v>0.7016129032258065</v>
      </c>
      <c r="U211" s="87">
        <v>0.7016129032258064</v>
      </c>
      <c r="V211" s="90" t="s">
        <v>1792</v>
      </c>
    </row>
    <row r="212" ht="15" customHeight="1" spans="1:23" x14ac:dyDescent="0.25">
      <c r="A212" s="85">
        <v>19552</v>
      </c>
      <c r="B212" s="85" t="s">
        <v>1791</v>
      </c>
      <c r="C212" s="85" t="s">
        <v>161</v>
      </c>
      <c r="D212" s="85" t="s">
        <v>198</v>
      </c>
      <c r="E212" s="85" t="s">
        <v>169</v>
      </c>
      <c r="F212" s="85" t="s">
        <v>1084</v>
      </c>
      <c r="G212" s="85" t="s">
        <v>283</v>
      </c>
      <c r="H212" s="85" t="s">
        <v>169</v>
      </c>
      <c r="I212" s="86">
        <v>248</v>
      </c>
      <c r="J212" s="86">
        <v>174</v>
      </c>
      <c r="K212" s="87">
        <v>0.7016129032258065</v>
      </c>
      <c r="L212" s="87">
        <v>1</v>
      </c>
      <c r="M212" s="88">
        <v>0.7016129032258065</v>
      </c>
      <c r="N212" s="89"/>
      <c r="O212" s="87"/>
      <c r="P212" s="87"/>
      <c r="Q212" s="87"/>
      <c r="R212" s="87"/>
      <c r="S212" s="87">
        <v>0.7016129032258065</v>
      </c>
      <c r="T212" s="87"/>
      <c r="U212" s="87">
        <v>0.7016129032258064</v>
      </c>
      <c r="V212" s="90" t="s">
        <v>1792</v>
      </c>
    </row>
    <row r="213" ht="15" customHeight="1" spans="1:23" x14ac:dyDescent="0.25">
      <c r="A213" s="85">
        <v>19570</v>
      </c>
      <c r="B213" s="85" t="s">
        <v>1793</v>
      </c>
      <c r="C213" s="85" t="s">
        <v>161</v>
      </c>
      <c r="D213" s="85" t="s">
        <v>163</v>
      </c>
      <c r="E213" s="85"/>
      <c r="F213" s="85" t="s">
        <v>155</v>
      </c>
      <c r="G213" s="85"/>
      <c r="H213" s="85"/>
      <c r="I213" s="86"/>
      <c r="J213" s="86"/>
      <c r="K213" s="87"/>
      <c r="L213" s="87"/>
      <c r="M213" s="88"/>
      <c r="N213" s="89"/>
      <c r="O213" s="87"/>
      <c r="P213" s="87"/>
      <c r="Q213" s="87"/>
      <c r="R213" s="87"/>
      <c r="S213" s="87">
        <v>1</v>
      </c>
      <c r="T213" s="87">
        <v>1</v>
      </c>
      <c r="U213" s="87">
        <v>1</v>
      </c>
      <c r="V213" s="90" t="s">
        <v>1794</v>
      </c>
    </row>
    <row r="214" ht="15" customHeight="1" spans="1:23" x14ac:dyDescent="0.25">
      <c r="A214" s="85">
        <v>19570</v>
      </c>
      <c r="B214" s="85" t="s">
        <v>1793</v>
      </c>
      <c r="C214" s="85" t="s">
        <v>161</v>
      </c>
      <c r="D214" s="85" t="s">
        <v>163</v>
      </c>
      <c r="E214" s="85"/>
      <c r="F214" s="85" t="s">
        <v>1084</v>
      </c>
      <c r="G214" s="85" t="s">
        <v>283</v>
      </c>
      <c r="H214" s="85" t="s">
        <v>1561</v>
      </c>
      <c r="I214" s="86">
        <v>248</v>
      </c>
      <c r="J214" s="86">
        <v>248</v>
      </c>
      <c r="K214" s="87">
        <v>1</v>
      </c>
      <c r="L214" s="87">
        <v>1</v>
      </c>
      <c r="M214" s="88">
        <v>1</v>
      </c>
      <c r="N214" s="89"/>
      <c r="O214" s="87"/>
      <c r="P214" s="87"/>
      <c r="Q214" s="87"/>
      <c r="R214" s="87"/>
      <c r="S214" s="87">
        <v>1</v>
      </c>
      <c r="T214" s="87"/>
      <c r="U214" s="87">
        <v>1</v>
      </c>
      <c r="V214" s="90" t="s">
        <v>1794</v>
      </c>
    </row>
    <row r="215" ht="15" customHeight="1" spans="1:23" x14ac:dyDescent="0.25">
      <c r="A215" s="85">
        <v>19587</v>
      </c>
      <c r="B215" s="85" t="s">
        <v>1795</v>
      </c>
      <c r="C215" s="85" t="s">
        <v>161</v>
      </c>
      <c r="D215" s="85" t="s">
        <v>315</v>
      </c>
      <c r="E215" s="85"/>
      <c r="F215" s="85" t="s">
        <v>155</v>
      </c>
      <c r="G215" s="85"/>
      <c r="H215" s="85"/>
      <c r="I215" s="86"/>
      <c r="J215" s="86"/>
      <c r="K215" s="87"/>
      <c r="L215" s="87"/>
      <c r="M215" s="88"/>
      <c r="N215" s="89"/>
      <c r="O215" s="87"/>
      <c r="P215" s="87"/>
      <c r="Q215" s="87"/>
      <c r="R215" s="87"/>
      <c r="S215" s="87">
        <v>1</v>
      </c>
      <c r="T215" s="87">
        <v>1</v>
      </c>
      <c r="U215" s="87">
        <v>1</v>
      </c>
      <c r="V215" s="90" t="s">
        <v>1796</v>
      </c>
    </row>
    <row r="216" ht="15" customHeight="1" spans="1:23" x14ac:dyDescent="0.25">
      <c r="A216" s="85">
        <v>19587</v>
      </c>
      <c r="B216" s="85" t="s">
        <v>1795</v>
      </c>
      <c r="C216" s="85" t="s">
        <v>161</v>
      </c>
      <c r="D216" s="85" t="s">
        <v>315</v>
      </c>
      <c r="E216" s="85"/>
      <c r="F216" s="85" t="s">
        <v>1084</v>
      </c>
      <c r="G216" s="85" t="s">
        <v>283</v>
      </c>
      <c r="H216" s="85" t="s">
        <v>1561</v>
      </c>
      <c r="I216" s="86">
        <v>248</v>
      </c>
      <c r="J216" s="86">
        <v>248</v>
      </c>
      <c r="K216" s="87">
        <v>1</v>
      </c>
      <c r="L216" s="87">
        <v>1</v>
      </c>
      <c r="M216" s="88">
        <v>1</v>
      </c>
      <c r="N216" s="89"/>
      <c r="O216" s="87"/>
      <c r="P216" s="87"/>
      <c r="Q216" s="87"/>
      <c r="R216" s="87"/>
      <c r="S216" s="87">
        <v>1</v>
      </c>
      <c r="T216" s="87"/>
      <c r="U216" s="87">
        <v>1</v>
      </c>
      <c r="V216" s="90" t="s">
        <v>1797</v>
      </c>
    </row>
    <row r="217" ht="15" customHeight="1" spans="1:23" x14ac:dyDescent="0.25">
      <c r="A217" s="85">
        <v>19665</v>
      </c>
      <c r="B217" s="85" t="s">
        <v>1798</v>
      </c>
      <c r="C217" s="85" t="s">
        <v>161</v>
      </c>
      <c r="D217" s="85" t="s">
        <v>263</v>
      </c>
      <c r="E217" s="85"/>
      <c r="F217" s="85" t="s">
        <v>155</v>
      </c>
      <c r="G217" s="85"/>
      <c r="H217" s="85"/>
      <c r="I217" s="86"/>
      <c r="J217" s="86"/>
      <c r="K217" s="87"/>
      <c r="L217" s="87"/>
      <c r="M217" s="88"/>
      <c r="N217" s="89"/>
      <c r="O217" s="87"/>
      <c r="P217" s="87"/>
      <c r="Q217" s="87"/>
      <c r="R217" s="87"/>
      <c r="S217" s="87">
        <v>1</v>
      </c>
      <c r="T217" s="87">
        <v>1</v>
      </c>
      <c r="U217" s="87">
        <v>1</v>
      </c>
      <c r="V217" s="90" t="s">
        <v>1799</v>
      </c>
    </row>
    <row r="218" ht="15" customHeight="1" spans="1:23" x14ac:dyDescent="0.25">
      <c r="A218" s="85">
        <v>19665</v>
      </c>
      <c r="B218" s="85" t="s">
        <v>1798</v>
      </c>
      <c r="C218" s="85" t="s">
        <v>161</v>
      </c>
      <c r="D218" s="85" t="s">
        <v>263</v>
      </c>
      <c r="E218" s="85"/>
      <c r="F218" s="85" t="s">
        <v>1084</v>
      </c>
      <c r="G218" s="85" t="s">
        <v>283</v>
      </c>
      <c r="H218" s="85" t="s">
        <v>1561</v>
      </c>
      <c r="I218" s="86">
        <v>248</v>
      </c>
      <c r="J218" s="86">
        <v>248</v>
      </c>
      <c r="K218" s="87">
        <v>1</v>
      </c>
      <c r="L218" s="87">
        <v>1</v>
      </c>
      <c r="M218" s="88">
        <v>1</v>
      </c>
      <c r="N218" s="89"/>
      <c r="O218" s="87"/>
      <c r="P218" s="87"/>
      <c r="Q218" s="87"/>
      <c r="R218" s="87"/>
      <c r="S218" s="87">
        <v>1</v>
      </c>
      <c r="T218" s="87"/>
      <c r="U218" s="87">
        <v>1</v>
      </c>
      <c r="V218" s="90" t="s">
        <v>1799</v>
      </c>
    </row>
    <row r="219" ht="15" customHeight="1" spans="1:23" x14ac:dyDescent="0.25">
      <c r="A219" s="85">
        <v>19728</v>
      </c>
      <c r="B219" s="85" t="s">
        <v>1800</v>
      </c>
      <c r="C219" s="85" t="s">
        <v>161</v>
      </c>
      <c r="D219" s="85" t="s">
        <v>208</v>
      </c>
      <c r="E219" s="85"/>
      <c r="F219" s="85" t="s">
        <v>155</v>
      </c>
      <c r="G219" s="85"/>
      <c r="H219" s="85"/>
      <c r="I219" s="86"/>
      <c r="J219" s="86"/>
      <c r="K219" s="87"/>
      <c r="L219" s="87"/>
      <c r="M219" s="88"/>
      <c r="N219" s="89"/>
      <c r="O219" s="87"/>
      <c r="P219" s="87"/>
      <c r="Q219" s="87"/>
      <c r="R219" s="87"/>
      <c r="S219" s="87">
        <v>1</v>
      </c>
      <c r="T219" s="87">
        <v>1</v>
      </c>
      <c r="U219" s="87">
        <v>1</v>
      </c>
      <c r="V219" s="90" t="s">
        <v>1801</v>
      </c>
    </row>
    <row r="220" ht="15" customHeight="1" spans="1:23" x14ac:dyDescent="0.25">
      <c r="A220" s="85">
        <v>19728</v>
      </c>
      <c r="B220" s="85" t="s">
        <v>1800</v>
      </c>
      <c r="C220" s="85" t="s">
        <v>161</v>
      </c>
      <c r="D220" s="85" t="s">
        <v>208</v>
      </c>
      <c r="E220" s="85"/>
      <c r="F220" s="85" t="s">
        <v>1084</v>
      </c>
      <c r="G220" s="85" t="s">
        <v>283</v>
      </c>
      <c r="H220" s="85" t="s">
        <v>1561</v>
      </c>
      <c r="I220" s="86">
        <v>248</v>
      </c>
      <c r="J220" s="86">
        <v>248</v>
      </c>
      <c r="K220" s="87">
        <v>1</v>
      </c>
      <c r="L220" s="87">
        <v>1</v>
      </c>
      <c r="M220" s="88">
        <v>1</v>
      </c>
      <c r="N220" s="89"/>
      <c r="O220" s="87"/>
      <c r="P220" s="87"/>
      <c r="Q220" s="87"/>
      <c r="R220" s="87"/>
      <c r="S220" s="87">
        <v>1</v>
      </c>
      <c r="T220" s="87"/>
      <c r="U220" s="87">
        <v>1</v>
      </c>
      <c r="V220" s="90" t="s">
        <v>1801</v>
      </c>
    </row>
    <row r="221" ht="15" customHeight="1" spans="1:23" x14ac:dyDescent="0.25">
      <c r="A221" s="85">
        <v>19823</v>
      </c>
      <c r="B221" s="85" t="s">
        <v>1802</v>
      </c>
      <c r="C221" s="85" t="s">
        <v>380</v>
      </c>
      <c r="D221" s="85" t="s">
        <v>793</v>
      </c>
      <c r="E221" s="85"/>
      <c r="F221" s="85" t="s">
        <v>155</v>
      </c>
      <c r="G221" s="85"/>
      <c r="H221" s="85"/>
      <c r="I221" s="86"/>
      <c r="J221" s="86"/>
      <c r="K221" s="87"/>
      <c r="L221" s="87"/>
      <c r="M221" s="88"/>
      <c r="N221" s="89"/>
      <c r="O221" s="87"/>
      <c r="P221" s="87"/>
      <c r="Q221" s="87"/>
      <c r="R221" s="87"/>
      <c r="S221" s="87">
        <v>1</v>
      </c>
      <c r="T221" s="87">
        <v>1</v>
      </c>
      <c r="U221" s="87">
        <v>1</v>
      </c>
      <c r="V221" s="90" t="s">
        <v>1596</v>
      </c>
    </row>
    <row r="222" ht="15" customHeight="1" spans="1:23" x14ac:dyDescent="0.25">
      <c r="A222" s="85">
        <v>19823</v>
      </c>
      <c r="B222" s="85" t="s">
        <v>1802</v>
      </c>
      <c r="C222" s="85" t="s">
        <v>380</v>
      </c>
      <c r="D222" s="85" t="s">
        <v>793</v>
      </c>
      <c r="E222" s="85"/>
      <c r="F222" s="85" t="s">
        <v>1084</v>
      </c>
      <c r="G222" s="85" t="s">
        <v>283</v>
      </c>
      <c r="H222" s="85" t="s">
        <v>1561</v>
      </c>
      <c r="I222" s="86">
        <v>248</v>
      </c>
      <c r="J222" s="86">
        <v>248</v>
      </c>
      <c r="K222" s="87">
        <v>1</v>
      </c>
      <c r="L222" s="87">
        <v>1</v>
      </c>
      <c r="M222" s="88">
        <v>1</v>
      </c>
      <c r="N222" s="89"/>
      <c r="O222" s="87"/>
      <c r="P222" s="87"/>
      <c r="Q222" s="87"/>
      <c r="R222" s="87"/>
      <c r="S222" s="87">
        <v>1</v>
      </c>
      <c r="T222" s="87"/>
      <c r="U222" s="87">
        <v>1</v>
      </c>
      <c r="V222" s="90" t="s">
        <v>1596</v>
      </c>
    </row>
    <row r="223" ht="15" customHeight="1" spans="1:23" x14ac:dyDescent="0.25">
      <c r="A223" s="85">
        <v>20126</v>
      </c>
      <c r="B223" s="85" t="s">
        <v>1803</v>
      </c>
      <c r="C223" s="85" t="s">
        <v>380</v>
      </c>
      <c r="D223" s="85" t="s">
        <v>533</v>
      </c>
      <c r="E223" s="85"/>
      <c r="F223" s="85" t="s">
        <v>155</v>
      </c>
      <c r="G223" s="85"/>
      <c r="H223" s="85"/>
      <c r="I223" s="86"/>
      <c r="J223" s="86"/>
      <c r="K223" s="87"/>
      <c r="L223" s="87"/>
      <c r="M223" s="88"/>
      <c r="N223" s="89"/>
      <c r="O223" s="87"/>
      <c r="P223" s="87"/>
      <c r="Q223" s="87"/>
      <c r="R223" s="87"/>
      <c r="S223" s="87">
        <v>1</v>
      </c>
      <c r="T223" s="87">
        <v>1</v>
      </c>
      <c r="U223" s="87"/>
      <c r="V223" s="90" t="s">
        <v>1084</v>
      </c>
    </row>
    <row r="224" ht="15" customHeight="1" spans="1:23" x14ac:dyDescent="0.25">
      <c r="A224" s="85">
        <v>20126</v>
      </c>
      <c r="B224" s="85" t="s">
        <v>1803</v>
      </c>
      <c r="C224" s="85" t="s">
        <v>380</v>
      </c>
      <c r="D224" s="85" t="s">
        <v>533</v>
      </c>
      <c r="E224" s="85"/>
      <c r="F224" s="85" t="s">
        <v>1084</v>
      </c>
      <c r="G224" s="85" t="s">
        <v>283</v>
      </c>
      <c r="H224" s="85" t="s">
        <v>1561</v>
      </c>
      <c r="I224" s="86">
        <v>248</v>
      </c>
      <c r="J224" s="86">
        <v>248</v>
      </c>
      <c r="K224" s="87">
        <v>1</v>
      </c>
      <c r="L224" s="87">
        <v>1</v>
      </c>
      <c r="M224" s="88">
        <v>1</v>
      </c>
      <c r="N224" s="89"/>
      <c r="O224" s="87"/>
      <c r="P224" s="87"/>
      <c r="Q224" s="87"/>
      <c r="R224" s="87"/>
      <c r="S224" s="87">
        <v>1</v>
      </c>
      <c r="T224" s="87"/>
      <c r="U224" s="87">
        <v>0</v>
      </c>
      <c r="V224" s="90" t="s">
        <v>1084</v>
      </c>
    </row>
    <row r="225" ht="15" customHeight="1" spans="1:23" x14ac:dyDescent="0.25">
      <c r="A225" s="85">
        <v>20197</v>
      </c>
      <c r="B225" s="85" t="s">
        <v>1804</v>
      </c>
      <c r="C225" s="85" t="s">
        <v>380</v>
      </c>
      <c r="D225" s="85" t="s">
        <v>445</v>
      </c>
      <c r="E225" s="85"/>
      <c r="F225" s="85" t="s">
        <v>155</v>
      </c>
      <c r="G225" s="85"/>
      <c r="H225" s="85"/>
      <c r="I225" s="86"/>
      <c r="J225" s="86"/>
      <c r="K225" s="87"/>
      <c r="L225" s="87"/>
      <c r="M225" s="88"/>
      <c r="N225" s="89"/>
      <c r="O225" s="87"/>
      <c r="P225" s="87"/>
      <c r="Q225" s="87"/>
      <c r="R225" s="87"/>
      <c r="S225" s="87">
        <v>1</v>
      </c>
      <c r="T225" s="87">
        <v>1</v>
      </c>
      <c r="U225" s="87"/>
      <c r="V225" s="90" t="s">
        <v>1084</v>
      </c>
    </row>
    <row r="226" ht="15" customHeight="1" spans="1:23" x14ac:dyDescent="0.25">
      <c r="A226" s="85">
        <v>20197</v>
      </c>
      <c r="B226" s="85" t="s">
        <v>1804</v>
      </c>
      <c r="C226" s="85" t="s">
        <v>380</v>
      </c>
      <c r="D226" s="85" t="s">
        <v>445</v>
      </c>
      <c r="E226" s="85"/>
      <c r="F226" s="85" t="s">
        <v>1084</v>
      </c>
      <c r="G226" s="85" t="s">
        <v>283</v>
      </c>
      <c r="H226" s="85" t="s">
        <v>1561</v>
      </c>
      <c r="I226" s="86">
        <v>248</v>
      </c>
      <c r="J226" s="86">
        <v>248</v>
      </c>
      <c r="K226" s="87">
        <v>1</v>
      </c>
      <c r="L226" s="87">
        <v>1</v>
      </c>
      <c r="M226" s="88">
        <v>1</v>
      </c>
      <c r="N226" s="89"/>
      <c r="O226" s="87"/>
      <c r="P226" s="87"/>
      <c r="Q226" s="87"/>
      <c r="R226" s="87"/>
      <c r="S226" s="87">
        <v>1</v>
      </c>
      <c r="T226" s="87"/>
      <c r="U226" s="87">
        <v>0</v>
      </c>
      <c r="V226" s="90" t="s">
        <v>1084</v>
      </c>
    </row>
    <row r="227" ht="15" customHeight="1" spans="1:23" x14ac:dyDescent="0.25">
      <c r="A227" s="85">
        <v>20277</v>
      </c>
      <c r="B227" s="85" t="s">
        <v>1805</v>
      </c>
      <c r="C227" s="85" t="s">
        <v>380</v>
      </c>
      <c r="D227" s="85" t="s">
        <v>903</v>
      </c>
      <c r="E227" s="85"/>
      <c r="F227" s="85" t="s">
        <v>155</v>
      </c>
      <c r="G227" s="85"/>
      <c r="H227" s="85"/>
      <c r="I227" s="86"/>
      <c r="J227" s="86"/>
      <c r="K227" s="87"/>
      <c r="L227" s="87"/>
      <c r="M227" s="88"/>
      <c r="N227" s="89"/>
      <c r="O227" s="87"/>
      <c r="P227" s="87"/>
      <c r="Q227" s="87"/>
      <c r="R227" s="87"/>
      <c r="S227" s="87">
        <v>1</v>
      </c>
      <c r="T227" s="87">
        <v>1</v>
      </c>
      <c r="U227" s="87"/>
      <c r="V227" s="90" t="s">
        <v>1084</v>
      </c>
    </row>
    <row r="228" ht="15" customHeight="1" spans="1:23" x14ac:dyDescent="0.25">
      <c r="A228" s="85">
        <v>20277</v>
      </c>
      <c r="B228" s="85" t="s">
        <v>1805</v>
      </c>
      <c r="C228" s="85" t="s">
        <v>380</v>
      </c>
      <c r="D228" s="85" t="s">
        <v>903</v>
      </c>
      <c r="E228" s="85"/>
      <c r="F228" s="85" t="s">
        <v>1084</v>
      </c>
      <c r="G228" s="85" t="s">
        <v>283</v>
      </c>
      <c r="H228" s="85" t="s">
        <v>1561</v>
      </c>
      <c r="I228" s="86">
        <v>248</v>
      </c>
      <c r="J228" s="86">
        <v>248</v>
      </c>
      <c r="K228" s="87">
        <v>1</v>
      </c>
      <c r="L228" s="87">
        <v>1</v>
      </c>
      <c r="M228" s="88">
        <v>1</v>
      </c>
      <c r="N228" s="89"/>
      <c r="O228" s="87"/>
      <c r="P228" s="87"/>
      <c r="Q228" s="87"/>
      <c r="R228" s="87"/>
      <c r="S228" s="87">
        <v>1</v>
      </c>
      <c r="T228" s="87"/>
      <c r="U228" s="87">
        <v>0</v>
      </c>
      <c r="V228" s="90" t="s">
        <v>1084</v>
      </c>
    </row>
    <row r="229" ht="15" customHeight="1" spans="1:23" x14ac:dyDescent="0.25">
      <c r="A229" s="85">
        <v>20307</v>
      </c>
      <c r="B229" s="85" t="s">
        <v>1806</v>
      </c>
      <c r="C229" s="85" t="s">
        <v>380</v>
      </c>
      <c r="D229" s="85" t="s">
        <v>533</v>
      </c>
      <c r="E229" s="85"/>
      <c r="F229" s="85" t="s">
        <v>155</v>
      </c>
      <c r="G229" s="85"/>
      <c r="H229" s="85"/>
      <c r="I229" s="86"/>
      <c r="J229" s="86"/>
      <c r="K229" s="87"/>
      <c r="L229" s="87"/>
      <c r="M229" s="88"/>
      <c r="N229" s="89"/>
      <c r="O229" s="87"/>
      <c r="P229" s="87"/>
      <c r="Q229" s="87"/>
      <c r="R229" s="87"/>
      <c r="S229" s="87">
        <v>1</v>
      </c>
      <c r="T229" s="87">
        <v>1</v>
      </c>
      <c r="U229" s="87"/>
      <c r="V229" s="90" t="s">
        <v>1084</v>
      </c>
    </row>
    <row r="230" ht="15" customHeight="1" spans="1:23" x14ac:dyDescent="0.25">
      <c r="A230" s="85">
        <v>20307</v>
      </c>
      <c r="B230" s="85" t="s">
        <v>1806</v>
      </c>
      <c r="C230" s="85" t="s">
        <v>380</v>
      </c>
      <c r="D230" s="85" t="s">
        <v>533</v>
      </c>
      <c r="E230" s="85"/>
      <c r="F230" s="85" t="s">
        <v>1084</v>
      </c>
      <c r="G230" s="85" t="s">
        <v>283</v>
      </c>
      <c r="H230" s="85" t="s">
        <v>1561</v>
      </c>
      <c r="I230" s="86">
        <v>248</v>
      </c>
      <c r="J230" s="86">
        <v>248</v>
      </c>
      <c r="K230" s="87">
        <v>1</v>
      </c>
      <c r="L230" s="87">
        <v>1</v>
      </c>
      <c r="M230" s="88">
        <v>1</v>
      </c>
      <c r="N230" s="89"/>
      <c r="O230" s="87"/>
      <c r="P230" s="87"/>
      <c r="Q230" s="87"/>
      <c r="R230" s="87"/>
      <c r="S230" s="87">
        <v>1</v>
      </c>
      <c r="T230" s="87"/>
      <c r="U230" s="87">
        <v>0</v>
      </c>
      <c r="V230" s="90" t="s">
        <v>1084</v>
      </c>
    </row>
    <row r="231" ht="15" customHeight="1" spans="1:23" x14ac:dyDescent="0.25">
      <c r="A231" s="85">
        <v>20377</v>
      </c>
      <c r="B231" s="85" t="s">
        <v>1807</v>
      </c>
      <c r="C231" s="85" t="s">
        <v>380</v>
      </c>
      <c r="D231" s="85" t="s">
        <v>521</v>
      </c>
      <c r="E231" s="85"/>
      <c r="F231" s="85" t="s">
        <v>155</v>
      </c>
      <c r="G231" s="85"/>
      <c r="H231" s="85"/>
      <c r="I231" s="86"/>
      <c r="J231" s="86"/>
      <c r="K231" s="87"/>
      <c r="L231" s="87"/>
      <c r="M231" s="88"/>
      <c r="N231" s="89"/>
      <c r="O231" s="87"/>
      <c r="P231" s="87"/>
      <c r="Q231" s="87"/>
      <c r="R231" s="87"/>
      <c r="S231" s="87">
        <v>1</v>
      </c>
      <c r="T231" s="87">
        <v>1</v>
      </c>
      <c r="U231" s="87"/>
      <c r="V231" s="90" t="s">
        <v>1084</v>
      </c>
    </row>
    <row r="232" ht="15" customHeight="1" spans="1:23" x14ac:dyDescent="0.25">
      <c r="A232" s="85">
        <v>20377</v>
      </c>
      <c r="B232" s="85" t="s">
        <v>1807</v>
      </c>
      <c r="C232" s="85" t="s">
        <v>380</v>
      </c>
      <c r="D232" s="85" t="s">
        <v>521</v>
      </c>
      <c r="E232" s="85"/>
      <c r="F232" s="85" t="s">
        <v>1084</v>
      </c>
      <c r="G232" s="85" t="s">
        <v>283</v>
      </c>
      <c r="H232" s="85" t="s">
        <v>1561</v>
      </c>
      <c r="I232" s="86">
        <v>248</v>
      </c>
      <c r="J232" s="86">
        <v>248</v>
      </c>
      <c r="K232" s="87">
        <v>1</v>
      </c>
      <c r="L232" s="87">
        <v>1</v>
      </c>
      <c r="M232" s="88">
        <v>1</v>
      </c>
      <c r="N232" s="89"/>
      <c r="O232" s="87"/>
      <c r="P232" s="87"/>
      <c r="Q232" s="87"/>
      <c r="R232" s="87"/>
      <c r="S232" s="87">
        <v>1</v>
      </c>
      <c r="T232" s="87"/>
      <c r="U232" s="87">
        <v>0</v>
      </c>
      <c r="V232" s="90" t="s">
        <v>1084</v>
      </c>
    </row>
    <row r="233" ht="15" customHeight="1" spans="1:23" x14ac:dyDescent="0.25">
      <c r="A233" s="85">
        <v>20591</v>
      </c>
      <c r="B233" s="85" t="s">
        <v>1808</v>
      </c>
      <c r="C233" s="85" t="s">
        <v>380</v>
      </c>
      <c r="D233" s="85" t="s">
        <v>681</v>
      </c>
      <c r="E233" s="85"/>
      <c r="F233" s="85" t="s">
        <v>155</v>
      </c>
      <c r="G233" s="85"/>
      <c r="H233" s="85"/>
      <c r="I233" s="86"/>
      <c r="J233" s="86"/>
      <c r="K233" s="87"/>
      <c r="L233" s="87"/>
      <c r="M233" s="88"/>
      <c r="N233" s="89"/>
      <c r="O233" s="87"/>
      <c r="P233" s="87"/>
      <c r="Q233" s="87"/>
      <c r="R233" s="87"/>
      <c r="S233" s="87">
        <v>1</v>
      </c>
      <c r="T233" s="87">
        <v>1</v>
      </c>
      <c r="U233" s="87"/>
      <c r="V233" s="90" t="s">
        <v>1084</v>
      </c>
    </row>
    <row r="234" ht="15" customHeight="1" spans="1:23" x14ac:dyDescent="0.25">
      <c r="A234" s="85">
        <v>20591</v>
      </c>
      <c r="B234" s="85" t="s">
        <v>1808</v>
      </c>
      <c r="C234" s="85" t="s">
        <v>380</v>
      </c>
      <c r="D234" s="85" t="s">
        <v>681</v>
      </c>
      <c r="E234" s="85"/>
      <c r="F234" s="85" t="s">
        <v>1084</v>
      </c>
      <c r="G234" s="85" t="s">
        <v>283</v>
      </c>
      <c r="H234" s="85" t="s">
        <v>1561</v>
      </c>
      <c r="I234" s="86">
        <v>248</v>
      </c>
      <c r="J234" s="86">
        <v>248</v>
      </c>
      <c r="K234" s="87">
        <v>1</v>
      </c>
      <c r="L234" s="87">
        <v>1</v>
      </c>
      <c r="M234" s="88">
        <v>1</v>
      </c>
      <c r="N234" s="89"/>
      <c r="O234" s="87"/>
      <c r="P234" s="87"/>
      <c r="Q234" s="87"/>
      <c r="R234" s="87"/>
      <c r="S234" s="87">
        <v>1</v>
      </c>
      <c r="T234" s="87"/>
      <c r="U234" s="87">
        <v>0</v>
      </c>
      <c r="V234" s="90" t="s">
        <v>1084</v>
      </c>
    </row>
    <row r="235" ht="15" customHeight="1" spans="1:23" x14ac:dyDescent="0.25">
      <c r="A235" s="85">
        <v>20871</v>
      </c>
      <c r="B235" s="85" t="s">
        <v>1809</v>
      </c>
      <c r="C235" s="85" t="s">
        <v>380</v>
      </c>
      <c r="D235" s="85" t="s">
        <v>455</v>
      </c>
      <c r="E235" s="85"/>
      <c r="F235" s="85" t="s">
        <v>155</v>
      </c>
      <c r="G235" s="85"/>
      <c r="H235" s="85"/>
      <c r="I235" s="86"/>
      <c r="J235" s="86"/>
      <c r="K235" s="87"/>
      <c r="L235" s="87"/>
      <c r="M235" s="88"/>
      <c r="N235" s="89"/>
      <c r="O235" s="87"/>
      <c r="P235" s="87"/>
      <c r="Q235" s="87"/>
      <c r="R235" s="87"/>
      <c r="S235" s="87">
        <v>0.8</v>
      </c>
      <c r="T235" s="87">
        <v>0.8</v>
      </c>
      <c r="U235" s="87">
        <v>0.8</v>
      </c>
      <c r="V235" s="90" t="s">
        <v>1810</v>
      </c>
    </row>
    <row r="236" ht="15" customHeight="1" spans="1:23" x14ac:dyDescent="0.25">
      <c r="A236" s="85">
        <v>20871</v>
      </c>
      <c r="B236" s="85" t="s">
        <v>1809</v>
      </c>
      <c r="C236" s="85" t="s">
        <v>380</v>
      </c>
      <c r="D236" s="85" t="s">
        <v>455</v>
      </c>
      <c r="E236" s="85"/>
      <c r="F236" s="85" t="s">
        <v>1084</v>
      </c>
      <c r="G236" s="85" t="s">
        <v>283</v>
      </c>
      <c r="H236" s="85" t="s">
        <v>1561</v>
      </c>
      <c r="I236" s="86">
        <v>248</v>
      </c>
      <c r="J236" s="86">
        <v>248</v>
      </c>
      <c r="K236" s="87">
        <v>1</v>
      </c>
      <c r="L236" s="87">
        <v>0.8</v>
      </c>
      <c r="M236" s="88">
        <v>0.8</v>
      </c>
      <c r="N236" s="89"/>
      <c r="O236" s="87"/>
      <c r="P236" s="87"/>
      <c r="Q236" s="87"/>
      <c r="R236" s="87"/>
      <c r="S236" s="87">
        <v>0.8</v>
      </c>
      <c r="T236" s="87"/>
      <c r="U236" s="87">
        <v>0.8</v>
      </c>
      <c r="V236" s="90" t="s">
        <v>1810</v>
      </c>
    </row>
    <row r="237" ht="15" customHeight="1" spans="1:23" x14ac:dyDescent="0.25">
      <c r="A237" s="85">
        <v>21550</v>
      </c>
      <c r="B237" s="85" t="s">
        <v>1811</v>
      </c>
      <c r="C237" s="85" t="s">
        <v>380</v>
      </c>
      <c r="D237" s="85" t="s">
        <v>556</v>
      </c>
      <c r="E237" s="85"/>
      <c r="F237" s="85" t="s">
        <v>155</v>
      </c>
      <c r="G237" s="85"/>
      <c r="H237" s="85"/>
      <c r="I237" s="86"/>
      <c r="J237" s="86"/>
      <c r="K237" s="87"/>
      <c r="L237" s="87"/>
      <c r="M237" s="88"/>
      <c r="N237" s="89"/>
      <c r="O237" s="87"/>
      <c r="P237" s="87"/>
      <c r="Q237" s="87"/>
      <c r="R237" s="87"/>
      <c r="S237" s="87">
        <v>1</v>
      </c>
      <c r="T237" s="87">
        <v>1</v>
      </c>
      <c r="U237" s="87">
        <v>1</v>
      </c>
      <c r="V237" s="90" t="s">
        <v>1812</v>
      </c>
    </row>
    <row r="238" ht="15" customHeight="1" spans="1:23" x14ac:dyDescent="0.25">
      <c r="A238" s="85">
        <v>21550</v>
      </c>
      <c r="B238" s="85" t="s">
        <v>1811</v>
      </c>
      <c r="C238" s="85" t="s">
        <v>380</v>
      </c>
      <c r="D238" s="85" t="s">
        <v>556</v>
      </c>
      <c r="E238" s="85"/>
      <c r="F238" s="85" t="s">
        <v>1084</v>
      </c>
      <c r="G238" s="85" t="s">
        <v>283</v>
      </c>
      <c r="H238" s="85" t="s">
        <v>1561</v>
      </c>
      <c r="I238" s="86">
        <v>248</v>
      </c>
      <c r="J238" s="86">
        <v>248</v>
      </c>
      <c r="K238" s="87">
        <v>1</v>
      </c>
      <c r="L238" s="87">
        <v>1</v>
      </c>
      <c r="M238" s="88">
        <v>1</v>
      </c>
      <c r="N238" s="89"/>
      <c r="O238" s="87"/>
      <c r="P238" s="87"/>
      <c r="Q238" s="87"/>
      <c r="R238" s="87"/>
      <c r="S238" s="87">
        <v>1</v>
      </c>
      <c r="T238" s="87"/>
      <c r="U238" s="87">
        <v>1</v>
      </c>
      <c r="V238" s="90" t="s">
        <v>1812</v>
      </c>
    </row>
    <row r="239" ht="15" customHeight="1" spans="1:23" x14ac:dyDescent="0.25">
      <c r="A239" s="85">
        <v>22218</v>
      </c>
      <c r="B239" s="85" t="s">
        <v>1813</v>
      </c>
      <c r="C239" s="85" t="s">
        <v>161</v>
      </c>
      <c r="D239" s="85" t="s">
        <v>223</v>
      </c>
      <c r="E239" s="85"/>
      <c r="F239" s="85" t="s">
        <v>155</v>
      </c>
      <c r="G239" s="85"/>
      <c r="H239" s="85"/>
      <c r="I239" s="86"/>
      <c r="J239" s="86"/>
      <c r="K239" s="87"/>
      <c r="L239" s="87"/>
      <c r="M239" s="88"/>
      <c r="N239" s="89"/>
      <c r="O239" s="87"/>
      <c r="P239" s="87"/>
      <c r="Q239" s="87">
        <v>0.03225806451612903</v>
      </c>
      <c r="R239" s="87"/>
      <c r="S239" s="87">
        <v>1</v>
      </c>
      <c r="T239" s="87">
        <v>1</v>
      </c>
      <c r="U239" s="87">
        <v>1</v>
      </c>
      <c r="V239" s="90" t="s">
        <v>1814</v>
      </c>
    </row>
    <row r="240" ht="15" customHeight="1" spans="1:23" x14ac:dyDescent="0.25">
      <c r="A240" s="85">
        <v>22218</v>
      </c>
      <c r="B240" s="85" t="s">
        <v>1813</v>
      </c>
      <c r="C240" s="85" t="s">
        <v>161</v>
      </c>
      <c r="D240" s="85" t="s">
        <v>223</v>
      </c>
      <c r="E240" s="85"/>
      <c r="F240" s="85" t="s">
        <v>1084</v>
      </c>
      <c r="G240" s="85" t="s">
        <v>1647</v>
      </c>
      <c r="H240" s="85" t="s">
        <v>1561</v>
      </c>
      <c r="I240" s="86">
        <v>248</v>
      </c>
      <c r="J240" s="86">
        <v>240</v>
      </c>
      <c r="K240" s="87">
        <v>0.967741935483871</v>
      </c>
      <c r="L240" s="87">
        <v>1</v>
      </c>
      <c r="M240" s="88">
        <v>0.967741935483871</v>
      </c>
      <c r="N240" s="89"/>
      <c r="O240" s="87"/>
      <c r="P240" s="87"/>
      <c r="Q240" s="87"/>
      <c r="R240" s="87"/>
      <c r="S240" s="87">
        <v>0.967741935483871</v>
      </c>
      <c r="T240" s="87"/>
      <c r="U240" s="87">
        <v>0.9677419354838709</v>
      </c>
      <c r="V240" s="90" t="s">
        <v>1815</v>
      </c>
    </row>
    <row r="241" ht="15" customHeight="1" spans="1:23" x14ac:dyDescent="0.25">
      <c r="A241" s="85">
        <v>22218</v>
      </c>
      <c r="B241" s="85" t="s">
        <v>1813</v>
      </c>
      <c r="C241" s="85" t="s">
        <v>161</v>
      </c>
      <c r="D241" s="85" t="s">
        <v>223</v>
      </c>
      <c r="E241" s="85"/>
      <c r="F241" s="85" t="s">
        <v>1084</v>
      </c>
      <c r="G241" s="85" t="s">
        <v>283</v>
      </c>
      <c r="H241" s="85" t="s">
        <v>1648</v>
      </c>
      <c r="I241" s="86">
        <v>248</v>
      </c>
      <c r="J241" s="86">
        <v>8</v>
      </c>
      <c r="K241" s="87">
        <v>0.03225806451612903</v>
      </c>
      <c r="L241" s="87">
        <v>1</v>
      </c>
      <c r="M241" s="88">
        <v>0.03225806451612903</v>
      </c>
      <c r="N241" s="89">
        <v>1</v>
      </c>
      <c r="O241" s="87">
        <v>0.03225806451612903</v>
      </c>
      <c r="P241" s="87"/>
      <c r="Q241" s="87">
        <v>0.03225806451612903</v>
      </c>
      <c r="R241" s="87"/>
      <c r="S241" s="87">
        <v>0.03225806451612903</v>
      </c>
      <c r="T241" s="87"/>
      <c r="U241" s="87">
        <v>0.03225806451612903</v>
      </c>
      <c r="V241" s="90" t="s">
        <v>1816</v>
      </c>
    </row>
    <row r="242" ht="15" customHeight="1" spans="1:23" x14ac:dyDescent="0.25">
      <c r="A242" s="85">
        <v>22298</v>
      </c>
      <c r="B242" s="85" t="s">
        <v>1817</v>
      </c>
      <c r="C242" s="85" t="s">
        <v>380</v>
      </c>
      <c r="D242" s="85" t="s">
        <v>556</v>
      </c>
      <c r="E242" s="85"/>
      <c r="F242" s="85" t="s">
        <v>155</v>
      </c>
      <c r="G242" s="85"/>
      <c r="H242" s="85"/>
      <c r="I242" s="86"/>
      <c r="J242" s="86"/>
      <c r="K242" s="87"/>
      <c r="L242" s="87"/>
      <c r="M242" s="88"/>
      <c r="N242" s="89"/>
      <c r="O242" s="87"/>
      <c r="P242" s="87"/>
      <c r="Q242" s="87"/>
      <c r="R242" s="87"/>
      <c r="S242" s="87">
        <v>0.8</v>
      </c>
      <c r="T242" s="87">
        <v>0.8</v>
      </c>
      <c r="U242" s="87">
        <v>0.8</v>
      </c>
      <c r="V242" s="90" t="s">
        <v>1818</v>
      </c>
    </row>
    <row r="243" ht="15" customHeight="1" spans="1:23" x14ac:dyDescent="0.25">
      <c r="A243" s="85">
        <v>22298</v>
      </c>
      <c r="B243" s="85" t="s">
        <v>1817</v>
      </c>
      <c r="C243" s="85" t="s">
        <v>380</v>
      </c>
      <c r="D243" s="85" t="s">
        <v>556</v>
      </c>
      <c r="E243" s="85"/>
      <c r="F243" s="85" t="s">
        <v>1084</v>
      </c>
      <c r="G243" s="85" t="s">
        <v>283</v>
      </c>
      <c r="H243" s="85" t="s">
        <v>1561</v>
      </c>
      <c r="I243" s="86">
        <v>248</v>
      </c>
      <c r="J243" s="86">
        <v>248</v>
      </c>
      <c r="K243" s="87">
        <v>1</v>
      </c>
      <c r="L243" s="87">
        <v>0.8</v>
      </c>
      <c r="M243" s="88">
        <v>0.8</v>
      </c>
      <c r="N243" s="89"/>
      <c r="O243" s="87"/>
      <c r="P243" s="87"/>
      <c r="Q243" s="87"/>
      <c r="R243" s="87"/>
      <c r="S243" s="87">
        <v>0.8</v>
      </c>
      <c r="T243" s="87"/>
      <c r="U243" s="87">
        <v>0.8</v>
      </c>
      <c r="V243" s="90" t="s">
        <v>1818</v>
      </c>
    </row>
    <row r="244" ht="15" customHeight="1" spans="1:23" x14ac:dyDescent="0.25">
      <c r="A244" s="85">
        <v>22864</v>
      </c>
      <c r="B244" s="85" t="s">
        <v>1819</v>
      </c>
      <c r="C244" s="85" t="s">
        <v>965</v>
      </c>
      <c r="D244" s="85" t="s">
        <v>400</v>
      </c>
      <c r="E244" s="85"/>
      <c r="F244" s="85" t="s">
        <v>155</v>
      </c>
      <c r="G244" s="85"/>
      <c r="H244" s="85"/>
      <c r="I244" s="86"/>
      <c r="J244" s="86"/>
      <c r="K244" s="87"/>
      <c r="L244" s="87"/>
      <c r="M244" s="88"/>
      <c r="N244" s="89"/>
      <c r="O244" s="87"/>
      <c r="P244" s="87"/>
      <c r="Q244" s="87">
        <v>0.06048387096774194</v>
      </c>
      <c r="R244" s="87"/>
      <c r="S244" s="87">
        <v>1</v>
      </c>
      <c r="T244" s="87">
        <v>1</v>
      </c>
      <c r="U244" s="87">
        <v>1</v>
      </c>
      <c r="V244" s="90" t="s">
        <v>1820</v>
      </c>
    </row>
    <row r="245" ht="15" customHeight="1" spans="1:23" x14ac:dyDescent="0.25">
      <c r="A245" s="85">
        <v>22864</v>
      </c>
      <c r="B245" s="85" t="s">
        <v>1819</v>
      </c>
      <c r="C245" s="85" t="s">
        <v>965</v>
      </c>
      <c r="D245" s="85" t="s">
        <v>400</v>
      </c>
      <c r="E245" s="85"/>
      <c r="F245" s="85" t="s">
        <v>1084</v>
      </c>
      <c r="G245" s="85" t="s">
        <v>1821</v>
      </c>
      <c r="H245" s="85" t="s">
        <v>1561</v>
      </c>
      <c r="I245" s="86">
        <v>248</v>
      </c>
      <c r="J245" s="86">
        <v>45</v>
      </c>
      <c r="K245" s="87">
        <v>0.1814516129032258</v>
      </c>
      <c r="L245" s="87">
        <v>1</v>
      </c>
      <c r="M245" s="88">
        <v>0.1814516129032258</v>
      </c>
      <c r="N245" s="89"/>
      <c r="O245" s="87"/>
      <c r="P245" s="87"/>
      <c r="Q245" s="87"/>
      <c r="R245" s="87"/>
      <c r="S245" s="87">
        <v>0.1814516129032258</v>
      </c>
      <c r="T245" s="87"/>
      <c r="U245" s="87">
        <v>0.1814516129032258</v>
      </c>
      <c r="V245" s="90" t="s">
        <v>1822</v>
      </c>
    </row>
    <row r="246" ht="15" customHeight="1" spans="1:23" x14ac:dyDescent="0.25">
      <c r="A246" s="85">
        <v>22864</v>
      </c>
      <c r="B246" s="85" t="s">
        <v>1819</v>
      </c>
      <c r="C246" s="85" t="s">
        <v>965</v>
      </c>
      <c r="D246" s="85" t="s">
        <v>400</v>
      </c>
      <c r="E246" s="85"/>
      <c r="F246" s="85" t="s">
        <v>1084</v>
      </c>
      <c r="G246" s="85" t="s">
        <v>1745</v>
      </c>
      <c r="H246" s="85" t="s">
        <v>1823</v>
      </c>
      <c r="I246" s="86">
        <v>248</v>
      </c>
      <c r="J246" s="86">
        <v>15</v>
      </c>
      <c r="K246" s="87">
        <v>0.06048387096774194</v>
      </c>
      <c r="L246" s="87">
        <v>1</v>
      </c>
      <c r="M246" s="88">
        <v>0.06048387096774194</v>
      </c>
      <c r="N246" s="89">
        <v>1</v>
      </c>
      <c r="O246" s="87">
        <v>0.06048387096774194</v>
      </c>
      <c r="P246" s="87"/>
      <c r="Q246" s="87">
        <v>0.06048387096774194</v>
      </c>
      <c r="R246" s="87"/>
      <c r="S246" s="87">
        <v>0.06048387096774194</v>
      </c>
      <c r="T246" s="87"/>
      <c r="U246" s="87">
        <v>0.06048387096774194</v>
      </c>
      <c r="V246" s="90" t="s">
        <v>1824</v>
      </c>
    </row>
    <row r="247" ht="15" customHeight="1" spans="1:23" x14ac:dyDescent="0.25">
      <c r="A247" s="85">
        <v>22864</v>
      </c>
      <c r="B247" s="85" t="s">
        <v>1819</v>
      </c>
      <c r="C247" s="85" t="s">
        <v>965</v>
      </c>
      <c r="D247" s="85" t="s">
        <v>400</v>
      </c>
      <c r="E247" s="85"/>
      <c r="F247" s="85" t="s">
        <v>1084</v>
      </c>
      <c r="G247" s="85" t="s">
        <v>283</v>
      </c>
      <c r="H247" s="85" t="s">
        <v>1825</v>
      </c>
      <c r="I247" s="86">
        <v>248</v>
      </c>
      <c r="J247" s="86">
        <v>188</v>
      </c>
      <c r="K247" s="87">
        <v>0.7580645161290323</v>
      </c>
      <c r="L247" s="87">
        <v>1</v>
      </c>
      <c r="M247" s="88">
        <v>0.7580645161290323</v>
      </c>
      <c r="N247" s="89"/>
      <c r="O247" s="87"/>
      <c r="P247" s="87"/>
      <c r="Q247" s="87"/>
      <c r="R247" s="87"/>
      <c r="S247" s="87">
        <v>0.7580645161290323</v>
      </c>
      <c r="T247" s="87"/>
      <c r="U247" s="87">
        <v>0.7580645161290323</v>
      </c>
      <c r="V247" s="90" t="s">
        <v>1826</v>
      </c>
    </row>
    <row r="248" ht="15" customHeight="1" spans="1:23" x14ac:dyDescent="0.25">
      <c r="A248" s="85">
        <v>22985</v>
      </c>
      <c r="B248" s="85" t="s">
        <v>1827</v>
      </c>
      <c r="C248" s="85" t="s">
        <v>965</v>
      </c>
      <c r="D248" s="85" t="s">
        <v>976</v>
      </c>
      <c r="E248" s="85"/>
      <c r="F248" s="85" t="s">
        <v>155</v>
      </c>
      <c r="G248" s="85"/>
      <c r="H248" s="85"/>
      <c r="I248" s="86"/>
      <c r="J248" s="86"/>
      <c r="K248" s="87"/>
      <c r="L248" s="87"/>
      <c r="M248" s="88"/>
      <c r="N248" s="89"/>
      <c r="O248" s="87"/>
      <c r="P248" s="87"/>
      <c r="Q248" s="87"/>
      <c r="R248" s="87"/>
      <c r="S248" s="87">
        <v>1</v>
      </c>
      <c r="T248" s="87">
        <v>1</v>
      </c>
      <c r="U248" s="87">
        <v>1</v>
      </c>
      <c r="V248" s="90" t="s">
        <v>1828</v>
      </c>
    </row>
    <row r="249" ht="15" customHeight="1" spans="1:23" x14ac:dyDescent="0.25">
      <c r="A249" s="85">
        <v>22985</v>
      </c>
      <c r="B249" s="85" t="s">
        <v>1827</v>
      </c>
      <c r="C249" s="85" t="s">
        <v>965</v>
      </c>
      <c r="D249" s="85" t="s">
        <v>976</v>
      </c>
      <c r="E249" s="85"/>
      <c r="F249" s="85" t="s">
        <v>1084</v>
      </c>
      <c r="G249" s="85" t="s">
        <v>283</v>
      </c>
      <c r="H249" s="85" t="s">
        <v>1561</v>
      </c>
      <c r="I249" s="86">
        <v>248</v>
      </c>
      <c r="J249" s="86">
        <v>248</v>
      </c>
      <c r="K249" s="87">
        <v>1</v>
      </c>
      <c r="L249" s="87">
        <v>1</v>
      </c>
      <c r="M249" s="88">
        <v>1</v>
      </c>
      <c r="N249" s="89"/>
      <c r="O249" s="87"/>
      <c r="P249" s="87"/>
      <c r="Q249" s="87"/>
      <c r="R249" s="87"/>
      <c r="S249" s="87">
        <v>1</v>
      </c>
      <c r="T249" s="87"/>
      <c r="U249" s="87">
        <v>1</v>
      </c>
      <c r="V249" s="90" t="s">
        <v>1828</v>
      </c>
    </row>
    <row r="250" ht="15" customHeight="1" spans="1:23" x14ac:dyDescent="0.25">
      <c r="A250" s="85">
        <v>23410</v>
      </c>
      <c r="B250" s="85" t="s">
        <v>1829</v>
      </c>
      <c r="C250" s="85" t="s">
        <v>380</v>
      </c>
      <c r="D250" s="85" t="s">
        <v>208</v>
      </c>
      <c r="E250" s="85"/>
      <c r="F250" s="85" t="s">
        <v>155</v>
      </c>
      <c r="G250" s="85"/>
      <c r="H250" s="85"/>
      <c r="I250" s="86"/>
      <c r="J250" s="86"/>
      <c r="K250" s="87"/>
      <c r="L250" s="87"/>
      <c r="M250" s="88"/>
      <c r="N250" s="89"/>
      <c r="O250" s="87"/>
      <c r="P250" s="87"/>
      <c r="Q250" s="87"/>
      <c r="R250" s="87"/>
      <c r="S250" s="87">
        <v>1</v>
      </c>
      <c r="T250" s="87">
        <v>1</v>
      </c>
      <c r="U250" s="87">
        <v>1</v>
      </c>
      <c r="V250" s="90" t="s">
        <v>1830</v>
      </c>
    </row>
    <row r="251" ht="15" customHeight="1" spans="1:23" x14ac:dyDescent="0.25">
      <c r="A251" s="85">
        <v>23410</v>
      </c>
      <c r="B251" s="85" t="s">
        <v>1829</v>
      </c>
      <c r="C251" s="85" t="s">
        <v>380</v>
      </c>
      <c r="D251" s="85" t="s">
        <v>208</v>
      </c>
      <c r="E251" s="85"/>
      <c r="F251" s="85" t="s">
        <v>1084</v>
      </c>
      <c r="G251" s="85" t="s">
        <v>283</v>
      </c>
      <c r="H251" s="85" t="s">
        <v>1561</v>
      </c>
      <c r="I251" s="86">
        <v>248</v>
      </c>
      <c r="J251" s="86">
        <v>248</v>
      </c>
      <c r="K251" s="87">
        <v>1</v>
      </c>
      <c r="L251" s="87">
        <v>1</v>
      </c>
      <c r="M251" s="88">
        <v>1</v>
      </c>
      <c r="N251" s="89"/>
      <c r="O251" s="87"/>
      <c r="P251" s="87"/>
      <c r="Q251" s="87"/>
      <c r="R251" s="87"/>
      <c r="S251" s="87">
        <v>1</v>
      </c>
      <c r="T251" s="87"/>
      <c r="U251" s="87">
        <v>1</v>
      </c>
      <c r="V251" s="90" t="s">
        <v>1830</v>
      </c>
    </row>
    <row r="252" ht="15" customHeight="1" spans="1:23" x14ac:dyDescent="0.25">
      <c r="A252" s="85">
        <v>23629</v>
      </c>
      <c r="B252" s="85" t="s">
        <v>1831</v>
      </c>
      <c r="C252" s="85" t="s">
        <v>380</v>
      </c>
      <c r="D252" s="85" t="s">
        <v>208</v>
      </c>
      <c r="E252" s="85"/>
      <c r="F252" s="85" t="s">
        <v>155</v>
      </c>
      <c r="G252" s="85"/>
      <c r="H252" s="85"/>
      <c r="I252" s="86"/>
      <c r="J252" s="86"/>
      <c r="K252" s="87"/>
      <c r="L252" s="87"/>
      <c r="M252" s="88"/>
      <c r="N252" s="89"/>
      <c r="O252" s="87"/>
      <c r="P252" s="87"/>
      <c r="Q252" s="87"/>
      <c r="R252" s="87"/>
      <c r="S252" s="87">
        <v>1</v>
      </c>
      <c r="T252" s="87">
        <v>1</v>
      </c>
      <c r="U252" s="87">
        <v>1</v>
      </c>
      <c r="V252" s="90" t="s">
        <v>1596</v>
      </c>
    </row>
    <row r="253" ht="15" customHeight="1" spans="1:23" x14ac:dyDescent="0.25">
      <c r="A253" s="85">
        <v>23629</v>
      </c>
      <c r="B253" s="85" t="s">
        <v>1831</v>
      </c>
      <c r="C253" s="85" t="s">
        <v>380</v>
      </c>
      <c r="D253" s="85" t="s">
        <v>208</v>
      </c>
      <c r="E253" s="85"/>
      <c r="F253" s="85" t="s">
        <v>1084</v>
      </c>
      <c r="G253" s="85" t="s">
        <v>283</v>
      </c>
      <c r="H253" s="85" t="s">
        <v>1561</v>
      </c>
      <c r="I253" s="86">
        <v>248</v>
      </c>
      <c r="J253" s="86">
        <v>248</v>
      </c>
      <c r="K253" s="87">
        <v>1</v>
      </c>
      <c r="L253" s="87">
        <v>1</v>
      </c>
      <c r="M253" s="88">
        <v>1</v>
      </c>
      <c r="N253" s="89"/>
      <c r="O253" s="87"/>
      <c r="P253" s="87"/>
      <c r="Q253" s="87"/>
      <c r="R253" s="87"/>
      <c r="S253" s="87">
        <v>1</v>
      </c>
      <c r="T253" s="87"/>
      <c r="U253" s="87">
        <v>1</v>
      </c>
      <c r="V253" s="90" t="s">
        <v>1596</v>
      </c>
    </row>
    <row r="254" ht="15" customHeight="1" spans="1:23" x14ac:dyDescent="0.25">
      <c r="A254" s="85">
        <v>24172</v>
      </c>
      <c r="B254" s="85" t="s">
        <v>1832</v>
      </c>
      <c r="C254" s="85" t="s">
        <v>380</v>
      </c>
      <c r="D254" s="85" t="s">
        <v>601</v>
      </c>
      <c r="E254" s="85"/>
      <c r="F254" s="85" t="s">
        <v>155</v>
      </c>
      <c r="G254" s="85"/>
      <c r="H254" s="85"/>
      <c r="I254" s="86"/>
      <c r="J254" s="86"/>
      <c r="K254" s="87"/>
      <c r="L254" s="87"/>
      <c r="M254" s="88"/>
      <c r="N254" s="89"/>
      <c r="O254" s="87"/>
      <c r="P254" s="87"/>
      <c r="Q254" s="87"/>
      <c r="R254" s="87"/>
      <c r="S254" s="87">
        <v>1</v>
      </c>
      <c r="T254" s="87">
        <v>1</v>
      </c>
      <c r="U254" s="87">
        <v>1.0000000000000002</v>
      </c>
      <c r="V254" s="90" t="s">
        <v>1833</v>
      </c>
    </row>
    <row r="255" ht="15" customHeight="1" spans="1:23" x14ac:dyDescent="0.25">
      <c r="A255" s="85">
        <v>24172</v>
      </c>
      <c r="B255" s="85" t="s">
        <v>1832</v>
      </c>
      <c r="C255" s="85" t="s">
        <v>380</v>
      </c>
      <c r="D255" s="85" t="s">
        <v>601</v>
      </c>
      <c r="E255" s="85"/>
      <c r="F255" s="85" t="s">
        <v>1084</v>
      </c>
      <c r="G255" s="85" t="s">
        <v>169</v>
      </c>
      <c r="H255" s="85" t="s">
        <v>1561</v>
      </c>
      <c r="I255" s="86">
        <v>248</v>
      </c>
      <c r="J255" s="86">
        <v>75</v>
      </c>
      <c r="K255" s="87">
        <v>0.3024193548387097</v>
      </c>
      <c r="L255" s="87">
        <v>1</v>
      </c>
      <c r="M255" s="88">
        <v>0.3024193548387097</v>
      </c>
      <c r="N255" s="89"/>
      <c r="O255" s="87"/>
      <c r="P255" s="87"/>
      <c r="Q255" s="87"/>
      <c r="R255" s="87"/>
      <c r="S255" s="87">
        <v>0.3024193548387097</v>
      </c>
      <c r="T255" s="87"/>
      <c r="U255" s="87">
        <v>0.30241935483870963</v>
      </c>
      <c r="V255" s="90" t="s">
        <v>1834</v>
      </c>
    </row>
    <row r="256" ht="15" customHeight="1" spans="1:23" x14ac:dyDescent="0.25">
      <c r="A256" s="85">
        <v>24172</v>
      </c>
      <c r="B256" s="85" t="s">
        <v>1832</v>
      </c>
      <c r="C256" s="85" t="s">
        <v>380</v>
      </c>
      <c r="D256" s="85" t="s">
        <v>601</v>
      </c>
      <c r="E256" s="85"/>
      <c r="F256" s="85" t="s">
        <v>1084</v>
      </c>
      <c r="G256" s="85" t="s">
        <v>283</v>
      </c>
      <c r="H256" s="85" t="s">
        <v>935</v>
      </c>
      <c r="I256" s="86">
        <v>248</v>
      </c>
      <c r="J256" s="86">
        <v>173</v>
      </c>
      <c r="K256" s="87">
        <v>0.6975806451612904</v>
      </c>
      <c r="L256" s="87">
        <v>1</v>
      </c>
      <c r="M256" s="88">
        <v>0.6975806451612904</v>
      </c>
      <c r="N256" s="89"/>
      <c r="O256" s="87"/>
      <c r="P256" s="87"/>
      <c r="Q256" s="87"/>
      <c r="R256" s="87"/>
      <c r="S256" s="87">
        <v>0.6975806451612904</v>
      </c>
      <c r="T256" s="87"/>
      <c r="U256" s="87">
        <v>0.6975806451612905</v>
      </c>
      <c r="V256" s="90" t="s">
        <v>1835</v>
      </c>
    </row>
    <row r="257" ht="15" customHeight="1" spans="1:23" x14ac:dyDescent="0.25">
      <c r="A257" s="85">
        <v>24553</v>
      </c>
      <c r="B257" s="85" t="s">
        <v>1836</v>
      </c>
      <c r="C257" s="85" t="s">
        <v>380</v>
      </c>
      <c r="D257" s="85" t="s">
        <v>208</v>
      </c>
      <c r="E257" s="85"/>
      <c r="F257" s="85" t="s">
        <v>155</v>
      </c>
      <c r="G257" s="85"/>
      <c r="H257" s="85"/>
      <c r="I257" s="86"/>
      <c r="J257" s="86"/>
      <c r="K257" s="87"/>
      <c r="L257" s="87"/>
      <c r="M257" s="88"/>
      <c r="N257" s="89"/>
      <c r="O257" s="87"/>
      <c r="P257" s="87"/>
      <c r="Q257" s="87"/>
      <c r="R257" s="87"/>
      <c r="S257" s="87">
        <v>0.8</v>
      </c>
      <c r="T257" s="87">
        <v>0.8</v>
      </c>
      <c r="U257" s="87">
        <v>0.08320000000000001</v>
      </c>
      <c r="V257" s="90" t="s">
        <v>1837</v>
      </c>
    </row>
    <row r="258" ht="15" customHeight="1" spans="1:23" x14ac:dyDescent="0.25">
      <c r="A258" s="85">
        <v>24553</v>
      </c>
      <c r="B258" s="85" t="s">
        <v>1836</v>
      </c>
      <c r="C258" s="85" t="s">
        <v>380</v>
      </c>
      <c r="D258" s="85" t="s">
        <v>208</v>
      </c>
      <c r="E258" s="85"/>
      <c r="F258" s="85" t="s">
        <v>1084</v>
      </c>
      <c r="G258" s="85" t="s">
        <v>283</v>
      </c>
      <c r="H258" s="85" t="s">
        <v>1561</v>
      </c>
      <c r="I258" s="86">
        <v>248</v>
      </c>
      <c r="J258" s="86">
        <v>248</v>
      </c>
      <c r="K258" s="87">
        <v>1</v>
      </c>
      <c r="L258" s="87">
        <v>0.8</v>
      </c>
      <c r="M258" s="88">
        <v>0.8</v>
      </c>
      <c r="N258" s="89"/>
      <c r="O258" s="87"/>
      <c r="P258" s="87"/>
      <c r="Q258" s="87"/>
      <c r="R258" s="87"/>
      <c r="S258" s="87">
        <v>0.8</v>
      </c>
      <c r="T258" s="87"/>
      <c r="U258" s="87">
        <v>0.08320000000000001</v>
      </c>
      <c r="V258" s="90" t="s">
        <v>1838</v>
      </c>
    </row>
    <row r="259" ht="15" customHeight="1" spans="1:23" x14ac:dyDescent="0.25">
      <c r="A259" s="85">
        <v>24600</v>
      </c>
      <c r="B259" s="85" t="s">
        <v>1839</v>
      </c>
      <c r="C259" s="85" t="s">
        <v>161</v>
      </c>
      <c r="D259" s="85" t="s">
        <v>176</v>
      </c>
      <c r="E259" s="85" t="s">
        <v>169</v>
      </c>
      <c r="F259" s="85" t="s">
        <v>155</v>
      </c>
      <c r="G259" s="85"/>
      <c r="H259" s="85"/>
      <c r="I259" s="86"/>
      <c r="J259" s="86"/>
      <c r="K259" s="87"/>
      <c r="L259" s="87"/>
      <c r="M259" s="88"/>
      <c r="N259" s="89"/>
      <c r="O259" s="87"/>
      <c r="P259" s="87"/>
      <c r="Q259" s="87"/>
      <c r="R259" s="87"/>
      <c r="S259" s="87">
        <v>0.7016129032258065</v>
      </c>
      <c r="T259" s="87">
        <v>0.7016129032258065</v>
      </c>
      <c r="U259" s="87">
        <v>0.7016129032258064</v>
      </c>
      <c r="V259" s="90" t="s">
        <v>1840</v>
      </c>
    </row>
    <row r="260" ht="15" customHeight="1" spans="1:23" x14ac:dyDescent="0.25">
      <c r="A260" s="85">
        <v>24600</v>
      </c>
      <c r="B260" s="85" t="s">
        <v>1839</v>
      </c>
      <c r="C260" s="85" t="s">
        <v>161</v>
      </c>
      <c r="D260" s="85" t="s">
        <v>176</v>
      </c>
      <c r="E260" s="85" t="s">
        <v>169</v>
      </c>
      <c r="F260" s="85" t="s">
        <v>1084</v>
      </c>
      <c r="G260" s="85" t="s">
        <v>283</v>
      </c>
      <c r="H260" s="85" t="s">
        <v>169</v>
      </c>
      <c r="I260" s="86">
        <v>248</v>
      </c>
      <c r="J260" s="86">
        <v>174</v>
      </c>
      <c r="K260" s="87">
        <v>0.7016129032258065</v>
      </c>
      <c r="L260" s="87">
        <v>1</v>
      </c>
      <c r="M260" s="88">
        <v>0.7016129032258065</v>
      </c>
      <c r="N260" s="89"/>
      <c r="O260" s="87"/>
      <c r="P260" s="87"/>
      <c r="Q260" s="87"/>
      <c r="R260" s="87"/>
      <c r="S260" s="87">
        <v>0.7016129032258065</v>
      </c>
      <c r="T260" s="87"/>
      <c r="U260" s="87">
        <v>0.7016129032258064</v>
      </c>
      <c r="V260" s="90" t="s">
        <v>1841</v>
      </c>
    </row>
    <row r="261" ht="15" customHeight="1" spans="1:23" x14ac:dyDescent="0.25">
      <c r="A261" s="85">
        <v>24888</v>
      </c>
      <c r="B261" s="85" t="s">
        <v>1842</v>
      </c>
      <c r="C261" s="85" t="s">
        <v>161</v>
      </c>
      <c r="D261" s="85" t="s">
        <v>362</v>
      </c>
      <c r="E261" s="85"/>
      <c r="F261" s="85" t="s">
        <v>155</v>
      </c>
      <c r="G261" s="85"/>
      <c r="H261" s="85"/>
      <c r="I261" s="86"/>
      <c r="J261" s="86"/>
      <c r="K261" s="87"/>
      <c r="L261" s="87"/>
      <c r="M261" s="88"/>
      <c r="N261" s="89"/>
      <c r="O261" s="87"/>
      <c r="P261" s="87"/>
      <c r="Q261" s="87"/>
      <c r="R261" s="87"/>
      <c r="S261" s="87">
        <v>1</v>
      </c>
      <c r="T261" s="87">
        <v>1</v>
      </c>
      <c r="U261" s="87">
        <v>1</v>
      </c>
      <c r="V261" s="90" t="s">
        <v>1843</v>
      </c>
    </row>
    <row r="262" ht="15" customHeight="1" spans="1:23" x14ac:dyDescent="0.25">
      <c r="A262" s="85">
        <v>24888</v>
      </c>
      <c r="B262" s="85" t="s">
        <v>1842</v>
      </c>
      <c r="C262" s="85" t="s">
        <v>161</v>
      </c>
      <c r="D262" s="85" t="s">
        <v>362</v>
      </c>
      <c r="E262" s="85"/>
      <c r="F262" s="85" t="s">
        <v>1084</v>
      </c>
      <c r="G262" s="85" t="s">
        <v>283</v>
      </c>
      <c r="H262" s="85" t="s">
        <v>1561</v>
      </c>
      <c r="I262" s="86">
        <v>248</v>
      </c>
      <c r="J262" s="86">
        <v>248</v>
      </c>
      <c r="K262" s="87">
        <v>1</v>
      </c>
      <c r="L262" s="87">
        <v>1</v>
      </c>
      <c r="M262" s="88">
        <v>1</v>
      </c>
      <c r="N262" s="89"/>
      <c r="O262" s="87"/>
      <c r="P262" s="87"/>
      <c r="Q262" s="87"/>
      <c r="R262" s="87"/>
      <c r="S262" s="87">
        <v>1</v>
      </c>
      <c r="T262" s="87"/>
      <c r="U262" s="87">
        <v>1</v>
      </c>
      <c r="V262" s="90" t="s">
        <v>1844</v>
      </c>
    </row>
    <row r="263" ht="15" customHeight="1" spans="1:23" x14ac:dyDescent="0.25">
      <c r="A263" s="85">
        <v>25193</v>
      </c>
      <c r="B263" s="85" t="s">
        <v>1845</v>
      </c>
      <c r="C263" s="85" t="s">
        <v>380</v>
      </c>
      <c r="D263" s="85" t="s">
        <v>647</v>
      </c>
      <c r="E263" s="85" t="s">
        <v>652</v>
      </c>
      <c r="F263" s="85" t="s">
        <v>155</v>
      </c>
      <c r="G263" s="85"/>
      <c r="H263" s="85"/>
      <c r="I263" s="86"/>
      <c r="J263" s="86"/>
      <c r="K263" s="87"/>
      <c r="L263" s="87"/>
      <c r="M263" s="88"/>
      <c r="N263" s="89"/>
      <c r="O263" s="87"/>
      <c r="P263" s="87"/>
      <c r="Q263" s="87"/>
      <c r="R263" s="87"/>
      <c r="S263" s="87">
        <v>0.5161290322580645</v>
      </c>
      <c r="T263" s="87">
        <v>0.5161290322580645</v>
      </c>
      <c r="U263" s="87">
        <v>0.5161290322580645</v>
      </c>
      <c r="V263" s="90" t="s">
        <v>1846</v>
      </c>
    </row>
    <row r="264" ht="15" customHeight="1" spans="1:23" x14ac:dyDescent="0.25">
      <c r="A264" s="85">
        <v>25193</v>
      </c>
      <c r="B264" s="85" t="s">
        <v>1845</v>
      </c>
      <c r="C264" s="85" t="s">
        <v>380</v>
      </c>
      <c r="D264" s="85" t="s">
        <v>647</v>
      </c>
      <c r="E264" s="85" t="s">
        <v>652</v>
      </c>
      <c r="F264" s="85" t="s">
        <v>1084</v>
      </c>
      <c r="G264" s="85" t="s">
        <v>871</v>
      </c>
      <c r="H264" s="85" t="s">
        <v>652</v>
      </c>
      <c r="I264" s="86">
        <v>248</v>
      </c>
      <c r="J264" s="86">
        <v>85</v>
      </c>
      <c r="K264" s="87">
        <v>0.34274193548387094</v>
      </c>
      <c r="L264" s="87">
        <v>1</v>
      </c>
      <c r="M264" s="88">
        <v>0.34274193548387094</v>
      </c>
      <c r="N264" s="89"/>
      <c r="O264" s="87"/>
      <c r="P264" s="87"/>
      <c r="Q264" s="87"/>
      <c r="R264" s="87"/>
      <c r="S264" s="87">
        <v>0.34274193548387094</v>
      </c>
      <c r="T264" s="87"/>
      <c r="U264" s="87">
        <v>0.34274193548387094</v>
      </c>
      <c r="V264" s="90" t="s">
        <v>1847</v>
      </c>
    </row>
    <row r="265" ht="15" customHeight="1" spans="1:23" x14ac:dyDescent="0.25">
      <c r="A265" s="85">
        <v>25193</v>
      </c>
      <c r="B265" s="85" t="s">
        <v>1845</v>
      </c>
      <c r="C265" s="85" t="s">
        <v>380</v>
      </c>
      <c r="D265" s="85" t="s">
        <v>647</v>
      </c>
      <c r="E265" s="85" t="s">
        <v>652</v>
      </c>
      <c r="F265" s="85" t="s">
        <v>1084</v>
      </c>
      <c r="G265" s="85" t="s">
        <v>283</v>
      </c>
      <c r="H265" s="85" t="s">
        <v>625</v>
      </c>
      <c r="I265" s="86">
        <v>248</v>
      </c>
      <c r="J265" s="86">
        <v>43</v>
      </c>
      <c r="K265" s="87">
        <v>0.17338709677419356</v>
      </c>
      <c r="L265" s="87">
        <v>1</v>
      </c>
      <c r="M265" s="88">
        <v>0.17338709677419356</v>
      </c>
      <c r="N265" s="89"/>
      <c r="O265" s="87"/>
      <c r="P265" s="87"/>
      <c r="Q265" s="87"/>
      <c r="R265" s="87"/>
      <c r="S265" s="87">
        <v>0.17338709677419356</v>
      </c>
      <c r="T265" s="87"/>
      <c r="U265" s="87">
        <v>0.17338709677419356</v>
      </c>
      <c r="V265" s="90" t="s">
        <v>1848</v>
      </c>
    </row>
    <row r="266" ht="15" customHeight="1" spans="1:23" x14ac:dyDescent="0.25">
      <c r="A266" s="85">
        <v>25281</v>
      </c>
      <c r="B266" s="85" t="s">
        <v>1849</v>
      </c>
      <c r="C266" s="85" t="s">
        <v>380</v>
      </c>
      <c r="D266" s="85" t="s">
        <v>426</v>
      </c>
      <c r="E266" s="85"/>
      <c r="F266" s="85" t="s">
        <v>155</v>
      </c>
      <c r="G266" s="85"/>
      <c r="H266" s="85"/>
      <c r="I266" s="86"/>
      <c r="J266" s="86"/>
      <c r="K266" s="87"/>
      <c r="L266" s="87"/>
      <c r="M266" s="88"/>
      <c r="N266" s="89"/>
      <c r="O266" s="87"/>
      <c r="P266" s="87"/>
      <c r="Q266" s="87"/>
      <c r="R266" s="87"/>
      <c r="S266" s="87">
        <v>1</v>
      </c>
      <c r="T266" s="87">
        <v>1</v>
      </c>
      <c r="U266" s="87">
        <v>1</v>
      </c>
      <c r="V266" s="90" t="s">
        <v>1850</v>
      </c>
    </row>
    <row r="267" ht="15" customHeight="1" spans="1:23" x14ac:dyDescent="0.25">
      <c r="A267" s="85">
        <v>25281</v>
      </c>
      <c r="B267" s="85" t="s">
        <v>1849</v>
      </c>
      <c r="C267" s="85" t="s">
        <v>380</v>
      </c>
      <c r="D267" s="85" t="s">
        <v>426</v>
      </c>
      <c r="E267" s="85"/>
      <c r="F267" s="85" t="s">
        <v>1084</v>
      </c>
      <c r="G267" s="85" t="s">
        <v>283</v>
      </c>
      <c r="H267" s="85" t="s">
        <v>1561</v>
      </c>
      <c r="I267" s="86">
        <v>248</v>
      </c>
      <c r="J267" s="86">
        <v>248</v>
      </c>
      <c r="K267" s="87">
        <v>1</v>
      </c>
      <c r="L267" s="87">
        <v>1</v>
      </c>
      <c r="M267" s="88">
        <v>1</v>
      </c>
      <c r="N267" s="89"/>
      <c r="O267" s="87"/>
      <c r="P267" s="87"/>
      <c r="Q267" s="87"/>
      <c r="R267" s="87"/>
      <c r="S267" s="87">
        <v>1</v>
      </c>
      <c r="T267" s="87"/>
      <c r="U267" s="87">
        <v>1</v>
      </c>
      <c r="V267" s="90" t="s">
        <v>1850</v>
      </c>
    </row>
    <row r="268" ht="15" customHeight="1" spans="1:23" x14ac:dyDescent="0.25">
      <c r="A268" s="85">
        <v>25627</v>
      </c>
      <c r="B268" s="85" t="s">
        <v>1851</v>
      </c>
      <c r="C268" s="85" t="s">
        <v>965</v>
      </c>
      <c r="D268" s="85" t="s">
        <v>581</v>
      </c>
      <c r="E268" s="85"/>
      <c r="F268" s="85" t="s">
        <v>155</v>
      </c>
      <c r="G268" s="85"/>
      <c r="H268" s="85"/>
      <c r="I268" s="86"/>
      <c r="J268" s="86"/>
      <c r="K268" s="87"/>
      <c r="L268" s="87"/>
      <c r="M268" s="88"/>
      <c r="N268" s="89"/>
      <c r="O268" s="87"/>
      <c r="P268" s="87"/>
      <c r="Q268" s="87"/>
      <c r="R268" s="87"/>
      <c r="S268" s="87">
        <v>1</v>
      </c>
      <c r="T268" s="87">
        <v>1</v>
      </c>
      <c r="U268" s="87">
        <v>1</v>
      </c>
      <c r="V268" s="90" t="s">
        <v>1622</v>
      </c>
    </row>
    <row r="269" ht="15" customHeight="1" spans="1:23" x14ac:dyDescent="0.25">
      <c r="A269" s="85">
        <v>25627</v>
      </c>
      <c r="B269" s="85" t="s">
        <v>1851</v>
      </c>
      <c r="C269" s="85" t="s">
        <v>965</v>
      </c>
      <c r="D269" s="85" t="s">
        <v>581</v>
      </c>
      <c r="E269" s="85"/>
      <c r="F269" s="85" t="s">
        <v>1084</v>
      </c>
      <c r="G269" s="85" t="s">
        <v>283</v>
      </c>
      <c r="H269" s="85" t="s">
        <v>1561</v>
      </c>
      <c r="I269" s="86">
        <v>248</v>
      </c>
      <c r="J269" s="86">
        <v>248</v>
      </c>
      <c r="K269" s="87">
        <v>1</v>
      </c>
      <c r="L269" s="87">
        <v>1</v>
      </c>
      <c r="M269" s="88">
        <v>1</v>
      </c>
      <c r="N269" s="89"/>
      <c r="O269" s="87"/>
      <c r="P269" s="87"/>
      <c r="Q269" s="87"/>
      <c r="R269" s="87"/>
      <c r="S269" s="87">
        <v>1</v>
      </c>
      <c r="T269" s="87"/>
      <c r="U269" s="87">
        <v>1</v>
      </c>
      <c r="V269" s="90" t="s">
        <v>1622</v>
      </c>
    </row>
    <row r="270" ht="15" customHeight="1" spans="1:23" x14ac:dyDescent="0.25">
      <c r="A270" s="85">
        <v>26107</v>
      </c>
      <c r="B270" s="85" t="s">
        <v>1852</v>
      </c>
      <c r="C270" s="85" t="s">
        <v>380</v>
      </c>
      <c r="D270" s="85" t="s">
        <v>596</v>
      </c>
      <c r="E270" s="85"/>
      <c r="F270" s="85" t="s">
        <v>155</v>
      </c>
      <c r="G270" s="85"/>
      <c r="H270" s="85"/>
      <c r="I270" s="86"/>
      <c r="J270" s="86"/>
      <c r="K270" s="87"/>
      <c r="L270" s="87"/>
      <c r="M270" s="88"/>
      <c r="N270" s="89"/>
      <c r="O270" s="87"/>
      <c r="P270" s="87"/>
      <c r="Q270" s="87"/>
      <c r="R270" s="87"/>
      <c r="S270" s="87">
        <v>1</v>
      </c>
      <c r="T270" s="87">
        <v>1</v>
      </c>
      <c r="U270" s="87">
        <v>1</v>
      </c>
      <c r="V270" s="90" t="s">
        <v>1853</v>
      </c>
    </row>
    <row r="271" ht="15" customHeight="1" spans="1:23" x14ac:dyDescent="0.25">
      <c r="A271" s="85">
        <v>26107</v>
      </c>
      <c r="B271" s="85" t="s">
        <v>1852</v>
      </c>
      <c r="C271" s="85" t="s">
        <v>380</v>
      </c>
      <c r="D271" s="85" t="s">
        <v>596</v>
      </c>
      <c r="E271" s="85"/>
      <c r="F271" s="85" t="s">
        <v>1084</v>
      </c>
      <c r="G271" s="85" t="s">
        <v>1677</v>
      </c>
      <c r="H271" s="85" t="s">
        <v>1561</v>
      </c>
      <c r="I271" s="86">
        <v>248</v>
      </c>
      <c r="J271" s="86">
        <v>205</v>
      </c>
      <c r="K271" s="87">
        <v>0.8266129032258065</v>
      </c>
      <c r="L271" s="87">
        <v>1</v>
      </c>
      <c r="M271" s="88">
        <v>0.8266129032258065</v>
      </c>
      <c r="N271" s="89"/>
      <c r="O271" s="87"/>
      <c r="P271" s="87"/>
      <c r="Q271" s="87"/>
      <c r="R271" s="87"/>
      <c r="S271" s="87">
        <v>0.8266129032258065</v>
      </c>
      <c r="T271" s="87"/>
      <c r="U271" s="87">
        <v>0.8266129032258065</v>
      </c>
      <c r="V271" s="90" t="s">
        <v>1854</v>
      </c>
    </row>
    <row r="272" ht="15" customHeight="1" spans="1:23" x14ac:dyDescent="0.25">
      <c r="A272" s="85">
        <v>26107</v>
      </c>
      <c r="B272" s="85" t="s">
        <v>1852</v>
      </c>
      <c r="C272" s="85" t="s">
        <v>380</v>
      </c>
      <c r="D272" s="85" t="s">
        <v>596</v>
      </c>
      <c r="E272" s="85"/>
      <c r="F272" s="85" t="s">
        <v>1084</v>
      </c>
      <c r="G272" s="85" t="s">
        <v>283</v>
      </c>
      <c r="H272" s="85" t="s">
        <v>782</v>
      </c>
      <c r="I272" s="86">
        <v>248</v>
      </c>
      <c r="J272" s="86">
        <v>43</v>
      </c>
      <c r="K272" s="87">
        <v>0.17338709677419356</v>
      </c>
      <c r="L272" s="87">
        <v>1</v>
      </c>
      <c r="M272" s="88">
        <v>0.17338709677419356</v>
      </c>
      <c r="N272" s="89"/>
      <c r="O272" s="87"/>
      <c r="P272" s="87"/>
      <c r="Q272" s="87"/>
      <c r="R272" s="87"/>
      <c r="S272" s="87">
        <v>0.17338709677419356</v>
      </c>
      <c r="T272" s="87"/>
      <c r="U272" s="87">
        <v>0.17338709677419353</v>
      </c>
      <c r="V272" s="90" t="s">
        <v>1855</v>
      </c>
    </row>
    <row r="273" ht="15" customHeight="1" spans="1:23" x14ac:dyDescent="0.25">
      <c r="A273" s="85">
        <v>26962</v>
      </c>
      <c r="B273" s="85" t="s">
        <v>1856</v>
      </c>
      <c r="C273" s="85" t="s">
        <v>380</v>
      </c>
      <c r="D273" s="85" t="s">
        <v>766</v>
      </c>
      <c r="E273" s="85"/>
      <c r="F273" s="85" t="s">
        <v>155</v>
      </c>
      <c r="G273" s="85"/>
      <c r="H273" s="85"/>
      <c r="I273" s="86"/>
      <c r="J273" s="86"/>
      <c r="K273" s="87"/>
      <c r="L273" s="87"/>
      <c r="M273" s="88"/>
      <c r="N273" s="89"/>
      <c r="O273" s="87"/>
      <c r="P273" s="87"/>
      <c r="Q273" s="87">
        <v>0.020161290322580645</v>
      </c>
      <c r="R273" s="87"/>
      <c r="S273" s="87">
        <v>1</v>
      </c>
      <c r="T273" s="87">
        <v>1</v>
      </c>
      <c r="U273" s="87">
        <v>1</v>
      </c>
      <c r="V273" s="90" t="s">
        <v>1857</v>
      </c>
    </row>
    <row r="274" ht="15" customHeight="1" spans="1:23" x14ac:dyDescent="0.25">
      <c r="A274" s="85">
        <v>26962</v>
      </c>
      <c r="B274" s="85" t="s">
        <v>1856</v>
      </c>
      <c r="C274" s="85" t="s">
        <v>380</v>
      </c>
      <c r="D274" s="85" t="s">
        <v>766</v>
      </c>
      <c r="E274" s="85"/>
      <c r="F274" s="85" t="s">
        <v>1084</v>
      </c>
      <c r="G274" s="85" t="s">
        <v>1858</v>
      </c>
      <c r="H274" s="85" t="s">
        <v>1561</v>
      </c>
      <c r="I274" s="86">
        <v>248</v>
      </c>
      <c r="J274" s="86">
        <v>5</v>
      </c>
      <c r="K274" s="87">
        <v>0.020161290322580645</v>
      </c>
      <c r="L274" s="87">
        <v>1</v>
      </c>
      <c r="M274" s="88">
        <v>0.020161290322580645</v>
      </c>
      <c r="N274" s="89">
        <v>1</v>
      </c>
      <c r="O274" s="87">
        <v>0.020161290322580645</v>
      </c>
      <c r="P274" s="87"/>
      <c r="Q274" s="87">
        <v>0.020161290322580645</v>
      </c>
      <c r="R274" s="87"/>
      <c r="S274" s="87">
        <v>0.020161290322580645</v>
      </c>
      <c r="T274" s="87"/>
      <c r="U274" s="87">
        <v>0.020161290322580645</v>
      </c>
      <c r="V274" s="90" t="s">
        <v>1859</v>
      </c>
    </row>
    <row r="275" ht="15" customHeight="1" spans="1:23" x14ac:dyDescent="0.25">
      <c r="A275" s="85">
        <v>26962</v>
      </c>
      <c r="B275" s="85" t="s">
        <v>1856</v>
      </c>
      <c r="C275" s="85" t="s">
        <v>380</v>
      </c>
      <c r="D275" s="85" t="s">
        <v>766</v>
      </c>
      <c r="E275" s="85"/>
      <c r="F275" s="85" t="s">
        <v>1084</v>
      </c>
      <c r="G275" s="85" t="s">
        <v>283</v>
      </c>
      <c r="H275" s="85" t="s">
        <v>1860</v>
      </c>
      <c r="I275" s="86">
        <v>248</v>
      </c>
      <c r="J275" s="86">
        <v>243</v>
      </c>
      <c r="K275" s="87">
        <v>0.9798387096774194</v>
      </c>
      <c r="L275" s="87">
        <v>1</v>
      </c>
      <c r="M275" s="88">
        <v>0.9798387096774194</v>
      </c>
      <c r="N275" s="89"/>
      <c r="O275" s="87"/>
      <c r="P275" s="87"/>
      <c r="Q275" s="87"/>
      <c r="R275" s="87"/>
      <c r="S275" s="87">
        <v>0.9798387096774194</v>
      </c>
      <c r="T275" s="87"/>
      <c r="U275" s="87">
        <v>0.9798387096774194</v>
      </c>
      <c r="V275" s="90" t="s">
        <v>1861</v>
      </c>
    </row>
    <row r="276" ht="15" customHeight="1" spans="1:23" x14ac:dyDescent="0.25">
      <c r="A276" s="85">
        <v>27096</v>
      </c>
      <c r="B276" s="85" t="s">
        <v>1862</v>
      </c>
      <c r="C276" s="85" t="s">
        <v>965</v>
      </c>
      <c r="D276" s="85" t="s">
        <v>400</v>
      </c>
      <c r="E276" s="85"/>
      <c r="F276" s="85" t="s">
        <v>155</v>
      </c>
      <c r="G276" s="85"/>
      <c r="H276" s="85"/>
      <c r="I276" s="86"/>
      <c r="J276" s="86"/>
      <c r="K276" s="87"/>
      <c r="L276" s="87"/>
      <c r="M276" s="88"/>
      <c r="N276" s="89"/>
      <c r="O276" s="87"/>
      <c r="P276" s="87"/>
      <c r="Q276" s="87"/>
      <c r="R276" s="87"/>
      <c r="S276" s="87">
        <v>1</v>
      </c>
      <c r="T276" s="87">
        <v>1</v>
      </c>
      <c r="U276" s="87">
        <v>1</v>
      </c>
      <c r="V276" s="90" t="s">
        <v>1863</v>
      </c>
    </row>
    <row r="277" ht="15" customHeight="1" spans="1:23" x14ac:dyDescent="0.25">
      <c r="A277" s="85">
        <v>27096</v>
      </c>
      <c r="B277" s="85" t="s">
        <v>1862</v>
      </c>
      <c r="C277" s="85" t="s">
        <v>965</v>
      </c>
      <c r="D277" s="85" t="s">
        <v>400</v>
      </c>
      <c r="E277" s="85"/>
      <c r="F277" s="85" t="s">
        <v>1084</v>
      </c>
      <c r="G277" s="85" t="s">
        <v>283</v>
      </c>
      <c r="H277" s="85" t="s">
        <v>1561</v>
      </c>
      <c r="I277" s="86">
        <v>248</v>
      </c>
      <c r="J277" s="86">
        <v>248</v>
      </c>
      <c r="K277" s="87">
        <v>1</v>
      </c>
      <c r="L277" s="87">
        <v>1</v>
      </c>
      <c r="M277" s="88">
        <v>1</v>
      </c>
      <c r="N277" s="89"/>
      <c r="O277" s="87"/>
      <c r="P277" s="87"/>
      <c r="Q277" s="87"/>
      <c r="R277" s="87"/>
      <c r="S277" s="87">
        <v>1</v>
      </c>
      <c r="T277" s="87"/>
      <c r="U277" s="87">
        <v>1</v>
      </c>
      <c r="V277" s="90" t="s">
        <v>1864</v>
      </c>
    </row>
    <row r="278" ht="15" customHeight="1" spans="1:23" x14ac:dyDescent="0.25">
      <c r="A278" s="85">
        <v>27372</v>
      </c>
      <c r="B278" s="85" t="s">
        <v>1865</v>
      </c>
      <c r="C278" s="85" t="s">
        <v>380</v>
      </c>
      <c r="D278" s="85" t="s">
        <v>601</v>
      </c>
      <c r="E278" s="85"/>
      <c r="F278" s="85" t="s">
        <v>155</v>
      </c>
      <c r="G278" s="85"/>
      <c r="H278" s="85"/>
      <c r="I278" s="86"/>
      <c r="J278" s="86"/>
      <c r="K278" s="87"/>
      <c r="L278" s="87"/>
      <c r="M278" s="88"/>
      <c r="N278" s="89"/>
      <c r="O278" s="87"/>
      <c r="P278" s="87"/>
      <c r="Q278" s="87"/>
      <c r="R278" s="87"/>
      <c r="S278" s="87">
        <v>1</v>
      </c>
      <c r="T278" s="87">
        <v>1</v>
      </c>
      <c r="U278" s="87"/>
      <c r="V278" s="90" t="s">
        <v>1084</v>
      </c>
    </row>
    <row r="279" ht="15" customHeight="1" spans="1:23" x14ac:dyDescent="0.25">
      <c r="A279" s="85">
        <v>27372</v>
      </c>
      <c r="B279" s="85" t="s">
        <v>1865</v>
      </c>
      <c r="C279" s="85" t="s">
        <v>380</v>
      </c>
      <c r="D279" s="85" t="s">
        <v>601</v>
      </c>
      <c r="E279" s="85"/>
      <c r="F279" s="85" t="s">
        <v>1084</v>
      </c>
      <c r="G279" s="85" t="s">
        <v>283</v>
      </c>
      <c r="H279" s="85" t="s">
        <v>1561</v>
      </c>
      <c r="I279" s="86">
        <v>248</v>
      </c>
      <c r="J279" s="86">
        <v>248</v>
      </c>
      <c r="K279" s="87">
        <v>1</v>
      </c>
      <c r="L279" s="87">
        <v>1</v>
      </c>
      <c r="M279" s="88">
        <v>1</v>
      </c>
      <c r="N279" s="89"/>
      <c r="O279" s="87"/>
      <c r="P279" s="87"/>
      <c r="Q279" s="87"/>
      <c r="R279" s="87"/>
      <c r="S279" s="87">
        <v>1</v>
      </c>
      <c r="T279" s="87"/>
      <c r="U279" s="87">
        <v>0</v>
      </c>
      <c r="V279" s="90" t="s">
        <v>1084</v>
      </c>
    </row>
    <row r="280" ht="15" customHeight="1" spans="1:23" x14ac:dyDescent="0.25">
      <c r="A280" s="85">
        <v>27435</v>
      </c>
      <c r="B280" s="85" t="s">
        <v>1866</v>
      </c>
      <c r="C280" s="85" t="s">
        <v>161</v>
      </c>
      <c r="D280" s="85" t="s">
        <v>208</v>
      </c>
      <c r="E280" s="85"/>
      <c r="F280" s="85" t="s">
        <v>155</v>
      </c>
      <c r="G280" s="85"/>
      <c r="H280" s="85"/>
      <c r="I280" s="86"/>
      <c r="J280" s="86"/>
      <c r="K280" s="87"/>
      <c r="L280" s="87"/>
      <c r="M280" s="88"/>
      <c r="N280" s="89"/>
      <c r="O280" s="87"/>
      <c r="P280" s="87"/>
      <c r="Q280" s="87"/>
      <c r="R280" s="87"/>
      <c r="S280" s="87">
        <v>1</v>
      </c>
      <c r="T280" s="87">
        <v>1</v>
      </c>
      <c r="U280" s="87">
        <v>1</v>
      </c>
      <c r="V280" s="90" t="s">
        <v>1867</v>
      </c>
    </row>
    <row r="281" ht="15" customHeight="1" spans="1:23" x14ac:dyDescent="0.25">
      <c r="A281" s="85">
        <v>27435</v>
      </c>
      <c r="B281" s="85" t="s">
        <v>1866</v>
      </c>
      <c r="C281" s="85" t="s">
        <v>161</v>
      </c>
      <c r="D281" s="85" t="s">
        <v>208</v>
      </c>
      <c r="E281" s="85"/>
      <c r="F281" s="85" t="s">
        <v>1084</v>
      </c>
      <c r="G281" s="85" t="s">
        <v>283</v>
      </c>
      <c r="H281" s="85" t="s">
        <v>1561</v>
      </c>
      <c r="I281" s="86">
        <v>248</v>
      </c>
      <c r="J281" s="86">
        <v>248</v>
      </c>
      <c r="K281" s="87">
        <v>1</v>
      </c>
      <c r="L281" s="87">
        <v>1</v>
      </c>
      <c r="M281" s="88">
        <v>1</v>
      </c>
      <c r="N281" s="89"/>
      <c r="O281" s="87"/>
      <c r="P281" s="87"/>
      <c r="Q281" s="87"/>
      <c r="R281" s="87"/>
      <c r="S281" s="87">
        <v>1</v>
      </c>
      <c r="T281" s="87"/>
      <c r="U281" s="87">
        <v>1</v>
      </c>
      <c r="V281" s="90" t="s">
        <v>1867</v>
      </c>
    </row>
    <row r="282" ht="15" customHeight="1" spans="1:23" x14ac:dyDescent="0.25">
      <c r="A282" s="85">
        <v>27870</v>
      </c>
      <c r="B282" s="85" t="s">
        <v>1868</v>
      </c>
      <c r="C282" s="85" t="s">
        <v>380</v>
      </c>
      <c r="D282" s="85" t="s">
        <v>208</v>
      </c>
      <c r="E282" s="85" t="s">
        <v>169</v>
      </c>
      <c r="F282" s="85" t="s">
        <v>155</v>
      </c>
      <c r="G282" s="85"/>
      <c r="H282" s="85"/>
      <c r="I282" s="86"/>
      <c r="J282" s="86"/>
      <c r="K282" s="87"/>
      <c r="L282" s="87"/>
      <c r="M282" s="88"/>
      <c r="N282" s="89"/>
      <c r="O282" s="87"/>
      <c r="P282" s="87"/>
      <c r="Q282" s="87">
        <v>0.08064516129032258</v>
      </c>
      <c r="R282" s="87"/>
      <c r="S282" s="87">
        <v>0.7016129032258065</v>
      </c>
      <c r="T282" s="87">
        <v>0.7016129032258065</v>
      </c>
      <c r="U282" s="87">
        <v>0.7016129032258065</v>
      </c>
      <c r="V282" s="90" t="s">
        <v>1869</v>
      </c>
    </row>
    <row r="283" ht="15" customHeight="1" spans="1:23" x14ac:dyDescent="0.25">
      <c r="A283" s="85">
        <v>27870</v>
      </c>
      <c r="B283" s="85" t="s">
        <v>1868</v>
      </c>
      <c r="C283" s="85" t="s">
        <v>380</v>
      </c>
      <c r="D283" s="85" t="s">
        <v>208</v>
      </c>
      <c r="E283" s="85" t="s">
        <v>169</v>
      </c>
      <c r="F283" s="85" t="s">
        <v>1084</v>
      </c>
      <c r="G283" s="85" t="s">
        <v>1870</v>
      </c>
      <c r="H283" s="85" t="s">
        <v>169</v>
      </c>
      <c r="I283" s="86">
        <v>248</v>
      </c>
      <c r="J283" s="86">
        <v>106</v>
      </c>
      <c r="K283" s="87">
        <v>0.4274193548387097</v>
      </c>
      <c r="L283" s="87">
        <v>1</v>
      </c>
      <c r="M283" s="88">
        <v>0.4274193548387097</v>
      </c>
      <c r="N283" s="89"/>
      <c r="O283" s="87"/>
      <c r="P283" s="87"/>
      <c r="Q283" s="87"/>
      <c r="R283" s="87"/>
      <c r="S283" s="87">
        <v>0.4274193548387097</v>
      </c>
      <c r="T283" s="87"/>
      <c r="U283" s="87">
        <v>0.4274193548387097</v>
      </c>
      <c r="V283" s="90" t="s">
        <v>1871</v>
      </c>
    </row>
    <row r="284" ht="15" customHeight="1" spans="1:23" x14ac:dyDescent="0.25">
      <c r="A284" s="85">
        <v>27870</v>
      </c>
      <c r="B284" s="85" t="s">
        <v>1868</v>
      </c>
      <c r="C284" s="85" t="s">
        <v>380</v>
      </c>
      <c r="D284" s="85" t="s">
        <v>208</v>
      </c>
      <c r="E284" s="85" t="s">
        <v>169</v>
      </c>
      <c r="F284" s="85" t="s">
        <v>1084</v>
      </c>
      <c r="G284" s="85" t="s">
        <v>1047</v>
      </c>
      <c r="H284" s="85" t="s">
        <v>1696</v>
      </c>
      <c r="I284" s="86">
        <v>248</v>
      </c>
      <c r="J284" s="86">
        <v>5</v>
      </c>
      <c r="K284" s="87">
        <v>0.020161290322580645</v>
      </c>
      <c r="L284" s="87">
        <v>1</v>
      </c>
      <c r="M284" s="88">
        <v>0.020161290322580645</v>
      </c>
      <c r="N284" s="89">
        <v>1</v>
      </c>
      <c r="O284" s="87">
        <v>0.020161290322580645</v>
      </c>
      <c r="P284" s="87"/>
      <c r="Q284" s="87">
        <v>0.020161290322580645</v>
      </c>
      <c r="R284" s="87"/>
      <c r="S284" s="87">
        <v>0.020161290322580645</v>
      </c>
      <c r="T284" s="87"/>
      <c r="U284" s="87">
        <v>0.020161290322580645</v>
      </c>
      <c r="V284" s="90" t="s">
        <v>1872</v>
      </c>
    </row>
    <row r="285" ht="15" customHeight="1" spans="1:23" x14ac:dyDescent="0.25">
      <c r="A285" s="85">
        <v>27870</v>
      </c>
      <c r="B285" s="85" t="s">
        <v>1868</v>
      </c>
      <c r="C285" s="85" t="s">
        <v>380</v>
      </c>
      <c r="D285" s="85" t="s">
        <v>208</v>
      </c>
      <c r="E285" s="85" t="s">
        <v>169</v>
      </c>
      <c r="F285" s="85" t="s">
        <v>1084</v>
      </c>
      <c r="G285" s="85" t="s">
        <v>1873</v>
      </c>
      <c r="H285" s="85" t="s">
        <v>1670</v>
      </c>
      <c r="I285" s="86">
        <v>248</v>
      </c>
      <c r="J285" s="86">
        <v>40</v>
      </c>
      <c r="K285" s="87">
        <v>0.16129032258064516</v>
      </c>
      <c r="L285" s="87">
        <v>1</v>
      </c>
      <c r="M285" s="88">
        <v>0.16129032258064516</v>
      </c>
      <c r="N285" s="89"/>
      <c r="O285" s="87"/>
      <c r="P285" s="87"/>
      <c r="Q285" s="87"/>
      <c r="R285" s="87"/>
      <c r="S285" s="87">
        <v>0.16129032258064516</v>
      </c>
      <c r="T285" s="87"/>
      <c r="U285" s="87">
        <v>0.16129032258064516</v>
      </c>
      <c r="V285" s="90" t="s">
        <v>1874</v>
      </c>
    </row>
    <row r="286" ht="15" customHeight="1" spans="1:23" x14ac:dyDescent="0.25">
      <c r="A286" s="85">
        <v>27870</v>
      </c>
      <c r="B286" s="85" t="s">
        <v>1868</v>
      </c>
      <c r="C286" s="85" t="s">
        <v>380</v>
      </c>
      <c r="D286" s="85" t="s">
        <v>208</v>
      </c>
      <c r="E286" s="85" t="s">
        <v>169</v>
      </c>
      <c r="F286" s="85" t="s">
        <v>1084</v>
      </c>
      <c r="G286" s="85" t="s">
        <v>1685</v>
      </c>
      <c r="H286" s="85" t="s">
        <v>1875</v>
      </c>
      <c r="I286" s="86">
        <v>248</v>
      </c>
      <c r="J286" s="86">
        <v>15</v>
      </c>
      <c r="K286" s="87">
        <v>0.06048387096774194</v>
      </c>
      <c r="L286" s="87">
        <v>1</v>
      </c>
      <c r="M286" s="88">
        <v>0.06048387096774194</v>
      </c>
      <c r="N286" s="89">
        <v>1</v>
      </c>
      <c r="O286" s="87">
        <v>0.06048387096774194</v>
      </c>
      <c r="P286" s="87"/>
      <c r="Q286" s="87">
        <v>0.06048387096774194</v>
      </c>
      <c r="R286" s="87"/>
      <c r="S286" s="87">
        <v>0.06048387096774194</v>
      </c>
      <c r="T286" s="87"/>
      <c r="U286" s="87">
        <v>0.06048387096774194</v>
      </c>
      <c r="V286" s="90" t="s">
        <v>1876</v>
      </c>
    </row>
    <row r="287" ht="15" customHeight="1" spans="1:23" x14ac:dyDescent="0.25">
      <c r="A287" s="85">
        <v>27870</v>
      </c>
      <c r="B287" s="85" t="s">
        <v>1868</v>
      </c>
      <c r="C287" s="85" t="s">
        <v>380</v>
      </c>
      <c r="D287" s="85" t="s">
        <v>208</v>
      </c>
      <c r="E287" s="85" t="s">
        <v>169</v>
      </c>
      <c r="F287" s="85" t="s">
        <v>1084</v>
      </c>
      <c r="G287" s="85" t="s">
        <v>283</v>
      </c>
      <c r="H287" s="85" t="s">
        <v>1877</v>
      </c>
      <c r="I287" s="86">
        <v>248</v>
      </c>
      <c r="J287" s="86">
        <v>8</v>
      </c>
      <c r="K287" s="87">
        <v>0.03225806451612903</v>
      </c>
      <c r="L287" s="87">
        <v>1</v>
      </c>
      <c r="M287" s="88">
        <v>0.03225806451612903</v>
      </c>
      <c r="N287" s="89"/>
      <c r="O287" s="87"/>
      <c r="P287" s="87"/>
      <c r="Q287" s="87"/>
      <c r="R287" s="87"/>
      <c r="S287" s="87">
        <v>0.03225806451612903</v>
      </c>
      <c r="T287" s="87"/>
      <c r="U287" s="87">
        <v>0.03225806451612903</v>
      </c>
      <c r="V287" s="90" t="s">
        <v>1878</v>
      </c>
    </row>
    <row r="288" ht="15" customHeight="1" spans="1:23" x14ac:dyDescent="0.25">
      <c r="A288" s="85">
        <v>28067</v>
      </c>
      <c r="B288" s="85" t="s">
        <v>1879</v>
      </c>
      <c r="C288" s="85" t="s">
        <v>161</v>
      </c>
      <c r="D288" s="85" t="s">
        <v>339</v>
      </c>
      <c r="E288" s="85"/>
      <c r="F288" s="85" t="s">
        <v>155</v>
      </c>
      <c r="G288" s="85"/>
      <c r="H288" s="85"/>
      <c r="I288" s="86"/>
      <c r="J288" s="86"/>
      <c r="K288" s="87"/>
      <c r="L288" s="87"/>
      <c r="M288" s="88"/>
      <c r="N288" s="89"/>
      <c r="O288" s="87"/>
      <c r="P288" s="87"/>
      <c r="Q288" s="87"/>
      <c r="R288" s="87"/>
      <c r="S288" s="87">
        <v>1</v>
      </c>
      <c r="T288" s="87">
        <v>1</v>
      </c>
      <c r="U288" s="87"/>
      <c r="V288" s="90" t="s">
        <v>1084</v>
      </c>
    </row>
    <row r="289" ht="15" customHeight="1" spans="1:23" x14ac:dyDescent="0.25">
      <c r="A289" s="85">
        <v>28067</v>
      </c>
      <c r="B289" s="85" t="s">
        <v>1879</v>
      </c>
      <c r="C289" s="85" t="s">
        <v>161</v>
      </c>
      <c r="D289" s="85" t="s">
        <v>339</v>
      </c>
      <c r="E289" s="85"/>
      <c r="F289" s="85" t="s">
        <v>1084</v>
      </c>
      <c r="G289" s="85" t="s">
        <v>283</v>
      </c>
      <c r="H289" s="85" t="s">
        <v>1561</v>
      </c>
      <c r="I289" s="86">
        <v>248</v>
      </c>
      <c r="J289" s="86">
        <v>248</v>
      </c>
      <c r="K289" s="87">
        <v>1</v>
      </c>
      <c r="L289" s="87">
        <v>1</v>
      </c>
      <c r="M289" s="88">
        <v>1</v>
      </c>
      <c r="N289" s="89"/>
      <c r="O289" s="87"/>
      <c r="P289" s="87"/>
      <c r="Q289" s="87"/>
      <c r="R289" s="87"/>
      <c r="S289" s="87">
        <v>1</v>
      </c>
      <c r="T289" s="87"/>
      <c r="U289" s="87">
        <v>0</v>
      </c>
      <c r="V289" s="90" t="s">
        <v>1084</v>
      </c>
    </row>
    <row r="290" ht="15" customHeight="1" spans="1:23" x14ac:dyDescent="0.25">
      <c r="A290" s="85">
        <v>28084</v>
      </c>
      <c r="B290" s="85" t="s">
        <v>1880</v>
      </c>
      <c r="C290" s="85" t="s">
        <v>965</v>
      </c>
      <c r="D290" s="85" t="s">
        <v>176</v>
      </c>
      <c r="E290" s="85"/>
      <c r="F290" s="85" t="s">
        <v>155</v>
      </c>
      <c r="G290" s="85"/>
      <c r="H290" s="85"/>
      <c r="I290" s="86"/>
      <c r="J290" s="86"/>
      <c r="K290" s="87"/>
      <c r="L290" s="87"/>
      <c r="M290" s="88"/>
      <c r="N290" s="89"/>
      <c r="O290" s="87"/>
      <c r="P290" s="87"/>
      <c r="Q290" s="87"/>
      <c r="R290" s="87"/>
      <c r="S290" s="87">
        <v>1</v>
      </c>
      <c r="T290" s="87">
        <v>1</v>
      </c>
      <c r="U290" s="87">
        <v>1</v>
      </c>
      <c r="V290" s="90" t="s">
        <v>1881</v>
      </c>
    </row>
    <row r="291" ht="15" customHeight="1" spans="1:23" x14ac:dyDescent="0.25">
      <c r="A291" s="85">
        <v>28084</v>
      </c>
      <c r="B291" s="85" t="s">
        <v>1880</v>
      </c>
      <c r="C291" s="85" t="s">
        <v>965</v>
      </c>
      <c r="D291" s="85" t="s">
        <v>176</v>
      </c>
      <c r="E291" s="85"/>
      <c r="F291" s="85" t="s">
        <v>1084</v>
      </c>
      <c r="G291" s="85" t="s">
        <v>283</v>
      </c>
      <c r="H291" s="85" t="s">
        <v>1561</v>
      </c>
      <c r="I291" s="86">
        <v>248</v>
      </c>
      <c r="J291" s="86">
        <v>248</v>
      </c>
      <c r="K291" s="87">
        <v>1</v>
      </c>
      <c r="L291" s="87">
        <v>1</v>
      </c>
      <c r="M291" s="88">
        <v>1</v>
      </c>
      <c r="N291" s="89"/>
      <c r="O291" s="87"/>
      <c r="P291" s="87"/>
      <c r="Q291" s="87"/>
      <c r="R291" s="87"/>
      <c r="S291" s="87">
        <v>1</v>
      </c>
      <c r="T291" s="87"/>
      <c r="U291" s="87">
        <v>1</v>
      </c>
      <c r="V291" s="90" t="s">
        <v>1881</v>
      </c>
    </row>
    <row r="292" ht="15" customHeight="1" spans="1:23" x14ac:dyDescent="0.25">
      <c r="A292" s="85">
        <v>28372</v>
      </c>
      <c r="B292" s="85" t="s">
        <v>1882</v>
      </c>
      <c r="C292" s="85" t="s">
        <v>965</v>
      </c>
      <c r="D292" s="85" t="s">
        <v>1025</v>
      </c>
      <c r="E292" s="85"/>
      <c r="F292" s="85" t="s">
        <v>155</v>
      </c>
      <c r="G292" s="85"/>
      <c r="H292" s="85"/>
      <c r="I292" s="86"/>
      <c r="J292" s="86"/>
      <c r="K292" s="87"/>
      <c r="L292" s="87"/>
      <c r="M292" s="88"/>
      <c r="N292" s="89"/>
      <c r="O292" s="87"/>
      <c r="P292" s="87"/>
      <c r="Q292" s="87"/>
      <c r="R292" s="87"/>
      <c r="S292" s="87">
        <v>1</v>
      </c>
      <c r="T292" s="87">
        <v>1</v>
      </c>
      <c r="U292" s="87">
        <v>1</v>
      </c>
      <c r="V292" s="90" t="s">
        <v>1883</v>
      </c>
    </row>
    <row r="293" ht="15" customHeight="1" spans="1:23" x14ac:dyDescent="0.25">
      <c r="A293" s="85">
        <v>28372</v>
      </c>
      <c r="B293" s="85" t="s">
        <v>1882</v>
      </c>
      <c r="C293" s="85" t="s">
        <v>965</v>
      </c>
      <c r="D293" s="85" t="s">
        <v>1025</v>
      </c>
      <c r="E293" s="85"/>
      <c r="F293" s="85" t="s">
        <v>1084</v>
      </c>
      <c r="G293" s="85" t="s">
        <v>283</v>
      </c>
      <c r="H293" s="85" t="s">
        <v>1561</v>
      </c>
      <c r="I293" s="86">
        <v>248</v>
      </c>
      <c r="J293" s="86">
        <v>248</v>
      </c>
      <c r="K293" s="87">
        <v>1</v>
      </c>
      <c r="L293" s="87">
        <v>1</v>
      </c>
      <c r="M293" s="88">
        <v>1</v>
      </c>
      <c r="N293" s="89"/>
      <c r="O293" s="87"/>
      <c r="P293" s="87"/>
      <c r="Q293" s="87"/>
      <c r="R293" s="87"/>
      <c r="S293" s="87">
        <v>1</v>
      </c>
      <c r="T293" s="87"/>
      <c r="U293" s="87">
        <v>1</v>
      </c>
      <c r="V293" s="90" t="s">
        <v>1884</v>
      </c>
    </row>
    <row r="294" ht="15" customHeight="1" spans="1:23" x14ac:dyDescent="0.25">
      <c r="A294" s="85">
        <v>28383</v>
      </c>
      <c r="B294" s="85" t="s">
        <v>1885</v>
      </c>
      <c r="C294" s="85" t="s">
        <v>380</v>
      </c>
      <c r="D294" s="85" t="s">
        <v>888</v>
      </c>
      <c r="E294" s="85"/>
      <c r="F294" s="85" t="s">
        <v>155</v>
      </c>
      <c r="G294" s="85"/>
      <c r="H294" s="85"/>
      <c r="I294" s="86"/>
      <c r="J294" s="86"/>
      <c r="K294" s="87"/>
      <c r="L294" s="87"/>
      <c r="M294" s="88"/>
      <c r="N294" s="89"/>
      <c r="O294" s="87"/>
      <c r="P294" s="87"/>
      <c r="Q294" s="87"/>
      <c r="R294" s="87"/>
      <c r="S294" s="87">
        <v>1</v>
      </c>
      <c r="T294" s="87">
        <v>1</v>
      </c>
      <c r="U294" s="87">
        <v>1</v>
      </c>
      <c r="V294" s="90" t="s">
        <v>1622</v>
      </c>
    </row>
    <row r="295" ht="15" customHeight="1" spans="1:23" x14ac:dyDescent="0.25">
      <c r="A295" s="85">
        <v>28383</v>
      </c>
      <c r="B295" s="85" t="s">
        <v>1885</v>
      </c>
      <c r="C295" s="85" t="s">
        <v>380</v>
      </c>
      <c r="D295" s="85" t="s">
        <v>888</v>
      </c>
      <c r="E295" s="85"/>
      <c r="F295" s="85" t="s">
        <v>1084</v>
      </c>
      <c r="G295" s="85" t="s">
        <v>283</v>
      </c>
      <c r="H295" s="85" t="s">
        <v>1561</v>
      </c>
      <c r="I295" s="86">
        <v>248</v>
      </c>
      <c r="J295" s="86">
        <v>248</v>
      </c>
      <c r="K295" s="87">
        <v>1</v>
      </c>
      <c r="L295" s="87">
        <v>1</v>
      </c>
      <c r="M295" s="88">
        <v>1</v>
      </c>
      <c r="N295" s="89"/>
      <c r="O295" s="87"/>
      <c r="P295" s="87"/>
      <c r="Q295" s="87"/>
      <c r="R295" s="87"/>
      <c r="S295" s="87">
        <v>1</v>
      </c>
      <c r="T295" s="87"/>
      <c r="U295" s="87">
        <v>1</v>
      </c>
      <c r="V295" s="90" t="s">
        <v>1622</v>
      </c>
    </row>
    <row r="296" ht="15" customHeight="1" spans="1:23" x14ac:dyDescent="0.25">
      <c r="A296" s="85">
        <v>28391</v>
      </c>
      <c r="B296" s="85" t="s">
        <v>1886</v>
      </c>
      <c r="C296" s="85" t="s">
        <v>380</v>
      </c>
      <c r="D296" s="85" t="s">
        <v>681</v>
      </c>
      <c r="E296" s="85"/>
      <c r="F296" s="85" t="s">
        <v>155</v>
      </c>
      <c r="G296" s="85"/>
      <c r="H296" s="85"/>
      <c r="I296" s="86"/>
      <c r="J296" s="86"/>
      <c r="K296" s="87"/>
      <c r="L296" s="87"/>
      <c r="M296" s="88"/>
      <c r="N296" s="89"/>
      <c r="O296" s="87"/>
      <c r="P296" s="87"/>
      <c r="Q296" s="87"/>
      <c r="R296" s="87"/>
      <c r="S296" s="87">
        <v>0.6604838709677419</v>
      </c>
      <c r="T296" s="87">
        <v>0.6604838709677419</v>
      </c>
      <c r="U296" s="87">
        <v>0.6604838709677419</v>
      </c>
      <c r="V296" s="90" t="s">
        <v>1887</v>
      </c>
    </row>
    <row r="297" ht="15" customHeight="1" spans="1:23" x14ac:dyDescent="0.25">
      <c r="A297" s="85">
        <v>28391</v>
      </c>
      <c r="B297" s="85" t="s">
        <v>1886</v>
      </c>
      <c r="C297" s="85" t="s">
        <v>380</v>
      </c>
      <c r="D297" s="85" t="s">
        <v>681</v>
      </c>
      <c r="E297" s="85"/>
      <c r="F297" s="85" t="s">
        <v>1084</v>
      </c>
      <c r="G297" s="85" t="s">
        <v>169</v>
      </c>
      <c r="H297" s="85" t="s">
        <v>1561</v>
      </c>
      <c r="I297" s="86">
        <v>248</v>
      </c>
      <c r="J297" s="86">
        <v>75</v>
      </c>
      <c r="K297" s="87">
        <v>0.3024193548387097</v>
      </c>
      <c r="L297" s="87">
        <v>0.8</v>
      </c>
      <c r="M297" s="88">
        <v>0.24193548387096775</v>
      </c>
      <c r="N297" s="89"/>
      <c r="O297" s="87"/>
      <c r="P297" s="87"/>
      <c r="Q297" s="87"/>
      <c r="R297" s="87"/>
      <c r="S297" s="87">
        <v>0.24193548387096775</v>
      </c>
      <c r="T297" s="87"/>
      <c r="U297" s="87">
        <v>0.24193548387096775</v>
      </c>
      <c r="V297" s="90" t="s">
        <v>1888</v>
      </c>
    </row>
    <row r="298" ht="15" customHeight="1" spans="1:23" x14ac:dyDescent="0.25">
      <c r="A298" s="85">
        <v>28391</v>
      </c>
      <c r="B298" s="85" t="s">
        <v>1886</v>
      </c>
      <c r="C298" s="85" t="s">
        <v>380</v>
      </c>
      <c r="D298" s="85" t="s">
        <v>681</v>
      </c>
      <c r="E298" s="85"/>
      <c r="F298" s="85" t="s">
        <v>1084</v>
      </c>
      <c r="G298" s="85" t="s">
        <v>283</v>
      </c>
      <c r="H298" s="85" t="s">
        <v>935</v>
      </c>
      <c r="I298" s="86">
        <v>248</v>
      </c>
      <c r="J298" s="86">
        <v>173</v>
      </c>
      <c r="K298" s="87">
        <v>0.6975806451612904</v>
      </c>
      <c r="L298" s="87">
        <v>0.6</v>
      </c>
      <c r="M298" s="88">
        <v>0.41854838709677417</v>
      </c>
      <c r="N298" s="89"/>
      <c r="O298" s="87"/>
      <c r="P298" s="87"/>
      <c r="Q298" s="87"/>
      <c r="R298" s="87"/>
      <c r="S298" s="87">
        <v>0.41854838709677417</v>
      </c>
      <c r="T298" s="87"/>
      <c r="U298" s="87">
        <v>0.41854838709677417</v>
      </c>
      <c r="V298" s="90" t="s">
        <v>1889</v>
      </c>
    </row>
    <row r="299" ht="15" customHeight="1" spans="1:23" x14ac:dyDescent="0.25">
      <c r="A299" s="85">
        <v>28474</v>
      </c>
      <c r="B299" s="85" t="s">
        <v>1890</v>
      </c>
      <c r="C299" s="85" t="s">
        <v>380</v>
      </c>
      <c r="D299" s="85" t="s">
        <v>788</v>
      </c>
      <c r="E299" s="85"/>
      <c r="F299" s="85" t="s">
        <v>155</v>
      </c>
      <c r="G299" s="85"/>
      <c r="H299" s="85"/>
      <c r="I299" s="86"/>
      <c r="J299" s="86"/>
      <c r="K299" s="87"/>
      <c r="L299" s="87"/>
      <c r="M299" s="88"/>
      <c r="N299" s="89"/>
      <c r="O299" s="87"/>
      <c r="P299" s="87"/>
      <c r="Q299" s="87">
        <v>0.012096774193548387</v>
      </c>
      <c r="R299" s="87"/>
      <c r="S299" s="87">
        <v>1</v>
      </c>
      <c r="T299" s="87">
        <v>1</v>
      </c>
      <c r="U299" s="87">
        <v>1</v>
      </c>
      <c r="V299" s="90" t="s">
        <v>1891</v>
      </c>
    </row>
    <row r="300" ht="15" customHeight="1" spans="1:23" x14ac:dyDescent="0.25">
      <c r="A300" s="85">
        <v>28474</v>
      </c>
      <c r="B300" s="85" t="s">
        <v>1890</v>
      </c>
      <c r="C300" s="85" t="s">
        <v>380</v>
      </c>
      <c r="D300" s="85" t="s">
        <v>788</v>
      </c>
      <c r="E300" s="85"/>
      <c r="F300" s="85" t="s">
        <v>1084</v>
      </c>
      <c r="G300" s="85" t="s">
        <v>1892</v>
      </c>
      <c r="H300" s="85" t="s">
        <v>1561</v>
      </c>
      <c r="I300" s="86">
        <v>248</v>
      </c>
      <c r="J300" s="86">
        <v>4</v>
      </c>
      <c r="K300" s="87">
        <v>0.016129032258064516</v>
      </c>
      <c r="L300" s="87">
        <v>1</v>
      </c>
      <c r="M300" s="88">
        <v>0.016129032258064516</v>
      </c>
      <c r="N300" s="89"/>
      <c r="O300" s="87"/>
      <c r="P300" s="87"/>
      <c r="Q300" s="87"/>
      <c r="R300" s="87"/>
      <c r="S300" s="87">
        <v>0.016129032258064516</v>
      </c>
      <c r="T300" s="87"/>
      <c r="U300" s="87">
        <v>0.016129032258064516</v>
      </c>
      <c r="V300" s="90" t="s">
        <v>1893</v>
      </c>
    </row>
    <row r="301" ht="15" customHeight="1" spans="1:23" x14ac:dyDescent="0.25">
      <c r="A301" s="85">
        <v>28474</v>
      </c>
      <c r="B301" s="85" t="s">
        <v>1890</v>
      </c>
      <c r="C301" s="85" t="s">
        <v>380</v>
      </c>
      <c r="D301" s="85" t="s">
        <v>788</v>
      </c>
      <c r="E301" s="85"/>
      <c r="F301" s="85" t="s">
        <v>1084</v>
      </c>
      <c r="G301" s="85" t="s">
        <v>1858</v>
      </c>
      <c r="H301" s="85" t="s">
        <v>1858</v>
      </c>
      <c r="I301" s="86">
        <v>248</v>
      </c>
      <c r="J301" s="86">
        <v>1</v>
      </c>
      <c r="K301" s="87">
        <v>0.004032258064516129</v>
      </c>
      <c r="L301" s="87">
        <v>1</v>
      </c>
      <c r="M301" s="88">
        <v>0.004032258064516129</v>
      </c>
      <c r="N301" s="89"/>
      <c r="O301" s="87"/>
      <c r="P301" s="87"/>
      <c r="Q301" s="87"/>
      <c r="R301" s="87"/>
      <c r="S301" s="87">
        <v>0.004032258064516129</v>
      </c>
      <c r="T301" s="87"/>
      <c r="U301" s="87">
        <v>0.004032258064516129</v>
      </c>
      <c r="V301" s="90" t="s">
        <v>1894</v>
      </c>
    </row>
    <row r="302" ht="15" customHeight="1" spans="1:23" x14ac:dyDescent="0.25">
      <c r="A302" s="85">
        <v>28474</v>
      </c>
      <c r="B302" s="85" t="s">
        <v>1890</v>
      </c>
      <c r="C302" s="85" t="s">
        <v>380</v>
      </c>
      <c r="D302" s="85" t="s">
        <v>788</v>
      </c>
      <c r="E302" s="85"/>
      <c r="F302" s="85" t="s">
        <v>1084</v>
      </c>
      <c r="G302" s="85" t="s">
        <v>1895</v>
      </c>
      <c r="H302" s="85" t="s">
        <v>1860</v>
      </c>
      <c r="I302" s="86">
        <v>248</v>
      </c>
      <c r="J302" s="86">
        <v>132</v>
      </c>
      <c r="K302" s="87">
        <v>0.532258064516129</v>
      </c>
      <c r="L302" s="87">
        <v>1</v>
      </c>
      <c r="M302" s="88">
        <v>0.532258064516129</v>
      </c>
      <c r="N302" s="89"/>
      <c r="O302" s="87"/>
      <c r="P302" s="87"/>
      <c r="Q302" s="87"/>
      <c r="R302" s="87"/>
      <c r="S302" s="87">
        <v>0.532258064516129</v>
      </c>
      <c r="T302" s="87"/>
      <c r="U302" s="87">
        <v>0.532258064516129</v>
      </c>
      <c r="V302" s="90" t="s">
        <v>1896</v>
      </c>
    </row>
    <row r="303" ht="15" customHeight="1" spans="1:23" x14ac:dyDescent="0.25">
      <c r="A303" s="85">
        <v>28474</v>
      </c>
      <c r="B303" s="85" t="s">
        <v>1890</v>
      </c>
      <c r="C303" s="85" t="s">
        <v>380</v>
      </c>
      <c r="D303" s="85" t="s">
        <v>788</v>
      </c>
      <c r="E303" s="85"/>
      <c r="F303" s="85" t="s">
        <v>1084</v>
      </c>
      <c r="G303" s="85" t="s">
        <v>967</v>
      </c>
      <c r="H303" s="85" t="s">
        <v>1897</v>
      </c>
      <c r="I303" s="86">
        <v>248</v>
      </c>
      <c r="J303" s="86">
        <v>3</v>
      </c>
      <c r="K303" s="87">
        <v>0.012096774193548387</v>
      </c>
      <c r="L303" s="87">
        <v>1</v>
      </c>
      <c r="M303" s="88">
        <v>0.012096774193548387</v>
      </c>
      <c r="N303" s="89"/>
      <c r="O303" s="87"/>
      <c r="P303" s="87"/>
      <c r="Q303" s="87"/>
      <c r="R303" s="87"/>
      <c r="S303" s="87">
        <v>0.012096774193548387</v>
      </c>
      <c r="T303" s="87"/>
      <c r="U303" s="87">
        <v>0.012096774193548387</v>
      </c>
      <c r="V303" s="90" t="s">
        <v>1898</v>
      </c>
    </row>
    <row r="304" ht="15" customHeight="1" spans="1:23" x14ac:dyDescent="0.25">
      <c r="A304" s="85">
        <v>28474</v>
      </c>
      <c r="B304" s="85" t="s">
        <v>1890</v>
      </c>
      <c r="C304" s="85" t="s">
        <v>380</v>
      </c>
      <c r="D304" s="85" t="s">
        <v>788</v>
      </c>
      <c r="E304" s="85"/>
      <c r="F304" s="85" t="s">
        <v>1084</v>
      </c>
      <c r="G304" s="85" t="s">
        <v>1899</v>
      </c>
      <c r="H304" s="85" t="s">
        <v>1035</v>
      </c>
      <c r="I304" s="86">
        <v>248</v>
      </c>
      <c r="J304" s="86">
        <v>87</v>
      </c>
      <c r="K304" s="87">
        <v>0.35080645161290325</v>
      </c>
      <c r="L304" s="87">
        <v>1</v>
      </c>
      <c r="M304" s="88">
        <v>0.35080645161290325</v>
      </c>
      <c r="N304" s="89"/>
      <c r="O304" s="87"/>
      <c r="P304" s="87"/>
      <c r="Q304" s="87"/>
      <c r="R304" s="87"/>
      <c r="S304" s="87">
        <v>0.35080645161290325</v>
      </c>
      <c r="T304" s="87"/>
      <c r="U304" s="87">
        <v>0.35080645161290325</v>
      </c>
      <c r="V304" s="90" t="s">
        <v>1900</v>
      </c>
    </row>
    <row r="305" ht="15" customHeight="1" spans="1:23" x14ac:dyDescent="0.25">
      <c r="A305" s="85">
        <v>28474</v>
      </c>
      <c r="B305" s="85" t="s">
        <v>1890</v>
      </c>
      <c r="C305" s="85" t="s">
        <v>380</v>
      </c>
      <c r="D305" s="85" t="s">
        <v>788</v>
      </c>
      <c r="E305" s="85"/>
      <c r="F305" s="85" t="s">
        <v>1084</v>
      </c>
      <c r="G305" s="85" t="s">
        <v>1682</v>
      </c>
      <c r="H305" s="85" t="s">
        <v>1678</v>
      </c>
      <c r="I305" s="86">
        <v>248</v>
      </c>
      <c r="J305" s="86">
        <v>3</v>
      </c>
      <c r="K305" s="87">
        <v>0.012096774193548387</v>
      </c>
      <c r="L305" s="87">
        <v>1</v>
      </c>
      <c r="M305" s="88">
        <v>0.012096774193548387</v>
      </c>
      <c r="N305" s="89">
        <v>1</v>
      </c>
      <c r="O305" s="87">
        <v>0.012096774193548387</v>
      </c>
      <c r="P305" s="87"/>
      <c r="Q305" s="87">
        <v>0.012096774193548387</v>
      </c>
      <c r="R305" s="87"/>
      <c r="S305" s="87">
        <v>0.012096774193548387</v>
      </c>
      <c r="T305" s="87"/>
      <c r="U305" s="87">
        <v>0.012096774193548387</v>
      </c>
      <c r="V305" s="90" t="s">
        <v>1901</v>
      </c>
    </row>
    <row r="306" ht="15" customHeight="1" spans="1:23" x14ac:dyDescent="0.25">
      <c r="A306" s="85">
        <v>28474</v>
      </c>
      <c r="B306" s="85" t="s">
        <v>1890</v>
      </c>
      <c r="C306" s="85" t="s">
        <v>380</v>
      </c>
      <c r="D306" s="85" t="s">
        <v>788</v>
      </c>
      <c r="E306" s="85"/>
      <c r="F306" s="85" t="s">
        <v>1084</v>
      </c>
      <c r="G306" s="85" t="s">
        <v>283</v>
      </c>
      <c r="H306" s="85" t="s">
        <v>1902</v>
      </c>
      <c r="I306" s="86">
        <v>248</v>
      </c>
      <c r="J306" s="86">
        <v>18</v>
      </c>
      <c r="K306" s="87">
        <v>0.07258064516129033</v>
      </c>
      <c r="L306" s="87">
        <v>1</v>
      </c>
      <c r="M306" s="88">
        <v>0.07258064516129033</v>
      </c>
      <c r="N306" s="89"/>
      <c r="O306" s="87"/>
      <c r="P306" s="87"/>
      <c r="Q306" s="87"/>
      <c r="R306" s="87"/>
      <c r="S306" s="87">
        <v>0.07258064516129033</v>
      </c>
      <c r="T306" s="87"/>
      <c r="U306" s="87">
        <v>0.07258064516129033</v>
      </c>
      <c r="V306" s="90" t="s">
        <v>1903</v>
      </c>
    </row>
    <row r="307" ht="15" customHeight="1" spans="1:23" x14ac:dyDescent="0.25">
      <c r="A307" s="85">
        <v>28776</v>
      </c>
      <c r="B307" s="85" t="s">
        <v>1904</v>
      </c>
      <c r="C307" s="85" t="s">
        <v>380</v>
      </c>
      <c r="D307" s="85" t="s">
        <v>619</v>
      </c>
      <c r="E307" s="85"/>
      <c r="F307" s="85" t="s">
        <v>155</v>
      </c>
      <c r="G307" s="85"/>
      <c r="H307" s="85"/>
      <c r="I307" s="86"/>
      <c r="J307" s="86"/>
      <c r="K307" s="87"/>
      <c r="L307" s="87"/>
      <c r="M307" s="88"/>
      <c r="N307" s="89"/>
      <c r="O307" s="87"/>
      <c r="P307" s="87"/>
      <c r="Q307" s="87"/>
      <c r="R307" s="87"/>
      <c r="S307" s="87">
        <v>1</v>
      </c>
      <c r="T307" s="87">
        <v>1</v>
      </c>
      <c r="U307" s="87">
        <v>1</v>
      </c>
      <c r="V307" s="90" t="s">
        <v>1905</v>
      </c>
    </row>
    <row r="308" ht="15" customHeight="1" spans="1:23" x14ac:dyDescent="0.25">
      <c r="A308" s="85">
        <v>28776</v>
      </c>
      <c r="B308" s="85" t="s">
        <v>1904</v>
      </c>
      <c r="C308" s="85" t="s">
        <v>380</v>
      </c>
      <c r="D308" s="85" t="s">
        <v>619</v>
      </c>
      <c r="E308" s="85"/>
      <c r="F308" s="85" t="s">
        <v>1084</v>
      </c>
      <c r="G308" s="85" t="s">
        <v>283</v>
      </c>
      <c r="H308" s="85" t="s">
        <v>1561</v>
      </c>
      <c r="I308" s="86">
        <v>248</v>
      </c>
      <c r="J308" s="86">
        <v>248</v>
      </c>
      <c r="K308" s="87">
        <v>1</v>
      </c>
      <c r="L308" s="87">
        <v>1</v>
      </c>
      <c r="M308" s="88">
        <v>1</v>
      </c>
      <c r="N308" s="89"/>
      <c r="O308" s="87"/>
      <c r="P308" s="87"/>
      <c r="Q308" s="87"/>
      <c r="R308" s="87"/>
      <c r="S308" s="87">
        <v>1</v>
      </c>
      <c r="T308" s="87"/>
      <c r="U308" s="87">
        <v>1</v>
      </c>
      <c r="V308" s="90" t="s">
        <v>1905</v>
      </c>
    </row>
    <row r="309" ht="15" customHeight="1" spans="1:23" x14ac:dyDescent="0.25">
      <c r="A309" s="85">
        <v>28846</v>
      </c>
      <c r="B309" s="85" t="s">
        <v>1906</v>
      </c>
      <c r="C309" s="85" t="s">
        <v>380</v>
      </c>
      <c r="D309" s="85" t="s">
        <v>480</v>
      </c>
      <c r="E309" s="85"/>
      <c r="F309" s="85" t="s">
        <v>155</v>
      </c>
      <c r="G309" s="85"/>
      <c r="H309" s="85"/>
      <c r="I309" s="86"/>
      <c r="J309" s="86"/>
      <c r="K309" s="87"/>
      <c r="L309" s="87"/>
      <c r="M309" s="88"/>
      <c r="N309" s="89"/>
      <c r="O309" s="87"/>
      <c r="P309" s="87"/>
      <c r="Q309" s="87">
        <v>0.11088709677419355</v>
      </c>
      <c r="R309" s="87">
        <v>0.1310483870967742</v>
      </c>
      <c r="S309" s="87">
        <v>0.1592741935483871</v>
      </c>
      <c r="T309" s="87">
        <v>0.29032258064516125</v>
      </c>
      <c r="U309" s="87"/>
      <c r="V309" s="90" t="s">
        <v>1907</v>
      </c>
    </row>
    <row r="310" ht="15" customHeight="1" spans="1:23" x14ac:dyDescent="0.25">
      <c r="A310" s="85">
        <v>28846</v>
      </c>
      <c r="B310" s="85" t="s">
        <v>1906</v>
      </c>
      <c r="C310" s="85" t="s">
        <v>380</v>
      </c>
      <c r="D310" s="85" t="s">
        <v>480</v>
      </c>
      <c r="E310" s="85"/>
      <c r="F310" s="85" t="s">
        <v>1084</v>
      </c>
      <c r="G310" s="85" t="s">
        <v>1908</v>
      </c>
      <c r="H310" s="85" t="s">
        <v>1561</v>
      </c>
      <c r="I310" s="86">
        <v>248</v>
      </c>
      <c r="J310" s="86">
        <v>7</v>
      </c>
      <c r="K310" s="87">
        <v>0.028225806451612902</v>
      </c>
      <c r="L310" s="87">
        <v>1</v>
      </c>
      <c r="M310" s="88">
        <v>0.028225806451612902</v>
      </c>
      <c r="N310" s="89">
        <v>1</v>
      </c>
      <c r="O310" s="87">
        <v>0.028225806451612902</v>
      </c>
      <c r="P310" s="87"/>
      <c r="Q310" s="87">
        <v>0.028225806451612902</v>
      </c>
      <c r="R310" s="87"/>
      <c r="S310" s="87">
        <v>0.028225806451612902</v>
      </c>
      <c r="T310" s="87"/>
      <c r="U310" s="87">
        <v>0</v>
      </c>
      <c r="V310" s="90" t="s">
        <v>1909</v>
      </c>
    </row>
    <row r="311" ht="15" customHeight="1" spans="1:23" x14ac:dyDescent="0.25">
      <c r="A311" s="85">
        <v>28846</v>
      </c>
      <c r="B311" s="85" t="s">
        <v>1906</v>
      </c>
      <c r="C311" s="85" t="s">
        <v>380</v>
      </c>
      <c r="D311" s="85" t="s">
        <v>480</v>
      </c>
      <c r="E311" s="85"/>
      <c r="F311" s="85" t="s">
        <v>1084</v>
      </c>
      <c r="G311" s="85" t="s">
        <v>1910</v>
      </c>
      <c r="H311" s="85" t="s">
        <v>1911</v>
      </c>
      <c r="I311" s="86">
        <v>248</v>
      </c>
      <c r="J311" s="86">
        <v>41</v>
      </c>
      <c r="K311" s="87">
        <v>0.16532258064516128</v>
      </c>
      <c r="L311" s="87">
        <v>1</v>
      </c>
      <c r="M311" s="88">
        <v>0.16532258064516128</v>
      </c>
      <c r="N311" s="89">
        <v>1</v>
      </c>
      <c r="O311" s="87">
        <v>0.16532258064516128</v>
      </c>
      <c r="P311" s="87"/>
      <c r="Q311" s="87">
        <v>0.08266129032258064</v>
      </c>
      <c r="R311" s="87">
        <v>0.08266129032258064</v>
      </c>
      <c r="S311" s="87">
        <v>0.08266129032258064</v>
      </c>
      <c r="T311" s="87"/>
      <c r="U311" s="87">
        <v>0</v>
      </c>
      <c r="V311" s="90" t="s">
        <v>1912</v>
      </c>
    </row>
    <row r="312" ht="15" customHeight="1" spans="1:23" x14ac:dyDescent="0.25">
      <c r="A312" s="85">
        <v>28846</v>
      </c>
      <c r="B312" s="85" t="s">
        <v>1906</v>
      </c>
      <c r="C312" s="85" t="s">
        <v>380</v>
      </c>
      <c r="D312" s="85" t="s">
        <v>480</v>
      </c>
      <c r="E312" s="85"/>
      <c r="F312" s="85" t="s">
        <v>1084</v>
      </c>
      <c r="G312" s="85" t="s">
        <v>480</v>
      </c>
      <c r="H312" s="85" t="s">
        <v>1913</v>
      </c>
      <c r="I312" s="86">
        <v>248</v>
      </c>
      <c r="J312" s="86">
        <v>24</v>
      </c>
      <c r="K312" s="87">
        <v>0.0967741935483871</v>
      </c>
      <c r="L312" s="87">
        <v>1</v>
      </c>
      <c r="M312" s="88">
        <v>0.0967741935483871</v>
      </c>
      <c r="N312" s="89">
        <v>0.5</v>
      </c>
      <c r="O312" s="87">
        <v>0.04838709677419355</v>
      </c>
      <c r="P312" s="87"/>
      <c r="Q312" s="87"/>
      <c r="R312" s="87">
        <v>0.04838709677419355</v>
      </c>
      <c r="S312" s="87">
        <v>0.04838709677419355</v>
      </c>
      <c r="T312" s="87"/>
      <c r="U312" s="87">
        <v>0</v>
      </c>
      <c r="V312" s="90" t="s">
        <v>1914</v>
      </c>
    </row>
    <row r="313" ht="15" customHeight="1" spans="1:23" x14ac:dyDescent="0.25">
      <c r="A313" s="85">
        <v>28863</v>
      </c>
      <c r="B313" s="85" t="s">
        <v>1915</v>
      </c>
      <c r="C313" s="85" t="s">
        <v>161</v>
      </c>
      <c r="D313" s="85" t="s">
        <v>213</v>
      </c>
      <c r="E313" s="85"/>
      <c r="F313" s="85" t="s">
        <v>155</v>
      </c>
      <c r="G313" s="85"/>
      <c r="H313" s="85"/>
      <c r="I313" s="86"/>
      <c r="J313" s="86"/>
      <c r="K313" s="87"/>
      <c r="L313" s="87"/>
      <c r="M313" s="88"/>
      <c r="N313" s="89"/>
      <c r="O313" s="87"/>
      <c r="P313" s="87"/>
      <c r="Q313" s="87">
        <v>0.5000000000000001</v>
      </c>
      <c r="R313" s="87"/>
      <c r="S313" s="87">
        <v>0.8</v>
      </c>
      <c r="T313" s="87">
        <v>0.8</v>
      </c>
      <c r="U313" s="87">
        <v>0.79664</v>
      </c>
      <c r="V313" s="90" t="s">
        <v>1916</v>
      </c>
    </row>
    <row r="314" ht="15" customHeight="1" spans="1:23" x14ac:dyDescent="0.25">
      <c r="A314" s="85">
        <v>28863</v>
      </c>
      <c r="B314" s="85" t="s">
        <v>1915</v>
      </c>
      <c r="C314" s="85" t="s">
        <v>161</v>
      </c>
      <c r="D314" s="85" t="s">
        <v>213</v>
      </c>
      <c r="E314" s="85"/>
      <c r="F314" s="85" t="s">
        <v>1084</v>
      </c>
      <c r="G314" s="85" t="s">
        <v>169</v>
      </c>
      <c r="H314" s="85" t="s">
        <v>1561</v>
      </c>
      <c r="I314" s="86">
        <v>248</v>
      </c>
      <c r="J314" s="86">
        <v>75</v>
      </c>
      <c r="K314" s="87">
        <v>0.3024193548387097</v>
      </c>
      <c r="L314" s="87">
        <v>0.8</v>
      </c>
      <c r="M314" s="88">
        <v>0.24193548387096775</v>
      </c>
      <c r="N314" s="89"/>
      <c r="O314" s="87"/>
      <c r="P314" s="87"/>
      <c r="Q314" s="87"/>
      <c r="R314" s="87"/>
      <c r="S314" s="87">
        <v>0.24193548387096775</v>
      </c>
      <c r="T314" s="87"/>
      <c r="U314" s="87">
        <v>0.2409193548387097</v>
      </c>
      <c r="V314" s="90" t="s">
        <v>1917</v>
      </c>
    </row>
    <row r="315" ht="15" customHeight="1" spans="1:23" x14ac:dyDescent="0.25">
      <c r="A315" s="85">
        <v>28863</v>
      </c>
      <c r="B315" s="85" t="s">
        <v>1915</v>
      </c>
      <c r="C315" s="85" t="s">
        <v>161</v>
      </c>
      <c r="D315" s="85" t="s">
        <v>213</v>
      </c>
      <c r="E315" s="85"/>
      <c r="F315" s="85" t="s">
        <v>1084</v>
      </c>
      <c r="G315" s="85" t="s">
        <v>1918</v>
      </c>
      <c r="H315" s="85" t="s">
        <v>935</v>
      </c>
      <c r="I315" s="86">
        <v>248</v>
      </c>
      <c r="J315" s="86">
        <v>136</v>
      </c>
      <c r="K315" s="87">
        <v>0.5483870967741935</v>
      </c>
      <c r="L315" s="87">
        <v>0.8</v>
      </c>
      <c r="M315" s="88">
        <v>0.4387096774193549</v>
      </c>
      <c r="N315" s="89">
        <v>1</v>
      </c>
      <c r="O315" s="87">
        <v>0.43870967741935485</v>
      </c>
      <c r="P315" s="87"/>
      <c r="Q315" s="87">
        <v>0.4387096774193549</v>
      </c>
      <c r="R315" s="87"/>
      <c r="S315" s="87">
        <v>0.4387096774193549</v>
      </c>
      <c r="T315" s="87"/>
      <c r="U315" s="87">
        <v>0.4368670967741936</v>
      </c>
      <c r="V315" s="90" t="s">
        <v>1919</v>
      </c>
    </row>
    <row r="316" ht="15" customHeight="1" spans="1:23" x14ac:dyDescent="0.25">
      <c r="A316" s="85">
        <v>28863</v>
      </c>
      <c r="B316" s="85" t="s">
        <v>1915</v>
      </c>
      <c r="C316" s="85" t="s">
        <v>161</v>
      </c>
      <c r="D316" s="85" t="s">
        <v>213</v>
      </c>
      <c r="E316" s="85"/>
      <c r="F316" s="85" t="s">
        <v>1084</v>
      </c>
      <c r="G316" s="85" t="s">
        <v>1682</v>
      </c>
      <c r="H316" s="85" t="s">
        <v>1920</v>
      </c>
      <c r="I316" s="86">
        <v>248</v>
      </c>
      <c r="J316" s="86">
        <v>19</v>
      </c>
      <c r="K316" s="87">
        <v>0.07661290322580645</v>
      </c>
      <c r="L316" s="87">
        <v>0.8</v>
      </c>
      <c r="M316" s="88">
        <v>0.061290322580645165</v>
      </c>
      <c r="N316" s="89">
        <v>1</v>
      </c>
      <c r="O316" s="87">
        <v>0.061290322580645165</v>
      </c>
      <c r="P316" s="87"/>
      <c r="Q316" s="87">
        <v>0.061290322580645165</v>
      </c>
      <c r="R316" s="87"/>
      <c r="S316" s="87">
        <v>0.061290322580645165</v>
      </c>
      <c r="T316" s="87"/>
      <c r="U316" s="87">
        <v>0.06103290322580646</v>
      </c>
      <c r="V316" s="90" t="s">
        <v>1921</v>
      </c>
    </row>
    <row r="317" ht="15" customHeight="1" spans="1:23" x14ac:dyDescent="0.25">
      <c r="A317" s="85">
        <v>28863</v>
      </c>
      <c r="B317" s="85" t="s">
        <v>1915</v>
      </c>
      <c r="C317" s="85" t="s">
        <v>161</v>
      </c>
      <c r="D317" s="85" t="s">
        <v>213</v>
      </c>
      <c r="E317" s="85"/>
      <c r="F317" s="85" t="s">
        <v>1084</v>
      </c>
      <c r="G317" s="85" t="s">
        <v>283</v>
      </c>
      <c r="H317" s="85" t="s">
        <v>1902</v>
      </c>
      <c r="I317" s="86">
        <v>248</v>
      </c>
      <c r="J317" s="86">
        <v>18</v>
      </c>
      <c r="K317" s="87">
        <v>0.07258064516129033</v>
      </c>
      <c r="L317" s="87">
        <v>0.8</v>
      </c>
      <c r="M317" s="88">
        <v>0.05806451612903226</v>
      </c>
      <c r="N317" s="89"/>
      <c r="O317" s="87"/>
      <c r="P317" s="87"/>
      <c r="Q317" s="87"/>
      <c r="R317" s="87"/>
      <c r="S317" s="87">
        <v>0.05806451612903226</v>
      </c>
      <c r="T317" s="87"/>
      <c r="U317" s="87">
        <v>0.057820645161290325</v>
      </c>
      <c r="V317" s="90" t="s">
        <v>1922</v>
      </c>
    </row>
    <row r="318" ht="15" customHeight="1" spans="1:23" x14ac:dyDescent="0.25">
      <c r="A318" s="85">
        <v>29762</v>
      </c>
      <c r="B318" s="85" t="s">
        <v>1923</v>
      </c>
      <c r="C318" s="85" t="s">
        <v>380</v>
      </c>
      <c r="D318" s="85" t="s">
        <v>386</v>
      </c>
      <c r="E318" s="85"/>
      <c r="F318" s="85" t="s">
        <v>155</v>
      </c>
      <c r="G318" s="85"/>
      <c r="H318" s="85"/>
      <c r="I318" s="86"/>
      <c r="J318" s="86"/>
      <c r="K318" s="87"/>
      <c r="L318" s="87"/>
      <c r="M318" s="88"/>
      <c r="N318" s="89"/>
      <c r="O318" s="87"/>
      <c r="P318" s="87"/>
      <c r="Q318" s="87"/>
      <c r="R318" s="87"/>
      <c r="S318" s="87">
        <v>1</v>
      </c>
      <c r="T318" s="87">
        <v>1</v>
      </c>
      <c r="U318" s="87"/>
      <c r="V318" s="90" t="s">
        <v>1084</v>
      </c>
    </row>
    <row r="319" ht="15" customHeight="1" spans="1:23" x14ac:dyDescent="0.25">
      <c r="A319" s="85">
        <v>29762</v>
      </c>
      <c r="B319" s="85" t="s">
        <v>1923</v>
      </c>
      <c r="C319" s="85" t="s">
        <v>380</v>
      </c>
      <c r="D319" s="85" t="s">
        <v>386</v>
      </c>
      <c r="E319" s="85"/>
      <c r="F319" s="85" t="s">
        <v>1084</v>
      </c>
      <c r="G319" s="85" t="s">
        <v>283</v>
      </c>
      <c r="H319" s="85" t="s">
        <v>1561</v>
      </c>
      <c r="I319" s="86">
        <v>248</v>
      </c>
      <c r="J319" s="86">
        <v>248</v>
      </c>
      <c r="K319" s="87">
        <v>1</v>
      </c>
      <c r="L319" s="87">
        <v>1</v>
      </c>
      <c r="M319" s="88">
        <v>1</v>
      </c>
      <c r="N319" s="89"/>
      <c r="O319" s="87"/>
      <c r="P319" s="87"/>
      <c r="Q319" s="87"/>
      <c r="R319" s="87"/>
      <c r="S319" s="87">
        <v>1</v>
      </c>
      <c r="T319" s="87"/>
      <c r="U319" s="87">
        <v>0</v>
      </c>
      <c r="V319" s="90" t="s">
        <v>1084</v>
      </c>
    </row>
    <row r="320" ht="15" customHeight="1" spans="1:23" x14ac:dyDescent="0.25">
      <c r="A320" s="85">
        <v>29887</v>
      </c>
      <c r="B320" s="85" t="s">
        <v>1924</v>
      </c>
      <c r="C320" s="85" t="s">
        <v>380</v>
      </c>
      <c r="D320" s="85" t="s">
        <v>547</v>
      </c>
      <c r="E320" s="85"/>
      <c r="F320" s="85" t="s">
        <v>155</v>
      </c>
      <c r="G320" s="85"/>
      <c r="H320" s="85"/>
      <c r="I320" s="86"/>
      <c r="J320" s="86"/>
      <c r="K320" s="87"/>
      <c r="L320" s="87"/>
      <c r="M320" s="88"/>
      <c r="N320" s="89"/>
      <c r="O320" s="87"/>
      <c r="P320" s="87"/>
      <c r="Q320" s="87"/>
      <c r="R320" s="87"/>
      <c r="S320" s="87">
        <v>1</v>
      </c>
      <c r="T320" s="87">
        <v>1</v>
      </c>
      <c r="U320" s="87"/>
      <c r="V320" s="90" t="s">
        <v>1084</v>
      </c>
    </row>
    <row r="321" ht="15" customHeight="1" spans="1:23" x14ac:dyDescent="0.25">
      <c r="A321" s="85">
        <v>29887</v>
      </c>
      <c r="B321" s="85" t="s">
        <v>1924</v>
      </c>
      <c r="C321" s="85" t="s">
        <v>380</v>
      </c>
      <c r="D321" s="85" t="s">
        <v>547</v>
      </c>
      <c r="E321" s="85"/>
      <c r="F321" s="85" t="s">
        <v>1084</v>
      </c>
      <c r="G321" s="85" t="s">
        <v>283</v>
      </c>
      <c r="H321" s="85" t="s">
        <v>1561</v>
      </c>
      <c r="I321" s="86">
        <v>248</v>
      </c>
      <c r="J321" s="86">
        <v>248</v>
      </c>
      <c r="K321" s="87">
        <v>1</v>
      </c>
      <c r="L321" s="87">
        <v>1</v>
      </c>
      <c r="M321" s="88">
        <v>1</v>
      </c>
      <c r="N321" s="89"/>
      <c r="O321" s="87"/>
      <c r="P321" s="87"/>
      <c r="Q321" s="87"/>
      <c r="R321" s="87"/>
      <c r="S321" s="87">
        <v>1</v>
      </c>
      <c r="T321" s="87"/>
      <c r="U321" s="87">
        <v>0</v>
      </c>
      <c r="V321" s="90" t="s">
        <v>1084</v>
      </c>
    </row>
    <row r="322" ht="15" customHeight="1" spans="1:23" x14ac:dyDescent="0.25">
      <c r="A322" s="85">
        <v>29896</v>
      </c>
      <c r="B322" s="85" t="s">
        <v>1925</v>
      </c>
      <c r="C322" s="85" t="s">
        <v>380</v>
      </c>
      <c r="D322" s="85" t="s">
        <v>672</v>
      </c>
      <c r="E322" s="85"/>
      <c r="F322" s="85" t="s">
        <v>155</v>
      </c>
      <c r="G322" s="85"/>
      <c r="H322" s="85"/>
      <c r="I322" s="86"/>
      <c r="J322" s="86"/>
      <c r="K322" s="87"/>
      <c r="L322" s="87"/>
      <c r="M322" s="88"/>
      <c r="N322" s="89"/>
      <c r="O322" s="87"/>
      <c r="P322" s="87"/>
      <c r="Q322" s="87"/>
      <c r="R322" s="87"/>
      <c r="S322" s="87">
        <v>0.8</v>
      </c>
      <c r="T322" s="87">
        <v>0.8</v>
      </c>
      <c r="U322" s="87"/>
      <c r="V322" s="90" t="s">
        <v>1084</v>
      </c>
    </row>
    <row r="323" ht="15" customHeight="1" spans="1:23" x14ac:dyDescent="0.25">
      <c r="A323" s="85">
        <v>29896</v>
      </c>
      <c r="B323" s="85" t="s">
        <v>1925</v>
      </c>
      <c r="C323" s="85" t="s">
        <v>380</v>
      </c>
      <c r="D323" s="85" t="s">
        <v>672</v>
      </c>
      <c r="E323" s="85"/>
      <c r="F323" s="85" t="s">
        <v>1084</v>
      </c>
      <c r="G323" s="85" t="s">
        <v>283</v>
      </c>
      <c r="H323" s="85" t="s">
        <v>1561</v>
      </c>
      <c r="I323" s="86">
        <v>248</v>
      </c>
      <c r="J323" s="86">
        <v>248</v>
      </c>
      <c r="K323" s="87">
        <v>1</v>
      </c>
      <c r="L323" s="87">
        <v>0.8</v>
      </c>
      <c r="M323" s="88">
        <v>0.8</v>
      </c>
      <c r="N323" s="89"/>
      <c r="O323" s="87"/>
      <c r="P323" s="87"/>
      <c r="Q323" s="87"/>
      <c r="R323" s="87"/>
      <c r="S323" s="87">
        <v>0.8</v>
      </c>
      <c r="T323" s="87"/>
      <c r="U323" s="87">
        <v>0</v>
      </c>
      <c r="V323" s="90" t="s">
        <v>1084</v>
      </c>
    </row>
    <row r="324" ht="15" customHeight="1" spans="1:23" x14ac:dyDescent="0.25">
      <c r="A324" s="85">
        <v>29931</v>
      </c>
      <c r="B324" s="85" t="s">
        <v>1926</v>
      </c>
      <c r="C324" s="85" t="s">
        <v>161</v>
      </c>
      <c r="D324" s="85" t="s">
        <v>213</v>
      </c>
      <c r="E324" s="85"/>
      <c r="F324" s="85" t="s">
        <v>155</v>
      </c>
      <c r="G324" s="85"/>
      <c r="H324" s="85"/>
      <c r="I324" s="86"/>
      <c r="J324" s="86"/>
      <c r="K324" s="87"/>
      <c r="L324" s="87"/>
      <c r="M324" s="88"/>
      <c r="N324" s="89"/>
      <c r="O324" s="87"/>
      <c r="P324" s="87"/>
      <c r="Q324" s="87"/>
      <c r="R324" s="87"/>
      <c r="S324" s="87">
        <v>1</v>
      </c>
      <c r="T324" s="87">
        <v>1</v>
      </c>
      <c r="U324" s="87"/>
      <c r="V324" s="90" t="s">
        <v>1084</v>
      </c>
    </row>
    <row r="325" ht="15" customHeight="1" spans="1:23" x14ac:dyDescent="0.25">
      <c r="A325" s="85">
        <v>29931</v>
      </c>
      <c r="B325" s="85" t="s">
        <v>1926</v>
      </c>
      <c r="C325" s="85" t="s">
        <v>161</v>
      </c>
      <c r="D325" s="85" t="s">
        <v>213</v>
      </c>
      <c r="E325" s="85"/>
      <c r="F325" s="85" t="s">
        <v>1084</v>
      </c>
      <c r="G325" s="85" t="s">
        <v>283</v>
      </c>
      <c r="H325" s="85" t="s">
        <v>1561</v>
      </c>
      <c r="I325" s="86">
        <v>248</v>
      </c>
      <c r="J325" s="86">
        <v>248</v>
      </c>
      <c r="K325" s="87">
        <v>1</v>
      </c>
      <c r="L325" s="87">
        <v>1</v>
      </c>
      <c r="M325" s="88">
        <v>1</v>
      </c>
      <c r="N325" s="89"/>
      <c r="O325" s="87"/>
      <c r="P325" s="87"/>
      <c r="Q325" s="87"/>
      <c r="R325" s="87"/>
      <c r="S325" s="87">
        <v>1</v>
      </c>
      <c r="T325" s="87"/>
      <c r="U325" s="87">
        <v>0</v>
      </c>
      <c r="V325" s="90" t="s">
        <v>1084</v>
      </c>
    </row>
    <row r="326" ht="15" customHeight="1" spans="1:23" x14ac:dyDescent="0.25">
      <c r="A326" s="85">
        <v>29956</v>
      </c>
      <c r="B326" s="85" t="s">
        <v>1927</v>
      </c>
      <c r="C326" s="85" t="s">
        <v>161</v>
      </c>
      <c r="D326" s="85" t="s">
        <v>213</v>
      </c>
      <c r="E326" s="85"/>
      <c r="F326" s="85" t="s">
        <v>155</v>
      </c>
      <c r="G326" s="85"/>
      <c r="H326" s="85"/>
      <c r="I326" s="86"/>
      <c r="J326" s="86"/>
      <c r="K326" s="87"/>
      <c r="L326" s="87"/>
      <c r="M326" s="88"/>
      <c r="N326" s="89"/>
      <c r="O326" s="87"/>
      <c r="P326" s="87"/>
      <c r="Q326" s="87"/>
      <c r="R326" s="87"/>
      <c r="S326" s="87">
        <v>1</v>
      </c>
      <c r="T326" s="87">
        <v>1</v>
      </c>
      <c r="U326" s="87">
        <v>1.0000000000000002</v>
      </c>
      <c r="V326" s="90" t="s">
        <v>1928</v>
      </c>
    </row>
    <row r="327" ht="15" customHeight="1" spans="1:23" x14ac:dyDescent="0.25">
      <c r="A327" s="85">
        <v>29956</v>
      </c>
      <c r="B327" s="85" t="s">
        <v>1927</v>
      </c>
      <c r="C327" s="85" t="s">
        <v>161</v>
      </c>
      <c r="D327" s="85" t="s">
        <v>213</v>
      </c>
      <c r="E327" s="85"/>
      <c r="F327" s="85" t="s">
        <v>1084</v>
      </c>
      <c r="G327" s="85" t="s">
        <v>283</v>
      </c>
      <c r="H327" s="85" t="s">
        <v>1561</v>
      </c>
      <c r="I327" s="86">
        <v>248</v>
      </c>
      <c r="J327" s="86">
        <v>248</v>
      </c>
      <c r="K327" s="87">
        <v>1</v>
      </c>
      <c r="L327" s="87">
        <v>1</v>
      </c>
      <c r="M327" s="88">
        <v>1</v>
      </c>
      <c r="N327" s="89"/>
      <c r="O327" s="87"/>
      <c r="P327" s="87"/>
      <c r="Q327" s="87"/>
      <c r="R327" s="87"/>
      <c r="S327" s="87">
        <v>1</v>
      </c>
      <c r="T327" s="87"/>
      <c r="U327" s="87">
        <v>1.0000000000000002</v>
      </c>
      <c r="V327" s="90" t="s">
        <v>1929</v>
      </c>
    </row>
    <row r="328" ht="15" customHeight="1" spans="1:23" x14ac:dyDescent="0.25">
      <c r="A328" s="85">
        <v>30141</v>
      </c>
      <c r="B328" s="85" t="s">
        <v>1930</v>
      </c>
      <c r="C328" s="85" t="s">
        <v>161</v>
      </c>
      <c r="D328" s="85" t="s">
        <v>208</v>
      </c>
      <c r="E328" s="85"/>
      <c r="F328" s="85" t="s">
        <v>155</v>
      </c>
      <c r="G328" s="85"/>
      <c r="H328" s="85"/>
      <c r="I328" s="86"/>
      <c r="J328" s="86"/>
      <c r="K328" s="87"/>
      <c r="L328" s="87"/>
      <c r="M328" s="88"/>
      <c r="N328" s="89"/>
      <c r="O328" s="87"/>
      <c r="P328" s="87"/>
      <c r="Q328" s="87"/>
      <c r="R328" s="87"/>
      <c r="S328" s="87">
        <v>1</v>
      </c>
      <c r="T328" s="87">
        <v>1</v>
      </c>
      <c r="U328" s="87"/>
      <c r="V328" s="90" t="s">
        <v>1084</v>
      </c>
    </row>
    <row r="329" ht="15" customHeight="1" spans="1:23" x14ac:dyDescent="0.25">
      <c r="A329" s="85">
        <v>30141</v>
      </c>
      <c r="B329" s="85" t="s">
        <v>1930</v>
      </c>
      <c r="C329" s="85" t="s">
        <v>161</v>
      </c>
      <c r="D329" s="85" t="s">
        <v>208</v>
      </c>
      <c r="E329" s="85"/>
      <c r="F329" s="85" t="s">
        <v>1084</v>
      </c>
      <c r="G329" s="85" t="s">
        <v>283</v>
      </c>
      <c r="H329" s="85" t="s">
        <v>1561</v>
      </c>
      <c r="I329" s="86">
        <v>248</v>
      </c>
      <c r="J329" s="86">
        <v>248</v>
      </c>
      <c r="K329" s="87">
        <v>1</v>
      </c>
      <c r="L329" s="87">
        <v>1</v>
      </c>
      <c r="M329" s="88">
        <v>1</v>
      </c>
      <c r="N329" s="89"/>
      <c r="O329" s="87"/>
      <c r="P329" s="87"/>
      <c r="Q329" s="87"/>
      <c r="R329" s="87"/>
      <c r="S329" s="87">
        <v>1</v>
      </c>
      <c r="T329" s="87"/>
      <c r="U329" s="87">
        <v>0</v>
      </c>
      <c r="V329" s="90" t="s">
        <v>1084</v>
      </c>
    </row>
    <row r="330" ht="15" customHeight="1" spans="1:23" x14ac:dyDescent="0.25">
      <c r="A330" s="85">
        <v>30185</v>
      </c>
      <c r="B330" s="85" t="s">
        <v>1931</v>
      </c>
      <c r="C330" s="85" t="s">
        <v>965</v>
      </c>
      <c r="D330" s="85" t="s">
        <v>1016</v>
      </c>
      <c r="E330" s="85"/>
      <c r="F330" s="85" t="s">
        <v>155</v>
      </c>
      <c r="G330" s="85"/>
      <c r="H330" s="85"/>
      <c r="I330" s="86"/>
      <c r="J330" s="86"/>
      <c r="K330" s="87"/>
      <c r="L330" s="87"/>
      <c r="M330" s="88"/>
      <c r="N330" s="89"/>
      <c r="O330" s="87"/>
      <c r="P330" s="87"/>
      <c r="Q330" s="87"/>
      <c r="R330" s="87"/>
      <c r="S330" s="87">
        <v>1</v>
      </c>
      <c r="T330" s="87">
        <v>1</v>
      </c>
      <c r="U330" s="87">
        <v>1</v>
      </c>
      <c r="V330" s="90" t="s">
        <v>1622</v>
      </c>
    </row>
    <row r="331" ht="15" customHeight="1" spans="1:23" x14ac:dyDescent="0.25">
      <c r="A331" s="85">
        <v>30185</v>
      </c>
      <c r="B331" s="85" t="s">
        <v>1931</v>
      </c>
      <c r="C331" s="85" t="s">
        <v>965</v>
      </c>
      <c r="D331" s="85" t="s">
        <v>1016</v>
      </c>
      <c r="E331" s="85"/>
      <c r="F331" s="85" t="s">
        <v>1084</v>
      </c>
      <c r="G331" s="85" t="s">
        <v>283</v>
      </c>
      <c r="H331" s="85" t="s">
        <v>1561</v>
      </c>
      <c r="I331" s="86">
        <v>248</v>
      </c>
      <c r="J331" s="86">
        <v>248</v>
      </c>
      <c r="K331" s="87">
        <v>1</v>
      </c>
      <c r="L331" s="87">
        <v>1</v>
      </c>
      <c r="M331" s="88">
        <v>1</v>
      </c>
      <c r="N331" s="89"/>
      <c r="O331" s="87"/>
      <c r="P331" s="87"/>
      <c r="Q331" s="87"/>
      <c r="R331" s="87"/>
      <c r="S331" s="87">
        <v>1</v>
      </c>
      <c r="T331" s="87"/>
      <c r="U331" s="87">
        <v>1</v>
      </c>
      <c r="V331" s="90" t="s">
        <v>1622</v>
      </c>
    </row>
    <row r="332" ht="15" customHeight="1" spans="1:23" x14ac:dyDescent="0.25">
      <c r="A332" s="85">
        <v>30189</v>
      </c>
      <c r="B332" s="85" t="s">
        <v>1932</v>
      </c>
      <c r="C332" s="85" t="s">
        <v>380</v>
      </c>
      <c r="D332" s="85" t="s">
        <v>208</v>
      </c>
      <c r="E332" s="85"/>
      <c r="F332" s="85" t="s">
        <v>155</v>
      </c>
      <c r="G332" s="85"/>
      <c r="H332" s="85"/>
      <c r="I332" s="86"/>
      <c r="J332" s="86"/>
      <c r="K332" s="87"/>
      <c r="L332" s="87"/>
      <c r="M332" s="88"/>
      <c r="N332" s="89"/>
      <c r="O332" s="87"/>
      <c r="P332" s="87"/>
      <c r="Q332" s="87"/>
      <c r="R332" s="87"/>
      <c r="S332" s="87">
        <v>1</v>
      </c>
      <c r="T332" s="87">
        <v>1</v>
      </c>
      <c r="U332" s="87">
        <v>1</v>
      </c>
      <c r="V332" s="90" t="s">
        <v>1933</v>
      </c>
    </row>
    <row r="333" ht="15" customHeight="1" spans="1:23" x14ac:dyDescent="0.25">
      <c r="A333" s="85">
        <v>30189</v>
      </c>
      <c r="B333" s="85" t="s">
        <v>1932</v>
      </c>
      <c r="C333" s="85" t="s">
        <v>380</v>
      </c>
      <c r="D333" s="85" t="s">
        <v>208</v>
      </c>
      <c r="E333" s="85"/>
      <c r="F333" s="85" t="s">
        <v>1084</v>
      </c>
      <c r="G333" s="85" t="s">
        <v>283</v>
      </c>
      <c r="H333" s="85" t="s">
        <v>1561</v>
      </c>
      <c r="I333" s="86">
        <v>248</v>
      </c>
      <c r="J333" s="86">
        <v>248</v>
      </c>
      <c r="K333" s="87">
        <v>1</v>
      </c>
      <c r="L333" s="87">
        <v>1</v>
      </c>
      <c r="M333" s="88">
        <v>1</v>
      </c>
      <c r="N333" s="89"/>
      <c r="O333" s="87"/>
      <c r="P333" s="87"/>
      <c r="Q333" s="87"/>
      <c r="R333" s="87"/>
      <c r="S333" s="87">
        <v>1</v>
      </c>
      <c r="T333" s="87"/>
      <c r="U333" s="87">
        <v>1</v>
      </c>
      <c r="V333" s="90" t="s">
        <v>1933</v>
      </c>
    </row>
    <row r="334" ht="15" customHeight="1" spans="1:23" x14ac:dyDescent="0.25">
      <c r="A334" s="85">
        <v>30564</v>
      </c>
      <c r="B334" s="85" t="s">
        <v>1934</v>
      </c>
      <c r="C334" s="85" t="s">
        <v>965</v>
      </c>
      <c r="D334" s="85" t="s">
        <v>208</v>
      </c>
      <c r="E334" s="85" t="s">
        <v>935</v>
      </c>
      <c r="F334" s="85" t="s">
        <v>155</v>
      </c>
      <c r="G334" s="85"/>
      <c r="H334" s="85"/>
      <c r="I334" s="86"/>
      <c r="J334" s="86"/>
      <c r="K334" s="87"/>
      <c r="L334" s="87"/>
      <c r="M334" s="88"/>
      <c r="N334" s="89"/>
      <c r="O334" s="87"/>
      <c r="P334" s="87"/>
      <c r="Q334" s="87"/>
      <c r="R334" s="87"/>
      <c r="S334" s="87">
        <v>0.6975806451612904</v>
      </c>
      <c r="T334" s="87">
        <v>0.6975806451612904</v>
      </c>
      <c r="U334" s="87">
        <v>0.6975806451612904</v>
      </c>
      <c r="V334" s="90" t="s">
        <v>1935</v>
      </c>
    </row>
    <row r="335" ht="15" customHeight="1" spans="1:23" x14ac:dyDescent="0.25">
      <c r="A335" s="85">
        <v>30564</v>
      </c>
      <c r="B335" s="85" t="s">
        <v>1934</v>
      </c>
      <c r="C335" s="85" t="s">
        <v>965</v>
      </c>
      <c r="D335" s="85" t="s">
        <v>208</v>
      </c>
      <c r="E335" s="85" t="s">
        <v>935</v>
      </c>
      <c r="F335" s="85" t="s">
        <v>1084</v>
      </c>
      <c r="G335" s="85" t="s">
        <v>283</v>
      </c>
      <c r="H335" s="85" t="s">
        <v>935</v>
      </c>
      <c r="I335" s="86">
        <v>248</v>
      </c>
      <c r="J335" s="86">
        <v>173</v>
      </c>
      <c r="K335" s="87">
        <v>0.6975806451612904</v>
      </c>
      <c r="L335" s="87">
        <v>1</v>
      </c>
      <c r="M335" s="88">
        <v>0.6975806451612904</v>
      </c>
      <c r="N335" s="89"/>
      <c r="O335" s="87"/>
      <c r="P335" s="87"/>
      <c r="Q335" s="87"/>
      <c r="R335" s="87"/>
      <c r="S335" s="87">
        <v>0.6975806451612904</v>
      </c>
      <c r="T335" s="87"/>
      <c r="U335" s="87">
        <v>0.6975806451612904</v>
      </c>
      <c r="V335" s="90" t="s">
        <v>1935</v>
      </c>
    </row>
    <row r="336" ht="15" customHeight="1" spans="1:23" x14ac:dyDescent="0.25">
      <c r="A336" s="85">
        <v>30687</v>
      </c>
      <c r="B336" s="85" t="s">
        <v>1936</v>
      </c>
      <c r="C336" s="85" t="s">
        <v>965</v>
      </c>
      <c r="D336" s="85" t="s">
        <v>1030</v>
      </c>
      <c r="E336" s="85"/>
      <c r="F336" s="85" t="s">
        <v>155</v>
      </c>
      <c r="G336" s="85"/>
      <c r="H336" s="85"/>
      <c r="I336" s="86"/>
      <c r="J336" s="86"/>
      <c r="K336" s="87"/>
      <c r="L336" s="87"/>
      <c r="M336" s="88"/>
      <c r="N336" s="89"/>
      <c r="O336" s="87"/>
      <c r="P336" s="87"/>
      <c r="Q336" s="87">
        <v>0.0008467741935483871</v>
      </c>
      <c r="R336" s="87"/>
      <c r="S336" s="87">
        <v>1</v>
      </c>
      <c r="T336" s="87">
        <v>1</v>
      </c>
      <c r="U336" s="87">
        <v>1</v>
      </c>
      <c r="V336" s="90" t="s">
        <v>1937</v>
      </c>
    </row>
    <row r="337" ht="15" customHeight="1" spans="1:23" x14ac:dyDescent="0.25">
      <c r="A337" s="85">
        <v>30687</v>
      </c>
      <c r="B337" s="85" t="s">
        <v>1936</v>
      </c>
      <c r="C337" s="85" t="s">
        <v>965</v>
      </c>
      <c r="D337" s="85" t="s">
        <v>1030</v>
      </c>
      <c r="E337" s="85"/>
      <c r="F337" s="85" t="s">
        <v>1084</v>
      </c>
      <c r="G337" s="85" t="s">
        <v>657</v>
      </c>
      <c r="H337" s="85" t="s">
        <v>1561</v>
      </c>
      <c r="I337" s="86">
        <v>248</v>
      </c>
      <c r="J337" s="86">
        <v>53</v>
      </c>
      <c r="K337" s="87">
        <v>0.21370967741935484</v>
      </c>
      <c r="L337" s="87">
        <v>1</v>
      </c>
      <c r="M337" s="88">
        <v>0.21370967741935484</v>
      </c>
      <c r="N337" s="89"/>
      <c r="O337" s="87"/>
      <c r="P337" s="87"/>
      <c r="Q337" s="87"/>
      <c r="R337" s="87"/>
      <c r="S337" s="87">
        <v>0.21370967741935484</v>
      </c>
      <c r="T337" s="87"/>
      <c r="U337" s="87">
        <v>0.21370967741935482</v>
      </c>
      <c r="V337" s="90" t="s">
        <v>1938</v>
      </c>
    </row>
    <row r="338" ht="15" customHeight="1" spans="1:23" x14ac:dyDescent="0.25">
      <c r="A338" s="85">
        <v>30687</v>
      </c>
      <c r="B338" s="85" t="s">
        <v>1936</v>
      </c>
      <c r="C338" s="85" t="s">
        <v>965</v>
      </c>
      <c r="D338" s="85" t="s">
        <v>1030</v>
      </c>
      <c r="E338" s="85"/>
      <c r="F338" s="85" t="s">
        <v>1084</v>
      </c>
      <c r="G338" s="85" t="s">
        <v>1939</v>
      </c>
      <c r="H338" s="85" t="s">
        <v>1940</v>
      </c>
      <c r="I338" s="86">
        <v>248</v>
      </c>
      <c r="J338" s="86">
        <v>35</v>
      </c>
      <c r="K338" s="87">
        <v>0.14112903225806453</v>
      </c>
      <c r="L338" s="87">
        <v>1</v>
      </c>
      <c r="M338" s="88">
        <v>0.14112903225806453</v>
      </c>
      <c r="N338" s="89"/>
      <c r="O338" s="87"/>
      <c r="P338" s="87"/>
      <c r="Q338" s="87"/>
      <c r="R338" s="87"/>
      <c r="S338" s="87">
        <v>0.14112903225806453</v>
      </c>
      <c r="T338" s="87"/>
      <c r="U338" s="87">
        <v>0.14112903225806453</v>
      </c>
      <c r="V338" s="90" t="s">
        <v>1941</v>
      </c>
    </row>
    <row r="339" ht="15" customHeight="1" spans="1:23" x14ac:dyDescent="0.25">
      <c r="A339" s="85">
        <v>30687</v>
      </c>
      <c r="B339" s="85" t="s">
        <v>1936</v>
      </c>
      <c r="C339" s="85" t="s">
        <v>965</v>
      </c>
      <c r="D339" s="85" t="s">
        <v>1030</v>
      </c>
      <c r="E339" s="85"/>
      <c r="F339" s="85" t="s">
        <v>1084</v>
      </c>
      <c r="G339" s="85" t="s">
        <v>1942</v>
      </c>
      <c r="H339" s="85" t="s">
        <v>1943</v>
      </c>
      <c r="I339" s="86">
        <v>248</v>
      </c>
      <c r="J339" s="86">
        <v>21</v>
      </c>
      <c r="K339" s="87">
        <v>0.0846774193548387</v>
      </c>
      <c r="L339" s="87">
        <v>1</v>
      </c>
      <c r="M339" s="88">
        <v>0.0846774193548387</v>
      </c>
      <c r="N339" s="89">
        <v>0.01</v>
      </c>
      <c r="O339" s="87">
        <v>0.0008467741935483871</v>
      </c>
      <c r="P339" s="87"/>
      <c r="Q339" s="87">
        <v>0.0008467741935483871</v>
      </c>
      <c r="R339" s="87"/>
      <c r="S339" s="87">
        <v>0.0846774193548387</v>
      </c>
      <c r="T339" s="87"/>
      <c r="U339" s="87">
        <v>0.0846774193548387</v>
      </c>
      <c r="V339" s="90" t="s">
        <v>1944</v>
      </c>
    </row>
    <row r="340" ht="15" customHeight="1" spans="1:23" x14ac:dyDescent="0.25">
      <c r="A340" s="85">
        <v>30687</v>
      </c>
      <c r="B340" s="85" t="s">
        <v>1936</v>
      </c>
      <c r="C340" s="85" t="s">
        <v>965</v>
      </c>
      <c r="D340" s="85" t="s">
        <v>1030</v>
      </c>
      <c r="E340" s="85"/>
      <c r="F340" s="85" t="s">
        <v>1084</v>
      </c>
      <c r="G340" s="85" t="s">
        <v>283</v>
      </c>
      <c r="H340" s="85" t="s">
        <v>1945</v>
      </c>
      <c r="I340" s="86">
        <v>248</v>
      </c>
      <c r="J340" s="86">
        <v>139</v>
      </c>
      <c r="K340" s="87">
        <v>0.5604838709677419</v>
      </c>
      <c r="L340" s="87">
        <v>1</v>
      </c>
      <c r="M340" s="88">
        <v>0.5604838709677419</v>
      </c>
      <c r="N340" s="89"/>
      <c r="O340" s="87"/>
      <c r="P340" s="87"/>
      <c r="Q340" s="87"/>
      <c r="R340" s="87"/>
      <c r="S340" s="87">
        <v>0.5604838709677419</v>
      </c>
      <c r="T340" s="87"/>
      <c r="U340" s="87">
        <v>0.560483870967742</v>
      </c>
      <c r="V340" s="90" t="s">
        <v>1946</v>
      </c>
    </row>
    <row r="341" ht="15" customHeight="1" spans="1:23" x14ac:dyDescent="0.25">
      <c r="A341" s="85">
        <v>30963</v>
      </c>
      <c r="B341" s="85" t="s">
        <v>1947</v>
      </c>
      <c r="C341" s="85" t="s">
        <v>965</v>
      </c>
      <c r="D341" s="85" t="s">
        <v>1058</v>
      </c>
      <c r="E341" s="85"/>
      <c r="F341" s="85" t="s">
        <v>155</v>
      </c>
      <c r="G341" s="85"/>
      <c r="H341" s="85"/>
      <c r="I341" s="86"/>
      <c r="J341" s="86"/>
      <c r="K341" s="87"/>
      <c r="L341" s="87"/>
      <c r="M341" s="88"/>
      <c r="N341" s="89"/>
      <c r="O341" s="87"/>
      <c r="P341" s="87"/>
      <c r="Q341" s="87"/>
      <c r="R341" s="87"/>
      <c r="S341" s="87">
        <v>1</v>
      </c>
      <c r="T341" s="87">
        <v>1</v>
      </c>
      <c r="U341" s="87"/>
      <c r="V341" s="90" t="s">
        <v>1084</v>
      </c>
    </row>
    <row r="342" ht="15" customHeight="1" spans="1:23" x14ac:dyDescent="0.25">
      <c r="A342" s="85">
        <v>30963</v>
      </c>
      <c r="B342" s="85" t="s">
        <v>1947</v>
      </c>
      <c r="C342" s="85" t="s">
        <v>965</v>
      </c>
      <c r="D342" s="85" t="s">
        <v>1058</v>
      </c>
      <c r="E342" s="85"/>
      <c r="F342" s="85" t="s">
        <v>1084</v>
      </c>
      <c r="G342" s="85" t="s">
        <v>283</v>
      </c>
      <c r="H342" s="85" t="s">
        <v>1561</v>
      </c>
      <c r="I342" s="86">
        <v>248</v>
      </c>
      <c r="J342" s="86">
        <v>248</v>
      </c>
      <c r="K342" s="87">
        <v>1</v>
      </c>
      <c r="L342" s="87">
        <v>1</v>
      </c>
      <c r="M342" s="88">
        <v>1</v>
      </c>
      <c r="N342" s="89"/>
      <c r="O342" s="87"/>
      <c r="P342" s="87"/>
      <c r="Q342" s="87"/>
      <c r="R342" s="87"/>
      <c r="S342" s="87">
        <v>1</v>
      </c>
      <c r="T342" s="87"/>
      <c r="U342" s="87">
        <v>0</v>
      </c>
      <c r="V342" s="90" t="s">
        <v>1084</v>
      </c>
    </row>
    <row r="343" ht="15" customHeight="1" spans="1:23" x14ac:dyDescent="0.25">
      <c r="A343" s="85">
        <v>30976</v>
      </c>
      <c r="B343" s="85" t="s">
        <v>1948</v>
      </c>
      <c r="C343" s="85" t="s">
        <v>380</v>
      </c>
      <c r="D343" s="85" t="s">
        <v>575</v>
      </c>
      <c r="E343" s="85"/>
      <c r="F343" s="85" t="s">
        <v>155</v>
      </c>
      <c r="G343" s="85"/>
      <c r="H343" s="85"/>
      <c r="I343" s="86"/>
      <c r="J343" s="86"/>
      <c r="K343" s="87"/>
      <c r="L343" s="87"/>
      <c r="M343" s="88"/>
      <c r="N343" s="89"/>
      <c r="O343" s="87"/>
      <c r="P343" s="87"/>
      <c r="Q343" s="87"/>
      <c r="R343" s="87"/>
      <c r="S343" s="87">
        <v>1</v>
      </c>
      <c r="T343" s="87">
        <v>1</v>
      </c>
      <c r="U343" s="87"/>
      <c r="V343" s="90" t="s">
        <v>1084</v>
      </c>
    </row>
    <row r="344" ht="15" customHeight="1" spans="1:23" x14ac:dyDescent="0.25">
      <c r="A344" s="85">
        <v>30976</v>
      </c>
      <c r="B344" s="85" t="s">
        <v>1948</v>
      </c>
      <c r="C344" s="85" t="s">
        <v>380</v>
      </c>
      <c r="D344" s="85" t="s">
        <v>575</v>
      </c>
      <c r="E344" s="85"/>
      <c r="F344" s="85" t="s">
        <v>1084</v>
      </c>
      <c r="G344" s="85" t="s">
        <v>283</v>
      </c>
      <c r="H344" s="85" t="s">
        <v>1561</v>
      </c>
      <c r="I344" s="86">
        <v>248</v>
      </c>
      <c r="J344" s="86">
        <v>248</v>
      </c>
      <c r="K344" s="87">
        <v>1</v>
      </c>
      <c r="L344" s="87">
        <v>1</v>
      </c>
      <c r="M344" s="88">
        <v>1</v>
      </c>
      <c r="N344" s="89"/>
      <c r="O344" s="87"/>
      <c r="P344" s="87"/>
      <c r="Q344" s="87"/>
      <c r="R344" s="87"/>
      <c r="S344" s="87">
        <v>1</v>
      </c>
      <c r="T344" s="87"/>
      <c r="U344" s="87">
        <v>0</v>
      </c>
      <c r="V344" s="90" t="s">
        <v>1084</v>
      </c>
    </row>
    <row r="345" ht="15" customHeight="1" spans="1:23" x14ac:dyDescent="0.25">
      <c r="A345" s="85">
        <v>30981</v>
      </c>
      <c r="B345" s="85" t="s">
        <v>1949</v>
      </c>
      <c r="C345" s="85" t="s">
        <v>380</v>
      </c>
      <c r="D345" s="85" t="s">
        <v>400</v>
      </c>
      <c r="E345" s="85"/>
      <c r="F345" s="85" t="s">
        <v>155</v>
      </c>
      <c r="G345" s="85"/>
      <c r="H345" s="85"/>
      <c r="I345" s="86"/>
      <c r="J345" s="86"/>
      <c r="K345" s="87"/>
      <c r="L345" s="87"/>
      <c r="M345" s="88"/>
      <c r="N345" s="89"/>
      <c r="O345" s="87"/>
      <c r="P345" s="87"/>
      <c r="Q345" s="87"/>
      <c r="R345" s="87"/>
      <c r="S345" s="87">
        <v>1</v>
      </c>
      <c r="T345" s="87">
        <v>1</v>
      </c>
      <c r="U345" s="87"/>
      <c r="V345" s="90" t="s">
        <v>1084</v>
      </c>
    </row>
    <row r="346" ht="15" customHeight="1" spans="1:23" x14ac:dyDescent="0.25">
      <c r="A346" s="85">
        <v>30981</v>
      </c>
      <c r="B346" s="85" t="s">
        <v>1949</v>
      </c>
      <c r="C346" s="85" t="s">
        <v>380</v>
      </c>
      <c r="D346" s="85" t="s">
        <v>400</v>
      </c>
      <c r="E346" s="85"/>
      <c r="F346" s="85" t="s">
        <v>1084</v>
      </c>
      <c r="G346" s="85" t="s">
        <v>283</v>
      </c>
      <c r="H346" s="85" t="s">
        <v>1561</v>
      </c>
      <c r="I346" s="86">
        <v>248</v>
      </c>
      <c r="J346" s="86">
        <v>248</v>
      </c>
      <c r="K346" s="87">
        <v>1</v>
      </c>
      <c r="L346" s="87">
        <v>1</v>
      </c>
      <c r="M346" s="88">
        <v>1</v>
      </c>
      <c r="N346" s="89"/>
      <c r="O346" s="87"/>
      <c r="P346" s="87"/>
      <c r="Q346" s="87"/>
      <c r="R346" s="87"/>
      <c r="S346" s="87">
        <v>1</v>
      </c>
      <c r="T346" s="87"/>
      <c r="U346" s="87">
        <v>0</v>
      </c>
      <c r="V346" s="90" t="s">
        <v>1084</v>
      </c>
    </row>
    <row r="347" ht="15" customHeight="1" spans="1:23" x14ac:dyDescent="0.25">
      <c r="A347" s="85">
        <v>31044</v>
      </c>
      <c r="B347" s="85" t="s">
        <v>1950</v>
      </c>
      <c r="C347" s="85" t="s">
        <v>380</v>
      </c>
      <c r="D347" s="85" t="s">
        <v>766</v>
      </c>
      <c r="E347" s="85"/>
      <c r="F347" s="85" t="s">
        <v>155</v>
      </c>
      <c r="G347" s="85"/>
      <c r="H347" s="85"/>
      <c r="I347" s="86"/>
      <c r="J347" s="86"/>
      <c r="K347" s="87"/>
      <c r="L347" s="87"/>
      <c r="M347" s="88"/>
      <c r="N347" s="89"/>
      <c r="O347" s="87"/>
      <c r="P347" s="87"/>
      <c r="Q347" s="87"/>
      <c r="R347" s="87"/>
      <c r="S347" s="87">
        <v>1</v>
      </c>
      <c r="T347" s="87">
        <v>1</v>
      </c>
      <c r="U347" s="87"/>
      <c r="V347" s="90" t="s">
        <v>1084</v>
      </c>
    </row>
    <row r="348" ht="15" customHeight="1" spans="1:23" x14ac:dyDescent="0.25">
      <c r="A348" s="85">
        <v>31044</v>
      </c>
      <c r="B348" s="85" t="s">
        <v>1950</v>
      </c>
      <c r="C348" s="85" t="s">
        <v>380</v>
      </c>
      <c r="D348" s="85" t="s">
        <v>766</v>
      </c>
      <c r="E348" s="85"/>
      <c r="F348" s="85" t="s">
        <v>1084</v>
      </c>
      <c r="G348" s="85" t="s">
        <v>283</v>
      </c>
      <c r="H348" s="85" t="s">
        <v>1561</v>
      </c>
      <c r="I348" s="86">
        <v>248</v>
      </c>
      <c r="J348" s="86">
        <v>248</v>
      </c>
      <c r="K348" s="87">
        <v>1</v>
      </c>
      <c r="L348" s="87">
        <v>1</v>
      </c>
      <c r="M348" s="88">
        <v>1</v>
      </c>
      <c r="N348" s="89"/>
      <c r="O348" s="87"/>
      <c r="P348" s="87"/>
      <c r="Q348" s="87"/>
      <c r="R348" s="87"/>
      <c r="S348" s="87">
        <v>1</v>
      </c>
      <c r="T348" s="87"/>
      <c r="U348" s="87">
        <v>0</v>
      </c>
      <c r="V348" s="90" t="s">
        <v>1084</v>
      </c>
    </row>
    <row r="349" ht="15" customHeight="1" spans="1:23" x14ac:dyDescent="0.25">
      <c r="A349" s="85">
        <v>31381</v>
      </c>
      <c r="B349" s="85" t="s">
        <v>1951</v>
      </c>
      <c r="C349" s="85" t="s">
        <v>965</v>
      </c>
      <c r="D349" s="85" t="s">
        <v>619</v>
      </c>
      <c r="E349" s="85" t="s">
        <v>170</v>
      </c>
      <c r="F349" s="85" t="s">
        <v>155</v>
      </c>
      <c r="G349" s="85"/>
      <c r="H349" s="85"/>
      <c r="I349" s="86"/>
      <c r="J349" s="86"/>
      <c r="K349" s="87"/>
      <c r="L349" s="87"/>
      <c r="M349" s="88"/>
      <c r="N349" s="89"/>
      <c r="O349" s="87"/>
      <c r="P349" s="87"/>
      <c r="Q349" s="87"/>
      <c r="R349" s="87"/>
      <c r="S349" s="87">
        <v>0.4</v>
      </c>
      <c r="T349" s="87">
        <v>0.4</v>
      </c>
      <c r="U349" s="87">
        <v>0.4</v>
      </c>
      <c r="V349" s="90" t="s">
        <v>1952</v>
      </c>
    </row>
    <row r="350" ht="15" customHeight="1" spans="1:23" x14ac:dyDescent="0.25">
      <c r="A350" s="85">
        <v>31381</v>
      </c>
      <c r="B350" s="85" t="s">
        <v>1951</v>
      </c>
      <c r="C350" s="85" t="s">
        <v>965</v>
      </c>
      <c r="D350" s="85" t="s">
        <v>619</v>
      </c>
      <c r="E350" s="85" t="s">
        <v>170</v>
      </c>
      <c r="F350" s="85" t="s">
        <v>1084</v>
      </c>
      <c r="G350" s="85" t="s">
        <v>283</v>
      </c>
      <c r="H350" s="85" t="s">
        <v>1561</v>
      </c>
      <c r="I350" s="86">
        <v>248</v>
      </c>
      <c r="J350" s="86">
        <v>248</v>
      </c>
      <c r="K350" s="87">
        <v>1</v>
      </c>
      <c r="L350" s="87">
        <v>0.4</v>
      </c>
      <c r="M350" s="88">
        <v>0.4</v>
      </c>
      <c r="N350" s="89"/>
      <c r="O350" s="87"/>
      <c r="P350" s="87"/>
      <c r="Q350" s="87"/>
      <c r="R350" s="87"/>
      <c r="S350" s="87">
        <v>0.4</v>
      </c>
      <c r="T350" s="87"/>
      <c r="U350" s="87">
        <v>0.4</v>
      </c>
      <c r="V350" s="90" t="s">
        <v>1952</v>
      </c>
    </row>
    <row r="351" ht="15" customHeight="1" spans="1:23" x14ac:dyDescent="0.25">
      <c r="A351" s="85">
        <v>31524</v>
      </c>
      <c r="B351" s="85" t="s">
        <v>1953</v>
      </c>
      <c r="C351" s="85" t="s">
        <v>965</v>
      </c>
      <c r="D351" s="85" t="s">
        <v>1067</v>
      </c>
      <c r="E351" s="85"/>
      <c r="F351" s="85" t="s">
        <v>155</v>
      </c>
      <c r="G351" s="85"/>
      <c r="H351" s="85"/>
      <c r="I351" s="86"/>
      <c r="J351" s="86"/>
      <c r="K351" s="87"/>
      <c r="L351" s="87"/>
      <c r="M351" s="88"/>
      <c r="N351" s="89"/>
      <c r="O351" s="87"/>
      <c r="P351" s="87"/>
      <c r="Q351" s="87">
        <v>0.4596774193548387</v>
      </c>
      <c r="R351" s="87"/>
      <c r="S351" s="87">
        <v>1</v>
      </c>
      <c r="T351" s="87">
        <v>1</v>
      </c>
      <c r="U351" s="87">
        <v>1</v>
      </c>
      <c r="V351" s="90" t="s">
        <v>1954</v>
      </c>
    </row>
    <row r="352" ht="15" customHeight="1" spans="1:23" x14ac:dyDescent="0.25">
      <c r="A352" s="85">
        <v>31524</v>
      </c>
      <c r="B352" s="85" t="s">
        <v>1953</v>
      </c>
      <c r="C352" s="85" t="s">
        <v>965</v>
      </c>
      <c r="D352" s="85" t="s">
        <v>1067</v>
      </c>
      <c r="E352" s="85"/>
      <c r="F352" s="85" t="s">
        <v>1084</v>
      </c>
      <c r="G352" s="85" t="s">
        <v>1955</v>
      </c>
      <c r="H352" s="85" t="s">
        <v>1561</v>
      </c>
      <c r="I352" s="86">
        <v>248</v>
      </c>
      <c r="J352" s="86">
        <v>15</v>
      </c>
      <c r="K352" s="87">
        <v>0.06048387096774194</v>
      </c>
      <c r="L352" s="87">
        <v>1</v>
      </c>
      <c r="M352" s="88">
        <v>0.06048387096774194</v>
      </c>
      <c r="N352" s="89">
        <v>1</v>
      </c>
      <c r="O352" s="87">
        <v>0.06048387096774194</v>
      </c>
      <c r="P352" s="87"/>
      <c r="Q352" s="87">
        <v>0.06048387096774194</v>
      </c>
      <c r="R352" s="87"/>
      <c r="S352" s="87">
        <v>0.06048387096774194</v>
      </c>
      <c r="T352" s="87"/>
      <c r="U352" s="87">
        <v>0.06048387096774194</v>
      </c>
      <c r="V352" s="90" t="s">
        <v>1956</v>
      </c>
    </row>
    <row r="353" ht="15" customHeight="1" spans="1:23" x14ac:dyDescent="0.25">
      <c r="A353" s="85">
        <v>31524</v>
      </c>
      <c r="B353" s="85" t="s">
        <v>1953</v>
      </c>
      <c r="C353" s="85" t="s">
        <v>965</v>
      </c>
      <c r="D353" s="85" t="s">
        <v>1067</v>
      </c>
      <c r="E353" s="85"/>
      <c r="F353" s="85" t="s">
        <v>1084</v>
      </c>
      <c r="G353" s="85" t="s">
        <v>169</v>
      </c>
      <c r="H353" s="85" t="s">
        <v>1957</v>
      </c>
      <c r="I353" s="86">
        <v>248</v>
      </c>
      <c r="J353" s="86">
        <v>60</v>
      </c>
      <c r="K353" s="87">
        <v>0.24193548387096775</v>
      </c>
      <c r="L353" s="87">
        <v>1</v>
      </c>
      <c r="M353" s="88">
        <v>0.24193548387096775</v>
      </c>
      <c r="N353" s="89"/>
      <c r="O353" s="87"/>
      <c r="P353" s="87"/>
      <c r="Q353" s="87"/>
      <c r="R353" s="87"/>
      <c r="S353" s="87">
        <v>0.24193548387096775</v>
      </c>
      <c r="T353" s="87"/>
      <c r="U353" s="87">
        <v>0.24193548387096775</v>
      </c>
      <c r="V353" s="90" t="s">
        <v>1958</v>
      </c>
    </row>
    <row r="354" ht="15" customHeight="1" spans="1:23" x14ac:dyDescent="0.25">
      <c r="A354" s="85">
        <v>31524</v>
      </c>
      <c r="B354" s="85" t="s">
        <v>1953</v>
      </c>
      <c r="C354" s="85" t="s">
        <v>965</v>
      </c>
      <c r="D354" s="85" t="s">
        <v>1067</v>
      </c>
      <c r="E354" s="85"/>
      <c r="F354" s="85" t="s">
        <v>1084</v>
      </c>
      <c r="G354" s="85" t="s">
        <v>1959</v>
      </c>
      <c r="H354" s="85" t="s">
        <v>935</v>
      </c>
      <c r="I354" s="86">
        <v>248</v>
      </c>
      <c r="J354" s="86">
        <v>19</v>
      </c>
      <c r="K354" s="87">
        <v>0.07661290322580645</v>
      </c>
      <c r="L354" s="87">
        <v>1</v>
      </c>
      <c r="M354" s="88">
        <v>0.07661290322580645</v>
      </c>
      <c r="N354" s="89">
        <v>1</v>
      </c>
      <c r="O354" s="87">
        <v>0.07661290322580645</v>
      </c>
      <c r="P354" s="87"/>
      <c r="Q354" s="87">
        <v>0.07661290322580645</v>
      </c>
      <c r="R354" s="87"/>
      <c r="S354" s="87">
        <v>0.07661290322580645</v>
      </c>
      <c r="T354" s="87"/>
      <c r="U354" s="87">
        <v>0.07661290322580645</v>
      </c>
      <c r="V354" s="90" t="s">
        <v>1960</v>
      </c>
    </row>
    <row r="355" ht="15" customHeight="1" spans="1:23" x14ac:dyDescent="0.25">
      <c r="A355" s="85">
        <v>31524</v>
      </c>
      <c r="B355" s="85" t="s">
        <v>1953</v>
      </c>
      <c r="C355" s="85" t="s">
        <v>965</v>
      </c>
      <c r="D355" s="85" t="s">
        <v>1067</v>
      </c>
      <c r="E355" s="85"/>
      <c r="F355" s="85" t="s">
        <v>1084</v>
      </c>
      <c r="G355" s="85" t="s">
        <v>1961</v>
      </c>
      <c r="H355" s="85" t="s">
        <v>1962</v>
      </c>
      <c r="I355" s="86">
        <v>248</v>
      </c>
      <c r="J355" s="86">
        <v>80</v>
      </c>
      <c r="K355" s="87">
        <v>0.3225806451612903</v>
      </c>
      <c r="L355" s="87">
        <v>1</v>
      </c>
      <c r="M355" s="88">
        <v>0.3225806451612903</v>
      </c>
      <c r="N355" s="89">
        <v>1</v>
      </c>
      <c r="O355" s="87">
        <v>0.3225806451612903</v>
      </c>
      <c r="P355" s="87"/>
      <c r="Q355" s="87">
        <v>0.3225806451612903</v>
      </c>
      <c r="R355" s="87"/>
      <c r="S355" s="87">
        <v>0.3225806451612903</v>
      </c>
      <c r="T355" s="87"/>
      <c r="U355" s="87">
        <v>0.3225806451612903</v>
      </c>
      <c r="V355" s="90" t="s">
        <v>1963</v>
      </c>
    </row>
    <row r="356" ht="15" customHeight="1" spans="1:23" x14ac:dyDescent="0.25">
      <c r="A356" s="85">
        <v>31524</v>
      </c>
      <c r="B356" s="85" t="s">
        <v>1953</v>
      </c>
      <c r="C356" s="85" t="s">
        <v>965</v>
      </c>
      <c r="D356" s="85" t="s">
        <v>1067</v>
      </c>
      <c r="E356" s="85"/>
      <c r="F356" s="85" t="s">
        <v>1084</v>
      </c>
      <c r="G356" s="85" t="s">
        <v>283</v>
      </c>
      <c r="H356" s="85" t="s">
        <v>1964</v>
      </c>
      <c r="I356" s="86">
        <v>248</v>
      </c>
      <c r="J356" s="86">
        <v>74</v>
      </c>
      <c r="K356" s="87">
        <v>0.29838709677419356</v>
      </c>
      <c r="L356" s="87">
        <v>1</v>
      </c>
      <c r="M356" s="88">
        <v>0.29838709677419356</v>
      </c>
      <c r="N356" s="89"/>
      <c r="O356" s="87"/>
      <c r="P356" s="87"/>
      <c r="Q356" s="87"/>
      <c r="R356" s="87"/>
      <c r="S356" s="87">
        <v>0.29838709677419356</v>
      </c>
      <c r="T356" s="87"/>
      <c r="U356" s="87">
        <v>0.29838709677419356</v>
      </c>
      <c r="V356" s="90" t="s">
        <v>1965</v>
      </c>
    </row>
    <row r="357" ht="15" customHeight="1" spans="1:23" x14ac:dyDescent="0.25">
      <c r="A357" s="85">
        <v>31566</v>
      </c>
      <c r="B357" s="85" t="s">
        <v>1966</v>
      </c>
      <c r="C357" s="85" t="s">
        <v>380</v>
      </c>
      <c r="D357" s="85" t="s">
        <v>647</v>
      </c>
      <c r="E357" s="85"/>
      <c r="F357" s="85" t="s">
        <v>155</v>
      </c>
      <c r="G357" s="85"/>
      <c r="H357" s="85"/>
      <c r="I357" s="86"/>
      <c r="J357" s="86"/>
      <c r="K357" s="87"/>
      <c r="L357" s="87"/>
      <c r="M357" s="88"/>
      <c r="N357" s="89"/>
      <c r="O357" s="87"/>
      <c r="P357" s="87"/>
      <c r="Q357" s="87">
        <v>0.012096774193548387</v>
      </c>
      <c r="R357" s="87"/>
      <c r="S357" s="87">
        <v>1</v>
      </c>
      <c r="T357" s="87">
        <v>1</v>
      </c>
      <c r="U357" s="87">
        <v>1</v>
      </c>
      <c r="V357" s="90" t="s">
        <v>1967</v>
      </c>
    </row>
    <row r="358" ht="15" customHeight="1" spans="1:23" x14ac:dyDescent="0.25">
      <c r="A358" s="85">
        <v>31566</v>
      </c>
      <c r="B358" s="85" t="s">
        <v>1966</v>
      </c>
      <c r="C358" s="85" t="s">
        <v>380</v>
      </c>
      <c r="D358" s="85" t="s">
        <v>647</v>
      </c>
      <c r="E358" s="85"/>
      <c r="F358" s="85" t="s">
        <v>1084</v>
      </c>
      <c r="G358" s="85" t="s">
        <v>1968</v>
      </c>
      <c r="H358" s="85" t="s">
        <v>1561</v>
      </c>
      <c r="I358" s="86">
        <v>248</v>
      </c>
      <c r="J358" s="86">
        <v>190</v>
      </c>
      <c r="K358" s="87">
        <v>0.7661290322580645</v>
      </c>
      <c r="L358" s="87">
        <v>1</v>
      </c>
      <c r="M358" s="88">
        <v>0.7661290322580645</v>
      </c>
      <c r="N358" s="89"/>
      <c r="O358" s="87"/>
      <c r="P358" s="87"/>
      <c r="Q358" s="87"/>
      <c r="R358" s="87"/>
      <c r="S358" s="87">
        <v>0.7661290322580645</v>
      </c>
      <c r="T358" s="87"/>
      <c r="U358" s="87">
        <v>0.7661290322580645</v>
      </c>
      <c r="V358" s="90" t="s">
        <v>1969</v>
      </c>
    </row>
    <row r="359" ht="15" customHeight="1" spans="1:23" x14ac:dyDescent="0.25">
      <c r="A359" s="85">
        <v>31566</v>
      </c>
      <c r="B359" s="85" t="s">
        <v>1966</v>
      </c>
      <c r="C359" s="85" t="s">
        <v>380</v>
      </c>
      <c r="D359" s="85" t="s">
        <v>647</v>
      </c>
      <c r="E359" s="85"/>
      <c r="F359" s="85" t="s">
        <v>1084</v>
      </c>
      <c r="G359" s="85" t="s">
        <v>1970</v>
      </c>
      <c r="H359" s="85" t="s">
        <v>1971</v>
      </c>
      <c r="I359" s="86">
        <v>248</v>
      </c>
      <c r="J359" s="86">
        <v>3</v>
      </c>
      <c r="K359" s="87">
        <v>0.012096774193548387</v>
      </c>
      <c r="L359" s="87">
        <v>1</v>
      </c>
      <c r="M359" s="88">
        <v>0.012096774193548387</v>
      </c>
      <c r="N359" s="89">
        <v>1</v>
      </c>
      <c r="O359" s="87">
        <v>0.012096774193548387</v>
      </c>
      <c r="P359" s="87"/>
      <c r="Q359" s="87">
        <v>0.012096774193548387</v>
      </c>
      <c r="R359" s="87"/>
      <c r="S359" s="87">
        <v>0.012096774193548387</v>
      </c>
      <c r="T359" s="87"/>
      <c r="U359" s="87">
        <v>0.012096774193548387</v>
      </c>
      <c r="V359" s="90" t="s">
        <v>1972</v>
      </c>
    </row>
    <row r="360" ht="15" customHeight="1" spans="1:23" x14ac:dyDescent="0.25">
      <c r="A360" s="85">
        <v>31566</v>
      </c>
      <c r="B360" s="85" t="s">
        <v>1966</v>
      </c>
      <c r="C360" s="85" t="s">
        <v>380</v>
      </c>
      <c r="D360" s="85" t="s">
        <v>647</v>
      </c>
      <c r="E360" s="85"/>
      <c r="F360" s="85" t="s">
        <v>1084</v>
      </c>
      <c r="G360" s="85" t="s">
        <v>283</v>
      </c>
      <c r="H360" s="85" t="s">
        <v>1628</v>
      </c>
      <c r="I360" s="86">
        <v>248</v>
      </c>
      <c r="J360" s="86">
        <v>55</v>
      </c>
      <c r="K360" s="87">
        <v>0.2217741935483871</v>
      </c>
      <c r="L360" s="87">
        <v>1</v>
      </c>
      <c r="M360" s="88">
        <v>0.2217741935483871</v>
      </c>
      <c r="N360" s="89"/>
      <c r="O360" s="87"/>
      <c r="P360" s="87"/>
      <c r="Q360" s="87"/>
      <c r="R360" s="87"/>
      <c r="S360" s="87">
        <v>0.2217741935483871</v>
      </c>
      <c r="T360" s="87"/>
      <c r="U360" s="87">
        <v>0.2217741935483871</v>
      </c>
      <c r="V360" s="90" t="s">
        <v>1973</v>
      </c>
    </row>
    <row r="361" ht="15" customHeight="1" spans="1:23" x14ac:dyDescent="0.25">
      <c r="A361" s="85">
        <v>31646</v>
      </c>
      <c r="B361" s="85" t="s">
        <v>1974</v>
      </c>
      <c r="C361" s="85" t="s">
        <v>161</v>
      </c>
      <c r="D361" s="85" t="s">
        <v>348</v>
      </c>
      <c r="E361" s="85"/>
      <c r="F361" s="85" t="s">
        <v>155</v>
      </c>
      <c r="G361" s="85"/>
      <c r="H361" s="85"/>
      <c r="I361" s="86"/>
      <c r="J361" s="86"/>
      <c r="K361" s="87"/>
      <c r="L361" s="87"/>
      <c r="M361" s="88"/>
      <c r="N361" s="89"/>
      <c r="O361" s="87"/>
      <c r="P361" s="87"/>
      <c r="Q361" s="87"/>
      <c r="R361" s="87"/>
      <c r="S361" s="87">
        <v>1</v>
      </c>
      <c r="T361" s="87">
        <v>1</v>
      </c>
      <c r="U361" s="87">
        <v>1</v>
      </c>
      <c r="V361" s="90" t="s">
        <v>1975</v>
      </c>
    </row>
    <row r="362" ht="15" customHeight="1" spans="1:23" x14ac:dyDescent="0.25">
      <c r="A362" s="85">
        <v>31646</v>
      </c>
      <c r="B362" s="85" t="s">
        <v>1974</v>
      </c>
      <c r="C362" s="85" t="s">
        <v>161</v>
      </c>
      <c r="D362" s="85" t="s">
        <v>348</v>
      </c>
      <c r="E362" s="85"/>
      <c r="F362" s="85" t="s">
        <v>1084</v>
      </c>
      <c r="G362" s="85" t="s">
        <v>283</v>
      </c>
      <c r="H362" s="85" t="s">
        <v>1561</v>
      </c>
      <c r="I362" s="86">
        <v>248</v>
      </c>
      <c r="J362" s="86">
        <v>248</v>
      </c>
      <c r="K362" s="87">
        <v>1</v>
      </c>
      <c r="L362" s="87">
        <v>1</v>
      </c>
      <c r="M362" s="88">
        <v>1</v>
      </c>
      <c r="N362" s="89"/>
      <c r="O362" s="87"/>
      <c r="P362" s="87"/>
      <c r="Q362" s="87"/>
      <c r="R362" s="87"/>
      <c r="S362" s="87">
        <v>1</v>
      </c>
      <c r="T362" s="87"/>
      <c r="U362" s="87">
        <v>1</v>
      </c>
      <c r="V362" s="90" t="s">
        <v>1975</v>
      </c>
    </row>
    <row r="363" ht="15" customHeight="1" spans="1:23" x14ac:dyDescent="0.25">
      <c r="A363" s="85">
        <v>31837</v>
      </c>
      <c r="B363" s="85" t="s">
        <v>1976</v>
      </c>
      <c r="C363" s="85" t="s">
        <v>380</v>
      </c>
      <c r="D363" s="85" t="s">
        <v>505</v>
      </c>
      <c r="E363" s="85" t="s">
        <v>625</v>
      </c>
      <c r="F363" s="85" t="s">
        <v>155</v>
      </c>
      <c r="G363" s="85"/>
      <c r="H363" s="85"/>
      <c r="I363" s="86"/>
      <c r="J363" s="86"/>
      <c r="K363" s="87"/>
      <c r="L363" s="87"/>
      <c r="M363" s="88"/>
      <c r="N363" s="89"/>
      <c r="O363" s="87"/>
      <c r="P363" s="87"/>
      <c r="Q363" s="87"/>
      <c r="R363" s="87"/>
      <c r="S363" s="87">
        <v>0.17338709677419356</v>
      </c>
      <c r="T363" s="87">
        <v>0.17338709677419356</v>
      </c>
      <c r="U363" s="87">
        <v>0.17338709677419356</v>
      </c>
      <c r="V363" s="90" t="s">
        <v>1977</v>
      </c>
    </row>
    <row r="364" ht="15" customHeight="1" spans="1:23" x14ac:dyDescent="0.25">
      <c r="A364" s="85">
        <v>31837</v>
      </c>
      <c r="B364" s="85" t="s">
        <v>1976</v>
      </c>
      <c r="C364" s="85" t="s">
        <v>380</v>
      </c>
      <c r="D364" s="85" t="s">
        <v>505</v>
      </c>
      <c r="E364" s="85" t="s">
        <v>625</v>
      </c>
      <c r="F364" s="85" t="s">
        <v>1084</v>
      </c>
      <c r="G364" s="85" t="s">
        <v>283</v>
      </c>
      <c r="H364" s="85" t="s">
        <v>625</v>
      </c>
      <c r="I364" s="86">
        <v>248</v>
      </c>
      <c r="J364" s="86">
        <v>43</v>
      </c>
      <c r="K364" s="87">
        <v>0.17338709677419356</v>
      </c>
      <c r="L364" s="87">
        <v>1</v>
      </c>
      <c r="M364" s="88">
        <v>0.17338709677419356</v>
      </c>
      <c r="N364" s="89"/>
      <c r="O364" s="87"/>
      <c r="P364" s="87"/>
      <c r="Q364" s="87"/>
      <c r="R364" s="87"/>
      <c r="S364" s="87">
        <v>0.17338709677419356</v>
      </c>
      <c r="T364" s="87"/>
      <c r="U364" s="87">
        <v>0.17338709677419356</v>
      </c>
      <c r="V364" s="90" t="s">
        <v>1977</v>
      </c>
    </row>
    <row r="365" ht="15" customHeight="1" spans="1:23" x14ac:dyDescent="0.25">
      <c r="A365" s="85">
        <v>31856</v>
      </c>
      <c r="B365" s="85" t="s">
        <v>1978</v>
      </c>
      <c r="C365" s="85" t="s">
        <v>380</v>
      </c>
      <c r="D365" s="85" t="s">
        <v>505</v>
      </c>
      <c r="E365" s="85"/>
      <c r="F365" s="85" t="s">
        <v>155</v>
      </c>
      <c r="G365" s="85"/>
      <c r="H365" s="85"/>
      <c r="I365" s="86"/>
      <c r="J365" s="86"/>
      <c r="K365" s="87"/>
      <c r="L365" s="87"/>
      <c r="M365" s="88"/>
      <c r="N365" s="89"/>
      <c r="O365" s="87"/>
      <c r="P365" s="87"/>
      <c r="Q365" s="87"/>
      <c r="R365" s="87"/>
      <c r="S365" s="87">
        <v>1</v>
      </c>
      <c r="T365" s="87">
        <v>1</v>
      </c>
      <c r="U365" s="87">
        <v>0.0005</v>
      </c>
      <c r="V365" s="90" t="s">
        <v>1979</v>
      </c>
    </row>
    <row r="366" ht="15" customHeight="1" spans="1:23" x14ac:dyDescent="0.25">
      <c r="A366" s="85">
        <v>31856</v>
      </c>
      <c r="B366" s="85" t="s">
        <v>1978</v>
      </c>
      <c r="C366" s="85" t="s">
        <v>380</v>
      </c>
      <c r="D366" s="85" t="s">
        <v>505</v>
      </c>
      <c r="E366" s="85"/>
      <c r="F366" s="85" t="s">
        <v>1084</v>
      </c>
      <c r="G366" s="85" t="s">
        <v>283</v>
      </c>
      <c r="H366" s="85" t="s">
        <v>1561</v>
      </c>
      <c r="I366" s="86">
        <v>248</v>
      </c>
      <c r="J366" s="86">
        <v>248</v>
      </c>
      <c r="K366" s="87">
        <v>1</v>
      </c>
      <c r="L366" s="87">
        <v>1</v>
      </c>
      <c r="M366" s="88">
        <v>1</v>
      </c>
      <c r="N366" s="89"/>
      <c r="O366" s="87"/>
      <c r="P366" s="87"/>
      <c r="Q366" s="87"/>
      <c r="R366" s="87"/>
      <c r="S366" s="87">
        <v>1</v>
      </c>
      <c r="T366" s="87"/>
      <c r="U366" s="87">
        <v>0.0005</v>
      </c>
      <c r="V366" s="90" t="s">
        <v>1980</v>
      </c>
    </row>
    <row r="367" ht="15" customHeight="1" spans="1:23" x14ac:dyDescent="0.25">
      <c r="A367" s="85">
        <v>32444</v>
      </c>
      <c r="B367" s="85" t="s">
        <v>1981</v>
      </c>
      <c r="C367" s="85" t="s">
        <v>380</v>
      </c>
      <c r="D367" s="85" t="s">
        <v>581</v>
      </c>
      <c r="E367" s="85"/>
      <c r="F367" s="85" t="s">
        <v>155</v>
      </c>
      <c r="G367" s="85"/>
      <c r="H367" s="85"/>
      <c r="I367" s="86"/>
      <c r="J367" s="86"/>
      <c r="K367" s="87"/>
      <c r="L367" s="87"/>
      <c r="M367" s="88"/>
      <c r="N367" s="89"/>
      <c r="O367" s="87"/>
      <c r="P367" s="87"/>
      <c r="Q367" s="87"/>
      <c r="R367" s="87"/>
      <c r="S367" s="87">
        <v>1</v>
      </c>
      <c r="T367" s="87">
        <v>1</v>
      </c>
      <c r="U367" s="87">
        <v>1</v>
      </c>
      <c r="V367" s="90" t="s">
        <v>1982</v>
      </c>
    </row>
    <row r="368" ht="15" customHeight="1" spans="1:23" x14ac:dyDescent="0.25">
      <c r="A368" s="85">
        <v>32444</v>
      </c>
      <c r="B368" s="85" t="s">
        <v>1981</v>
      </c>
      <c r="C368" s="85" t="s">
        <v>380</v>
      </c>
      <c r="D368" s="85" t="s">
        <v>581</v>
      </c>
      <c r="E368" s="85"/>
      <c r="F368" s="85" t="s">
        <v>1084</v>
      </c>
      <c r="G368" s="85" t="s">
        <v>283</v>
      </c>
      <c r="H368" s="85" t="s">
        <v>1561</v>
      </c>
      <c r="I368" s="86">
        <v>248</v>
      </c>
      <c r="J368" s="86">
        <v>248</v>
      </c>
      <c r="K368" s="87">
        <v>1</v>
      </c>
      <c r="L368" s="87">
        <v>1</v>
      </c>
      <c r="M368" s="88">
        <v>1</v>
      </c>
      <c r="N368" s="89"/>
      <c r="O368" s="87"/>
      <c r="P368" s="87"/>
      <c r="Q368" s="87"/>
      <c r="R368" s="87"/>
      <c r="S368" s="87">
        <v>1</v>
      </c>
      <c r="T368" s="87"/>
      <c r="U368" s="87">
        <v>1</v>
      </c>
      <c r="V368" s="90" t="s">
        <v>1982</v>
      </c>
    </row>
    <row r="369" ht="15" customHeight="1" spans="1:23" x14ac:dyDescent="0.25">
      <c r="A369" s="85">
        <v>32492</v>
      </c>
      <c r="B369" s="85" t="s">
        <v>1983</v>
      </c>
      <c r="C369" s="85" t="s">
        <v>380</v>
      </c>
      <c r="D369" s="85" t="s">
        <v>521</v>
      </c>
      <c r="E369" s="85"/>
      <c r="F369" s="85" t="s">
        <v>155</v>
      </c>
      <c r="G369" s="85"/>
      <c r="H369" s="85"/>
      <c r="I369" s="86"/>
      <c r="J369" s="86"/>
      <c r="K369" s="87"/>
      <c r="L369" s="87"/>
      <c r="M369" s="88"/>
      <c r="N369" s="89"/>
      <c r="O369" s="87"/>
      <c r="P369" s="87"/>
      <c r="Q369" s="87"/>
      <c r="R369" s="87"/>
      <c r="S369" s="87">
        <v>0.9</v>
      </c>
      <c r="T369" s="87">
        <v>0.9</v>
      </c>
      <c r="U369" s="87">
        <v>0.9</v>
      </c>
      <c r="V369" s="90" t="s">
        <v>1984</v>
      </c>
    </row>
    <row r="370" ht="15" customHeight="1" spans="1:23" x14ac:dyDescent="0.25">
      <c r="A370" s="85">
        <v>32492</v>
      </c>
      <c r="B370" s="85" t="s">
        <v>1983</v>
      </c>
      <c r="C370" s="85" t="s">
        <v>380</v>
      </c>
      <c r="D370" s="85" t="s">
        <v>521</v>
      </c>
      <c r="E370" s="85"/>
      <c r="F370" s="85" t="s">
        <v>1084</v>
      </c>
      <c r="G370" s="85" t="s">
        <v>283</v>
      </c>
      <c r="H370" s="85" t="s">
        <v>1561</v>
      </c>
      <c r="I370" s="86">
        <v>248</v>
      </c>
      <c r="J370" s="86">
        <v>248</v>
      </c>
      <c r="K370" s="87">
        <v>1</v>
      </c>
      <c r="L370" s="87">
        <v>0.9</v>
      </c>
      <c r="M370" s="88">
        <v>0.9</v>
      </c>
      <c r="N370" s="89"/>
      <c r="O370" s="87"/>
      <c r="P370" s="87"/>
      <c r="Q370" s="87"/>
      <c r="R370" s="87"/>
      <c r="S370" s="87">
        <v>0.9</v>
      </c>
      <c r="T370" s="87"/>
      <c r="U370" s="87">
        <v>0.9</v>
      </c>
      <c r="V370" s="90" t="s">
        <v>1984</v>
      </c>
    </row>
    <row r="371" ht="15" customHeight="1" spans="1:23" x14ac:dyDescent="0.25">
      <c r="A371" s="85">
        <v>32669</v>
      </c>
      <c r="B371" s="85" t="s">
        <v>1985</v>
      </c>
      <c r="C371" s="85" t="s">
        <v>161</v>
      </c>
      <c r="D371" s="85" t="s">
        <v>208</v>
      </c>
      <c r="E371" s="85"/>
      <c r="F371" s="85" t="s">
        <v>155</v>
      </c>
      <c r="G371" s="85"/>
      <c r="H371" s="85"/>
      <c r="I371" s="86"/>
      <c r="J371" s="86"/>
      <c r="K371" s="87"/>
      <c r="L371" s="87"/>
      <c r="M371" s="88"/>
      <c r="N371" s="89"/>
      <c r="O371" s="87"/>
      <c r="P371" s="87"/>
      <c r="Q371" s="87">
        <v>0.2620967741935484</v>
      </c>
      <c r="R371" s="87"/>
      <c r="S371" s="87">
        <v>1</v>
      </c>
      <c r="T371" s="87">
        <v>1</v>
      </c>
      <c r="U371" s="87">
        <v>1.0000000000000002</v>
      </c>
      <c r="V371" s="90" t="s">
        <v>1986</v>
      </c>
    </row>
    <row r="372" ht="15" customHeight="1" spans="1:23" x14ac:dyDescent="0.25">
      <c r="A372" s="85">
        <v>32669</v>
      </c>
      <c r="B372" s="85" t="s">
        <v>1985</v>
      </c>
      <c r="C372" s="85" t="s">
        <v>161</v>
      </c>
      <c r="D372" s="85" t="s">
        <v>208</v>
      </c>
      <c r="E372" s="85"/>
      <c r="F372" s="85" t="s">
        <v>1084</v>
      </c>
      <c r="G372" s="85" t="s">
        <v>1987</v>
      </c>
      <c r="H372" s="85" t="s">
        <v>1561</v>
      </c>
      <c r="I372" s="86">
        <v>248</v>
      </c>
      <c r="J372" s="86">
        <v>65</v>
      </c>
      <c r="K372" s="87">
        <v>0.2620967741935484</v>
      </c>
      <c r="L372" s="87">
        <v>1</v>
      </c>
      <c r="M372" s="88">
        <v>0.2620967741935484</v>
      </c>
      <c r="N372" s="89">
        <v>1</v>
      </c>
      <c r="O372" s="87">
        <v>0.2620967741935484</v>
      </c>
      <c r="P372" s="87"/>
      <c r="Q372" s="87">
        <v>0.2620967741935484</v>
      </c>
      <c r="R372" s="87"/>
      <c r="S372" s="87">
        <v>0.2620967741935484</v>
      </c>
      <c r="T372" s="87"/>
      <c r="U372" s="87">
        <v>0.2620967741935484</v>
      </c>
      <c r="V372" s="90" t="s">
        <v>1988</v>
      </c>
    </row>
    <row r="373" ht="15" customHeight="1" spans="1:23" x14ac:dyDescent="0.25">
      <c r="A373" s="85">
        <v>32669</v>
      </c>
      <c r="B373" s="85" t="s">
        <v>1985</v>
      </c>
      <c r="C373" s="85" t="s">
        <v>161</v>
      </c>
      <c r="D373" s="85" t="s">
        <v>208</v>
      </c>
      <c r="E373" s="85"/>
      <c r="F373" s="85" t="s">
        <v>1084</v>
      </c>
      <c r="G373" s="85" t="s">
        <v>283</v>
      </c>
      <c r="H373" s="85" t="s">
        <v>1989</v>
      </c>
      <c r="I373" s="86">
        <v>248</v>
      </c>
      <c r="J373" s="86">
        <v>183</v>
      </c>
      <c r="K373" s="87">
        <v>0.7379032258064516</v>
      </c>
      <c r="L373" s="87">
        <v>1</v>
      </c>
      <c r="M373" s="88">
        <v>0.7379032258064516</v>
      </c>
      <c r="N373" s="89"/>
      <c r="O373" s="87"/>
      <c r="P373" s="87"/>
      <c r="Q373" s="87"/>
      <c r="R373" s="87"/>
      <c r="S373" s="87">
        <v>0.7379032258064516</v>
      </c>
      <c r="T373" s="87"/>
      <c r="U373" s="87">
        <v>0.7379032258064516</v>
      </c>
      <c r="V373" s="90" t="s">
        <v>1990</v>
      </c>
    </row>
    <row r="374" ht="15" customHeight="1" spans="1:23" x14ac:dyDescent="0.25">
      <c r="A374" s="85">
        <v>33385</v>
      </c>
      <c r="B374" s="85" t="s">
        <v>1991</v>
      </c>
      <c r="C374" s="85" t="s">
        <v>380</v>
      </c>
      <c r="D374" s="85" t="s">
        <v>386</v>
      </c>
      <c r="E374" s="85"/>
      <c r="F374" s="85" t="s">
        <v>155</v>
      </c>
      <c r="G374" s="85"/>
      <c r="H374" s="85"/>
      <c r="I374" s="86"/>
      <c r="J374" s="86"/>
      <c r="K374" s="87"/>
      <c r="L374" s="87"/>
      <c r="M374" s="88"/>
      <c r="N374" s="89"/>
      <c r="O374" s="87"/>
      <c r="P374" s="87"/>
      <c r="Q374" s="87">
        <v>0.03225806451612903</v>
      </c>
      <c r="R374" s="87"/>
      <c r="S374" s="87">
        <v>1</v>
      </c>
      <c r="T374" s="87">
        <v>1</v>
      </c>
      <c r="U374" s="87">
        <v>1</v>
      </c>
      <c r="V374" s="90" t="s">
        <v>1992</v>
      </c>
    </row>
    <row r="375" ht="15" customHeight="1" spans="1:23" x14ac:dyDescent="0.25">
      <c r="A375" s="85">
        <v>33385</v>
      </c>
      <c r="B375" s="85" t="s">
        <v>1991</v>
      </c>
      <c r="C375" s="85" t="s">
        <v>380</v>
      </c>
      <c r="D375" s="85" t="s">
        <v>386</v>
      </c>
      <c r="E375" s="85"/>
      <c r="F375" s="85" t="s">
        <v>1084</v>
      </c>
      <c r="G375" s="85" t="s">
        <v>1993</v>
      </c>
      <c r="H375" s="85" t="s">
        <v>1561</v>
      </c>
      <c r="I375" s="86">
        <v>248</v>
      </c>
      <c r="J375" s="86">
        <v>210</v>
      </c>
      <c r="K375" s="87">
        <v>0.8467741935483871</v>
      </c>
      <c r="L375" s="87">
        <v>1</v>
      </c>
      <c r="M375" s="88">
        <v>0.8467741935483871</v>
      </c>
      <c r="N375" s="89"/>
      <c r="O375" s="87"/>
      <c r="P375" s="87"/>
      <c r="Q375" s="87"/>
      <c r="R375" s="87"/>
      <c r="S375" s="87">
        <v>0.8467741935483871</v>
      </c>
      <c r="T375" s="87"/>
      <c r="U375" s="87">
        <v>0.8467741935483871</v>
      </c>
      <c r="V375" s="90" t="s">
        <v>1994</v>
      </c>
    </row>
    <row r="376" ht="15" customHeight="1" spans="1:23" x14ac:dyDescent="0.25">
      <c r="A376" s="85">
        <v>33385</v>
      </c>
      <c r="B376" s="85" t="s">
        <v>1991</v>
      </c>
      <c r="C376" s="85" t="s">
        <v>380</v>
      </c>
      <c r="D376" s="85" t="s">
        <v>386</v>
      </c>
      <c r="E376" s="85"/>
      <c r="F376" s="85" t="s">
        <v>1084</v>
      </c>
      <c r="G376" s="85" t="s">
        <v>1995</v>
      </c>
      <c r="H376" s="85" t="s">
        <v>1918</v>
      </c>
      <c r="I376" s="86">
        <v>248</v>
      </c>
      <c r="J376" s="86">
        <v>3</v>
      </c>
      <c r="K376" s="87">
        <v>0.012096774193548387</v>
      </c>
      <c r="L376" s="87">
        <v>1</v>
      </c>
      <c r="M376" s="88">
        <v>0.012096774193548387</v>
      </c>
      <c r="N376" s="89">
        <v>1</v>
      </c>
      <c r="O376" s="87">
        <v>0.012096774193548387</v>
      </c>
      <c r="P376" s="87"/>
      <c r="Q376" s="87">
        <v>0.012096774193548387</v>
      </c>
      <c r="R376" s="87"/>
      <c r="S376" s="87">
        <v>0.012096774193548387</v>
      </c>
      <c r="T376" s="87"/>
      <c r="U376" s="87">
        <v>0.012096774193548387</v>
      </c>
      <c r="V376" s="90" t="s">
        <v>1996</v>
      </c>
    </row>
    <row r="377" ht="15" customHeight="1" spans="1:23" x14ac:dyDescent="0.25">
      <c r="A377" s="85">
        <v>33385</v>
      </c>
      <c r="B377" s="85" t="s">
        <v>1991</v>
      </c>
      <c r="C377" s="85" t="s">
        <v>380</v>
      </c>
      <c r="D377" s="85" t="s">
        <v>386</v>
      </c>
      <c r="E377" s="85"/>
      <c r="F377" s="85" t="s">
        <v>1084</v>
      </c>
      <c r="G377" s="85" t="s">
        <v>1873</v>
      </c>
      <c r="H377" s="85" t="s">
        <v>1997</v>
      </c>
      <c r="I377" s="86">
        <v>248</v>
      </c>
      <c r="J377" s="86">
        <v>12</v>
      </c>
      <c r="K377" s="87">
        <v>0.04838709677419355</v>
      </c>
      <c r="L377" s="87">
        <v>1</v>
      </c>
      <c r="M377" s="88">
        <v>0.04838709677419355</v>
      </c>
      <c r="N377" s="89"/>
      <c r="O377" s="87"/>
      <c r="P377" s="87"/>
      <c r="Q377" s="87"/>
      <c r="R377" s="87"/>
      <c r="S377" s="87">
        <v>0.04838709677419355</v>
      </c>
      <c r="T377" s="87"/>
      <c r="U377" s="87">
        <v>0.04838709677419355</v>
      </c>
      <c r="V377" s="90" t="s">
        <v>1998</v>
      </c>
    </row>
    <row r="378" ht="15" customHeight="1" spans="1:23" x14ac:dyDescent="0.25">
      <c r="A378" s="85">
        <v>33385</v>
      </c>
      <c r="B378" s="85" t="s">
        <v>1991</v>
      </c>
      <c r="C378" s="85" t="s">
        <v>380</v>
      </c>
      <c r="D378" s="85" t="s">
        <v>386</v>
      </c>
      <c r="E378" s="85"/>
      <c r="F378" s="85" t="s">
        <v>1084</v>
      </c>
      <c r="G378" s="85" t="s">
        <v>1682</v>
      </c>
      <c r="H378" s="85" t="s">
        <v>1875</v>
      </c>
      <c r="I378" s="86">
        <v>248</v>
      </c>
      <c r="J378" s="86">
        <v>5</v>
      </c>
      <c r="K378" s="87">
        <v>0.020161290322580645</v>
      </c>
      <c r="L378" s="87">
        <v>1</v>
      </c>
      <c r="M378" s="88">
        <v>0.020161290322580645</v>
      </c>
      <c r="N378" s="89">
        <v>1</v>
      </c>
      <c r="O378" s="87">
        <v>0.020161290322580645</v>
      </c>
      <c r="P378" s="87"/>
      <c r="Q378" s="87">
        <v>0.020161290322580645</v>
      </c>
      <c r="R378" s="87"/>
      <c r="S378" s="87">
        <v>0.020161290322580645</v>
      </c>
      <c r="T378" s="87"/>
      <c r="U378" s="87">
        <v>0.020161290322580645</v>
      </c>
      <c r="V378" s="90" t="s">
        <v>1999</v>
      </c>
    </row>
    <row r="379" ht="15" customHeight="1" spans="1:23" x14ac:dyDescent="0.25">
      <c r="A379" s="85">
        <v>33385</v>
      </c>
      <c r="B379" s="85" t="s">
        <v>1991</v>
      </c>
      <c r="C379" s="85" t="s">
        <v>380</v>
      </c>
      <c r="D379" s="85" t="s">
        <v>386</v>
      </c>
      <c r="E379" s="85"/>
      <c r="F379" s="85" t="s">
        <v>1084</v>
      </c>
      <c r="G379" s="85" t="s">
        <v>283</v>
      </c>
      <c r="H379" s="85" t="s">
        <v>1902</v>
      </c>
      <c r="I379" s="86">
        <v>248</v>
      </c>
      <c r="J379" s="86">
        <v>18</v>
      </c>
      <c r="K379" s="87">
        <v>0.07258064516129033</v>
      </c>
      <c r="L379" s="87">
        <v>1</v>
      </c>
      <c r="M379" s="88">
        <v>0.07258064516129033</v>
      </c>
      <c r="N379" s="89"/>
      <c r="O379" s="87"/>
      <c r="P379" s="87"/>
      <c r="Q379" s="87"/>
      <c r="R379" s="87"/>
      <c r="S379" s="87">
        <v>0.07258064516129033</v>
      </c>
      <c r="T379" s="87"/>
      <c r="U379" s="87">
        <v>0.07258064516129033</v>
      </c>
      <c r="V379" s="90" t="s">
        <v>2000</v>
      </c>
    </row>
    <row r="380" ht="15" customHeight="1" spans="1:23" x14ac:dyDescent="0.25">
      <c r="A380" s="85">
        <v>34569</v>
      </c>
      <c r="B380" s="85" t="s">
        <v>2001</v>
      </c>
      <c r="C380" s="85" t="s">
        <v>380</v>
      </c>
      <c r="D380" s="85" t="s">
        <v>775</v>
      </c>
      <c r="E380" s="85"/>
      <c r="F380" s="85" t="s">
        <v>155</v>
      </c>
      <c r="G380" s="85"/>
      <c r="H380" s="85"/>
      <c r="I380" s="86"/>
      <c r="J380" s="86"/>
      <c r="K380" s="87"/>
      <c r="L380" s="87"/>
      <c r="M380" s="88"/>
      <c r="N380" s="89"/>
      <c r="O380" s="87"/>
      <c r="P380" s="87"/>
      <c r="Q380" s="87"/>
      <c r="R380" s="87"/>
      <c r="S380" s="87">
        <v>0.125</v>
      </c>
      <c r="T380" s="87">
        <v>0.125</v>
      </c>
      <c r="U380" s="87">
        <v>0.125</v>
      </c>
      <c r="V380" s="90" t="s">
        <v>2002</v>
      </c>
    </row>
    <row r="381" ht="15" customHeight="1" spans="1:23" x14ac:dyDescent="0.25">
      <c r="A381" s="85">
        <v>34569</v>
      </c>
      <c r="B381" s="85" t="s">
        <v>2001</v>
      </c>
      <c r="C381" s="85" t="s">
        <v>380</v>
      </c>
      <c r="D381" s="85" t="s">
        <v>775</v>
      </c>
      <c r="E381" s="85"/>
      <c r="F381" s="85" t="s">
        <v>1084</v>
      </c>
      <c r="G381" s="85" t="s">
        <v>775</v>
      </c>
      <c r="H381" s="85" t="s">
        <v>1561</v>
      </c>
      <c r="I381" s="86">
        <v>248</v>
      </c>
      <c r="J381" s="86">
        <v>31</v>
      </c>
      <c r="K381" s="87">
        <v>0.125</v>
      </c>
      <c r="L381" s="87">
        <v>1</v>
      </c>
      <c r="M381" s="88">
        <v>0.125</v>
      </c>
      <c r="N381" s="89"/>
      <c r="O381" s="87"/>
      <c r="P381" s="87"/>
      <c r="Q381" s="87"/>
      <c r="R381" s="87"/>
      <c r="S381" s="87">
        <v>0.125</v>
      </c>
      <c r="T381" s="87"/>
      <c r="U381" s="87">
        <v>0.125</v>
      </c>
      <c r="V381" s="90" t="s">
        <v>2002</v>
      </c>
    </row>
    <row r="382" ht="15" customHeight="1" spans="1:23" x14ac:dyDescent="0.25">
      <c r="A382" s="85">
        <v>34859</v>
      </c>
      <c r="B382" s="85" t="s">
        <v>2003</v>
      </c>
      <c r="C382" s="85" t="s">
        <v>380</v>
      </c>
      <c r="D382" s="85" t="s">
        <v>803</v>
      </c>
      <c r="E382" s="85"/>
      <c r="F382" s="85" t="s">
        <v>155</v>
      </c>
      <c r="G382" s="85"/>
      <c r="H382" s="85"/>
      <c r="I382" s="86"/>
      <c r="J382" s="86"/>
      <c r="K382" s="87"/>
      <c r="L382" s="87"/>
      <c r="M382" s="88"/>
      <c r="N382" s="89"/>
      <c r="O382" s="87"/>
      <c r="P382" s="87"/>
      <c r="Q382" s="87"/>
      <c r="R382" s="87"/>
      <c r="S382" s="87">
        <v>1</v>
      </c>
      <c r="T382" s="87">
        <v>1</v>
      </c>
      <c r="U382" s="87"/>
      <c r="V382" s="90" t="s">
        <v>1084</v>
      </c>
    </row>
    <row r="383" ht="15" customHeight="1" spans="1:23" x14ac:dyDescent="0.25">
      <c r="A383" s="85">
        <v>34859</v>
      </c>
      <c r="B383" s="85" t="s">
        <v>2003</v>
      </c>
      <c r="C383" s="85" t="s">
        <v>380</v>
      </c>
      <c r="D383" s="85" t="s">
        <v>803</v>
      </c>
      <c r="E383" s="85"/>
      <c r="F383" s="85" t="s">
        <v>1084</v>
      </c>
      <c r="G383" s="85" t="s">
        <v>283</v>
      </c>
      <c r="H383" s="85" t="s">
        <v>1561</v>
      </c>
      <c r="I383" s="86">
        <v>248</v>
      </c>
      <c r="J383" s="86">
        <v>248</v>
      </c>
      <c r="K383" s="87">
        <v>1</v>
      </c>
      <c r="L383" s="87">
        <v>1</v>
      </c>
      <c r="M383" s="88">
        <v>1</v>
      </c>
      <c r="N383" s="89"/>
      <c r="O383" s="87"/>
      <c r="P383" s="87"/>
      <c r="Q383" s="87"/>
      <c r="R383" s="87"/>
      <c r="S383" s="87">
        <v>1</v>
      </c>
      <c r="T383" s="87"/>
      <c r="U383" s="87">
        <v>0</v>
      </c>
      <c r="V383" s="90" t="s">
        <v>1084</v>
      </c>
    </row>
    <row r="384" ht="15" customHeight="1" spans="1:23" x14ac:dyDescent="0.25">
      <c r="A384" s="85">
        <v>35161</v>
      </c>
      <c r="B384" s="85" t="s">
        <v>2004</v>
      </c>
      <c r="C384" s="85" t="s">
        <v>965</v>
      </c>
      <c r="D384" s="85" t="s">
        <v>1030</v>
      </c>
      <c r="E384" s="85" t="s">
        <v>1047</v>
      </c>
      <c r="F384" s="85" t="s">
        <v>155</v>
      </c>
      <c r="G384" s="85"/>
      <c r="H384" s="85"/>
      <c r="I384" s="86"/>
      <c r="J384" s="86"/>
      <c r="K384" s="87"/>
      <c r="L384" s="87"/>
      <c r="M384" s="88"/>
      <c r="N384" s="89"/>
      <c r="O384" s="87"/>
      <c r="P384" s="87"/>
      <c r="Q384" s="87"/>
      <c r="R384" s="87"/>
      <c r="S384" s="87">
        <v>0.25806451612903225</v>
      </c>
      <c r="T384" s="87">
        <v>0.25806451612903225</v>
      </c>
      <c r="U384" s="87"/>
      <c r="V384" s="90" t="s">
        <v>1084</v>
      </c>
    </row>
    <row r="385" ht="15" customHeight="1" spans="1:23" x14ac:dyDescent="0.25">
      <c r="A385" s="85">
        <v>35161</v>
      </c>
      <c r="B385" s="85" t="s">
        <v>2004</v>
      </c>
      <c r="C385" s="85" t="s">
        <v>965</v>
      </c>
      <c r="D385" s="85" t="s">
        <v>1030</v>
      </c>
      <c r="E385" s="85" t="s">
        <v>1047</v>
      </c>
      <c r="F385" s="85" t="s">
        <v>1084</v>
      </c>
      <c r="G385" s="85" t="s">
        <v>283</v>
      </c>
      <c r="H385" s="85" t="s">
        <v>1047</v>
      </c>
      <c r="I385" s="86">
        <v>248</v>
      </c>
      <c r="J385" s="86">
        <v>64</v>
      </c>
      <c r="K385" s="87">
        <v>0.25806451612903225</v>
      </c>
      <c r="L385" s="87">
        <v>1</v>
      </c>
      <c r="M385" s="88">
        <v>0.25806451612903225</v>
      </c>
      <c r="N385" s="89"/>
      <c r="O385" s="87"/>
      <c r="P385" s="87"/>
      <c r="Q385" s="87"/>
      <c r="R385" s="87"/>
      <c r="S385" s="87">
        <v>0.25806451612903225</v>
      </c>
      <c r="T385" s="87"/>
      <c r="U385" s="87">
        <v>0</v>
      </c>
      <c r="V385" s="90" t="s">
        <v>1084</v>
      </c>
    </row>
    <row r="386" ht="15" customHeight="1" spans="1:23" x14ac:dyDescent="0.25">
      <c r="A386" s="85">
        <v>35310</v>
      </c>
      <c r="B386" s="85" t="s">
        <v>2005</v>
      </c>
      <c r="C386" s="85" t="s">
        <v>161</v>
      </c>
      <c r="D386" s="85" t="s">
        <v>182</v>
      </c>
      <c r="E386" s="85"/>
      <c r="F386" s="85" t="s">
        <v>155</v>
      </c>
      <c r="G386" s="85"/>
      <c r="H386" s="85"/>
      <c r="I386" s="86"/>
      <c r="J386" s="86"/>
      <c r="K386" s="87"/>
      <c r="L386" s="87"/>
      <c r="M386" s="88"/>
      <c r="N386" s="89"/>
      <c r="O386" s="87"/>
      <c r="P386" s="87"/>
      <c r="Q386" s="87"/>
      <c r="R386" s="87"/>
      <c r="S386" s="87">
        <v>0.8</v>
      </c>
      <c r="T386" s="87">
        <v>0.8</v>
      </c>
      <c r="U386" s="87">
        <v>0.8000000000000002</v>
      </c>
      <c r="V386" s="90" t="s">
        <v>2006</v>
      </c>
    </row>
    <row r="387" ht="15" customHeight="1" spans="1:23" x14ac:dyDescent="0.25">
      <c r="A387" s="85">
        <v>35310</v>
      </c>
      <c r="B387" s="85" t="s">
        <v>2005</v>
      </c>
      <c r="C387" s="85" t="s">
        <v>161</v>
      </c>
      <c r="D387" s="85" t="s">
        <v>182</v>
      </c>
      <c r="E387" s="85"/>
      <c r="F387" s="85" t="s">
        <v>1084</v>
      </c>
      <c r="G387" s="85" t="s">
        <v>283</v>
      </c>
      <c r="H387" s="85" t="s">
        <v>1561</v>
      </c>
      <c r="I387" s="86">
        <v>248</v>
      </c>
      <c r="J387" s="86">
        <v>248</v>
      </c>
      <c r="K387" s="87">
        <v>1</v>
      </c>
      <c r="L387" s="87">
        <v>0.8</v>
      </c>
      <c r="M387" s="88">
        <v>0.8</v>
      </c>
      <c r="N387" s="89"/>
      <c r="O387" s="87"/>
      <c r="P387" s="87"/>
      <c r="Q387" s="87"/>
      <c r="R387" s="87"/>
      <c r="S387" s="87">
        <v>0.8</v>
      </c>
      <c r="T387" s="87"/>
      <c r="U387" s="87">
        <v>0.8000000000000002</v>
      </c>
      <c r="V387" s="90" t="s">
        <v>2006</v>
      </c>
    </row>
    <row r="388" ht="15" customHeight="1" spans="1:23" x14ac:dyDescent="0.25">
      <c r="A388" s="85">
        <v>35410</v>
      </c>
      <c r="B388" s="85" t="s">
        <v>2007</v>
      </c>
      <c r="C388" s="85" t="s">
        <v>380</v>
      </c>
      <c r="D388" s="85" t="s">
        <v>465</v>
      </c>
      <c r="E388" s="85"/>
      <c r="F388" s="85" t="s">
        <v>155</v>
      </c>
      <c r="G388" s="85"/>
      <c r="H388" s="85"/>
      <c r="I388" s="86"/>
      <c r="J388" s="86"/>
      <c r="K388" s="87"/>
      <c r="L388" s="87"/>
      <c r="M388" s="88"/>
      <c r="N388" s="89"/>
      <c r="O388" s="87"/>
      <c r="P388" s="87"/>
      <c r="Q388" s="87"/>
      <c r="R388" s="87"/>
      <c r="S388" s="87">
        <v>1</v>
      </c>
      <c r="T388" s="87">
        <v>1</v>
      </c>
      <c r="U388" s="87">
        <v>1</v>
      </c>
      <c r="V388" s="90" t="s">
        <v>1622</v>
      </c>
    </row>
    <row r="389" ht="15" customHeight="1" spans="1:23" x14ac:dyDescent="0.25">
      <c r="A389" s="85">
        <v>35410</v>
      </c>
      <c r="B389" s="85" t="s">
        <v>2007</v>
      </c>
      <c r="C389" s="85" t="s">
        <v>380</v>
      </c>
      <c r="D389" s="85" t="s">
        <v>465</v>
      </c>
      <c r="E389" s="85"/>
      <c r="F389" s="85" t="s">
        <v>1084</v>
      </c>
      <c r="G389" s="85" t="s">
        <v>283</v>
      </c>
      <c r="H389" s="85" t="s">
        <v>1561</v>
      </c>
      <c r="I389" s="86">
        <v>248</v>
      </c>
      <c r="J389" s="86">
        <v>248</v>
      </c>
      <c r="K389" s="87">
        <v>1</v>
      </c>
      <c r="L389" s="87">
        <v>1</v>
      </c>
      <c r="M389" s="88">
        <v>1</v>
      </c>
      <c r="N389" s="89"/>
      <c r="O389" s="87"/>
      <c r="P389" s="87"/>
      <c r="Q389" s="87"/>
      <c r="R389" s="87"/>
      <c r="S389" s="87">
        <v>1</v>
      </c>
      <c r="T389" s="87"/>
      <c r="U389" s="87">
        <v>1</v>
      </c>
      <c r="V389" s="90" t="s">
        <v>1622</v>
      </c>
    </row>
    <row r="390" ht="15" customHeight="1" spans="1:23" x14ac:dyDescent="0.25">
      <c r="A390" s="85">
        <v>35457</v>
      </c>
      <c r="B390" s="85" t="s">
        <v>2008</v>
      </c>
      <c r="C390" s="85" t="s">
        <v>965</v>
      </c>
      <c r="D390" s="85" t="s">
        <v>871</v>
      </c>
      <c r="E390" s="85"/>
      <c r="F390" s="85" t="s">
        <v>155</v>
      </c>
      <c r="G390" s="85"/>
      <c r="H390" s="85"/>
      <c r="I390" s="86"/>
      <c r="J390" s="86"/>
      <c r="K390" s="87"/>
      <c r="L390" s="87"/>
      <c r="M390" s="88"/>
      <c r="N390" s="89"/>
      <c r="O390" s="87"/>
      <c r="P390" s="87"/>
      <c r="Q390" s="87"/>
      <c r="R390" s="87"/>
      <c r="S390" s="87">
        <v>0.8266129032258065</v>
      </c>
      <c r="T390" s="87">
        <v>0.8266129032258065</v>
      </c>
      <c r="U390" s="87">
        <v>0.8266129032258065</v>
      </c>
      <c r="V390" s="90" t="s">
        <v>2009</v>
      </c>
    </row>
    <row r="391" ht="15" customHeight="1" spans="1:23" x14ac:dyDescent="0.25">
      <c r="A391" s="85">
        <v>35457</v>
      </c>
      <c r="B391" s="85" t="s">
        <v>2008</v>
      </c>
      <c r="C391" s="85" t="s">
        <v>965</v>
      </c>
      <c r="D391" s="85" t="s">
        <v>871</v>
      </c>
      <c r="E391" s="85"/>
      <c r="F391" s="85" t="s">
        <v>1084</v>
      </c>
      <c r="G391" s="85" t="s">
        <v>871</v>
      </c>
      <c r="H391" s="85" t="s">
        <v>1561</v>
      </c>
      <c r="I391" s="86">
        <v>248</v>
      </c>
      <c r="J391" s="86">
        <v>205</v>
      </c>
      <c r="K391" s="87">
        <v>0.8266129032258065</v>
      </c>
      <c r="L391" s="87">
        <v>1</v>
      </c>
      <c r="M391" s="88">
        <v>0.8266129032258065</v>
      </c>
      <c r="N391" s="89"/>
      <c r="O391" s="87"/>
      <c r="P391" s="87"/>
      <c r="Q391" s="87"/>
      <c r="R391" s="87"/>
      <c r="S391" s="87">
        <v>0.8266129032258065</v>
      </c>
      <c r="T391" s="87"/>
      <c r="U391" s="87">
        <v>0.8266129032258065</v>
      </c>
      <c r="V391" s="90" t="s">
        <v>2009</v>
      </c>
    </row>
    <row r="392" ht="15" customHeight="1" spans="1:23" x14ac:dyDescent="0.25">
      <c r="A392" s="85">
        <v>36992</v>
      </c>
      <c r="B392" s="85" t="s">
        <v>2010</v>
      </c>
      <c r="C392" s="85" t="s">
        <v>380</v>
      </c>
      <c r="D392" s="85" t="s">
        <v>934</v>
      </c>
      <c r="E392" s="85" t="s">
        <v>935</v>
      </c>
      <c r="F392" s="85" t="s">
        <v>155</v>
      </c>
      <c r="G392" s="85"/>
      <c r="H392" s="85"/>
      <c r="I392" s="86"/>
      <c r="J392" s="86"/>
      <c r="K392" s="87"/>
      <c r="L392" s="87"/>
      <c r="M392" s="88"/>
      <c r="N392" s="89"/>
      <c r="O392" s="87"/>
      <c r="P392" s="87"/>
      <c r="Q392" s="87"/>
      <c r="R392" s="87"/>
      <c r="S392" s="87">
        <v>0.43951612903225806</v>
      </c>
      <c r="T392" s="87">
        <v>0.43951612903225806</v>
      </c>
      <c r="U392" s="87">
        <v>0.43951612903225806</v>
      </c>
      <c r="V392" s="90" t="s">
        <v>2011</v>
      </c>
    </row>
    <row r="393" ht="15" customHeight="1" spans="1:23" x14ac:dyDescent="0.25">
      <c r="A393" s="85">
        <v>36992</v>
      </c>
      <c r="B393" s="85" t="s">
        <v>2010</v>
      </c>
      <c r="C393" s="85" t="s">
        <v>380</v>
      </c>
      <c r="D393" s="85" t="s">
        <v>934</v>
      </c>
      <c r="E393" s="85" t="s">
        <v>935</v>
      </c>
      <c r="F393" s="85" t="s">
        <v>1084</v>
      </c>
      <c r="G393" s="85" t="s">
        <v>934</v>
      </c>
      <c r="H393" s="85" t="s">
        <v>935</v>
      </c>
      <c r="I393" s="86">
        <v>248</v>
      </c>
      <c r="J393" s="86">
        <v>109</v>
      </c>
      <c r="K393" s="87">
        <v>0.43951612903225806</v>
      </c>
      <c r="L393" s="87">
        <v>1</v>
      </c>
      <c r="M393" s="88">
        <v>0.43951612903225806</v>
      </c>
      <c r="N393" s="89"/>
      <c r="O393" s="87"/>
      <c r="P393" s="87"/>
      <c r="Q393" s="87"/>
      <c r="R393" s="87"/>
      <c r="S393" s="87">
        <v>0.43951612903225806</v>
      </c>
      <c r="T393" s="87"/>
      <c r="U393" s="87">
        <v>0.43951612903225806</v>
      </c>
      <c r="V393" s="90" t="s">
        <v>2011</v>
      </c>
    </row>
    <row r="394" ht="15" customHeight="1" spans="1:23" x14ac:dyDescent="0.25">
      <c r="A394" s="85">
        <v>37435</v>
      </c>
      <c r="B394" s="85" t="s">
        <v>2012</v>
      </c>
      <c r="C394" s="85" t="s">
        <v>380</v>
      </c>
      <c r="D394" s="85" t="s">
        <v>871</v>
      </c>
      <c r="E394" s="85"/>
      <c r="F394" s="85" t="s">
        <v>155</v>
      </c>
      <c r="G394" s="85"/>
      <c r="H394" s="85"/>
      <c r="I394" s="86"/>
      <c r="J394" s="86"/>
      <c r="K394" s="87"/>
      <c r="L394" s="87"/>
      <c r="M394" s="88"/>
      <c r="N394" s="89"/>
      <c r="O394" s="87"/>
      <c r="P394" s="87"/>
      <c r="Q394" s="87"/>
      <c r="R394" s="87"/>
      <c r="S394" s="87">
        <v>0.8266129032258065</v>
      </c>
      <c r="T394" s="87">
        <v>0.8266129032258065</v>
      </c>
      <c r="U394" s="87"/>
      <c r="V394" s="90" t="s">
        <v>1084</v>
      </c>
    </row>
    <row r="395" ht="15" customHeight="1" spans="1:23" x14ac:dyDescent="0.25">
      <c r="A395" s="85">
        <v>37435</v>
      </c>
      <c r="B395" s="85" t="s">
        <v>2012</v>
      </c>
      <c r="C395" s="85" t="s">
        <v>380</v>
      </c>
      <c r="D395" s="85" t="s">
        <v>871</v>
      </c>
      <c r="E395" s="85"/>
      <c r="F395" s="85" t="s">
        <v>1084</v>
      </c>
      <c r="G395" s="85" t="s">
        <v>871</v>
      </c>
      <c r="H395" s="85" t="s">
        <v>1561</v>
      </c>
      <c r="I395" s="86">
        <v>248</v>
      </c>
      <c r="J395" s="86">
        <v>205</v>
      </c>
      <c r="K395" s="87">
        <v>0.8266129032258065</v>
      </c>
      <c r="L395" s="87">
        <v>1</v>
      </c>
      <c r="M395" s="88">
        <v>0.8266129032258065</v>
      </c>
      <c r="N395" s="89"/>
      <c r="O395" s="87"/>
      <c r="P395" s="87"/>
      <c r="Q395" s="87"/>
      <c r="R395" s="87"/>
      <c r="S395" s="87">
        <v>0.8266129032258065</v>
      </c>
      <c r="T395" s="87"/>
      <c r="U395" s="87">
        <v>0</v>
      </c>
      <c r="V395" s="90" t="s">
        <v>1084</v>
      </c>
    </row>
    <row r="396" ht="15" customHeight="1" spans="1:23" x14ac:dyDescent="0.25">
      <c r="A396" s="85">
        <v>37712</v>
      </c>
      <c r="B396" s="85" t="s">
        <v>2013</v>
      </c>
      <c r="C396" s="85" t="s">
        <v>965</v>
      </c>
      <c r="D396" s="85" t="s">
        <v>1035</v>
      </c>
      <c r="E396" s="85"/>
      <c r="F396" s="85" t="s">
        <v>155</v>
      </c>
      <c r="G396" s="85"/>
      <c r="H396" s="85"/>
      <c r="I396" s="86"/>
      <c r="J396" s="86"/>
      <c r="K396" s="87"/>
      <c r="L396" s="87"/>
      <c r="M396" s="88"/>
      <c r="N396" s="89"/>
      <c r="O396" s="87"/>
      <c r="P396" s="87"/>
      <c r="Q396" s="87"/>
      <c r="R396" s="87"/>
      <c r="S396" s="87">
        <v>0.5645161290322581</v>
      </c>
      <c r="T396" s="87">
        <v>0.5645161290322581</v>
      </c>
      <c r="U396" s="87">
        <v>0.564516129032258</v>
      </c>
      <c r="V396" s="90" t="s">
        <v>2014</v>
      </c>
    </row>
    <row r="397" ht="15" customHeight="1" spans="1:23" x14ac:dyDescent="0.25">
      <c r="A397" s="85">
        <v>37712</v>
      </c>
      <c r="B397" s="85" t="s">
        <v>2013</v>
      </c>
      <c r="C397" s="85" t="s">
        <v>965</v>
      </c>
      <c r="D397" s="85" t="s">
        <v>1035</v>
      </c>
      <c r="E397" s="85"/>
      <c r="F397" s="85" t="s">
        <v>1084</v>
      </c>
      <c r="G397" s="85" t="s">
        <v>1035</v>
      </c>
      <c r="H397" s="85" t="s">
        <v>1561</v>
      </c>
      <c r="I397" s="86">
        <v>248</v>
      </c>
      <c r="J397" s="86">
        <v>140</v>
      </c>
      <c r="K397" s="87">
        <v>0.5645161290322581</v>
      </c>
      <c r="L397" s="87">
        <v>1</v>
      </c>
      <c r="M397" s="88">
        <v>0.5645161290322581</v>
      </c>
      <c r="N397" s="89"/>
      <c r="O397" s="87"/>
      <c r="P397" s="87"/>
      <c r="Q397" s="87"/>
      <c r="R397" s="87"/>
      <c r="S397" s="87">
        <v>0.5645161290322581</v>
      </c>
      <c r="T397" s="87"/>
      <c r="U397" s="87">
        <v>0.564516129032258</v>
      </c>
      <c r="V397" s="90" t="s">
        <v>2014</v>
      </c>
    </row>
    <row r="398" ht="15" customHeight="1" spans="1:23" x14ac:dyDescent="0.25">
      <c r="A398" s="85">
        <v>37742</v>
      </c>
      <c r="B398" s="85" t="s">
        <v>2015</v>
      </c>
      <c r="C398" s="85" t="s">
        <v>380</v>
      </c>
      <c r="D398" s="85" t="s">
        <v>527</v>
      </c>
      <c r="E398" s="85" t="s">
        <v>528</v>
      </c>
      <c r="F398" s="85" t="s">
        <v>155</v>
      </c>
      <c r="G398" s="85"/>
      <c r="H398" s="85"/>
      <c r="I398" s="86"/>
      <c r="J398" s="86"/>
      <c r="K398" s="87"/>
      <c r="L398" s="87"/>
      <c r="M398" s="88"/>
      <c r="N398" s="89"/>
      <c r="O398" s="87"/>
      <c r="P398" s="87"/>
      <c r="Q398" s="87"/>
      <c r="R398" s="87"/>
      <c r="S398" s="87">
        <v>0.5241935483870968</v>
      </c>
      <c r="T398" s="87">
        <v>0.5241935483870968</v>
      </c>
      <c r="U398" s="87">
        <v>0.5241935483870968</v>
      </c>
      <c r="V398" s="90" t="s">
        <v>2016</v>
      </c>
    </row>
    <row r="399" ht="15" customHeight="1" spans="1:23" x14ac:dyDescent="0.25">
      <c r="A399" s="85">
        <v>37742</v>
      </c>
      <c r="B399" s="85" t="s">
        <v>2015</v>
      </c>
      <c r="C399" s="85" t="s">
        <v>380</v>
      </c>
      <c r="D399" s="85" t="s">
        <v>527</v>
      </c>
      <c r="E399" s="85" t="s">
        <v>528</v>
      </c>
      <c r="F399" s="85" t="s">
        <v>1084</v>
      </c>
      <c r="G399" s="85" t="s">
        <v>283</v>
      </c>
      <c r="H399" s="85" t="s">
        <v>528</v>
      </c>
      <c r="I399" s="86">
        <v>248</v>
      </c>
      <c r="J399" s="86">
        <v>130</v>
      </c>
      <c r="K399" s="87">
        <v>0.5241935483870968</v>
      </c>
      <c r="L399" s="87">
        <v>1</v>
      </c>
      <c r="M399" s="88">
        <v>0.5241935483870968</v>
      </c>
      <c r="N399" s="89"/>
      <c r="O399" s="87"/>
      <c r="P399" s="87"/>
      <c r="Q399" s="87"/>
      <c r="R399" s="87"/>
      <c r="S399" s="87">
        <v>0.5241935483870968</v>
      </c>
      <c r="T399" s="87"/>
      <c r="U399" s="87">
        <v>0.5241935483870968</v>
      </c>
      <c r="V399" s="90" t="s">
        <v>2016</v>
      </c>
    </row>
    <row r="400" ht="15" customHeight="1" spans="1:23" x14ac:dyDescent="0.25">
      <c r="A400" s="85">
        <v>37764</v>
      </c>
      <c r="B400" s="85" t="s">
        <v>2017</v>
      </c>
      <c r="C400" s="85" t="s">
        <v>380</v>
      </c>
      <c r="D400" s="85" t="s">
        <v>826</v>
      </c>
      <c r="E400" s="85"/>
      <c r="F400" s="85" t="s">
        <v>155</v>
      </c>
      <c r="G400" s="85"/>
      <c r="H400" s="85"/>
      <c r="I400" s="86"/>
      <c r="J400" s="86"/>
      <c r="K400" s="87"/>
      <c r="L400" s="87"/>
      <c r="M400" s="88"/>
      <c r="N400" s="89"/>
      <c r="O400" s="87"/>
      <c r="P400" s="87"/>
      <c r="Q400" s="87"/>
      <c r="R400" s="87"/>
      <c r="S400" s="87">
        <v>1</v>
      </c>
      <c r="T400" s="87">
        <v>1</v>
      </c>
      <c r="U400" s="87">
        <v>1</v>
      </c>
      <c r="V400" s="90" t="s">
        <v>1606</v>
      </c>
    </row>
    <row r="401" ht="15" customHeight="1" spans="1:23" x14ac:dyDescent="0.25">
      <c r="A401" s="85">
        <v>37764</v>
      </c>
      <c r="B401" s="85" t="s">
        <v>2017</v>
      </c>
      <c r="C401" s="85" t="s">
        <v>380</v>
      </c>
      <c r="D401" s="85" t="s">
        <v>826</v>
      </c>
      <c r="E401" s="85"/>
      <c r="F401" s="85" t="s">
        <v>1084</v>
      </c>
      <c r="G401" s="85" t="s">
        <v>283</v>
      </c>
      <c r="H401" s="85" t="s">
        <v>1561</v>
      </c>
      <c r="I401" s="86">
        <v>248</v>
      </c>
      <c r="J401" s="86">
        <v>248</v>
      </c>
      <c r="K401" s="87">
        <v>1</v>
      </c>
      <c r="L401" s="87">
        <v>1</v>
      </c>
      <c r="M401" s="88">
        <v>1</v>
      </c>
      <c r="N401" s="89"/>
      <c r="O401" s="87"/>
      <c r="P401" s="87"/>
      <c r="Q401" s="87"/>
      <c r="R401" s="87"/>
      <c r="S401" s="87">
        <v>1</v>
      </c>
      <c r="T401" s="87"/>
      <c r="U401" s="87">
        <v>1</v>
      </c>
      <c r="V401" s="90" t="s">
        <v>1606</v>
      </c>
    </row>
    <row r="402" ht="15" customHeight="1" spans="1:23" x14ac:dyDescent="0.25">
      <c r="A402" s="85">
        <v>37860</v>
      </c>
      <c r="B402" s="85" t="s">
        <v>2018</v>
      </c>
      <c r="C402" s="85" t="s">
        <v>380</v>
      </c>
      <c r="D402" s="85" t="s">
        <v>208</v>
      </c>
      <c r="E402" s="85"/>
      <c r="F402" s="85" t="s">
        <v>155</v>
      </c>
      <c r="G402" s="85"/>
      <c r="H402" s="85"/>
      <c r="I402" s="86"/>
      <c r="J402" s="86"/>
      <c r="K402" s="87"/>
      <c r="L402" s="87"/>
      <c r="M402" s="88"/>
      <c r="N402" s="89"/>
      <c r="O402" s="87"/>
      <c r="P402" s="87"/>
      <c r="Q402" s="87"/>
      <c r="R402" s="87"/>
      <c r="S402" s="87">
        <v>1</v>
      </c>
      <c r="T402" s="87">
        <v>1</v>
      </c>
      <c r="U402" s="87">
        <v>1</v>
      </c>
      <c r="V402" s="90" t="s">
        <v>1604</v>
      </c>
    </row>
    <row r="403" ht="15" customHeight="1" spans="1:23" x14ac:dyDescent="0.25">
      <c r="A403" s="85">
        <v>37860</v>
      </c>
      <c r="B403" s="85" t="s">
        <v>2018</v>
      </c>
      <c r="C403" s="85" t="s">
        <v>380</v>
      </c>
      <c r="D403" s="85" t="s">
        <v>208</v>
      </c>
      <c r="E403" s="85"/>
      <c r="F403" s="85" t="s">
        <v>1084</v>
      </c>
      <c r="G403" s="85" t="s">
        <v>283</v>
      </c>
      <c r="H403" s="85" t="s">
        <v>1561</v>
      </c>
      <c r="I403" s="86">
        <v>248</v>
      </c>
      <c r="J403" s="86">
        <v>248</v>
      </c>
      <c r="K403" s="87">
        <v>1</v>
      </c>
      <c r="L403" s="87">
        <v>1</v>
      </c>
      <c r="M403" s="88">
        <v>1</v>
      </c>
      <c r="N403" s="89"/>
      <c r="O403" s="87"/>
      <c r="P403" s="87"/>
      <c r="Q403" s="87"/>
      <c r="R403" s="87"/>
      <c r="S403" s="87">
        <v>1</v>
      </c>
      <c r="T403" s="87"/>
      <c r="U403" s="87">
        <v>1</v>
      </c>
      <c r="V403" s="90" t="s">
        <v>1604</v>
      </c>
    </row>
    <row r="404" ht="15" customHeight="1" spans="1:23" x14ac:dyDescent="0.25">
      <c r="A404" s="85">
        <v>38073</v>
      </c>
      <c r="B404" s="85" t="s">
        <v>2019</v>
      </c>
      <c r="C404" s="85" t="s">
        <v>380</v>
      </c>
      <c r="D404" s="85" t="s">
        <v>657</v>
      </c>
      <c r="E404" s="85"/>
      <c r="F404" s="85" t="s">
        <v>155</v>
      </c>
      <c r="G404" s="85"/>
      <c r="H404" s="85"/>
      <c r="I404" s="86"/>
      <c r="J404" s="86"/>
      <c r="K404" s="87"/>
      <c r="L404" s="87"/>
      <c r="M404" s="88"/>
      <c r="N404" s="89"/>
      <c r="O404" s="87"/>
      <c r="P404" s="87"/>
      <c r="Q404" s="87"/>
      <c r="R404" s="87"/>
      <c r="S404" s="87">
        <v>0.21370967741935484</v>
      </c>
      <c r="T404" s="87">
        <v>0.21370967741935484</v>
      </c>
      <c r="U404" s="87"/>
      <c r="V404" s="90" t="s">
        <v>1084</v>
      </c>
    </row>
    <row r="405" ht="15" customHeight="1" spans="1:23" x14ac:dyDescent="0.25">
      <c r="A405" s="85">
        <v>38073</v>
      </c>
      <c r="B405" s="85" t="s">
        <v>2019</v>
      </c>
      <c r="C405" s="85" t="s">
        <v>380</v>
      </c>
      <c r="D405" s="85" t="s">
        <v>657</v>
      </c>
      <c r="E405" s="85"/>
      <c r="F405" s="85" t="s">
        <v>1084</v>
      </c>
      <c r="G405" s="85" t="s">
        <v>657</v>
      </c>
      <c r="H405" s="85" t="s">
        <v>1561</v>
      </c>
      <c r="I405" s="86">
        <v>248</v>
      </c>
      <c r="J405" s="86">
        <v>53</v>
      </c>
      <c r="K405" s="87">
        <v>0.21370967741935484</v>
      </c>
      <c r="L405" s="87">
        <v>1</v>
      </c>
      <c r="M405" s="88">
        <v>0.21370967741935484</v>
      </c>
      <c r="N405" s="89"/>
      <c r="O405" s="87"/>
      <c r="P405" s="87"/>
      <c r="Q405" s="87"/>
      <c r="R405" s="87"/>
      <c r="S405" s="87">
        <v>0.21370967741935484</v>
      </c>
      <c r="T405" s="87"/>
      <c r="U405" s="87">
        <v>0</v>
      </c>
      <c r="V405" s="90" t="s">
        <v>1084</v>
      </c>
    </row>
    <row r="406" ht="15" customHeight="1" spans="1:23" x14ac:dyDescent="0.25">
      <c r="A406" s="85">
        <v>38400</v>
      </c>
      <c r="B406" s="85" t="s">
        <v>2020</v>
      </c>
      <c r="C406" s="85" t="s">
        <v>161</v>
      </c>
      <c r="D406" s="85" t="s">
        <v>169</v>
      </c>
      <c r="E406" s="85" t="s">
        <v>170</v>
      </c>
      <c r="F406" s="85" t="s">
        <v>155</v>
      </c>
      <c r="G406" s="85"/>
      <c r="H406" s="85"/>
      <c r="I406" s="86"/>
      <c r="J406" s="86"/>
      <c r="K406" s="87"/>
      <c r="L406" s="87"/>
      <c r="M406" s="88"/>
      <c r="N406" s="89"/>
      <c r="O406" s="87"/>
      <c r="P406" s="87"/>
      <c r="Q406" s="87"/>
      <c r="R406" s="87"/>
      <c r="S406" s="87">
        <v>0.3024193548387097</v>
      </c>
      <c r="T406" s="87">
        <v>0.3024193548387097</v>
      </c>
      <c r="U406" s="87">
        <v>0.3024193548387097</v>
      </c>
      <c r="V406" s="90" t="s">
        <v>2021</v>
      </c>
    </row>
    <row r="407" ht="15" customHeight="1" spans="1:23" x14ac:dyDescent="0.25">
      <c r="A407" s="85">
        <v>38400</v>
      </c>
      <c r="B407" s="85" t="s">
        <v>2020</v>
      </c>
      <c r="C407" s="85" t="s">
        <v>161</v>
      </c>
      <c r="D407" s="85" t="s">
        <v>169</v>
      </c>
      <c r="E407" s="85" t="s">
        <v>170</v>
      </c>
      <c r="F407" s="85" t="s">
        <v>1084</v>
      </c>
      <c r="G407" s="85" t="s">
        <v>169</v>
      </c>
      <c r="H407" s="85" t="s">
        <v>1561</v>
      </c>
      <c r="I407" s="86">
        <v>248</v>
      </c>
      <c r="J407" s="86">
        <v>75</v>
      </c>
      <c r="K407" s="87">
        <v>0.3024193548387097</v>
      </c>
      <c r="L407" s="87">
        <v>1</v>
      </c>
      <c r="M407" s="88">
        <v>0.3024193548387097</v>
      </c>
      <c r="N407" s="89"/>
      <c r="O407" s="87"/>
      <c r="P407" s="87"/>
      <c r="Q407" s="87"/>
      <c r="R407" s="87"/>
      <c r="S407" s="87">
        <v>0.3024193548387097</v>
      </c>
      <c r="T407" s="87"/>
      <c r="U407" s="87">
        <v>0.3024193548387097</v>
      </c>
      <c r="V407" s="90" t="s">
        <v>2021</v>
      </c>
    </row>
    <row r="408" ht="15" customHeight="1" spans="1:23" x14ac:dyDescent="0.25">
      <c r="A408" s="85">
        <v>38509</v>
      </c>
      <c r="B408" s="85" t="s">
        <v>2022</v>
      </c>
      <c r="C408" s="85" t="s">
        <v>380</v>
      </c>
      <c r="D408" s="85" t="s">
        <v>169</v>
      </c>
      <c r="E408" s="85"/>
      <c r="F408" s="85" t="s">
        <v>155</v>
      </c>
      <c r="G408" s="85"/>
      <c r="H408" s="85"/>
      <c r="I408" s="86"/>
      <c r="J408" s="86"/>
      <c r="K408" s="87"/>
      <c r="L408" s="87"/>
      <c r="M408" s="88"/>
      <c r="N408" s="89"/>
      <c r="O408" s="87"/>
      <c r="P408" s="87"/>
      <c r="Q408" s="87"/>
      <c r="R408" s="87"/>
      <c r="S408" s="87">
        <v>0.3024193548387097</v>
      </c>
      <c r="T408" s="87">
        <v>0.3024193548387097</v>
      </c>
      <c r="U408" s="87">
        <v>0.3024193548387097</v>
      </c>
      <c r="V408" s="90" t="s">
        <v>2023</v>
      </c>
    </row>
    <row r="409" ht="15" customHeight="1" spans="1:23" x14ac:dyDescent="0.25">
      <c r="A409" s="85">
        <v>38509</v>
      </c>
      <c r="B409" s="85" t="s">
        <v>2022</v>
      </c>
      <c r="C409" s="85" t="s">
        <v>380</v>
      </c>
      <c r="D409" s="85" t="s">
        <v>169</v>
      </c>
      <c r="E409" s="85"/>
      <c r="F409" s="85" t="s">
        <v>1084</v>
      </c>
      <c r="G409" s="85" t="s">
        <v>169</v>
      </c>
      <c r="H409" s="85" t="s">
        <v>1561</v>
      </c>
      <c r="I409" s="86">
        <v>248</v>
      </c>
      <c r="J409" s="86">
        <v>75</v>
      </c>
      <c r="K409" s="87">
        <v>0.3024193548387097</v>
      </c>
      <c r="L409" s="87">
        <v>1</v>
      </c>
      <c r="M409" s="88">
        <v>0.3024193548387097</v>
      </c>
      <c r="N409" s="89"/>
      <c r="O409" s="87"/>
      <c r="P409" s="87"/>
      <c r="Q409" s="87"/>
      <c r="R409" s="87"/>
      <c r="S409" s="87">
        <v>0.3024193548387097</v>
      </c>
      <c r="T409" s="87"/>
      <c r="U409" s="87">
        <v>0.3024193548387097</v>
      </c>
      <c r="V409" s="90" t="s">
        <v>2023</v>
      </c>
    </row>
    <row r="410" ht="15" customHeight="1" spans="1:23" x14ac:dyDescent="0.25">
      <c r="A410" s="85">
        <v>38576</v>
      </c>
      <c r="B410" s="85" t="s">
        <v>2024</v>
      </c>
      <c r="C410" s="85" t="s">
        <v>161</v>
      </c>
      <c r="D410" s="85" t="s">
        <v>169</v>
      </c>
      <c r="E410" s="85"/>
      <c r="F410" s="85" t="s">
        <v>155</v>
      </c>
      <c r="G410" s="85"/>
      <c r="H410" s="85"/>
      <c r="I410" s="86"/>
      <c r="J410" s="86"/>
      <c r="K410" s="87"/>
      <c r="L410" s="87"/>
      <c r="M410" s="88"/>
      <c r="N410" s="89"/>
      <c r="O410" s="87"/>
      <c r="P410" s="87"/>
      <c r="Q410" s="87"/>
      <c r="R410" s="87"/>
      <c r="S410" s="87">
        <v>0.3024193548387097</v>
      </c>
      <c r="T410" s="87">
        <v>0.3024193548387097</v>
      </c>
      <c r="U410" s="87">
        <v>0.30241935483870963</v>
      </c>
      <c r="V410" s="90" t="s">
        <v>2025</v>
      </c>
    </row>
    <row r="411" ht="15" customHeight="1" spans="1:23" x14ac:dyDescent="0.25">
      <c r="A411" s="85">
        <v>38576</v>
      </c>
      <c r="B411" s="85" t="s">
        <v>2024</v>
      </c>
      <c r="C411" s="85" t="s">
        <v>161</v>
      </c>
      <c r="D411" s="85" t="s">
        <v>169</v>
      </c>
      <c r="E411" s="85"/>
      <c r="F411" s="85" t="s">
        <v>1084</v>
      </c>
      <c r="G411" s="85" t="s">
        <v>169</v>
      </c>
      <c r="H411" s="85" t="s">
        <v>1561</v>
      </c>
      <c r="I411" s="86">
        <v>248</v>
      </c>
      <c r="J411" s="86">
        <v>75</v>
      </c>
      <c r="K411" s="87">
        <v>0.3024193548387097</v>
      </c>
      <c r="L411" s="87">
        <v>1</v>
      </c>
      <c r="M411" s="88">
        <v>0.3024193548387097</v>
      </c>
      <c r="N411" s="89"/>
      <c r="O411" s="87"/>
      <c r="P411" s="87"/>
      <c r="Q411" s="87"/>
      <c r="R411" s="87"/>
      <c r="S411" s="87">
        <v>0.3024193548387097</v>
      </c>
      <c r="T411" s="87"/>
      <c r="U411" s="87">
        <v>0.30241935483870963</v>
      </c>
      <c r="V411" s="90" t="s">
        <v>2025</v>
      </c>
    </row>
    <row r="412" ht="15" customHeight="1" spans="1:23" x14ac:dyDescent="0.25">
      <c r="A412" s="85">
        <v>38577</v>
      </c>
      <c r="B412" s="85" t="s">
        <v>2026</v>
      </c>
      <c r="C412" s="85" t="s">
        <v>161</v>
      </c>
      <c r="D412" s="85" t="s">
        <v>169</v>
      </c>
      <c r="E412" s="85"/>
      <c r="F412" s="85" t="s">
        <v>155</v>
      </c>
      <c r="G412" s="85"/>
      <c r="H412" s="85"/>
      <c r="I412" s="86"/>
      <c r="J412" s="86"/>
      <c r="K412" s="87"/>
      <c r="L412" s="87"/>
      <c r="M412" s="88"/>
      <c r="N412" s="89"/>
      <c r="O412" s="87"/>
      <c r="P412" s="87"/>
      <c r="Q412" s="87"/>
      <c r="R412" s="87">
        <v>0.018548387096774196</v>
      </c>
      <c r="S412" s="87">
        <v>0.2838709677419355</v>
      </c>
      <c r="T412" s="87">
        <v>0.3024193548387097</v>
      </c>
      <c r="U412" s="87">
        <v>0.2838709677419355</v>
      </c>
      <c r="V412" s="90" t="s">
        <v>2027</v>
      </c>
    </row>
    <row r="413" ht="15" customHeight="1" spans="1:23" x14ac:dyDescent="0.25">
      <c r="A413" s="85">
        <v>38577</v>
      </c>
      <c r="B413" s="85" t="s">
        <v>2026</v>
      </c>
      <c r="C413" s="85" t="s">
        <v>161</v>
      </c>
      <c r="D413" s="85" t="s">
        <v>169</v>
      </c>
      <c r="E413" s="85"/>
      <c r="F413" s="85" t="s">
        <v>1084</v>
      </c>
      <c r="G413" s="85" t="s">
        <v>2028</v>
      </c>
      <c r="H413" s="85" t="s">
        <v>1561</v>
      </c>
      <c r="I413" s="86">
        <v>248</v>
      </c>
      <c r="J413" s="86">
        <v>23</v>
      </c>
      <c r="K413" s="87">
        <v>0.09274193548387097</v>
      </c>
      <c r="L413" s="87">
        <v>1</v>
      </c>
      <c r="M413" s="88">
        <v>0.09274193548387097</v>
      </c>
      <c r="N413" s="89">
        <v>0.2</v>
      </c>
      <c r="O413" s="87">
        <v>0.018548387096774196</v>
      </c>
      <c r="P413" s="87"/>
      <c r="Q413" s="87"/>
      <c r="R413" s="87">
        <v>0.018548387096774196</v>
      </c>
      <c r="S413" s="87">
        <v>0.07419354838709678</v>
      </c>
      <c r="T413" s="87"/>
      <c r="U413" s="87">
        <v>0.07419354838709677</v>
      </c>
      <c r="V413" s="90" t="s">
        <v>2029</v>
      </c>
    </row>
    <row r="414" ht="15" customHeight="1" spans="1:23" x14ac:dyDescent="0.25">
      <c r="A414" s="85">
        <v>38577</v>
      </c>
      <c r="B414" s="85" t="s">
        <v>2026</v>
      </c>
      <c r="C414" s="85" t="s">
        <v>161</v>
      </c>
      <c r="D414" s="85" t="s">
        <v>169</v>
      </c>
      <c r="E414" s="85"/>
      <c r="F414" s="85" t="s">
        <v>1084</v>
      </c>
      <c r="G414" s="85" t="s">
        <v>169</v>
      </c>
      <c r="H414" s="85" t="s">
        <v>2030</v>
      </c>
      <c r="I414" s="86">
        <v>248</v>
      </c>
      <c r="J414" s="86">
        <v>52</v>
      </c>
      <c r="K414" s="87">
        <v>0.20967741935483872</v>
      </c>
      <c r="L414" s="87">
        <v>1</v>
      </c>
      <c r="M414" s="88">
        <v>0.20967741935483872</v>
      </c>
      <c r="N414" s="89"/>
      <c r="O414" s="87"/>
      <c r="P414" s="87"/>
      <c r="Q414" s="87"/>
      <c r="R414" s="87"/>
      <c r="S414" s="87">
        <v>0.20967741935483872</v>
      </c>
      <c r="T414" s="87"/>
      <c r="U414" s="87">
        <v>0.20967741935483872</v>
      </c>
      <c r="V414" s="90" t="s">
        <v>2031</v>
      </c>
    </row>
    <row r="415" ht="15" customHeight="1" spans="1:23" x14ac:dyDescent="0.25">
      <c r="A415" s="85">
        <v>39168</v>
      </c>
      <c r="B415" s="85" t="s">
        <v>2032</v>
      </c>
      <c r="C415" s="85" t="s">
        <v>965</v>
      </c>
      <c r="D415" s="85" t="s">
        <v>871</v>
      </c>
      <c r="E415" s="85"/>
      <c r="F415" s="85" t="s">
        <v>155</v>
      </c>
      <c r="G415" s="85"/>
      <c r="H415" s="85"/>
      <c r="I415" s="86"/>
      <c r="J415" s="86"/>
      <c r="K415" s="87"/>
      <c r="L415" s="87"/>
      <c r="M415" s="88"/>
      <c r="N415" s="89"/>
      <c r="O415" s="87"/>
      <c r="P415" s="87"/>
      <c r="Q415" s="87"/>
      <c r="R415" s="87"/>
      <c r="S415" s="87">
        <v>0.8266129032258065</v>
      </c>
      <c r="T415" s="87">
        <v>0.8266129032258065</v>
      </c>
      <c r="U415" s="87">
        <v>0.8266129032258065</v>
      </c>
      <c r="V415" s="90" t="s">
        <v>2033</v>
      </c>
    </row>
    <row r="416" ht="15" customHeight="1" spans="1:23" x14ac:dyDescent="0.25">
      <c r="A416" s="85">
        <v>39168</v>
      </c>
      <c r="B416" s="85" t="s">
        <v>2032</v>
      </c>
      <c r="C416" s="85" t="s">
        <v>965</v>
      </c>
      <c r="D416" s="85" t="s">
        <v>871</v>
      </c>
      <c r="E416" s="85"/>
      <c r="F416" s="85" t="s">
        <v>1084</v>
      </c>
      <c r="G416" s="85" t="s">
        <v>871</v>
      </c>
      <c r="H416" s="85" t="s">
        <v>1561</v>
      </c>
      <c r="I416" s="86">
        <v>248</v>
      </c>
      <c r="J416" s="86">
        <v>205</v>
      </c>
      <c r="K416" s="87">
        <v>0.8266129032258065</v>
      </c>
      <c r="L416" s="87">
        <v>1</v>
      </c>
      <c r="M416" s="88">
        <v>0.8266129032258065</v>
      </c>
      <c r="N416" s="89"/>
      <c r="O416" s="87"/>
      <c r="P416" s="87"/>
      <c r="Q416" s="87"/>
      <c r="R416" s="87"/>
      <c r="S416" s="87">
        <v>0.8266129032258065</v>
      </c>
      <c r="T416" s="87"/>
      <c r="U416" s="87">
        <v>0.8266129032258065</v>
      </c>
      <c r="V416" s="90" t="s">
        <v>2033</v>
      </c>
    </row>
    <row r="417" ht="15" customHeight="1" spans="1:23" x14ac:dyDescent="0.25">
      <c r="A417" s="85">
        <v>39265</v>
      </c>
      <c r="B417" s="85" t="s">
        <v>2034</v>
      </c>
      <c r="C417" s="85" t="s">
        <v>161</v>
      </c>
      <c r="D417" s="85" t="s">
        <v>169</v>
      </c>
      <c r="E417" s="85"/>
      <c r="F417" s="85" t="s">
        <v>155</v>
      </c>
      <c r="G417" s="85"/>
      <c r="H417" s="85"/>
      <c r="I417" s="86"/>
      <c r="J417" s="86"/>
      <c r="K417" s="87"/>
      <c r="L417" s="87"/>
      <c r="M417" s="88"/>
      <c r="N417" s="89"/>
      <c r="O417" s="87"/>
      <c r="P417" s="87"/>
      <c r="Q417" s="87"/>
      <c r="R417" s="87"/>
      <c r="S417" s="87">
        <v>0.3024193548387097</v>
      </c>
      <c r="T417" s="87">
        <v>0.3024193548387097</v>
      </c>
      <c r="U417" s="87">
        <v>0.30241935483870974</v>
      </c>
      <c r="V417" s="90" t="s">
        <v>2035</v>
      </c>
    </row>
    <row r="418" ht="15" customHeight="1" spans="1:23" x14ac:dyDescent="0.25">
      <c r="A418" s="85">
        <v>39265</v>
      </c>
      <c r="B418" s="85" t="s">
        <v>2034</v>
      </c>
      <c r="C418" s="85" t="s">
        <v>161</v>
      </c>
      <c r="D418" s="85" t="s">
        <v>169</v>
      </c>
      <c r="E418" s="85"/>
      <c r="F418" s="85" t="s">
        <v>1084</v>
      </c>
      <c r="G418" s="85" t="s">
        <v>169</v>
      </c>
      <c r="H418" s="85" t="s">
        <v>1561</v>
      </c>
      <c r="I418" s="86">
        <v>248</v>
      </c>
      <c r="J418" s="86">
        <v>75</v>
      </c>
      <c r="K418" s="87">
        <v>0.3024193548387097</v>
      </c>
      <c r="L418" s="87">
        <v>1</v>
      </c>
      <c r="M418" s="88">
        <v>0.3024193548387097</v>
      </c>
      <c r="N418" s="89"/>
      <c r="O418" s="87"/>
      <c r="P418" s="87"/>
      <c r="Q418" s="87"/>
      <c r="R418" s="87"/>
      <c r="S418" s="87">
        <v>0.3024193548387097</v>
      </c>
      <c r="T418" s="87"/>
      <c r="U418" s="87">
        <v>0.30241935483870974</v>
      </c>
      <c r="V418" s="90" t="s">
        <v>2035</v>
      </c>
    </row>
    <row r="419" ht="15" customHeight="1" spans="1:23" x14ac:dyDescent="0.25">
      <c r="A419" s="85">
        <v>39318</v>
      </c>
      <c r="B419" s="85" t="s">
        <v>2036</v>
      </c>
      <c r="C419" s="85" t="s">
        <v>161</v>
      </c>
      <c r="D419" s="85" t="s">
        <v>213</v>
      </c>
      <c r="E419" s="85"/>
      <c r="F419" s="85" t="s">
        <v>155</v>
      </c>
      <c r="G419" s="85"/>
      <c r="H419" s="85"/>
      <c r="I419" s="86"/>
      <c r="J419" s="86"/>
      <c r="K419" s="87"/>
      <c r="L419" s="87"/>
      <c r="M419" s="88"/>
      <c r="N419" s="89"/>
      <c r="O419" s="87"/>
      <c r="P419" s="87"/>
      <c r="Q419" s="87"/>
      <c r="R419" s="87"/>
      <c r="S419" s="87">
        <v>1</v>
      </c>
      <c r="T419" s="87">
        <v>1</v>
      </c>
      <c r="U419" s="87"/>
      <c r="V419" s="90" t="s">
        <v>1084</v>
      </c>
    </row>
    <row r="420" ht="15" customHeight="1" spans="1:23" x14ac:dyDescent="0.25">
      <c r="A420" s="85">
        <v>39318</v>
      </c>
      <c r="B420" s="85" t="s">
        <v>2036</v>
      </c>
      <c r="C420" s="85" t="s">
        <v>161</v>
      </c>
      <c r="D420" s="85" t="s">
        <v>213</v>
      </c>
      <c r="E420" s="85"/>
      <c r="F420" s="85" t="s">
        <v>1084</v>
      </c>
      <c r="G420" s="85" t="s">
        <v>283</v>
      </c>
      <c r="H420" s="85" t="s">
        <v>1561</v>
      </c>
      <c r="I420" s="86">
        <v>248</v>
      </c>
      <c r="J420" s="86">
        <v>248</v>
      </c>
      <c r="K420" s="87">
        <v>1</v>
      </c>
      <c r="L420" s="87">
        <v>1</v>
      </c>
      <c r="M420" s="88">
        <v>1</v>
      </c>
      <c r="N420" s="89"/>
      <c r="O420" s="87"/>
      <c r="P420" s="87"/>
      <c r="Q420" s="87"/>
      <c r="R420" s="87"/>
      <c r="S420" s="87">
        <v>1</v>
      </c>
      <c r="T420" s="87"/>
      <c r="U420" s="87">
        <v>0</v>
      </c>
      <c r="V420" s="90" t="s">
        <v>1084</v>
      </c>
    </row>
    <row r="421" ht="15" customHeight="1" spans="1:23" x14ac:dyDescent="0.25">
      <c r="A421" s="85">
        <v>39330</v>
      </c>
      <c r="B421" s="85" t="s">
        <v>2037</v>
      </c>
      <c r="C421" s="85" t="s">
        <v>161</v>
      </c>
      <c r="D421" s="85" t="s">
        <v>169</v>
      </c>
      <c r="E421" s="85"/>
      <c r="F421" s="85" t="s">
        <v>155</v>
      </c>
      <c r="G421" s="85"/>
      <c r="H421" s="85"/>
      <c r="I421" s="86"/>
      <c r="J421" s="86"/>
      <c r="K421" s="87"/>
      <c r="L421" s="87"/>
      <c r="M421" s="88"/>
      <c r="N421" s="89"/>
      <c r="O421" s="87"/>
      <c r="P421" s="87"/>
      <c r="Q421" s="87"/>
      <c r="R421" s="87"/>
      <c r="S421" s="87">
        <v>0.3024193548387097</v>
      </c>
      <c r="T421" s="87">
        <v>0.3024193548387097</v>
      </c>
      <c r="U421" s="87"/>
      <c r="V421" s="90" t="s">
        <v>1084</v>
      </c>
    </row>
    <row r="422" ht="15" customHeight="1" spans="1:23" x14ac:dyDescent="0.25">
      <c r="A422" s="85">
        <v>39330</v>
      </c>
      <c r="B422" s="85" t="s">
        <v>2037</v>
      </c>
      <c r="C422" s="85" t="s">
        <v>161</v>
      </c>
      <c r="D422" s="85" t="s">
        <v>169</v>
      </c>
      <c r="E422" s="85"/>
      <c r="F422" s="85" t="s">
        <v>1084</v>
      </c>
      <c r="G422" s="85" t="s">
        <v>169</v>
      </c>
      <c r="H422" s="85" t="s">
        <v>1561</v>
      </c>
      <c r="I422" s="86">
        <v>248</v>
      </c>
      <c r="J422" s="86">
        <v>75</v>
      </c>
      <c r="K422" s="87">
        <v>0.3024193548387097</v>
      </c>
      <c r="L422" s="87">
        <v>1</v>
      </c>
      <c r="M422" s="88">
        <v>0.3024193548387097</v>
      </c>
      <c r="N422" s="89"/>
      <c r="O422" s="87"/>
      <c r="P422" s="87"/>
      <c r="Q422" s="87"/>
      <c r="R422" s="87"/>
      <c r="S422" s="87">
        <v>0.3024193548387097</v>
      </c>
      <c r="T422" s="87"/>
      <c r="U422" s="87">
        <v>0</v>
      </c>
      <c r="V422" s="90" t="s">
        <v>1084</v>
      </c>
    </row>
    <row r="423" ht="15" customHeight="1" spans="1:23" x14ac:dyDescent="0.25">
      <c r="A423" s="85">
        <v>39408</v>
      </c>
      <c r="B423" s="85" t="s">
        <v>2038</v>
      </c>
      <c r="C423" s="85" t="s">
        <v>380</v>
      </c>
      <c r="D423" s="85" t="s">
        <v>781</v>
      </c>
      <c r="E423" s="85" t="s">
        <v>782</v>
      </c>
      <c r="F423" s="85" t="s">
        <v>155</v>
      </c>
      <c r="G423" s="85"/>
      <c r="H423" s="85"/>
      <c r="I423" s="86"/>
      <c r="J423" s="86"/>
      <c r="K423" s="87"/>
      <c r="L423" s="87"/>
      <c r="M423" s="88"/>
      <c r="N423" s="89"/>
      <c r="O423" s="87"/>
      <c r="P423" s="87"/>
      <c r="Q423" s="87"/>
      <c r="R423" s="87"/>
      <c r="S423" s="87">
        <v>0.17338709677419356</v>
      </c>
      <c r="T423" s="87">
        <v>0.17338709677419356</v>
      </c>
      <c r="U423" s="87">
        <v>0.17338709677419356</v>
      </c>
      <c r="V423" s="90" t="s">
        <v>2039</v>
      </c>
    </row>
    <row r="424" ht="15" customHeight="1" spans="1:23" x14ac:dyDescent="0.25">
      <c r="A424" s="85">
        <v>39408</v>
      </c>
      <c r="B424" s="85" t="s">
        <v>2038</v>
      </c>
      <c r="C424" s="85" t="s">
        <v>380</v>
      </c>
      <c r="D424" s="85" t="s">
        <v>781</v>
      </c>
      <c r="E424" s="85" t="s">
        <v>782</v>
      </c>
      <c r="F424" s="85" t="s">
        <v>1084</v>
      </c>
      <c r="G424" s="85" t="s">
        <v>283</v>
      </c>
      <c r="H424" s="85" t="s">
        <v>782</v>
      </c>
      <c r="I424" s="86">
        <v>248</v>
      </c>
      <c r="J424" s="86">
        <v>43</v>
      </c>
      <c r="K424" s="87">
        <v>0.17338709677419356</v>
      </c>
      <c r="L424" s="87">
        <v>1</v>
      </c>
      <c r="M424" s="88">
        <v>0.17338709677419356</v>
      </c>
      <c r="N424" s="89"/>
      <c r="O424" s="87"/>
      <c r="P424" s="87"/>
      <c r="Q424" s="87"/>
      <c r="R424" s="87"/>
      <c r="S424" s="87">
        <v>0.17338709677419356</v>
      </c>
      <c r="T424" s="87"/>
      <c r="U424" s="87">
        <v>0.17338709677419356</v>
      </c>
      <c r="V424" s="90" t="s">
        <v>2039</v>
      </c>
    </row>
    <row r="425" ht="15" customHeight="1" spans="1:23" x14ac:dyDescent="0.25">
      <c r="A425" s="85">
        <v>40322</v>
      </c>
      <c r="B425" s="85" t="s">
        <v>2040</v>
      </c>
      <c r="C425" s="85" t="s">
        <v>380</v>
      </c>
      <c r="D425" s="85" t="s">
        <v>556</v>
      </c>
      <c r="E425" s="85"/>
      <c r="F425" s="85" t="s">
        <v>155</v>
      </c>
      <c r="G425" s="85"/>
      <c r="H425" s="85"/>
      <c r="I425" s="86"/>
      <c r="J425" s="86"/>
      <c r="K425" s="87"/>
      <c r="L425" s="87"/>
      <c r="M425" s="88"/>
      <c r="N425" s="89"/>
      <c r="O425" s="87"/>
      <c r="P425" s="87"/>
      <c r="Q425" s="87"/>
      <c r="R425" s="87"/>
      <c r="S425" s="87">
        <v>1</v>
      </c>
      <c r="T425" s="87">
        <v>1</v>
      </c>
      <c r="U425" s="87">
        <v>1</v>
      </c>
      <c r="V425" s="90" t="s">
        <v>1581</v>
      </c>
    </row>
    <row r="426" ht="15" customHeight="1" spans="1:23" x14ac:dyDescent="0.25">
      <c r="A426" s="85">
        <v>40322</v>
      </c>
      <c r="B426" s="85" t="s">
        <v>2040</v>
      </c>
      <c r="C426" s="85" t="s">
        <v>380</v>
      </c>
      <c r="D426" s="85" t="s">
        <v>556</v>
      </c>
      <c r="E426" s="85"/>
      <c r="F426" s="85" t="s">
        <v>1084</v>
      </c>
      <c r="G426" s="85" t="s">
        <v>283</v>
      </c>
      <c r="H426" s="85" t="s">
        <v>1561</v>
      </c>
      <c r="I426" s="86">
        <v>248</v>
      </c>
      <c r="J426" s="86">
        <v>248</v>
      </c>
      <c r="K426" s="87">
        <v>1</v>
      </c>
      <c r="L426" s="87">
        <v>1</v>
      </c>
      <c r="M426" s="88">
        <v>1</v>
      </c>
      <c r="N426" s="89"/>
      <c r="O426" s="87"/>
      <c r="P426" s="87"/>
      <c r="Q426" s="87"/>
      <c r="R426" s="87"/>
      <c r="S426" s="87">
        <v>1</v>
      </c>
      <c r="T426" s="87"/>
      <c r="U426" s="87">
        <v>1</v>
      </c>
      <c r="V426" s="90" t="s">
        <v>1581</v>
      </c>
    </row>
    <row r="427" ht="15" customHeight="1" spans="1:23" x14ac:dyDescent="0.25">
      <c r="A427" s="85">
        <v>40880</v>
      </c>
      <c r="B427" s="85" t="s">
        <v>2041</v>
      </c>
      <c r="C427" s="85" t="s">
        <v>380</v>
      </c>
      <c r="D427" s="85" t="s">
        <v>405</v>
      </c>
      <c r="E427" s="85" t="s">
        <v>406</v>
      </c>
      <c r="F427" s="85" t="s">
        <v>155</v>
      </c>
      <c r="G427" s="85"/>
      <c r="H427" s="85"/>
      <c r="I427" s="86"/>
      <c r="J427" s="86"/>
      <c r="K427" s="87"/>
      <c r="L427" s="87"/>
      <c r="M427" s="88"/>
      <c r="N427" s="89"/>
      <c r="O427" s="87"/>
      <c r="P427" s="87"/>
      <c r="Q427" s="87">
        <v>0.06854838709677419</v>
      </c>
      <c r="R427" s="87"/>
      <c r="S427" s="87">
        <v>1</v>
      </c>
      <c r="T427" s="87">
        <v>1</v>
      </c>
      <c r="U427" s="87">
        <v>1</v>
      </c>
      <c r="V427" s="90" t="s">
        <v>2042</v>
      </c>
    </row>
    <row r="428" ht="15" customHeight="1" spans="1:23" x14ac:dyDescent="0.25">
      <c r="A428" s="85">
        <v>40880</v>
      </c>
      <c r="B428" s="85" t="s">
        <v>2041</v>
      </c>
      <c r="C428" s="85" t="s">
        <v>380</v>
      </c>
      <c r="D428" s="85" t="s">
        <v>405</v>
      </c>
      <c r="E428" s="85" t="s">
        <v>406</v>
      </c>
      <c r="F428" s="85" t="s">
        <v>1084</v>
      </c>
      <c r="G428" s="85" t="s">
        <v>406</v>
      </c>
      <c r="H428" s="85" t="s">
        <v>1561</v>
      </c>
      <c r="I428" s="86">
        <v>248</v>
      </c>
      <c r="J428" s="86">
        <v>215</v>
      </c>
      <c r="K428" s="87">
        <v>0.8669354838709677</v>
      </c>
      <c r="L428" s="87">
        <v>1</v>
      </c>
      <c r="M428" s="88">
        <v>0.8669354838709677</v>
      </c>
      <c r="N428" s="89"/>
      <c r="O428" s="87"/>
      <c r="P428" s="87">
        <v>17</v>
      </c>
      <c r="Q428" s="87"/>
      <c r="R428" s="87"/>
      <c r="S428" s="87">
        <v>0.8669354838709677</v>
      </c>
      <c r="T428" s="87"/>
      <c r="U428" s="87">
        <v>0.8669354838709677</v>
      </c>
      <c r="V428" s="90" t="s">
        <v>2043</v>
      </c>
    </row>
    <row r="429" ht="15" customHeight="1" spans="1:23" x14ac:dyDescent="0.25">
      <c r="A429" s="85">
        <v>40880</v>
      </c>
      <c r="B429" s="85" t="s">
        <v>2041</v>
      </c>
      <c r="C429" s="85" t="s">
        <v>380</v>
      </c>
      <c r="D429" s="85" t="s">
        <v>405</v>
      </c>
      <c r="E429" s="85" t="s">
        <v>406</v>
      </c>
      <c r="F429" s="85" t="s">
        <v>1084</v>
      </c>
      <c r="G429" s="85" t="s">
        <v>2044</v>
      </c>
      <c r="H429" s="85" t="s">
        <v>2045</v>
      </c>
      <c r="I429" s="86">
        <v>248</v>
      </c>
      <c r="J429" s="86">
        <v>17</v>
      </c>
      <c r="K429" s="87">
        <v>0.06854838709677419</v>
      </c>
      <c r="L429" s="87">
        <v>1</v>
      </c>
      <c r="M429" s="88">
        <v>0.06854838709677419</v>
      </c>
      <c r="N429" s="89">
        <v>1</v>
      </c>
      <c r="O429" s="87">
        <v>0.06854838709677419</v>
      </c>
      <c r="P429" s="87">
        <v>17</v>
      </c>
      <c r="Q429" s="87">
        <v>0.06854838709677419</v>
      </c>
      <c r="R429" s="87"/>
      <c r="S429" s="87">
        <v>0.06854838709677419</v>
      </c>
      <c r="T429" s="87"/>
      <c r="U429" s="87">
        <v>0.06854838709677419</v>
      </c>
      <c r="V429" s="90" t="s">
        <v>2046</v>
      </c>
    </row>
    <row r="430" ht="15" customHeight="1" spans="1:23" x14ac:dyDescent="0.25">
      <c r="A430" s="85">
        <v>40880</v>
      </c>
      <c r="B430" s="85" t="s">
        <v>2041</v>
      </c>
      <c r="C430" s="85" t="s">
        <v>380</v>
      </c>
      <c r="D430" s="85" t="s">
        <v>405</v>
      </c>
      <c r="E430" s="85" t="s">
        <v>406</v>
      </c>
      <c r="F430" s="85" t="s">
        <v>1084</v>
      </c>
      <c r="G430" s="85" t="s">
        <v>283</v>
      </c>
      <c r="H430" s="85" t="s">
        <v>2047</v>
      </c>
      <c r="I430" s="86">
        <v>248</v>
      </c>
      <c r="J430" s="86">
        <v>16</v>
      </c>
      <c r="K430" s="87">
        <v>0.06451612903225806</v>
      </c>
      <c r="L430" s="87">
        <v>1</v>
      </c>
      <c r="M430" s="88">
        <v>0.06451612903225806</v>
      </c>
      <c r="N430" s="89"/>
      <c r="O430" s="87"/>
      <c r="P430" s="87">
        <v>17</v>
      </c>
      <c r="Q430" s="87"/>
      <c r="R430" s="87"/>
      <c r="S430" s="87">
        <v>0.06451612903225806</v>
      </c>
      <c r="T430" s="87"/>
      <c r="U430" s="87">
        <v>0.06451612903225806</v>
      </c>
      <c r="V430" s="90" t="s">
        <v>2048</v>
      </c>
    </row>
    <row r="431" ht="15" customHeight="1" spans="1:23" x14ac:dyDescent="0.25">
      <c r="A431" s="85">
        <v>41153</v>
      </c>
      <c r="B431" s="85" t="s">
        <v>2049</v>
      </c>
      <c r="C431" s="85" t="s">
        <v>380</v>
      </c>
      <c r="D431" s="85" t="s">
        <v>861</v>
      </c>
      <c r="E431" s="85"/>
      <c r="F431" s="85" t="s">
        <v>155</v>
      </c>
      <c r="G431" s="85"/>
      <c r="H431" s="85"/>
      <c r="I431" s="86"/>
      <c r="J431" s="86"/>
      <c r="K431" s="87"/>
      <c r="L431" s="87"/>
      <c r="M431" s="88"/>
      <c r="N431" s="89"/>
      <c r="O431" s="87"/>
      <c r="P431" s="87"/>
      <c r="Q431" s="87"/>
      <c r="R431" s="87"/>
      <c r="S431" s="87">
        <v>1</v>
      </c>
      <c r="T431" s="87">
        <v>1</v>
      </c>
      <c r="U431" s="87">
        <v>1</v>
      </c>
      <c r="V431" s="90" t="s">
        <v>1596</v>
      </c>
    </row>
    <row r="432" ht="15" customHeight="1" spans="1:23" x14ac:dyDescent="0.25">
      <c r="A432" s="85">
        <v>41153</v>
      </c>
      <c r="B432" s="85" t="s">
        <v>2049</v>
      </c>
      <c r="C432" s="85" t="s">
        <v>380</v>
      </c>
      <c r="D432" s="85" t="s">
        <v>861</v>
      </c>
      <c r="E432" s="85"/>
      <c r="F432" s="85" t="s">
        <v>1084</v>
      </c>
      <c r="G432" s="85" t="s">
        <v>283</v>
      </c>
      <c r="H432" s="85" t="s">
        <v>1561</v>
      </c>
      <c r="I432" s="86">
        <v>248</v>
      </c>
      <c r="J432" s="86">
        <v>248</v>
      </c>
      <c r="K432" s="87">
        <v>1</v>
      </c>
      <c r="L432" s="87">
        <v>1</v>
      </c>
      <c r="M432" s="88">
        <v>1</v>
      </c>
      <c r="N432" s="89"/>
      <c r="O432" s="87"/>
      <c r="P432" s="87"/>
      <c r="Q432" s="87"/>
      <c r="R432" s="87"/>
      <c r="S432" s="87">
        <v>1</v>
      </c>
      <c r="T432" s="87"/>
      <c r="U432" s="87">
        <v>1</v>
      </c>
      <c r="V432" s="90" t="s">
        <v>1596</v>
      </c>
    </row>
    <row r="433" ht="15" customHeight="1" spans="1:23" x14ac:dyDescent="0.25">
      <c r="A433" s="85">
        <v>41250</v>
      </c>
      <c r="B433" s="85" t="s">
        <v>2050</v>
      </c>
      <c r="C433" s="85" t="s">
        <v>380</v>
      </c>
      <c r="D433" s="85" t="s">
        <v>686</v>
      </c>
      <c r="E433" s="85"/>
      <c r="F433" s="85" t="s">
        <v>155</v>
      </c>
      <c r="G433" s="85"/>
      <c r="H433" s="85"/>
      <c r="I433" s="86"/>
      <c r="J433" s="86"/>
      <c r="K433" s="87"/>
      <c r="L433" s="87"/>
      <c r="M433" s="88"/>
      <c r="N433" s="89"/>
      <c r="O433" s="87"/>
      <c r="P433" s="87"/>
      <c r="Q433" s="87"/>
      <c r="R433" s="87"/>
      <c r="S433" s="87">
        <v>1</v>
      </c>
      <c r="T433" s="87">
        <v>1</v>
      </c>
      <c r="U433" s="87"/>
      <c r="V433" s="90" t="s">
        <v>1084</v>
      </c>
    </row>
    <row r="434" ht="15" customHeight="1" spans="1:23" x14ac:dyDescent="0.25">
      <c r="A434" s="85">
        <v>41250</v>
      </c>
      <c r="B434" s="85" t="s">
        <v>2050</v>
      </c>
      <c r="C434" s="85" t="s">
        <v>380</v>
      </c>
      <c r="D434" s="85" t="s">
        <v>686</v>
      </c>
      <c r="E434" s="85"/>
      <c r="F434" s="85" t="s">
        <v>1084</v>
      </c>
      <c r="G434" s="85" t="s">
        <v>283</v>
      </c>
      <c r="H434" s="85" t="s">
        <v>1561</v>
      </c>
      <c r="I434" s="86">
        <v>248</v>
      </c>
      <c r="J434" s="86">
        <v>248</v>
      </c>
      <c r="K434" s="87">
        <v>1</v>
      </c>
      <c r="L434" s="87">
        <v>1</v>
      </c>
      <c r="M434" s="88">
        <v>1</v>
      </c>
      <c r="N434" s="89"/>
      <c r="O434" s="87"/>
      <c r="P434" s="87"/>
      <c r="Q434" s="87"/>
      <c r="R434" s="87"/>
      <c r="S434" s="87">
        <v>1</v>
      </c>
      <c r="T434" s="87"/>
      <c r="U434" s="87">
        <v>0</v>
      </c>
      <c r="V434" s="90" t="s">
        <v>1084</v>
      </c>
    </row>
    <row r="435" ht="15" customHeight="1" spans="1:23" x14ac:dyDescent="0.25">
      <c r="A435" s="85">
        <v>41285</v>
      </c>
      <c r="B435" s="85" t="s">
        <v>2051</v>
      </c>
      <c r="C435" s="85" t="s">
        <v>380</v>
      </c>
      <c r="D435" s="85" t="s">
        <v>516</v>
      </c>
      <c r="E435" s="85"/>
      <c r="F435" s="85" t="s">
        <v>155</v>
      </c>
      <c r="G435" s="85"/>
      <c r="H435" s="85"/>
      <c r="I435" s="86"/>
      <c r="J435" s="86"/>
      <c r="K435" s="87"/>
      <c r="L435" s="87"/>
      <c r="M435" s="88"/>
      <c r="N435" s="89"/>
      <c r="O435" s="87"/>
      <c r="P435" s="87"/>
      <c r="Q435" s="87"/>
      <c r="R435" s="87"/>
      <c r="S435" s="87">
        <v>1</v>
      </c>
      <c r="T435" s="87">
        <v>1</v>
      </c>
      <c r="U435" s="87"/>
      <c r="V435" s="90" t="s">
        <v>1084</v>
      </c>
    </row>
    <row r="436" ht="15" customHeight="1" spans="1:23" x14ac:dyDescent="0.25">
      <c r="A436" s="85">
        <v>41285</v>
      </c>
      <c r="B436" s="85" t="s">
        <v>2051</v>
      </c>
      <c r="C436" s="85" t="s">
        <v>380</v>
      </c>
      <c r="D436" s="85" t="s">
        <v>516</v>
      </c>
      <c r="E436" s="85"/>
      <c r="F436" s="85" t="s">
        <v>1084</v>
      </c>
      <c r="G436" s="85" t="s">
        <v>283</v>
      </c>
      <c r="H436" s="85" t="s">
        <v>1561</v>
      </c>
      <c r="I436" s="86">
        <v>248</v>
      </c>
      <c r="J436" s="86">
        <v>248</v>
      </c>
      <c r="K436" s="87">
        <v>1</v>
      </c>
      <c r="L436" s="87">
        <v>1</v>
      </c>
      <c r="M436" s="88">
        <v>1</v>
      </c>
      <c r="N436" s="89"/>
      <c r="O436" s="87"/>
      <c r="P436" s="87"/>
      <c r="Q436" s="87"/>
      <c r="R436" s="87"/>
      <c r="S436" s="87">
        <v>1</v>
      </c>
      <c r="T436" s="87"/>
      <c r="U436" s="87">
        <v>0</v>
      </c>
      <c r="V436" s="90" t="s">
        <v>1084</v>
      </c>
    </row>
    <row r="437" ht="15" customHeight="1" spans="1:23" x14ac:dyDescent="0.25">
      <c r="A437" s="85">
        <v>41344</v>
      </c>
      <c r="B437" s="85" t="s">
        <v>2052</v>
      </c>
      <c r="C437" s="85" t="s">
        <v>380</v>
      </c>
      <c r="D437" s="85" t="s">
        <v>916</v>
      </c>
      <c r="E437" s="85"/>
      <c r="F437" s="85" t="s">
        <v>155</v>
      </c>
      <c r="G437" s="85"/>
      <c r="H437" s="85"/>
      <c r="I437" s="86"/>
      <c r="J437" s="86"/>
      <c r="K437" s="87"/>
      <c r="L437" s="87"/>
      <c r="M437" s="88"/>
      <c r="N437" s="89"/>
      <c r="O437" s="87"/>
      <c r="P437" s="87"/>
      <c r="Q437" s="87"/>
      <c r="R437" s="87"/>
      <c r="S437" s="87">
        <v>1</v>
      </c>
      <c r="T437" s="87">
        <v>1</v>
      </c>
      <c r="U437" s="87">
        <v>1</v>
      </c>
      <c r="V437" s="90" t="s">
        <v>2053</v>
      </c>
    </row>
    <row r="438" ht="15" customHeight="1" spans="1:23" x14ac:dyDescent="0.25">
      <c r="A438" s="85">
        <v>41344</v>
      </c>
      <c r="B438" s="85" t="s">
        <v>2052</v>
      </c>
      <c r="C438" s="85" t="s">
        <v>380</v>
      </c>
      <c r="D438" s="85" t="s">
        <v>916</v>
      </c>
      <c r="E438" s="85"/>
      <c r="F438" s="85" t="s">
        <v>1084</v>
      </c>
      <c r="G438" s="85" t="s">
        <v>283</v>
      </c>
      <c r="H438" s="85" t="s">
        <v>1561</v>
      </c>
      <c r="I438" s="86">
        <v>248</v>
      </c>
      <c r="J438" s="86">
        <v>248</v>
      </c>
      <c r="K438" s="87">
        <v>1</v>
      </c>
      <c r="L438" s="87">
        <v>1</v>
      </c>
      <c r="M438" s="88">
        <v>1</v>
      </c>
      <c r="N438" s="89"/>
      <c r="O438" s="87"/>
      <c r="P438" s="87"/>
      <c r="Q438" s="87"/>
      <c r="R438" s="87"/>
      <c r="S438" s="87">
        <v>1</v>
      </c>
      <c r="T438" s="87"/>
      <c r="U438" s="87">
        <v>1</v>
      </c>
      <c r="V438" s="90" t="s">
        <v>2053</v>
      </c>
    </row>
    <row r="439" ht="15" customHeight="1" spans="1:23" x14ac:dyDescent="0.25">
      <c r="A439" s="85">
        <v>41668</v>
      </c>
      <c r="B439" s="85" t="s">
        <v>2054</v>
      </c>
      <c r="C439" s="85" t="s">
        <v>965</v>
      </c>
      <c r="D439" s="85" t="s">
        <v>283</v>
      </c>
      <c r="E439" s="85"/>
      <c r="F439" s="85" t="s">
        <v>155</v>
      </c>
      <c r="G439" s="85"/>
      <c r="H439" s="85"/>
      <c r="I439" s="86"/>
      <c r="J439" s="86"/>
      <c r="K439" s="87"/>
      <c r="L439" s="87"/>
      <c r="M439" s="88"/>
      <c r="N439" s="89"/>
      <c r="O439" s="87"/>
      <c r="P439" s="87"/>
      <c r="Q439" s="87"/>
      <c r="R439" s="87"/>
      <c r="S439" s="87">
        <v>1</v>
      </c>
      <c r="T439" s="87">
        <v>1</v>
      </c>
      <c r="U439" s="87">
        <v>1</v>
      </c>
      <c r="V439" s="90" t="s">
        <v>2055</v>
      </c>
    </row>
    <row r="440" ht="15" customHeight="1" spans="1:23" x14ac:dyDescent="0.25">
      <c r="A440" s="85">
        <v>41668</v>
      </c>
      <c r="B440" s="85" t="s">
        <v>2054</v>
      </c>
      <c r="C440" s="85" t="s">
        <v>965</v>
      </c>
      <c r="D440" s="85" t="s">
        <v>283</v>
      </c>
      <c r="E440" s="85"/>
      <c r="F440" s="85" t="s">
        <v>1084</v>
      </c>
      <c r="G440" s="85" t="s">
        <v>283</v>
      </c>
      <c r="H440" s="85" t="s">
        <v>1561</v>
      </c>
      <c r="I440" s="86">
        <v>248</v>
      </c>
      <c r="J440" s="86">
        <v>248</v>
      </c>
      <c r="K440" s="87">
        <v>1</v>
      </c>
      <c r="L440" s="87">
        <v>1</v>
      </c>
      <c r="M440" s="88">
        <v>1</v>
      </c>
      <c r="N440" s="89"/>
      <c r="O440" s="87"/>
      <c r="P440" s="87"/>
      <c r="Q440" s="87"/>
      <c r="R440" s="87"/>
      <c r="S440" s="87">
        <v>1</v>
      </c>
      <c r="T440" s="87"/>
      <c r="U440" s="87">
        <v>1</v>
      </c>
      <c r="V440" s="90" t="s">
        <v>2055</v>
      </c>
    </row>
    <row r="441" ht="15" customHeight="1" spans="1:23" x14ac:dyDescent="0.25">
      <c r="A441" s="85">
        <v>42108</v>
      </c>
      <c r="B441" s="85" t="s">
        <v>2056</v>
      </c>
      <c r="C441" s="85" t="s">
        <v>965</v>
      </c>
      <c r="D441" s="85" t="s">
        <v>1071</v>
      </c>
      <c r="E441" s="85"/>
      <c r="F441" s="85" t="s">
        <v>155</v>
      </c>
      <c r="G441" s="85"/>
      <c r="H441" s="85"/>
      <c r="I441" s="86"/>
      <c r="J441" s="86"/>
      <c r="K441" s="87"/>
      <c r="L441" s="87"/>
      <c r="M441" s="88"/>
      <c r="N441" s="89"/>
      <c r="O441" s="87"/>
      <c r="P441" s="87"/>
      <c r="Q441" s="87"/>
      <c r="R441" s="87"/>
      <c r="S441" s="87">
        <v>0.04032258064516129</v>
      </c>
      <c r="T441" s="87">
        <v>0.04032258064516129</v>
      </c>
      <c r="U441" s="87">
        <v>0.04032258064516129</v>
      </c>
      <c r="V441" s="90" t="s">
        <v>2057</v>
      </c>
    </row>
    <row r="442" ht="15" customHeight="1" spans="1:23" x14ac:dyDescent="0.25">
      <c r="A442" s="85">
        <v>42108</v>
      </c>
      <c r="B442" s="85" t="s">
        <v>2056</v>
      </c>
      <c r="C442" s="85" t="s">
        <v>965</v>
      </c>
      <c r="D442" s="85" t="s">
        <v>1071</v>
      </c>
      <c r="E442" s="85"/>
      <c r="F442" s="85" t="s">
        <v>1084</v>
      </c>
      <c r="G442" s="85" t="s">
        <v>1071</v>
      </c>
      <c r="H442" s="85" t="s">
        <v>1561</v>
      </c>
      <c r="I442" s="86">
        <v>248</v>
      </c>
      <c r="J442" s="86">
        <v>10</v>
      </c>
      <c r="K442" s="87">
        <v>0.04032258064516129</v>
      </c>
      <c r="L442" s="87">
        <v>1</v>
      </c>
      <c r="M442" s="88">
        <v>0.04032258064516129</v>
      </c>
      <c r="N442" s="89"/>
      <c r="O442" s="87"/>
      <c r="P442" s="87"/>
      <c r="Q442" s="87"/>
      <c r="R442" s="87"/>
      <c r="S442" s="87">
        <v>0.04032258064516129</v>
      </c>
      <c r="T442" s="87"/>
      <c r="U442" s="87">
        <v>0.04032258064516129</v>
      </c>
      <c r="V442" s="90" t="s">
        <v>2057</v>
      </c>
    </row>
    <row r="443" ht="15" customHeight="1" spans="1:23" x14ac:dyDescent="0.25">
      <c r="A443" s="85">
        <v>42353</v>
      </c>
      <c r="B443" s="85" t="s">
        <v>2058</v>
      </c>
      <c r="C443" s="85" t="s">
        <v>161</v>
      </c>
      <c r="D443" s="85" t="s">
        <v>169</v>
      </c>
      <c r="E443" s="85"/>
      <c r="F443" s="85" t="s">
        <v>155</v>
      </c>
      <c r="G443" s="85"/>
      <c r="H443" s="85"/>
      <c r="I443" s="86"/>
      <c r="J443" s="86"/>
      <c r="K443" s="87"/>
      <c r="L443" s="87"/>
      <c r="M443" s="88"/>
      <c r="N443" s="89"/>
      <c r="O443" s="87"/>
      <c r="P443" s="87"/>
      <c r="Q443" s="87"/>
      <c r="R443" s="87"/>
      <c r="S443" s="87">
        <v>0.04032258064516129</v>
      </c>
      <c r="T443" s="87">
        <v>0.04032258064516129</v>
      </c>
      <c r="U443" s="87"/>
      <c r="V443" s="90" t="s">
        <v>1084</v>
      </c>
    </row>
    <row r="444" ht="15" customHeight="1" spans="1:23" x14ac:dyDescent="0.25">
      <c r="A444" s="85">
        <v>42353</v>
      </c>
      <c r="B444" s="85" t="s">
        <v>2058</v>
      </c>
      <c r="C444" s="85" t="s">
        <v>161</v>
      </c>
      <c r="D444" s="85" t="s">
        <v>169</v>
      </c>
      <c r="E444" s="85"/>
      <c r="F444" s="85" t="s">
        <v>1084</v>
      </c>
      <c r="G444" s="85" t="s">
        <v>1071</v>
      </c>
      <c r="H444" s="85" t="s">
        <v>1561</v>
      </c>
      <c r="I444" s="86">
        <v>248</v>
      </c>
      <c r="J444" s="86">
        <v>10</v>
      </c>
      <c r="K444" s="87">
        <v>0.04032258064516129</v>
      </c>
      <c r="L444" s="87">
        <v>1</v>
      </c>
      <c r="M444" s="88">
        <v>0.04032258064516129</v>
      </c>
      <c r="N444" s="89"/>
      <c r="O444" s="87"/>
      <c r="P444" s="87"/>
      <c r="Q444" s="87"/>
      <c r="R444" s="87"/>
      <c r="S444" s="87">
        <v>0.04032258064516129</v>
      </c>
      <c r="T444" s="87"/>
      <c r="U444" s="87">
        <v>0</v>
      </c>
      <c r="V444" s="90" t="s">
        <v>1084</v>
      </c>
    </row>
    <row r="445" ht="15" customHeight="1" spans="1:23" x14ac:dyDescent="0.25">
      <c r="A445" s="85">
        <v>42353</v>
      </c>
      <c r="B445" s="85" t="s">
        <v>2058</v>
      </c>
      <c r="C445" s="85"/>
      <c r="D445" s="85" t="s">
        <v>169</v>
      </c>
      <c r="E445" s="85"/>
      <c r="F445" s="85" t="s">
        <v>1084</v>
      </c>
      <c r="G445" s="85" t="s">
        <v>169</v>
      </c>
      <c r="H445" s="85" t="s">
        <v>1610</v>
      </c>
      <c r="I445" s="86">
        <v>248</v>
      </c>
      <c r="J445" s="86">
        <v>65</v>
      </c>
      <c r="K445" s="87">
        <v>0.2620967741935484</v>
      </c>
      <c r="L445" s="87">
        <v>0</v>
      </c>
      <c r="M445" s="88">
        <v>0</v>
      </c>
      <c r="N445" s="89"/>
      <c r="O445" s="87"/>
      <c r="P445" s="87"/>
      <c r="Q445" s="87"/>
      <c r="R445" s="87"/>
      <c r="S445" s="87">
        <v>0</v>
      </c>
      <c r="T445" s="87"/>
      <c r="U445" s="87">
        <v>0</v>
      </c>
      <c r="V445" s="90" t="s">
        <v>1084</v>
      </c>
    </row>
    <row r="446" ht="15" customHeight="1" spans="1:23" x14ac:dyDescent="0.25">
      <c r="A446" s="85">
        <v>42829</v>
      </c>
      <c r="B446" s="85" t="s">
        <v>2059</v>
      </c>
      <c r="C446" s="85" t="s">
        <v>965</v>
      </c>
      <c r="D446" s="85" t="s">
        <v>967</v>
      </c>
      <c r="E446" s="85"/>
      <c r="F446" s="85" t="s">
        <v>155</v>
      </c>
      <c r="G446" s="85"/>
      <c r="H446" s="85"/>
      <c r="I446" s="86"/>
      <c r="J446" s="86"/>
      <c r="K446" s="87"/>
      <c r="L446" s="87"/>
      <c r="M446" s="88"/>
      <c r="N446" s="89"/>
      <c r="O446" s="87"/>
      <c r="P446" s="87"/>
      <c r="Q446" s="87"/>
      <c r="R446" s="87"/>
      <c r="S446" s="87">
        <v>0.3951612903225806</v>
      </c>
      <c r="T446" s="87">
        <v>0.3951612903225806</v>
      </c>
      <c r="U446" s="87">
        <v>0.3951612903225806</v>
      </c>
      <c r="V446" s="90" t="s">
        <v>2060</v>
      </c>
    </row>
    <row r="447" ht="15" customHeight="1" spans="1:23" x14ac:dyDescent="0.25">
      <c r="A447" s="85">
        <v>42829</v>
      </c>
      <c r="B447" s="85" t="s">
        <v>2059</v>
      </c>
      <c r="C447" s="85" t="s">
        <v>965</v>
      </c>
      <c r="D447" s="85" t="s">
        <v>967</v>
      </c>
      <c r="E447" s="85"/>
      <c r="F447" s="85" t="s">
        <v>1084</v>
      </c>
      <c r="G447" s="85" t="s">
        <v>967</v>
      </c>
      <c r="H447" s="85" t="s">
        <v>1561</v>
      </c>
      <c r="I447" s="86">
        <v>248</v>
      </c>
      <c r="J447" s="86">
        <v>140</v>
      </c>
      <c r="K447" s="87">
        <v>0.5645161290322581</v>
      </c>
      <c r="L447" s="87">
        <v>0.7</v>
      </c>
      <c r="M447" s="88">
        <v>0.3951612903225806</v>
      </c>
      <c r="N447" s="89"/>
      <c r="O447" s="87"/>
      <c r="P447" s="87"/>
      <c r="Q447" s="87"/>
      <c r="R447" s="87"/>
      <c r="S447" s="87">
        <v>0.3951612903225806</v>
      </c>
      <c r="T447" s="87"/>
      <c r="U447" s="87">
        <v>0.3951612903225806</v>
      </c>
      <c r="V447" s="90" t="s">
        <v>2060</v>
      </c>
    </row>
    <row r="448" ht="15" customHeight="1" spans="1:23" x14ac:dyDescent="0.25">
      <c r="A448" s="85">
        <v>42830</v>
      </c>
      <c r="B448" s="85" t="s">
        <v>2061</v>
      </c>
      <c r="C448" s="85" t="s">
        <v>965</v>
      </c>
      <c r="D448" s="85" t="s">
        <v>985</v>
      </c>
      <c r="E448" s="85" t="s">
        <v>986</v>
      </c>
      <c r="F448" s="85" t="s">
        <v>155</v>
      </c>
      <c r="G448" s="85"/>
      <c r="H448" s="85"/>
      <c r="I448" s="86"/>
      <c r="J448" s="86"/>
      <c r="K448" s="87"/>
      <c r="L448" s="87"/>
      <c r="M448" s="88"/>
      <c r="N448" s="89"/>
      <c r="O448" s="87"/>
      <c r="P448" s="87"/>
      <c r="Q448" s="87"/>
      <c r="R448" s="87">
        <v>0.2661290322580645</v>
      </c>
      <c r="S448" s="87">
        <v>0.3604838709677419</v>
      </c>
      <c r="T448" s="87">
        <v>0.6266129032258064</v>
      </c>
      <c r="U448" s="87">
        <v>0.3604838709677419</v>
      </c>
      <c r="V448" s="90" t="s">
        <v>2062</v>
      </c>
    </row>
    <row r="449" ht="15" customHeight="1" spans="1:23" x14ac:dyDescent="0.25">
      <c r="A449" s="85">
        <v>42830</v>
      </c>
      <c r="B449" s="85" t="s">
        <v>2061</v>
      </c>
      <c r="C449" s="85" t="s">
        <v>965</v>
      </c>
      <c r="D449" s="85" t="s">
        <v>985</v>
      </c>
      <c r="E449" s="85" t="s">
        <v>986</v>
      </c>
      <c r="F449" s="85" t="s">
        <v>1084</v>
      </c>
      <c r="G449" s="85" t="s">
        <v>2063</v>
      </c>
      <c r="H449" s="85" t="s">
        <v>986</v>
      </c>
      <c r="I449" s="86">
        <v>248</v>
      </c>
      <c r="J449" s="86">
        <v>18</v>
      </c>
      <c r="K449" s="87">
        <v>0.07258064516129033</v>
      </c>
      <c r="L449" s="87">
        <v>0.8</v>
      </c>
      <c r="M449" s="88">
        <v>0.05806451612903226</v>
      </c>
      <c r="N449" s="89"/>
      <c r="O449" s="87"/>
      <c r="P449" s="87"/>
      <c r="Q449" s="87"/>
      <c r="R449" s="87"/>
      <c r="S449" s="87">
        <v>0.05806451612903226</v>
      </c>
      <c r="T449" s="87"/>
      <c r="U449" s="87">
        <v>0.05806451612903226</v>
      </c>
      <c r="V449" s="90" t="s">
        <v>2064</v>
      </c>
    </row>
    <row r="450" ht="15" customHeight="1" spans="1:23" x14ac:dyDescent="0.25">
      <c r="A450" s="85">
        <v>42830</v>
      </c>
      <c r="B450" s="85" t="s">
        <v>2061</v>
      </c>
      <c r="C450" s="85" t="s">
        <v>965</v>
      </c>
      <c r="D450" s="85" t="s">
        <v>985</v>
      </c>
      <c r="E450" s="85" t="s">
        <v>986</v>
      </c>
      <c r="F450" s="85" t="s">
        <v>1084</v>
      </c>
      <c r="G450" s="85" t="s">
        <v>2065</v>
      </c>
      <c r="H450" s="85" t="s">
        <v>775</v>
      </c>
      <c r="I450" s="86">
        <v>248</v>
      </c>
      <c r="J450" s="86">
        <v>66</v>
      </c>
      <c r="K450" s="87">
        <v>0.2661290322580645</v>
      </c>
      <c r="L450" s="87">
        <v>1</v>
      </c>
      <c r="M450" s="88">
        <v>0.2661290322580645</v>
      </c>
      <c r="N450" s="89">
        <v>1</v>
      </c>
      <c r="O450" s="87">
        <v>0.2661290322580645</v>
      </c>
      <c r="P450" s="87"/>
      <c r="Q450" s="87"/>
      <c r="R450" s="87">
        <v>0.2661290322580645</v>
      </c>
      <c r="S450" s="87">
        <v>0</v>
      </c>
      <c r="T450" s="87"/>
      <c r="U450" s="87">
        <v>0</v>
      </c>
      <c r="V450" s="90" t="s">
        <v>2066</v>
      </c>
    </row>
    <row r="451" ht="15" customHeight="1" spans="1:23" x14ac:dyDescent="0.25">
      <c r="A451" s="85">
        <v>42830</v>
      </c>
      <c r="B451" s="85" t="s">
        <v>2061</v>
      </c>
      <c r="C451" s="85" t="s">
        <v>965</v>
      </c>
      <c r="D451" s="85" t="s">
        <v>985</v>
      </c>
      <c r="E451" s="85" t="s">
        <v>986</v>
      </c>
      <c r="F451" s="85" t="s">
        <v>1084</v>
      </c>
      <c r="G451" s="85" t="s">
        <v>985</v>
      </c>
      <c r="H451" s="85" t="s">
        <v>2067</v>
      </c>
      <c r="I451" s="86">
        <v>248</v>
      </c>
      <c r="J451" s="86">
        <v>75</v>
      </c>
      <c r="K451" s="87">
        <v>0.3024193548387097</v>
      </c>
      <c r="L451" s="87">
        <v>1</v>
      </c>
      <c r="M451" s="88">
        <v>0.3024193548387097</v>
      </c>
      <c r="N451" s="89"/>
      <c r="O451" s="87"/>
      <c r="P451" s="87"/>
      <c r="Q451" s="87"/>
      <c r="R451" s="87"/>
      <c r="S451" s="87">
        <v>0.3024193548387097</v>
      </c>
      <c r="T451" s="87"/>
      <c r="U451" s="87">
        <v>0.3024193548387097</v>
      </c>
      <c r="V451" s="90" t="s">
        <v>2068</v>
      </c>
    </row>
    <row r="452" ht="15" customHeight="1" spans="1:23" x14ac:dyDescent="0.25">
      <c r="A452" s="85">
        <v>42836</v>
      </c>
      <c r="B452" s="85" t="s">
        <v>2069</v>
      </c>
      <c r="C452" s="85" t="s">
        <v>380</v>
      </c>
      <c r="D452" s="85" t="s">
        <v>657</v>
      </c>
      <c r="E452" s="85" t="s">
        <v>170</v>
      </c>
      <c r="F452" s="85" t="s">
        <v>155</v>
      </c>
      <c r="G452" s="85"/>
      <c r="H452" s="85"/>
      <c r="I452" s="86"/>
      <c r="J452" s="86"/>
      <c r="K452" s="87"/>
      <c r="L452" s="87"/>
      <c r="M452" s="88"/>
      <c r="N452" s="89"/>
      <c r="O452" s="87"/>
      <c r="P452" s="87"/>
      <c r="Q452" s="87"/>
      <c r="R452" s="87">
        <v>0.000282258064516129</v>
      </c>
      <c r="S452" s="87">
        <v>0.14931451612903227</v>
      </c>
      <c r="T452" s="87">
        <v>0.1495967741935484</v>
      </c>
      <c r="U452" s="87">
        <v>0.14931451612903227</v>
      </c>
      <c r="V452" s="90" t="s">
        <v>2070</v>
      </c>
    </row>
    <row r="453" ht="15" customHeight="1" spans="1:23" x14ac:dyDescent="0.25">
      <c r="A453" s="85">
        <v>42836</v>
      </c>
      <c r="B453" s="85" t="s">
        <v>2069</v>
      </c>
      <c r="C453" s="85" t="s">
        <v>380</v>
      </c>
      <c r="D453" s="85" t="s">
        <v>657</v>
      </c>
      <c r="E453" s="85" t="s">
        <v>170</v>
      </c>
      <c r="F453" s="85" t="s">
        <v>1084</v>
      </c>
      <c r="G453" s="85" t="s">
        <v>1071</v>
      </c>
      <c r="H453" s="85" t="s">
        <v>1561</v>
      </c>
      <c r="I453" s="86">
        <v>248</v>
      </c>
      <c r="J453" s="86">
        <v>10</v>
      </c>
      <c r="K453" s="87">
        <v>0.04032258064516129</v>
      </c>
      <c r="L453" s="87">
        <v>0.7</v>
      </c>
      <c r="M453" s="88">
        <v>0.028225806451612902</v>
      </c>
      <c r="N453" s="89">
        <v>0.006999999999999999</v>
      </c>
      <c r="O453" s="87">
        <v>0.000282258064516129</v>
      </c>
      <c r="P453" s="87"/>
      <c r="Q453" s="87"/>
      <c r="R453" s="87">
        <v>0.000282258064516129</v>
      </c>
      <c r="S453" s="87">
        <v>0.027943548387096773</v>
      </c>
      <c r="T453" s="87"/>
      <c r="U453" s="87">
        <v>0.027943548387096773</v>
      </c>
      <c r="V453" s="90" t="s">
        <v>2071</v>
      </c>
    </row>
    <row r="454" ht="15" customHeight="1" spans="1:23" x14ac:dyDescent="0.25">
      <c r="A454" s="85">
        <v>42836</v>
      </c>
      <c r="B454" s="85" t="s">
        <v>2069</v>
      </c>
      <c r="C454" s="85" t="s">
        <v>380</v>
      </c>
      <c r="D454" s="85" t="s">
        <v>657</v>
      </c>
      <c r="E454" s="85" t="s">
        <v>170</v>
      </c>
      <c r="F454" s="85" t="s">
        <v>1084</v>
      </c>
      <c r="G454" s="85" t="s">
        <v>657</v>
      </c>
      <c r="H454" s="85" t="s">
        <v>1610</v>
      </c>
      <c r="I454" s="86">
        <v>248</v>
      </c>
      <c r="J454" s="86">
        <v>43</v>
      </c>
      <c r="K454" s="87">
        <v>0.17338709677419356</v>
      </c>
      <c r="L454" s="87">
        <v>0.7</v>
      </c>
      <c r="M454" s="88">
        <v>0.12137096774193548</v>
      </c>
      <c r="N454" s="89"/>
      <c r="O454" s="87"/>
      <c r="P454" s="87"/>
      <c r="Q454" s="87"/>
      <c r="R454" s="87"/>
      <c r="S454" s="87">
        <v>0.12137096774193548</v>
      </c>
      <c r="T454" s="87"/>
      <c r="U454" s="87">
        <v>0.12137096774193548</v>
      </c>
      <c r="V454" s="90" t="s">
        <v>2072</v>
      </c>
    </row>
    <row r="455" ht="15" customHeight="1" spans="1:23" x14ac:dyDescent="0.25">
      <c r="A455" s="85">
        <v>42838</v>
      </c>
      <c r="B455" s="85" t="s">
        <v>2073</v>
      </c>
      <c r="C455" s="85" t="s">
        <v>380</v>
      </c>
      <c r="D455" s="85" t="s">
        <v>695</v>
      </c>
      <c r="E455" s="85" t="s">
        <v>662</v>
      </c>
      <c r="F455" s="85" t="s">
        <v>155</v>
      </c>
      <c r="G455" s="85"/>
      <c r="H455" s="85"/>
      <c r="I455" s="86"/>
      <c r="J455" s="86"/>
      <c r="K455" s="87"/>
      <c r="L455" s="87"/>
      <c r="M455" s="88"/>
      <c r="N455" s="89"/>
      <c r="O455" s="87"/>
      <c r="P455" s="87"/>
      <c r="Q455" s="87"/>
      <c r="R455" s="87"/>
      <c r="S455" s="87">
        <v>0.12096774193548387</v>
      </c>
      <c r="T455" s="87">
        <v>0.12096774193548387</v>
      </c>
      <c r="U455" s="87">
        <v>0.12096774193548387</v>
      </c>
      <c r="V455" s="90" t="s">
        <v>2074</v>
      </c>
    </row>
    <row r="456" ht="15" customHeight="1" spans="1:23" x14ac:dyDescent="0.25">
      <c r="A456" s="85">
        <v>42838</v>
      </c>
      <c r="B456" s="85" t="s">
        <v>2073</v>
      </c>
      <c r="C456" s="85" t="s">
        <v>380</v>
      </c>
      <c r="D456" s="85" t="s">
        <v>695</v>
      </c>
      <c r="E456" s="85" t="s">
        <v>662</v>
      </c>
      <c r="F456" s="85" t="s">
        <v>1084</v>
      </c>
      <c r="G456" s="85" t="s">
        <v>695</v>
      </c>
      <c r="H456" s="85" t="s">
        <v>1561</v>
      </c>
      <c r="I456" s="86">
        <v>248</v>
      </c>
      <c r="J456" s="86">
        <v>30</v>
      </c>
      <c r="K456" s="87">
        <v>0.12096774193548387</v>
      </c>
      <c r="L456" s="87">
        <v>1</v>
      </c>
      <c r="M456" s="88">
        <v>0.12096774193548387</v>
      </c>
      <c r="N456" s="89"/>
      <c r="O456" s="87"/>
      <c r="P456" s="87"/>
      <c r="Q456" s="87"/>
      <c r="R456" s="87"/>
      <c r="S456" s="87">
        <v>0.12096774193548387</v>
      </c>
      <c r="T456" s="87"/>
      <c r="U456" s="87">
        <v>0.12096774193548387</v>
      </c>
      <c r="V456" s="90" t="s">
        <v>2074</v>
      </c>
    </row>
    <row r="457" ht="15" customHeight="1" spans="1:23" x14ac:dyDescent="0.25">
      <c r="A457" s="85">
        <v>42865</v>
      </c>
      <c r="B457" s="85" t="s">
        <v>2075</v>
      </c>
      <c r="C457" s="85" t="s">
        <v>161</v>
      </c>
      <c r="D457" s="85" t="s">
        <v>213</v>
      </c>
      <c r="E457" s="85"/>
      <c r="F457" s="85" t="s">
        <v>155</v>
      </c>
      <c r="G457" s="85"/>
      <c r="H457" s="85"/>
      <c r="I457" s="86"/>
      <c r="J457" s="86"/>
      <c r="K457" s="87"/>
      <c r="L457" s="87"/>
      <c r="M457" s="88"/>
      <c r="N457" s="89"/>
      <c r="O457" s="87"/>
      <c r="P457" s="87"/>
      <c r="Q457" s="87">
        <v>0.04032258064516129</v>
      </c>
      <c r="R457" s="87"/>
      <c r="S457" s="87">
        <v>1</v>
      </c>
      <c r="T457" s="87">
        <v>1</v>
      </c>
      <c r="U457" s="87"/>
      <c r="V457" s="90" t="s">
        <v>2076</v>
      </c>
    </row>
    <row r="458" ht="15" customHeight="1" spans="1:23" x14ac:dyDescent="0.25">
      <c r="A458" s="85">
        <v>42865</v>
      </c>
      <c r="B458" s="85" t="s">
        <v>2075</v>
      </c>
      <c r="C458" s="85" t="s">
        <v>161</v>
      </c>
      <c r="D458" s="85" t="s">
        <v>213</v>
      </c>
      <c r="E458" s="85"/>
      <c r="F458" s="85" t="s">
        <v>1084</v>
      </c>
      <c r="G458" s="85" t="s">
        <v>1071</v>
      </c>
      <c r="H458" s="85" t="s">
        <v>1561</v>
      </c>
      <c r="I458" s="86">
        <v>248</v>
      </c>
      <c r="J458" s="86">
        <v>10</v>
      </c>
      <c r="K458" s="87">
        <v>0.04032258064516129</v>
      </c>
      <c r="L458" s="87">
        <v>1</v>
      </c>
      <c r="M458" s="88">
        <v>0.04032258064516129</v>
      </c>
      <c r="N458" s="89">
        <v>1</v>
      </c>
      <c r="O458" s="87">
        <v>0.04032258064516129</v>
      </c>
      <c r="P458" s="87"/>
      <c r="Q458" s="87">
        <v>0.04032258064516129</v>
      </c>
      <c r="R458" s="87"/>
      <c r="S458" s="87">
        <v>0.04032258064516129</v>
      </c>
      <c r="T458" s="87"/>
      <c r="U458" s="87">
        <v>0</v>
      </c>
      <c r="V458" s="90" t="s">
        <v>2077</v>
      </c>
    </row>
    <row r="459" ht="15" customHeight="1" spans="1:23" x14ac:dyDescent="0.25">
      <c r="A459" s="85">
        <v>42865</v>
      </c>
      <c r="B459" s="85" t="s">
        <v>2075</v>
      </c>
      <c r="C459" s="85" t="s">
        <v>161</v>
      </c>
      <c r="D459" s="85" t="s">
        <v>213</v>
      </c>
      <c r="E459" s="85"/>
      <c r="F459" s="85" t="s">
        <v>1084</v>
      </c>
      <c r="G459" s="85" t="s">
        <v>283</v>
      </c>
      <c r="H459" s="85" t="s">
        <v>1610</v>
      </c>
      <c r="I459" s="86">
        <v>248</v>
      </c>
      <c r="J459" s="86">
        <v>238</v>
      </c>
      <c r="K459" s="87">
        <v>0.9596774193548387</v>
      </c>
      <c r="L459" s="87">
        <v>1</v>
      </c>
      <c r="M459" s="88">
        <v>0.9596774193548387</v>
      </c>
      <c r="N459" s="89"/>
      <c r="O459" s="87"/>
      <c r="P459" s="87"/>
      <c r="Q459" s="87"/>
      <c r="R459" s="87"/>
      <c r="S459" s="87">
        <v>0.9596774193548387</v>
      </c>
      <c r="T459" s="87"/>
      <c r="U459" s="87">
        <v>0</v>
      </c>
      <c r="V459" s="90" t="s">
        <v>1084</v>
      </c>
    </row>
    <row r="460" ht="15" customHeight="1" spans="1:23" x14ac:dyDescent="0.25">
      <c r="A460" s="85">
        <v>43002</v>
      </c>
      <c r="B460" s="85" t="s">
        <v>2078</v>
      </c>
      <c r="C460" s="85" t="s">
        <v>161</v>
      </c>
      <c r="D460" s="85" t="s">
        <v>283</v>
      </c>
      <c r="E460" s="85"/>
      <c r="F460" s="85" t="s">
        <v>155</v>
      </c>
      <c r="G460" s="85"/>
      <c r="H460" s="85"/>
      <c r="I460" s="86"/>
      <c r="J460" s="86"/>
      <c r="K460" s="87"/>
      <c r="L460" s="87"/>
      <c r="M460" s="88"/>
      <c r="N460" s="89"/>
      <c r="O460" s="87"/>
      <c r="P460" s="87"/>
      <c r="Q460" s="87"/>
      <c r="R460" s="87"/>
      <c r="S460" s="87">
        <v>1</v>
      </c>
      <c r="T460" s="87">
        <v>1</v>
      </c>
      <c r="U460" s="87">
        <v>1</v>
      </c>
      <c r="V460" s="90" t="s">
        <v>2079</v>
      </c>
    </row>
    <row r="461" ht="15" customHeight="1" spans="1:23" x14ac:dyDescent="0.25">
      <c r="A461" s="85">
        <v>43002</v>
      </c>
      <c r="B461" s="85" t="s">
        <v>2080</v>
      </c>
      <c r="C461" s="85" t="s">
        <v>161</v>
      </c>
      <c r="D461" s="85" t="s">
        <v>283</v>
      </c>
      <c r="E461" s="85"/>
      <c r="F461" s="85" t="s">
        <v>1084</v>
      </c>
      <c r="G461" s="85" t="s">
        <v>283</v>
      </c>
      <c r="H461" s="85" t="s">
        <v>1561</v>
      </c>
      <c r="I461" s="86">
        <v>248</v>
      </c>
      <c r="J461" s="86">
        <v>248</v>
      </c>
      <c r="K461" s="87">
        <v>1</v>
      </c>
      <c r="L461" s="87">
        <v>1</v>
      </c>
      <c r="M461" s="88">
        <v>1</v>
      </c>
      <c r="N461" s="89"/>
      <c r="O461" s="87"/>
      <c r="P461" s="87"/>
      <c r="Q461" s="87"/>
      <c r="R461" s="87"/>
      <c r="S461" s="87">
        <v>1</v>
      </c>
      <c r="T461" s="87"/>
      <c r="U461" s="87">
        <v>1</v>
      </c>
      <c r="V461" s="90" t="s">
        <v>2079</v>
      </c>
    </row>
    <row r="462" ht="15" customHeight="1" spans="1:23" x14ac:dyDescent="0.25">
      <c r="A462" s="85">
        <v>43003</v>
      </c>
      <c r="B462" s="85" t="s">
        <v>2081</v>
      </c>
      <c r="C462" s="85" t="s">
        <v>161</v>
      </c>
      <c r="D462" s="85" t="s">
        <v>283</v>
      </c>
      <c r="E462" s="85"/>
      <c r="F462" s="85" t="s">
        <v>155</v>
      </c>
      <c r="G462" s="85"/>
      <c r="H462" s="85"/>
      <c r="I462" s="86"/>
      <c r="J462" s="86"/>
      <c r="K462" s="87"/>
      <c r="L462" s="87"/>
      <c r="M462" s="88"/>
      <c r="N462" s="89"/>
      <c r="O462" s="87"/>
      <c r="P462" s="87"/>
      <c r="Q462" s="87"/>
      <c r="R462" s="87"/>
      <c r="S462" s="87">
        <v>0.8</v>
      </c>
      <c r="T462" s="87">
        <v>0.8</v>
      </c>
      <c r="U462" s="87">
        <v>0.8</v>
      </c>
      <c r="V462" s="90" t="s">
        <v>2082</v>
      </c>
    </row>
    <row r="463" ht="15" customHeight="1" spans="1:23" x14ac:dyDescent="0.25">
      <c r="A463" s="85">
        <v>43003</v>
      </c>
      <c r="B463" s="85" t="s">
        <v>2083</v>
      </c>
      <c r="C463" s="85" t="s">
        <v>161</v>
      </c>
      <c r="D463" s="85" t="s">
        <v>283</v>
      </c>
      <c r="E463" s="85"/>
      <c r="F463" s="85" t="s">
        <v>1084</v>
      </c>
      <c r="G463" s="85" t="s">
        <v>283</v>
      </c>
      <c r="H463" s="85" t="s">
        <v>1561</v>
      </c>
      <c r="I463" s="86">
        <v>248</v>
      </c>
      <c r="J463" s="86">
        <v>248</v>
      </c>
      <c r="K463" s="87">
        <v>1</v>
      </c>
      <c r="L463" s="87">
        <v>0.8</v>
      </c>
      <c r="M463" s="88">
        <v>0.8</v>
      </c>
      <c r="N463" s="89"/>
      <c r="O463" s="87"/>
      <c r="P463" s="87"/>
      <c r="Q463" s="87"/>
      <c r="R463" s="87"/>
      <c r="S463" s="87">
        <v>0.8</v>
      </c>
      <c r="T463" s="87"/>
      <c r="U463" s="87">
        <v>0.8</v>
      </c>
      <c r="V463" s="90" t="s">
        <v>2082</v>
      </c>
    </row>
    <row r="464" ht="15" customHeight="1" spans="1:23" x14ac:dyDescent="0.25">
      <c r="A464" s="85">
        <v>43004</v>
      </c>
      <c r="B464" s="85" t="s">
        <v>2084</v>
      </c>
      <c r="C464" s="85" t="s">
        <v>161</v>
      </c>
      <c r="D464" s="85" t="s">
        <v>283</v>
      </c>
      <c r="E464" s="85"/>
      <c r="F464" s="85" t="s">
        <v>155</v>
      </c>
      <c r="G464" s="85"/>
      <c r="H464" s="85"/>
      <c r="I464" s="86"/>
      <c r="J464" s="86"/>
      <c r="K464" s="87"/>
      <c r="L464" s="87"/>
      <c r="M464" s="88"/>
      <c r="N464" s="89"/>
      <c r="O464" s="87"/>
      <c r="P464" s="87"/>
      <c r="Q464" s="87"/>
      <c r="R464" s="87"/>
      <c r="S464" s="87">
        <v>1</v>
      </c>
      <c r="T464" s="87">
        <v>1</v>
      </c>
      <c r="U464" s="87">
        <v>1</v>
      </c>
      <c r="V464" s="90" t="s">
        <v>2085</v>
      </c>
    </row>
    <row r="465" ht="15" customHeight="1" spans="1:23" x14ac:dyDescent="0.25">
      <c r="A465" s="85">
        <v>43004</v>
      </c>
      <c r="B465" s="85" t="s">
        <v>2086</v>
      </c>
      <c r="C465" s="85" t="s">
        <v>161</v>
      </c>
      <c r="D465" s="85" t="s">
        <v>283</v>
      </c>
      <c r="E465" s="85"/>
      <c r="F465" s="85" t="s">
        <v>1084</v>
      </c>
      <c r="G465" s="85" t="s">
        <v>283</v>
      </c>
      <c r="H465" s="85" t="s">
        <v>1561</v>
      </c>
      <c r="I465" s="86">
        <v>248</v>
      </c>
      <c r="J465" s="86">
        <v>248</v>
      </c>
      <c r="K465" s="87">
        <v>1</v>
      </c>
      <c r="L465" s="87">
        <v>1</v>
      </c>
      <c r="M465" s="88">
        <v>1</v>
      </c>
      <c r="N465" s="89"/>
      <c r="O465" s="87"/>
      <c r="P465" s="87"/>
      <c r="Q465" s="87"/>
      <c r="R465" s="87"/>
      <c r="S465" s="87">
        <v>1</v>
      </c>
      <c r="T465" s="87"/>
      <c r="U465" s="87">
        <v>1</v>
      </c>
      <c r="V465" s="90" t="s">
        <v>2087</v>
      </c>
    </row>
    <row r="466" ht="15" customHeight="1" spans="1:23" x14ac:dyDescent="0.25">
      <c r="A466" s="85">
        <v>43005</v>
      </c>
      <c r="B466" s="85" t="s">
        <v>2088</v>
      </c>
      <c r="C466" s="85" t="s">
        <v>161</v>
      </c>
      <c r="D466" s="85" t="s">
        <v>283</v>
      </c>
      <c r="E466" s="85"/>
      <c r="F466" s="85" t="s">
        <v>155</v>
      </c>
      <c r="G466" s="85"/>
      <c r="H466" s="85"/>
      <c r="I466" s="86"/>
      <c r="J466" s="86"/>
      <c r="K466" s="87"/>
      <c r="L466" s="87"/>
      <c r="M466" s="88"/>
      <c r="N466" s="89"/>
      <c r="O466" s="87"/>
      <c r="P466" s="87"/>
      <c r="Q466" s="87">
        <v>0.15</v>
      </c>
      <c r="R466" s="87"/>
      <c r="S466" s="87">
        <v>1</v>
      </c>
      <c r="T466" s="87">
        <v>1</v>
      </c>
      <c r="U466" s="87">
        <v>1</v>
      </c>
      <c r="V466" s="90" t="s">
        <v>2089</v>
      </c>
    </row>
    <row r="467" ht="15" customHeight="1" spans="1:23" x14ac:dyDescent="0.25">
      <c r="A467" s="85">
        <v>43005</v>
      </c>
      <c r="B467" s="85" t="s">
        <v>2090</v>
      </c>
      <c r="C467" s="85" t="s">
        <v>161</v>
      </c>
      <c r="D467" s="85" t="s">
        <v>283</v>
      </c>
      <c r="E467" s="85"/>
      <c r="F467" s="85" t="s">
        <v>1084</v>
      </c>
      <c r="G467" s="85" t="s">
        <v>283</v>
      </c>
      <c r="H467" s="85" t="s">
        <v>1561</v>
      </c>
      <c r="I467" s="86">
        <v>248</v>
      </c>
      <c r="J467" s="86">
        <v>248</v>
      </c>
      <c r="K467" s="87">
        <v>1</v>
      </c>
      <c r="L467" s="87">
        <v>1</v>
      </c>
      <c r="M467" s="88">
        <v>1</v>
      </c>
      <c r="N467" s="89">
        <v>0.15</v>
      </c>
      <c r="O467" s="87">
        <v>0.15</v>
      </c>
      <c r="P467" s="87"/>
      <c r="Q467" s="87">
        <v>0.15</v>
      </c>
      <c r="R467" s="87"/>
      <c r="S467" s="87">
        <v>1</v>
      </c>
      <c r="T467" s="87"/>
      <c r="U467" s="87">
        <v>1</v>
      </c>
      <c r="V467" s="90" t="s">
        <v>2091</v>
      </c>
    </row>
    <row r="468" ht="15" customHeight="1" spans="1:23" x14ac:dyDescent="0.25">
      <c r="A468" s="85">
        <v>43006</v>
      </c>
      <c r="B468" s="85" t="s">
        <v>2092</v>
      </c>
      <c r="C468" s="85" t="s">
        <v>161</v>
      </c>
      <c r="D468" s="85" t="s">
        <v>283</v>
      </c>
      <c r="E468" s="85"/>
      <c r="F468" s="85" t="s">
        <v>155</v>
      </c>
      <c r="G468" s="85"/>
      <c r="H468" s="85"/>
      <c r="I468" s="86"/>
      <c r="J468" s="86"/>
      <c r="K468" s="87"/>
      <c r="L468" s="87"/>
      <c r="M468" s="88"/>
      <c r="N468" s="89"/>
      <c r="O468" s="87"/>
      <c r="P468" s="87"/>
      <c r="Q468" s="87"/>
      <c r="R468" s="87">
        <v>0.2</v>
      </c>
      <c r="S468" s="87">
        <v>0.8</v>
      </c>
      <c r="T468" s="87">
        <v>1</v>
      </c>
      <c r="U468" s="87">
        <v>0.8</v>
      </c>
      <c r="V468" s="90" t="s">
        <v>2093</v>
      </c>
    </row>
    <row r="469" ht="15" customHeight="1" spans="1:23" x14ac:dyDescent="0.25">
      <c r="A469" s="85">
        <v>43006</v>
      </c>
      <c r="B469" s="85" t="s">
        <v>2094</v>
      </c>
      <c r="C469" s="85" t="s">
        <v>161</v>
      </c>
      <c r="D469" s="85" t="s">
        <v>283</v>
      </c>
      <c r="E469" s="85"/>
      <c r="F469" s="85" t="s">
        <v>1084</v>
      </c>
      <c r="G469" s="85" t="s">
        <v>283</v>
      </c>
      <c r="H469" s="85" t="s">
        <v>1561</v>
      </c>
      <c r="I469" s="86">
        <v>248</v>
      </c>
      <c r="J469" s="86">
        <v>248</v>
      </c>
      <c r="K469" s="87">
        <v>1</v>
      </c>
      <c r="L469" s="87">
        <v>1</v>
      </c>
      <c r="M469" s="88">
        <v>1</v>
      </c>
      <c r="N469" s="89">
        <v>0.2</v>
      </c>
      <c r="O469" s="87">
        <v>0.2</v>
      </c>
      <c r="P469" s="87"/>
      <c r="Q469" s="87"/>
      <c r="R469" s="87">
        <v>0.2</v>
      </c>
      <c r="S469" s="87">
        <v>0.8</v>
      </c>
      <c r="T469" s="87"/>
      <c r="U469" s="87">
        <v>0.8</v>
      </c>
      <c r="V469" s="90" t="s">
        <v>2095</v>
      </c>
    </row>
    <row r="470" ht="15" customHeight="1" spans="1:23" x14ac:dyDescent="0.25">
      <c r="A470" s="85">
        <v>43008</v>
      </c>
      <c r="B470" s="85" t="s">
        <v>2096</v>
      </c>
      <c r="C470" s="85" t="s">
        <v>161</v>
      </c>
      <c r="D470" s="85" t="s">
        <v>283</v>
      </c>
      <c r="E470" s="85"/>
      <c r="F470" s="85" t="s">
        <v>155</v>
      </c>
      <c r="G470" s="85"/>
      <c r="H470" s="85"/>
      <c r="I470" s="86"/>
      <c r="J470" s="86"/>
      <c r="K470" s="87"/>
      <c r="L470" s="87"/>
      <c r="M470" s="88"/>
      <c r="N470" s="89"/>
      <c r="O470" s="87"/>
      <c r="P470" s="87"/>
      <c r="Q470" s="87"/>
      <c r="R470" s="87">
        <v>0.15</v>
      </c>
      <c r="S470" s="87">
        <v>0.85</v>
      </c>
      <c r="T470" s="87">
        <v>1</v>
      </c>
      <c r="U470" s="87">
        <v>0.85</v>
      </c>
      <c r="V470" s="90" t="s">
        <v>2097</v>
      </c>
    </row>
    <row r="471" ht="15" customHeight="1" spans="1:23" x14ac:dyDescent="0.25">
      <c r="A471" s="85">
        <v>43008</v>
      </c>
      <c r="B471" s="85" t="s">
        <v>2098</v>
      </c>
      <c r="C471" s="85" t="s">
        <v>161</v>
      </c>
      <c r="D471" s="85" t="s">
        <v>283</v>
      </c>
      <c r="E471" s="85"/>
      <c r="F471" s="85" t="s">
        <v>1084</v>
      </c>
      <c r="G471" s="85" t="s">
        <v>283</v>
      </c>
      <c r="H471" s="85" t="s">
        <v>1561</v>
      </c>
      <c r="I471" s="86">
        <v>248</v>
      </c>
      <c r="J471" s="86">
        <v>248</v>
      </c>
      <c r="K471" s="87">
        <v>1</v>
      </c>
      <c r="L471" s="87">
        <v>1</v>
      </c>
      <c r="M471" s="88">
        <v>1</v>
      </c>
      <c r="N471" s="89">
        <v>0.15</v>
      </c>
      <c r="O471" s="87">
        <v>0.15</v>
      </c>
      <c r="P471" s="87">
        <v>248</v>
      </c>
      <c r="Q471" s="87"/>
      <c r="R471" s="87">
        <v>0.15</v>
      </c>
      <c r="S471" s="87">
        <v>0.85</v>
      </c>
      <c r="T471" s="87"/>
      <c r="U471" s="87">
        <v>0.85</v>
      </c>
      <c r="V471" s="90" t="s">
        <v>2099</v>
      </c>
    </row>
    <row r="472" ht="15" customHeight="1" spans="1:23" x14ac:dyDescent="0.25">
      <c r="A472" s="85">
        <v>43009</v>
      </c>
      <c r="B472" s="85" t="s">
        <v>2100</v>
      </c>
      <c r="C472" s="85" t="s">
        <v>161</v>
      </c>
      <c r="D472" s="85" t="s">
        <v>283</v>
      </c>
      <c r="E472" s="85"/>
      <c r="F472" s="85" t="s">
        <v>155</v>
      </c>
      <c r="G472" s="85"/>
      <c r="H472" s="85"/>
      <c r="I472" s="86"/>
      <c r="J472" s="86"/>
      <c r="K472" s="87"/>
      <c r="L472" s="87"/>
      <c r="M472" s="88"/>
      <c r="N472" s="89"/>
      <c r="O472" s="87"/>
      <c r="P472" s="87"/>
      <c r="Q472" s="87">
        <v>0.1</v>
      </c>
      <c r="R472" s="87">
        <v>0.15</v>
      </c>
      <c r="S472" s="87">
        <v>0.85</v>
      </c>
      <c r="T472" s="87">
        <v>1</v>
      </c>
      <c r="U472" s="87">
        <v>0.85</v>
      </c>
      <c r="V472" s="90" t="s">
        <v>2101</v>
      </c>
    </row>
    <row r="473" ht="15" customHeight="1" spans="1:23" x14ac:dyDescent="0.25">
      <c r="A473" s="85">
        <v>43009</v>
      </c>
      <c r="B473" s="85" t="s">
        <v>2102</v>
      </c>
      <c r="C473" s="85" t="s">
        <v>161</v>
      </c>
      <c r="D473" s="85" t="s">
        <v>283</v>
      </c>
      <c r="E473" s="85"/>
      <c r="F473" s="85" t="s">
        <v>1084</v>
      </c>
      <c r="G473" s="85" t="s">
        <v>283</v>
      </c>
      <c r="H473" s="85" t="s">
        <v>1561</v>
      </c>
      <c r="I473" s="86">
        <v>248</v>
      </c>
      <c r="J473" s="86">
        <v>248</v>
      </c>
      <c r="K473" s="87">
        <v>1</v>
      </c>
      <c r="L473" s="87">
        <v>1</v>
      </c>
      <c r="M473" s="88">
        <v>1</v>
      </c>
      <c r="N473" s="89">
        <v>0.25</v>
      </c>
      <c r="O473" s="87">
        <v>0.25</v>
      </c>
      <c r="P473" s="87"/>
      <c r="Q473" s="87">
        <v>0.1</v>
      </c>
      <c r="R473" s="87">
        <v>0.15</v>
      </c>
      <c r="S473" s="87">
        <v>0.85</v>
      </c>
      <c r="T473" s="87"/>
      <c r="U473" s="87">
        <v>0.85</v>
      </c>
      <c r="V473" s="90" t="s">
        <v>2103</v>
      </c>
    </row>
    <row r="474" ht="15" customHeight="1" spans="1:23" x14ac:dyDescent="0.25">
      <c r="A474" s="85">
        <v>43011</v>
      </c>
      <c r="B474" s="85" t="s">
        <v>2104</v>
      </c>
      <c r="C474" s="85" t="s">
        <v>161</v>
      </c>
      <c r="D474" s="85" t="s">
        <v>283</v>
      </c>
      <c r="E474" s="85"/>
      <c r="F474" s="85" t="s">
        <v>155</v>
      </c>
      <c r="G474" s="85"/>
      <c r="H474" s="85"/>
      <c r="I474" s="86"/>
      <c r="J474" s="86"/>
      <c r="K474" s="87"/>
      <c r="L474" s="87"/>
      <c r="M474" s="88"/>
      <c r="N474" s="89"/>
      <c r="O474" s="87"/>
      <c r="P474" s="87"/>
      <c r="Q474" s="87">
        <v>0.2</v>
      </c>
      <c r="R474" s="87"/>
      <c r="S474" s="87">
        <v>1</v>
      </c>
      <c r="T474" s="87">
        <v>1</v>
      </c>
      <c r="U474" s="87">
        <v>1</v>
      </c>
      <c r="V474" s="90" t="s">
        <v>2105</v>
      </c>
    </row>
    <row r="475" ht="15" customHeight="1" spans="1:23" x14ac:dyDescent="0.25">
      <c r="A475" s="85">
        <v>43011</v>
      </c>
      <c r="B475" s="85" t="s">
        <v>2106</v>
      </c>
      <c r="C475" s="85" t="s">
        <v>161</v>
      </c>
      <c r="D475" s="85" t="s">
        <v>283</v>
      </c>
      <c r="E475" s="85"/>
      <c r="F475" s="85" t="s">
        <v>1084</v>
      </c>
      <c r="G475" s="85" t="s">
        <v>283</v>
      </c>
      <c r="H475" s="85" t="s">
        <v>1561</v>
      </c>
      <c r="I475" s="86">
        <v>248</v>
      </c>
      <c r="J475" s="86">
        <v>248</v>
      </c>
      <c r="K475" s="87">
        <v>1</v>
      </c>
      <c r="L475" s="87">
        <v>1</v>
      </c>
      <c r="M475" s="88">
        <v>1</v>
      </c>
      <c r="N475" s="89">
        <v>0.2</v>
      </c>
      <c r="O475" s="87">
        <v>0.2</v>
      </c>
      <c r="P475" s="87"/>
      <c r="Q475" s="87">
        <v>0.2</v>
      </c>
      <c r="R475" s="87"/>
      <c r="S475" s="87">
        <v>1</v>
      </c>
      <c r="T475" s="87"/>
      <c r="U475" s="87">
        <v>1</v>
      </c>
      <c r="V475" s="90" t="s">
        <v>2107</v>
      </c>
    </row>
    <row r="476" ht="15" customHeight="1" spans="1:23" x14ac:dyDescent="0.25">
      <c r="A476" s="85">
        <v>43012</v>
      </c>
      <c r="B476" s="85" t="s">
        <v>2108</v>
      </c>
      <c r="C476" s="85" t="s">
        <v>161</v>
      </c>
      <c r="D476" s="85" t="s">
        <v>283</v>
      </c>
      <c r="E476" s="85"/>
      <c r="F476" s="85" t="s">
        <v>155</v>
      </c>
      <c r="G476" s="85"/>
      <c r="H476" s="85"/>
      <c r="I476" s="86"/>
      <c r="J476" s="86"/>
      <c r="K476" s="87"/>
      <c r="L476" s="87"/>
      <c r="M476" s="88"/>
      <c r="N476" s="89"/>
      <c r="O476" s="87"/>
      <c r="P476" s="87"/>
      <c r="Q476" s="87">
        <v>0.5333333333333334</v>
      </c>
      <c r="R476" s="87">
        <v>0.2666666666666667</v>
      </c>
      <c r="S476" s="87">
        <v>0.5333333333333334</v>
      </c>
      <c r="T476" s="87">
        <v>0.8000000000000002</v>
      </c>
      <c r="U476" s="87">
        <v>0.5333333333333334</v>
      </c>
      <c r="V476" s="90" t="s">
        <v>2109</v>
      </c>
    </row>
    <row r="477" ht="15" customHeight="1" spans="1:23" x14ac:dyDescent="0.25">
      <c r="A477" s="85">
        <v>43012</v>
      </c>
      <c r="B477" s="85" t="s">
        <v>2110</v>
      </c>
      <c r="C477" s="85" t="s">
        <v>161</v>
      </c>
      <c r="D477" s="85" t="s">
        <v>283</v>
      </c>
      <c r="E477" s="85"/>
      <c r="F477" s="85" t="s">
        <v>1084</v>
      </c>
      <c r="G477" s="85" t="s">
        <v>283</v>
      </c>
      <c r="H477" s="85" t="s">
        <v>1561</v>
      </c>
      <c r="I477" s="86">
        <v>248</v>
      </c>
      <c r="J477" s="86">
        <v>248</v>
      </c>
      <c r="K477" s="87">
        <v>1</v>
      </c>
      <c r="L477" s="87">
        <v>0.8</v>
      </c>
      <c r="M477" s="88">
        <v>0.8</v>
      </c>
      <c r="N477" s="89">
        <v>0.8999999999999999</v>
      </c>
      <c r="O477" s="87">
        <v>0.8000000000000002</v>
      </c>
      <c r="P477" s="87"/>
      <c r="Q477" s="87">
        <v>0.5333333333333334</v>
      </c>
      <c r="R477" s="87">
        <v>0.2666666666666667</v>
      </c>
      <c r="S477" s="87">
        <v>0.5333333333333334</v>
      </c>
      <c r="T477" s="87"/>
      <c r="U477" s="87">
        <v>0.5333333333333334</v>
      </c>
      <c r="V477" s="90" t="s">
        <v>2111</v>
      </c>
    </row>
    <row r="478" ht="15" customHeight="1" spans="1:23" x14ac:dyDescent="0.25">
      <c r="A478" s="85">
        <v>43014</v>
      </c>
      <c r="B478" s="85" t="s">
        <v>2112</v>
      </c>
      <c r="C478" s="85" t="s">
        <v>161</v>
      </c>
      <c r="D478" s="85" t="s">
        <v>300</v>
      </c>
      <c r="E478" s="85"/>
      <c r="F478" s="85" t="s">
        <v>155</v>
      </c>
      <c r="G478" s="85"/>
      <c r="H478" s="85"/>
      <c r="I478" s="86"/>
      <c r="J478" s="86"/>
      <c r="K478" s="87"/>
      <c r="L478" s="87"/>
      <c r="M478" s="88"/>
      <c r="N478" s="89"/>
      <c r="O478" s="87"/>
      <c r="P478" s="87"/>
      <c r="Q478" s="87"/>
      <c r="R478" s="87"/>
      <c r="S478" s="87">
        <v>0.6532258064516129</v>
      </c>
      <c r="T478" s="87">
        <v>0.6532258064516129</v>
      </c>
      <c r="U478" s="87">
        <v>0.6532258064516129</v>
      </c>
      <c r="V478" s="90" t="s">
        <v>2113</v>
      </c>
    </row>
    <row r="479" ht="15" customHeight="1" spans="1:23" x14ac:dyDescent="0.25">
      <c r="A479" s="85">
        <v>43014</v>
      </c>
      <c r="B479" s="85" t="s">
        <v>2114</v>
      </c>
      <c r="C479" s="85" t="s">
        <v>161</v>
      </c>
      <c r="D479" s="85" t="s">
        <v>300</v>
      </c>
      <c r="E479" s="85"/>
      <c r="F479" s="85" t="s">
        <v>1084</v>
      </c>
      <c r="G479" s="85" t="s">
        <v>1733</v>
      </c>
      <c r="H479" s="85" t="s">
        <v>1561</v>
      </c>
      <c r="I479" s="86">
        <v>248</v>
      </c>
      <c r="J479" s="86">
        <v>162</v>
      </c>
      <c r="K479" s="87">
        <v>0.6532258064516129</v>
      </c>
      <c r="L479" s="87">
        <v>1</v>
      </c>
      <c r="M479" s="88">
        <v>0.6532258064516129</v>
      </c>
      <c r="N479" s="89"/>
      <c r="O479" s="87"/>
      <c r="P479" s="87"/>
      <c r="Q479" s="87"/>
      <c r="R479" s="87"/>
      <c r="S479" s="87">
        <v>0.6532258064516129</v>
      </c>
      <c r="T479" s="87"/>
      <c r="U479" s="87">
        <v>0.6532258064516129</v>
      </c>
      <c r="V479" s="90" t="s">
        <v>2113</v>
      </c>
    </row>
    <row r="480" ht="15" customHeight="1" spans="1:23" x14ac:dyDescent="0.25">
      <c r="A480" s="85">
        <v>43014</v>
      </c>
      <c r="B480" s="85" t="s">
        <v>2114</v>
      </c>
      <c r="C480" s="85"/>
      <c r="D480" s="85" t="s">
        <v>300</v>
      </c>
      <c r="E480" s="85"/>
      <c r="F480" s="85" t="s">
        <v>1084</v>
      </c>
      <c r="G480" s="85" t="s">
        <v>300</v>
      </c>
      <c r="H480" s="85" t="s">
        <v>1737</v>
      </c>
      <c r="I480" s="86">
        <v>248</v>
      </c>
      <c r="J480" s="86">
        <v>33</v>
      </c>
      <c r="K480" s="87">
        <v>0.13306451612903225</v>
      </c>
      <c r="L480" s="87">
        <v>0</v>
      </c>
      <c r="M480" s="88">
        <v>0</v>
      </c>
      <c r="N480" s="89"/>
      <c r="O480" s="87"/>
      <c r="P480" s="87"/>
      <c r="Q480" s="87"/>
      <c r="R480" s="87"/>
      <c r="S480" s="87">
        <v>0</v>
      </c>
      <c r="T480" s="87"/>
      <c r="U480" s="87">
        <v>0</v>
      </c>
      <c r="V480" s="90" t="s">
        <v>1084</v>
      </c>
    </row>
    <row r="481" spans="1:23" x14ac:dyDescent="0.25"/>
    <row r="484" spans="1:4" x14ac:dyDescent="0.25">
      <c r="D484" s="1"/>
    </row>
  </sheetData>
  <autoFilter ref="A1:V1"/>
  <conditionalFormatting sqref="A1:B1">
    <cfRule type="expression" dxfId="17" priority="30">
      <formula>AND(OR($I1&lt;&gt;"-",#REF!&lt;&gt;0,#REF!&lt;&gt;0,ISBLANK($M1)),ROW()&gt;2,$A1&lt;&gt;"")</formula>
    </cfRule>
  </conditionalFormatting>
  <conditionalFormatting sqref="A2:F480">
    <cfRule type="expression" dxfId="18" priority="11">
      <formula>$F2="x"</formula>
    </cfRule>
  </conditionalFormatting>
  <conditionalFormatting sqref="G2:N480">
    <cfRule type="expression" dxfId="19" priority="5">
      <formula>$F2="x"</formula>
    </cfRule>
  </conditionalFormatting>
  <conditionalFormatting sqref="I2:K480">
    <cfRule type="expression" dxfId="20" priority="6">
      <formula>1=1</formula>
    </cfRule>
  </conditionalFormatting>
  <conditionalFormatting sqref="L2:L480">
    <cfRule type="expression" dxfId="21" priority="8">
      <formula>1=1</formula>
    </cfRule>
  </conditionalFormatting>
  <conditionalFormatting sqref="N2:N480">
    <cfRule type="expression" dxfId="22" priority="7">
      <formula>1=1</formula>
    </cfRule>
  </conditionalFormatting>
  <conditionalFormatting sqref="O2:O480">
    <cfRule type="expression" dxfId="23" priority="9">
      <formula>1=1</formula>
    </cfRule>
  </conditionalFormatting>
  <conditionalFormatting sqref="O2:U480">
    <cfRule type="expression" dxfId="24" priority="1">
      <formula>$F2="x"</formula>
    </cfRule>
  </conditionalFormatting>
  <conditionalFormatting sqref="Q2:R480">
    <cfRule type="expression" dxfId="25" priority="4">
      <formula>1=1</formula>
    </cfRule>
  </conditionalFormatting>
  <conditionalFormatting sqref="S2:S480">
    <cfRule type="expression" dxfId="26" priority="3">
      <formula>1=1</formula>
    </cfRule>
  </conditionalFormatting>
  <conditionalFormatting sqref="U2:U480">
    <cfRule type="expression" dxfId="27" priority="2">
      <formula>1=1</formula>
    </cfRule>
  </conditionalFormatting>
  <pageMargins left="0.7" right="0.7" top="0.75" bottom="0.75" header="0.3" footer="0.3"/>
  <pageSetup paperSize="9" orientation="portrait" horizontalDpi="0"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ACCUEIL</vt:lpstr>
      <vt:lpstr>ETPT A-JUST</vt:lpstr>
      <vt:lpstr>ETPT Format DDG</vt:lpstr>
      <vt:lpstr>Synthèse ETPT</vt:lpstr>
      <vt:lpstr>Table_Fonctions</vt:lpstr>
      <vt:lpstr>ETPT Format DDG DETAIL</vt:lpstr>
      <vt:lpstr>ETPT_TJ</vt:lpstr>
      <vt:lpstr>ETPT_TPRX</vt:lpstr>
      <vt:lpstr>ETPT_CPH</vt:lpstr>
      <vt:lpstr>ETPT_ATTJ</vt:lpstr>
      <vt:lpstr>ETPT_TJ_DDG</vt:lpstr>
      <vt:lpstr>ETPT_TPRX_DDG</vt:lpstr>
      <vt:lpstr>ETPT_CPH_DDG</vt:lpstr>
      <vt:lpstr>ETPT_ATTJ_DDG</vt:lpstr>
      <vt:lpstr>Juridictions</vt:lpstr>
      <vt:lpstr>ETPT_TJ_corresp-SIEGE-TJ</vt:lpstr>
      <vt:lpstr>ETPT_TPROX_corresp-SIEGE-TPROX</vt:lpstr>
      <vt:lpstr>ETPT_TJ_corresp-GREFFE-TJ</vt:lpstr>
      <vt:lpstr>ETPT_TROX_corresp-GREFFE-TPROX</vt:lpstr>
      <vt:lpstr>ETPT_CPH_corresp-GREFFE-CPH</vt:lpstr>
      <vt:lpstr>ETPT_ATTACHES_JUSTICE  corresp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A-JUST</dc:creator>
  <dc:title>Extraction de données d'effectifs</dc:title>
  <dc:subject/>
  <dc:description>Ce fichier est généré sur la base des données saisies dans A-JUST</dc:description>
  <cp:keywords/>
  <cp:category/>
  <cp:lastModifiedBy>François-Xavier Montigny</cp:lastModifiedBy>
  <dcterms:created xsi:type="dcterms:W3CDTF">2020-03-26T00:32:42Z</dcterms:created>
  <dcterms:modified xsi:type="dcterms:W3CDTF">2026-03-24T09:52:12Z</dcterms:modified>
</cp:coreProperties>
</file>